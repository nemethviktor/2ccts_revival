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data\"/>
    </mc:Choice>
  </mc:AlternateContent>
  <xr:revisionPtr revIDLastSave="5814" documentId="13_ncr:1_{7EEB4C27-77F1-4C37-AEAC-0982BE2EA449}" xr6:coauthVersionLast="47" xr6:coauthVersionMax="47" xr10:uidLastSave="{83210A19-93FE-48AB-95AC-0BFD01DBD12B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item_validation" sheetId="7" state="hidden" r:id="rId5"/>
    <sheet name="vehicle_id_ranges" sheetId="8" state="hidden" r:id="rId6"/>
    <sheet name="loadingspeed_lookup" sheetId="11" r:id="rId7"/>
    <sheet name="copyright_text" sheetId="6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1051" i="16"/>
  <c r="B1050" i="16"/>
  <c r="B1049" i="16"/>
  <c r="B1048" i="16"/>
  <c r="B1047" i="16"/>
  <c r="B1046" i="16"/>
  <c r="B1045" i="16"/>
  <c r="B1044" i="16"/>
  <c r="B1043" i="16"/>
  <c r="B1042" i="16"/>
  <c r="B1041" i="16"/>
  <c r="B1040" i="16"/>
  <c r="B1039" i="16"/>
  <c r="B1038" i="16"/>
  <c r="B1037" i="16"/>
  <c r="B1036" i="16"/>
  <c r="B1035" i="16"/>
  <c r="B1034" i="16"/>
  <c r="B1033" i="16"/>
  <c r="B1032" i="16"/>
  <c r="B1031" i="16"/>
  <c r="B1030" i="16"/>
  <c r="B1029" i="16"/>
  <c r="B1028" i="16"/>
  <c r="B1027" i="16"/>
  <c r="B1026" i="16"/>
  <c r="B1025" i="16"/>
  <c r="B1024" i="16"/>
  <c r="B1023" i="16"/>
  <c r="B1022" i="16"/>
  <c r="B1021" i="16"/>
  <c r="B1020" i="16"/>
  <c r="B1019" i="16"/>
  <c r="B1018" i="16"/>
  <c r="B1017" i="16"/>
  <c r="B1016" i="16"/>
  <c r="B1015" i="16"/>
  <c r="B1014" i="16"/>
  <c r="B1013" i="16"/>
  <c r="B1012" i="16"/>
  <c r="B1011" i="16"/>
  <c r="B1010" i="16"/>
  <c r="B1009" i="16"/>
  <c r="B1008" i="16"/>
  <c r="B1007" i="16"/>
  <c r="B1006" i="16"/>
  <c r="B1005" i="16"/>
  <c r="B1004" i="16"/>
  <c r="B1003" i="16"/>
  <c r="B1002" i="16"/>
  <c r="B1001" i="16"/>
  <c r="B1000" i="16"/>
  <c r="B999" i="16"/>
  <c r="B998" i="16"/>
  <c r="B997" i="16"/>
  <c r="B996" i="16"/>
  <c r="B995" i="16"/>
  <c r="B994" i="16"/>
  <c r="B993" i="16"/>
  <c r="B992" i="16"/>
  <c r="B991" i="16"/>
  <c r="B990" i="16"/>
  <c r="B989" i="16"/>
  <c r="B988" i="16"/>
  <c r="B987" i="16"/>
  <c r="B986" i="16"/>
  <c r="B985" i="16"/>
  <c r="B984" i="16"/>
  <c r="B983" i="16"/>
  <c r="B982" i="16"/>
  <c r="B981" i="16"/>
  <c r="B980" i="16"/>
  <c r="B979" i="16"/>
  <c r="B978" i="16"/>
  <c r="B977" i="16"/>
  <c r="B976" i="16"/>
  <c r="B975" i="16"/>
  <c r="B974" i="16"/>
  <c r="B973" i="16"/>
  <c r="B972" i="16"/>
  <c r="B971" i="16"/>
  <c r="B970" i="16"/>
  <c r="B969" i="16"/>
  <c r="B968" i="16"/>
  <c r="B967" i="16"/>
  <c r="B966" i="16"/>
  <c r="B965" i="16"/>
  <c r="B964" i="16"/>
  <c r="B963" i="16"/>
  <c r="B962" i="16"/>
  <c r="B961" i="16"/>
  <c r="B960" i="16"/>
  <c r="B959" i="16"/>
  <c r="B958" i="16"/>
  <c r="B957" i="16"/>
  <c r="B956" i="16"/>
  <c r="B955" i="16"/>
  <c r="B954" i="16"/>
  <c r="B953" i="16"/>
  <c r="B952" i="16"/>
  <c r="B951" i="16"/>
  <c r="B950" i="16"/>
  <c r="B949" i="16"/>
  <c r="B948" i="16"/>
  <c r="B947" i="16"/>
  <c r="B946" i="16"/>
  <c r="B945" i="16"/>
  <c r="B944" i="16"/>
  <c r="B943" i="16"/>
  <c r="B942" i="16"/>
  <c r="B941" i="16"/>
  <c r="B940" i="16"/>
  <c r="B939" i="16"/>
  <c r="B938" i="16"/>
  <c r="B937" i="16"/>
  <c r="B936" i="16"/>
  <c r="B935" i="16"/>
  <c r="B934" i="16"/>
  <c r="B933" i="16"/>
  <c r="B932" i="16"/>
  <c r="B931" i="16"/>
  <c r="B930" i="16"/>
  <c r="B929" i="16"/>
  <c r="B928" i="16"/>
  <c r="B927" i="16"/>
  <c r="B926" i="16"/>
  <c r="B925" i="16"/>
  <c r="B924" i="16"/>
  <c r="B923" i="16"/>
  <c r="B922" i="16"/>
  <c r="B921" i="16"/>
  <c r="B920" i="16"/>
  <c r="B919" i="16"/>
  <c r="B918" i="16"/>
  <c r="B917" i="16"/>
  <c r="B916" i="16"/>
  <c r="B915" i="16"/>
  <c r="B914" i="16"/>
  <c r="B913" i="16"/>
  <c r="B912" i="16"/>
  <c r="B911" i="16"/>
  <c r="B910" i="16"/>
  <c r="B909" i="16"/>
  <c r="B908" i="16"/>
  <c r="B907" i="16"/>
  <c r="B906" i="16"/>
  <c r="B905" i="16"/>
  <c r="B904" i="16"/>
  <c r="B903" i="16"/>
  <c r="B902" i="16"/>
  <c r="B901" i="16"/>
  <c r="B900" i="16"/>
  <c r="B899" i="16"/>
  <c r="B898" i="16"/>
  <c r="B897" i="16"/>
  <c r="B896" i="16"/>
  <c r="B895" i="16"/>
  <c r="B894" i="16"/>
  <c r="B893" i="16"/>
  <c r="B892" i="16"/>
  <c r="B891" i="16"/>
  <c r="B890" i="16"/>
  <c r="B889" i="16"/>
  <c r="B888" i="16"/>
  <c r="B887" i="16"/>
  <c r="B886" i="16"/>
  <c r="B885" i="16"/>
  <c r="B884" i="16"/>
  <c r="B883" i="16"/>
  <c r="B882" i="16"/>
  <c r="B881" i="16"/>
  <c r="B880" i="16"/>
  <c r="B879" i="16"/>
  <c r="B878" i="16"/>
  <c r="B877" i="16"/>
  <c r="B876" i="16"/>
  <c r="B875" i="16"/>
  <c r="B874" i="16"/>
  <c r="B873" i="16"/>
  <c r="B872" i="16"/>
  <c r="B871" i="16"/>
  <c r="B870" i="16"/>
  <c r="B869" i="16"/>
  <c r="B868" i="16"/>
  <c r="B867" i="16"/>
  <c r="B866" i="16"/>
  <c r="B865" i="16"/>
  <c r="B864" i="16"/>
  <c r="B863" i="16"/>
  <c r="B862" i="16"/>
  <c r="B861" i="16"/>
  <c r="B860" i="16"/>
  <c r="B859" i="16"/>
  <c r="B858" i="16"/>
  <c r="B857" i="16"/>
  <c r="B856" i="16"/>
  <c r="B855" i="16"/>
  <c r="B854" i="16"/>
  <c r="B853" i="16"/>
  <c r="B852" i="16"/>
  <c r="B851" i="16"/>
  <c r="B850" i="16"/>
  <c r="B849" i="16"/>
  <c r="B848" i="16"/>
  <c r="B847" i="16"/>
  <c r="B846" i="16"/>
  <c r="B845" i="16"/>
  <c r="B844" i="16"/>
  <c r="B843" i="16"/>
  <c r="B842" i="16"/>
  <c r="B841" i="16"/>
  <c r="B840" i="16"/>
  <c r="B839" i="16"/>
  <c r="B838" i="16"/>
  <c r="B837" i="16"/>
  <c r="B836" i="16"/>
  <c r="B835" i="16"/>
  <c r="B834" i="16"/>
  <c r="B833" i="16"/>
  <c r="B832" i="16"/>
  <c r="B831" i="16"/>
  <c r="B830" i="16"/>
  <c r="B829" i="16"/>
  <c r="B828" i="16"/>
  <c r="B827" i="16"/>
  <c r="B826" i="16"/>
  <c r="B825" i="16"/>
  <c r="B824" i="16"/>
  <c r="B823" i="16"/>
  <c r="B822" i="16"/>
  <c r="B821" i="16"/>
  <c r="B820" i="16"/>
  <c r="B819" i="16"/>
  <c r="B818" i="16"/>
  <c r="B817" i="16"/>
  <c r="B816" i="16"/>
  <c r="B815" i="16"/>
  <c r="B814" i="16"/>
  <c r="B813" i="16"/>
  <c r="B812" i="16"/>
  <c r="B811" i="16"/>
  <c r="B810" i="16"/>
  <c r="B809" i="16"/>
  <c r="B808" i="16"/>
  <c r="B807" i="16"/>
  <c r="B806" i="16"/>
  <c r="B805" i="16"/>
  <c r="B804" i="16"/>
  <c r="B803" i="16"/>
  <c r="B802" i="16"/>
  <c r="B801" i="16"/>
  <c r="B800" i="16"/>
  <c r="B799" i="16"/>
  <c r="B798" i="16"/>
  <c r="B797" i="16"/>
  <c r="B796" i="16"/>
  <c r="B795" i="16"/>
  <c r="B794" i="16"/>
  <c r="B793" i="16"/>
  <c r="B792" i="16"/>
  <c r="B791" i="16"/>
  <c r="B790" i="16"/>
  <c r="B789" i="16"/>
  <c r="B788" i="16"/>
  <c r="B787" i="16"/>
  <c r="B786" i="16"/>
  <c r="B785" i="16"/>
  <c r="B784" i="16"/>
  <c r="B783" i="16"/>
  <c r="B782" i="16"/>
  <c r="B781" i="16"/>
  <c r="B780" i="16"/>
  <c r="B779" i="16"/>
  <c r="B778" i="16"/>
  <c r="B777" i="16"/>
  <c r="B776" i="16"/>
  <c r="B775" i="16"/>
  <c r="B774" i="16"/>
  <c r="B773" i="16"/>
  <c r="B772" i="16"/>
  <c r="B771" i="16"/>
  <c r="B770" i="16"/>
  <c r="B769" i="16"/>
  <c r="B768" i="16"/>
  <c r="B767" i="16"/>
  <c r="B766" i="16"/>
  <c r="B765" i="16"/>
  <c r="B764" i="16"/>
  <c r="B763" i="16"/>
  <c r="B762" i="16"/>
  <c r="B761" i="16"/>
  <c r="B760" i="16"/>
  <c r="B759" i="16"/>
  <c r="B758" i="16"/>
  <c r="B757" i="16"/>
  <c r="B756" i="16"/>
  <c r="B755" i="16"/>
  <c r="B754" i="16"/>
  <c r="B753" i="16"/>
  <c r="B752" i="16"/>
  <c r="B751" i="16"/>
  <c r="B750" i="16"/>
  <c r="B749" i="16"/>
  <c r="B748" i="16"/>
  <c r="B747" i="16"/>
  <c r="B746" i="16"/>
  <c r="B745" i="16"/>
  <c r="B744" i="16"/>
  <c r="B743" i="16"/>
  <c r="B742" i="16"/>
  <c r="B741" i="16"/>
  <c r="B740" i="16"/>
  <c r="B739" i="16"/>
  <c r="B738" i="16"/>
  <c r="B737" i="16"/>
  <c r="B736" i="16"/>
  <c r="B735" i="16"/>
  <c r="B734" i="16"/>
  <c r="B733" i="16"/>
  <c r="B732" i="16"/>
  <c r="B731" i="16"/>
  <c r="B730" i="16"/>
  <c r="B729" i="16"/>
  <c r="B728" i="16"/>
  <c r="B727" i="16"/>
  <c r="B726" i="16"/>
  <c r="B725" i="16"/>
  <c r="B724" i="16"/>
  <c r="B723" i="16"/>
  <c r="B722" i="16"/>
  <c r="B721" i="16"/>
  <c r="B720" i="16"/>
  <c r="B719" i="16"/>
  <c r="B718" i="16"/>
  <c r="B717" i="16"/>
  <c r="B716" i="16"/>
  <c r="B715" i="16"/>
  <c r="B714" i="16"/>
  <c r="B713" i="16"/>
  <c r="B712" i="16"/>
  <c r="B711" i="16"/>
  <c r="B710" i="16"/>
  <c r="B709" i="16"/>
  <c r="B708" i="16"/>
  <c r="B707" i="16"/>
  <c r="B706" i="16"/>
  <c r="B705" i="16"/>
  <c r="B704" i="16"/>
  <c r="B703" i="16"/>
  <c r="B702" i="16"/>
  <c r="B701" i="16"/>
  <c r="B700" i="16"/>
  <c r="B699" i="16"/>
  <c r="B698" i="16"/>
  <c r="B697" i="16"/>
  <c r="B696" i="16"/>
  <c r="B695" i="16"/>
  <c r="B694" i="16"/>
  <c r="B693" i="16"/>
  <c r="B692" i="16"/>
  <c r="B691" i="16"/>
  <c r="B690" i="16"/>
  <c r="B689" i="16"/>
  <c r="B688" i="16"/>
  <c r="B687" i="16"/>
  <c r="B686" i="16"/>
  <c r="B685" i="16"/>
  <c r="B684" i="16"/>
  <c r="B683" i="16"/>
  <c r="B682" i="16"/>
  <c r="B681" i="16"/>
  <c r="B680" i="16"/>
  <c r="B679" i="16"/>
  <c r="B678" i="16"/>
  <c r="B677" i="16"/>
  <c r="B676" i="16"/>
  <c r="B675" i="16"/>
  <c r="B674" i="16"/>
  <c r="B673" i="16"/>
  <c r="B672" i="16"/>
  <c r="B671" i="16"/>
  <c r="B670" i="16"/>
  <c r="B669" i="16"/>
  <c r="B668" i="16"/>
  <c r="B667" i="16"/>
  <c r="B666" i="16"/>
  <c r="B665" i="16"/>
  <c r="B664" i="16"/>
  <c r="B663" i="16"/>
  <c r="B662" i="16"/>
  <c r="B661" i="16"/>
  <c r="B660" i="16"/>
  <c r="B659" i="16"/>
  <c r="B658" i="16"/>
  <c r="B657" i="16"/>
  <c r="B656" i="16"/>
  <c r="B655" i="16"/>
  <c r="B654" i="16"/>
  <c r="B653" i="16"/>
  <c r="B652" i="16"/>
  <c r="B651" i="16"/>
  <c r="B650" i="16"/>
  <c r="B649" i="16"/>
  <c r="B648" i="16"/>
  <c r="B647" i="16"/>
  <c r="B646" i="16"/>
  <c r="B645" i="16"/>
  <c r="B644" i="16"/>
  <c r="B643" i="16"/>
  <c r="B642" i="16"/>
  <c r="B641" i="16"/>
  <c r="B640" i="16"/>
  <c r="B639" i="16"/>
  <c r="B638" i="16"/>
  <c r="B637" i="16"/>
  <c r="B636" i="16"/>
  <c r="B635" i="16"/>
  <c r="B634" i="16"/>
  <c r="B633" i="16"/>
  <c r="B632" i="16"/>
  <c r="B631" i="16"/>
  <c r="B630" i="16"/>
  <c r="B629" i="16"/>
  <c r="B628" i="16"/>
  <c r="B627" i="16"/>
  <c r="B626" i="16"/>
  <c r="B625" i="16"/>
  <c r="B624" i="16"/>
  <c r="B623" i="16"/>
  <c r="B622" i="16"/>
  <c r="B621" i="16"/>
  <c r="B620" i="16"/>
  <c r="B619" i="16"/>
  <c r="B618" i="16"/>
  <c r="B617" i="16"/>
  <c r="B616" i="16"/>
  <c r="B615" i="16"/>
  <c r="B614" i="16"/>
  <c r="B613" i="16"/>
  <c r="B612" i="16"/>
  <c r="B611" i="16"/>
  <c r="B610" i="16"/>
  <c r="B609" i="16"/>
  <c r="B608" i="16"/>
  <c r="B607" i="16"/>
  <c r="B606" i="16"/>
  <c r="B605" i="16"/>
  <c r="B604" i="16"/>
  <c r="B603" i="16"/>
  <c r="B602" i="16"/>
  <c r="B601" i="16"/>
  <c r="B600" i="16"/>
  <c r="B599" i="16"/>
  <c r="B598" i="16"/>
  <c r="B597" i="16"/>
  <c r="B596" i="16"/>
  <c r="B595" i="16"/>
  <c r="B594" i="16"/>
  <c r="B593" i="16"/>
  <c r="B592" i="16"/>
  <c r="B591" i="16"/>
  <c r="B590" i="16"/>
  <c r="B589" i="16"/>
  <c r="B588" i="16"/>
  <c r="B587" i="16"/>
  <c r="B586" i="16"/>
  <c r="B585" i="16"/>
  <c r="B584" i="16"/>
  <c r="B583" i="16"/>
  <c r="B582" i="16"/>
  <c r="B581" i="16"/>
  <c r="B580" i="16"/>
  <c r="B579" i="16"/>
  <c r="B578" i="16"/>
  <c r="B577" i="16"/>
  <c r="B576" i="16"/>
  <c r="B575" i="16"/>
  <c r="B574" i="16"/>
  <c r="B573" i="16"/>
  <c r="B572" i="16"/>
  <c r="B571" i="16"/>
  <c r="B570" i="16"/>
  <c r="B569" i="16"/>
  <c r="B568" i="16"/>
  <c r="B567" i="16"/>
  <c r="B566" i="16"/>
  <c r="B565" i="16"/>
  <c r="B564" i="16"/>
  <c r="B563" i="16"/>
  <c r="B562" i="16"/>
  <c r="B561" i="16"/>
  <c r="B560" i="16"/>
  <c r="B559" i="16"/>
  <c r="B558" i="16"/>
  <c r="B557" i="16"/>
  <c r="B556" i="16"/>
  <c r="B555" i="16"/>
  <c r="B554" i="16"/>
  <c r="B553" i="16"/>
  <c r="B552" i="16"/>
  <c r="B551" i="16"/>
  <c r="B550" i="16"/>
  <c r="B549" i="16"/>
  <c r="B548" i="16"/>
  <c r="B547" i="16"/>
  <c r="B546" i="16"/>
  <c r="B545" i="16"/>
  <c r="B544" i="16"/>
  <c r="B543" i="16"/>
  <c r="B542" i="16"/>
  <c r="B541" i="16"/>
  <c r="B540" i="16"/>
  <c r="B539" i="16"/>
  <c r="B538" i="16"/>
  <c r="B537" i="16"/>
  <c r="B536" i="16"/>
  <c r="B535" i="16"/>
  <c r="B534" i="16"/>
  <c r="B533" i="16"/>
  <c r="B532" i="16"/>
  <c r="B531" i="16"/>
  <c r="B530" i="16"/>
  <c r="B529" i="16"/>
  <c r="B528" i="16"/>
  <c r="B527" i="16"/>
  <c r="B526" i="16"/>
  <c r="B525" i="16"/>
  <c r="B524" i="16"/>
  <c r="B523" i="16"/>
  <c r="B522" i="16"/>
  <c r="B521" i="16"/>
  <c r="B520" i="16"/>
  <c r="B519" i="16"/>
  <c r="B518" i="16"/>
  <c r="B517" i="16"/>
  <c r="B516" i="16"/>
  <c r="B515" i="16"/>
  <c r="B514" i="16"/>
  <c r="B513" i="16"/>
  <c r="B512" i="16"/>
  <c r="B511" i="16"/>
  <c r="B510" i="16"/>
  <c r="B509" i="16"/>
  <c r="B508" i="16"/>
  <c r="B507" i="16"/>
  <c r="B506" i="16"/>
  <c r="B505" i="16"/>
  <c r="B504" i="16"/>
  <c r="B503" i="16"/>
  <c r="B502" i="16"/>
  <c r="B501" i="16"/>
  <c r="B500" i="16"/>
  <c r="B499" i="16"/>
  <c r="B498" i="16"/>
  <c r="B497" i="16"/>
  <c r="B496" i="16"/>
  <c r="B495" i="16"/>
  <c r="B494" i="16"/>
  <c r="B493" i="16"/>
  <c r="B492" i="16"/>
  <c r="B491" i="16"/>
  <c r="B490" i="16"/>
  <c r="B489" i="16"/>
  <c r="B488" i="16"/>
  <c r="B487" i="16"/>
  <c r="B486" i="16"/>
  <c r="B485" i="16"/>
  <c r="B484" i="16"/>
  <c r="B483" i="16"/>
  <c r="B482" i="16"/>
  <c r="B481" i="16"/>
  <c r="B480" i="16"/>
  <c r="B479" i="16"/>
  <c r="B478" i="16"/>
  <c r="B477" i="16"/>
  <c r="B476" i="16"/>
  <c r="B475" i="16"/>
  <c r="B474" i="16"/>
  <c r="B473" i="16"/>
  <c r="B472" i="16"/>
  <c r="B471" i="16"/>
  <c r="B470" i="16"/>
  <c r="B469" i="16"/>
  <c r="B468" i="16"/>
  <c r="B467" i="16"/>
  <c r="B466" i="16"/>
  <c r="B465" i="16"/>
  <c r="B464" i="16"/>
  <c r="B463" i="16"/>
  <c r="B462" i="16"/>
  <c r="B461" i="16"/>
  <c r="B460" i="16"/>
  <c r="B459" i="16"/>
  <c r="B458" i="16"/>
  <c r="B457" i="16"/>
  <c r="B456" i="16"/>
  <c r="B455" i="16"/>
  <c r="B454" i="16"/>
  <c r="B453" i="16"/>
  <c r="B452" i="16"/>
  <c r="B451" i="16"/>
  <c r="B450" i="16"/>
  <c r="B449" i="16"/>
  <c r="B448" i="16"/>
  <c r="B447" i="16"/>
  <c r="B446" i="16"/>
  <c r="B445" i="16"/>
  <c r="B444" i="16"/>
  <c r="B443" i="16"/>
  <c r="B442" i="16"/>
  <c r="B441" i="16"/>
  <c r="B440" i="16"/>
  <c r="B439" i="16"/>
  <c r="B438" i="16"/>
  <c r="B437" i="16"/>
  <c r="B436" i="16"/>
  <c r="B435" i="16"/>
  <c r="B434" i="16"/>
  <c r="B433" i="16"/>
  <c r="B432" i="16"/>
  <c r="B431" i="16"/>
  <c r="B430" i="16"/>
  <c r="B429" i="16"/>
  <c r="B428" i="16"/>
  <c r="B427" i="16"/>
  <c r="B426" i="16"/>
  <c r="B425" i="16"/>
  <c r="B424" i="16"/>
  <c r="B423" i="16"/>
  <c r="B422" i="16"/>
  <c r="B421" i="16"/>
  <c r="B420" i="16"/>
  <c r="B419" i="16"/>
  <c r="B418" i="16"/>
  <c r="B417" i="16"/>
  <c r="B416" i="16"/>
  <c r="B415" i="16"/>
  <c r="B414" i="16"/>
  <c r="B413" i="16"/>
  <c r="B412" i="16"/>
  <c r="B411" i="16"/>
  <c r="B410" i="16"/>
  <c r="B409" i="16"/>
  <c r="B408" i="16"/>
  <c r="B407" i="16"/>
  <c r="B406" i="16"/>
  <c r="B405" i="16"/>
  <c r="B404" i="16"/>
  <c r="B403" i="16"/>
  <c r="B402" i="16"/>
  <c r="B401" i="16"/>
  <c r="B400" i="16"/>
  <c r="B399" i="16"/>
  <c r="B398" i="16"/>
  <c r="B397" i="16"/>
  <c r="B396" i="16"/>
  <c r="B395" i="16"/>
  <c r="B394" i="16"/>
  <c r="B393" i="16"/>
  <c r="B392" i="16"/>
  <c r="B391" i="16"/>
  <c r="B390" i="16"/>
  <c r="B389" i="16"/>
  <c r="B388" i="16"/>
  <c r="B387" i="16"/>
  <c r="B386" i="16"/>
  <c r="B385" i="16"/>
  <c r="B384" i="16"/>
  <c r="B383" i="16"/>
  <c r="B382" i="16"/>
  <c r="B381" i="16"/>
  <c r="B380" i="16"/>
  <c r="B379" i="16"/>
  <c r="B378" i="16"/>
  <c r="B377" i="16"/>
  <c r="B376" i="16"/>
  <c r="B375" i="16"/>
  <c r="B374" i="16"/>
  <c r="B373" i="16"/>
  <c r="B372" i="16"/>
  <c r="B371" i="16"/>
  <c r="B370" i="16"/>
  <c r="B369" i="16"/>
  <c r="B368" i="16"/>
  <c r="B367" i="16"/>
  <c r="B366" i="16"/>
  <c r="B365" i="16"/>
  <c r="B364" i="16"/>
  <c r="B363" i="16"/>
  <c r="B362" i="16"/>
  <c r="B361" i="16"/>
  <c r="B360" i="16"/>
  <c r="B359" i="16"/>
  <c r="B358" i="16"/>
  <c r="B357" i="16"/>
  <c r="B356" i="16"/>
  <c r="B355" i="16"/>
  <c r="B354" i="16"/>
  <c r="B353" i="16"/>
  <c r="B352" i="16"/>
  <c r="B351" i="16"/>
  <c r="B350" i="16"/>
  <c r="B349" i="16"/>
  <c r="B348" i="16"/>
  <c r="B347" i="16"/>
  <c r="B346" i="16"/>
  <c r="B345" i="16"/>
  <c r="B344" i="16"/>
  <c r="B343" i="16"/>
  <c r="B342" i="16"/>
  <c r="B341" i="16"/>
  <c r="B340" i="16"/>
  <c r="B339" i="16"/>
  <c r="B338" i="16"/>
  <c r="B337" i="16"/>
  <c r="B336" i="16"/>
  <c r="B335" i="16"/>
  <c r="B334" i="16"/>
  <c r="B333" i="16"/>
  <c r="B332" i="16"/>
  <c r="B331" i="16"/>
  <c r="B330" i="16"/>
  <c r="B329" i="16"/>
  <c r="B328" i="16"/>
  <c r="B327" i="16"/>
  <c r="B326" i="16"/>
  <c r="B325" i="16"/>
  <c r="B324" i="16"/>
  <c r="B323" i="16"/>
  <c r="B322" i="16"/>
  <c r="B321" i="16"/>
  <c r="B320" i="16"/>
  <c r="B319" i="16"/>
  <c r="B318" i="16"/>
  <c r="B317" i="16"/>
  <c r="B316" i="16"/>
  <c r="B315" i="16"/>
  <c r="B314" i="16"/>
  <c r="B313" i="16"/>
  <c r="B312" i="16"/>
  <c r="B311" i="16"/>
  <c r="B310" i="16"/>
  <c r="B309" i="16"/>
  <c r="B308" i="16"/>
  <c r="B307" i="16"/>
  <c r="B306" i="16"/>
  <c r="B305" i="16"/>
  <c r="B304" i="16"/>
  <c r="B303" i="16"/>
  <c r="B302" i="16"/>
  <c r="B301" i="16"/>
  <c r="B300" i="16"/>
  <c r="B299" i="16"/>
  <c r="B298" i="16"/>
  <c r="B297" i="16"/>
  <c r="B296" i="16"/>
  <c r="B295" i="16"/>
  <c r="B294" i="16"/>
  <c r="B293" i="16"/>
  <c r="B292" i="16"/>
  <c r="B291" i="16"/>
  <c r="B290" i="16"/>
  <c r="B289" i="16"/>
  <c r="B288" i="16"/>
  <c r="B287" i="16"/>
  <c r="B286" i="16"/>
  <c r="B285" i="16"/>
  <c r="B284" i="16"/>
  <c r="B283" i="16"/>
  <c r="B282" i="16"/>
  <c r="B281" i="16"/>
  <c r="B280" i="16"/>
  <c r="B279" i="16"/>
  <c r="B278" i="16"/>
  <c r="B277" i="16"/>
  <c r="B276" i="16"/>
  <c r="B275" i="16"/>
  <c r="B274" i="16"/>
  <c r="B273" i="16"/>
  <c r="B272" i="16"/>
  <c r="B271" i="16"/>
  <c r="B270" i="16"/>
  <c r="B269" i="16"/>
  <c r="B268" i="16"/>
  <c r="B267" i="16"/>
  <c r="B266" i="16"/>
  <c r="B265" i="16"/>
  <c r="B264" i="16"/>
  <c r="B263" i="16"/>
  <c r="B262" i="16"/>
  <c r="B261" i="16"/>
  <c r="B260" i="16"/>
  <c r="B259" i="16"/>
  <c r="B258" i="16"/>
  <c r="B257" i="16"/>
  <c r="B256" i="16"/>
  <c r="B255" i="16"/>
  <c r="B254" i="16"/>
  <c r="B253" i="16"/>
  <c r="B252" i="16"/>
  <c r="B251" i="16"/>
  <c r="B250" i="16"/>
  <c r="B249" i="16"/>
  <c r="B248" i="16"/>
  <c r="B247" i="16"/>
  <c r="B246" i="16"/>
  <c r="B245" i="16"/>
  <c r="B244" i="16"/>
  <c r="B243" i="16"/>
  <c r="B242" i="16"/>
  <c r="B241" i="16"/>
  <c r="B240" i="16"/>
  <c r="B239" i="16"/>
  <c r="B238" i="16"/>
  <c r="B237" i="16"/>
  <c r="B236" i="16"/>
  <c r="B235" i="16"/>
  <c r="B234" i="16"/>
  <c r="B233" i="16"/>
  <c r="B232" i="16"/>
  <c r="B231" i="16"/>
  <c r="B230" i="16"/>
  <c r="B229" i="16"/>
  <c r="B228" i="16"/>
  <c r="B227" i="16"/>
  <c r="B226" i="16"/>
  <c r="B225" i="16"/>
  <c r="B224" i="16"/>
  <c r="B223" i="16"/>
  <c r="B222" i="16"/>
  <c r="B221" i="16"/>
  <c r="B220" i="16"/>
  <c r="B219" i="16"/>
  <c r="B218" i="16"/>
  <c r="B217" i="16"/>
  <c r="B216" i="16"/>
  <c r="B215" i="16"/>
  <c r="B214" i="16"/>
  <c r="B213" i="16"/>
  <c r="B212" i="16"/>
  <c r="B211" i="16"/>
  <c r="B210" i="16"/>
  <c r="B209" i="16"/>
  <c r="B208" i="16"/>
  <c r="B207" i="16"/>
  <c r="B206" i="16"/>
  <c r="B205" i="16"/>
  <c r="B204" i="16"/>
  <c r="B203" i="16"/>
  <c r="B202" i="16"/>
  <c r="B201" i="16"/>
  <c r="B200" i="16"/>
  <c r="B199" i="16"/>
  <c r="B198" i="16"/>
  <c r="B197" i="16"/>
  <c r="B196" i="16"/>
  <c r="B195" i="16"/>
  <c r="B194" i="16"/>
  <c r="B193" i="16"/>
  <c r="B192" i="16"/>
  <c r="B191" i="16"/>
  <c r="B190" i="16"/>
  <c r="B189" i="16"/>
  <c r="B188" i="16"/>
  <c r="B187" i="16"/>
  <c r="B186" i="16"/>
  <c r="B185" i="16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AD2" i="17"/>
  <c r="O2" i="17" s="1"/>
  <c r="AD3" i="17"/>
  <c r="O3" i="17" s="1"/>
  <c r="AD4" i="17"/>
  <c r="O4" i="17" s="1"/>
  <c r="AD5" i="17"/>
  <c r="O5" i="17" s="1"/>
  <c r="AD6" i="17"/>
  <c r="O6" i="17" s="1"/>
  <c r="AD7" i="17"/>
  <c r="O7" i="17" s="1"/>
  <c r="AD8" i="17"/>
  <c r="O8" i="17" s="1"/>
  <c r="AD9" i="17"/>
  <c r="O9" i="17" s="1"/>
  <c r="AD10" i="17"/>
  <c r="O10" i="17" s="1"/>
  <c r="AD11" i="17"/>
  <c r="O11" i="17" s="1"/>
  <c r="AD12" i="17"/>
  <c r="O12" i="17" s="1"/>
  <c r="AD13" i="17"/>
  <c r="O13" i="17" s="1"/>
  <c r="AD14" i="17"/>
  <c r="O14" i="17" s="1"/>
  <c r="AD15" i="17"/>
  <c r="O15" i="17" s="1"/>
  <c r="AD16" i="17"/>
  <c r="O16" i="17" s="1"/>
  <c r="AD17" i="17"/>
  <c r="O17" i="17" s="1"/>
  <c r="AD18" i="17"/>
  <c r="O18" i="17" s="1"/>
  <c r="AD19" i="17"/>
  <c r="O19" i="17" s="1"/>
  <c r="AD20" i="17"/>
  <c r="O20" i="17" s="1"/>
  <c r="AD21" i="17"/>
  <c r="O21" i="17" s="1"/>
  <c r="AD22" i="17"/>
  <c r="O22" i="17" s="1"/>
  <c r="AD23" i="17"/>
  <c r="O23" i="17" s="1"/>
  <c r="AD24" i="17"/>
  <c r="O24" i="17" s="1"/>
  <c r="AD25" i="17"/>
  <c r="O25" i="17" s="1"/>
  <c r="AD26" i="17"/>
  <c r="O26" i="17" s="1"/>
  <c r="AD27" i="17"/>
  <c r="O27" i="17" s="1"/>
  <c r="AD28" i="17"/>
  <c r="O28" i="17" s="1"/>
  <c r="AD29" i="17"/>
  <c r="O29" i="17" s="1"/>
  <c r="AD30" i="17"/>
  <c r="O30" i="17" s="1"/>
  <c r="AD31" i="17"/>
  <c r="O31" i="17" s="1"/>
  <c r="AD32" i="17"/>
  <c r="O32" i="17" s="1"/>
  <c r="AD33" i="17"/>
  <c r="O33" i="17" s="1"/>
  <c r="AD34" i="17"/>
  <c r="O34" i="17" s="1"/>
  <c r="AD35" i="17"/>
  <c r="O35" i="17" s="1"/>
  <c r="AD36" i="17"/>
  <c r="O36" i="17" s="1"/>
  <c r="AD37" i="17"/>
  <c r="O37" i="17" s="1"/>
  <c r="AD38" i="17"/>
  <c r="O38" i="17" s="1"/>
  <c r="AD39" i="17"/>
  <c r="O39" i="17" s="1"/>
  <c r="AD40" i="17"/>
  <c r="O40" i="17" s="1"/>
  <c r="AD41" i="17"/>
  <c r="O41" i="17" s="1"/>
  <c r="AD42" i="17"/>
  <c r="O42" i="17" s="1"/>
  <c r="AD43" i="17"/>
  <c r="O43" i="17" s="1"/>
  <c r="AD44" i="17"/>
  <c r="O44" i="17" s="1"/>
  <c r="AD45" i="17"/>
  <c r="O45" i="17" s="1"/>
  <c r="AD46" i="17"/>
  <c r="O46" i="17" s="1"/>
  <c r="AD47" i="17"/>
  <c r="O47" i="17" s="1"/>
  <c r="AD48" i="17"/>
  <c r="O48" i="17" s="1"/>
  <c r="AD49" i="17"/>
  <c r="O49" i="17" s="1"/>
  <c r="AD50" i="17"/>
  <c r="O50" i="17" s="1"/>
  <c r="AD51" i="17"/>
  <c r="O51" i="17" s="1"/>
  <c r="AD52" i="17"/>
  <c r="O52" i="17" s="1"/>
  <c r="AD53" i="17"/>
  <c r="O53" i="17" s="1"/>
  <c r="AD54" i="17"/>
  <c r="O54" i="17" s="1"/>
  <c r="AD55" i="17"/>
  <c r="O55" i="17" s="1"/>
  <c r="AD56" i="17"/>
  <c r="O56" i="17" s="1"/>
  <c r="AD57" i="17"/>
  <c r="O57" i="17" s="1"/>
  <c r="AD58" i="17"/>
  <c r="O58" i="17" s="1"/>
  <c r="AD59" i="17"/>
  <c r="O59" i="17" s="1"/>
  <c r="AD60" i="17"/>
  <c r="O60" i="17" s="1"/>
  <c r="AD61" i="17"/>
  <c r="O61" i="17" s="1"/>
  <c r="AD62" i="17"/>
  <c r="O62" i="17" s="1"/>
  <c r="AD63" i="17"/>
  <c r="O63" i="17" s="1"/>
  <c r="AD64" i="17"/>
  <c r="O64" i="17" s="1"/>
  <c r="AD65" i="17"/>
  <c r="O65" i="17" s="1"/>
  <c r="AD66" i="17"/>
  <c r="O66" i="17" s="1"/>
  <c r="AD67" i="17"/>
  <c r="O67" i="17" s="1"/>
  <c r="AD68" i="17"/>
  <c r="O68" i="17" s="1"/>
  <c r="AD69" i="17"/>
  <c r="O69" i="17" s="1"/>
  <c r="AD70" i="17"/>
  <c r="O70" i="17" s="1"/>
  <c r="AD71" i="17"/>
  <c r="O71" i="17" s="1"/>
  <c r="AD72" i="17"/>
  <c r="O72" i="17" s="1"/>
  <c r="AD73" i="17"/>
  <c r="O73" i="17" s="1"/>
  <c r="AD74" i="17"/>
  <c r="O74" i="17" s="1"/>
  <c r="AD75" i="17"/>
  <c r="O75" i="17" s="1"/>
  <c r="AD76" i="17"/>
  <c r="O76" i="17" s="1"/>
  <c r="AD77" i="17"/>
  <c r="O77" i="17" s="1"/>
  <c r="AD78" i="17"/>
  <c r="O78" i="17" s="1"/>
  <c r="AD79" i="17"/>
  <c r="O79" i="17" s="1"/>
  <c r="AD80" i="17"/>
  <c r="O80" i="17" s="1"/>
  <c r="AD81" i="17"/>
  <c r="O81" i="17" s="1"/>
  <c r="AD82" i="17"/>
  <c r="O82" i="17" s="1"/>
  <c r="AD83" i="17"/>
  <c r="O83" i="17" s="1"/>
  <c r="AD84" i="17"/>
  <c r="O84" i="17" s="1"/>
  <c r="AD85" i="17"/>
  <c r="O85" i="17" s="1"/>
  <c r="AD86" i="17"/>
  <c r="O86" i="17" s="1"/>
  <c r="AD87" i="17"/>
  <c r="O87" i="17" s="1"/>
  <c r="AD88" i="17"/>
  <c r="O88" i="17" s="1"/>
  <c r="AD89" i="17"/>
  <c r="O89" i="17" s="1"/>
  <c r="AD90" i="17"/>
  <c r="O90" i="17" s="1"/>
  <c r="AD91" i="17"/>
  <c r="O91" i="17" s="1"/>
  <c r="AD92" i="17"/>
  <c r="O92" i="17" s="1"/>
  <c r="AD93" i="17"/>
  <c r="O93" i="17" s="1"/>
  <c r="AD94" i="17"/>
  <c r="O94" i="17" s="1"/>
  <c r="AD95" i="17"/>
  <c r="O95" i="17" s="1"/>
  <c r="AD96" i="17"/>
  <c r="O96" i="17" s="1"/>
  <c r="AD97" i="17"/>
  <c r="O97" i="17" s="1"/>
  <c r="AD98" i="17"/>
  <c r="O98" i="17" s="1"/>
  <c r="AD99" i="17"/>
  <c r="O99" i="17" s="1"/>
  <c r="AD100" i="17"/>
  <c r="O100" i="17" s="1"/>
  <c r="AD101" i="17"/>
  <c r="O101" i="17" s="1"/>
  <c r="AD102" i="17"/>
  <c r="O102" i="17" s="1"/>
  <c r="AD103" i="17"/>
  <c r="O103" i="17" s="1"/>
  <c r="AD104" i="17"/>
  <c r="O104" i="17" s="1"/>
  <c r="AD105" i="17"/>
  <c r="O105" i="17" s="1"/>
  <c r="AD106" i="17"/>
  <c r="O106" i="17" s="1"/>
  <c r="AD107" i="17"/>
  <c r="O107" i="17" s="1"/>
  <c r="AD108" i="17"/>
  <c r="O108" i="17" s="1"/>
  <c r="AD109" i="17"/>
  <c r="O109" i="17" s="1"/>
  <c r="AD110" i="17"/>
  <c r="O110" i="17" s="1"/>
  <c r="AD111" i="17"/>
  <c r="O111" i="17" s="1"/>
  <c r="AD112" i="17"/>
  <c r="O112" i="17" s="1"/>
  <c r="AD113" i="17"/>
  <c r="O113" i="17" s="1"/>
  <c r="AD114" i="17"/>
  <c r="O114" i="17" s="1"/>
  <c r="AD115" i="17"/>
  <c r="O115" i="17" s="1"/>
  <c r="AD116" i="17"/>
  <c r="O116" i="17" s="1"/>
  <c r="AD117" i="17"/>
  <c r="O117" i="17" s="1"/>
  <c r="AD118" i="17"/>
  <c r="O118" i="17" s="1"/>
  <c r="AD119" i="17"/>
  <c r="O119" i="17" s="1"/>
  <c r="AD120" i="17"/>
  <c r="O120" i="17" s="1"/>
  <c r="AD121" i="17"/>
  <c r="O121" i="17" s="1"/>
  <c r="AD122" i="17"/>
  <c r="O122" i="17" s="1"/>
  <c r="AD123" i="17"/>
  <c r="O123" i="17" s="1"/>
  <c r="AD124" i="17"/>
  <c r="O124" i="17" s="1"/>
  <c r="AD125" i="17"/>
  <c r="O125" i="17" s="1"/>
  <c r="AD126" i="17"/>
  <c r="O126" i="17" s="1"/>
  <c r="AD127" i="17"/>
  <c r="O127" i="17" s="1"/>
  <c r="AD128" i="17"/>
  <c r="O128" i="17" s="1"/>
  <c r="AD129" i="17"/>
  <c r="O129" i="17" s="1"/>
  <c r="AD130" i="17"/>
  <c r="O130" i="17" s="1"/>
  <c r="AD131" i="17"/>
  <c r="O131" i="17" s="1"/>
  <c r="AD132" i="17"/>
  <c r="O132" i="17" s="1"/>
  <c r="AD133" i="17"/>
  <c r="O133" i="17" s="1"/>
  <c r="AD134" i="17"/>
  <c r="O134" i="17" s="1"/>
  <c r="AD135" i="17"/>
  <c r="O135" i="17" s="1"/>
  <c r="AD136" i="17"/>
  <c r="O136" i="17" s="1"/>
  <c r="AD137" i="17"/>
  <c r="O137" i="17" s="1"/>
  <c r="AD138" i="17"/>
  <c r="O138" i="17" s="1"/>
  <c r="AD139" i="17"/>
  <c r="O139" i="17" s="1"/>
  <c r="AD140" i="17"/>
  <c r="O140" i="17" s="1"/>
  <c r="AD141" i="17"/>
  <c r="O141" i="17" s="1"/>
  <c r="AD142" i="17"/>
  <c r="O142" i="17" s="1"/>
  <c r="AD143" i="17"/>
  <c r="O143" i="17" s="1"/>
  <c r="AD144" i="17"/>
  <c r="O144" i="17" s="1"/>
  <c r="AD145" i="17"/>
  <c r="O145" i="17" s="1"/>
  <c r="AD146" i="17"/>
  <c r="O146" i="17" s="1"/>
  <c r="AD147" i="17"/>
  <c r="O147" i="17" s="1"/>
  <c r="AD148" i="17"/>
  <c r="O148" i="17" s="1"/>
  <c r="AD149" i="17"/>
  <c r="O149" i="17" s="1"/>
  <c r="AD150" i="17"/>
  <c r="O150" i="17" s="1"/>
  <c r="AD151" i="17"/>
  <c r="O151" i="17" s="1"/>
  <c r="AD152" i="17"/>
  <c r="O152" i="17" s="1"/>
  <c r="AD153" i="17"/>
  <c r="O153" i="17" s="1"/>
  <c r="AD154" i="17"/>
  <c r="O154" i="17" s="1"/>
  <c r="AD155" i="17"/>
  <c r="O155" i="17" s="1"/>
  <c r="AD156" i="17"/>
  <c r="O156" i="17" s="1"/>
  <c r="AD157" i="17"/>
  <c r="O157" i="17" s="1"/>
  <c r="AD158" i="17"/>
  <c r="O158" i="17" s="1"/>
  <c r="AD159" i="17"/>
  <c r="O159" i="17" s="1"/>
  <c r="AD160" i="17"/>
  <c r="O160" i="17" s="1"/>
  <c r="AD161" i="17"/>
  <c r="O161" i="17" s="1"/>
  <c r="AD162" i="17"/>
  <c r="O162" i="17" s="1"/>
  <c r="AD163" i="17"/>
  <c r="O163" i="17" s="1"/>
  <c r="AD164" i="17"/>
  <c r="O164" i="17" s="1"/>
  <c r="AD165" i="17"/>
  <c r="O165" i="17" s="1"/>
  <c r="AD166" i="17"/>
  <c r="O166" i="17" s="1"/>
  <c r="AD167" i="17"/>
  <c r="O167" i="17" s="1"/>
  <c r="AD168" i="17"/>
  <c r="O168" i="17" s="1"/>
  <c r="AD169" i="17"/>
  <c r="O169" i="17" s="1"/>
  <c r="AD170" i="17"/>
  <c r="O170" i="17" s="1"/>
  <c r="AD171" i="17"/>
  <c r="O171" i="17" s="1"/>
  <c r="AD172" i="17"/>
  <c r="O172" i="17" s="1"/>
  <c r="AD173" i="17"/>
  <c r="O173" i="17" s="1"/>
  <c r="AD174" i="17"/>
  <c r="O174" i="17" s="1"/>
  <c r="AD175" i="17"/>
  <c r="O175" i="17" s="1"/>
  <c r="AD176" i="17"/>
  <c r="O176" i="17" s="1"/>
  <c r="AD177" i="17"/>
  <c r="O177" i="17" s="1"/>
  <c r="AD178" i="17"/>
  <c r="O178" i="17" s="1"/>
  <c r="AD179" i="17"/>
  <c r="O179" i="17" s="1"/>
  <c r="AD180" i="17"/>
  <c r="O180" i="17" s="1"/>
  <c r="AD181" i="17"/>
  <c r="O181" i="17" s="1"/>
  <c r="AD182" i="17"/>
  <c r="O182" i="17" s="1"/>
  <c r="AD183" i="17"/>
  <c r="O183" i="17" s="1"/>
  <c r="AD184" i="17"/>
  <c r="O184" i="17" s="1"/>
  <c r="AD185" i="17"/>
  <c r="O185" i="17" s="1"/>
  <c r="AD186" i="17"/>
  <c r="O186" i="17" s="1"/>
  <c r="AD187" i="17"/>
  <c r="O187" i="17" s="1"/>
  <c r="AD188" i="17"/>
  <c r="O188" i="17" s="1"/>
  <c r="AD189" i="17"/>
  <c r="O189" i="17" s="1"/>
  <c r="AD190" i="17"/>
  <c r="O190" i="17" s="1"/>
  <c r="AD191" i="17"/>
  <c r="O191" i="17" s="1"/>
  <c r="AD192" i="17"/>
  <c r="O192" i="17" s="1"/>
  <c r="AD193" i="17"/>
  <c r="O193" i="17" s="1"/>
  <c r="AD194" i="17"/>
  <c r="O194" i="17" s="1"/>
  <c r="AD195" i="17"/>
  <c r="O195" i="17" s="1"/>
  <c r="AD196" i="17"/>
  <c r="O196" i="17" s="1"/>
  <c r="AD197" i="17"/>
  <c r="O197" i="17" s="1"/>
  <c r="AD198" i="17"/>
  <c r="O198" i="17" s="1"/>
  <c r="AD199" i="17"/>
  <c r="O199" i="17" s="1"/>
  <c r="AD200" i="17"/>
  <c r="O200" i="17" s="1"/>
  <c r="AD201" i="17"/>
  <c r="O201" i="17" s="1"/>
  <c r="AD202" i="17"/>
  <c r="O202" i="17" s="1"/>
  <c r="AD203" i="17"/>
  <c r="O203" i="17" s="1"/>
  <c r="AD204" i="17"/>
  <c r="O204" i="17" s="1"/>
  <c r="AD205" i="17"/>
  <c r="O205" i="17" s="1"/>
  <c r="AD206" i="17"/>
  <c r="O206" i="17" s="1"/>
  <c r="AD207" i="17"/>
  <c r="O207" i="17" s="1"/>
  <c r="AD208" i="17"/>
  <c r="O208" i="17" s="1"/>
  <c r="AD209" i="17"/>
  <c r="O209" i="17" s="1"/>
  <c r="AD210" i="17"/>
  <c r="O210" i="17" s="1"/>
  <c r="AD211" i="17"/>
  <c r="O211" i="17" s="1"/>
  <c r="AD212" i="17"/>
  <c r="O212" i="17" s="1"/>
  <c r="AD213" i="17"/>
  <c r="O213" i="17" s="1"/>
  <c r="AD214" i="17"/>
  <c r="O214" i="17" s="1"/>
  <c r="AD215" i="17"/>
  <c r="O215" i="17" s="1"/>
  <c r="AD216" i="17"/>
  <c r="O216" i="17" s="1"/>
  <c r="AD217" i="17"/>
  <c r="O217" i="17" s="1"/>
  <c r="AD218" i="17"/>
  <c r="O218" i="17" s="1"/>
  <c r="AD219" i="17"/>
  <c r="O219" i="17" s="1"/>
  <c r="AD220" i="17"/>
  <c r="O220" i="17" s="1"/>
  <c r="AD221" i="17"/>
  <c r="O221" i="17" s="1"/>
  <c r="AD222" i="17"/>
  <c r="O222" i="17" s="1"/>
  <c r="AD223" i="17"/>
  <c r="O223" i="17" s="1"/>
  <c r="AD224" i="17"/>
  <c r="O224" i="17" s="1"/>
  <c r="AD225" i="17"/>
  <c r="O225" i="17" s="1"/>
  <c r="AD226" i="17"/>
  <c r="O226" i="17" s="1"/>
  <c r="AD227" i="17"/>
  <c r="O227" i="17" s="1"/>
  <c r="AD228" i="17"/>
  <c r="O228" i="17" s="1"/>
  <c r="AD229" i="17"/>
  <c r="O229" i="17" s="1"/>
  <c r="AD230" i="17"/>
  <c r="O230" i="17" s="1"/>
  <c r="AD231" i="17"/>
  <c r="O231" i="17" s="1"/>
  <c r="AD232" i="17"/>
  <c r="O232" i="17" s="1"/>
  <c r="AD233" i="17"/>
  <c r="O233" i="17" s="1"/>
  <c r="AD234" i="17"/>
  <c r="O234" i="17" s="1"/>
  <c r="AD235" i="17"/>
  <c r="O235" i="17" s="1"/>
  <c r="AD236" i="17"/>
  <c r="O236" i="17" s="1"/>
  <c r="AD237" i="17"/>
  <c r="O237" i="17" s="1"/>
  <c r="AD238" i="17"/>
  <c r="O238" i="17" s="1"/>
  <c r="AD239" i="17"/>
  <c r="O239" i="17" s="1"/>
  <c r="AD240" i="17"/>
  <c r="O240" i="17" s="1"/>
  <c r="AD241" i="17"/>
  <c r="O241" i="17" s="1"/>
  <c r="AD242" i="17"/>
  <c r="O242" i="17" s="1"/>
  <c r="AD243" i="17"/>
  <c r="O243" i="17" s="1"/>
  <c r="AD244" i="17"/>
  <c r="O244" i="17" s="1"/>
  <c r="AD245" i="17"/>
  <c r="O245" i="17" s="1"/>
  <c r="AD246" i="17"/>
  <c r="O246" i="17" s="1"/>
  <c r="AD247" i="17"/>
  <c r="O247" i="17" s="1"/>
  <c r="AD248" i="17"/>
  <c r="O248" i="17" s="1"/>
  <c r="AD249" i="17"/>
  <c r="O249" i="17" s="1"/>
  <c r="AD250" i="17"/>
  <c r="O250" i="17" s="1"/>
  <c r="AD251" i="17"/>
  <c r="O251" i="17" s="1"/>
  <c r="AD252" i="17"/>
  <c r="O252" i="17" s="1"/>
  <c r="AD253" i="17"/>
  <c r="O253" i="17" s="1"/>
  <c r="AD254" i="17"/>
  <c r="O254" i="17" s="1"/>
  <c r="AD255" i="17"/>
  <c r="O255" i="17" s="1"/>
  <c r="AD256" i="17"/>
  <c r="O256" i="17" s="1"/>
  <c r="AD257" i="17"/>
  <c r="O257" i="17" s="1"/>
  <c r="AD258" i="17"/>
  <c r="O258" i="17" s="1"/>
  <c r="AD259" i="17"/>
  <c r="O259" i="17" s="1"/>
  <c r="AD260" i="17"/>
  <c r="O260" i="17" s="1"/>
  <c r="AD261" i="17"/>
  <c r="O261" i="17" s="1"/>
  <c r="AD262" i="17"/>
  <c r="O262" i="17" s="1"/>
  <c r="AD263" i="17"/>
  <c r="O263" i="17" s="1"/>
  <c r="AD264" i="17"/>
  <c r="O264" i="17" s="1"/>
  <c r="AD265" i="17"/>
  <c r="O265" i="17" s="1"/>
  <c r="AD266" i="17"/>
  <c r="O266" i="17" s="1"/>
  <c r="AD267" i="17"/>
  <c r="O267" i="17" s="1"/>
  <c r="AD268" i="17"/>
  <c r="O268" i="17" s="1"/>
  <c r="AD269" i="17"/>
  <c r="O269" i="17" s="1"/>
  <c r="AD270" i="17"/>
  <c r="O270" i="17" s="1"/>
  <c r="AD271" i="17"/>
  <c r="O271" i="17" s="1"/>
  <c r="AD272" i="17"/>
  <c r="O272" i="17" s="1"/>
  <c r="AD273" i="17"/>
  <c r="O273" i="17" s="1"/>
  <c r="AD274" i="17"/>
  <c r="O274" i="17" s="1"/>
  <c r="AD275" i="17"/>
  <c r="O275" i="17" s="1"/>
  <c r="AD276" i="17"/>
  <c r="O276" i="17" s="1"/>
  <c r="AD277" i="17"/>
  <c r="O277" i="17" s="1"/>
  <c r="AD278" i="17"/>
  <c r="O278" i="17" s="1"/>
  <c r="AD279" i="17"/>
  <c r="O279" i="17" s="1"/>
  <c r="AD280" i="17"/>
  <c r="O280" i="17" s="1"/>
  <c r="AD281" i="17"/>
  <c r="O281" i="17" s="1"/>
  <c r="AD282" i="17"/>
  <c r="O282" i="17" s="1"/>
  <c r="AD283" i="17"/>
  <c r="O283" i="17" s="1"/>
  <c r="AD284" i="17"/>
  <c r="O284" i="17" s="1"/>
  <c r="AD285" i="17"/>
  <c r="O285" i="17" s="1"/>
  <c r="AD286" i="17"/>
  <c r="O286" i="17" s="1"/>
  <c r="AD287" i="17"/>
  <c r="O287" i="17" s="1"/>
  <c r="AD288" i="17"/>
  <c r="O288" i="17" s="1"/>
  <c r="AD289" i="17"/>
  <c r="O289" i="17" s="1"/>
  <c r="AD290" i="17"/>
  <c r="O290" i="17" s="1"/>
  <c r="AD291" i="17"/>
  <c r="O291" i="17" s="1"/>
  <c r="AD292" i="17"/>
  <c r="O292" i="17" s="1"/>
  <c r="AD293" i="17"/>
  <c r="O293" i="17" s="1"/>
  <c r="AD294" i="17"/>
  <c r="O294" i="17" s="1"/>
  <c r="AD295" i="17"/>
  <c r="O295" i="17" s="1"/>
  <c r="AD296" i="17"/>
  <c r="O296" i="17" s="1"/>
  <c r="AD297" i="17"/>
  <c r="O297" i="17" s="1"/>
  <c r="AD298" i="17"/>
  <c r="O298" i="17" s="1"/>
  <c r="AD299" i="17"/>
  <c r="O299" i="17" s="1"/>
  <c r="AD300" i="17"/>
  <c r="O300" i="17" s="1"/>
  <c r="AD301" i="17"/>
  <c r="O301" i="17" s="1"/>
  <c r="AD302" i="17"/>
  <c r="O302" i="17" s="1"/>
  <c r="AD303" i="17"/>
  <c r="O303" i="17" s="1"/>
  <c r="AD304" i="17"/>
  <c r="O304" i="17" s="1"/>
  <c r="AD305" i="17"/>
  <c r="O305" i="17" s="1"/>
  <c r="AD306" i="17"/>
  <c r="O306" i="17" s="1"/>
  <c r="AD307" i="17"/>
  <c r="O307" i="17" s="1"/>
  <c r="AD308" i="17"/>
  <c r="O308" i="17" s="1"/>
  <c r="AD309" i="17"/>
  <c r="O309" i="17" s="1"/>
  <c r="AD310" i="17"/>
  <c r="O310" i="17" s="1"/>
  <c r="AD311" i="17"/>
  <c r="O311" i="17" s="1"/>
  <c r="AD312" i="17"/>
  <c r="O312" i="17" s="1"/>
  <c r="AD313" i="17"/>
  <c r="O313" i="17" s="1"/>
  <c r="AD314" i="17"/>
  <c r="O314" i="17" s="1"/>
  <c r="AD315" i="17"/>
  <c r="O315" i="17" s="1"/>
  <c r="AD316" i="17"/>
  <c r="O316" i="17" s="1"/>
  <c r="AD317" i="17"/>
  <c r="O317" i="17" s="1"/>
  <c r="AD318" i="17"/>
  <c r="O318" i="17" s="1"/>
  <c r="AD319" i="17"/>
  <c r="O319" i="17" s="1"/>
  <c r="AD320" i="17"/>
  <c r="O320" i="17" s="1"/>
  <c r="AD321" i="17"/>
  <c r="O321" i="17" s="1"/>
  <c r="AD322" i="17"/>
  <c r="O322" i="17" s="1"/>
  <c r="AD323" i="17"/>
  <c r="O323" i="17" s="1"/>
  <c r="AD324" i="17"/>
  <c r="O324" i="17" s="1"/>
  <c r="AD325" i="17"/>
  <c r="O325" i="17" s="1"/>
  <c r="AD326" i="17"/>
  <c r="O326" i="17" s="1"/>
  <c r="AD327" i="17"/>
  <c r="O327" i="17" s="1"/>
  <c r="AD328" i="17"/>
  <c r="O328" i="17" s="1"/>
  <c r="AD329" i="17"/>
  <c r="O329" i="17" s="1"/>
  <c r="AD330" i="17"/>
  <c r="O330" i="17" s="1"/>
  <c r="AD331" i="17"/>
  <c r="O331" i="17" s="1"/>
  <c r="AD332" i="17"/>
  <c r="O332" i="17" s="1"/>
  <c r="AD333" i="17"/>
  <c r="O333" i="17" s="1"/>
  <c r="AD334" i="17"/>
  <c r="O334" i="17" s="1"/>
  <c r="AD335" i="17"/>
  <c r="O335" i="17" s="1"/>
  <c r="AD336" i="17"/>
  <c r="O336" i="17" s="1"/>
  <c r="AD337" i="17"/>
  <c r="O337" i="17" s="1"/>
  <c r="AD338" i="17"/>
  <c r="O338" i="17" s="1"/>
  <c r="AD339" i="17"/>
  <c r="O339" i="17" s="1"/>
  <c r="AD340" i="17"/>
  <c r="O340" i="17" s="1"/>
  <c r="AD341" i="17"/>
  <c r="O341" i="17" s="1"/>
  <c r="AD342" i="17"/>
  <c r="O342" i="17" s="1"/>
  <c r="AD343" i="17"/>
  <c r="O343" i="17" s="1"/>
  <c r="AD344" i="17"/>
  <c r="O344" i="17" s="1"/>
  <c r="AD345" i="17"/>
  <c r="O345" i="17" s="1"/>
  <c r="AD346" i="17"/>
  <c r="O346" i="17" s="1"/>
  <c r="AD347" i="17"/>
  <c r="O347" i="17" s="1"/>
  <c r="AD348" i="17"/>
  <c r="O348" i="17" s="1"/>
  <c r="AD349" i="17"/>
  <c r="O349" i="17" s="1"/>
  <c r="AD350" i="17"/>
  <c r="O350" i="17" s="1"/>
  <c r="AD351" i="17"/>
  <c r="O351" i="17" s="1"/>
  <c r="AD352" i="17"/>
  <c r="O352" i="17" s="1"/>
  <c r="AD353" i="17"/>
  <c r="O353" i="17" s="1"/>
  <c r="AD354" i="17"/>
  <c r="O354" i="17" s="1"/>
  <c r="AD355" i="17"/>
  <c r="O355" i="17" s="1"/>
  <c r="AD356" i="17"/>
  <c r="O356" i="17" s="1"/>
  <c r="AD357" i="17"/>
  <c r="O357" i="17" s="1"/>
  <c r="AD358" i="17"/>
  <c r="O358" i="17" s="1"/>
  <c r="AD359" i="17"/>
  <c r="O359" i="17" s="1"/>
  <c r="AD360" i="17"/>
  <c r="O360" i="17" s="1"/>
  <c r="AD361" i="17"/>
  <c r="O361" i="17" s="1"/>
  <c r="AD362" i="17"/>
  <c r="O362" i="17" s="1"/>
  <c r="AD363" i="17"/>
  <c r="O363" i="17" s="1"/>
  <c r="AD364" i="17"/>
  <c r="O364" i="17" s="1"/>
  <c r="AD365" i="17"/>
  <c r="O365" i="17" s="1"/>
  <c r="AD366" i="17"/>
  <c r="O366" i="17" s="1"/>
  <c r="AD367" i="17"/>
  <c r="O367" i="17" s="1"/>
  <c r="AD368" i="17"/>
  <c r="O368" i="17" s="1"/>
  <c r="AD369" i="17"/>
  <c r="O369" i="17" s="1"/>
  <c r="AD370" i="17"/>
  <c r="O370" i="17" s="1"/>
  <c r="AD371" i="17"/>
  <c r="O371" i="17" s="1"/>
  <c r="AD372" i="17"/>
  <c r="O372" i="17" s="1"/>
  <c r="AD373" i="17"/>
  <c r="O373" i="17" s="1"/>
  <c r="AD374" i="17"/>
  <c r="O374" i="17" s="1"/>
  <c r="AD375" i="17"/>
  <c r="O375" i="17" s="1"/>
  <c r="AD376" i="17"/>
  <c r="O376" i="17" s="1"/>
  <c r="AD377" i="17"/>
  <c r="O377" i="17" s="1"/>
  <c r="AD378" i="17"/>
  <c r="O378" i="17" s="1"/>
  <c r="AD379" i="17"/>
  <c r="O379" i="17" s="1"/>
  <c r="AD380" i="17"/>
  <c r="O380" i="17" s="1"/>
  <c r="AD381" i="17"/>
  <c r="O381" i="17" s="1"/>
  <c r="AD382" i="17"/>
  <c r="O382" i="17" s="1"/>
  <c r="AD383" i="17"/>
  <c r="O383" i="17" s="1"/>
  <c r="AD384" i="17"/>
  <c r="O384" i="17" s="1"/>
  <c r="AD385" i="17"/>
  <c r="O385" i="17" s="1"/>
  <c r="AD386" i="17"/>
  <c r="O386" i="17" s="1"/>
  <c r="AD387" i="17"/>
  <c r="O387" i="17" s="1"/>
  <c r="AD388" i="17"/>
  <c r="O388" i="17" s="1"/>
  <c r="AD389" i="17"/>
  <c r="O389" i="17" s="1"/>
  <c r="AD390" i="17"/>
  <c r="O390" i="17" s="1"/>
  <c r="AD391" i="17"/>
  <c r="O391" i="17" s="1"/>
  <c r="AD392" i="17"/>
  <c r="O392" i="17" s="1"/>
  <c r="AD393" i="17"/>
  <c r="O393" i="17" s="1"/>
  <c r="AD394" i="17"/>
  <c r="O394" i="17" s="1"/>
  <c r="AD395" i="17"/>
  <c r="O395" i="17" s="1"/>
  <c r="AD396" i="17"/>
  <c r="O396" i="17" s="1"/>
  <c r="AD397" i="17"/>
  <c r="O397" i="17" s="1"/>
  <c r="AD398" i="17"/>
  <c r="O398" i="17" s="1"/>
  <c r="AD399" i="17"/>
  <c r="O399" i="17" s="1"/>
  <c r="AD400" i="17"/>
  <c r="O400" i="17" s="1"/>
  <c r="AD401" i="17"/>
  <c r="O401" i="17" s="1"/>
  <c r="AD402" i="17"/>
  <c r="O402" i="17" s="1"/>
  <c r="AD403" i="17"/>
  <c r="O403" i="17" s="1"/>
  <c r="AD404" i="17"/>
  <c r="O404" i="17" s="1"/>
  <c r="AD405" i="17"/>
  <c r="O405" i="17" s="1"/>
  <c r="AD406" i="17"/>
  <c r="O406" i="17" s="1"/>
  <c r="AD407" i="17"/>
  <c r="O407" i="17" s="1"/>
  <c r="AD408" i="17"/>
  <c r="O408" i="17" s="1"/>
  <c r="AD409" i="17"/>
  <c r="O409" i="17" s="1"/>
  <c r="AD410" i="17"/>
  <c r="O410" i="17" s="1"/>
  <c r="AD411" i="17"/>
  <c r="O411" i="17" s="1"/>
  <c r="AD412" i="17"/>
  <c r="O412" i="17" s="1"/>
  <c r="AD413" i="17"/>
  <c r="O413" i="17" s="1"/>
  <c r="AD414" i="17"/>
  <c r="O414" i="17" s="1"/>
  <c r="AD415" i="17"/>
  <c r="O415" i="17" s="1"/>
  <c r="AD416" i="17"/>
  <c r="O416" i="17" s="1"/>
  <c r="AD417" i="17"/>
  <c r="O417" i="17" s="1"/>
  <c r="AD418" i="17"/>
  <c r="O418" i="17" s="1"/>
  <c r="AD419" i="17"/>
  <c r="O419" i="17" s="1"/>
  <c r="AD420" i="17"/>
  <c r="O420" i="17" s="1"/>
  <c r="AD421" i="17"/>
  <c r="O421" i="17" s="1"/>
  <c r="AD422" i="17"/>
  <c r="O422" i="17" s="1"/>
  <c r="AD423" i="17"/>
  <c r="O423" i="17" s="1"/>
  <c r="AD424" i="17"/>
  <c r="O424" i="17" s="1"/>
  <c r="AD425" i="17"/>
  <c r="O425" i="17" s="1"/>
  <c r="AD426" i="17"/>
  <c r="O426" i="17" s="1"/>
  <c r="AD427" i="17"/>
  <c r="O427" i="17" s="1"/>
  <c r="AD428" i="17"/>
  <c r="O428" i="17" s="1"/>
  <c r="AD429" i="17"/>
  <c r="O429" i="17" s="1"/>
  <c r="AD430" i="17"/>
  <c r="O430" i="17" s="1"/>
  <c r="AD431" i="17"/>
  <c r="O431" i="17" s="1"/>
  <c r="AD432" i="17"/>
  <c r="O432" i="17" s="1"/>
  <c r="AD433" i="17"/>
  <c r="O433" i="17" s="1"/>
  <c r="AD434" i="17"/>
  <c r="O434" i="17" s="1"/>
  <c r="AD435" i="17"/>
  <c r="O435" i="17" s="1"/>
  <c r="AD436" i="17"/>
  <c r="O436" i="17" s="1"/>
  <c r="AD437" i="17"/>
  <c r="O437" i="17" s="1"/>
  <c r="AD438" i="17"/>
  <c r="O438" i="17" s="1"/>
  <c r="AD439" i="17"/>
  <c r="O439" i="17" s="1"/>
  <c r="AD440" i="17"/>
  <c r="O440" i="17" s="1"/>
  <c r="AD441" i="17"/>
  <c r="O441" i="17" s="1"/>
  <c r="AD442" i="17"/>
  <c r="O442" i="17" s="1"/>
  <c r="AD443" i="17"/>
  <c r="O443" i="17" s="1"/>
  <c r="AD444" i="17"/>
  <c r="O444" i="17" s="1"/>
  <c r="AD445" i="17"/>
  <c r="O445" i="17" s="1"/>
  <c r="AD446" i="17"/>
  <c r="O446" i="17" s="1"/>
  <c r="AD447" i="17"/>
  <c r="O447" i="17" s="1"/>
  <c r="AD448" i="17"/>
  <c r="O448" i="17" s="1"/>
  <c r="AD449" i="17"/>
  <c r="O449" i="17" s="1"/>
  <c r="AD450" i="17"/>
  <c r="O450" i="17" s="1"/>
  <c r="AD451" i="17"/>
  <c r="O451" i="17" s="1"/>
  <c r="AD452" i="17"/>
  <c r="O452" i="17" s="1"/>
  <c r="AD453" i="17"/>
  <c r="O453" i="17" s="1"/>
  <c r="AD454" i="17"/>
  <c r="O454" i="17" s="1"/>
  <c r="AD455" i="17"/>
  <c r="O455" i="17" s="1"/>
  <c r="AD456" i="17"/>
  <c r="O456" i="17" s="1"/>
  <c r="AD457" i="17"/>
  <c r="O457" i="17" s="1"/>
  <c r="AD458" i="17"/>
  <c r="O458" i="17" s="1"/>
  <c r="AD459" i="17"/>
  <c r="O459" i="17" s="1"/>
  <c r="AD460" i="17"/>
  <c r="O460" i="17" s="1"/>
  <c r="AD461" i="17"/>
  <c r="O461" i="17" s="1"/>
  <c r="AD462" i="17"/>
  <c r="O462" i="17" s="1"/>
  <c r="AD463" i="17"/>
  <c r="O463" i="17" s="1"/>
  <c r="AD464" i="17"/>
  <c r="O464" i="17" s="1"/>
  <c r="AD465" i="17"/>
  <c r="O465" i="17" s="1"/>
  <c r="AD466" i="17"/>
  <c r="O466" i="17" s="1"/>
  <c r="AD467" i="17"/>
  <c r="O467" i="17" s="1"/>
  <c r="AD468" i="17"/>
  <c r="O468" i="17" s="1"/>
  <c r="AD469" i="17"/>
  <c r="O469" i="17" s="1"/>
  <c r="AD470" i="17"/>
  <c r="O470" i="17" s="1"/>
  <c r="AD471" i="17"/>
  <c r="O471" i="17" s="1"/>
  <c r="AD472" i="17"/>
  <c r="O472" i="17" s="1"/>
  <c r="AD473" i="17"/>
  <c r="O473" i="17" s="1"/>
  <c r="AD474" i="17"/>
  <c r="O474" i="17" s="1"/>
  <c r="AD475" i="17"/>
  <c r="O475" i="17" s="1"/>
  <c r="AD476" i="17"/>
  <c r="O476" i="17" s="1"/>
  <c r="AD477" i="17"/>
  <c r="O477" i="17" s="1"/>
  <c r="AD478" i="17"/>
  <c r="O478" i="17" s="1"/>
  <c r="AD479" i="17"/>
  <c r="O479" i="17" s="1"/>
  <c r="AD480" i="17"/>
  <c r="O480" i="17" s="1"/>
  <c r="AD481" i="17"/>
  <c r="O481" i="17" s="1"/>
  <c r="AD482" i="17"/>
  <c r="O482" i="17" s="1"/>
  <c r="AD483" i="17"/>
  <c r="O483" i="17" s="1"/>
  <c r="AD484" i="17"/>
  <c r="O484" i="17" s="1"/>
  <c r="AD485" i="17"/>
  <c r="O485" i="17" s="1"/>
  <c r="AD486" i="17"/>
  <c r="O486" i="17" s="1"/>
  <c r="AD487" i="17"/>
  <c r="O487" i="17" s="1"/>
  <c r="AD488" i="17"/>
  <c r="O488" i="17" s="1"/>
  <c r="AD489" i="17"/>
  <c r="O489" i="17" s="1"/>
  <c r="AD490" i="17"/>
  <c r="O490" i="17" s="1"/>
  <c r="AD491" i="17"/>
  <c r="O491" i="17" s="1"/>
  <c r="AD492" i="17"/>
  <c r="O492" i="17" s="1"/>
  <c r="AD493" i="17"/>
  <c r="O493" i="17" s="1"/>
  <c r="AD494" i="17"/>
  <c r="O494" i="17" s="1"/>
  <c r="AD495" i="17"/>
  <c r="O495" i="17" s="1"/>
  <c r="AD496" i="17"/>
  <c r="O496" i="17" s="1"/>
  <c r="AD497" i="17"/>
  <c r="O497" i="17" s="1"/>
  <c r="AD498" i="17"/>
  <c r="O498" i="17" s="1"/>
  <c r="AD499" i="17"/>
  <c r="O499" i="17" s="1"/>
  <c r="AD500" i="17"/>
  <c r="O500" i="17" s="1"/>
  <c r="AD501" i="17"/>
  <c r="O501" i="17" s="1"/>
  <c r="AD502" i="17"/>
  <c r="O502" i="17" s="1"/>
  <c r="AD503" i="17"/>
  <c r="O503" i="17" s="1"/>
  <c r="AD504" i="17"/>
  <c r="O504" i="17" s="1"/>
  <c r="AD505" i="17"/>
  <c r="O505" i="17" s="1"/>
  <c r="AD506" i="17"/>
  <c r="O506" i="17" s="1"/>
  <c r="AD507" i="17"/>
  <c r="O507" i="17" s="1"/>
  <c r="AD508" i="17"/>
  <c r="O508" i="17" s="1"/>
  <c r="AD509" i="17"/>
  <c r="O509" i="17" s="1"/>
  <c r="AD510" i="17"/>
  <c r="O510" i="17" s="1"/>
  <c r="AD511" i="17"/>
  <c r="O511" i="17" s="1"/>
  <c r="AD512" i="17"/>
  <c r="O512" i="17" s="1"/>
  <c r="AD513" i="17"/>
  <c r="O513" i="17" s="1"/>
  <c r="AD514" i="17"/>
  <c r="O514" i="17" s="1"/>
  <c r="AD515" i="17"/>
  <c r="O515" i="17" s="1"/>
  <c r="AD516" i="17"/>
  <c r="O516" i="17" s="1"/>
  <c r="AD517" i="17"/>
  <c r="O517" i="17" s="1"/>
  <c r="AD518" i="17"/>
  <c r="O518" i="17" s="1"/>
  <c r="AD519" i="17"/>
  <c r="O519" i="17" s="1"/>
  <c r="AD520" i="17"/>
  <c r="O520" i="17" s="1"/>
  <c r="AD521" i="17"/>
  <c r="O521" i="17" s="1"/>
  <c r="AD522" i="17"/>
  <c r="O522" i="17" s="1"/>
  <c r="AD523" i="17"/>
  <c r="O523" i="17" s="1"/>
  <c r="AD524" i="17"/>
  <c r="O524" i="17" s="1"/>
  <c r="AD525" i="17"/>
  <c r="O525" i="17" s="1"/>
  <c r="AD526" i="17"/>
  <c r="O526" i="17" s="1"/>
  <c r="AD527" i="17"/>
  <c r="O527" i="17" s="1"/>
  <c r="AD528" i="17"/>
  <c r="O528" i="17" s="1"/>
  <c r="AD529" i="17"/>
  <c r="O529" i="17" s="1"/>
  <c r="AD530" i="17"/>
  <c r="O530" i="17" s="1"/>
  <c r="AD531" i="17"/>
  <c r="O531" i="17" s="1"/>
  <c r="AD532" i="17"/>
  <c r="O532" i="17" s="1"/>
  <c r="AD533" i="17"/>
  <c r="O533" i="17" s="1"/>
  <c r="AD534" i="17"/>
  <c r="O534" i="17" s="1"/>
  <c r="AD535" i="17"/>
  <c r="O535" i="17" s="1"/>
  <c r="AD536" i="17"/>
  <c r="O536" i="17" s="1"/>
  <c r="AD537" i="17"/>
  <c r="O537" i="17" s="1"/>
  <c r="AD538" i="17"/>
  <c r="O538" i="17" s="1"/>
  <c r="AD539" i="17"/>
  <c r="O539" i="17" s="1"/>
  <c r="AD540" i="17"/>
  <c r="O540" i="17" s="1"/>
  <c r="AD541" i="17"/>
  <c r="O541" i="17" s="1"/>
  <c r="AD542" i="17"/>
  <c r="O542" i="17" s="1"/>
  <c r="AD543" i="17"/>
  <c r="O543" i="17" s="1"/>
  <c r="AD544" i="17"/>
  <c r="O544" i="17" s="1"/>
  <c r="AD545" i="17"/>
  <c r="O545" i="17" s="1"/>
  <c r="AD546" i="17"/>
  <c r="O546" i="17" s="1"/>
  <c r="AD547" i="17"/>
  <c r="O547" i="17" s="1"/>
  <c r="AD548" i="17"/>
  <c r="O548" i="17" s="1"/>
  <c r="AD549" i="17"/>
  <c r="O549" i="17" s="1"/>
  <c r="AD550" i="17"/>
  <c r="O550" i="17" s="1"/>
  <c r="AD551" i="17"/>
  <c r="O551" i="17" s="1"/>
  <c r="AD552" i="17"/>
  <c r="O552" i="17" s="1"/>
  <c r="AD553" i="17"/>
  <c r="O553" i="17" s="1"/>
  <c r="AD554" i="17"/>
  <c r="O554" i="17" s="1"/>
  <c r="AD555" i="17"/>
  <c r="O555" i="17" s="1"/>
  <c r="AD556" i="17"/>
  <c r="O556" i="17" s="1"/>
  <c r="AD557" i="17"/>
  <c r="O557" i="17" s="1"/>
  <c r="AD558" i="17"/>
  <c r="O558" i="17" s="1"/>
  <c r="AD559" i="17"/>
  <c r="O559" i="17" s="1"/>
  <c r="AD560" i="17"/>
  <c r="O560" i="17" s="1"/>
  <c r="AD561" i="17"/>
  <c r="O561" i="17" s="1"/>
  <c r="AD562" i="17"/>
  <c r="O562" i="17" s="1"/>
  <c r="AD563" i="17"/>
  <c r="O563" i="17" s="1"/>
  <c r="AD564" i="17"/>
  <c r="O564" i="17" s="1"/>
  <c r="AD565" i="17"/>
  <c r="O565" i="17" s="1"/>
  <c r="AD566" i="17"/>
  <c r="O566" i="17" s="1"/>
  <c r="AD567" i="17"/>
  <c r="O567" i="17" s="1"/>
  <c r="AD568" i="17"/>
  <c r="O568" i="17" s="1"/>
  <c r="AD569" i="17"/>
  <c r="O569" i="17" s="1"/>
  <c r="AD570" i="17"/>
  <c r="O570" i="17" s="1"/>
  <c r="AD571" i="17"/>
  <c r="O571" i="17" s="1"/>
  <c r="AD572" i="17"/>
  <c r="O572" i="17" s="1"/>
  <c r="AD573" i="17"/>
  <c r="O573" i="17" s="1"/>
  <c r="AD574" i="17"/>
  <c r="O574" i="17" s="1"/>
  <c r="AD575" i="17"/>
  <c r="O575" i="17" s="1"/>
  <c r="AD576" i="17"/>
  <c r="O576" i="17" s="1"/>
  <c r="AD577" i="17"/>
  <c r="O577" i="17" s="1"/>
  <c r="AD578" i="17"/>
  <c r="O578" i="17" s="1"/>
  <c r="AD579" i="17"/>
  <c r="O579" i="17" s="1"/>
  <c r="AD580" i="17"/>
  <c r="O580" i="17" s="1"/>
  <c r="AD581" i="17"/>
  <c r="O581" i="17" s="1"/>
  <c r="AD582" i="17"/>
  <c r="O582" i="17" s="1"/>
  <c r="AD583" i="17"/>
  <c r="O583" i="17" s="1"/>
  <c r="AD584" i="17"/>
  <c r="O584" i="17" s="1"/>
  <c r="AD585" i="17"/>
  <c r="O585" i="17" s="1"/>
  <c r="AD586" i="17"/>
  <c r="O586" i="17" s="1"/>
  <c r="AD587" i="17"/>
  <c r="O587" i="17" s="1"/>
  <c r="AD588" i="17"/>
  <c r="O588" i="17" s="1"/>
  <c r="AD589" i="17"/>
  <c r="O589" i="17" s="1"/>
  <c r="AD590" i="17"/>
  <c r="O590" i="17" s="1"/>
  <c r="AD591" i="17"/>
  <c r="O591" i="17" s="1"/>
  <c r="AD592" i="17"/>
  <c r="O592" i="17" s="1"/>
  <c r="AD593" i="17"/>
  <c r="O593" i="17" s="1"/>
  <c r="AD594" i="17"/>
  <c r="O594" i="17" s="1"/>
  <c r="AD595" i="17"/>
  <c r="O595" i="17" s="1"/>
  <c r="AD596" i="17"/>
  <c r="O596" i="17" s="1"/>
  <c r="AD597" i="17"/>
  <c r="O597" i="17" s="1"/>
  <c r="AD598" i="17"/>
  <c r="O598" i="17" s="1"/>
  <c r="AD599" i="17"/>
  <c r="O599" i="17" s="1"/>
  <c r="AD600" i="17"/>
  <c r="O600" i="17" s="1"/>
  <c r="AD601" i="17"/>
  <c r="O601" i="17" s="1"/>
  <c r="AD602" i="17"/>
  <c r="O602" i="17" s="1"/>
  <c r="AD603" i="17"/>
  <c r="O603" i="17" s="1"/>
  <c r="AD604" i="17"/>
  <c r="O604" i="17" s="1"/>
  <c r="AD605" i="17"/>
  <c r="O605" i="17" s="1"/>
  <c r="AD606" i="17"/>
  <c r="O606" i="17" s="1"/>
  <c r="AD607" i="17"/>
  <c r="O607" i="17" s="1"/>
  <c r="AD608" i="17"/>
  <c r="O608" i="17" s="1"/>
  <c r="AD609" i="17"/>
  <c r="O609" i="17" s="1"/>
  <c r="AD610" i="17"/>
  <c r="O610" i="17" s="1"/>
  <c r="AD611" i="17"/>
  <c r="O611" i="17" s="1"/>
  <c r="AD612" i="17"/>
  <c r="O612" i="17" s="1"/>
  <c r="AD613" i="17"/>
  <c r="O613" i="17" s="1"/>
  <c r="AD614" i="17"/>
  <c r="O614" i="17" s="1"/>
  <c r="AD615" i="17"/>
  <c r="O615" i="17" s="1"/>
  <c r="AD616" i="17"/>
  <c r="O616" i="17" s="1"/>
  <c r="AD617" i="17"/>
  <c r="O617" i="17" s="1"/>
  <c r="AD618" i="17"/>
  <c r="O618" i="17" s="1"/>
  <c r="AD619" i="17"/>
  <c r="O619" i="17" s="1"/>
  <c r="AD620" i="17"/>
  <c r="O620" i="17" s="1"/>
  <c r="AD621" i="17"/>
  <c r="O621" i="17" s="1"/>
  <c r="AD622" i="17"/>
  <c r="O622" i="17" s="1"/>
  <c r="AD623" i="17"/>
  <c r="O623" i="17" s="1"/>
  <c r="AD624" i="17"/>
  <c r="O624" i="17" s="1"/>
  <c r="AD625" i="17"/>
  <c r="O625" i="17" s="1"/>
  <c r="AD626" i="17"/>
  <c r="O626" i="17" s="1"/>
  <c r="AD627" i="17"/>
  <c r="O627" i="17" s="1"/>
  <c r="AD628" i="17"/>
  <c r="O628" i="17" s="1"/>
  <c r="AD629" i="17"/>
  <c r="O629" i="17" s="1"/>
  <c r="AD630" i="17"/>
  <c r="O630" i="17" s="1"/>
  <c r="AD631" i="17"/>
  <c r="O631" i="17" s="1"/>
  <c r="AD632" i="17"/>
  <c r="O632" i="17" s="1"/>
  <c r="AD633" i="17"/>
  <c r="O633" i="17" s="1"/>
  <c r="AD634" i="17"/>
  <c r="O634" i="17" s="1"/>
  <c r="AD635" i="17"/>
  <c r="O635" i="17" s="1"/>
  <c r="AD636" i="17"/>
  <c r="O636" i="17" s="1"/>
  <c r="AD637" i="17"/>
  <c r="O637" i="17" s="1"/>
  <c r="AD638" i="17"/>
  <c r="O638" i="17" s="1"/>
  <c r="AD639" i="17"/>
  <c r="O639" i="17" s="1"/>
  <c r="AD640" i="17"/>
  <c r="O640" i="17" s="1"/>
  <c r="AD641" i="17"/>
  <c r="O641" i="17" s="1"/>
  <c r="AD642" i="17"/>
  <c r="O642" i="17" s="1"/>
  <c r="AD643" i="17"/>
  <c r="O643" i="17" s="1"/>
  <c r="AD644" i="17"/>
  <c r="O644" i="17" s="1"/>
  <c r="AD645" i="17"/>
  <c r="O645" i="17" s="1"/>
  <c r="AD646" i="17"/>
  <c r="O646" i="17" s="1"/>
  <c r="AD647" i="17"/>
  <c r="O647" i="17" s="1"/>
  <c r="AD648" i="17"/>
  <c r="O648" i="17" s="1"/>
  <c r="AD649" i="17"/>
  <c r="O649" i="17" s="1"/>
  <c r="AD650" i="17"/>
  <c r="O650" i="17" s="1"/>
  <c r="AD651" i="17"/>
  <c r="O651" i="17" s="1"/>
  <c r="AD652" i="17"/>
  <c r="O652" i="17" s="1"/>
  <c r="AD653" i="17"/>
  <c r="O653" i="17" s="1"/>
  <c r="AD654" i="17"/>
  <c r="O654" i="17" s="1"/>
  <c r="AD655" i="17"/>
  <c r="O655" i="17" s="1"/>
  <c r="AD656" i="17"/>
  <c r="O656" i="17" s="1"/>
  <c r="AD657" i="17"/>
  <c r="O657" i="17" s="1"/>
  <c r="AD658" i="17"/>
  <c r="O658" i="17" s="1"/>
  <c r="AD659" i="17"/>
  <c r="O659" i="17" s="1"/>
  <c r="AD660" i="17"/>
  <c r="O660" i="17" s="1"/>
  <c r="AD661" i="17"/>
  <c r="O661" i="17" s="1"/>
  <c r="AD662" i="17"/>
  <c r="O662" i="17" s="1"/>
  <c r="AD663" i="17"/>
  <c r="O663" i="17" s="1"/>
  <c r="AD664" i="17"/>
  <c r="O664" i="17" s="1"/>
  <c r="AD665" i="17"/>
  <c r="O665" i="17" s="1"/>
  <c r="AD666" i="17"/>
  <c r="O666" i="17" s="1"/>
  <c r="AD667" i="17"/>
  <c r="O667" i="17" s="1"/>
  <c r="AD668" i="17"/>
  <c r="O668" i="17" s="1"/>
  <c r="AD669" i="17"/>
  <c r="O669" i="17" s="1"/>
  <c r="AD670" i="17"/>
  <c r="O670" i="17" s="1"/>
  <c r="AD671" i="17"/>
  <c r="O671" i="17" s="1"/>
  <c r="AD672" i="17"/>
  <c r="O672" i="17" s="1"/>
  <c r="AD673" i="17"/>
  <c r="O673" i="17" s="1"/>
  <c r="AD674" i="17"/>
  <c r="O674" i="17" s="1"/>
  <c r="AD675" i="17"/>
  <c r="O675" i="17" s="1"/>
  <c r="AD676" i="17"/>
  <c r="O676" i="17" s="1"/>
  <c r="AD677" i="17"/>
  <c r="O677" i="17" s="1"/>
  <c r="AD678" i="17"/>
  <c r="O678" i="17" s="1"/>
  <c r="AD679" i="17"/>
  <c r="O679" i="17" s="1"/>
  <c r="AD680" i="17"/>
  <c r="O680" i="17" s="1"/>
  <c r="AD681" i="17"/>
  <c r="O681" i="17" s="1"/>
  <c r="AD682" i="17"/>
  <c r="O682" i="17" s="1"/>
  <c r="AD683" i="17"/>
  <c r="O683" i="17" s="1"/>
  <c r="AD684" i="17"/>
  <c r="O684" i="17" s="1"/>
  <c r="AD685" i="17"/>
  <c r="O685" i="17" s="1"/>
  <c r="AD686" i="17"/>
  <c r="O686" i="17" s="1"/>
  <c r="AD687" i="17"/>
  <c r="O687" i="17" s="1"/>
  <c r="AD688" i="17"/>
  <c r="O688" i="17" s="1"/>
  <c r="AD689" i="17"/>
  <c r="O689" i="17" s="1"/>
  <c r="AD690" i="17"/>
  <c r="O690" i="17" s="1"/>
  <c r="AD691" i="17"/>
  <c r="O691" i="17" s="1"/>
  <c r="AD692" i="17"/>
  <c r="O692" i="17" s="1"/>
  <c r="AD693" i="17"/>
  <c r="O693" i="17" s="1"/>
  <c r="AD694" i="17"/>
  <c r="O694" i="17" s="1"/>
  <c r="AD695" i="17"/>
  <c r="O695" i="17" s="1"/>
  <c r="AD696" i="17"/>
  <c r="O696" i="17" s="1"/>
  <c r="AD697" i="17"/>
  <c r="O697" i="17" s="1"/>
  <c r="AD698" i="17"/>
  <c r="O698" i="17" s="1"/>
  <c r="AD699" i="17"/>
  <c r="O699" i="17" s="1"/>
  <c r="AD700" i="17"/>
  <c r="O700" i="17" s="1"/>
  <c r="AD701" i="17"/>
  <c r="O701" i="17" s="1"/>
  <c r="AD702" i="17"/>
  <c r="O702" i="17" s="1"/>
  <c r="AD703" i="17"/>
  <c r="O703" i="17" s="1"/>
  <c r="AD704" i="17"/>
  <c r="O704" i="17" s="1"/>
  <c r="AD705" i="17"/>
  <c r="O705" i="17" s="1"/>
  <c r="AD706" i="17"/>
  <c r="O706" i="17" s="1"/>
  <c r="AD707" i="17"/>
  <c r="O707" i="17" s="1"/>
  <c r="AD708" i="17"/>
  <c r="O708" i="17" s="1"/>
  <c r="AD709" i="17"/>
  <c r="O709" i="17" s="1"/>
  <c r="AD710" i="17"/>
  <c r="O710" i="17" s="1"/>
  <c r="AD711" i="17"/>
  <c r="O711" i="17" s="1"/>
  <c r="AD712" i="17"/>
  <c r="O712" i="17" s="1"/>
  <c r="AD713" i="17"/>
  <c r="O713" i="17" s="1"/>
  <c r="AD714" i="17"/>
  <c r="O714" i="17" s="1"/>
  <c r="AD715" i="17"/>
  <c r="O715" i="17" s="1"/>
  <c r="AD716" i="17"/>
  <c r="O716" i="17" s="1"/>
  <c r="AD717" i="17"/>
  <c r="O717" i="17" s="1"/>
  <c r="AD718" i="17"/>
  <c r="O718" i="17" s="1"/>
  <c r="AD719" i="17"/>
  <c r="O719" i="17" s="1"/>
  <c r="AD720" i="17"/>
  <c r="O720" i="17" s="1"/>
  <c r="AD721" i="17"/>
  <c r="O721" i="17" s="1"/>
  <c r="AD722" i="17"/>
  <c r="O722" i="17" s="1"/>
  <c r="AD723" i="17"/>
  <c r="O723" i="17" s="1"/>
  <c r="AD724" i="17"/>
  <c r="O724" i="17" s="1"/>
  <c r="AD725" i="17"/>
  <c r="O725" i="17" s="1"/>
  <c r="AD726" i="17"/>
  <c r="O726" i="17" s="1"/>
  <c r="AD727" i="17"/>
  <c r="O727" i="17" s="1"/>
  <c r="AD728" i="17"/>
  <c r="O728" i="17" s="1"/>
  <c r="AD729" i="17"/>
  <c r="O729" i="17" s="1"/>
  <c r="AD730" i="17"/>
  <c r="O730" i="17" s="1"/>
  <c r="AD731" i="17"/>
  <c r="O731" i="17" s="1"/>
  <c r="AD732" i="17"/>
  <c r="O732" i="17" s="1"/>
  <c r="AD733" i="17"/>
  <c r="O733" i="17" s="1"/>
  <c r="AD734" i="17"/>
  <c r="O734" i="17" s="1"/>
  <c r="AD735" i="17"/>
  <c r="O735" i="17" s="1"/>
  <c r="AD736" i="17"/>
  <c r="O736" i="17" s="1"/>
  <c r="AD737" i="17"/>
  <c r="O737" i="17" s="1"/>
  <c r="AD738" i="17"/>
  <c r="O738" i="17" s="1"/>
  <c r="AD739" i="17"/>
  <c r="O739" i="17" s="1"/>
  <c r="AD740" i="17"/>
  <c r="O740" i="17" s="1"/>
  <c r="AD741" i="17"/>
  <c r="O741" i="17" s="1"/>
  <c r="AD742" i="17"/>
  <c r="O742" i="17" s="1"/>
  <c r="AD743" i="17"/>
  <c r="O743" i="17" s="1"/>
  <c r="AD744" i="17"/>
  <c r="O744" i="17" s="1"/>
  <c r="AD745" i="17"/>
  <c r="O745" i="17" s="1"/>
  <c r="AD746" i="17"/>
  <c r="O746" i="17" s="1"/>
  <c r="AD747" i="17"/>
  <c r="O747" i="17" s="1"/>
  <c r="AD748" i="17"/>
  <c r="O748" i="17" s="1"/>
  <c r="AD749" i="17"/>
  <c r="O749" i="17" s="1"/>
  <c r="AD750" i="17"/>
  <c r="O750" i="17" s="1"/>
  <c r="AD751" i="17"/>
  <c r="O751" i="17" s="1"/>
  <c r="AD752" i="17"/>
  <c r="O752" i="17" s="1"/>
  <c r="AD753" i="17"/>
  <c r="O753" i="17" s="1"/>
  <c r="AD754" i="17"/>
  <c r="O754" i="17" s="1"/>
  <c r="AD755" i="17"/>
  <c r="O755" i="17" s="1"/>
  <c r="AD756" i="17"/>
  <c r="O756" i="17" s="1"/>
  <c r="AD757" i="17"/>
  <c r="O757" i="17" s="1"/>
  <c r="AD758" i="17"/>
  <c r="O758" i="17" s="1"/>
  <c r="AD759" i="17"/>
  <c r="O759" i="17" s="1"/>
  <c r="AD760" i="17"/>
  <c r="O760" i="17" s="1"/>
  <c r="AD761" i="17"/>
  <c r="O761" i="17" s="1"/>
  <c r="AD762" i="17"/>
  <c r="O762" i="17" s="1"/>
  <c r="AD763" i="17"/>
  <c r="O763" i="17" s="1"/>
  <c r="AD764" i="17"/>
  <c r="O764" i="17" s="1"/>
  <c r="AD765" i="17"/>
  <c r="O765" i="17" s="1"/>
  <c r="AD766" i="17"/>
  <c r="O766" i="17" s="1"/>
  <c r="AD767" i="17"/>
  <c r="O767" i="17" s="1"/>
  <c r="AD768" i="17"/>
  <c r="O768" i="17" s="1"/>
  <c r="AD769" i="17"/>
  <c r="O769" i="17" s="1"/>
  <c r="AD770" i="17"/>
  <c r="O770" i="17" s="1"/>
  <c r="AD771" i="17"/>
  <c r="O771" i="17" s="1"/>
  <c r="AD772" i="17"/>
  <c r="O772" i="17" s="1"/>
  <c r="AD773" i="17"/>
  <c r="O773" i="17" s="1"/>
  <c r="AD774" i="17"/>
  <c r="O774" i="17" s="1"/>
  <c r="AD775" i="17"/>
  <c r="O775" i="17" s="1"/>
  <c r="AD776" i="17"/>
  <c r="O776" i="17" s="1"/>
  <c r="AD777" i="17"/>
  <c r="O777" i="17" s="1"/>
  <c r="AD778" i="17"/>
  <c r="O778" i="17" s="1"/>
  <c r="AD779" i="17"/>
  <c r="O779" i="17" s="1"/>
  <c r="AD780" i="17"/>
  <c r="O780" i="17" s="1"/>
  <c r="AD781" i="17"/>
  <c r="O781" i="17" s="1"/>
  <c r="AD782" i="17"/>
  <c r="O782" i="17" s="1"/>
  <c r="AD783" i="17"/>
  <c r="O783" i="17" s="1"/>
  <c r="AD784" i="17"/>
  <c r="O784" i="17" s="1"/>
  <c r="AD785" i="17"/>
  <c r="O785" i="17" s="1"/>
  <c r="AD786" i="17"/>
  <c r="O786" i="17" s="1"/>
  <c r="AD787" i="17"/>
  <c r="O787" i="17" s="1"/>
  <c r="AD788" i="17"/>
  <c r="O788" i="17" s="1"/>
  <c r="AD789" i="17"/>
  <c r="O789" i="17" s="1"/>
  <c r="AD790" i="17"/>
  <c r="O790" i="17" s="1"/>
  <c r="AD791" i="17"/>
  <c r="O791" i="17" s="1"/>
  <c r="AD792" i="17"/>
  <c r="O792" i="17" s="1"/>
  <c r="AD793" i="17"/>
  <c r="O793" i="17" s="1"/>
  <c r="AD794" i="17"/>
  <c r="O794" i="17" s="1"/>
  <c r="AD795" i="17"/>
  <c r="O795" i="17" s="1"/>
  <c r="AD796" i="17"/>
  <c r="O796" i="17" s="1"/>
  <c r="AD797" i="17"/>
  <c r="O797" i="17" s="1"/>
  <c r="AD798" i="17"/>
  <c r="O798" i="17" s="1"/>
  <c r="AD799" i="17"/>
  <c r="O799" i="17" s="1"/>
  <c r="AD800" i="17"/>
  <c r="O800" i="17" s="1"/>
  <c r="AD801" i="17"/>
  <c r="O801" i="17" s="1"/>
  <c r="AD802" i="17"/>
  <c r="O802" i="17" s="1"/>
  <c r="AD803" i="17"/>
  <c r="O803" i="17" s="1"/>
  <c r="AD804" i="17"/>
  <c r="O804" i="17" s="1"/>
  <c r="AD805" i="17"/>
  <c r="O805" i="17" s="1"/>
  <c r="AD806" i="17"/>
  <c r="O806" i="17" s="1"/>
  <c r="AD807" i="17"/>
  <c r="O807" i="17" s="1"/>
  <c r="AD808" i="17"/>
  <c r="O808" i="17" s="1"/>
  <c r="AD809" i="17"/>
  <c r="O809" i="17" s="1"/>
  <c r="AD810" i="17"/>
  <c r="O810" i="17" s="1"/>
  <c r="AD811" i="17"/>
  <c r="O811" i="17" s="1"/>
  <c r="AD812" i="17"/>
  <c r="O812" i="17" s="1"/>
  <c r="AD813" i="17"/>
  <c r="O813" i="17" s="1"/>
  <c r="AD814" i="17"/>
  <c r="O814" i="17" s="1"/>
  <c r="AD815" i="17"/>
  <c r="O815" i="17" s="1"/>
  <c r="AD816" i="17"/>
  <c r="O816" i="17" s="1"/>
  <c r="AD817" i="17"/>
  <c r="O817" i="17" s="1"/>
  <c r="AD818" i="17"/>
  <c r="O818" i="17" s="1"/>
  <c r="AD819" i="17"/>
  <c r="O819" i="17" s="1"/>
  <c r="AD820" i="17"/>
  <c r="O820" i="17" s="1"/>
  <c r="AD821" i="17"/>
  <c r="O821" i="17" s="1"/>
  <c r="AD822" i="17"/>
  <c r="O822" i="17" s="1"/>
  <c r="AD823" i="17"/>
  <c r="O823" i="17" s="1"/>
  <c r="AD824" i="17"/>
  <c r="O824" i="17" s="1"/>
  <c r="AD825" i="17"/>
  <c r="O825" i="17" s="1"/>
  <c r="AD826" i="17"/>
  <c r="O826" i="17" s="1"/>
  <c r="AD827" i="17"/>
  <c r="O827" i="17" s="1"/>
  <c r="AD828" i="17"/>
  <c r="O828" i="17" s="1"/>
  <c r="AD829" i="17"/>
  <c r="O829" i="17" s="1"/>
  <c r="AD830" i="17"/>
  <c r="O830" i="17" s="1"/>
  <c r="AD831" i="17"/>
  <c r="O831" i="17" s="1"/>
  <c r="AD832" i="17"/>
  <c r="O832" i="17" s="1"/>
  <c r="AD833" i="17"/>
  <c r="O833" i="17" s="1"/>
  <c r="AD834" i="17"/>
  <c r="O834" i="17" s="1"/>
  <c r="AD835" i="17"/>
  <c r="O835" i="17" s="1"/>
  <c r="AD836" i="17"/>
  <c r="O836" i="17" s="1"/>
  <c r="AD837" i="17"/>
  <c r="O837" i="17" s="1"/>
  <c r="AD838" i="17"/>
  <c r="O838" i="17" s="1"/>
  <c r="AD839" i="17"/>
  <c r="O839" i="17" s="1"/>
  <c r="AD840" i="17"/>
  <c r="O840" i="17" s="1"/>
  <c r="AD841" i="17"/>
  <c r="O841" i="17" s="1"/>
  <c r="AD842" i="17"/>
  <c r="O842" i="17" s="1"/>
  <c r="AD843" i="17"/>
  <c r="O843" i="17" s="1"/>
  <c r="AD844" i="17"/>
  <c r="O844" i="17" s="1"/>
  <c r="AD845" i="17"/>
  <c r="O845" i="17" s="1"/>
  <c r="AD846" i="17"/>
  <c r="O846" i="17" s="1"/>
  <c r="AD847" i="17"/>
  <c r="O847" i="17" s="1"/>
  <c r="AD848" i="17"/>
  <c r="O848" i="17" s="1"/>
  <c r="AD849" i="17"/>
  <c r="O849" i="17" s="1"/>
  <c r="AD850" i="17"/>
  <c r="O850" i="17" s="1"/>
  <c r="AD851" i="17"/>
  <c r="O851" i="17" s="1"/>
  <c r="AD852" i="17"/>
  <c r="O852" i="17" s="1"/>
  <c r="AD853" i="17"/>
  <c r="O853" i="17" s="1"/>
  <c r="AD854" i="17"/>
  <c r="O854" i="17" s="1"/>
  <c r="AD855" i="17"/>
  <c r="O855" i="17" s="1"/>
  <c r="AD856" i="17"/>
  <c r="O856" i="17" s="1"/>
  <c r="AD857" i="17"/>
  <c r="O857" i="17" s="1"/>
  <c r="AD858" i="17"/>
  <c r="O858" i="17" s="1"/>
  <c r="AD859" i="17"/>
  <c r="O859" i="17" s="1"/>
  <c r="AD860" i="17"/>
  <c r="O860" i="17" s="1"/>
  <c r="AD861" i="17"/>
  <c r="O861" i="17" s="1"/>
  <c r="AD862" i="17"/>
  <c r="O862" i="17" s="1"/>
  <c r="AD863" i="17"/>
  <c r="O863" i="17" s="1"/>
  <c r="AD864" i="17"/>
  <c r="O864" i="17" s="1"/>
  <c r="AD865" i="17"/>
  <c r="O865" i="17" s="1"/>
  <c r="AD866" i="17"/>
  <c r="O866" i="17" s="1"/>
  <c r="AD867" i="17"/>
  <c r="O867" i="17" s="1"/>
  <c r="AD868" i="17"/>
  <c r="O868" i="17" s="1"/>
  <c r="AD869" i="17"/>
  <c r="O869" i="17" s="1"/>
  <c r="AD870" i="17"/>
  <c r="O870" i="17" s="1"/>
  <c r="AD871" i="17"/>
  <c r="O871" i="17" s="1"/>
  <c r="AD872" i="17"/>
  <c r="O872" i="17" s="1"/>
  <c r="AD873" i="17"/>
  <c r="O873" i="17" s="1"/>
  <c r="AD874" i="17"/>
  <c r="O874" i="17" s="1"/>
  <c r="AD875" i="17"/>
  <c r="O875" i="17" s="1"/>
  <c r="AD876" i="17"/>
  <c r="O876" i="17" s="1"/>
  <c r="AD877" i="17"/>
  <c r="O877" i="17" s="1"/>
  <c r="AD878" i="17"/>
  <c r="O878" i="17" s="1"/>
  <c r="AD879" i="17"/>
  <c r="O879" i="17" s="1"/>
  <c r="AD880" i="17"/>
  <c r="O880" i="17" s="1"/>
  <c r="AD881" i="17"/>
  <c r="O881" i="17" s="1"/>
  <c r="AD882" i="17"/>
  <c r="O882" i="17" s="1"/>
  <c r="AD883" i="17"/>
  <c r="O883" i="17" s="1"/>
  <c r="AD884" i="17"/>
  <c r="O884" i="17" s="1"/>
  <c r="AD885" i="17"/>
  <c r="O885" i="17" s="1"/>
  <c r="AD886" i="17"/>
  <c r="O886" i="17" s="1"/>
  <c r="AD887" i="17"/>
  <c r="O887" i="17" s="1"/>
  <c r="AD888" i="17"/>
  <c r="O888" i="17" s="1"/>
  <c r="AD889" i="17"/>
  <c r="O889" i="17" s="1"/>
  <c r="AD890" i="17"/>
  <c r="O890" i="17" s="1"/>
  <c r="AD891" i="17"/>
  <c r="O891" i="17" s="1"/>
  <c r="AD892" i="17"/>
  <c r="O892" i="17" s="1"/>
  <c r="AD893" i="17"/>
  <c r="O893" i="17" s="1"/>
  <c r="AD894" i="17"/>
  <c r="O894" i="17" s="1"/>
  <c r="AD895" i="17"/>
  <c r="O895" i="17" s="1"/>
  <c r="AD896" i="17"/>
  <c r="O896" i="17" s="1"/>
  <c r="AD897" i="17"/>
  <c r="O897" i="17" s="1"/>
  <c r="AD898" i="17"/>
  <c r="O898" i="17" s="1"/>
  <c r="AD899" i="17"/>
  <c r="O899" i="17" s="1"/>
  <c r="AD900" i="17"/>
  <c r="O900" i="17" s="1"/>
  <c r="AD901" i="17"/>
  <c r="O901" i="17" s="1"/>
  <c r="AD902" i="17"/>
  <c r="O902" i="17" s="1"/>
  <c r="AD903" i="17"/>
  <c r="O903" i="17" s="1"/>
  <c r="AD904" i="17"/>
  <c r="O904" i="17" s="1"/>
  <c r="AD905" i="17"/>
  <c r="O905" i="17" s="1"/>
  <c r="AD906" i="17"/>
  <c r="O906" i="17" s="1"/>
  <c r="AD907" i="17"/>
  <c r="O907" i="17" s="1"/>
  <c r="AD908" i="17"/>
  <c r="O908" i="17" s="1"/>
  <c r="AD909" i="17"/>
  <c r="O909" i="17" s="1"/>
  <c r="AD910" i="17"/>
  <c r="O910" i="17" s="1"/>
  <c r="AD911" i="17"/>
  <c r="O911" i="17" s="1"/>
  <c r="AD912" i="17"/>
  <c r="O912" i="17" s="1"/>
  <c r="AD913" i="17"/>
  <c r="O913" i="17" s="1"/>
  <c r="AD914" i="17"/>
  <c r="O914" i="17" s="1"/>
  <c r="AD915" i="17"/>
  <c r="O915" i="17" s="1"/>
  <c r="AD916" i="17"/>
  <c r="O916" i="17" s="1"/>
  <c r="AD917" i="17"/>
  <c r="O917" i="17" s="1"/>
  <c r="AD918" i="17"/>
  <c r="O918" i="17" s="1"/>
  <c r="AD919" i="17"/>
  <c r="O919" i="17" s="1"/>
  <c r="AD920" i="17"/>
  <c r="O920" i="17" s="1"/>
  <c r="AD921" i="17"/>
  <c r="O921" i="17" s="1"/>
  <c r="AD922" i="17"/>
  <c r="O922" i="17" s="1"/>
  <c r="AD923" i="17"/>
  <c r="O923" i="17" s="1"/>
  <c r="AD924" i="17"/>
  <c r="O924" i="17" s="1"/>
  <c r="AD925" i="17"/>
  <c r="O925" i="17" s="1"/>
  <c r="AD926" i="17"/>
  <c r="O926" i="17" s="1"/>
  <c r="AD927" i="17"/>
  <c r="O927" i="17" s="1"/>
  <c r="AD928" i="17"/>
  <c r="O928" i="17" s="1"/>
  <c r="AD929" i="17"/>
  <c r="O929" i="17" s="1"/>
  <c r="AD930" i="17"/>
  <c r="O930" i="17" s="1"/>
  <c r="AD931" i="17"/>
  <c r="O931" i="17" s="1"/>
  <c r="AD932" i="17"/>
  <c r="O932" i="17" s="1"/>
  <c r="AD933" i="17"/>
  <c r="O933" i="17" s="1"/>
  <c r="AD934" i="17"/>
  <c r="O934" i="17" s="1"/>
  <c r="AD935" i="17"/>
  <c r="O935" i="17" s="1"/>
  <c r="AD936" i="17"/>
  <c r="O936" i="17" s="1"/>
  <c r="AD937" i="17"/>
  <c r="O937" i="17" s="1"/>
  <c r="AD938" i="17"/>
  <c r="O938" i="17" s="1"/>
  <c r="AD939" i="17"/>
  <c r="O939" i="17" s="1"/>
  <c r="AD940" i="17"/>
  <c r="O940" i="17" s="1"/>
  <c r="AD941" i="17"/>
  <c r="O941" i="17" s="1"/>
  <c r="AD942" i="17"/>
  <c r="O942" i="17" s="1"/>
  <c r="AD943" i="17"/>
  <c r="O943" i="17" s="1"/>
  <c r="AD944" i="17"/>
  <c r="O944" i="17" s="1"/>
  <c r="AD945" i="17"/>
  <c r="O945" i="17" s="1"/>
  <c r="AD946" i="17"/>
  <c r="O946" i="17" s="1"/>
  <c r="AD947" i="17"/>
  <c r="O947" i="17" s="1"/>
  <c r="AD948" i="17"/>
  <c r="O948" i="17" s="1"/>
  <c r="AD949" i="17"/>
  <c r="O949" i="17" s="1"/>
  <c r="AD950" i="17"/>
  <c r="O950" i="17" s="1"/>
  <c r="AD951" i="17"/>
  <c r="O951" i="17" s="1"/>
  <c r="AD952" i="17"/>
  <c r="O952" i="17" s="1"/>
  <c r="AD953" i="17"/>
  <c r="O953" i="17" s="1"/>
  <c r="AD954" i="17"/>
  <c r="O954" i="17" s="1"/>
  <c r="AD955" i="17"/>
  <c r="O955" i="17" s="1"/>
  <c r="AD956" i="17"/>
  <c r="O956" i="17" s="1"/>
  <c r="AD957" i="17"/>
  <c r="O957" i="17" s="1"/>
  <c r="AD958" i="17"/>
  <c r="O958" i="17" s="1"/>
  <c r="AD959" i="17"/>
  <c r="O959" i="17" s="1"/>
  <c r="AD960" i="17"/>
  <c r="O960" i="17" s="1"/>
  <c r="AD961" i="17"/>
  <c r="O961" i="17" s="1"/>
  <c r="AD962" i="17"/>
  <c r="O962" i="17" s="1"/>
  <c r="AD963" i="17"/>
  <c r="O963" i="17" s="1"/>
  <c r="AD964" i="17"/>
  <c r="O964" i="17" s="1"/>
  <c r="AD965" i="17"/>
  <c r="O965" i="17" s="1"/>
  <c r="AD966" i="17"/>
  <c r="O966" i="17" s="1"/>
  <c r="AD967" i="17"/>
  <c r="O967" i="17" s="1"/>
  <c r="AD968" i="17"/>
  <c r="O968" i="17" s="1"/>
  <c r="AD969" i="17"/>
  <c r="O969" i="17" s="1"/>
  <c r="AD970" i="17"/>
  <c r="O970" i="17" s="1"/>
  <c r="AD971" i="17"/>
  <c r="O971" i="17" s="1"/>
  <c r="AD972" i="17"/>
  <c r="O972" i="17" s="1"/>
  <c r="AD973" i="17"/>
  <c r="O973" i="17" s="1"/>
  <c r="AD974" i="17"/>
  <c r="O974" i="17" s="1"/>
  <c r="AD975" i="17"/>
  <c r="O975" i="17" s="1"/>
  <c r="AD976" i="17"/>
  <c r="O976" i="17" s="1"/>
  <c r="AD977" i="17"/>
  <c r="O977" i="17" s="1"/>
  <c r="AD978" i="17"/>
  <c r="O978" i="17" s="1"/>
  <c r="AD979" i="17"/>
  <c r="O979" i="17" s="1"/>
  <c r="AD980" i="17"/>
  <c r="O980" i="17" s="1"/>
  <c r="AD981" i="17"/>
  <c r="O981" i="17" s="1"/>
  <c r="AD982" i="17"/>
  <c r="O982" i="17" s="1"/>
  <c r="AD983" i="17"/>
  <c r="O983" i="17" s="1"/>
  <c r="AD984" i="17"/>
  <c r="O984" i="17" s="1"/>
  <c r="AD985" i="17"/>
  <c r="O985" i="17" s="1"/>
  <c r="AD986" i="17"/>
  <c r="O986" i="17" s="1"/>
  <c r="AD987" i="17"/>
  <c r="O987" i="17" s="1"/>
  <c r="AD988" i="17"/>
  <c r="O988" i="17" s="1"/>
  <c r="AD989" i="17"/>
  <c r="O989" i="17" s="1"/>
  <c r="AD990" i="17"/>
  <c r="O990" i="17" s="1"/>
  <c r="AD991" i="17"/>
  <c r="O991" i="17" s="1"/>
  <c r="AD992" i="17"/>
  <c r="O992" i="17" s="1"/>
  <c r="AD993" i="17"/>
  <c r="O993" i="17" s="1"/>
  <c r="AD994" i="17"/>
  <c r="O994" i="17" s="1"/>
  <c r="AD995" i="17"/>
  <c r="O995" i="17" s="1"/>
  <c r="AD996" i="17"/>
  <c r="O996" i="17" s="1"/>
  <c r="AD997" i="17"/>
  <c r="O997" i="17" s="1"/>
  <c r="AD998" i="17"/>
  <c r="O998" i="17" s="1"/>
  <c r="AD999" i="17"/>
  <c r="O999" i="17" s="1"/>
  <c r="AD1000" i="17"/>
  <c r="O1000" i="17" s="1"/>
  <c r="AD1001" i="17"/>
  <c r="O1001" i="17" s="1"/>
  <c r="AD1002" i="17"/>
  <c r="O1002" i="17" s="1"/>
  <c r="AD1003" i="17"/>
  <c r="O1003" i="17" s="1"/>
  <c r="AD1004" i="17"/>
  <c r="O1004" i="17" s="1"/>
  <c r="AD1005" i="17"/>
  <c r="O1005" i="17" s="1"/>
  <c r="AD1006" i="17"/>
  <c r="O1006" i="17" s="1"/>
  <c r="AD1007" i="17"/>
  <c r="O1007" i="17" s="1"/>
  <c r="AD1008" i="17"/>
  <c r="O1008" i="17" s="1"/>
  <c r="AD1009" i="17"/>
  <c r="O1009" i="17" s="1"/>
  <c r="AD1010" i="17"/>
  <c r="O1010" i="17" s="1"/>
  <c r="AD1011" i="17"/>
  <c r="O1011" i="17" s="1"/>
  <c r="AD1012" i="17"/>
  <c r="O1012" i="17" s="1"/>
  <c r="AD1013" i="17"/>
  <c r="O1013" i="17" s="1"/>
  <c r="AD1014" i="17"/>
  <c r="O1014" i="17" s="1"/>
  <c r="AD1015" i="17"/>
  <c r="O1015" i="17" s="1"/>
  <c r="AD1016" i="17"/>
  <c r="O1016" i="17" s="1"/>
  <c r="AD1017" i="17"/>
  <c r="O1017" i="17" s="1"/>
  <c r="AD1018" i="17"/>
  <c r="O1018" i="17" s="1"/>
  <c r="AD1019" i="17"/>
  <c r="O1019" i="17" s="1"/>
  <c r="AD1020" i="17"/>
  <c r="O1020" i="17" s="1"/>
  <c r="AD1021" i="17"/>
  <c r="O1021" i="17" s="1"/>
  <c r="AD1022" i="17"/>
  <c r="O1022" i="17" s="1"/>
  <c r="AD1023" i="17"/>
  <c r="O1023" i="17" s="1"/>
  <c r="AD1024" i="17"/>
  <c r="O1024" i="17" s="1"/>
  <c r="AD1025" i="17"/>
  <c r="O1025" i="17" s="1"/>
  <c r="AD1026" i="17"/>
  <c r="O1026" i="17" s="1"/>
  <c r="AD1027" i="17"/>
  <c r="O1027" i="17" s="1"/>
  <c r="AD1028" i="17"/>
  <c r="O1028" i="17" s="1"/>
  <c r="AD1029" i="17"/>
  <c r="O1029" i="17" s="1"/>
  <c r="AD1030" i="17"/>
  <c r="O1030" i="17" s="1"/>
  <c r="AD1031" i="17"/>
  <c r="O1031" i="17" s="1"/>
  <c r="AD1032" i="17"/>
  <c r="O1032" i="17" s="1"/>
  <c r="AD1033" i="17"/>
  <c r="O1033" i="17" s="1"/>
  <c r="AD1034" i="17"/>
  <c r="O1034" i="17" s="1"/>
  <c r="AD1035" i="17"/>
  <c r="O1035" i="17" s="1"/>
  <c r="AD1036" i="17"/>
  <c r="O1036" i="17" s="1"/>
  <c r="AD1037" i="17"/>
  <c r="O1037" i="17" s="1"/>
  <c r="AD1038" i="17"/>
  <c r="O1038" i="17" s="1"/>
  <c r="AD1039" i="17"/>
  <c r="O1039" i="17" s="1"/>
  <c r="AD1040" i="17"/>
  <c r="O1040" i="17" s="1"/>
  <c r="AD1041" i="17"/>
  <c r="O1041" i="17" s="1"/>
  <c r="AD1042" i="17"/>
  <c r="O1042" i="17" s="1"/>
  <c r="AD1043" i="17"/>
  <c r="O1043" i="17" s="1"/>
  <c r="AD1044" i="17"/>
  <c r="O1044" i="17" s="1"/>
  <c r="AD1045" i="17"/>
  <c r="O1045" i="17" s="1"/>
  <c r="AD1046" i="17"/>
  <c r="O1046" i="17" s="1"/>
  <c r="AD1047" i="17"/>
  <c r="O1047" i="17" s="1"/>
  <c r="AD1048" i="17"/>
  <c r="O1048" i="17" s="1"/>
  <c r="AD1049" i="17"/>
  <c r="O1049" i="17" s="1"/>
  <c r="AD1050" i="17"/>
  <c r="O1050" i="17" s="1"/>
  <c r="AD1051" i="17"/>
  <c r="O1051" i="17" s="1"/>
  <c r="M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N30" i="17" s="1"/>
  <c r="M31" i="17"/>
  <c r="N31" i="17" s="1"/>
  <c r="M32" i="17"/>
  <c r="N32" i="17" s="1"/>
  <c r="M33" i="17"/>
  <c r="N33" i="17" s="1"/>
  <c r="M34" i="17"/>
  <c r="N34" i="17" s="1"/>
  <c r="M35" i="17"/>
  <c r="N35" i="17" s="1"/>
  <c r="M36" i="17"/>
  <c r="N36" i="17" s="1"/>
  <c r="M37" i="17"/>
  <c r="N37" i="17" s="1"/>
  <c r="M38" i="17"/>
  <c r="N38" i="17" s="1"/>
  <c r="M39" i="17"/>
  <c r="N39" i="17" s="1"/>
  <c r="M40" i="17"/>
  <c r="N40" i="17" s="1"/>
  <c r="M41" i="17"/>
  <c r="N41" i="17" s="1"/>
  <c r="M42" i="17"/>
  <c r="N42" i="17" s="1"/>
  <c r="M43" i="17"/>
  <c r="N43" i="17" s="1"/>
  <c r="M44" i="17"/>
  <c r="N44" i="17" s="1"/>
  <c r="M45" i="17"/>
  <c r="N45" i="17" s="1"/>
  <c r="M46" i="17"/>
  <c r="N46" i="17" s="1"/>
  <c r="M47" i="17"/>
  <c r="N47" i="17" s="1"/>
  <c r="M48" i="17"/>
  <c r="N48" i="17" s="1"/>
  <c r="M49" i="17"/>
  <c r="N49" i="17" s="1"/>
  <c r="M50" i="17"/>
  <c r="N50" i="17" s="1"/>
  <c r="M51" i="17"/>
  <c r="N51" i="17" s="1"/>
  <c r="M52" i="17"/>
  <c r="N52" i="17" s="1"/>
  <c r="M53" i="17"/>
  <c r="N53" i="17" s="1"/>
  <c r="M54" i="17"/>
  <c r="N54" i="17" s="1"/>
  <c r="M55" i="17"/>
  <c r="N55" i="17" s="1"/>
  <c r="M56" i="17"/>
  <c r="N56" i="17" s="1"/>
  <c r="M57" i="17"/>
  <c r="N57" i="17" s="1"/>
  <c r="M58" i="17"/>
  <c r="N58" i="17" s="1"/>
  <c r="M59" i="17"/>
  <c r="N59" i="17" s="1"/>
  <c r="M60" i="17"/>
  <c r="N60" i="17" s="1"/>
  <c r="M61" i="17"/>
  <c r="N61" i="17" s="1"/>
  <c r="M62" i="17"/>
  <c r="N62" i="17" s="1"/>
  <c r="M63" i="17"/>
  <c r="N63" i="17" s="1"/>
  <c r="M64" i="17"/>
  <c r="N64" i="17" s="1"/>
  <c r="M65" i="17"/>
  <c r="N65" i="17" s="1"/>
  <c r="M66" i="17"/>
  <c r="N66" i="17" s="1"/>
  <c r="M67" i="17"/>
  <c r="N67" i="17" s="1"/>
  <c r="M68" i="17"/>
  <c r="N68" i="17" s="1"/>
  <c r="M69" i="17"/>
  <c r="N69" i="17" s="1"/>
  <c r="M70" i="17"/>
  <c r="N70" i="17" s="1"/>
  <c r="M71" i="17"/>
  <c r="N71" i="17" s="1"/>
  <c r="M72" i="17"/>
  <c r="N72" i="17" s="1"/>
  <c r="M73" i="17"/>
  <c r="N73" i="17" s="1"/>
  <c r="M74" i="17"/>
  <c r="N74" i="17" s="1"/>
  <c r="M75" i="17"/>
  <c r="N75" i="17" s="1"/>
  <c r="M76" i="17"/>
  <c r="N76" i="17" s="1"/>
  <c r="M77" i="17"/>
  <c r="N77" i="17" s="1"/>
  <c r="M78" i="17"/>
  <c r="N78" i="17" s="1"/>
  <c r="M79" i="17"/>
  <c r="N79" i="17" s="1"/>
  <c r="M80" i="17"/>
  <c r="N80" i="17" s="1"/>
  <c r="M81" i="17"/>
  <c r="N81" i="17" s="1"/>
  <c r="M82" i="17"/>
  <c r="N82" i="17" s="1"/>
  <c r="M83" i="17"/>
  <c r="N83" i="17" s="1"/>
  <c r="M84" i="17"/>
  <c r="N84" i="17" s="1"/>
  <c r="M85" i="17"/>
  <c r="N85" i="17" s="1"/>
  <c r="M86" i="17"/>
  <c r="N86" i="17" s="1"/>
  <c r="M87" i="17"/>
  <c r="N87" i="17" s="1"/>
  <c r="M88" i="17"/>
  <c r="N88" i="17" s="1"/>
  <c r="M89" i="17"/>
  <c r="N89" i="17" s="1"/>
  <c r="M90" i="17"/>
  <c r="N90" i="17" s="1"/>
  <c r="M91" i="17"/>
  <c r="N91" i="17" s="1"/>
  <c r="M92" i="17"/>
  <c r="N92" i="17" s="1"/>
  <c r="M93" i="17"/>
  <c r="N93" i="17" s="1"/>
  <c r="M94" i="17"/>
  <c r="N94" i="17" s="1"/>
  <c r="M95" i="17"/>
  <c r="N95" i="17" s="1"/>
  <c r="M96" i="17"/>
  <c r="N96" i="17" s="1"/>
  <c r="M97" i="17"/>
  <c r="N97" i="17" s="1"/>
  <c r="M98" i="17"/>
  <c r="N98" i="17" s="1"/>
  <c r="M99" i="17"/>
  <c r="N99" i="17" s="1"/>
  <c r="M100" i="17"/>
  <c r="N100" i="17" s="1"/>
  <c r="M101" i="17"/>
  <c r="N101" i="17" s="1"/>
  <c r="M102" i="17"/>
  <c r="N102" i="17" s="1"/>
  <c r="M103" i="17"/>
  <c r="N103" i="17" s="1"/>
  <c r="M104" i="17"/>
  <c r="N104" i="17" s="1"/>
  <c r="M105" i="17"/>
  <c r="N105" i="17" s="1"/>
  <c r="M106" i="17"/>
  <c r="N106" i="17" s="1"/>
  <c r="M107" i="17"/>
  <c r="N107" i="17" s="1"/>
  <c r="M108" i="17"/>
  <c r="N108" i="17" s="1"/>
  <c r="M109" i="17"/>
  <c r="N109" i="17" s="1"/>
  <c r="M110" i="17"/>
  <c r="N110" i="17" s="1"/>
  <c r="M111" i="17"/>
  <c r="N111" i="17" s="1"/>
  <c r="M112" i="17"/>
  <c r="N112" i="17" s="1"/>
  <c r="M113" i="17"/>
  <c r="N113" i="17" s="1"/>
  <c r="M114" i="17"/>
  <c r="N114" i="17" s="1"/>
  <c r="M115" i="17"/>
  <c r="N115" i="17" s="1"/>
  <c r="M116" i="17"/>
  <c r="N116" i="17" s="1"/>
  <c r="M117" i="17"/>
  <c r="N117" i="17" s="1"/>
  <c r="M118" i="17"/>
  <c r="N118" i="17" s="1"/>
  <c r="M119" i="17"/>
  <c r="N119" i="17" s="1"/>
  <c r="M120" i="17"/>
  <c r="N120" i="17" s="1"/>
  <c r="M121" i="17"/>
  <c r="N121" i="17" s="1"/>
  <c r="M122" i="17"/>
  <c r="N122" i="17" s="1"/>
  <c r="M123" i="17"/>
  <c r="N123" i="17" s="1"/>
  <c r="M124" i="17"/>
  <c r="N124" i="17" s="1"/>
  <c r="M125" i="17"/>
  <c r="N125" i="17" s="1"/>
  <c r="M126" i="17"/>
  <c r="N126" i="17" s="1"/>
  <c r="M127" i="17"/>
  <c r="N127" i="17" s="1"/>
  <c r="M128" i="17"/>
  <c r="N128" i="17" s="1"/>
  <c r="M129" i="17"/>
  <c r="N129" i="17" s="1"/>
  <c r="M130" i="17"/>
  <c r="N130" i="17" s="1"/>
  <c r="M131" i="17"/>
  <c r="N131" i="17" s="1"/>
  <c r="M132" i="17"/>
  <c r="N132" i="17" s="1"/>
  <c r="M133" i="17"/>
  <c r="N133" i="17" s="1"/>
  <c r="M134" i="17"/>
  <c r="N134" i="17" s="1"/>
  <c r="M135" i="17"/>
  <c r="N135" i="17" s="1"/>
  <c r="M136" i="17"/>
  <c r="N136" i="17" s="1"/>
  <c r="M137" i="17"/>
  <c r="N137" i="17" s="1"/>
  <c r="M138" i="17"/>
  <c r="N138" i="17" s="1"/>
  <c r="M139" i="17"/>
  <c r="N139" i="17" s="1"/>
  <c r="M140" i="17"/>
  <c r="N140" i="17" s="1"/>
  <c r="M141" i="17"/>
  <c r="N141" i="17" s="1"/>
  <c r="M142" i="17"/>
  <c r="N142" i="17" s="1"/>
  <c r="M143" i="17"/>
  <c r="N143" i="17" s="1"/>
  <c r="M144" i="17"/>
  <c r="N144" i="17" s="1"/>
  <c r="M145" i="17"/>
  <c r="N145" i="17" s="1"/>
  <c r="M146" i="17"/>
  <c r="N146" i="17" s="1"/>
  <c r="M147" i="17"/>
  <c r="N147" i="17" s="1"/>
  <c r="M148" i="17"/>
  <c r="N148" i="17" s="1"/>
  <c r="M149" i="17"/>
  <c r="N149" i="17" s="1"/>
  <c r="M150" i="17"/>
  <c r="N150" i="17" s="1"/>
  <c r="M151" i="17"/>
  <c r="N151" i="17" s="1"/>
  <c r="M152" i="17"/>
  <c r="N152" i="17" s="1"/>
  <c r="M153" i="17"/>
  <c r="N153" i="17" s="1"/>
  <c r="M154" i="17"/>
  <c r="N154" i="17" s="1"/>
  <c r="M155" i="17"/>
  <c r="N155" i="17" s="1"/>
  <c r="M156" i="17"/>
  <c r="N156" i="17" s="1"/>
  <c r="M157" i="17"/>
  <c r="N157" i="17" s="1"/>
  <c r="M158" i="17"/>
  <c r="N158" i="17" s="1"/>
  <c r="M159" i="17"/>
  <c r="N159" i="17" s="1"/>
  <c r="M160" i="17"/>
  <c r="N160" i="17" s="1"/>
  <c r="M161" i="17"/>
  <c r="N161" i="17" s="1"/>
  <c r="M162" i="17"/>
  <c r="N162" i="17" s="1"/>
  <c r="M163" i="17"/>
  <c r="N163" i="17" s="1"/>
  <c r="M164" i="17"/>
  <c r="N164" i="17" s="1"/>
  <c r="M165" i="17"/>
  <c r="N165" i="17" s="1"/>
  <c r="M166" i="17"/>
  <c r="N166" i="17" s="1"/>
  <c r="M167" i="17"/>
  <c r="N167" i="17" s="1"/>
  <c r="M168" i="17"/>
  <c r="N168" i="17" s="1"/>
  <c r="M169" i="17"/>
  <c r="N169" i="17" s="1"/>
  <c r="M170" i="17"/>
  <c r="N170" i="17" s="1"/>
  <c r="M171" i="17"/>
  <c r="N171" i="17" s="1"/>
  <c r="M172" i="17"/>
  <c r="N172" i="17" s="1"/>
  <c r="M173" i="17"/>
  <c r="N173" i="17" s="1"/>
  <c r="M174" i="17"/>
  <c r="N174" i="17" s="1"/>
  <c r="M175" i="17"/>
  <c r="N175" i="17" s="1"/>
  <c r="M176" i="17"/>
  <c r="N176" i="17" s="1"/>
  <c r="M177" i="17"/>
  <c r="N177" i="17" s="1"/>
  <c r="M178" i="17"/>
  <c r="N178" i="17" s="1"/>
  <c r="M179" i="17"/>
  <c r="N179" i="17" s="1"/>
  <c r="M180" i="17"/>
  <c r="N180" i="17" s="1"/>
  <c r="M181" i="17"/>
  <c r="N181" i="17" s="1"/>
  <c r="M182" i="17"/>
  <c r="N182" i="17" s="1"/>
  <c r="M183" i="17"/>
  <c r="N183" i="17" s="1"/>
  <c r="M184" i="17"/>
  <c r="N184" i="17" s="1"/>
  <c r="M185" i="17"/>
  <c r="N185" i="17" s="1"/>
  <c r="M186" i="17"/>
  <c r="N186" i="17" s="1"/>
  <c r="M187" i="17"/>
  <c r="N187" i="17" s="1"/>
  <c r="M188" i="17"/>
  <c r="N188" i="17" s="1"/>
  <c r="M189" i="17"/>
  <c r="N189" i="17" s="1"/>
  <c r="M190" i="17"/>
  <c r="N190" i="17" s="1"/>
  <c r="M191" i="17"/>
  <c r="N191" i="17" s="1"/>
  <c r="M192" i="17"/>
  <c r="N192" i="17" s="1"/>
  <c r="M193" i="17"/>
  <c r="N193" i="17" s="1"/>
  <c r="M194" i="17"/>
  <c r="N194" i="17" s="1"/>
  <c r="M195" i="17"/>
  <c r="N195" i="17" s="1"/>
  <c r="M196" i="17"/>
  <c r="N196" i="17" s="1"/>
  <c r="M197" i="17"/>
  <c r="N197" i="17" s="1"/>
  <c r="M198" i="17"/>
  <c r="N198" i="17" s="1"/>
  <c r="M199" i="17"/>
  <c r="N199" i="17" s="1"/>
  <c r="M200" i="17"/>
  <c r="N200" i="17" s="1"/>
  <c r="M201" i="17"/>
  <c r="N201" i="17" s="1"/>
  <c r="M202" i="17"/>
  <c r="N202" i="17" s="1"/>
  <c r="M203" i="17"/>
  <c r="N203" i="17" s="1"/>
  <c r="M204" i="17"/>
  <c r="N204" i="17" s="1"/>
  <c r="M205" i="17"/>
  <c r="N205" i="17" s="1"/>
  <c r="M206" i="17"/>
  <c r="N206" i="17" s="1"/>
  <c r="M207" i="17"/>
  <c r="N207" i="17" s="1"/>
  <c r="M208" i="17"/>
  <c r="N208" i="17" s="1"/>
  <c r="M209" i="17"/>
  <c r="N209" i="17" s="1"/>
  <c r="M210" i="17"/>
  <c r="N210" i="17" s="1"/>
  <c r="M211" i="17"/>
  <c r="N211" i="17" s="1"/>
  <c r="M212" i="17"/>
  <c r="N212" i="17" s="1"/>
  <c r="M213" i="17"/>
  <c r="N213" i="17" s="1"/>
  <c r="M214" i="17"/>
  <c r="N214" i="17" s="1"/>
  <c r="M215" i="17"/>
  <c r="N215" i="17" s="1"/>
  <c r="M216" i="17"/>
  <c r="N216" i="17" s="1"/>
  <c r="M217" i="17"/>
  <c r="N217" i="17" s="1"/>
  <c r="M218" i="17"/>
  <c r="N218" i="17" s="1"/>
  <c r="M219" i="17"/>
  <c r="N219" i="17" s="1"/>
  <c r="M220" i="17"/>
  <c r="N220" i="17" s="1"/>
  <c r="M221" i="17"/>
  <c r="N221" i="17" s="1"/>
  <c r="M222" i="17"/>
  <c r="N222" i="17" s="1"/>
  <c r="M223" i="17"/>
  <c r="N223" i="17" s="1"/>
  <c r="M224" i="17"/>
  <c r="N224" i="17" s="1"/>
  <c r="M225" i="17"/>
  <c r="N225" i="17" s="1"/>
  <c r="M226" i="17"/>
  <c r="N226" i="17" s="1"/>
  <c r="M227" i="17"/>
  <c r="N227" i="17" s="1"/>
  <c r="M228" i="17"/>
  <c r="N228" i="17" s="1"/>
  <c r="M229" i="17"/>
  <c r="N229" i="17" s="1"/>
  <c r="M230" i="17"/>
  <c r="N230" i="17" s="1"/>
  <c r="M231" i="17"/>
  <c r="N231" i="17" s="1"/>
  <c r="M232" i="17"/>
  <c r="N232" i="17" s="1"/>
  <c r="M233" i="17"/>
  <c r="N233" i="17" s="1"/>
  <c r="M234" i="17"/>
  <c r="N234" i="17" s="1"/>
  <c r="M235" i="17"/>
  <c r="N235" i="17" s="1"/>
  <c r="M236" i="17"/>
  <c r="N236" i="17" s="1"/>
  <c r="M237" i="17"/>
  <c r="N237" i="17" s="1"/>
  <c r="M238" i="17"/>
  <c r="N238" i="17" s="1"/>
  <c r="M239" i="17"/>
  <c r="N239" i="17" s="1"/>
  <c r="M240" i="17"/>
  <c r="N240" i="17" s="1"/>
  <c r="M241" i="17"/>
  <c r="N241" i="17" s="1"/>
  <c r="M242" i="17"/>
  <c r="N242" i="17" s="1"/>
  <c r="M243" i="17"/>
  <c r="N243" i="17" s="1"/>
  <c r="M244" i="17"/>
  <c r="N244" i="17" s="1"/>
  <c r="M245" i="17"/>
  <c r="N245" i="17" s="1"/>
  <c r="M246" i="17"/>
  <c r="N246" i="17" s="1"/>
  <c r="M247" i="17"/>
  <c r="N247" i="17" s="1"/>
  <c r="M248" i="17"/>
  <c r="N248" i="17" s="1"/>
  <c r="M249" i="17"/>
  <c r="N249" i="17" s="1"/>
  <c r="M250" i="17"/>
  <c r="N250" i="17" s="1"/>
  <c r="M251" i="17"/>
  <c r="N251" i="17" s="1"/>
  <c r="M252" i="17"/>
  <c r="N252" i="17" s="1"/>
  <c r="M253" i="17"/>
  <c r="N253" i="17" s="1"/>
  <c r="M254" i="17"/>
  <c r="N254" i="17" s="1"/>
  <c r="M255" i="17"/>
  <c r="N255" i="17" s="1"/>
  <c r="M256" i="17"/>
  <c r="N256" i="17" s="1"/>
  <c r="M257" i="17"/>
  <c r="N257" i="17" s="1"/>
  <c r="M258" i="17"/>
  <c r="N258" i="17" s="1"/>
  <c r="M259" i="17"/>
  <c r="N259" i="17" s="1"/>
  <c r="M260" i="17"/>
  <c r="N260" i="17" s="1"/>
  <c r="M261" i="17"/>
  <c r="N261" i="17" s="1"/>
  <c r="M262" i="17"/>
  <c r="N262" i="17" s="1"/>
  <c r="M263" i="17"/>
  <c r="N263" i="17" s="1"/>
  <c r="M264" i="17"/>
  <c r="N264" i="17" s="1"/>
  <c r="M265" i="17"/>
  <c r="N265" i="17" s="1"/>
  <c r="M266" i="17"/>
  <c r="N266" i="17" s="1"/>
  <c r="M267" i="17"/>
  <c r="N267" i="17" s="1"/>
  <c r="M268" i="17"/>
  <c r="N268" i="17" s="1"/>
  <c r="M269" i="17"/>
  <c r="N269" i="17" s="1"/>
  <c r="M270" i="17"/>
  <c r="N270" i="17" s="1"/>
  <c r="M271" i="17"/>
  <c r="N271" i="17" s="1"/>
  <c r="M272" i="17"/>
  <c r="N272" i="17" s="1"/>
  <c r="M273" i="17"/>
  <c r="N273" i="17" s="1"/>
  <c r="M274" i="17"/>
  <c r="N274" i="17" s="1"/>
  <c r="M275" i="17"/>
  <c r="N275" i="17" s="1"/>
  <c r="M276" i="17"/>
  <c r="N276" i="17" s="1"/>
  <c r="M277" i="17"/>
  <c r="N277" i="17" s="1"/>
  <c r="M278" i="17"/>
  <c r="N278" i="17" s="1"/>
  <c r="M279" i="17"/>
  <c r="N279" i="17" s="1"/>
  <c r="M280" i="17"/>
  <c r="N280" i="17" s="1"/>
  <c r="M281" i="17"/>
  <c r="N281" i="17" s="1"/>
  <c r="M282" i="17"/>
  <c r="N282" i="17" s="1"/>
  <c r="M283" i="17"/>
  <c r="N283" i="17" s="1"/>
  <c r="M284" i="17"/>
  <c r="N284" i="17" s="1"/>
  <c r="M285" i="17"/>
  <c r="N285" i="17" s="1"/>
  <c r="M286" i="17"/>
  <c r="N286" i="17" s="1"/>
  <c r="M287" i="17"/>
  <c r="N287" i="17" s="1"/>
  <c r="M288" i="17"/>
  <c r="N288" i="17" s="1"/>
  <c r="M289" i="17"/>
  <c r="N289" i="17" s="1"/>
  <c r="M290" i="17"/>
  <c r="N290" i="17" s="1"/>
  <c r="M291" i="17"/>
  <c r="N291" i="17" s="1"/>
  <c r="M292" i="17"/>
  <c r="N292" i="17" s="1"/>
  <c r="M293" i="17"/>
  <c r="N293" i="17" s="1"/>
  <c r="M294" i="17"/>
  <c r="N294" i="17" s="1"/>
  <c r="M295" i="17"/>
  <c r="N295" i="17" s="1"/>
  <c r="M296" i="17"/>
  <c r="N296" i="17" s="1"/>
  <c r="M297" i="17"/>
  <c r="N297" i="17" s="1"/>
  <c r="M298" i="17"/>
  <c r="N298" i="17" s="1"/>
  <c r="M299" i="17"/>
  <c r="N299" i="17" s="1"/>
  <c r="M300" i="17"/>
  <c r="N300" i="17" s="1"/>
  <c r="M301" i="17"/>
  <c r="N301" i="17" s="1"/>
  <c r="M302" i="17"/>
  <c r="N302" i="17" s="1"/>
  <c r="M303" i="17"/>
  <c r="N303" i="17" s="1"/>
  <c r="M304" i="17"/>
  <c r="N304" i="17" s="1"/>
  <c r="M305" i="17"/>
  <c r="N305" i="17" s="1"/>
  <c r="M306" i="17"/>
  <c r="N306" i="17" s="1"/>
  <c r="M307" i="17"/>
  <c r="N307" i="17" s="1"/>
  <c r="M308" i="17"/>
  <c r="N308" i="17" s="1"/>
  <c r="M309" i="17"/>
  <c r="N309" i="17" s="1"/>
  <c r="M310" i="17"/>
  <c r="N310" i="17" s="1"/>
  <c r="M311" i="17"/>
  <c r="N311" i="17" s="1"/>
  <c r="M312" i="17"/>
  <c r="N312" i="17" s="1"/>
  <c r="M313" i="17"/>
  <c r="N313" i="17" s="1"/>
  <c r="M314" i="17"/>
  <c r="N314" i="17" s="1"/>
  <c r="M315" i="17"/>
  <c r="N315" i="17" s="1"/>
  <c r="M316" i="17"/>
  <c r="N316" i="17" s="1"/>
  <c r="M317" i="17"/>
  <c r="N317" i="17" s="1"/>
  <c r="M318" i="17"/>
  <c r="N318" i="17" s="1"/>
  <c r="M319" i="17"/>
  <c r="N319" i="17" s="1"/>
  <c r="M320" i="17"/>
  <c r="N320" i="17" s="1"/>
  <c r="M321" i="17"/>
  <c r="N321" i="17" s="1"/>
  <c r="M322" i="17"/>
  <c r="N322" i="17" s="1"/>
  <c r="M323" i="17"/>
  <c r="N323" i="17" s="1"/>
  <c r="M324" i="17"/>
  <c r="N324" i="17" s="1"/>
  <c r="M325" i="17"/>
  <c r="N325" i="17" s="1"/>
  <c r="M326" i="17"/>
  <c r="N326" i="17" s="1"/>
  <c r="M327" i="17"/>
  <c r="N327" i="17" s="1"/>
  <c r="M328" i="17"/>
  <c r="N328" i="17" s="1"/>
  <c r="M329" i="17"/>
  <c r="N329" i="17" s="1"/>
  <c r="M330" i="17"/>
  <c r="N330" i="17" s="1"/>
  <c r="M331" i="17"/>
  <c r="N331" i="17" s="1"/>
  <c r="M332" i="17"/>
  <c r="N332" i="17" s="1"/>
  <c r="M333" i="17"/>
  <c r="N333" i="17" s="1"/>
  <c r="M334" i="17"/>
  <c r="N334" i="17" s="1"/>
  <c r="M335" i="17"/>
  <c r="N335" i="17" s="1"/>
  <c r="M336" i="17"/>
  <c r="N336" i="17" s="1"/>
  <c r="M337" i="17"/>
  <c r="N337" i="17" s="1"/>
  <c r="M338" i="17"/>
  <c r="N338" i="17" s="1"/>
  <c r="M339" i="17"/>
  <c r="N339" i="17" s="1"/>
  <c r="M340" i="17"/>
  <c r="N340" i="17" s="1"/>
  <c r="M341" i="17"/>
  <c r="N341" i="17" s="1"/>
  <c r="M342" i="17"/>
  <c r="N342" i="17" s="1"/>
  <c r="M343" i="17"/>
  <c r="N343" i="17" s="1"/>
  <c r="M344" i="17"/>
  <c r="N344" i="17" s="1"/>
  <c r="M345" i="17"/>
  <c r="N345" i="17" s="1"/>
  <c r="M346" i="17"/>
  <c r="N346" i="17" s="1"/>
  <c r="M347" i="17"/>
  <c r="N347" i="17" s="1"/>
  <c r="M348" i="17"/>
  <c r="N348" i="17" s="1"/>
  <c r="M349" i="17"/>
  <c r="N349" i="17" s="1"/>
  <c r="M350" i="17"/>
  <c r="N350" i="17" s="1"/>
  <c r="M351" i="17"/>
  <c r="N351" i="17" s="1"/>
  <c r="M352" i="17"/>
  <c r="N352" i="17" s="1"/>
  <c r="M353" i="17"/>
  <c r="N353" i="17" s="1"/>
  <c r="M354" i="17"/>
  <c r="N354" i="17" s="1"/>
  <c r="M355" i="17"/>
  <c r="N355" i="17" s="1"/>
  <c r="M356" i="17"/>
  <c r="N356" i="17" s="1"/>
  <c r="M357" i="17"/>
  <c r="N357" i="17" s="1"/>
  <c r="M358" i="17"/>
  <c r="N358" i="17" s="1"/>
  <c r="M359" i="17"/>
  <c r="N359" i="17" s="1"/>
  <c r="M360" i="17"/>
  <c r="N360" i="17" s="1"/>
  <c r="M361" i="17"/>
  <c r="N361" i="17" s="1"/>
  <c r="M362" i="17"/>
  <c r="N362" i="17" s="1"/>
  <c r="M363" i="17"/>
  <c r="N363" i="17" s="1"/>
  <c r="M364" i="17"/>
  <c r="N364" i="17" s="1"/>
  <c r="M365" i="17"/>
  <c r="N365" i="17" s="1"/>
  <c r="M366" i="17"/>
  <c r="N366" i="17" s="1"/>
  <c r="M367" i="17"/>
  <c r="N367" i="17" s="1"/>
  <c r="M368" i="17"/>
  <c r="N368" i="17" s="1"/>
  <c r="M369" i="17"/>
  <c r="N369" i="17" s="1"/>
  <c r="M370" i="17"/>
  <c r="N370" i="17" s="1"/>
  <c r="M371" i="17"/>
  <c r="N371" i="17" s="1"/>
  <c r="M372" i="17"/>
  <c r="N372" i="17" s="1"/>
  <c r="M373" i="17"/>
  <c r="N373" i="17" s="1"/>
  <c r="M374" i="17"/>
  <c r="N374" i="17" s="1"/>
  <c r="M375" i="17"/>
  <c r="N375" i="17" s="1"/>
  <c r="M376" i="17"/>
  <c r="N376" i="17" s="1"/>
  <c r="M377" i="17"/>
  <c r="N377" i="17" s="1"/>
  <c r="M378" i="17"/>
  <c r="N378" i="17" s="1"/>
  <c r="M379" i="17"/>
  <c r="N379" i="17" s="1"/>
  <c r="M380" i="17"/>
  <c r="N380" i="17" s="1"/>
  <c r="M381" i="17"/>
  <c r="N381" i="17" s="1"/>
  <c r="M382" i="17"/>
  <c r="N382" i="17" s="1"/>
  <c r="M383" i="17"/>
  <c r="N383" i="17" s="1"/>
  <c r="M384" i="17"/>
  <c r="N384" i="17" s="1"/>
  <c r="M385" i="17"/>
  <c r="N385" i="17" s="1"/>
  <c r="M386" i="17"/>
  <c r="N386" i="17" s="1"/>
  <c r="M387" i="17"/>
  <c r="N387" i="17" s="1"/>
  <c r="M388" i="17"/>
  <c r="N388" i="17" s="1"/>
  <c r="M389" i="17"/>
  <c r="N389" i="17" s="1"/>
  <c r="M390" i="17"/>
  <c r="N390" i="17" s="1"/>
  <c r="M391" i="17"/>
  <c r="N391" i="17" s="1"/>
  <c r="M392" i="17"/>
  <c r="N392" i="17" s="1"/>
  <c r="M393" i="17"/>
  <c r="N393" i="17" s="1"/>
  <c r="M394" i="17"/>
  <c r="N394" i="17" s="1"/>
  <c r="M395" i="17"/>
  <c r="N395" i="17" s="1"/>
  <c r="M396" i="17"/>
  <c r="N396" i="17" s="1"/>
  <c r="M397" i="17"/>
  <c r="N397" i="17" s="1"/>
  <c r="M398" i="17"/>
  <c r="N398" i="17" s="1"/>
  <c r="M399" i="17"/>
  <c r="N399" i="17" s="1"/>
  <c r="M400" i="17"/>
  <c r="N400" i="17" s="1"/>
  <c r="M401" i="17"/>
  <c r="N401" i="17" s="1"/>
  <c r="M402" i="17"/>
  <c r="N402" i="17" s="1"/>
  <c r="M403" i="17"/>
  <c r="N403" i="17" s="1"/>
  <c r="M404" i="17"/>
  <c r="N404" i="17" s="1"/>
  <c r="M405" i="17"/>
  <c r="N405" i="17" s="1"/>
  <c r="M406" i="17"/>
  <c r="N406" i="17" s="1"/>
  <c r="M407" i="17"/>
  <c r="N407" i="17" s="1"/>
  <c r="M408" i="17"/>
  <c r="N408" i="17" s="1"/>
  <c r="M409" i="17"/>
  <c r="N409" i="17" s="1"/>
  <c r="M410" i="17"/>
  <c r="N410" i="17" s="1"/>
  <c r="M411" i="17"/>
  <c r="N411" i="17" s="1"/>
  <c r="M412" i="17"/>
  <c r="N412" i="17" s="1"/>
  <c r="M413" i="17"/>
  <c r="N413" i="17" s="1"/>
  <c r="M414" i="17"/>
  <c r="N414" i="17" s="1"/>
  <c r="M415" i="17"/>
  <c r="N415" i="17" s="1"/>
  <c r="M416" i="17"/>
  <c r="N416" i="17" s="1"/>
  <c r="M417" i="17"/>
  <c r="N417" i="17" s="1"/>
  <c r="M418" i="17"/>
  <c r="N418" i="17" s="1"/>
  <c r="M419" i="17"/>
  <c r="N419" i="17" s="1"/>
  <c r="M420" i="17"/>
  <c r="N420" i="17" s="1"/>
  <c r="M421" i="17"/>
  <c r="N421" i="17" s="1"/>
  <c r="M422" i="17"/>
  <c r="N422" i="17" s="1"/>
  <c r="M423" i="17"/>
  <c r="N423" i="17" s="1"/>
  <c r="M424" i="17"/>
  <c r="N424" i="17" s="1"/>
  <c r="M425" i="17"/>
  <c r="N425" i="17" s="1"/>
  <c r="M426" i="17"/>
  <c r="N426" i="17" s="1"/>
  <c r="M427" i="17"/>
  <c r="N427" i="17" s="1"/>
  <c r="M428" i="17"/>
  <c r="N428" i="17" s="1"/>
  <c r="M429" i="17"/>
  <c r="N429" i="17" s="1"/>
  <c r="M430" i="17"/>
  <c r="N430" i="17" s="1"/>
  <c r="M431" i="17"/>
  <c r="N431" i="17" s="1"/>
  <c r="M432" i="17"/>
  <c r="N432" i="17" s="1"/>
  <c r="M433" i="17"/>
  <c r="N433" i="17" s="1"/>
  <c r="M434" i="17"/>
  <c r="N434" i="17" s="1"/>
  <c r="M435" i="17"/>
  <c r="N435" i="17" s="1"/>
  <c r="M436" i="17"/>
  <c r="N436" i="17" s="1"/>
  <c r="M437" i="17"/>
  <c r="N437" i="17" s="1"/>
  <c r="M438" i="17"/>
  <c r="N438" i="17" s="1"/>
  <c r="M439" i="17"/>
  <c r="N439" i="17" s="1"/>
  <c r="M440" i="17"/>
  <c r="N440" i="17" s="1"/>
  <c r="M441" i="17"/>
  <c r="N441" i="17" s="1"/>
  <c r="M442" i="17"/>
  <c r="N442" i="17" s="1"/>
  <c r="M443" i="17"/>
  <c r="N443" i="17" s="1"/>
  <c r="M444" i="17"/>
  <c r="N444" i="17" s="1"/>
  <c r="M445" i="17"/>
  <c r="N445" i="17" s="1"/>
  <c r="M446" i="17"/>
  <c r="N446" i="17" s="1"/>
  <c r="M447" i="17"/>
  <c r="N447" i="17" s="1"/>
  <c r="M448" i="17"/>
  <c r="N448" i="17" s="1"/>
  <c r="M449" i="17"/>
  <c r="N449" i="17" s="1"/>
  <c r="M450" i="17"/>
  <c r="N450" i="17" s="1"/>
  <c r="M451" i="17"/>
  <c r="N451" i="17" s="1"/>
  <c r="M452" i="17"/>
  <c r="N452" i="17" s="1"/>
  <c r="M453" i="17"/>
  <c r="N453" i="17" s="1"/>
  <c r="M454" i="17"/>
  <c r="N454" i="17" s="1"/>
  <c r="M455" i="17"/>
  <c r="N455" i="17" s="1"/>
  <c r="M456" i="17"/>
  <c r="N456" i="17" s="1"/>
  <c r="M457" i="17"/>
  <c r="N457" i="17" s="1"/>
  <c r="M458" i="17"/>
  <c r="N458" i="17" s="1"/>
  <c r="M459" i="17"/>
  <c r="N459" i="17" s="1"/>
  <c r="M460" i="17"/>
  <c r="N460" i="17" s="1"/>
  <c r="M461" i="17"/>
  <c r="N461" i="17" s="1"/>
  <c r="M462" i="17"/>
  <c r="N462" i="17" s="1"/>
  <c r="M463" i="17"/>
  <c r="N463" i="17" s="1"/>
  <c r="M464" i="17"/>
  <c r="N464" i="17" s="1"/>
  <c r="M465" i="17"/>
  <c r="N465" i="17" s="1"/>
  <c r="M466" i="17"/>
  <c r="N466" i="17" s="1"/>
  <c r="M467" i="17"/>
  <c r="N467" i="17" s="1"/>
  <c r="M468" i="17"/>
  <c r="N468" i="17" s="1"/>
  <c r="M469" i="17"/>
  <c r="N469" i="17" s="1"/>
  <c r="M470" i="17"/>
  <c r="N470" i="17" s="1"/>
  <c r="M471" i="17"/>
  <c r="N471" i="17" s="1"/>
  <c r="M472" i="17"/>
  <c r="N472" i="17" s="1"/>
  <c r="M473" i="17"/>
  <c r="N473" i="17" s="1"/>
  <c r="M474" i="17"/>
  <c r="N474" i="17" s="1"/>
  <c r="M475" i="17"/>
  <c r="N475" i="17" s="1"/>
  <c r="M476" i="17"/>
  <c r="N476" i="17" s="1"/>
  <c r="M477" i="17"/>
  <c r="N477" i="17" s="1"/>
  <c r="M478" i="17"/>
  <c r="N478" i="17" s="1"/>
  <c r="M479" i="17"/>
  <c r="N479" i="17" s="1"/>
  <c r="M480" i="17"/>
  <c r="N480" i="17" s="1"/>
  <c r="M481" i="17"/>
  <c r="N481" i="17" s="1"/>
  <c r="M482" i="17"/>
  <c r="N482" i="17" s="1"/>
  <c r="M483" i="17"/>
  <c r="N483" i="17" s="1"/>
  <c r="M484" i="17"/>
  <c r="N484" i="17" s="1"/>
  <c r="M485" i="17"/>
  <c r="N485" i="17" s="1"/>
  <c r="M486" i="17"/>
  <c r="N486" i="17" s="1"/>
  <c r="M487" i="17"/>
  <c r="N487" i="17" s="1"/>
  <c r="M488" i="17"/>
  <c r="N488" i="17" s="1"/>
  <c r="M489" i="17"/>
  <c r="N489" i="17" s="1"/>
  <c r="M490" i="17"/>
  <c r="N490" i="17" s="1"/>
  <c r="M491" i="17"/>
  <c r="N491" i="17" s="1"/>
  <c r="M492" i="17"/>
  <c r="N492" i="17" s="1"/>
  <c r="M493" i="17"/>
  <c r="N493" i="17" s="1"/>
  <c r="M494" i="17"/>
  <c r="N494" i="17" s="1"/>
  <c r="M495" i="17"/>
  <c r="N495" i="17" s="1"/>
  <c r="M496" i="17"/>
  <c r="N496" i="17" s="1"/>
  <c r="M497" i="17"/>
  <c r="N497" i="17" s="1"/>
  <c r="M498" i="17"/>
  <c r="N498" i="17" s="1"/>
  <c r="M499" i="17"/>
  <c r="N499" i="17" s="1"/>
  <c r="M500" i="17"/>
  <c r="N500" i="17" s="1"/>
  <c r="M501" i="17"/>
  <c r="N501" i="17" s="1"/>
  <c r="M502" i="17"/>
  <c r="N502" i="17" s="1"/>
  <c r="M503" i="17"/>
  <c r="N503" i="17" s="1"/>
  <c r="M504" i="17"/>
  <c r="N504" i="17" s="1"/>
  <c r="M505" i="17"/>
  <c r="N505" i="17" s="1"/>
  <c r="M506" i="17"/>
  <c r="N506" i="17" s="1"/>
  <c r="M507" i="17"/>
  <c r="N507" i="17" s="1"/>
  <c r="M508" i="17"/>
  <c r="N508" i="17" s="1"/>
  <c r="M509" i="17"/>
  <c r="N509" i="17" s="1"/>
  <c r="M510" i="17"/>
  <c r="N510" i="17" s="1"/>
  <c r="M511" i="17"/>
  <c r="N511" i="17" s="1"/>
  <c r="M512" i="17"/>
  <c r="N512" i="17" s="1"/>
  <c r="M513" i="17"/>
  <c r="N513" i="17" s="1"/>
  <c r="M514" i="17"/>
  <c r="N514" i="17" s="1"/>
  <c r="M515" i="17"/>
  <c r="N515" i="17" s="1"/>
  <c r="M516" i="17"/>
  <c r="N516" i="17" s="1"/>
  <c r="M517" i="17"/>
  <c r="N517" i="17" s="1"/>
  <c r="M518" i="17"/>
  <c r="N518" i="17" s="1"/>
  <c r="M519" i="17"/>
  <c r="N519" i="17" s="1"/>
  <c r="M520" i="17"/>
  <c r="N520" i="17" s="1"/>
  <c r="M521" i="17"/>
  <c r="N521" i="17" s="1"/>
  <c r="M522" i="17"/>
  <c r="N522" i="17" s="1"/>
  <c r="M523" i="17"/>
  <c r="N523" i="17" s="1"/>
  <c r="M524" i="17"/>
  <c r="N524" i="17" s="1"/>
  <c r="M525" i="17"/>
  <c r="N525" i="17" s="1"/>
  <c r="M526" i="17"/>
  <c r="N526" i="17" s="1"/>
  <c r="M527" i="17"/>
  <c r="N527" i="17" s="1"/>
  <c r="M528" i="17"/>
  <c r="N528" i="17" s="1"/>
  <c r="M529" i="17"/>
  <c r="N529" i="17" s="1"/>
  <c r="M530" i="17"/>
  <c r="N530" i="17" s="1"/>
  <c r="M531" i="17"/>
  <c r="N531" i="17" s="1"/>
  <c r="M532" i="17"/>
  <c r="N532" i="17" s="1"/>
  <c r="M533" i="17"/>
  <c r="N533" i="17" s="1"/>
  <c r="M534" i="17"/>
  <c r="N534" i="17" s="1"/>
  <c r="M535" i="17"/>
  <c r="N535" i="17" s="1"/>
  <c r="M536" i="17"/>
  <c r="N536" i="17" s="1"/>
  <c r="M537" i="17"/>
  <c r="N537" i="17" s="1"/>
  <c r="M538" i="17"/>
  <c r="N538" i="17" s="1"/>
  <c r="M539" i="17"/>
  <c r="N539" i="17" s="1"/>
  <c r="M540" i="17"/>
  <c r="N540" i="17" s="1"/>
  <c r="M541" i="17"/>
  <c r="N541" i="17" s="1"/>
  <c r="M542" i="17"/>
  <c r="N542" i="17" s="1"/>
  <c r="M543" i="17"/>
  <c r="N543" i="17" s="1"/>
  <c r="M544" i="17"/>
  <c r="N544" i="17" s="1"/>
  <c r="M545" i="17"/>
  <c r="N545" i="17" s="1"/>
  <c r="M546" i="17"/>
  <c r="N546" i="17" s="1"/>
  <c r="M547" i="17"/>
  <c r="N547" i="17" s="1"/>
  <c r="M548" i="17"/>
  <c r="N548" i="17" s="1"/>
  <c r="M549" i="17"/>
  <c r="N549" i="17" s="1"/>
  <c r="M550" i="17"/>
  <c r="N550" i="17" s="1"/>
  <c r="M551" i="17"/>
  <c r="N551" i="17" s="1"/>
  <c r="M552" i="17"/>
  <c r="N552" i="17" s="1"/>
  <c r="M553" i="17"/>
  <c r="N553" i="17" s="1"/>
  <c r="M554" i="17"/>
  <c r="N554" i="17" s="1"/>
  <c r="M555" i="17"/>
  <c r="N555" i="17" s="1"/>
  <c r="M556" i="17"/>
  <c r="N556" i="17" s="1"/>
  <c r="M557" i="17"/>
  <c r="N557" i="17" s="1"/>
  <c r="M558" i="17"/>
  <c r="N558" i="17" s="1"/>
  <c r="M559" i="17"/>
  <c r="N559" i="17" s="1"/>
  <c r="M560" i="17"/>
  <c r="N560" i="17" s="1"/>
  <c r="M561" i="17"/>
  <c r="N561" i="17" s="1"/>
  <c r="M562" i="17"/>
  <c r="N562" i="17" s="1"/>
  <c r="M563" i="17"/>
  <c r="N563" i="17" s="1"/>
  <c r="M564" i="17"/>
  <c r="N564" i="17" s="1"/>
  <c r="M565" i="17"/>
  <c r="N565" i="17" s="1"/>
  <c r="M566" i="17"/>
  <c r="N566" i="17" s="1"/>
  <c r="M567" i="17"/>
  <c r="N567" i="17" s="1"/>
  <c r="M568" i="17"/>
  <c r="N568" i="17" s="1"/>
  <c r="M569" i="17"/>
  <c r="N569" i="17" s="1"/>
  <c r="M570" i="17"/>
  <c r="N570" i="17" s="1"/>
  <c r="M571" i="17"/>
  <c r="N571" i="17" s="1"/>
  <c r="M572" i="17"/>
  <c r="N572" i="17" s="1"/>
  <c r="M573" i="17"/>
  <c r="N573" i="17" s="1"/>
  <c r="M574" i="17"/>
  <c r="N574" i="17" s="1"/>
  <c r="M575" i="17"/>
  <c r="N575" i="17" s="1"/>
  <c r="M576" i="17"/>
  <c r="N576" i="17" s="1"/>
  <c r="M577" i="17"/>
  <c r="N577" i="17" s="1"/>
  <c r="M578" i="17"/>
  <c r="N578" i="17" s="1"/>
  <c r="M579" i="17"/>
  <c r="N579" i="17" s="1"/>
  <c r="M580" i="17"/>
  <c r="N580" i="17" s="1"/>
  <c r="M581" i="17"/>
  <c r="N581" i="17" s="1"/>
  <c r="M582" i="17"/>
  <c r="N582" i="17" s="1"/>
  <c r="M583" i="17"/>
  <c r="N583" i="17" s="1"/>
  <c r="M584" i="17"/>
  <c r="N584" i="17" s="1"/>
  <c r="M585" i="17"/>
  <c r="N585" i="17" s="1"/>
  <c r="M586" i="17"/>
  <c r="N586" i="17" s="1"/>
  <c r="M587" i="17"/>
  <c r="N587" i="17" s="1"/>
  <c r="M588" i="17"/>
  <c r="N588" i="17" s="1"/>
  <c r="M589" i="17"/>
  <c r="N589" i="17" s="1"/>
  <c r="M590" i="17"/>
  <c r="N590" i="17" s="1"/>
  <c r="M591" i="17"/>
  <c r="N591" i="17" s="1"/>
  <c r="M592" i="17"/>
  <c r="N592" i="17" s="1"/>
  <c r="M593" i="17"/>
  <c r="N593" i="17" s="1"/>
  <c r="M594" i="17"/>
  <c r="N594" i="17" s="1"/>
  <c r="M595" i="17"/>
  <c r="N595" i="17" s="1"/>
  <c r="M596" i="17"/>
  <c r="N596" i="17" s="1"/>
  <c r="M597" i="17"/>
  <c r="N597" i="17" s="1"/>
  <c r="M598" i="17"/>
  <c r="N598" i="17" s="1"/>
  <c r="M599" i="17"/>
  <c r="N599" i="17" s="1"/>
  <c r="M600" i="17"/>
  <c r="N600" i="17" s="1"/>
  <c r="M601" i="17"/>
  <c r="N601" i="17" s="1"/>
  <c r="M602" i="17"/>
  <c r="N602" i="17" s="1"/>
  <c r="M603" i="17"/>
  <c r="N603" i="17" s="1"/>
  <c r="M604" i="17"/>
  <c r="N604" i="17" s="1"/>
  <c r="M605" i="17"/>
  <c r="N605" i="17" s="1"/>
  <c r="M606" i="17"/>
  <c r="N606" i="17" s="1"/>
  <c r="M607" i="17"/>
  <c r="N607" i="17" s="1"/>
  <c r="M608" i="17"/>
  <c r="N608" i="17" s="1"/>
  <c r="M609" i="17"/>
  <c r="N609" i="17" s="1"/>
  <c r="M610" i="17"/>
  <c r="N610" i="17" s="1"/>
  <c r="M611" i="17"/>
  <c r="N611" i="17" s="1"/>
  <c r="M612" i="17"/>
  <c r="N612" i="17" s="1"/>
  <c r="M613" i="17"/>
  <c r="N613" i="17" s="1"/>
  <c r="M614" i="17"/>
  <c r="N614" i="17" s="1"/>
  <c r="M615" i="17"/>
  <c r="N615" i="17" s="1"/>
  <c r="M616" i="17"/>
  <c r="N616" i="17" s="1"/>
  <c r="M617" i="17"/>
  <c r="N617" i="17" s="1"/>
  <c r="M618" i="17"/>
  <c r="N618" i="17" s="1"/>
  <c r="M619" i="17"/>
  <c r="N619" i="17" s="1"/>
  <c r="M620" i="17"/>
  <c r="N620" i="17" s="1"/>
  <c r="M621" i="17"/>
  <c r="N621" i="17" s="1"/>
  <c r="M622" i="17"/>
  <c r="N622" i="17" s="1"/>
  <c r="M623" i="17"/>
  <c r="N623" i="17" s="1"/>
  <c r="M624" i="17"/>
  <c r="N624" i="17" s="1"/>
  <c r="M625" i="17"/>
  <c r="N625" i="17" s="1"/>
  <c r="M626" i="17"/>
  <c r="N626" i="17" s="1"/>
  <c r="M627" i="17"/>
  <c r="N627" i="17" s="1"/>
  <c r="M628" i="17"/>
  <c r="N628" i="17" s="1"/>
  <c r="M629" i="17"/>
  <c r="N629" i="17" s="1"/>
  <c r="M630" i="17"/>
  <c r="N630" i="17" s="1"/>
  <c r="M631" i="17"/>
  <c r="N631" i="17" s="1"/>
  <c r="M632" i="17"/>
  <c r="N632" i="17" s="1"/>
  <c r="M633" i="17"/>
  <c r="N633" i="17" s="1"/>
  <c r="M634" i="17"/>
  <c r="N634" i="17" s="1"/>
  <c r="M635" i="17"/>
  <c r="N635" i="17" s="1"/>
  <c r="M636" i="17"/>
  <c r="N636" i="17" s="1"/>
  <c r="M637" i="17"/>
  <c r="N637" i="17" s="1"/>
  <c r="M638" i="17"/>
  <c r="N638" i="17" s="1"/>
  <c r="M639" i="17"/>
  <c r="N639" i="17" s="1"/>
  <c r="M640" i="17"/>
  <c r="N640" i="17" s="1"/>
  <c r="M641" i="17"/>
  <c r="N641" i="17" s="1"/>
  <c r="M642" i="17"/>
  <c r="N642" i="17" s="1"/>
  <c r="M643" i="17"/>
  <c r="N643" i="17" s="1"/>
  <c r="M644" i="17"/>
  <c r="N644" i="17" s="1"/>
  <c r="M645" i="17"/>
  <c r="N645" i="17" s="1"/>
  <c r="M646" i="17"/>
  <c r="N646" i="17" s="1"/>
  <c r="M647" i="17"/>
  <c r="N647" i="17" s="1"/>
  <c r="M648" i="17"/>
  <c r="N648" i="17" s="1"/>
  <c r="M649" i="17"/>
  <c r="N649" i="17" s="1"/>
  <c r="M650" i="17"/>
  <c r="N650" i="17" s="1"/>
  <c r="M651" i="17"/>
  <c r="N651" i="17" s="1"/>
  <c r="M652" i="17"/>
  <c r="N652" i="17" s="1"/>
  <c r="M653" i="17"/>
  <c r="N653" i="17" s="1"/>
  <c r="M654" i="17"/>
  <c r="N654" i="17" s="1"/>
  <c r="M655" i="17"/>
  <c r="N655" i="17" s="1"/>
  <c r="M656" i="17"/>
  <c r="N656" i="17" s="1"/>
  <c r="M657" i="17"/>
  <c r="N657" i="17" s="1"/>
  <c r="M658" i="17"/>
  <c r="N658" i="17" s="1"/>
  <c r="M659" i="17"/>
  <c r="N659" i="17" s="1"/>
  <c r="M660" i="17"/>
  <c r="N660" i="17" s="1"/>
  <c r="M661" i="17"/>
  <c r="N661" i="17" s="1"/>
  <c r="M662" i="17"/>
  <c r="N662" i="17" s="1"/>
  <c r="M663" i="17"/>
  <c r="N663" i="17" s="1"/>
  <c r="M664" i="17"/>
  <c r="N664" i="17" s="1"/>
  <c r="M665" i="17"/>
  <c r="N665" i="17" s="1"/>
  <c r="M666" i="17"/>
  <c r="N666" i="17" s="1"/>
  <c r="M667" i="17"/>
  <c r="N667" i="17" s="1"/>
  <c r="M668" i="17"/>
  <c r="N668" i="17" s="1"/>
  <c r="M669" i="17"/>
  <c r="N669" i="17" s="1"/>
  <c r="M670" i="17"/>
  <c r="N670" i="17" s="1"/>
  <c r="M671" i="17"/>
  <c r="N671" i="17" s="1"/>
  <c r="M672" i="17"/>
  <c r="N672" i="17" s="1"/>
  <c r="M673" i="17"/>
  <c r="N673" i="17" s="1"/>
  <c r="M674" i="17"/>
  <c r="N674" i="17" s="1"/>
  <c r="M675" i="17"/>
  <c r="N675" i="17" s="1"/>
  <c r="M676" i="17"/>
  <c r="N676" i="17" s="1"/>
  <c r="M677" i="17"/>
  <c r="N677" i="17" s="1"/>
  <c r="M678" i="17"/>
  <c r="N678" i="17" s="1"/>
  <c r="M679" i="17"/>
  <c r="N679" i="17" s="1"/>
  <c r="M680" i="17"/>
  <c r="N680" i="17" s="1"/>
  <c r="M681" i="17"/>
  <c r="N681" i="17" s="1"/>
  <c r="M682" i="17"/>
  <c r="N682" i="17" s="1"/>
  <c r="M683" i="17"/>
  <c r="N683" i="17" s="1"/>
  <c r="M684" i="17"/>
  <c r="N684" i="17" s="1"/>
  <c r="M685" i="17"/>
  <c r="N685" i="17" s="1"/>
  <c r="M686" i="17"/>
  <c r="N686" i="17" s="1"/>
  <c r="M687" i="17"/>
  <c r="N687" i="17" s="1"/>
  <c r="M688" i="17"/>
  <c r="N688" i="17" s="1"/>
  <c r="M689" i="17"/>
  <c r="N689" i="17" s="1"/>
  <c r="M690" i="17"/>
  <c r="N690" i="17" s="1"/>
  <c r="M691" i="17"/>
  <c r="N691" i="17" s="1"/>
  <c r="M692" i="17"/>
  <c r="N692" i="17" s="1"/>
  <c r="M693" i="17"/>
  <c r="N693" i="17" s="1"/>
  <c r="M694" i="17"/>
  <c r="N694" i="17" s="1"/>
  <c r="M695" i="17"/>
  <c r="N695" i="17" s="1"/>
  <c r="M696" i="17"/>
  <c r="N696" i="17" s="1"/>
  <c r="M697" i="17"/>
  <c r="N697" i="17" s="1"/>
  <c r="M698" i="17"/>
  <c r="N698" i="17" s="1"/>
  <c r="M699" i="17"/>
  <c r="N699" i="17" s="1"/>
  <c r="M700" i="17"/>
  <c r="N700" i="17" s="1"/>
  <c r="M701" i="17"/>
  <c r="N701" i="17" s="1"/>
  <c r="M702" i="17"/>
  <c r="N702" i="17" s="1"/>
  <c r="M703" i="17"/>
  <c r="N703" i="17" s="1"/>
  <c r="M704" i="17"/>
  <c r="N704" i="17" s="1"/>
  <c r="M705" i="17"/>
  <c r="N705" i="17" s="1"/>
  <c r="M706" i="17"/>
  <c r="N706" i="17" s="1"/>
  <c r="M707" i="17"/>
  <c r="N707" i="17" s="1"/>
  <c r="M708" i="17"/>
  <c r="N708" i="17" s="1"/>
  <c r="M709" i="17"/>
  <c r="N709" i="17" s="1"/>
  <c r="M710" i="17"/>
  <c r="N710" i="17" s="1"/>
  <c r="M711" i="17"/>
  <c r="N711" i="17" s="1"/>
  <c r="M712" i="17"/>
  <c r="N712" i="17" s="1"/>
  <c r="M713" i="17"/>
  <c r="N713" i="17" s="1"/>
  <c r="M714" i="17"/>
  <c r="N714" i="17" s="1"/>
  <c r="M715" i="17"/>
  <c r="N715" i="17" s="1"/>
  <c r="M716" i="17"/>
  <c r="N716" i="17" s="1"/>
  <c r="M717" i="17"/>
  <c r="N717" i="17" s="1"/>
  <c r="M718" i="17"/>
  <c r="N718" i="17" s="1"/>
  <c r="M719" i="17"/>
  <c r="N719" i="17" s="1"/>
  <c r="M720" i="17"/>
  <c r="N720" i="17" s="1"/>
  <c r="M721" i="17"/>
  <c r="N721" i="17" s="1"/>
  <c r="M722" i="17"/>
  <c r="N722" i="17" s="1"/>
  <c r="M723" i="17"/>
  <c r="N723" i="17" s="1"/>
  <c r="M724" i="17"/>
  <c r="N724" i="17" s="1"/>
  <c r="M725" i="17"/>
  <c r="N725" i="17" s="1"/>
  <c r="M726" i="17"/>
  <c r="N726" i="17" s="1"/>
  <c r="M727" i="17"/>
  <c r="N727" i="17" s="1"/>
  <c r="M728" i="17"/>
  <c r="N728" i="17" s="1"/>
  <c r="M729" i="17"/>
  <c r="N729" i="17" s="1"/>
  <c r="M730" i="17"/>
  <c r="N730" i="17" s="1"/>
  <c r="M731" i="17"/>
  <c r="N731" i="17" s="1"/>
  <c r="M732" i="17"/>
  <c r="N732" i="17" s="1"/>
  <c r="M733" i="17"/>
  <c r="N733" i="17" s="1"/>
  <c r="M734" i="17"/>
  <c r="N734" i="17" s="1"/>
  <c r="M735" i="17"/>
  <c r="N735" i="17" s="1"/>
  <c r="M736" i="17"/>
  <c r="N736" i="17" s="1"/>
  <c r="M737" i="17"/>
  <c r="N737" i="17" s="1"/>
  <c r="M738" i="17"/>
  <c r="N738" i="17" s="1"/>
  <c r="M739" i="17"/>
  <c r="N739" i="17" s="1"/>
  <c r="M740" i="17"/>
  <c r="N740" i="17" s="1"/>
  <c r="M741" i="17"/>
  <c r="N741" i="17" s="1"/>
  <c r="M742" i="17"/>
  <c r="N742" i="17" s="1"/>
  <c r="M743" i="17"/>
  <c r="N743" i="17" s="1"/>
  <c r="M744" i="17"/>
  <c r="N744" i="17" s="1"/>
  <c r="M745" i="17"/>
  <c r="N745" i="17" s="1"/>
  <c r="M746" i="17"/>
  <c r="N746" i="17" s="1"/>
  <c r="M747" i="17"/>
  <c r="N747" i="17" s="1"/>
  <c r="M748" i="17"/>
  <c r="N748" i="17" s="1"/>
  <c r="M749" i="17"/>
  <c r="N749" i="17" s="1"/>
  <c r="M750" i="17"/>
  <c r="N750" i="17" s="1"/>
  <c r="M751" i="17"/>
  <c r="N751" i="17" s="1"/>
  <c r="M752" i="17"/>
  <c r="N752" i="17" s="1"/>
  <c r="M753" i="17"/>
  <c r="N753" i="17" s="1"/>
  <c r="M754" i="17"/>
  <c r="N754" i="17" s="1"/>
  <c r="M755" i="17"/>
  <c r="N755" i="17" s="1"/>
  <c r="M756" i="17"/>
  <c r="N756" i="17" s="1"/>
  <c r="M757" i="17"/>
  <c r="N757" i="17" s="1"/>
  <c r="M758" i="17"/>
  <c r="N758" i="17" s="1"/>
  <c r="M759" i="17"/>
  <c r="N759" i="17" s="1"/>
  <c r="M760" i="17"/>
  <c r="N760" i="17" s="1"/>
  <c r="M761" i="17"/>
  <c r="N761" i="17" s="1"/>
  <c r="M762" i="17"/>
  <c r="N762" i="17" s="1"/>
  <c r="M763" i="17"/>
  <c r="N763" i="17" s="1"/>
  <c r="M764" i="17"/>
  <c r="N764" i="17" s="1"/>
  <c r="M765" i="17"/>
  <c r="N765" i="17" s="1"/>
  <c r="M766" i="17"/>
  <c r="N766" i="17" s="1"/>
  <c r="M767" i="17"/>
  <c r="N767" i="17" s="1"/>
  <c r="M768" i="17"/>
  <c r="N768" i="17" s="1"/>
  <c r="M769" i="17"/>
  <c r="N769" i="17" s="1"/>
  <c r="M770" i="17"/>
  <c r="N770" i="17" s="1"/>
  <c r="M771" i="17"/>
  <c r="N771" i="17" s="1"/>
  <c r="M772" i="17"/>
  <c r="N772" i="17" s="1"/>
  <c r="M773" i="17"/>
  <c r="N773" i="17" s="1"/>
  <c r="M774" i="17"/>
  <c r="N774" i="17" s="1"/>
  <c r="M775" i="17"/>
  <c r="N775" i="17" s="1"/>
  <c r="M776" i="17"/>
  <c r="N776" i="17" s="1"/>
  <c r="M777" i="17"/>
  <c r="N777" i="17" s="1"/>
  <c r="M778" i="17"/>
  <c r="N778" i="17" s="1"/>
  <c r="M779" i="17"/>
  <c r="N779" i="17" s="1"/>
  <c r="M780" i="17"/>
  <c r="N780" i="17" s="1"/>
  <c r="M781" i="17"/>
  <c r="N781" i="17" s="1"/>
  <c r="M782" i="17"/>
  <c r="N782" i="17" s="1"/>
  <c r="M783" i="17"/>
  <c r="N783" i="17" s="1"/>
  <c r="M784" i="17"/>
  <c r="N784" i="17" s="1"/>
  <c r="M785" i="17"/>
  <c r="N785" i="17" s="1"/>
  <c r="M786" i="17"/>
  <c r="N786" i="17" s="1"/>
  <c r="M787" i="17"/>
  <c r="N787" i="17" s="1"/>
  <c r="M788" i="17"/>
  <c r="N788" i="17" s="1"/>
  <c r="M789" i="17"/>
  <c r="N789" i="17" s="1"/>
  <c r="M790" i="17"/>
  <c r="N790" i="17" s="1"/>
  <c r="M791" i="17"/>
  <c r="N791" i="17" s="1"/>
  <c r="M792" i="17"/>
  <c r="N792" i="17" s="1"/>
  <c r="M793" i="17"/>
  <c r="N793" i="17" s="1"/>
  <c r="M794" i="17"/>
  <c r="N794" i="17" s="1"/>
  <c r="M795" i="17"/>
  <c r="N795" i="17" s="1"/>
  <c r="M796" i="17"/>
  <c r="N796" i="17" s="1"/>
  <c r="M797" i="17"/>
  <c r="N797" i="17" s="1"/>
  <c r="M798" i="17"/>
  <c r="N798" i="17" s="1"/>
  <c r="M799" i="17"/>
  <c r="N799" i="17" s="1"/>
  <c r="M800" i="17"/>
  <c r="N800" i="17" s="1"/>
  <c r="M801" i="17"/>
  <c r="N801" i="17" s="1"/>
  <c r="M802" i="17"/>
  <c r="N802" i="17" s="1"/>
  <c r="M803" i="17"/>
  <c r="N803" i="17" s="1"/>
  <c r="M804" i="17"/>
  <c r="N804" i="17" s="1"/>
  <c r="M805" i="17"/>
  <c r="N805" i="17" s="1"/>
  <c r="M806" i="17"/>
  <c r="N806" i="17" s="1"/>
  <c r="M807" i="17"/>
  <c r="N807" i="17" s="1"/>
  <c r="M808" i="17"/>
  <c r="N808" i="17" s="1"/>
  <c r="M809" i="17"/>
  <c r="N809" i="17" s="1"/>
  <c r="M810" i="17"/>
  <c r="N810" i="17" s="1"/>
  <c r="M811" i="17"/>
  <c r="N811" i="17" s="1"/>
  <c r="M812" i="17"/>
  <c r="N812" i="17" s="1"/>
  <c r="M813" i="17"/>
  <c r="N813" i="17" s="1"/>
  <c r="M814" i="17"/>
  <c r="N814" i="17" s="1"/>
  <c r="M815" i="17"/>
  <c r="N815" i="17" s="1"/>
  <c r="M816" i="17"/>
  <c r="N816" i="17" s="1"/>
  <c r="M817" i="17"/>
  <c r="N817" i="17" s="1"/>
  <c r="M818" i="17"/>
  <c r="N818" i="17" s="1"/>
  <c r="M819" i="17"/>
  <c r="N819" i="17" s="1"/>
  <c r="M820" i="17"/>
  <c r="N820" i="17" s="1"/>
  <c r="M821" i="17"/>
  <c r="N821" i="17" s="1"/>
  <c r="M822" i="17"/>
  <c r="N822" i="17" s="1"/>
  <c r="M823" i="17"/>
  <c r="N823" i="17" s="1"/>
  <c r="M824" i="17"/>
  <c r="N824" i="17" s="1"/>
  <c r="M825" i="17"/>
  <c r="N825" i="17" s="1"/>
  <c r="M826" i="17"/>
  <c r="N826" i="17" s="1"/>
  <c r="M827" i="17"/>
  <c r="N827" i="17" s="1"/>
  <c r="M828" i="17"/>
  <c r="N828" i="17" s="1"/>
  <c r="M829" i="17"/>
  <c r="N829" i="17" s="1"/>
  <c r="M830" i="17"/>
  <c r="N830" i="17" s="1"/>
  <c r="M831" i="17"/>
  <c r="N831" i="17" s="1"/>
  <c r="M832" i="17"/>
  <c r="N832" i="17" s="1"/>
  <c r="M833" i="17"/>
  <c r="N833" i="17" s="1"/>
  <c r="M834" i="17"/>
  <c r="N834" i="17" s="1"/>
  <c r="M835" i="17"/>
  <c r="N835" i="17" s="1"/>
  <c r="M836" i="17"/>
  <c r="N836" i="17" s="1"/>
  <c r="M837" i="17"/>
  <c r="N837" i="17" s="1"/>
  <c r="M838" i="17"/>
  <c r="N838" i="17" s="1"/>
  <c r="M839" i="17"/>
  <c r="N839" i="17" s="1"/>
  <c r="M840" i="17"/>
  <c r="N840" i="17" s="1"/>
  <c r="M841" i="17"/>
  <c r="N841" i="17" s="1"/>
  <c r="M842" i="17"/>
  <c r="N842" i="17" s="1"/>
  <c r="M843" i="17"/>
  <c r="N843" i="17" s="1"/>
  <c r="M844" i="17"/>
  <c r="N844" i="17" s="1"/>
  <c r="M845" i="17"/>
  <c r="N845" i="17" s="1"/>
  <c r="M846" i="17"/>
  <c r="N846" i="17" s="1"/>
  <c r="M847" i="17"/>
  <c r="N847" i="17" s="1"/>
  <c r="M848" i="17"/>
  <c r="N848" i="17" s="1"/>
  <c r="M849" i="17"/>
  <c r="N849" i="17" s="1"/>
  <c r="M850" i="17"/>
  <c r="N850" i="17" s="1"/>
  <c r="M851" i="17"/>
  <c r="N851" i="17" s="1"/>
  <c r="M852" i="17"/>
  <c r="N852" i="17" s="1"/>
  <c r="M853" i="17"/>
  <c r="N853" i="17" s="1"/>
  <c r="M854" i="17"/>
  <c r="N854" i="17" s="1"/>
  <c r="M855" i="17"/>
  <c r="N855" i="17" s="1"/>
  <c r="M856" i="17"/>
  <c r="N856" i="17" s="1"/>
  <c r="M857" i="17"/>
  <c r="N857" i="17" s="1"/>
  <c r="M858" i="17"/>
  <c r="N858" i="17" s="1"/>
  <c r="M859" i="17"/>
  <c r="N859" i="17" s="1"/>
  <c r="M860" i="17"/>
  <c r="N860" i="17" s="1"/>
  <c r="M861" i="17"/>
  <c r="N861" i="17" s="1"/>
  <c r="M862" i="17"/>
  <c r="N862" i="17" s="1"/>
  <c r="M863" i="17"/>
  <c r="N863" i="17" s="1"/>
  <c r="M864" i="17"/>
  <c r="N864" i="17" s="1"/>
  <c r="M865" i="17"/>
  <c r="N865" i="17" s="1"/>
  <c r="M866" i="17"/>
  <c r="N866" i="17" s="1"/>
  <c r="M867" i="17"/>
  <c r="N867" i="17" s="1"/>
  <c r="M868" i="17"/>
  <c r="N868" i="17" s="1"/>
  <c r="M869" i="17"/>
  <c r="N869" i="17" s="1"/>
  <c r="M870" i="17"/>
  <c r="N870" i="17" s="1"/>
  <c r="M871" i="17"/>
  <c r="N871" i="17" s="1"/>
  <c r="M872" i="17"/>
  <c r="N872" i="17" s="1"/>
  <c r="M873" i="17"/>
  <c r="N873" i="17" s="1"/>
  <c r="M874" i="17"/>
  <c r="N874" i="17" s="1"/>
  <c r="M875" i="17"/>
  <c r="N875" i="17" s="1"/>
  <c r="M876" i="17"/>
  <c r="N876" i="17" s="1"/>
  <c r="M877" i="17"/>
  <c r="N877" i="17" s="1"/>
  <c r="M878" i="17"/>
  <c r="N878" i="17" s="1"/>
  <c r="M879" i="17"/>
  <c r="N879" i="17" s="1"/>
  <c r="M880" i="17"/>
  <c r="N880" i="17" s="1"/>
  <c r="M881" i="17"/>
  <c r="N881" i="17" s="1"/>
  <c r="M882" i="17"/>
  <c r="N882" i="17" s="1"/>
  <c r="M883" i="17"/>
  <c r="N883" i="17" s="1"/>
  <c r="M884" i="17"/>
  <c r="N884" i="17" s="1"/>
  <c r="M885" i="17"/>
  <c r="N885" i="17" s="1"/>
  <c r="M886" i="17"/>
  <c r="N886" i="17" s="1"/>
  <c r="M887" i="17"/>
  <c r="N887" i="17" s="1"/>
  <c r="M888" i="17"/>
  <c r="N888" i="17" s="1"/>
  <c r="M889" i="17"/>
  <c r="N889" i="17" s="1"/>
  <c r="M890" i="17"/>
  <c r="N890" i="17" s="1"/>
  <c r="M891" i="17"/>
  <c r="N891" i="17" s="1"/>
  <c r="M892" i="17"/>
  <c r="N892" i="17" s="1"/>
  <c r="M893" i="17"/>
  <c r="N893" i="17" s="1"/>
  <c r="M894" i="17"/>
  <c r="N894" i="17" s="1"/>
  <c r="M895" i="17"/>
  <c r="N895" i="17" s="1"/>
  <c r="M896" i="17"/>
  <c r="N896" i="17" s="1"/>
  <c r="M897" i="17"/>
  <c r="N897" i="17" s="1"/>
  <c r="M898" i="17"/>
  <c r="N898" i="17" s="1"/>
  <c r="M899" i="17"/>
  <c r="N899" i="17" s="1"/>
  <c r="M900" i="17"/>
  <c r="N900" i="17" s="1"/>
  <c r="M901" i="17"/>
  <c r="N901" i="17" s="1"/>
  <c r="M902" i="17"/>
  <c r="N902" i="17" s="1"/>
  <c r="M903" i="17"/>
  <c r="N903" i="17" s="1"/>
  <c r="M904" i="17"/>
  <c r="N904" i="17" s="1"/>
  <c r="M905" i="17"/>
  <c r="N905" i="17" s="1"/>
  <c r="M906" i="17"/>
  <c r="N906" i="17" s="1"/>
  <c r="M907" i="17"/>
  <c r="N907" i="17" s="1"/>
  <c r="M908" i="17"/>
  <c r="N908" i="17" s="1"/>
  <c r="M909" i="17"/>
  <c r="N909" i="17" s="1"/>
  <c r="M910" i="17"/>
  <c r="N910" i="17" s="1"/>
  <c r="M911" i="17"/>
  <c r="N911" i="17" s="1"/>
  <c r="M912" i="17"/>
  <c r="N912" i="17" s="1"/>
  <c r="M913" i="17"/>
  <c r="N913" i="17" s="1"/>
  <c r="M914" i="17"/>
  <c r="N914" i="17" s="1"/>
  <c r="M915" i="17"/>
  <c r="N915" i="17" s="1"/>
  <c r="M916" i="17"/>
  <c r="N916" i="17" s="1"/>
  <c r="M917" i="17"/>
  <c r="N917" i="17" s="1"/>
  <c r="M918" i="17"/>
  <c r="N918" i="17" s="1"/>
  <c r="M919" i="17"/>
  <c r="N919" i="17" s="1"/>
  <c r="M920" i="17"/>
  <c r="N920" i="17" s="1"/>
  <c r="M921" i="17"/>
  <c r="N921" i="17" s="1"/>
  <c r="M922" i="17"/>
  <c r="N922" i="17" s="1"/>
  <c r="M923" i="17"/>
  <c r="N923" i="17" s="1"/>
  <c r="M924" i="17"/>
  <c r="N924" i="17" s="1"/>
  <c r="M925" i="17"/>
  <c r="N925" i="17" s="1"/>
  <c r="M926" i="17"/>
  <c r="N926" i="17" s="1"/>
  <c r="M927" i="17"/>
  <c r="N927" i="17" s="1"/>
  <c r="M928" i="17"/>
  <c r="N928" i="17" s="1"/>
  <c r="M929" i="17"/>
  <c r="N929" i="17" s="1"/>
  <c r="M930" i="17"/>
  <c r="N930" i="17" s="1"/>
  <c r="M931" i="17"/>
  <c r="N931" i="17" s="1"/>
  <c r="M932" i="17"/>
  <c r="N932" i="17" s="1"/>
  <c r="M933" i="17"/>
  <c r="N933" i="17" s="1"/>
  <c r="M934" i="17"/>
  <c r="N934" i="17" s="1"/>
  <c r="M935" i="17"/>
  <c r="N935" i="17" s="1"/>
  <c r="M936" i="17"/>
  <c r="N936" i="17" s="1"/>
  <c r="M937" i="17"/>
  <c r="N937" i="17" s="1"/>
  <c r="M938" i="17"/>
  <c r="N938" i="17" s="1"/>
  <c r="M939" i="17"/>
  <c r="N939" i="17" s="1"/>
  <c r="M940" i="17"/>
  <c r="N940" i="17" s="1"/>
  <c r="M941" i="17"/>
  <c r="N941" i="17" s="1"/>
  <c r="M942" i="17"/>
  <c r="N942" i="17" s="1"/>
  <c r="M943" i="17"/>
  <c r="N943" i="17" s="1"/>
  <c r="M944" i="17"/>
  <c r="N944" i="17" s="1"/>
  <c r="M945" i="17"/>
  <c r="N945" i="17" s="1"/>
  <c r="M946" i="17"/>
  <c r="N946" i="17" s="1"/>
  <c r="M947" i="17"/>
  <c r="N947" i="17" s="1"/>
  <c r="M948" i="17"/>
  <c r="N948" i="17" s="1"/>
  <c r="M949" i="17"/>
  <c r="N949" i="17" s="1"/>
  <c r="M950" i="17"/>
  <c r="N950" i="17" s="1"/>
  <c r="M951" i="17"/>
  <c r="N951" i="17" s="1"/>
  <c r="M952" i="17"/>
  <c r="N952" i="17" s="1"/>
  <c r="M953" i="17"/>
  <c r="N953" i="17" s="1"/>
  <c r="M954" i="17"/>
  <c r="N954" i="17" s="1"/>
  <c r="M955" i="17"/>
  <c r="N955" i="17" s="1"/>
  <c r="M956" i="17"/>
  <c r="N956" i="17" s="1"/>
  <c r="M957" i="17"/>
  <c r="N957" i="17" s="1"/>
  <c r="M958" i="17"/>
  <c r="N958" i="17" s="1"/>
  <c r="M959" i="17"/>
  <c r="N959" i="17" s="1"/>
  <c r="M960" i="17"/>
  <c r="N960" i="17" s="1"/>
  <c r="M961" i="17"/>
  <c r="N961" i="17" s="1"/>
  <c r="M962" i="17"/>
  <c r="N962" i="17" s="1"/>
  <c r="M963" i="17"/>
  <c r="N963" i="17" s="1"/>
  <c r="M964" i="17"/>
  <c r="N964" i="17" s="1"/>
  <c r="M965" i="17"/>
  <c r="N965" i="17" s="1"/>
  <c r="M966" i="17"/>
  <c r="N966" i="17" s="1"/>
  <c r="M967" i="17"/>
  <c r="N967" i="17" s="1"/>
  <c r="M968" i="17"/>
  <c r="N968" i="17" s="1"/>
  <c r="M969" i="17"/>
  <c r="N969" i="17" s="1"/>
  <c r="M970" i="17"/>
  <c r="N970" i="17" s="1"/>
  <c r="M971" i="17"/>
  <c r="N971" i="17" s="1"/>
  <c r="M972" i="17"/>
  <c r="N972" i="17" s="1"/>
  <c r="M973" i="17"/>
  <c r="N973" i="17" s="1"/>
  <c r="M974" i="17"/>
  <c r="N974" i="17" s="1"/>
  <c r="M975" i="17"/>
  <c r="N975" i="17" s="1"/>
  <c r="M976" i="17"/>
  <c r="N976" i="17" s="1"/>
  <c r="M977" i="17"/>
  <c r="N977" i="17" s="1"/>
  <c r="M978" i="17"/>
  <c r="N978" i="17" s="1"/>
  <c r="M979" i="17"/>
  <c r="N979" i="17" s="1"/>
  <c r="M980" i="17"/>
  <c r="N980" i="17" s="1"/>
  <c r="M981" i="17"/>
  <c r="N981" i="17" s="1"/>
  <c r="M982" i="17"/>
  <c r="N982" i="17" s="1"/>
  <c r="M983" i="17"/>
  <c r="N983" i="17" s="1"/>
  <c r="M984" i="17"/>
  <c r="N984" i="17" s="1"/>
  <c r="M985" i="17"/>
  <c r="N985" i="17" s="1"/>
  <c r="M986" i="17"/>
  <c r="N986" i="17" s="1"/>
  <c r="M987" i="17"/>
  <c r="N987" i="17" s="1"/>
  <c r="M988" i="17"/>
  <c r="N988" i="17" s="1"/>
  <c r="M989" i="17"/>
  <c r="N989" i="17" s="1"/>
  <c r="M990" i="17"/>
  <c r="N990" i="17" s="1"/>
  <c r="M991" i="17"/>
  <c r="N991" i="17" s="1"/>
  <c r="M992" i="17"/>
  <c r="N992" i="17" s="1"/>
  <c r="M993" i="17"/>
  <c r="N993" i="17" s="1"/>
  <c r="M994" i="17"/>
  <c r="N994" i="17" s="1"/>
  <c r="M995" i="17"/>
  <c r="N995" i="17" s="1"/>
  <c r="M996" i="17"/>
  <c r="N996" i="17" s="1"/>
  <c r="M997" i="17"/>
  <c r="N997" i="17" s="1"/>
  <c r="M998" i="17"/>
  <c r="N998" i="17" s="1"/>
  <c r="M999" i="17"/>
  <c r="N999" i="17" s="1"/>
  <c r="M1000" i="17"/>
  <c r="N1000" i="17" s="1"/>
  <c r="M1001" i="17"/>
  <c r="N1001" i="17" s="1"/>
  <c r="M1002" i="17"/>
  <c r="N1002" i="17" s="1"/>
  <c r="M1003" i="17"/>
  <c r="N1003" i="17" s="1"/>
  <c r="M1004" i="17"/>
  <c r="N1004" i="17" s="1"/>
  <c r="M1005" i="17"/>
  <c r="N1005" i="17" s="1"/>
  <c r="M1006" i="17"/>
  <c r="N1006" i="17" s="1"/>
  <c r="M1007" i="17"/>
  <c r="N1007" i="17" s="1"/>
  <c r="M1008" i="17"/>
  <c r="N1008" i="17" s="1"/>
  <c r="M1009" i="17"/>
  <c r="N1009" i="17" s="1"/>
  <c r="M1010" i="17"/>
  <c r="N1010" i="17" s="1"/>
  <c r="M1011" i="17"/>
  <c r="N1011" i="17" s="1"/>
  <c r="M1012" i="17"/>
  <c r="N1012" i="17" s="1"/>
  <c r="M1013" i="17"/>
  <c r="N1013" i="17" s="1"/>
  <c r="M1014" i="17"/>
  <c r="N1014" i="17" s="1"/>
  <c r="M1015" i="17"/>
  <c r="N1015" i="17" s="1"/>
  <c r="M1016" i="17"/>
  <c r="N1016" i="17" s="1"/>
  <c r="M1017" i="17"/>
  <c r="N1017" i="17" s="1"/>
  <c r="M1018" i="17"/>
  <c r="N1018" i="17" s="1"/>
  <c r="M1019" i="17"/>
  <c r="N1019" i="17" s="1"/>
  <c r="M1020" i="17"/>
  <c r="N1020" i="17" s="1"/>
  <c r="M1021" i="17"/>
  <c r="N1021" i="17" s="1"/>
  <c r="M1022" i="17"/>
  <c r="N1022" i="17" s="1"/>
  <c r="M1023" i="17"/>
  <c r="N1023" i="17" s="1"/>
  <c r="M1024" i="17"/>
  <c r="N1024" i="17" s="1"/>
  <c r="M1025" i="17"/>
  <c r="N1025" i="17" s="1"/>
  <c r="M1026" i="17"/>
  <c r="N1026" i="17" s="1"/>
  <c r="M1027" i="17"/>
  <c r="N1027" i="17" s="1"/>
  <c r="M1028" i="17"/>
  <c r="N1028" i="17" s="1"/>
  <c r="M1029" i="17"/>
  <c r="N1029" i="17" s="1"/>
  <c r="M1030" i="17"/>
  <c r="N1030" i="17" s="1"/>
  <c r="M1031" i="17"/>
  <c r="N1031" i="17" s="1"/>
  <c r="M1032" i="17"/>
  <c r="N1032" i="17" s="1"/>
  <c r="M1033" i="17"/>
  <c r="N1033" i="17" s="1"/>
  <c r="M1034" i="17"/>
  <c r="N1034" i="17" s="1"/>
  <c r="M1035" i="17"/>
  <c r="N1035" i="17" s="1"/>
  <c r="M1036" i="17"/>
  <c r="N1036" i="17" s="1"/>
  <c r="M1037" i="17"/>
  <c r="N1037" i="17" s="1"/>
  <c r="M1038" i="17"/>
  <c r="N1038" i="17" s="1"/>
  <c r="M1039" i="17"/>
  <c r="N1039" i="17" s="1"/>
  <c r="M1040" i="17"/>
  <c r="N1040" i="17" s="1"/>
  <c r="M1041" i="17"/>
  <c r="N1041" i="17" s="1"/>
  <c r="M1042" i="17"/>
  <c r="N1042" i="17" s="1"/>
  <c r="M1043" i="17"/>
  <c r="N1043" i="17" s="1"/>
  <c r="M1044" i="17"/>
  <c r="N1044" i="17" s="1"/>
  <c r="M1045" i="17"/>
  <c r="N1045" i="17" s="1"/>
  <c r="M1046" i="17"/>
  <c r="N1046" i="17" s="1"/>
  <c r="M1047" i="17"/>
  <c r="N1047" i="17" s="1"/>
  <c r="M1048" i="17"/>
  <c r="N1048" i="17" s="1"/>
  <c r="M1049" i="17"/>
  <c r="N1049" i="17" s="1"/>
  <c r="M1050" i="17"/>
  <c r="N1050" i="17" s="1"/>
  <c r="M1051" i="17"/>
  <c r="N1051" i="17" s="1"/>
  <c r="H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1002" i="17"/>
  <c r="H1003" i="17"/>
  <c r="H1004" i="17"/>
  <c r="H1005" i="17"/>
  <c r="H1006" i="17"/>
  <c r="H1007" i="17"/>
  <c r="H1008" i="17"/>
  <c r="H1009" i="17"/>
  <c r="H1010" i="17"/>
  <c r="H1011" i="17"/>
  <c r="H1012" i="17"/>
  <c r="H1013" i="17"/>
  <c r="H1014" i="17"/>
  <c r="H1015" i="17"/>
  <c r="H1016" i="17"/>
  <c r="H1017" i="17"/>
  <c r="H1018" i="17"/>
  <c r="H1019" i="17"/>
  <c r="H1020" i="17"/>
  <c r="H1021" i="17"/>
  <c r="H1022" i="17"/>
  <c r="H1023" i="17"/>
  <c r="H1024" i="17"/>
  <c r="H1025" i="17"/>
  <c r="H1026" i="17"/>
  <c r="H1027" i="17"/>
  <c r="H1028" i="17"/>
  <c r="H1029" i="17"/>
  <c r="H1030" i="17"/>
  <c r="H1031" i="17"/>
  <c r="H1032" i="17"/>
  <c r="H1033" i="17"/>
  <c r="H1034" i="17"/>
  <c r="H1035" i="17"/>
  <c r="H1036" i="17"/>
  <c r="H1037" i="17"/>
  <c r="H1038" i="17"/>
  <c r="H1039" i="17"/>
  <c r="H1040" i="17"/>
  <c r="H1041" i="17"/>
  <c r="H1042" i="17"/>
  <c r="H1043" i="17"/>
  <c r="H1044" i="17"/>
  <c r="H1045" i="17"/>
  <c r="H1046" i="17"/>
  <c r="H1047" i="17"/>
  <c r="H1048" i="17"/>
  <c r="H1049" i="17"/>
  <c r="H1050" i="17"/>
  <c r="H1051" i="17"/>
  <c r="AG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E2" i="1"/>
  <c r="AE3" i="1"/>
  <c r="AE4" i="1"/>
  <c r="AE5" i="1"/>
  <c r="AH5" i="1" s="1"/>
  <c r="AE6" i="1"/>
  <c r="AE7" i="1"/>
  <c r="AH7" i="1" s="1"/>
  <c r="AE8" i="1"/>
  <c r="AH8" i="1" s="1"/>
  <c r="AE9" i="1"/>
  <c r="AE10" i="1"/>
  <c r="AE11" i="1"/>
  <c r="AH11" i="1" s="1"/>
  <c r="AE12" i="1"/>
  <c r="AE13" i="1"/>
  <c r="AH13" i="1" s="1"/>
  <c r="AE14" i="1"/>
  <c r="AH14" i="1" s="1"/>
  <c r="AE15" i="1"/>
  <c r="AH15" i="1" s="1"/>
  <c r="AE16" i="1"/>
  <c r="AE17" i="1"/>
  <c r="AE18" i="1"/>
  <c r="AH18" i="1" s="1"/>
  <c r="AE19" i="1"/>
  <c r="AH19" i="1" s="1"/>
  <c r="AE20" i="1"/>
  <c r="AH20" i="1" s="1"/>
  <c r="AE21" i="1"/>
  <c r="AH21" i="1" s="1"/>
  <c r="AE22" i="1"/>
  <c r="AH22" i="1" s="1"/>
  <c r="AE23" i="1"/>
  <c r="AH23" i="1" s="1"/>
  <c r="AE24" i="1"/>
  <c r="AH24" i="1" s="1"/>
  <c r="AE25" i="1"/>
  <c r="AH25" i="1" s="1"/>
  <c r="AE26" i="1"/>
  <c r="AH26" i="1" s="1"/>
  <c r="AE27" i="1"/>
  <c r="AE28" i="1"/>
  <c r="AH28" i="1" s="1"/>
  <c r="AE29" i="1"/>
  <c r="AH29" i="1" s="1"/>
  <c r="AE30" i="1"/>
  <c r="AH30" i="1" s="1"/>
  <c r="AE31" i="1"/>
  <c r="AH31" i="1" s="1"/>
  <c r="AE32" i="1"/>
  <c r="AH32" i="1" s="1"/>
  <c r="AE33" i="1"/>
  <c r="AE34" i="1"/>
  <c r="AH34" i="1" s="1"/>
  <c r="AE35" i="1"/>
  <c r="AH35" i="1" s="1"/>
  <c r="AE36" i="1"/>
  <c r="AH36" i="1" s="1"/>
  <c r="AE37" i="1"/>
  <c r="AH37" i="1" s="1"/>
  <c r="AE38" i="1"/>
  <c r="AH38" i="1" s="1"/>
  <c r="AE39" i="1"/>
  <c r="AH39" i="1" s="1"/>
  <c r="AE40" i="1"/>
  <c r="AH40" i="1" s="1"/>
  <c r="AE41" i="1"/>
  <c r="AE42" i="1"/>
  <c r="AH42" i="1" s="1"/>
  <c r="AE43" i="1"/>
  <c r="AH43" i="1" s="1"/>
  <c r="AE44" i="1"/>
  <c r="AH44" i="1" s="1"/>
  <c r="AE45" i="1"/>
  <c r="AH45" i="1" s="1"/>
  <c r="AE46" i="1"/>
  <c r="AH46" i="1" s="1"/>
  <c r="AE47" i="1"/>
  <c r="AE48" i="1"/>
  <c r="AH48" i="1" s="1"/>
  <c r="AE49" i="1"/>
  <c r="AH49" i="1" s="1"/>
  <c r="AE50" i="1"/>
  <c r="AH50" i="1" s="1"/>
  <c r="AE51" i="1"/>
  <c r="AH51" i="1" s="1"/>
  <c r="AE52" i="1"/>
  <c r="AH52" i="1" s="1"/>
  <c r="AE53" i="1"/>
  <c r="AH53" i="1" s="1"/>
  <c r="AE54" i="1"/>
  <c r="AE55" i="1"/>
  <c r="AH55" i="1" s="1"/>
  <c r="AE56" i="1"/>
  <c r="AH56" i="1" s="1"/>
  <c r="AE57" i="1"/>
  <c r="AH57" i="1" s="1"/>
  <c r="AE58" i="1"/>
  <c r="AH58" i="1" s="1"/>
  <c r="AE59" i="1"/>
  <c r="AH59" i="1" s="1"/>
  <c r="AE60" i="1"/>
  <c r="AH60" i="1" s="1"/>
  <c r="AE61" i="1"/>
  <c r="AH61" i="1" s="1"/>
  <c r="AE62" i="1"/>
  <c r="AH62" i="1" s="1"/>
  <c r="AE63" i="1"/>
  <c r="AH63" i="1" s="1"/>
  <c r="AE64" i="1"/>
  <c r="AH64" i="1" s="1"/>
  <c r="AE65" i="1"/>
  <c r="AH65" i="1" s="1"/>
  <c r="AE66" i="1"/>
  <c r="AH66" i="1" s="1"/>
  <c r="AE67" i="1"/>
  <c r="AH67" i="1" s="1"/>
  <c r="AE68" i="1"/>
  <c r="AH68" i="1" s="1"/>
  <c r="AE69" i="1"/>
  <c r="AH69" i="1" s="1"/>
  <c r="AE70" i="1"/>
  <c r="AH70" i="1" s="1"/>
  <c r="AE71" i="1"/>
  <c r="AH71" i="1" s="1"/>
  <c r="AE72" i="1"/>
  <c r="AH72" i="1" s="1"/>
  <c r="AE73" i="1"/>
  <c r="AH73" i="1" s="1"/>
  <c r="AE74" i="1"/>
  <c r="AH74" i="1" s="1"/>
  <c r="AE75" i="1"/>
  <c r="AH75" i="1" s="1"/>
  <c r="AE76" i="1"/>
  <c r="AH76" i="1" s="1"/>
  <c r="AE77" i="1"/>
  <c r="AE78" i="1"/>
  <c r="AH78" i="1" s="1"/>
  <c r="AE79" i="1"/>
  <c r="AH79" i="1" s="1"/>
  <c r="AE80" i="1"/>
  <c r="AH80" i="1" s="1"/>
  <c r="AE81" i="1"/>
  <c r="AH81" i="1" s="1"/>
  <c r="AE82" i="1"/>
  <c r="AH82" i="1" s="1"/>
  <c r="AE83" i="1"/>
  <c r="AH83" i="1" s="1"/>
  <c r="AE84" i="1"/>
  <c r="AH84" i="1" s="1"/>
  <c r="AE85" i="1"/>
  <c r="AH85" i="1" s="1"/>
  <c r="AE86" i="1"/>
  <c r="AH86" i="1" s="1"/>
  <c r="AE87" i="1"/>
  <c r="AH87" i="1" s="1"/>
  <c r="AE88" i="1"/>
  <c r="AH88" i="1" s="1"/>
  <c r="AE89" i="1"/>
  <c r="AE90" i="1"/>
  <c r="AH90" i="1" s="1"/>
  <c r="AE91" i="1"/>
  <c r="AH91" i="1" s="1"/>
  <c r="AE92" i="1"/>
  <c r="AH92" i="1" s="1"/>
  <c r="AE93" i="1"/>
  <c r="AH93" i="1" s="1"/>
  <c r="AE94" i="1"/>
  <c r="AH94" i="1" s="1"/>
  <c r="AE95" i="1"/>
  <c r="AE96" i="1"/>
  <c r="AE97" i="1"/>
  <c r="AH97" i="1" s="1"/>
  <c r="AE98" i="1"/>
  <c r="AH98" i="1" s="1"/>
  <c r="AE99" i="1"/>
  <c r="AH99" i="1" s="1"/>
  <c r="AE100" i="1"/>
  <c r="AH100" i="1" s="1"/>
  <c r="AE101" i="1"/>
  <c r="AH101" i="1" s="1"/>
  <c r="AE102" i="1"/>
  <c r="AH102" i="1" s="1"/>
  <c r="AE103" i="1"/>
  <c r="AE104" i="1"/>
  <c r="AH104" i="1" s="1"/>
  <c r="AE105" i="1"/>
  <c r="AH105" i="1" s="1"/>
  <c r="AE106" i="1"/>
  <c r="AH106" i="1" s="1"/>
  <c r="AE107" i="1"/>
  <c r="AE108" i="1"/>
  <c r="AH108" i="1" s="1"/>
  <c r="AE109" i="1"/>
  <c r="AH109" i="1" s="1"/>
  <c r="AE110" i="1"/>
  <c r="AE111" i="1"/>
  <c r="AE112" i="1"/>
  <c r="AE113" i="1"/>
  <c r="AH113" i="1" s="1"/>
  <c r="AE114" i="1"/>
  <c r="AH114" i="1" s="1"/>
  <c r="AE115" i="1"/>
  <c r="AH115" i="1" s="1"/>
  <c r="AE116" i="1"/>
  <c r="AH116" i="1" s="1"/>
  <c r="AE117" i="1"/>
  <c r="AE118" i="1"/>
  <c r="AE119" i="1"/>
  <c r="AH119" i="1" s="1"/>
  <c r="AE120" i="1"/>
  <c r="AH120" i="1" s="1"/>
  <c r="AE121" i="1"/>
  <c r="AH121" i="1" s="1"/>
  <c r="AE122" i="1"/>
  <c r="AE123" i="1"/>
  <c r="AH123" i="1" s="1"/>
  <c r="AE124" i="1"/>
  <c r="AH124" i="1" s="1"/>
  <c r="AE125" i="1"/>
  <c r="AE126" i="1"/>
  <c r="AH126" i="1" s="1"/>
  <c r="AE127" i="1"/>
  <c r="AH127" i="1" s="1"/>
  <c r="AE128" i="1"/>
  <c r="AH128" i="1" s="1"/>
  <c r="AE129" i="1"/>
  <c r="AE130" i="1"/>
  <c r="AE131" i="1"/>
  <c r="AH131" i="1" s="1"/>
  <c r="AE132" i="1"/>
  <c r="AE133" i="1"/>
  <c r="AH133" i="1" s="1"/>
  <c r="AE134" i="1"/>
  <c r="AE135" i="1"/>
  <c r="AH135" i="1" s="1"/>
  <c r="AE136" i="1"/>
  <c r="AH136" i="1" s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H148" i="1" s="1"/>
  <c r="AE149" i="1"/>
  <c r="AE150" i="1"/>
  <c r="AH150" i="1" s="1"/>
  <c r="AE151" i="1"/>
  <c r="AH151" i="1" s="1"/>
  <c r="AE152" i="1"/>
  <c r="AH152" i="1" s="1"/>
  <c r="AE153" i="1"/>
  <c r="AH153" i="1" s="1"/>
  <c r="AE154" i="1"/>
  <c r="AH154" i="1" s="1"/>
  <c r="AE155" i="1"/>
  <c r="AH155" i="1" s="1"/>
  <c r="AE156" i="1"/>
  <c r="AE157" i="1"/>
  <c r="AH157" i="1" s="1"/>
  <c r="AE158" i="1"/>
  <c r="AH158" i="1" s="1"/>
  <c r="AE159" i="1"/>
  <c r="AH159" i="1" s="1"/>
  <c r="AE160" i="1"/>
  <c r="AH160" i="1" s="1"/>
  <c r="AE161" i="1"/>
  <c r="AH161" i="1" s="1"/>
  <c r="AE162" i="1"/>
  <c r="AH162" i="1" s="1"/>
  <c r="AE163" i="1"/>
  <c r="AH163" i="1" s="1"/>
  <c r="AE164" i="1"/>
  <c r="AH164" i="1" s="1"/>
  <c r="AE165" i="1"/>
  <c r="AE166" i="1"/>
  <c r="AH166" i="1" s="1"/>
  <c r="AE167" i="1"/>
  <c r="AE168" i="1"/>
  <c r="AH168" i="1" s="1"/>
  <c r="AE169" i="1"/>
  <c r="AH169" i="1" s="1"/>
  <c r="AE170" i="1"/>
  <c r="AE171" i="1"/>
  <c r="AH171" i="1" s="1"/>
  <c r="AE172" i="1"/>
  <c r="AH172" i="1" s="1"/>
  <c r="AE173" i="1"/>
  <c r="AH173" i="1" s="1"/>
  <c r="AE174" i="1"/>
  <c r="AH174" i="1" s="1"/>
  <c r="AE175" i="1"/>
  <c r="AH175" i="1" s="1"/>
  <c r="AE176" i="1"/>
  <c r="AH176" i="1" s="1"/>
  <c r="AE177" i="1"/>
  <c r="AH177" i="1" s="1"/>
  <c r="AE178" i="1"/>
  <c r="AH178" i="1" s="1"/>
  <c r="AE179" i="1"/>
  <c r="AH179" i="1" s="1"/>
  <c r="AE180" i="1"/>
  <c r="AH180" i="1" s="1"/>
  <c r="AE181" i="1"/>
  <c r="AH181" i="1" s="1"/>
  <c r="AE182" i="1"/>
  <c r="AH182" i="1" s="1"/>
  <c r="AE183" i="1"/>
  <c r="AH183" i="1" s="1"/>
  <c r="AE184" i="1"/>
  <c r="AH184" i="1" s="1"/>
  <c r="AE185" i="1"/>
  <c r="AH185" i="1" s="1"/>
  <c r="AE186" i="1"/>
  <c r="AH186" i="1" s="1"/>
  <c r="AE187" i="1"/>
  <c r="AH187" i="1" s="1"/>
  <c r="AE188" i="1"/>
  <c r="AH188" i="1" s="1"/>
  <c r="AE189" i="1"/>
  <c r="AH189" i="1" s="1"/>
  <c r="AE190" i="1"/>
  <c r="AH190" i="1" s="1"/>
  <c r="AE191" i="1"/>
  <c r="AH191" i="1" s="1"/>
  <c r="AE192" i="1"/>
  <c r="AH192" i="1" s="1"/>
  <c r="AE193" i="1"/>
  <c r="AH193" i="1" s="1"/>
  <c r="AE194" i="1"/>
  <c r="AH194" i="1" s="1"/>
  <c r="AE195" i="1"/>
  <c r="AH195" i="1" s="1"/>
  <c r="AE196" i="1"/>
  <c r="AE197" i="1"/>
  <c r="AH197" i="1" s="1"/>
  <c r="AE198" i="1"/>
  <c r="AE199" i="1"/>
  <c r="AH199" i="1" s="1"/>
  <c r="AE200" i="1"/>
  <c r="AE201" i="1"/>
  <c r="AH201" i="1" s="1"/>
  <c r="AE202" i="1"/>
  <c r="AH202" i="1" s="1"/>
  <c r="AE203" i="1"/>
  <c r="AE204" i="1"/>
  <c r="AH204" i="1" s="1"/>
  <c r="AE205" i="1"/>
  <c r="AH205" i="1" s="1"/>
  <c r="AE206" i="1"/>
  <c r="AE207" i="1"/>
  <c r="AH207" i="1" s="1"/>
  <c r="AE208" i="1"/>
  <c r="AH208" i="1" s="1"/>
  <c r="AE209" i="1"/>
  <c r="AH209" i="1" s="1"/>
  <c r="AE210" i="1"/>
  <c r="AH210" i="1" s="1"/>
  <c r="AE211" i="1"/>
  <c r="AE212" i="1"/>
  <c r="AH212" i="1" s="1"/>
  <c r="AE213" i="1"/>
  <c r="AH213" i="1" s="1"/>
  <c r="AE214" i="1"/>
  <c r="AH214" i="1" s="1"/>
  <c r="AE215" i="1"/>
  <c r="AH215" i="1" s="1"/>
  <c r="AE216" i="1"/>
  <c r="AH216" i="1" s="1"/>
  <c r="AE217" i="1"/>
  <c r="AH217" i="1" s="1"/>
  <c r="AE218" i="1"/>
  <c r="AE219" i="1"/>
  <c r="AE220" i="1"/>
  <c r="AE221" i="1"/>
  <c r="AH221" i="1" s="1"/>
  <c r="AE222" i="1"/>
  <c r="AH222" i="1" s="1"/>
  <c r="AE223" i="1"/>
  <c r="AH223" i="1" s="1"/>
  <c r="AE224" i="1"/>
  <c r="AE225" i="1"/>
  <c r="AH225" i="1" s="1"/>
  <c r="AE226" i="1"/>
  <c r="AH226" i="1" s="1"/>
  <c r="AE227" i="1"/>
  <c r="AH227" i="1" s="1"/>
  <c r="AE228" i="1"/>
  <c r="AH228" i="1" s="1"/>
  <c r="AE229" i="1"/>
  <c r="AE230" i="1"/>
  <c r="AH230" i="1" s="1"/>
  <c r="AE231" i="1"/>
  <c r="AH231" i="1" s="1"/>
  <c r="AE232" i="1"/>
  <c r="AE233" i="1"/>
  <c r="AH233" i="1" s="1"/>
  <c r="AE234" i="1"/>
  <c r="AH234" i="1" s="1"/>
  <c r="AE235" i="1"/>
  <c r="AE236" i="1"/>
  <c r="AH236" i="1" s="1"/>
  <c r="AE237" i="1"/>
  <c r="AH237" i="1" s="1"/>
  <c r="AE238" i="1"/>
  <c r="AH238" i="1" s="1"/>
  <c r="AE239" i="1"/>
  <c r="AH239" i="1" s="1"/>
  <c r="AE240" i="1"/>
  <c r="AH240" i="1" s="1"/>
  <c r="AE241" i="1"/>
  <c r="AE242" i="1"/>
  <c r="AH242" i="1" s="1"/>
  <c r="AE243" i="1"/>
  <c r="AH243" i="1" s="1"/>
  <c r="AE244" i="1"/>
  <c r="AE245" i="1"/>
  <c r="AH245" i="1" s="1"/>
  <c r="AE246" i="1"/>
  <c r="AH246" i="1" s="1"/>
  <c r="AE247" i="1"/>
  <c r="AE248" i="1"/>
  <c r="AE249" i="1"/>
  <c r="AE250" i="1"/>
  <c r="AH250" i="1" s="1"/>
  <c r="AE251" i="1"/>
  <c r="AH251" i="1" s="1"/>
  <c r="AE252" i="1"/>
  <c r="AE253" i="1"/>
  <c r="AH253" i="1" s="1"/>
  <c r="AE254" i="1"/>
  <c r="AH254" i="1" s="1"/>
  <c r="AE255" i="1"/>
  <c r="AH255" i="1" s="1"/>
  <c r="AE256" i="1"/>
  <c r="AH256" i="1" s="1"/>
  <c r="AE257" i="1"/>
  <c r="AH257" i="1" s="1"/>
  <c r="AE258" i="1"/>
  <c r="AH258" i="1" s="1"/>
  <c r="AE259" i="1"/>
  <c r="AE260" i="1"/>
  <c r="AE261" i="1"/>
  <c r="AE262" i="1"/>
  <c r="AH262" i="1" s="1"/>
  <c r="AE263" i="1"/>
  <c r="AH263" i="1" s="1"/>
  <c r="AE264" i="1"/>
  <c r="AH264" i="1" s="1"/>
  <c r="AE265" i="1"/>
  <c r="AH265" i="1" s="1"/>
  <c r="AE266" i="1"/>
  <c r="AE267" i="1"/>
  <c r="AE268" i="1"/>
  <c r="AE269" i="1"/>
  <c r="AE270" i="1"/>
  <c r="AE271" i="1"/>
  <c r="AE272" i="1"/>
  <c r="AE273" i="1"/>
  <c r="AH273" i="1" s="1"/>
  <c r="AE274" i="1"/>
  <c r="AE275" i="1"/>
  <c r="AE276" i="1"/>
  <c r="AE277" i="1"/>
  <c r="AH277" i="1" s="1"/>
  <c r="AE278" i="1"/>
  <c r="AH278" i="1" s="1"/>
  <c r="AE279" i="1"/>
  <c r="AH279" i="1" s="1"/>
  <c r="AE280" i="1"/>
  <c r="AH280" i="1" s="1"/>
  <c r="AE281" i="1"/>
  <c r="AH281" i="1" s="1"/>
  <c r="AE282" i="1"/>
  <c r="AE283" i="1"/>
  <c r="AE284" i="1"/>
  <c r="AH284" i="1" s="1"/>
  <c r="AE285" i="1"/>
  <c r="AE286" i="1"/>
  <c r="AE287" i="1"/>
  <c r="AH287" i="1" s="1"/>
  <c r="AE288" i="1"/>
  <c r="AH288" i="1" s="1"/>
  <c r="AE289" i="1"/>
  <c r="AE290" i="1"/>
  <c r="AE291" i="1"/>
  <c r="AH291" i="1" s="1"/>
  <c r="AE292" i="1"/>
  <c r="AH292" i="1" s="1"/>
  <c r="AE293" i="1"/>
  <c r="AH293" i="1" s="1"/>
  <c r="AE294" i="1"/>
  <c r="AE295" i="1"/>
  <c r="AE296" i="1"/>
  <c r="AH296" i="1" s="1"/>
  <c r="AE297" i="1"/>
  <c r="AH297" i="1" s="1"/>
  <c r="AE298" i="1"/>
  <c r="AH298" i="1" s="1"/>
  <c r="AE299" i="1"/>
  <c r="AH299" i="1" s="1"/>
  <c r="AE300" i="1"/>
  <c r="AH300" i="1" s="1"/>
  <c r="AE301" i="1"/>
  <c r="AH301" i="1" s="1"/>
  <c r="AE302" i="1"/>
  <c r="AH302" i="1" s="1"/>
  <c r="AE303" i="1"/>
  <c r="AH303" i="1" s="1"/>
  <c r="AE304" i="1"/>
  <c r="AH304" i="1" s="1"/>
  <c r="AE305" i="1"/>
  <c r="AH305" i="1" s="1"/>
  <c r="AE306" i="1"/>
  <c r="AH306" i="1" s="1"/>
  <c r="AE307" i="1"/>
  <c r="AH307" i="1" s="1"/>
  <c r="AE308" i="1"/>
  <c r="AH308" i="1" s="1"/>
  <c r="AE309" i="1"/>
  <c r="AH309" i="1" s="1"/>
  <c r="AE310" i="1"/>
  <c r="AH310" i="1" s="1"/>
  <c r="AE311" i="1"/>
  <c r="AH311" i="1" s="1"/>
  <c r="AE312" i="1"/>
  <c r="AH312" i="1" s="1"/>
  <c r="AE313" i="1"/>
  <c r="AH313" i="1" s="1"/>
  <c r="AE314" i="1"/>
  <c r="AE315" i="1"/>
  <c r="AE316" i="1"/>
  <c r="AE317" i="1"/>
  <c r="AH317" i="1" s="1"/>
  <c r="AE318" i="1"/>
  <c r="AH318" i="1" s="1"/>
  <c r="AE319" i="1"/>
  <c r="AH319" i="1" s="1"/>
  <c r="AE320" i="1"/>
  <c r="AE321" i="1"/>
  <c r="AH321" i="1" s="1"/>
  <c r="AE322" i="1"/>
  <c r="AH322" i="1" s="1"/>
  <c r="AE323" i="1"/>
  <c r="AH323" i="1" s="1"/>
  <c r="AE324" i="1"/>
  <c r="AH324" i="1" s="1"/>
  <c r="AE325" i="1"/>
  <c r="AH325" i="1" s="1"/>
  <c r="AE326" i="1"/>
  <c r="AE327" i="1"/>
  <c r="AH327" i="1" s="1"/>
  <c r="AE328" i="1"/>
  <c r="AH328" i="1" s="1"/>
  <c r="AE329" i="1"/>
  <c r="AH329" i="1" s="1"/>
  <c r="AE330" i="1"/>
  <c r="AH330" i="1" s="1"/>
  <c r="AE331" i="1"/>
  <c r="AH331" i="1" s="1"/>
  <c r="AE332" i="1"/>
  <c r="AH332" i="1" s="1"/>
  <c r="AE333" i="1"/>
  <c r="AH333" i="1" s="1"/>
  <c r="AE334" i="1"/>
  <c r="AH334" i="1" s="1"/>
  <c r="AE335" i="1"/>
  <c r="AH335" i="1" s="1"/>
  <c r="AE336" i="1"/>
  <c r="AE337" i="1"/>
  <c r="AH337" i="1" s="1"/>
  <c r="AE338" i="1"/>
  <c r="AH338" i="1" s="1"/>
  <c r="AE339" i="1"/>
  <c r="AE340" i="1"/>
  <c r="AH340" i="1" s="1"/>
  <c r="AE341" i="1"/>
  <c r="AH341" i="1" s="1"/>
  <c r="AE342" i="1"/>
  <c r="AH342" i="1" s="1"/>
  <c r="AE343" i="1"/>
  <c r="AH343" i="1" s="1"/>
  <c r="AE344" i="1"/>
  <c r="AH344" i="1" s="1"/>
  <c r="AE345" i="1"/>
  <c r="AH345" i="1" s="1"/>
  <c r="AE346" i="1"/>
  <c r="AH346" i="1" s="1"/>
  <c r="AE347" i="1"/>
  <c r="AH347" i="1" s="1"/>
  <c r="AE348" i="1"/>
  <c r="AH348" i="1" s="1"/>
  <c r="AE349" i="1"/>
  <c r="AH349" i="1" s="1"/>
  <c r="AE350" i="1"/>
  <c r="AH350" i="1" s="1"/>
  <c r="AE351" i="1"/>
  <c r="AH351" i="1" s="1"/>
  <c r="AE352" i="1"/>
  <c r="AH352" i="1" s="1"/>
  <c r="AE353" i="1"/>
  <c r="AH353" i="1" s="1"/>
  <c r="AE354" i="1"/>
  <c r="AE355" i="1"/>
  <c r="AE356" i="1"/>
  <c r="AH356" i="1" s="1"/>
  <c r="AE357" i="1"/>
  <c r="AH357" i="1" s="1"/>
  <c r="AE358" i="1"/>
  <c r="AE359" i="1"/>
  <c r="AH359" i="1" s="1"/>
  <c r="AE360" i="1"/>
  <c r="AH360" i="1" s="1"/>
  <c r="AE361" i="1"/>
  <c r="AE362" i="1"/>
  <c r="AE363" i="1"/>
  <c r="AH363" i="1" s="1"/>
  <c r="AE364" i="1"/>
  <c r="AE365" i="1"/>
  <c r="AH365" i="1" s="1"/>
  <c r="AE366" i="1"/>
  <c r="AH366" i="1" s="1"/>
  <c r="AE367" i="1"/>
  <c r="AH367" i="1" s="1"/>
  <c r="AE368" i="1"/>
  <c r="AH368" i="1" s="1"/>
  <c r="AE369" i="1"/>
  <c r="AE370" i="1"/>
  <c r="AH370" i="1" s="1"/>
  <c r="AE371" i="1"/>
  <c r="AE372" i="1"/>
  <c r="AH372" i="1" s="1"/>
  <c r="AE373" i="1"/>
  <c r="AH373" i="1" s="1"/>
  <c r="AE374" i="1"/>
  <c r="AH374" i="1" s="1"/>
  <c r="AE375" i="1"/>
  <c r="AH375" i="1" s="1"/>
  <c r="AE376" i="1"/>
  <c r="AH376" i="1" s="1"/>
  <c r="AE377" i="1"/>
  <c r="AH377" i="1" s="1"/>
  <c r="AE378" i="1"/>
  <c r="AH378" i="1" s="1"/>
  <c r="AE379" i="1"/>
  <c r="AH379" i="1" s="1"/>
  <c r="AE380" i="1"/>
  <c r="AH380" i="1" s="1"/>
  <c r="AE381" i="1"/>
  <c r="AE382" i="1"/>
  <c r="AE383" i="1"/>
  <c r="AE384" i="1"/>
  <c r="AH384" i="1" s="1"/>
  <c r="AE385" i="1"/>
  <c r="AE386" i="1"/>
  <c r="AE387" i="1"/>
  <c r="AE388" i="1"/>
  <c r="AH388" i="1" s="1"/>
  <c r="AE389" i="1"/>
  <c r="AH389" i="1" s="1"/>
  <c r="AE390" i="1"/>
  <c r="AH390" i="1" s="1"/>
  <c r="AE391" i="1"/>
  <c r="AH391" i="1" s="1"/>
  <c r="AE392" i="1"/>
  <c r="AH392" i="1" s="1"/>
  <c r="AE393" i="1"/>
  <c r="AH393" i="1" s="1"/>
  <c r="AE394" i="1"/>
  <c r="AH394" i="1" s="1"/>
  <c r="AE395" i="1"/>
  <c r="AH395" i="1" s="1"/>
  <c r="AE396" i="1"/>
  <c r="AH396" i="1" s="1"/>
  <c r="AE397" i="1"/>
  <c r="AH397" i="1" s="1"/>
  <c r="AE398" i="1"/>
  <c r="AH398" i="1" s="1"/>
  <c r="AE399" i="1"/>
  <c r="AH399" i="1" s="1"/>
  <c r="AE400" i="1"/>
  <c r="AH400" i="1" s="1"/>
  <c r="AE401" i="1"/>
  <c r="AH401" i="1" s="1"/>
  <c r="AE402" i="1"/>
  <c r="AH402" i="1" s="1"/>
  <c r="AE403" i="1"/>
  <c r="AH403" i="1" s="1"/>
  <c r="AE404" i="1"/>
  <c r="AE405" i="1"/>
  <c r="AH405" i="1" s="1"/>
  <c r="AE406" i="1"/>
  <c r="AH406" i="1" s="1"/>
  <c r="AE407" i="1"/>
  <c r="AH407" i="1" s="1"/>
  <c r="AE408" i="1"/>
  <c r="AH408" i="1" s="1"/>
  <c r="AE409" i="1"/>
  <c r="AH409" i="1" s="1"/>
  <c r="AE410" i="1"/>
  <c r="AH410" i="1" s="1"/>
  <c r="AE411" i="1"/>
  <c r="AH411" i="1" s="1"/>
  <c r="AE412" i="1"/>
  <c r="AH412" i="1" s="1"/>
  <c r="AE413" i="1"/>
  <c r="AE414" i="1"/>
  <c r="AE415" i="1"/>
  <c r="AH415" i="1" s="1"/>
  <c r="AE416" i="1"/>
  <c r="AH416" i="1" s="1"/>
  <c r="AE417" i="1"/>
  <c r="AH417" i="1" s="1"/>
  <c r="AE418" i="1"/>
  <c r="AH418" i="1" s="1"/>
  <c r="AE419" i="1"/>
  <c r="AH419" i="1" s="1"/>
  <c r="AE420" i="1"/>
  <c r="AH420" i="1" s="1"/>
  <c r="AE421" i="1"/>
  <c r="AH421" i="1" s="1"/>
  <c r="AE422" i="1"/>
  <c r="AH422" i="1" s="1"/>
  <c r="AE423" i="1"/>
  <c r="AE424" i="1"/>
  <c r="AE425" i="1"/>
  <c r="AE426" i="1"/>
  <c r="AH426" i="1" s="1"/>
  <c r="AE427" i="1"/>
  <c r="AE428" i="1"/>
  <c r="AH428" i="1" s="1"/>
  <c r="AE429" i="1"/>
  <c r="AH429" i="1" s="1"/>
  <c r="AE430" i="1"/>
  <c r="AH430" i="1" s="1"/>
  <c r="AE431" i="1"/>
  <c r="AH431" i="1" s="1"/>
  <c r="AE432" i="1"/>
  <c r="AH432" i="1" s="1"/>
  <c r="AE433" i="1"/>
  <c r="AH433" i="1" s="1"/>
  <c r="AE434" i="1"/>
  <c r="AH434" i="1" s="1"/>
  <c r="AE435" i="1"/>
  <c r="AE436" i="1"/>
  <c r="AH436" i="1" s="1"/>
  <c r="AE437" i="1"/>
  <c r="AH437" i="1" s="1"/>
  <c r="AE438" i="1"/>
  <c r="AH438" i="1" s="1"/>
  <c r="AE439" i="1"/>
  <c r="AE440" i="1"/>
  <c r="AH440" i="1" s="1"/>
  <c r="AE441" i="1"/>
  <c r="AE442" i="1"/>
  <c r="AH442" i="1" s="1"/>
  <c r="AE443" i="1"/>
  <c r="AH443" i="1" s="1"/>
  <c r="AE444" i="1"/>
  <c r="AH444" i="1" s="1"/>
  <c r="AE445" i="1"/>
  <c r="AH445" i="1" s="1"/>
  <c r="AE446" i="1"/>
  <c r="AH446" i="1" s="1"/>
  <c r="AE447" i="1"/>
  <c r="AH447" i="1" s="1"/>
  <c r="AE448" i="1"/>
  <c r="AE449" i="1"/>
  <c r="AH449" i="1" s="1"/>
  <c r="AE450" i="1"/>
  <c r="AH450" i="1" s="1"/>
  <c r="AE451" i="1"/>
  <c r="AH451" i="1" s="1"/>
  <c r="AE452" i="1"/>
  <c r="AH452" i="1" s="1"/>
  <c r="AE453" i="1"/>
  <c r="AH453" i="1" s="1"/>
  <c r="AE454" i="1"/>
  <c r="AH454" i="1" s="1"/>
  <c r="AE455" i="1"/>
  <c r="AH455" i="1" s="1"/>
  <c r="AE456" i="1"/>
  <c r="AH456" i="1" s="1"/>
  <c r="AE457" i="1"/>
  <c r="AE458" i="1"/>
  <c r="AH458" i="1" s="1"/>
  <c r="AE459" i="1"/>
  <c r="AH459" i="1" s="1"/>
  <c r="AE460" i="1"/>
  <c r="AH460" i="1" s="1"/>
  <c r="AE461" i="1"/>
  <c r="AH461" i="1" s="1"/>
  <c r="AE462" i="1"/>
  <c r="AH462" i="1" s="1"/>
  <c r="AE463" i="1"/>
  <c r="AH463" i="1" s="1"/>
  <c r="AE464" i="1"/>
  <c r="AH464" i="1" s="1"/>
  <c r="AE465" i="1"/>
  <c r="AH465" i="1" s="1"/>
  <c r="AE466" i="1"/>
  <c r="AH466" i="1" s="1"/>
  <c r="AE467" i="1"/>
  <c r="AH467" i="1" s="1"/>
  <c r="AE468" i="1"/>
  <c r="AH468" i="1" s="1"/>
  <c r="AE469" i="1"/>
  <c r="AH469" i="1" s="1"/>
  <c r="AE470" i="1"/>
  <c r="AH470" i="1" s="1"/>
  <c r="AE471" i="1"/>
  <c r="AH471" i="1" s="1"/>
  <c r="AE472" i="1"/>
  <c r="AH472" i="1" s="1"/>
  <c r="AE473" i="1"/>
  <c r="AE474" i="1"/>
  <c r="AH474" i="1" s="1"/>
  <c r="AE475" i="1"/>
  <c r="AH475" i="1" s="1"/>
  <c r="AE476" i="1"/>
  <c r="AH476" i="1" s="1"/>
  <c r="AE477" i="1"/>
  <c r="AE478" i="1"/>
  <c r="AH478" i="1" s="1"/>
  <c r="AE479" i="1"/>
  <c r="AH479" i="1" s="1"/>
  <c r="AE480" i="1"/>
  <c r="AH480" i="1" s="1"/>
  <c r="AE481" i="1"/>
  <c r="AH481" i="1" s="1"/>
  <c r="AE482" i="1"/>
  <c r="AH482" i="1" s="1"/>
  <c r="AE483" i="1"/>
  <c r="AH483" i="1" s="1"/>
  <c r="AE484" i="1"/>
  <c r="AE485" i="1"/>
  <c r="AE486" i="1"/>
  <c r="AH486" i="1" s="1"/>
  <c r="AE487" i="1"/>
  <c r="AE488" i="1"/>
  <c r="AE489" i="1"/>
  <c r="AH489" i="1" s="1"/>
  <c r="AE490" i="1"/>
  <c r="AE491" i="1"/>
  <c r="AH491" i="1" s="1"/>
  <c r="AE492" i="1"/>
  <c r="AH492" i="1" s="1"/>
  <c r="AE493" i="1"/>
  <c r="AH493" i="1" s="1"/>
  <c r="AE494" i="1"/>
  <c r="AH494" i="1" s="1"/>
  <c r="AE495" i="1"/>
  <c r="AH495" i="1" s="1"/>
  <c r="AE496" i="1"/>
  <c r="AE497" i="1"/>
  <c r="AE498" i="1"/>
  <c r="AE499" i="1"/>
  <c r="AH499" i="1" s="1"/>
  <c r="AE500" i="1"/>
  <c r="AH500" i="1" s="1"/>
  <c r="AE501" i="1"/>
  <c r="AH501" i="1" s="1"/>
  <c r="AE502" i="1"/>
  <c r="AE503" i="1"/>
  <c r="AE504" i="1"/>
  <c r="AE505" i="1"/>
  <c r="AH505" i="1" s="1"/>
  <c r="AE506" i="1"/>
  <c r="AH506" i="1" s="1"/>
  <c r="AE507" i="1"/>
  <c r="AH507" i="1" s="1"/>
  <c r="AE508" i="1"/>
  <c r="AH508" i="1" s="1"/>
  <c r="AE509" i="1"/>
  <c r="AH509" i="1" s="1"/>
  <c r="AE510" i="1"/>
  <c r="AH510" i="1" s="1"/>
  <c r="AE511" i="1"/>
  <c r="AH511" i="1" s="1"/>
  <c r="AE512" i="1"/>
  <c r="AH512" i="1" s="1"/>
  <c r="AE513" i="1"/>
  <c r="AH513" i="1" s="1"/>
  <c r="AE514" i="1"/>
  <c r="AH514" i="1" s="1"/>
  <c r="AE515" i="1"/>
  <c r="AH515" i="1" s="1"/>
  <c r="AE516" i="1"/>
  <c r="AH516" i="1" s="1"/>
  <c r="AE517" i="1"/>
  <c r="AH517" i="1" s="1"/>
  <c r="AE518" i="1"/>
  <c r="AH518" i="1" s="1"/>
  <c r="AE519" i="1"/>
  <c r="AH519" i="1" s="1"/>
  <c r="AE520" i="1"/>
  <c r="AH520" i="1" s="1"/>
  <c r="AE521" i="1"/>
  <c r="AH521" i="1" s="1"/>
  <c r="AE522" i="1"/>
  <c r="AH522" i="1" s="1"/>
  <c r="AE523" i="1"/>
  <c r="AH523" i="1" s="1"/>
  <c r="AE524" i="1"/>
  <c r="AH524" i="1" s="1"/>
  <c r="AE525" i="1"/>
  <c r="AH525" i="1" s="1"/>
  <c r="AE526" i="1"/>
  <c r="AH526" i="1" s="1"/>
  <c r="AE527" i="1"/>
  <c r="AH527" i="1" s="1"/>
  <c r="AE528" i="1"/>
  <c r="AH528" i="1" s="1"/>
  <c r="AE529" i="1"/>
  <c r="AH529" i="1" s="1"/>
  <c r="AE530" i="1"/>
  <c r="AH530" i="1" s="1"/>
  <c r="AE531" i="1"/>
  <c r="AE532" i="1"/>
  <c r="AH532" i="1" s="1"/>
  <c r="AE533" i="1"/>
  <c r="AH533" i="1" s="1"/>
  <c r="AE534" i="1"/>
  <c r="AH534" i="1" s="1"/>
  <c r="AE535" i="1"/>
  <c r="AH535" i="1" s="1"/>
  <c r="AE536" i="1"/>
  <c r="AH536" i="1" s="1"/>
  <c r="AE537" i="1"/>
  <c r="AH537" i="1" s="1"/>
  <c r="AE538" i="1"/>
  <c r="AE539" i="1"/>
  <c r="AE540" i="1"/>
  <c r="AH540" i="1" s="1"/>
  <c r="AE541" i="1"/>
  <c r="AH541" i="1" s="1"/>
  <c r="AE542" i="1"/>
  <c r="AH542" i="1" s="1"/>
  <c r="AE543" i="1"/>
  <c r="AH543" i="1" s="1"/>
  <c r="AE544" i="1"/>
  <c r="AH544" i="1" s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H703" i="1" s="1"/>
  <c r="AE704" i="1"/>
  <c r="AH704" i="1" s="1"/>
  <c r="AE705" i="1"/>
  <c r="AH705" i="1" s="1"/>
  <c r="AE706" i="1"/>
  <c r="AH706" i="1" s="1"/>
  <c r="AE707" i="1"/>
  <c r="AH707" i="1" s="1"/>
  <c r="AE708" i="1"/>
  <c r="AH708" i="1" s="1"/>
  <c r="AE709" i="1"/>
  <c r="AH709" i="1" s="1"/>
  <c r="AE710" i="1"/>
  <c r="AH710" i="1" s="1"/>
  <c r="AE711" i="1"/>
  <c r="AH711" i="1" s="1"/>
  <c r="AE712" i="1"/>
  <c r="AH712" i="1" s="1"/>
  <c r="AE713" i="1"/>
  <c r="AH713" i="1" s="1"/>
  <c r="AE714" i="1"/>
  <c r="AH714" i="1" s="1"/>
  <c r="AE715" i="1"/>
  <c r="AH715" i="1" s="1"/>
  <c r="AE716" i="1"/>
  <c r="AH716" i="1" s="1"/>
  <c r="AE717" i="1"/>
  <c r="AH717" i="1" s="1"/>
  <c r="AE718" i="1"/>
  <c r="AH718" i="1" s="1"/>
  <c r="AE719" i="1"/>
  <c r="AH719" i="1" s="1"/>
  <c r="AE720" i="1"/>
  <c r="AH720" i="1" s="1"/>
  <c r="AE721" i="1"/>
  <c r="AH721" i="1" s="1"/>
  <c r="AE722" i="1"/>
  <c r="AH722" i="1" s="1"/>
  <c r="AE723" i="1"/>
  <c r="AH723" i="1" s="1"/>
  <c r="AE724" i="1"/>
  <c r="AH724" i="1" s="1"/>
  <c r="AE725" i="1"/>
  <c r="AH725" i="1" s="1"/>
  <c r="AE726" i="1"/>
  <c r="AH726" i="1" s="1"/>
  <c r="AE727" i="1"/>
  <c r="AH727" i="1" s="1"/>
  <c r="AE728" i="1"/>
  <c r="AH728" i="1" s="1"/>
  <c r="AE729" i="1"/>
  <c r="AH729" i="1" s="1"/>
  <c r="AE730" i="1"/>
  <c r="AH730" i="1" s="1"/>
  <c r="AE731" i="1"/>
  <c r="AH731" i="1" s="1"/>
  <c r="AE732" i="1"/>
  <c r="AH732" i="1" s="1"/>
  <c r="AE733" i="1"/>
  <c r="AH733" i="1" s="1"/>
  <c r="AE734" i="1"/>
  <c r="AH734" i="1" s="1"/>
  <c r="AE735" i="1"/>
  <c r="AH735" i="1" s="1"/>
  <c r="AE736" i="1"/>
  <c r="AH736" i="1" s="1"/>
  <c r="AE737" i="1"/>
  <c r="AH737" i="1" s="1"/>
  <c r="AE738" i="1"/>
  <c r="AH738" i="1" s="1"/>
  <c r="AE739" i="1"/>
  <c r="AH739" i="1" s="1"/>
  <c r="AE740" i="1"/>
  <c r="AH740" i="1" s="1"/>
  <c r="AE741" i="1"/>
  <c r="AH741" i="1" s="1"/>
  <c r="AE742" i="1"/>
  <c r="AH742" i="1" s="1"/>
  <c r="AE743" i="1"/>
  <c r="AH743" i="1" s="1"/>
  <c r="AE744" i="1"/>
  <c r="AH744" i="1" s="1"/>
  <c r="AE745" i="1"/>
  <c r="AH745" i="1" s="1"/>
  <c r="AE746" i="1"/>
  <c r="AH746" i="1" s="1"/>
  <c r="AE747" i="1"/>
  <c r="AH747" i="1" s="1"/>
  <c r="AE748" i="1"/>
  <c r="AH748" i="1" s="1"/>
  <c r="AE749" i="1"/>
  <c r="AH749" i="1" s="1"/>
  <c r="AE750" i="1"/>
  <c r="AH750" i="1" s="1"/>
  <c r="AE751" i="1"/>
  <c r="AH751" i="1" s="1"/>
  <c r="AE752" i="1"/>
  <c r="AH752" i="1" s="1"/>
  <c r="AE753" i="1"/>
  <c r="AH753" i="1" s="1"/>
  <c r="AE754" i="1"/>
  <c r="AH754" i="1" s="1"/>
  <c r="AE755" i="1"/>
  <c r="AH755" i="1" s="1"/>
  <c r="AE756" i="1"/>
  <c r="AE757" i="1"/>
  <c r="AE758" i="1"/>
  <c r="AE759" i="1"/>
  <c r="AE760" i="1"/>
  <c r="AH760" i="1" s="1"/>
  <c r="AE761" i="1"/>
  <c r="AH761" i="1" s="1"/>
  <c r="AE762" i="1"/>
  <c r="AH762" i="1" s="1"/>
  <c r="AE763" i="1"/>
  <c r="AH763" i="1" s="1"/>
  <c r="AE764" i="1"/>
  <c r="AH764" i="1" s="1"/>
  <c r="AE765" i="1"/>
  <c r="AE766" i="1"/>
  <c r="AE767" i="1"/>
  <c r="AE768" i="1"/>
  <c r="AH768" i="1" s="1"/>
  <c r="AE769" i="1"/>
  <c r="AH769" i="1" s="1"/>
  <c r="AE770" i="1"/>
  <c r="AH770" i="1" s="1"/>
  <c r="AE771" i="1"/>
  <c r="AH771" i="1" s="1"/>
  <c r="AE772" i="1"/>
  <c r="AH772" i="1" s="1"/>
  <c r="AE773" i="1"/>
  <c r="AH773" i="1" s="1"/>
  <c r="AE774" i="1"/>
  <c r="AH774" i="1" s="1"/>
  <c r="AE775" i="1"/>
  <c r="AH775" i="1" s="1"/>
  <c r="AE776" i="1"/>
  <c r="AH776" i="1" s="1"/>
  <c r="AE777" i="1"/>
  <c r="AH777" i="1" s="1"/>
  <c r="AE778" i="1"/>
  <c r="AH778" i="1" s="1"/>
  <c r="AE779" i="1"/>
  <c r="AH779" i="1" s="1"/>
  <c r="AE780" i="1"/>
  <c r="AH780" i="1" s="1"/>
  <c r="AE781" i="1"/>
  <c r="AH781" i="1" s="1"/>
  <c r="AE782" i="1"/>
  <c r="AH782" i="1" s="1"/>
  <c r="AE783" i="1"/>
  <c r="AH783" i="1" s="1"/>
  <c r="AE784" i="1"/>
  <c r="AH784" i="1" s="1"/>
  <c r="AE785" i="1"/>
  <c r="AH785" i="1" s="1"/>
  <c r="AE786" i="1"/>
  <c r="AH786" i="1" s="1"/>
  <c r="AE787" i="1"/>
  <c r="AH787" i="1" s="1"/>
  <c r="AE788" i="1"/>
  <c r="AH788" i="1" s="1"/>
  <c r="AE789" i="1"/>
  <c r="AH789" i="1" s="1"/>
  <c r="AE790" i="1"/>
  <c r="AH790" i="1" s="1"/>
  <c r="AE791" i="1"/>
  <c r="AE792" i="1"/>
  <c r="AE793" i="1"/>
  <c r="AH793" i="1" s="1"/>
  <c r="AE794" i="1"/>
  <c r="AH794" i="1" s="1"/>
  <c r="AE795" i="1"/>
  <c r="AE796" i="1"/>
  <c r="AE797" i="1"/>
  <c r="AE798" i="1"/>
  <c r="AE799" i="1"/>
  <c r="AE800" i="1"/>
  <c r="AE801" i="1"/>
  <c r="AE802" i="1"/>
  <c r="AE803" i="1"/>
  <c r="AH803" i="1" s="1"/>
  <c r="AE804" i="1"/>
  <c r="AH804" i="1" s="1"/>
  <c r="AE805" i="1"/>
  <c r="AH805" i="1" s="1"/>
  <c r="AE806" i="1"/>
  <c r="AH806" i="1" s="1"/>
  <c r="AE807" i="1"/>
  <c r="AH807" i="1" s="1"/>
  <c r="AE808" i="1"/>
  <c r="AH808" i="1" s="1"/>
  <c r="AE809" i="1"/>
  <c r="AH809" i="1" s="1"/>
  <c r="AE810" i="1"/>
  <c r="AH810" i="1" s="1"/>
  <c r="AE811" i="1"/>
  <c r="AH811" i="1" s="1"/>
  <c r="AE812" i="1"/>
  <c r="AH812" i="1" s="1"/>
  <c r="AE813" i="1"/>
  <c r="AE814" i="1"/>
  <c r="AH814" i="1" s="1"/>
  <c r="AE815" i="1"/>
  <c r="AH815" i="1" s="1"/>
  <c r="AE816" i="1"/>
  <c r="AH816" i="1" s="1"/>
  <c r="AE817" i="1"/>
  <c r="AH817" i="1" s="1"/>
  <c r="AE818" i="1"/>
  <c r="AH818" i="1" s="1"/>
  <c r="AE819" i="1"/>
  <c r="AH819" i="1" s="1"/>
  <c r="AE820" i="1"/>
  <c r="AH820" i="1" s="1"/>
  <c r="AE821" i="1"/>
  <c r="AE822" i="1"/>
  <c r="AE823" i="1"/>
  <c r="AE824" i="1"/>
  <c r="AH824" i="1" s="1"/>
  <c r="AE825" i="1"/>
  <c r="AH825" i="1" s="1"/>
  <c r="AE826" i="1"/>
  <c r="AH826" i="1" s="1"/>
  <c r="AE827" i="1"/>
  <c r="AH827" i="1" s="1"/>
  <c r="AE828" i="1"/>
  <c r="AE829" i="1"/>
  <c r="AE830" i="1"/>
  <c r="AE831" i="1"/>
  <c r="AE832" i="1"/>
  <c r="AH832" i="1" s="1"/>
  <c r="AE833" i="1"/>
  <c r="AH833" i="1" s="1"/>
  <c r="AE834" i="1"/>
  <c r="AH834" i="1" s="1"/>
  <c r="AE835" i="1"/>
  <c r="AH835" i="1" s="1"/>
  <c r="AE836" i="1"/>
  <c r="AH836" i="1" s="1"/>
  <c r="AE837" i="1"/>
  <c r="AH837" i="1" s="1"/>
  <c r="AE838" i="1"/>
  <c r="AH838" i="1" s="1"/>
  <c r="AE839" i="1"/>
  <c r="AH839" i="1" s="1"/>
  <c r="AE840" i="1"/>
  <c r="AH840" i="1" s="1"/>
  <c r="AE841" i="1"/>
  <c r="AH841" i="1" s="1"/>
  <c r="AE842" i="1"/>
  <c r="AE843" i="1"/>
  <c r="AH843" i="1" s="1"/>
  <c r="AE844" i="1"/>
  <c r="AE845" i="1"/>
  <c r="AH845" i="1" s="1"/>
  <c r="AE846" i="1"/>
  <c r="AH846" i="1" s="1"/>
  <c r="AE847" i="1"/>
  <c r="AH847" i="1" s="1"/>
  <c r="AE848" i="1"/>
  <c r="AH848" i="1" s="1"/>
  <c r="AE849" i="1"/>
  <c r="AE850" i="1"/>
  <c r="AH850" i="1" s="1"/>
  <c r="AE851" i="1"/>
  <c r="AH851" i="1" s="1"/>
  <c r="AE852" i="1"/>
  <c r="AH852" i="1" s="1"/>
  <c r="AE853" i="1"/>
  <c r="AH853" i="1" s="1"/>
  <c r="AE854" i="1"/>
  <c r="AH854" i="1" s="1"/>
  <c r="AE855" i="1"/>
  <c r="AH855" i="1" s="1"/>
  <c r="AE856" i="1"/>
  <c r="AH856" i="1" s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H953" i="1" s="1"/>
  <c r="AE954" i="1"/>
  <c r="AH954" i="1" s="1"/>
  <c r="AE955" i="1"/>
  <c r="AH955" i="1" s="1"/>
  <c r="AE956" i="1"/>
  <c r="AH956" i="1" s="1"/>
  <c r="AE957" i="1"/>
  <c r="AH957" i="1" s="1"/>
  <c r="AE958" i="1"/>
  <c r="AH958" i="1" s="1"/>
  <c r="AE959" i="1"/>
  <c r="AH959" i="1" s="1"/>
  <c r="AE960" i="1"/>
  <c r="AH960" i="1" s="1"/>
  <c r="AE961" i="1"/>
  <c r="AE962" i="1"/>
  <c r="AE963" i="1"/>
  <c r="AE964" i="1"/>
  <c r="AE965" i="1"/>
  <c r="AH965" i="1" s="1"/>
  <c r="AE966" i="1"/>
  <c r="AH966" i="1" s="1"/>
  <c r="AE967" i="1"/>
  <c r="AH967" i="1" s="1"/>
  <c r="AE968" i="1"/>
  <c r="AH968" i="1" s="1"/>
  <c r="AE969" i="1"/>
  <c r="AH969" i="1" s="1"/>
  <c r="AE970" i="1"/>
  <c r="AH970" i="1" s="1"/>
  <c r="AE971" i="1"/>
  <c r="AE972" i="1"/>
  <c r="AE973" i="1"/>
  <c r="AE974" i="1"/>
  <c r="AE975" i="1"/>
  <c r="AH975" i="1" s="1"/>
  <c r="AE976" i="1"/>
  <c r="AH976" i="1" s="1"/>
  <c r="AE977" i="1"/>
  <c r="AH977" i="1" s="1"/>
  <c r="AE978" i="1"/>
  <c r="AH978" i="1" s="1"/>
  <c r="AE979" i="1"/>
  <c r="AH979" i="1" s="1"/>
  <c r="AE980" i="1"/>
  <c r="AH980" i="1" s="1"/>
  <c r="AE981" i="1"/>
  <c r="AH981" i="1" s="1"/>
  <c r="AE982" i="1"/>
  <c r="AH982" i="1" s="1"/>
  <c r="AE983" i="1"/>
  <c r="AE984" i="1"/>
  <c r="AH984" i="1" s="1"/>
  <c r="AE985" i="1"/>
  <c r="AH985" i="1" s="1"/>
  <c r="AE986" i="1"/>
  <c r="AH986" i="1" s="1"/>
  <c r="AE987" i="1"/>
  <c r="AE988" i="1"/>
  <c r="AH988" i="1" s="1"/>
  <c r="AE989" i="1"/>
  <c r="AH989" i="1" s="1"/>
  <c r="AE990" i="1"/>
  <c r="AH990" i="1" s="1"/>
  <c r="AE991" i="1"/>
  <c r="AH991" i="1" s="1"/>
  <c r="AE992" i="1"/>
  <c r="AH992" i="1" s="1"/>
  <c r="AE993" i="1"/>
  <c r="AH993" i="1" s="1"/>
  <c r="AE994" i="1"/>
  <c r="AH994" i="1" s="1"/>
  <c r="AE995" i="1"/>
  <c r="AH995" i="1" s="1"/>
  <c r="AE996" i="1"/>
  <c r="AH996" i="1" s="1"/>
  <c r="AE997" i="1"/>
  <c r="AH997" i="1" s="1"/>
  <c r="AE998" i="1"/>
  <c r="AH998" i="1" s="1"/>
  <c r="AE999" i="1"/>
  <c r="AH999" i="1" s="1"/>
  <c r="AE1000" i="1"/>
  <c r="AH1000" i="1" s="1"/>
  <c r="AE1001" i="1"/>
  <c r="AH1001" i="1" s="1"/>
  <c r="AE1002" i="1"/>
  <c r="AE1003" i="1"/>
  <c r="AE1004" i="1"/>
  <c r="AE1005" i="1"/>
  <c r="AE1006" i="1"/>
  <c r="AH1006" i="1" s="1"/>
  <c r="AE1007" i="1"/>
  <c r="AE1008" i="1"/>
  <c r="AE1009" i="1"/>
  <c r="AH1009" i="1" s="1"/>
  <c r="AE1010" i="1"/>
  <c r="AE1011" i="1"/>
  <c r="AE1012" i="1"/>
  <c r="AE1013" i="1"/>
  <c r="AE1014" i="1"/>
  <c r="AH1014" i="1" s="1"/>
  <c r="AE1015" i="1"/>
  <c r="AE1016" i="1"/>
  <c r="AE1017" i="1"/>
  <c r="AE1018" i="1"/>
  <c r="AH1018" i="1" s="1"/>
  <c r="AE1019" i="1"/>
  <c r="AH1019" i="1" s="1"/>
  <c r="AE1020" i="1"/>
  <c r="AH1020" i="1" s="1"/>
  <c r="AE1021" i="1"/>
  <c r="AH1021" i="1" s="1"/>
  <c r="AE1022" i="1"/>
  <c r="AH1022" i="1" s="1"/>
  <c r="AE1023" i="1"/>
  <c r="AH1023" i="1" s="1"/>
  <c r="AE1024" i="1"/>
  <c r="AH1024" i="1" s="1"/>
  <c r="AE1025" i="1"/>
  <c r="AH1025" i="1" s="1"/>
  <c r="AE1026" i="1"/>
  <c r="AH1026" i="1" s="1"/>
  <c r="AE1027" i="1"/>
  <c r="AH1027" i="1" s="1"/>
  <c r="AE1028" i="1"/>
  <c r="AH1028" i="1" s="1"/>
  <c r="AE1029" i="1"/>
  <c r="AH1029" i="1" s="1"/>
  <c r="AE1030" i="1"/>
  <c r="AH1030" i="1" s="1"/>
  <c r="AE1031" i="1"/>
  <c r="AH1031" i="1" s="1"/>
  <c r="AE1032" i="1"/>
  <c r="AH1032" i="1" s="1"/>
  <c r="AE1033" i="1"/>
  <c r="AH1033" i="1" s="1"/>
  <c r="AE1034" i="1"/>
  <c r="AH1034" i="1" s="1"/>
  <c r="AE1035" i="1"/>
  <c r="AH1035" i="1" s="1"/>
  <c r="AE1036" i="1"/>
  <c r="AE1037" i="1"/>
  <c r="AE1038" i="1"/>
  <c r="AE1039" i="1"/>
  <c r="AE1040" i="1"/>
  <c r="AE1041" i="1"/>
  <c r="AE1042" i="1"/>
  <c r="AE1043" i="1"/>
  <c r="AH1043" i="1" s="1"/>
  <c r="AE1044" i="1"/>
  <c r="AH1044" i="1" s="1"/>
  <c r="AE1045" i="1"/>
  <c r="AE1046" i="1"/>
  <c r="AE1047" i="1"/>
  <c r="AE1048" i="1"/>
  <c r="AH1048" i="1" s="1"/>
  <c r="AE1049" i="1"/>
  <c r="AH1049" i="1" s="1"/>
  <c r="AE1050" i="1"/>
  <c r="AH1050" i="1" s="1"/>
  <c r="AE1051" i="1"/>
  <c r="AH1051" i="1" s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AU2" i="17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N2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G1036" i="17"/>
  <c r="G1037" i="17"/>
  <c r="G1038" i="17"/>
  <c r="G1039" i="17"/>
  <c r="G1040" i="17"/>
  <c r="G1041" i="17"/>
  <c r="G1042" i="17"/>
  <c r="G1043" i="17"/>
  <c r="G1044" i="17"/>
  <c r="G1045" i="17"/>
  <c r="G1046" i="17"/>
  <c r="G1047" i="17"/>
  <c r="G1048" i="17"/>
  <c r="G1049" i="17"/>
  <c r="G1050" i="17"/>
  <c r="G1051" i="17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E988" i="17"/>
  <c r="E989" i="17"/>
  <c r="E990" i="17"/>
  <c r="E991" i="17"/>
  <c r="E992" i="17"/>
  <c r="E993" i="17"/>
  <c r="E994" i="17"/>
  <c r="E995" i="17"/>
  <c r="E996" i="17"/>
  <c r="E997" i="17"/>
  <c r="E998" i="17"/>
  <c r="E999" i="17"/>
  <c r="E1000" i="17"/>
  <c r="E1001" i="17"/>
  <c r="E1002" i="17"/>
  <c r="E1003" i="17"/>
  <c r="E1004" i="17"/>
  <c r="E1005" i="17"/>
  <c r="E1006" i="17"/>
  <c r="E1007" i="17"/>
  <c r="E1008" i="17"/>
  <c r="E1009" i="17"/>
  <c r="E1010" i="17"/>
  <c r="E1011" i="17"/>
  <c r="E1012" i="17"/>
  <c r="E1013" i="17"/>
  <c r="E1014" i="17"/>
  <c r="E1015" i="17"/>
  <c r="E1016" i="17"/>
  <c r="E1017" i="17"/>
  <c r="E1018" i="17"/>
  <c r="E1019" i="17"/>
  <c r="E1020" i="17"/>
  <c r="E1021" i="17"/>
  <c r="E1022" i="17"/>
  <c r="E1023" i="17"/>
  <c r="E1024" i="17"/>
  <c r="E1025" i="17"/>
  <c r="E1026" i="17"/>
  <c r="E1027" i="17"/>
  <c r="E1028" i="17"/>
  <c r="E1029" i="17"/>
  <c r="E1030" i="17"/>
  <c r="E1031" i="17"/>
  <c r="E1032" i="17"/>
  <c r="E1033" i="17"/>
  <c r="E1034" i="17"/>
  <c r="E1035" i="17"/>
  <c r="E1036" i="17"/>
  <c r="E1037" i="17"/>
  <c r="E1038" i="17"/>
  <c r="E1039" i="17"/>
  <c r="E1040" i="17"/>
  <c r="E1041" i="17"/>
  <c r="E1042" i="17"/>
  <c r="E1043" i="17"/>
  <c r="E1044" i="17"/>
  <c r="E1045" i="17"/>
  <c r="E1046" i="17"/>
  <c r="E1047" i="17"/>
  <c r="E1048" i="17"/>
  <c r="E1049" i="17"/>
  <c r="E1050" i="17"/>
  <c r="E1051" i="17"/>
  <c r="D2" i="17"/>
  <c r="D2" i="14" s="1"/>
  <c r="D3" i="17"/>
  <c r="D3" i="14" s="1"/>
  <c r="D4" i="17"/>
  <c r="D4" i="14" s="1"/>
  <c r="D5" i="17"/>
  <c r="D5" i="14" s="1"/>
  <c r="D6" i="17"/>
  <c r="D6" i="14" s="1"/>
  <c r="D7" i="17"/>
  <c r="D7" i="14" s="1"/>
  <c r="D8" i="17"/>
  <c r="D8" i="14" s="1"/>
  <c r="D9" i="17"/>
  <c r="D9" i="14" s="1"/>
  <c r="D10" i="17"/>
  <c r="D10" i="14" s="1"/>
  <c r="D11" i="17"/>
  <c r="D11" i="14" s="1"/>
  <c r="D12" i="17"/>
  <c r="D12" i="14" s="1"/>
  <c r="D13" i="17"/>
  <c r="D13" i="14" s="1"/>
  <c r="D14" i="17"/>
  <c r="D14" i="14" s="1"/>
  <c r="D15" i="17"/>
  <c r="D15" i="14" s="1"/>
  <c r="D16" i="17"/>
  <c r="D16" i="14" s="1"/>
  <c r="D17" i="17"/>
  <c r="D17" i="14" s="1"/>
  <c r="D18" i="17"/>
  <c r="D18" i="14" s="1"/>
  <c r="D19" i="17"/>
  <c r="D19" i="14" s="1"/>
  <c r="D20" i="17"/>
  <c r="D20" i="14" s="1"/>
  <c r="D21" i="17"/>
  <c r="D21" i="14" s="1"/>
  <c r="D22" i="17"/>
  <c r="D22" i="14" s="1"/>
  <c r="D23" i="17"/>
  <c r="D23" i="14" s="1"/>
  <c r="D24" i="17"/>
  <c r="D24" i="14" s="1"/>
  <c r="D25" i="17"/>
  <c r="D25" i="14" s="1"/>
  <c r="D26" i="17"/>
  <c r="D26" i="14" s="1"/>
  <c r="D27" i="17"/>
  <c r="D27" i="14" s="1"/>
  <c r="D28" i="17"/>
  <c r="D28" i="14" s="1"/>
  <c r="D29" i="17"/>
  <c r="D29" i="14" s="1"/>
  <c r="D30" i="17"/>
  <c r="D30" i="14" s="1"/>
  <c r="D31" i="17"/>
  <c r="D31" i="14" s="1"/>
  <c r="D32" i="17"/>
  <c r="D32" i="14" s="1"/>
  <c r="D33" i="17"/>
  <c r="D33" i="14" s="1"/>
  <c r="D34" i="17"/>
  <c r="D34" i="14" s="1"/>
  <c r="D35" i="17"/>
  <c r="D35" i="14" s="1"/>
  <c r="D36" i="17"/>
  <c r="D36" i="14" s="1"/>
  <c r="D37" i="17"/>
  <c r="D37" i="14" s="1"/>
  <c r="D38" i="17"/>
  <c r="D38" i="14" s="1"/>
  <c r="D39" i="17"/>
  <c r="D39" i="14" s="1"/>
  <c r="D40" i="17"/>
  <c r="D40" i="14" s="1"/>
  <c r="D41" i="17"/>
  <c r="D41" i="14" s="1"/>
  <c r="D42" i="17"/>
  <c r="D42" i="14" s="1"/>
  <c r="D43" i="17"/>
  <c r="D43" i="14" s="1"/>
  <c r="D44" i="17"/>
  <c r="D44" i="14" s="1"/>
  <c r="D45" i="17"/>
  <c r="D45" i="14" s="1"/>
  <c r="D46" i="17"/>
  <c r="D46" i="14" s="1"/>
  <c r="D47" i="17"/>
  <c r="D47" i="14" s="1"/>
  <c r="D48" i="17"/>
  <c r="D48" i="14" s="1"/>
  <c r="D49" i="17"/>
  <c r="D49" i="14" s="1"/>
  <c r="D50" i="17"/>
  <c r="D50" i="14" s="1"/>
  <c r="D51" i="17"/>
  <c r="D51" i="14" s="1"/>
  <c r="D52" i="17"/>
  <c r="D52" i="14" s="1"/>
  <c r="D53" i="17"/>
  <c r="D53" i="14" s="1"/>
  <c r="D54" i="17"/>
  <c r="D54" i="14" s="1"/>
  <c r="D55" i="17"/>
  <c r="D55" i="14" s="1"/>
  <c r="D56" i="17"/>
  <c r="D56" i="14" s="1"/>
  <c r="D57" i="17"/>
  <c r="D57" i="14" s="1"/>
  <c r="D58" i="17"/>
  <c r="D58" i="14" s="1"/>
  <c r="D59" i="17"/>
  <c r="D59" i="14" s="1"/>
  <c r="D60" i="17"/>
  <c r="D60" i="14" s="1"/>
  <c r="D61" i="17"/>
  <c r="D61" i="14" s="1"/>
  <c r="D62" i="17"/>
  <c r="D62" i="14" s="1"/>
  <c r="D63" i="17"/>
  <c r="D63" i="14" s="1"/>
  <c r="D64" i="17"/>
  <c r="D64" i="14" s="1"/>
  <c r="D65" i="17"/>
  <c r="D65" i="14" s="1"/>
  <c r="D66" i="17"/>
  <c r="D66" i="14" s="1"/>
  <c r="D67" i="17"/>
  <c r="D67" i="14" s="1"/>
  <c r="D68" i="17"/>
  <c r="D68" i="14" s="1"/>
  <c r="D69" i="17"/>
  <c r="D69" i="14" s="1"/>
  <c r="D70" i="17"/>
  <c r="D70" i="14" s="1"/>
  <c r="D71" i="17"/>
  <c r="D71" i="14" s="1"/>
  <c r="D72" i="17"/>
  <c r="D72" i="14" s="1"/>
  <c r="D73" i="17"/>
  <c r="D73" i="14" s="1"/>
  <c r="D74" i="17"/>
  <c r="D74" i="14" s="1"/>
  <c r="D75" i="17"/>
  <c r="D75" i="14" s="1"/>
  <c r="D76" i="17"/>
  <c r="D76" i="14" s="1"/>
  <c r="D77" i="17"/>
  <c r="D77" i="14" s="1"/>
  <c r="D78" i="17"/>
  <c r="D78" i="14" s="1"/>
  <c r="D79" i="17"/>
  <c r="D79" i="14" s="1"/>
  <c r="D80" i="17"/>
  <c r="D80" i="14" s="1"/>
  <c r="D81" i="17"/>
  <c r="D81" i="14" s="1"/>
  <c r="D82" i="17"/>
  <c r="D82" i="14" s="1"/>
  <c r="D83" i="17"/>
  <c r="D83" i="14" s="1"/>
  <c r="D84" i="17"/>
  <c r="D84" i="14" s="1"/>
  <c r="D85" i="17"/>
  <c r="D85" i="14" s="1"/>
  <c r="D86" i="17"/>
  <c r="D86" i="14" s="1"/>
  <c r="D87" i="17"/>
  <c r="D87" i="14" s="1"/>
  <c r="D88" i="17"/>
  <c r="D88" i="14" s="1"/>
  <c r="D89" i="17"/>
  <c r="D89" i="14" s="1"/>
  <c r="D90" i="17"/>
  <c r="D90" i="14" s="1"/>
  <c r="D91" i="17"/>
  <c r="D91" i="14" s="1"/>
  <c r="D92" i="17"/>
  <c r="D92" i="14" s="1"/>
  <c r="D93" i="17"/>
  <c r="D93" i="14" s="1"/>
  <c r="D94" i="17"/>
  <c r="D94" i="14" s="1"/>
  <c r="D95" i="17"/>
  <c r="D95" i="14" s="1"/>
  <c r="D96" i="17"/>
  <c r="D96" i="14" s="1"/>
  <c r="D97" i="17"/>
  <c r="D97" i="14" s="1"/>
  <c r="D98" i="17"/>
  <c r="D98" i="14" s="1"/>
  <c r="D99" i="17"/>
  <c r="D99" i="14" s="1"/>
  <c r="D100" i="17"/>
  <c r="D100" i="14" s="1"/>
  <c r="D101" i="17"/>
  <c r="D101" i="14" s="1"/>
  <c r="D102" i="17"/>
  <c r="D102" i="14" s="1"/>
  <c r="D103" i="17"/>
  <c r="D103" i="14" s="1"/>
  <c r="D104" i="17"/>
  <c r="D104" i="14" s="1"/>
  <c r="D105" i="17"/>
  <c r="D105" i="14" s="1"/>
  <c r="D106" i="17"/>
  <c r="D106" i="14" s="1"/>
  <c r="D107" i="17"/>
  <c r="D107" i="14" s="1"/>
  <c r="D108" i="17"/>
  <c r="D108" i="14" s="1"/>
  <c r="D109" i="17"/>
  <c r="D109" i="14" s="1"/>
  <c r="D110" i="17"/>
  <c r="D110" i="14" s="1"/>
  <c r="C110" i="14" s="1"/>
  <c r="D111" i="17"/>
  <c r="D111" i="14" s="1"/>
  <c r="C111" i="14" s="1"/>
  <c r="D112" i="17"/>
  <c r="D112" i="14" s="1"/>
  <c r="C112" i="14" s="1"/>
  <c r="D113" i="17"/>
  <c r="D113" i="14" s="1"/>
  <c r="C113" i="14" s="1"/>
  <c r="D114" i="17"/>
  <c r="D114" i="14" s="1"/>
  <c r="C114" i="14" s="1"/>
  <c r="D115" i="17"/>
  <c r="D115" i="14" s="1"/>
  <c r="C115" i="14" s="1"/>
  <c r="D116" i="17"/>
  <c r="D116" i="14" s="1"/>
  <c r="C116" i="14" s="1"/>
  <c r="D117" i="17"/>
  <c r="D117" i="14" s="1"/>
  <c r="C117" i="14" s="1"/>
  <c r="D118" i="17"/>
  <c r="D118" i="14" s="1"/>
  <c r="C118" i="14" s="1"/>
  <c r="D119" i="17"/>
  <c r="D119" i="14" s="1"/>
  <c r="C119" i="14" s="1"/>
  <c r="D120" i="17"/>
  <c r="D120" i="14" s="1"/>
  <c r="C120" i="14" s="1"/>
  <c r="D121" i="17"/>
  <c r="D121" i="14" s="1"/>
  <c r="C121" i="14" s="1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69" i="14" s="1"/>
  <c r="C169" i="14" s="1"/>
  <c r="D170" i="17"/>
  <c r="D170" i="14" s="1"/>
  <c r="C170" i="14" s="1"/>
  <c r="D171" i="17"/>
  <c r="D171" i="14" s="1"/>
  <c r="C171" i="14" s="1"/>
  <c r="D172" i="17"/>
  <c r="D172" i="14" s="1"/>
  <c r="C172" i="14" s="1"/>
  <c r="D173" i="17"/>
  <c r="D173" i="14" s="1"/>
  <c r="C173" i="14" s="1"/>
  <c r="D174" i="17"/>
  <c r="D174" i="14" s="1"/>
  <c r="C174" i="14" s="1"/>
  <c r="D175" i="17"/>
  <c r="D175" i="14" s="1"/>
  <c r="C175" i="14" s="1"/>
  <c r="D176" i="17"/>
  <c r="D176" i="14" s="1"/>
  <c r="C176" i="14" s="1"/>
  <c r="D177" i="17"/>
  <c r="D177" i="14" s="1"/>
  <c r="C177" i="14" s="1"/>
  <c r="D178" i="17"/>
  <c r="D178" i="14" s="1"/>
  <c r="C178" i="14" s="1"/>
  <c r="D179" i="17"/>
  <c r="D179" i="14" s="1"/>
  <c r="C179" i="14" s="1"/>
  <c r="D180" i="17"/>
  <c r="D180" i="14" s="1"/>
  <c r="C180" i="14" s="1"/>
  <c r="D181" i="17"/>
  <c r="D181" i="14" s="1"/>
  <c r="C181" i="14" s="1"/>
  <c r="D182" i="17"/>
  <c r="D182" i="14" s="1"/>
  <c r="C182" i="14" s="1"/>
  <c r="D183" i="17"/>
  <c r="D183" i="14" s="1"/>
  <c r="C183" i="14" s="1"/>
  <c r="D184" i="17"/>
  <c r="D184" i="14" s="1"/>
  <c r="C184" i="14" s="1"/>
  <c r="D185" i="17"/>
  <c r="D185" i="14" s="1"/>
  <c r="C185" i="14" s="1"/>
  <c r="D186" i="17"/>
  <c r="D186" i="14" s="1"/>
  <c r="C186" i="14" s="1"/>
  <c r="D187" i="17"/>
  <c r="D187" i="14" s="1"/>
  <c r="C187" i="14" s="1"/>
  <c r="D188" i="17"/>
  <c r="D188" i="14" s="1"/>
  <c r="C188" i="14" s="1"/>
  <c r="D189" i="17"/>
  <c r="D189" i="14" s="1"/>
  <c r="C189" i="14" s="1"/>
  <c r="D190" i="17"/>
  <c r="D190" i="14" s="1"/>
  <c r="C190" i="14" s="1"/>
  <c r="D191" i="17"/>
  <c r="D191" i="14" s="1"/>
  <c r="C191" i="14" s="1"/>
  <c r="D192" i="17"/>
  <c r="D192" i="14" s="1"/>
  <c r="C192" i="14" s="1"/>
  <c r="D193" i="17"/>
  <c r="D193" i="14" s="1"/>
  <c r="C193" i="14" s="1"/>
  <c r="D194" i="17"/>
  <c r="D194" i="14" s="1"/>
  <c r="C194" i="14" s="1"/>
  <c r="D195" i="17"/>
  <c r="D195" i="14" s="1"/>
  <c r="C195" i="14" s="1"/>
  <c r="D196" i="17"/>
  <c r="D196" i="14" s="1"/>
  <c r="C196" i="14" s="1"/>
  <c r="D197" i="17"/>
  <c r="D197" i="14" s="1"/>
  <c r="C197" i="14" s="1"/>
  <c r="D198" i="17"/>
  <c r="D198" i="14" s="1"/>
  <c r="C198" i="14" s="1"/>
  <c r="D199" i="17"/>
  <c r="D199" i="14" s="1"/>
  <c r="C199" i="14" s="1"/>
  <c r="D200" i="17"/>
  <c r="D200" i="14" s="1"/>
  <c r="C200" i="14" s="1"/>
  <c r="D201" i="17"/>
  <c r="D201" i="14" s="1"/>
  <c r="C201" i="14" s="1"/>
  <c r="D202" i="17"/>
  <c r="D202" i="14" s="1"/>
  <c r="C202" i="14" s="1"/>
  <c r="D203" i="17"/>
  <c r="D203" i="14" s="1"/>
  <c r="C203" i="14" s="1"/>
  <c r="D204" i="17"/>
  <c r="D204" i="14" s="1"/>
  <c r="C204" i="14" s="1"/>
  <c r="D205" i="17"/>
  <c r="D205" i="14" s="1"/>
  <c r="C205" i="14" s="1"/>
  <c r="D206" i="17"/>
  <c r="D206" i="14" s="1"/>
  <c r="C206" i="14" s="1"/>
  <c r="D207" i="17"/>
  <c r="D207" i="14" s="1"/>
  <c r="C207" i="14" s="1"/>
  <c r="D208" i="17"/>
  <c r="D208" i="14" s="1"/>
  <c r="C208" i="14" s="1"/>
  <c r="D209" i="17"/>
  <c r="D209" i="14" s="1"/>
  <c r="C209" i="14" s="1"/>
  <c r="D210" i="17"/>
  <c r="D210" i="14" s="1"/>
  <c r="C210" i="14" s="1"/>
  <c r="D211" i="17"/>
  <c r="D211" i="14" s="1"/>
  <c r="C211" i="14" s="1"/>
  <c r="D212" i="17"/>
  <c r="D212" i="14" s="1"/>
  <c r="C212" i="14" s="1"/>
  <c r="D213" i="17"/>
  <c r="D213" i="14" s="1"/>
  <c r="C213" i="14" s="1"/>
  <c r="D214" i="17"/>
  <c r="D214" i="14" s="1"/>
  <c r="C214" i="14" s="1"/>
  <c r="D215" i="17"/>
  <c r="D215" i="14" s="1"/>
  <c r="C215" i="14" s="1"/>
  <c r="D216" i="17"/>
  <c r="D216" i="14" s="1"/>
  <c r="C216" i="14" s="1"/>
  <c r="D217" i="17"/>
  <c r="D217" i="14" s="1"/>
  <c r="C217" i="14" s="1"/>
  <c r="D218" i="17"/>
  <c r="D218" i="14" s="1"/>
  <c r="C218" i="14" s="1"/>
  <c r="D219" i="17"/>
  <c r="D219" i="14" s="1"/>
  <c r="C219" i="14" s="1"/>
  <c r="D220" i="17"/>
  <c r="D220" i="14" s="1"/>
  <c r="C220" i="14" s="1"/>
  <c r="D221" i="17"/>
  <c r="D221" i="14" s="1"/>
  <c r="C221" i="14" s="1"/>
  <c r="D222" i="17"/>
  <c r="D222" i="14" s="1"/>
  <c r="C222" i="14" s="1"/>
  <c r="D223" i="17"/>
  <c r="D223" i="14" s="1"/>
  <c r="C223" i="14" s="1"/>
  <c r="D224" i="17"/>
  <c r="D224" i="14" s="1"/>
  <c r="C224" i="14" s="1"/>
  <c r="D225" i="17"/>
  <c r="D225" i="14" s="1"/>
  <c r="C225" i="14" s="1"/>
  <c r="D226" i="17"/>
  <c r="D226" i="14" s="1"/>
  <c r="C226" i="14" s="1"/>
  <c r="D227" i="17"/>
  <c r="D227" i="14" s="1"/>
  <c r="C227" i="14" s="1"/>
  <c r="D228" i="17"/>
  <c r="D228" i="14" s="1"/>
  <c r="C228" i="14" s="1"/>
  <c r="D229" i="17"/>
  <c r="D229" i="14" s="1"/>
  <c r="C229" i="14" s="1"/>
  <c r="D230" i="17"/>
  <c r="D230" i="14" s="1"/>
  <c r="C230" i="14" s="1"/>
  <c r="D231" i="17"/>
  <c r="D231" i="14" s="1"/>
  <c r="C231" i="14" s="1"/>
  <c r="D232" i="17"/>
  <c r="D232" i="14" s="1"/>
  <c r="C232" i="14" s="1"/>
  <c r="D233" i="17"/>
  <c r="D233" i="14" s="1"/>
  <c r="C233" i="14" s="1"/>
  <c r="D234" i="17"/>
  <c r="D234" i="14" s="1"/>
  <c r="C234" i="14" s="1"/>
  <c r="D235" i="17"/>
  <c r="D235" i="14" s="1"/>
  <c r="C235" i="14" s="1"/>
  <c r="D236" i="17"/>
  <c r="D236" i="14" s="1"/>
  <c r="C236" i="14" s="1"/>
  <c r="D237" i="17"/>
  <c r="D237" i="14" s="1"/>
  <c r="C237" i="14" s="1"/>
  <c r="D238" i="17"/>
  <c r="D238" i="14" s="1"/>
  <c r="C238" i="14" s="1"/>
  <c r="D239" i="17"/>
  <c r="D239" i="14" s="1"/>
  <c r="C239" i="14" s="1"/>
  <c r="D240" i="17"/>
  <c r="D240" i="14" s="1"/>
  <c r="C240" i="14" s="1"/>
  <c r="D241" i="17"/>
  <c r="D241" i="14" s="1"/>
  <c r="C241" i="14" s="1"/>
  <c r="D242" i="17"/>
  <c r="D242" i="14" s="1"/>
  <c r="C242" i="14" s="1"/>
  <c r="D243" i="17"/>
  <c r="D243" i="14" s="1"/>
  <c r="C243" i="14" s="1"/>
  <c r="D244" i="17"/>
  <c r="D244" i="14" s="1"/>
  <c r="C244" i="14" s="1"/>
  <c r="D245" i="17"/>
  <c r="D245" i="14" s="1"/>
  <c r="C245" i="14" s="1"/>
  <c r="D246" i="17"/>
  <c r="D246" i="14" s="1"/>
  <c r="C246" i="14" s="1"/>
  <c r="D247" i="17"/>
  <c r="D247" i="14" s="1"/>
  <c r="C247" i="14" s="1"/>
  <c r="D248" i="17"/>
  <c r="D248" i="14" s="1"/>
  <c r="C248" i="14" s="1"/>
  <c r="D249" i="17"/>
  <c r="D249" i="14" s="1"/>
  <c r="C249" i="14" s="1"/>
  <c r="D250" i="17"/>
  <c r="D250" i="14" s="1"/>
  <c r="C250" i="14" s="1"/>
  <c r="D251" i="17"/>
  <c r="D251" i="14" s="1"/>
  <c r="C251" i="14" s="1"/>
  <c r="D252" i="17"/>
  <c r="D252" i="14" s="1"/>
  <c r="C252" i="14" s="1"/>
  <c r="D253" i="17"/>
  <c r="D253" i="14" s="1"/>
  <c r="C253" i="14" s="1"/>
  <c r="D254" i="17"/>
  <c r="D254" i="14" s="1"/>
  <c r="C254" i="14" s="1"/>
  <c r="D255" i="17"/>
  <c r="D255" i="14" s="1"/>
  <c r="C255" i="14" s="1"/>
  <c r="D256" i="17"/>
  <c r="D256" i="14" s="1"/>
  <c r="C256" i="14" s="1"/>
  <c r="D257" i="17"/>
  <c r="D257" i="14" s="1"/>
  <c r="C257" i="14" s="1"/>
  <c r="D258" i="17"/>
  <c r="D258" i="14" s="1"/>
  <c r="C258" i="14" s="1"/>
  <c r="D259" i="17"/>
  <c r="D259" i="14" s="1"/>
  <c r="C259" i="14" s="1"/>
  <c r="D260" i="17"/>
  <c r="D260" i="14" s="1"/>
  <c r="C260" i="14" s="1"/>
  <c r="D261" i="17"/>
  <c r="D261" i="14" s="1"/>
  <c r="C261" i="14" s="1"/>
  <c r="D262" i="17"/>
  <c r="D262" i="14" s="1"/>
  <c r="C262" i="14" s="1"/>
  <c r="D263" i="17"/>
  <c r="D263" i="14" s="1"/>
  <c r="C263" i="14" s="1"/>
  <c r="D264" i="17"/>
  <c r="D264" i="14" s="1"/>
  <c r="C264" i="14" s="1"/>
  <c r="D265" i="17"/>
  <c r="D265" i="14" s="1"/>
  <c r="C265" i="14" s="1"/>
  <c r="D266" i="17"/>
  <c r="D266" i="14" s="1"/>
  <c r="C266" i="14" s="1"/>
  <c r="D267" i="17"/>
  <c r="D267" i="14" s="1"/>
  <c r="C267" i="14" s="1"/>
  <c r="D268" i="17"/>
  <c r="D268" i="14" s="1"/>
  <c r="C268" i="14" s="1"/>
  <c r="D269" i="17"/>
  <c r="D269" i="14" s="1"/>
  <c r="C269" i="14" s="1"/>
  <c r="D270" i="17"/>
  <c r="D270" i="14" s="1"/>
  <c r="C270" i="14" s="1"/>
  <c r="D271" i="17"/>
  <c r="D271" i="14" s="1"/>
  <c r="C271" i="14" s="1"/>
  <c r="D272" i="17"/>
  <c r="D272" i="14" s="1"/>
  <c r="C272" i="14" s="1"/>
  <c r="D273" i="17"/>
  <c r="D273" i="14" s="1"/>
  <c r="C273" i="14" s="1"/>
  <c r="D274" i="17"/>
  <c r="D274" i="14" s="1"/>
  <c r="C274" i="14" s="1"/>
  <c r="D275" i="17"/>
  <c r="D275" i="14" s="1"/>
  <c r="C275" i="14" s="1"/>
  <c r="D276" i="17"/>
  <c r="D276" i="14" s="1"/>
  <c r="C276" i="14" s="1"/>
  <c r="D277" i="17"/>
  <c r="D277" i="14" s="1"/>
  <c r="C277" i="14" s="1"/>
  <c r="D278" i="17"/>
  <c r="D278" i="14" s="1"/>
  <c r="C278" i="14" s="1"/>
  <c r="D279" i="17"/>
  <c r="D279" i="14" s="1"/>
  <c r="C279" i="14" s="1"/>
  <c r="D280" i="17"/>
  <c r="D280" i="14" s="1"/>
  <c r="C280" i="14" s="1"/>
  <c r="D281" i="17"/>
  <c r="D281" i="14" s="1"/>
  <c r="C281" i="14" s="1"/>
  <c r="D282" i="17"/>
  <c r="D282" i="14" s="1"/>
  <c r="C282" i="14" s="1"/>
  <c r="D283" i="17"/>
  <c r="D283" i="14" s="1"/>
  <c r="C283" i="14" s="1"/>
  <c r="D284" i="17"/>
  <c r="D284" i="14" s="1"/>
  <c r="C284" i="14" s="1"/>
  <c r="D285" i="17"/>
  <c r="D285" i="14" s="1"/>
  <c r="C285" i="14" s="1"/>
  <c r="D286" i="17"/>
  <c r="D286" i="14" s="1"/>
  <c r="C286" i="14" s="1"/>
  <c r="D287" i="17"/>
  <c r="D287" i="14" s="1"/>
  <c r="C287" i="14" s="1"/>
  <c r="D288" i="17"/>
  <c r="D288" i="14" s="1"/>
  <c r="C288" i="14" s="1"/>
  <c r="D289" i="17"/>
  <c r="D289" i="14" s="1"/>
  <c r="C289" i="14" s="1"/>
  <c r="D290" i="17"/>
  <c r="D290" i="14" s="1"/>
  <c r="C290" i="14" s="1"/>
  <c r="D291" i="17"/>
  <c r="D291" i="14" s="1"/>
  <c r="C291" i="14" s="1"/>
  <c r="D292" i="17"/>
  <c r="D292" i="14" s="1"/>
  <c r="C292" i="14" s="1"/>
  <c r="D293" i="17"/>
  <c r="D293" i="14" s="1"/>
  <c r="C293" i="14" s="1"/>
  <c r="D294" i="17"/>
  <c r="D294" i="14" s="1"/>
  <c r="C294" i="14" s="1"/>
  <c r="D295" i="17"/>
  <c r="D295" i="14" s="1"/>
  <c r="C295" i="14" s="1"/>
  <c r="D296" i="17"/>
  <c r="D296" i="14" s="1"/>
  <c r="C296" i="14" s="1"/>
  <c r="D297" i="17"/>
  <c r="D297" i="14" s="1"/>
  <c r="C297" i="14" s="1"/>
  <c r="D298" i="17"/>
  <c r="D298" i="14" s="1"/>
  <c r="C298" i="14" s="1"/>
  <c r="D299" i="17"/>
  <c r="D299" i="14" s="1"/>
  <c r="C299" i="14" s="1"/>
  <c r="D300" i="17"/>
  <c r="D300" i="14" s="1"/>
  <c r="C300" i="14" s="1"/>
  <c r="D301" i="17"/>
  <c r="D301" i="14" s="1"/>
  <c r="C301" i="14" s="1"/>
  <c r="D302" i="17"/>
  <c r="D302" i="14" s="1"/>
  <c r="C302" i="14" s="1"/>
  <c r="D303" i="17"/>
  <c r="D303" i="14" s="1"/>
  <c r="C303" i="14" s="1"/>
  <c r="D304" i="17"/>
  <c r="D304" i="14" s="1"/>
  <c r="C304" i="14" s="1"/>
  <c r="D305" i="17"/>
  <c r="D305" i="14" s="1"/>
  <c r="C305" i="14" s="1"/>
  <c r="D306" i="17"/>
  <c r="D306" i="14" s="1"/>
  <c r="C306" i="14" s="1"/>
  <c r="D307" i="17"/>
  <c r="D307" i="14" s="1"/>
  <c r="C307" i="14" s="1"/>
  <c r="D308" i="17"/>
  <c r="D308" i="14" s="1"/>
  <c r="C308" i="14" s="1"/>
  <c r="D309" i="17"/>
  <c r="D309" i="14" s="1"/>
  <c r="C309" i="14" s="1"/>
  <c r="D310" i="17"/>
  <c r="D310" i="14" s="1"/>
  <c r="C310" i="14" s="1"/>
  <c r="D311" i="17"/>
  <c r="D311" i="14" s="1"/>
  <c r="C311" i="14" s="1"/>
  <c r="D312" i="17"/>
  <c r="D312" i="14" s="1"/>
  <c r="C312" i="14" s="1"/>
  <c r="D313" i="17"/>
  <c r="D313" i="14" s="1"/>
  <c r="C313" i="14" s="1"/>
  <c r="D314" i="17"/>
  <c r="D314" i="14" s="1"/>
  <c r="C314" i="14" s="1"/>
  <c r="D315" i="17"/>
  <c r="D315" i="14" s="1"/>
  <c r="C315" i="14" s="1"/>
  <c r="D316" i="17"/>
  <c r="D316" i="14" s="1"/>
  <c r="C316" i="14" s="1"/>
  <c r="D317" i="17"/>
  <c r="D317" i="14" s="1"/>
  <c r="C317" i="14" s="1"/>
  <c r="D318" i="17"/>
  <c r="D318" i="14" s="1"/>
  <c r="C318" i="14" s="1"/>
  <c r="D319" i="17"/>
  <c r="D319" i="14" s="1"/>
  <c r="C319" i="14" s="1"/>
  <c r="D320" i="17"/>
  <c r="D320" i="14" s="1"/>
  <c r="C320" i="14" s="1"/>
  <c r="D321" i="17"/>
  <c r="D321" i="14" s="1"/>
  <c r="C321" i="14" s="1"/>
  <c r="D322" i="17"/>
  <c r="D322" i="14" s="1"/>
  <c r="C322" i="14" s="1"/>
  <c r="D323" i="17"/>
  <c r="D323" i="14" s="1"/>
  <c r="C323" i="14" s="1"/>
  <c r="D324" i="17"/>
  <c r="D324" i="14" s="1"/>
  <c r="C324" i="14" s="1"/>
  <c r="D325" i="17"/>
  <c r="D325" i="14" s="1"/>
  <c r="C325" i="14" s="1"/>
  <c r="D326" i="17"/>
  <c r="D326" i="14" s="1"/>
  <c r="C326" i="14" s="1"/>
  <c r="D327" i="17"/>
  <c r="D327" i="14" s="1"/>
  <c r="C327" i="14" s="1"/>
  <c r="D328" i="17"/>
  <c r="D328" i="14" s="1"/>
  <c r="C328" i="14" s="1"/>
  <c r="D329" i="17"/>
  <c r="D329" i="14" s="1"/>
  <c r="C329" i="14" s="1"/>
  <c r="D330" i="17"/>
  <c r="D330" i="14" s="1"/>
  <c r="C330" i="14" s="1"/>
  <c r="D331" i="17"/>
  <c r="D331" i="14" s="1"/>
  <c r="C331" i="14" s="1"/>
  <c r="D332" i="17"/>
  <c r="D332" i="14" s="1"/>
  <c r="C332" i="14" s="1"/>
  <c r="D333" i="17"/>
  <c r="D333" i="14" s="1"/>
  <c r="C333" i="14" s="1"/>
  <c r="D334" i="17"/>
  <c r="D334" i="14" s="1"/>
  <c r="C334" i="14" s="1"/>
  <c r="D335" i="17"/>
  <c r="D335" i="14" s="1"/>
  <c r="C335" i="14" s="1"/>
  <c r="D336" i="17"/>
  <c r="D336" i="14" s="1"/>
  <c r="C336" i="14" s="1"/>
  <c r="D337" i="17"/>
  <c r="D337" i="14" s="1"/>
  <c r="C337" i="14" s="1"/>
  <c r="D338" i="17"/>
  <c r="D338" i="14" s="1"/>
  <c r="C338" i="14" s="1"/>
  <c r="D339" i="17"/>
  <c r="D339" i="14" s="1"/>
  <c r="C339" i="14" s="1"/>
  <c r="D340" i="17"/>
  <c r="D340" i="14" s="1"/>
  <c r="C340" i="14" s="1"/>
  <c r="D341" i="17"/>
  <c r="D341" i="14" s="1"/>
  <c r="C341" i="14" s="1"/>
  <c r="D342" i="17"/>
  <c r="D342" i="14" s="1"/>
  <c r="C342" i="14" s="1"/>
  <c r="D343" i="17"/>
  <c r="D343" i="14" s="1"/>
  <c r="C343" i="14" s="1"/>
  <c r="D344" i="17"/>
  <c r="D344" i="14" s="1"/>
  <c r="C344" i="14" s="1"/>
  <c r="D345" i="17"/>
  <c r="D345" i="14" s="1"/>
  <c r="C345" i="14" s="1"/>
  <c r="D346" i="17"/>
  <c r="D346" i="14" s="1"/>
  <c r="C346" i="14" s="1"/>
  <c r="D347" i="17"/>
  <c r="D347" i="14" s="1"/>
  <c r="C347" i="14" s="1"/>
  <c r="D348" i="17"/>
  <c r="D348" i="14" s="1"/>
  <c r="C348" i="14" s="1"/>
  <c r="D349" i="17"/>
  <c r="D349" i="14" s="1"/>
  <c r="C349" i="14" s="1"/>
  <c r="D350" i="17"/>
  <c r="D350" i="14" s="1"/>
  <c r="C350" i="14" s="1"/>
  <c r="D351" i="17"/>
  <c r="D351" i="14" s="1"/>
  <c r="C351" i="14" s="1"/>
  <c r="D352" i="17"/>
  <c r="D352" i="14" s="1"/>
  <c r="C352" i="14" s="1"/>
  <c r="D353" i="17"/>
  <c r="D353" i="14" s="1"/>
  <c r="C353" i="14" s="1"/>
  <c r="D354" i="17"/>
  <c r="D354" i="14" s="1"/>
  <c r="C354" i="14" s="1"/>
  <c r="D355" i="17"/>
  <c r="D355" i="14" s="1"/>
  <c r="C355" i="14" s="1"/>
  <c r="D356" i="17"/>
  <c r="D356" i="14" s="1"/>
  <c r="C356" i="14" s="1"/>
  <c r="D357" i="17"/>
  <c r="D357" i="14" s="1"/>
  <c r="C357" i="14" s="1"/>
  <c r="D358" i="17"/>
  <c r="D358" i="14" s="1"/>
  <c r="C358" i="14" s="1"/>
  <c r="D359" i="17"/>
  <c r="D359" i="14" s="1"/>
  <c r="C359" i="14" s="1"/>
  <c r="D360" i="17"/>
  <c r="D360" i="14" s="1"/>
  <c r="C360" i="14" s="1"/>
  <c r="D361" i="17"/>
  <c r="D361" i="14" s="1"/>
  <c r="C361" i="14" s="1"/>
  <c r="D362" i="17"/>
  <c r="D362" i="14" s="1"/>
  <c r="C362" i="14" s="1"/>
  <c r="D363" i="17"/>
  <c r="D363" i="14" s="1"/>
  <c r="C363" i="14" s="1"/>
  <c r="D364" i="17"/>
  <c r="D364" i="14" s="1"/>
  <c r="C364" i="14" s="1"/>
  <c r="D365" i="17"/>
  <c r="D365" i="14" s="1"/>
  <c r="C365" i="14" s="1"/>
  <c r="D366" i="17"/>
  <c r="D366" i="14" s="1"/>
  <c r="C366" i="14" s="1"/>
  <c r="D367" i="17"/>
  <c r="D367" i="14" s="1"/>
  <c r="C367" i="14" s="1"/>
  <c r="D368" i="17"/>
  <c r="D368" i="14" s="1"/>
  <c r="C368" i="14" s="1"/>
  <c r="D369" i="17"/>
  <c r="D369" i="14" s="1"/>
  <c r="C369" i="14" s="1"/>
  <c r="D370" i="17"/>
  <c r="D370" i="14" s="1"/>
  <c r="C370" i="14" s="1"/>
  <c r="D371" i="17"/>
  <c r="D371" i="14" s="1"/>
  <c r="C371" i="14" s="1"/>
  <c r="D372" i="17"/>
  <c r="D372" i="14" s="1"/>
  <c r="C372" i="14" s="1"/>
  <c r="D373" i="17"/>
  <c r="D373" i="14" s="1"/>
  <c r="C373" i="14" s="1"/>
  <c r="D374" i="17"/>
  <c r="D374" i="14" s="1"/>
  <c r="C374" i="14" s="1"/>
  <c r="D375" i="17"/>
  <c r="D375" i="14" s="1"/>
  <c r="C375" i="14" s="1"/>
  <c r="D376" i="17"/>
  <c r="D376" i="14" s="1"/>
  <c r="C376" i="14" s="1"/>
  <c r="D377" i="17"/>
  <c r="D377" i="14" s="1"/>
  <c r="C377" i="14" s="1"/>
  <c r="D378" i="17"/>
  <c r="D378" i="14" s="1"/>
  <c r="C378" i="14" s="1"/>
  <c r="D379" i="17"/>
  <c r="D379" i="14" s="1"/>
  <c r="C379" i="14" s="1"/>
  <c r="D380" i="17"/>
  <c r="D380" i="14" s="1"/>
  <c r="C380" i="14" s="1"/>
  <c r="D381" i="17"/>
  <c r="D381" i="14" s="1"/>
  <c r="C381" i="14" s="1"/>
  <c r="D382" i="17"/>
  <c r="D382" i="14" s="1"/>
  <c r="C382" i="14" s="1"/>
  <c r="D383" i="17"/>
  <c r="D383" i="14" s="1"/>
  <c r="C383" i="14" s="1"/>
  <c r="D384" i="17"/>
  <c r="D384" i="14" s="1"/>
  <c r="C384" i="14" s="1"/>
  <c r="D385" i="17"/>
  <c r="D385" i="14" s="1"/>
  <c r="C385" i="14" s="1"/>
  <c r="D386" i="17"/>
  <c r="D386" i="14" s="1"/>
  <c r="C386" i="14" s="1"/>
  <c r="D387" i="17"/>
  <c r="D387" i="14" s="1"/>
  <c r="C387" i="14" s="1"/>
  <c r="D388" i="17"/>
  <c r="D388" i="14" s="1"/>
  <c r="C388" i="14" s="1"/>
  <c r="D389" i="17"/>
  <c r="D389" i="14" s="1"/>
  <c r="C389" i="14" s="1"/>
  <c r="D390" i="17"/>
  <c r="D390" i="14" s="1"/>
  <c r="C390" i="14" s="1"/>
  <c r="D391" i="17"/>
  <c r="D391" i="14" s="1"/>
  <c r="C391" i="14" s="1"/>
  <c r="D392" i="17"/>
  <c r="D392" i="14" s="1"/>
  <c r="C392" i="14" s="1"/>
  <c r="D393" i="17"/>
  <c r="D393" i="14" s="1"/>
  <c r="C393" i="14" s="1"/>
  <c r="D394" i="17"/>
  <c r="D394" i="14" s="1"/>
  <c r="C394" i="14" s="1"/>
  <c r="D395" i="17"/>
  <c r="D395" i="14" s="1"/>
  <c r="C395" i="14" s="1"/>
  <c r="D396" i="17"/>
  <c r="D396" i="14" s="1"/>
  <c r="C396" i="14" s="1"/>
  <c r="D397" i="17"/>
  <c r="D397" i="14" s="1"/>
  <c r="C397" i="14" s="1"/>
  <c r="D398" i="17"/>
  <c r="D398" i="14" s="1"/>
  <c r="C398" i="14" s="1"/>
  <c r="D399" i="17"/>
  <c r="D399" i="14" s="1"/>
  <c r="C399" i="14" s="1"/>
  <c r="D400" i="17"/>
  <c r="D400" i="14" s="1"/>
  <c r="C400" i="14" s="1"/>
  <c r="D401" i="17"/>
  <c r="D401" i="14" s="1"/>
  <c r="C401" i="14" s="1"/>
  <c r="D402" i="17"/>
  <c r="D402" i="14" s="1"/>
  <c r="C402" i="14" s="1"/>
  <c r="D403" i="17"/>
  <c r="D403" i="14" s="1"/>
  <c r="C403" i="14" s="1"/>
  <c r="D404" i="17"/>
  <c r="D404" i="14" s="1"/>
  <c r="C404" i="14" s="1"/>
  <c r="D405" i="17"/>
  <c r="D405" i="14" s="1"/>
  <c r="C405" i="14" s="1"/>
  <c r="D406" i="17"/>
  <c r="D406" i="14" s="1"/>
  <c r="C406" i="14" s="1"/>
  <c r="D407" i="17"/>
  <c r="D407" i="14" s="1"/>
  <c r="C407" i="14" s="1"/>
  <c r="D408" i="17"/>
  <c r="D408" i="14" s="1"/>
  <c r="C408" i="14" s="1"/>
  <c r="D409" i="17"/>
  <c r="D409" i="14" s="1"/>
  <c r="C409" i="14" s="1"/>
  <c r="D410" i="17"/>
  <c r="D410" i="14" s="1"/>
  <c r="C410" i="14" s="1"/>
  <c r="D411" i="17"/>
  <c r="D411" i="14" s="1"/>
  <c r="C411" i="14" s="1"/>
  <c r="D412" i="17"/>
  <c r="D412" i="14" s="1"/>
  <c r="C412" i="14" s="1"/>
  <c r="D413" i="17"/>
  <c r="D413" i="14" s="1"/>
  <c r="C413" i="14" s="1"/>
  <c r="D414" i="17"/>
  <c r="D414" i="14" s="1"/>
  <c r="C414" i="14" s="1"/>
  <c r="D415" i="17"/>
  <c r="D415" i="14" s="1"/>
  <c r="C415" i="14" s="1"/>
  <c r="D416" i="17"/>
  <c r="D416" i="14" s="1"/>
  <c r="C416" i="14" s="1"/>
  <c r="D417" i="17"/>
  <c r="D417" i="14" s="1"/>
  <c r="C417" i="14" s="1"/>
  <c r="D418" i="17"/>
  <c r="D418" i="14" s="1"/>
  <c r="C418" i="14" s="1"/>
  <c r="D419" i="17"/>
  <c r="D419" i="14" s="1"/>
  <c r="C419" i="14" s="1"/>
  <c r="D420" i="17"/>
  <c r="D420" i="14" s="1"/>
  <c r="C420" i="14" s="1"/>
  <c r="D421" i="17"/>
  <c r="D421" i="14" s="1"/>
  <c r="C421" i="14" s="1"/>
  <c r="D422" i="17"/>
  <c r="D422" i="14" s="1"/>
  <c r="C422" i="14" s="1"/>
  <c r="D423" i="17"/>
  <c r="D423" i="14" s="1"/>
  <c r="C423" i="14" s="1"/>
  <c r="D424" i="17"/>
  <c r="D424" i="14" s="1"/>
  <c r="C424" i="14" s="1"/>
  <c r="D425" i="17"/>
  <c r="D425" i="14" s="1"/>
  <c r="C425" i="14" s="1"/>
  <c r="D426" i="17"/>
  <c r="D426" i="14" s="1"/>
  <c r="C426" i="14" s="1"/>
  <c r="D427" i="17"/>
  <c r="D427" i="14" s="1"/>
  <c r="C427" i="14" s="1"/>
  <c r="D428" i="17"/>
  <c r="D428" i="14" s="1"/>
  <c r="C428" i="14" s="1"/>
  <c r="D429" i="17"/>
  <c r="D429" i="14" s="1"/>
  <c r="C429" i="14" s="1"/>
  <c r="D430" i="17"/>
  <c r="D430" i="14" s="1"/>
  <c r="C430" i="14" s="1"/>
  <c r="D431" i="17"/>
  <c r="D431" i="14" s="1"/>
  <c r="C431" i="14" s="1"/>
  <c r="D432" i="17"/>
  <c r="D432" i="14" s="1"/>
  <c r="C432" i="14" s="1"/>
  <c r="D433" i="17"/>
  <c r="D433" i="14" s="1"/>
  <c r="C433" i="14" s="1"/>
  <c r="D434" i="17"/>
  <c r="D434" i="14" s="1"/>
  <c r="C434" i="14" s="1"/>
  <c r="D435" i="17"/>
  <c r="D435" i="14" s="1"/>
  <c r="C435" i="14" s="1"/>
  <c r="D436" i="17"/>
  <c r="D436" i="14" s="1"/>
  <c r="C436" i="14" s="1"/>
  <c r="D437" i="17"/>
  <c r="D437" i="14" s="1"/>
  <c r="C437" i="14" s="1"/>
  <c r="D438" i="17"/>
  <c r="D438" i="14" s="1"/>
  <c r="C438" i="14" s="1"/>
  <c r="D439" i="17"/>
  <c r="D439" i="14" s="1"/>
  <c r="C439" i="14" s="1"/>
  <c r="D440" i="17"/>
  <c r="D440" i="14" s="1"/>
  <c r="C440" i="14" s="1"/>
  <c r="D441" i="17"/>
  <c r="D441" i="14" s="1"/>
  <c r="C441" i="14" s="1"/>
  <c r="D442" i="17"/>
  <c r="D442" i="14" s="1"/>
  <c r="C442" i="14" s="1"/>
  <c r="D443" i="17"/>
  <c r="D443" i="14" s="1"/>
  <c r="C443" i="14" s="1"/>
  <c r="D444" i="17"/>
  <c r="D444" i="14" s="1"/>
  <c r="C444" i="14" s="1"/>
  <c r="D445" i="17"/>
  <c r="D445" i="14" s="1"/>
  <c r="C445" i="14" s="1"/>
  <c r="D446" i="17"/>
  <c r="D446" i="14" s="1"/>
  <c r="C446" i="14" s="1"/>
  <c r="D447" i="17"/>
  <c r="D447" i="14" s="1"/>
  <c r="C447" i="14" s="1"/>
  <c r="D448" i="17"/>
  <c r="D448" i="14" s="1"/>
  <c r="C448" i="14" s="1"/>
  <c r="D449" i="17"/>
  <c r="D449" i="14" s="1"/>
  <c r="C449" i="14" s="1"/>
  <c r="D450" i="17"/>
  <c r="D450" i="14" s="1"/>
  <c r="C450" i="14" s="1"/>
  <c r="D451" i="17"/>
  <c r="D451" i="14" s="1"/>
  <c r="C451" i="14" s="1"/>
  <c r="D452" i="17"/>
  <c r="D452" i="14" s="1"/>
  <c r="C452" i="14" s="1"/>
  <c r="D453" i="17"/>
  <c r="D453" i="14" s="1"/>
  <c r="C453" i="14" s="1"/>
  <c r="D454" i="17"/>
  <c r="D454" i="14" s="1"/>
  <c r="C454" i="14" s="1"/>
  <c r="D455" i="17"/>
  <c r="D455" i="14" s="1"/>
  <c r="C455" i="14" s="1"/>
  <c r="D456" i="17"/>
  <c r="D456" i="14" s="1"/>
  <c r="C456" i="14" s="1"/>
  <c r="D457" i="17"/>
  <c r="D457" i="14" s="1"/>
  <c r="C457" i="14" s="1"/>
  <c r="D458" i="17"/>
  <c r="D458" i="14" s="1"/>
  <c r="C458" i="14" s="1"/>
  <c r="D459" i="17"/>
  <c r="D459" i="14" s="1"/>
  <c r="C459" i="14" s="1"/>
  <c r="D460" i="17"/>
  <c r="D460" i="14" s="1"/>
  <c r="C460" i="14" s="1"/>
  <c r="D461" i="17"/>
  <c r="D461" i="14" s="1"/>
  <c r="C461" i="14" s="1"/>
  <c r="D462" i="17"/>
  <c r="D462" i="14" s="1"/>
  <c r="C462" i="14" s="1"/>
  <c r="D463" i="17"/>
  <c r="D463" i="14" s="1"/>
  <c r="C463" i="14" s="1"/>
  <c r="D464" i="17"/>
  <c r="D464" i="14" s="1"/>
  <c r="C464" i="14" s="1"/>
  <c r="D465" i="17"/>
  <c r="D465" i="14" s="1"/>
  <c r="C465" i="14" s="1"/>
  <c r="D466" i="17"/>
  <c r="D466" i="14" s="1"/>
  <c r="C466" i="14" s="1"/>
  <c r="D467" i="17"/>
  <c r="D467" i="14" s="1"/>
  <c r="C467" i="14" s="1"/>
  <c r="D468" i="17"/>
  <c r="D468" i="14" s="1"/>
  <c r="C468" i="14" s="1"/>
  <c r="D469" i="17"/>
  <c r="D469" i="14" s="1"/>
  <c r="C469" i="14" s="1"/>
  <c r="D470" i="17"/>
  <c r="D470" i="14" s="1"/>
  <c r="C470" i="14" s="1"/>
  <c r="D471" i="17"/>
  <c r="D471" i="14" s="1"/>
  <c r="C471" i="14" s="1"/>
  <c r="D472" i="17"/>
  <c r="D472" i="14" s="1"/>
  <c r="C472" i="14" s="1"/>
  <c r="D473" i="17"/>
  <c r="D473" i="14" s="1"/>
  <c r="C473" i="14" s="1"/>
  <c r="D474" i="17"/>
  <c r="D474" i="14" s="1"/>
  <c r="C474" i="14" s="1"/>
  <c r="D475" i="17"/>
  <c r="D475" i="14" s="1"/>
  <c r="C475" i="14" s="1"/>
  <c r="D476" i="17"/>
  <c r="D476" i="14" s="1"/>
  <c r="C476" i="14" s="1"/>
  <c r="D477" i="17"/>
  <c r="D477" i="14" s="1"/>
  <c r="C477" i="14" s="1"/>
  <c r="D478" i="17"/>
  <c r="D478" i="14" s="1"/>
  <c r="C478" i="14" s="1"/>
  <c r="D479" i="17"/>
  <c r="D479" i="14" s="1"/>
  <c r="C479" i="14" s="1"/>
  <c r="D480" i="17"/>
  <c r="D480" i="14" s="1"/>
  <c r="C480" i="14" s="1"/>
  <c r="D481" i="17"/>
  <c r="D481" i="14" s="1"/>
  <c r="C481" i="14" s="1"/>
  <c r="D482" i="17"/>
  <c r="D482" i="14" s="1"/>
  <c r="C482" i="14" s="1"/>
  <c r="D483" i="17"/>
  <c r="D483" i="14" s="1"/>
  <c r="C483" i="14" s="1"/>
  <c r="D484" i="17"/>
  <c r="D484" i="14" s="1"/>
  <c r="C484" i="14" s="1"/>
  <c r="D485" i="17"/>
  <c r="D485" i="14" s="1"/>
  <c r="C485" i="14" s="1"/>
  <c r="D486" i="17"/>
  <c r="D486" i="14" s="1"/>
  <c r="C486" i="14" s="1"/>
  <c r="D487" i="17"/>
  <c r="D487" i="14" s="1"/>
  <c r="C487" i="14" s="1"/>
  <c r="D488" i="17"/>
  <c r="D488" i="14" s="1"/>
  <c r="C488" i="14" s="1"/>
  <c r="D489" i="17"/>
  <c r="D489" i="14" s="1"/>
  <c r="C489" i="14" s="1"/>
  <c r="D490" i="17"/>
  <c r="D490" i="14" s="1"/>
  <c r="C490" i="14" s="1"/>
  <c r="D491" i="17"/>
  <c r="D491" i="14" s="1"/>
  <c r="C491" i="14" s="1"/>
  <c r="D492" i="17"/>
  <c r="D492" i="14" s="1"/>
  <c r="C492" i="14" s="1"/>
  <c r="D493" i="17"/>
  <c r="D493" i="14" s="1"/>
  <c r="C493" i="14" s="1"/>
  <c r="D494" i="17"/>
  <c r="D494" i="14" s="1"/>
  <c r="C494" i="14" s="1"/>
  <c r="D495" i="17"/>
  <c r="D495" i="14" s="1"/>
  <c r="C495" i="14" s="1"/>
  <c r="D496" i="17"/>
  <c r="D496" i="14" s="1"/>
  <c r="C496" i="14" s="1"/>
  <c r="D497" i="17"/>
  <c r="D497" i="14" s="1"/>
  <c r="C497" i="14" s="1"/>
  <c r="D498" i="17"/>
  <c r="D498" i="14" s="1"/>
  <c r="C498" i="14" s="1"/>
  <c r="D499" i="17"/>
  <c r="D499" i="14" s="1"/>
  <c r="C499" i="14" s="1"/>
  <c r="D500" i="17"/>
  <c r="D500" i="14" s="1"/>
  <c r="C500" i="14" s="1"/>
  <c r="D501" i="17"/>
  <c r="D501" i="14" s="1"/>
  <c r="C501" i="14" s="1"/>
  <c r="D502" i="17"/>
  <c r="D502" i="14" s="1"/>
  <c r="C502" i="14" s="1"/>
  <c r="D503" i="17"/>
  <c r="D503" i="14" s="1"/>
  <c r="C503" i="14" s="1"/>
  <c r="D504" i="17"/>
  <c r="D504" i="14" s="1"/>
  <c r="C504" i="14" s="1"/>
  <c r="D505" i="17"/>
  <c r="D505" i="14" s="1"/>
  <c r="C505" i="14" s="1"/>
  <c r="D506" i="17"/>
  <c r="D506" i="14" s="1"/>
  <c r="C506" i="14" s="1"/>
  <c r="D507" i="17"/>
  <c r="D507" i="14" s="1"/>
  <c r="C507" i="14" s="1"/>
  <c r="D508" i="17"/>
  <c r="D508" i="14" s="1"/>
  <c r="C508" i="14" s="1"/>
  <c r="D509" i="17"/>
  <c r="D509" i="14" s="1"/>
  <c r="C509" i="14" s="1"/>
  <c r="D510" i="17"/>
  <c r="D510" i="14" s="1"/>
  <c r="C510" i="14" s="1"/>
  <c r="D511" i="17"/>
  <c r="D511" i="14" s="1"/>
  <c r="C511" i="14" s="1"/>
  <c r="D512" i="17"/>
  <c r="D512" i="14" s="1"/>
  <c r="C512" i="14" s="1"/>
  <c r="D513" i="17"/>
  <c r="D513" i="14" s="1"/>
  <c r="C513" i="14" s="1"/>
  <c r="D514" i="17"/>
  <c r="D514" i="14" s="1"/>
  <c r="C514" i="14" s="1"/>
  <c r="D515" i="17"/>
  <c r="D515" i="14" s="1"/>
  <c r="C515" i="14" s="1"/>
  <c r="D516" i="17"/>
  <c r="D516" i="14" s="1"/>
  <c r="C516" i="14" s="1"/>
  <c r="D517" i="17"/>
  <c r="D517" i="14" s="1"/>
  <c r="C517" i="14" s="1"/>
  <c r="D518" i="17"/>
  <c r="D519" i="17"/>
  <c r="D519" i="14" s="1"/>
  <c r="C519" i="14" s="1"/>
  <c r="D520" i="17"/>
  <c r="D520" i="14" s="1"/>
  <c r="C520" i="14" s="1"/>
  <c r="D521" i="17"/>
  <c r="D521" i="14" s="1"/>
  <c r="C521" i="14" s="1"/>
  <c r="D522" i="17"/>
  <c r="D522" i="14" s="1"/>
  <c r="C522" i="14" s="1"/>
  <c r="D523" i="17"/>
  <c r="D523" i="14" s="1"/>
  <c r="C523" i="14" s="1"/>
  <c r="D524" i="17"/>
  <c r="D524" i="14" s="1"/>
  <c r="C524" i="14" s="1"/>
  <c r="D525" i="17"/>
  <c r="D525" i="14" s="1"/>
  <c r="C525" i="14" s="1"/>
  <c r="D526" i="17"/>
  <c r="D526" i="14" s="1"/>
  <c r="C526" i="14" s="1"/>
  <c r="D527" i="17"/>
  <c r="D527" i="14" s="1"/>
  <c r="C527" i="14" s="1"/>
  <c r="D528" i="17"/>
  <c r="D528" i="14" s="1"/>
  <c r="C528" i="14" s="1"/>
  <c r="D529" i="17"/>
  <c r="D529" i="14" s="1"/>
  <c r="D530" i="17"/>
  <c r="D530" i="14" s="1"/>
  <c r="C530" i="14" s="1"/>
  <c r="D531" i="17"/>
  <c r="D531" i="14" s="1"/>
  <c r="C531" i="14" s="1"/>
  <c r="D532" i="17"/>
  <c r="D532" i="14" s="1"/>
  <c r="C532" i="14" s="1"/>
  <c r="D533" i="17"/>
  <c r="D533" i="14" s="1"/>
  <c r="C533" i="14" s="1"/>
  <c r="D534" i="17"/>
  <c r="D534" i="14" s="1"/>
  <c r="C534" i="14" s="1"/>
  <c r="D535" i="17"/>
  <c r="D535" i="14" s="1"/>
  <c r="C535" i="14" s="1"/>
  <c r="D536" i="17"/>
  <c r="D536" i="14" s="1"/>
  <c r="C536" i="14" s="1"/>
  <c r="D537" i="17"/>
  <c r="D537" i="14" s="1"/>
  <c r="C537" i="14" s="1"/>
  <c r="D538" i="17"/>
  <c r="D538" i="14" s="1"/>
  <c r="C538" i="14" s="1"/>
  <c r="D539" i="17"/>
  <c r="D539" i="14" s="1"/>
  <c r="C539" i="14" s="1"/>
  <c r="D540" i="17"/>
  <c r="D540" i="14" s="1"/>
  <c r="C540" i="14" s="1"/>
  <c r="D541" i="17"/>
  <c r="D541" i="14" s="1"/>
  <c r="C541" i="14" s="1"/>
  <c r="D542" i="17"/>
  <c r="D543" i="17"/>
  <c r="D543" i="14" s="1"/>
  <c r="C543" i="14" s="1"/>
  <c r="D544" i="17"/>
  <c r="D545" i="17"/>
  <c r="D545" i="14" s="1"/>
  <c r="C545" i="14" s="1"/>
  <c r="D546" i="17"/>
  <c r="D547" i="17"/>
  <c r="D548" i="17"/>
  <c r="D549" i="17"/>
  <c r="D550" i="17"/>
  <c r="D551" i="17"/>
  <c r="D552" i="17"/>
  <c r="D553" i="17"/>
  <c r="D554" i="17"/>
  <c r="D555" i="17"/>
  <c r="D556" i="17"/>
  <c r="D557" i="17"/>
  <c r="D558" i="17"/>
  <c r="D559" i="17"/>
  <c r="D560" i="17"/>
  <c r="D561" i="17"/>
  <c r="D562" i="17"/>
  <c r="D563" i="17"/>
  <c r="D564" i="17"/>
  <c r="D565" i="17"/>
  <c r="D566" i="17"/>
  <c r="D567" i="17"/>
  <c r="D568" i="17"/>
  <c r="D569" i="17"/>
  <c r="D570" i="17"/>
  <c r="D571" i="17"/>
  <c r="D572" i="17"/>
  <c r="D573" i="17"/>
  <c r="D574" i="17"/>
  <c r="D575" i="17"/>
  <c r="D576" i="17"/>
  <c r="D577" i="17"/>
  <c r="D578" i="17"/>
  <c r="D579" i="17"/>
  <c r="D580" i="17"/>
  <c r="D581" i="17"/>
  <c r="D582" i="17"/>
  <c r="D583" i="17"/>
  <c r="D584" i="17"/>
  <c r="D585" i="17"/>
  <c r="D586" i="17"/>
  <c r="D587" i="17"/>
  <c r="D588" i="17"/>
  <c r="D589" i="17"/>
  <c r="D590" i="17"/>
  <c r="D591" i="17"/>
  <c r="D592" i="17"/>
  <c r="D593" i="17"/>
  <c r="D594" i="17"/>
  <c r="D595" i="17"/>
  <c r="D596" i="17"/>
  <c r="D597" i="17"/>
  <c r="D598" i="17"/>
  <c r="D599" i="17"/>
  <c r="D600" i="17"/>
  <c r="D601" i="17"/>
  <c r="D602" i="17"/>
  <c r="D603" i="17"/>
  <c r="D604" i="17"/>
  <c r="D605" i="17"/>
  <c r="D606" i="17"/>
  <c r="D607" i="17"/>
  <c r="D608" i="17"/>
  <c r="D609" i="17"/>
  <c r="D609" i="14" s="1"/>
  <c r="C609" i="14" s="1"/>
  <c r="D610" i="17"/>
  <c r="D610" i="14" s="1"/>
  <c r="C610" i="14" s="1"/>
  <c r="D611" i="17"/>
  <c r="D611" i="14" s="1"/>
  <c r="C611" i="14" s="1"/>
  <c r="D612" i="17"/>
  <c r="D612" i="14" s="1"/>
  <c r="C612" i="14" s="1"/>
  <c r="D613" i="17"/>
  <c r="D613" i="14" s="1"/>
  <c r="C613" i="14" s="1"/>
  <c r="D614" i="17"/>
  <c r="D614" i="14" s="1"/>
  <c r="C614" i="14" s="1"/>
  <c r="D615" i="17"/>
  <c r="D615" i="14" s="1"/>
  <c r="C615" i="14" s="1"/>
  <c r="D616" i="17"/>
  <c r="D616" i="14" s="1"/>
  <c r="C616" i="14" s="1"/>
  <c r="D617" i="17"/>
  <c r="D617" i="14" s="1"/>
  <c r="C617" i="14" s="1"/>
  <c r="D618" i="17"/>
  <c r="D618" i="14" s="1"/>
  <c r="C618" i="14" s="1"/>
  <c r="D619" i="17"/>
  <c r="D619" i="14" s="1"/>
  <c r="C619" i="14" s="1"/>
  <c r="D620" i="17"/>
  <c r="D620" i="14" s="1"/>
  <c r="C620" i="14" s="1"/>
  <c r="D621" i="17"/>
  <c r="D621" i="14" s="1"/>
  <c r="C621" i="14" s="1"/>
  <c r="D622" i="17"/>
  <c r="D622" i="14" s="1"/>
  <c r="C622" i="14" s="1"/>
  <c r="D623" i="17"/>
  <c r="D623" i="14" s="1"/>
  <c r="C623" i="14" s="1"/>
  <c r="D624" i="17"/>
  <c r="D624" i="14" s="1"/>
  <c r="C624" i="14" s="1"/>
  <c r="D625" i="17"/>
  <c r="D625" i="14" s="1"/>
  <c r="C625" i="14" s="1"/>
  <c r="D626" i="17"/>
  <c r="D626" i="14" s="1"/>
  <c r="C626" i="14" s="1"/>
  <c r="D627" i="17"/>
  <c r="D627" i="14" s="1"/>
  <c r="C627" i="14" s="1"/>
  <c r="D628" i="17"/>
  <c r="D628" i="14" s="1"/>
  <c r="C628" i="14" s="1"/>
  <c r="D629" i="17"/>
  <c r="D629" i="14" s="1"/>
  <c r="C629" i="14" s="1"/>
  <c r="D630" i="17"/>
  <c r="D630" i="14" s="1"/>
  <c r="C630" i="14" s="1"/>
  <c r="D631" i="17"/>
  <c r="D631" i="14" s="1"/>
  <c r="C631" i="14" s="1"/>
  <c r="D632" i="17"/>
  <c r="D632" i="14" s="1"/>
  <c r="C632" i="14" s="1"/>
  <c r="D633" i="17"/>
  <c r="D633" i="14" s="1"/>
  <c r="C633" i="14" s="1"/>
  <c r="D634" i="17"/>
  <c r="D634" i="14" s="1"/>
  <c r="C634" i="14" s="1"/>
  <c r="D635" i="17"/>
  <c r="D635" i="14" s="1"/>
  <c r="C635" i="14" s="1"/>
  <c r="D636" i="17"/>
  <c r="D636" i="14" s="1"/>
  <c r="C636" i="14" s="1"/>
  <c r="D637" i="17"/>
  <c r="D637" i="14" s="1"/>
  <c r="C637" i="14" s="1"/>
  <c r="D638" i="17"/>
  <c r="D638" i="14" s="1"/>
  <c r="C638" i="14" s="1"/>
  <c r="D639" i="17"/>
  <c r="D639" i="14" s="1"/>
  <c r="C639" i="14" s="1"/>
  <c r="D640" i="17"/>
  <c r="D640" i="14" s="1"/>
  <c r="C640" i="14" s="1"/>
  <c r="D641" i="17"/>
  <c r="D641" i="14" s="1"/>
  <c r="C641" i="14" s="1"/>
  <c r="D642" i="17"/>
  <c r="D642" i="14" s="1"/>
  <c r="C642" i="14" s="1"/>
  <c r="D643" i="17"/>
  <c r="D643" i="14" s="1"/>
  <c r="C643" i="14" s="1"/>
  <c r="D644" i="17"/>
  <c r="D644" i="14" s="1"/>
  <c r="C644" i="14" s="1"/>
  <c r="D645" i="17"/>
  <c r="D645" i="14" s="1"/>
  <c r="C645" i="14" s="1"/>
  <c r="D646" i="17"/>
  <c r="D646" i="14" s="1"/>
  <c r="C646" i="14" s="1"/>
  <c r="D647" i="17"/>
  <c r="D647" i="14" s="1"/>
  <c r="C647" i="14" s="1"/>
  <c r="D648" i="17"/>
  <c r="D648" i="14" s="1"/>
  <c r="C648" i="14" s="1"/>
  <c r="D649" i="17"/>
  <c r="D649" i="14" s="1"/>
  <c r="C649" i="14" s="1"/>
  <c r="D650" i="17"/>
  <c r="D650" i="14" s="1"/>
  <c r="C650" i="14" s="1"/>
  <c r="D651" i="17"/>
  <c r="D651" i="14" s="1"/>
  <c r="C651" i="14" s="1"/>
  <c r="D652" i="17"/>
  <c r="D652" i="14" s="1"/>
  <c r="C652" i="14" s="1"/>
  <c r="D653" i="17"/>
  <c r="D653" i="14" s="1"/>
  <c r="C653" i="14" s="1"/>
  <c r="D654" i="17"/>
  <c r="D654" i="14" s="1"/>
  <c r="C654" i="14" s="1"/>
  <c r="D655" i="17"/>
  <c r="D655" i="14" s="1"/>
  <c r="C655" i="14" s="1"/>
  <c r="D656" i="17"/>
  <c r="D656" i="14" s="1"/>
  <c r="C656" i="14" s="1"/>
  <c r="D657" i="17"/>
  <c r="D657" i="14" s="1"/>
  <c r="C657" i="14" s="1"/>
  <c r="D658" i="17"/>
  <c r="D658" i="14" s="1"/>
  <c r="C658" i="14" s="1"/>
  <c r="D659" i="17"/>
  <c r="D659" i="14" s="1"/>
  <c r="C659" i="14" s="1"/>
  <c r="D660" i="17"/>
  <c r="D660" i="14" s="1"/>
  <c r="C660" i="14" s="1"/>
  <c r="D661" i="17"/>
  <c r="D661" i="14" s="1"/>
  <c r="C661" i="14" s="1"/>
  <c r="D662" i="17"/>
  <c r="D662" i="14" s="1"/>
  <c r="C662" i="14" s="1"/>
  <c r="D663" i="17"/>
  <c r="D663" i="14" s="1"/>
  <c r="C663" i="14" s="1"/>
  <c r="D664" i="17"/>
  <c r="D664" i="14" s="1"/>
  <c r="C664" i="14" s="1"/>
  <c r="D665" i="17"/>
  <c r="D665" i="14" s="1"/>
  <c r="C665" i="14" s="1"/>
  <c r="D666" i="17"/>
  <c r="D666" i="14" s="1"/>
  <c r="C666" i="14" s="1"/>
  <c r="D667" i="17"/>
  <c r="D667" i="14" s="1"/>
  <c r="C667" i="14" s="1"/>
  <c r="D668" i="17"/>
  <c r="D668" i="14" s="1"/>
  <c r="C668" i="14" s="1"/>
  <c r="D669" i="17"/>
  <c r="D669" i="14" s="1"/>
  <c r="C669" i="14" s="1"/>
  <c r="D670" i="17"/>
  <c r="D670" i="14" s="1"/>
  <c r="C670" i="14" s="1"/>
  <c r="D671" i="17"/>
  <c r="D671" i="14" s="1"/>
  <c r="C671" i="14" s="1"/>
  <c r="D672" i="17"/>
  <c r="D672" i="14" s="1"/>
  <c r="C672" i="14" s="1"/>
  <c r="D673" i="17"/>
  <c r="D673" i="14" s="1"/>
  <c r="C673" i="14" s="1"/>
  <c r="D674" i="17"/>
  <c r="D674" i="14" s="1"/>
  <c r="C674" i="14" s="1"/>
  <c r="D675" i="17"/>
  <c r="D675" i="14" s="1"/>
  <c r="C675" i="14" s="1"/>
  <c r="D676" i="17"/>
  <c r="D676" i="14" s="1"/>
  <c r="C676" i="14" s="1"/>
  <c r="D677" i="17"/>
  <c r="D677" i="14" s="1"/>
  <c r="C677" i="14" s="1"/>
  <c r="D678" i="17"/>
  <c r="D678" i="14" s="1"/>
  <c r="C678" i="14" s="1"/>
  <c r="D679" i="17"/>
  <c r="D679" i="14" s="1"/>
  <c r="C679" i="14" s="1"/>
  <c r="D680" i="17"/>
  <c r="D680" i="14" s="1"/>
  <c r="C680" i="14" s="1"/>
  <c r="D681" i="17"/>
  <c r="D681" i="14" s="1"/>
  <c r="C681" i="14" s="1"/>
  <c r="D682" i="17"/>
  <c r="D682" i="14" s="1"/>
  <c r="C682" i="14" s="1"/>
  <c r="D683" i="17"/>
  <c r="D683" i="14" s="1"/>
  <c r="C683" i="14" s="1"/>
  <c r="D684" i="17"/>
  <c r="D684" i="14" s="1"/>
  <c r="C684" i="14" s="1"/>
  <c r="D685" i="17"/>
  <c r="D685" i="14" s="1"/>
  <c r="C685" i="14" s="1"/>
  <c r="D686" i="17"/>
  <c r="D686" i="14" s="1"/>
  <c r="C686" i="14" s="1"/>
  <c r="D687" i="17"/>
  <c r="D687" i="14" s="1"/>
  <c r="C687" i="14" s="1"/>
  <c r="D688" i="17"/>
  <c r="D688" i="14" s="1"/>
  <c r="C688" i="14" s="1"/>
  <c r="D689" i="17"/>
  <c r="D689" i="14" s="1"/>
  <c r="C689" i="14" s="1"/>
  <c r="D690" i="17"/>
  <c r="D690" i="14" s="1"/>
  <c r="C690" i="14" s="1"/>
  <c r="D691" i="17"/>
  <c r="D691" i="14" s="1"/>
  <c r="C691" i="14" s="1"/>
  <c r="D692" i="17"/>
  <c r="D692" i="14" s="1"/>
  <c r="C692" i="14" s="1"/>
  <c r="D693" i="17"/>
  <c r="D693" i="14" s="1"/>
  <c r="C693" i="14" s="1"/>
  <c r="D694" i="17"/>
  <c r="D694" i="14" s="1"/>
  <c r="C694" i="14" s="1"/>
  <c r="D695" i="17"/>
  <c r="D695" i="14" s="1"/>
  <c r="C695" i="14" s="1"/>
  <c r="D696" i="17"/>
  <c r="D696" i="14" s="1"/>
  <c r="C696" i="14" s="1"/>
  <c r="D697" i="17"/>
  <c r="D697" i="14" s="1"/>
  <c r="C697" i="14" s="1"/>
  <c r="D698" i="17"/>
  <c r="D698" i="14" s="1"/>
  <c r="C698" i="14" s="1"/>
  <c r="D699" i="17"/>
  <c r="D699" i="14" s="1"/>
  <c r="C699" i="14" s="1"/>
  <c r="D700" i="17"/>
  <c r="D700" i="14" s="1"/>
  <c r="C700" i="14" s="1"/>
  <c r="D701" i="17"/>
  <c r="D701" i="14" s="1"/>
  <c r="C701" i="14" s="1"/>
  <c r="D702" i="17"/>
  <c r="D702" i="14" s="1"/>
  <c r="C702" i="14" s="1"/>
  <c r="D703" i="17"/>
  <c r="D703" i="14" s="1"/>
  <c r="C703" i="14" s="1"/>
  <c r="D704" i="17"/>
  <c r="D704" i="14" s="1"/>
  <c r="C704" i="14" s="1"/>
  <c r="D705" i="17"/>
  <c r="D705" i="14" s="1"/>
  <c r="C705" i="14" s="1"/>
  <c r="D706" i="17"/>
  <c r="D706" i="14" s="1"/>
  <c r="C706" i="14" s="1"/>
  <c r="D707" i="17"/>
  <c r="D707" i="14" s="1"/>
  <c r="C707" i="14" s="1"/>
  <c r="D708" i="17"/>
  <c r="D708" i="14" s="1"/>
  <c r="C708" i="14" s="1"/>
  <c r="D709" i="17"/>
  <c r="D709" i="14" s="1"/>
  <c r="C709" i="14" s="1"/>
  <c r="D710" i="17"/>
  <c r="D710" i="14" s="1"/>
  <c r="C710" i="14" s="1"/>
  <c r="D711" i="17"/>
  <c r="D711" i="14" s="1"/>
  <c r="C711" i="14" s="1"/>
  <c r="D712" i="17"/>
  <c r="D712" i="14" s="1"/>
  <c r="C712" i="14" s="1"/>
  <c r="D713" i="17"/>
  <c r="D713" i="14" s="1"/>
  <c r="C713" i="14" s="1"/>
  <c r="D714" i="17"/>
  <c r="D714" i="14" s="1"/>
  <c r="C714" i="14" s="1"/>
  <c r="D715" i="17"/>
  <c r="D715" i="14" s="1"/>
  <c r="C715" i="14" s="1"/>
  <c r="D716" i="17"/>
  <c r="D716" i="14" s="1"/>
  <c r="C716" i="14" s="1"/>
  <c r="D717" i="17"/>
  <c r="D717" i="14" s="1"/>
  <c r="C717" i="14" s="1"/>
  <c r="D718" i="17"/>
  <c r="D718" i="14" s="1"/>
  <c r="C718" i="14" s="1"/>
  <c r="D719" i="17"/>
  <c r="D719" i="14" s="1"/>
  <c r="C719" i="14" s="1"/>
  <c r="D720" i="17"/>
  <c r="D720" i="14" s="1"/>
  <c r="C720" i="14" s="1"/>
  <c r="D721" i="17"/>
  <c r="D721" i="14" s="1"/>
  <c r="C721" i="14" s="1"/>
  <c r="D722" i="17"/>
  <c r="D722" i="14" s="1"/>
  <c r="C722" i="14" s="1"/>
  <c r="D723" i="17"/>
  <c r="D723" i="14" s="1"/>
  <c r="C723" i="14" s="1"/>
  <c r="D724" i="17"/>
  <c r="D724" i="14" s="1"/>
  <c r="C724" i="14" s="1"/>
  <c r="D725" i="17"/>
  <c r="D725" i="14" s="1"/>
  <c r="C725" i="14" s="1"/>
  <c r="D726" i="17"/>
  <c r="D726" i="14" s="1"/>
  <c r="C726" i="14" s="1"/>
  <c r="D727" i="17"/>
  <c r="D727" i="14" s="1"/>
  <c r="C727" i="14" s="1"/>
  <c r="D728" i="17"/>
  <c r="D728" i="14" s="1"/>
  <c r="C728" i="14" s="1"/>
  <c r="D729" i="17"/>
  <c r="D729" i="14" s="1"/>
  <c r="C729" i="14" s="1"/>
  <c r="D730" i="17"/>
  <c r="D730" i="14" s="1"/>
  <c r="C730" i="14" s="1"/>
  <c r="D731" i="17"/>
  <c r="D731" i="14" s="1"/>
  <c r="C731" i="14" s="1"/>
  <c r="D732" i="17"/>
  <c r="D732" i="14" s="1"/>
  <c r="C732" i="14" s="1"/>
  <c r="D733" i="17"/>
  <c r="D733" i="14" s="1"/>
  <c r="C733" i="14" s="1"/>
  <c r="D734" i="17"/>
  <c r="D734" i="14" s="1"/>
  <c r="C734" i="14" s="1"/>
  <c r="D735" i="17"/>
  <c r="D735" i="14" s="1"/>
  <c r="C735" i="14" s="1"/>
  <c r="D736" i="17"/>
  <c r="D736" i="14" s="1"/>
  <c r="C736" i="14" s="1"/>
  <c r="D737" i="17"/>
  <c r="D737" i="14" s="1"/>
  <c r="C737" i="14" s="1"/>
  <c r="D738" i="17"/>
  <c r="D738" i="14" s="1"/>
  <c r="C738" i="14" s="1"/>
  <c r="D739" i="17"/>
  <c r="D739" i="14" s="1"/>
  <c r="C739" i="14" s="1"/>
  <c r="D740" i="17"/>
  <c r="D740" i="14" s="1"/>
  <c r="C740" i="14" s="1"/>
  <c r="D741" i="17"/>
  <c r="D741" i="14" s="1"/>
  <c r="C741" i="14" s="1"/>
  <c r="D742" i="17"/>
  <c r="D742" i="14" s="1"/>
  <c r="C742" i="14" s="1"/>
  <c r="D743" i="17"/>
  <c r="D743" i="14" s="1"/>
  <c r="C743" i="14" s="1"/>
  <c r="D744" i="17"/>
  <c r="D744" i="14" s="1"/>
  <c r="C744" i="14" s="1"/>
  <c r="D745" i="17"/>
  <c r="D745" i="14" s="1"/>
  <c r="C745" i="14" s="1"/>
  <c r="D746" i="17"/>
  <c r="D746" i="14" s="1"/>
  <c r="C746" i="14" s="1"/>
  <c r="D747" i="17"/>
  <c r="D747" i="14" s="1"/>
  <c r="C747" i="14" s="1"/>
  <c r="D748" i="17"/>
  <c r="D748" i="14" s="1"/>
  <c r="C748" i="14" s="1"/>
  <c r="D749" i="17"/>
  <c r="D749" i="14" s="1"/>
  <c r="C749" i="14" s="1"/>
  <c r="D750" i="17"/>
  <c r="D750" i="14" s="1"/>
  <c r="C750" i="14" s="1"/>
  <c r="D751" i="17"/>
  <c r="D751" i="14" s="1"/>
  <c r="C751" i="14" s="1"/>
  <c r="D752" i="17"/>
  <c r="D752" i="14" s="1"/>
  <c r="C752" i="14" s="1"/>
  <c r="D753" i="17"/>
  <c r="D753" i="14" s="1"/>
  <c r="C753" i="14" s="1"/>
  <c r="D754" i="17"/>
  <c r="D754" i="14" s="1"/>
  <c r="C754" i="14" s="1"/>
  <c r="D755" i="17"/>
  <c r="D755" i="14" s="1"/>
  <c r="C755" i="14" s="1"/>
  <c r="D756" i="17"/>
  <c r="D756" i="14" s="1"/>
  <c r="C756" i="14" s="1"/>
  <c r="D757" i="17"/>
  <c r="D757" i="14" s="1"/>
  <c r="C757" i="14" s="1"/>
  <c r="D758" i="17"/>
  <c r="D758" i="14" s="1"/>
  <c r="C758" i="14" s="1"/>
  <c r="D759" i="17"/>
  <c r="D759" i="14" s="1"/>
  <c r="C759" i="14" s="1"/>
  <c r="D760" i="17"/>
  <c r="D760" i="14" s="1"/>
  <c r="C760" i="14" s="1"/>
  <c r="D761" i="17"/>
  <c r="D761" i="14" s="1"/>
  <c r="C761" i="14" s="1"/>
  <c r="D762" i="17"/>
  <c r="D762" i="14" s="1"/>
  <c r="C762" i="14" s="1"/>
  <c r="D763" i="17"/>
  <c r="D763" i="14" s="1"/>
  <c r="C763" i="14" s="1"/>
  <c r="D764" i="17"/>
  <c r="D764" i="14" s="1"/>
  <c r="C764" i="14" s="1"/>
  <c r="D765" i="17"/>
  <c r="D765" i="14" s="1"/>
  <c r="C765" i="14" s="1"/>
  <c r="D766" i="17"/>
  <c r="D766" i="14" s="1"/>
  <c r="C766" i="14" s="1"/>
  <c r="D767" i="17"/>
  <c r="D767" i="14" s="1"/>
  <c r="C767" i="14" s="1"/>
  <c r="D768" i="17"/>
  <c r="D768" i="14" s="1"/>
  <c r="C768" i="14" s="1"/>
  <c r="D769" i="17"/>
  <c r="D769" i="14" s="1"/>
  <c r="C769" i="14" s="1"/>
  <c r="D770" i="17"/>
  <c r="D770" i="14" s="1"/>
  <c r="C770" i="14" s="1"/>
  <c r="D771" i="17"/>
  <c r="D771" i="14" s="1"/>
  <c r="C771" i="14" s="1"/>
  <c r="D772" i="17"/>
  <c r="D772" i="14" s="1"/>
  <c r="C772" i="14" s="1"/>
  <c r="D773" i="17"/>
  <c r="D773" i="14" s="1"/>
  <c r="C773" i="14" s="1"/>
  <c r="D774" i="17"/>
  <c r="D774" i="14" s="1"/>
  <c r="C774" i="14" s="1"/>
  <c r="D775" i="17"/>
  <c r="D775" i="14" s="1"/>
  <c r="C775" i="14" s="1"/>
  <c r="D776" i="17"/>
  <c r="D776" i="14" s="1"/>
  <c r="C776" i="14" s="1"/>
  <c r="D777" i="17"/>
  <c r="D777" i="14" s="1"/>
  <c r="C777" i="14" s="1"/>
  <c r="D778" i="17"/>
  <c r="D778" i="14" s="1"/>
  <c r="C778" i="14" s="1"/>
  <c r="D779" i="17"/>
  <c r="D779" i="14" s="1"/>
  <c r="C779" i="14" s="1"/>
  <c r="D780" i="17"/>
  <c r="D780" i="14" s="1"/>
  <c r="C780" i="14" s="1"/>
  <c r="D781" i="17"/>
  <c r="D781" i="14" s="1"/>
  <c r="C781" i="14" s="1"/>
  <c r="D782" i="17"/>
  <c r="D782" i="14" s="1"/>
  <c r="C782" i="14" s="1"/>
  <c r="D783" i="17"/>
  <c r="D783" i="14" s="1"/>
  <c r="C783" i="14" s="1"/>
  <c r="D784" i="17"/>
  <c r="D784" i="14" s="1"/>
  <c r="C784" i="14" s="1"/>
  <c r="D785" i="17"/>
  <c r="D785" i="14" s="1"/>
  <c r="C785" i="14" s="1"/>
  <c r="D786" i="17"/>
  <c r="D786" i="14" s="1"/>
  <c r="C786" i="14" s="1"/>
  <c r="D787" i="17"/>
  <c r="D787" i="14" s="1"/>
  <c r="C787" i="14" s="1"/>
  <c r="D788" i="17"/>
  <c r="D788" i="14" s="1"/>
  <c r="C788" i="14" s="1"/>
  <c r="D789" i="17"/>
  <c r="D789" i="14" s="1"/>
  <c r="C789" i="14" s="1"/>
  <c r="D790" i="17"/>
  <c r="D790" i="14" s="1"/>
  <c r="C790" i="14" s="1"/>
  <c r="D791" i="17"/>
  <c r="D791" i="14" s="1"/>
  <c r="C791" i="14" s="1"/>
  <c r="D792" i="17"/>
  <c r="D792" i="14" s="1"/>
  <c r="C792" i="14" s="1"/>
  <c r="D793" i="17"/>
  <c r="D793" i="14" s="1"/>
  <c r="C793" i="14" s="1"/>
  <c r="D794" i="17"/>
  <c r="D794" i="14" s="1"/>
  <c r="C794" i="14" s="1"/>
  <c r="D795" i="17"/>
  <c r="D795" i="14" s="1"/>
  <c r="C795" i="14" s="1"/>
  <c r="D796" i="17"/>
  <c r="D796" i="14" s="1"/>
  <c r="C796" i="14" s="1"/>
  <c r="D797" i="17"/>
  <c r="D797" i="14" s="1"/>
  <c r="C797" i="14" s="1"/>
  <c r="D798" i="17"/>
  <c r="D798" i="14" s="1"/>
  <c r="C798" i="14" s="1"/>
  <c r="D799" i="17"/>
  <c r="D799" i="14" s="1"/>
  <c r="C799" i="14" s="1"/>
  <c r="D800" i="17"/>
  <c r="D800" i="14" s="1"/>
  <c r="C800" i="14" s="1"/>
  <c r="D801" i="17"/>
  <c r="D801" i="14" s="1"/>
  <c r="C801" i="14" s="1"/>
  <c r="D802" i="17"/>
  <c r="D802" i="14" s="1"/>
  <c r="C802" i="14" s="1"/>
  <c r="D803" i="17"/>
  <c r="D803" i="14" s="1"/>
  <c r="C803" i="14" s="1"/>
  <c r="D804" i="17"/>
  <c r="D804" i="14" s="1"/>
  <c r="C804" i="14" s="1"/>
  <c r="D805" i="17"/>
  <c r="D805" i="14" s="1"/>
  <c r="C805" i="14" s="1"/>
  <c r="D806" i="17"/>
  <c r="D806" i="14" s="1"/>
  <c r="C806" i="14" s="1"/>
  <c r="D807" i="17"/>
  <c r="D807" i="14" s="1"/>
  <c r="C807" i="14" s="1"/>
  <c r="D808" i="17"/>
  <c r="D808" i="14" s="1"/>
  <c r="C808" i="14" s="1"/>
  <c r="D809" i="17"/>
  <c r="D809" i="14" s="1"/>
  <c r="C809" i="14" s="1"/>
  <c r="D810" i="17"/>
  <c r="D810" i="14" s="1"/>
  <c r="C810" i="14" s="1"/>
  <c r="D811" i="17"/>
  <c r="D811" i="14" s="1"/>
  <c r="C811" i="14" s="1"/>
  <c r="D812" i="17"/>
  <c r="D812" i="14" s="1"/>
  <c r="C812" i="14" s="1"/>
  <c r="D813" i="17"/>
  <c r="D813" i="14" s="1"/>
  <c r="C813" i="14" s="1"/>
  <c r="D814" i="17"/>
  <c r="D814" i="14" s="1"/>
  <c r="C814" i="14" s="1"/>
  <c r="D815" i="17"/>
  <c r="D815" i="14" s="1"/>
  <c r="C815" i="14" s="1"/>
  <c r="D816" i="17"/>
  <c r="D816" i="14" s="1"/>
  <c r="C816" i="14" s="1"/>
  <c r="D817" i="17"/>
  <c r="D817" i="14" s="1"/>
  <c r="C817" i="14" s="1"/>
  <c r="D818" i="17"/>
  <c r="D818" i="14" s="1"/>
  <c r="C818" i="14" s="1"/>
  <c r="D819" i="17"/>
  <c r="D819" i="14" s="1"/>
  <c r="C819" i="14" s="1"/>
  <c r="D820" i="17"/>
  <c r="D820" i="14" s="1"/>
  <c r="C820" i="14" s="1"/>
  <c r="D821" i="17"/>
  <c r="D821" i="14" s="1"/>
  <c r="C821" i="14" s="1"/>
  <c r="D822" i="17"/>
  <c r="D822" i="14" s="1"/>
  <c r="C822" i="14" s="1"/>
  <c r="D823" i="17"/>
  <c r="D823" i="14" s="1"/>
  <c r="C823" i="14" s="1"/>
  <c r="D824" i="17"/>
  <c r="D824" i="14" s="1"/>
  <c r="C824" i="14" s="1"/>
  <c r="D825" i="17"/>
  <c r="D826" i="17"/>
  <c r="D827" i="17"/>
  <c r="D828" i="17"/>
  <c r="D829" i="17"/>
  <c r="D830" i="17"/>
  <c r="D831" i="17"/>
  <c r="D832" i="17"/>
  <c r="D833" i="17"/>
  <c r="D834" i="17"/>
  <c r="D835" i="17"/>
  <c r="D836" i="17"/>
  <c r="D837" i="17"/>
  <c r="D838" i="17"/>
  <c r="D839" i="17"/>
  <c r="D840" i="17"/>
  <c r="D841" i="17"/>
  <c r="D842" i="17"/>
  <c r="D843" i="17"/>
  <c r="D844" i="17"/>
  <c r="D845" i="17"/>
  <c r="D846" i="17"/>
  <c r="D847" i="17"/>
  <c r="D848" i="17"/>
  <c r="D849" i="17"/>
  <c r="D850" i="17"/>
  <c r="D851" i="17"/>
  <c r="D852" i="17"/>
  <c r="D853" i="17"/>
  <c r="D854" i="17"/>
  <c r="D855" i="17"/>
  <c r="D856" i="17"/>
  <c r="D857" i="17"/>
  <c r="D858" i="17"/>
  <c r="D859" i="17"/>
  <c r="D860" i="17"/>
  <c r="D861" i="17"/>
  <c r="D862" i="17"/>
  <c r="D863" i="17"/>
  <c r="D864" i="17"/>
  <c r="D865" i="17"/>
  <c r="D866" i="17"/>
  <c r="D867" i="17"/>
  <c r="D868" i="17"/>
  <c r="D869" i="17"/>
  <c r="D870" i="17"/>
  <c r="D871" i="17"/>
  <c r="D872" i="17"/>
  <c r="D873" i="17"/>
  <c r="D874" i="17"/>
  <c r="D875" i="17"/>
  <c r="D876" i="17"/>
  <c r="D877" i="17"/>
  <c r="D878" i="17"/>
  <c r="D879" i="17"/>
  <c r="D880" i="17"/>
  <c r="D881" i="17"/>
  <c r="D882" i="17"/>
  <c r="D883" i="17"/>
  <c r="D884" i="17"/>
  <c r="D885" i="17"/>
  <c r="D886" i="17"/>
  <c r="D887" i="17"/>
  <c r="D888" i="17"/>
  <c r="D889" i="17"/>
  <c r="D890" i="17"/>
  <c r="D891" i="17"/>
  <c r="D892" i="17"/>
  <c r="D892" i="14" s="1"/>
  <c r="D893" i="17"/>
  <c r="D893" i="14" s="1"/>
  <c r="D894" i="17"/>
  <c r="D894" i="14" s="1"/>
  <c r="D895" i="17"/>
  <c r="D895" i="14" s="1"/>
  <c r="D896" i="17"/>
  <c r="D896" i="14" s="1"/>
  <c r="D897" i="17"/>
  <c r="D897" i="14" s="1"/>
  <c r="D898" i="17"/>
  <c r="D898" i="14" s="1"/>
  <c r="D899" i="17"/>
  <c r="D899" i="14" s="1"/>
  <c r="D900" i="17"/>
  <c r="D900" i="14" s="1"/>
  <c r="D901" i="17"/>
  <c r="D902" i="17"/>
  <c r="D903" i="17"/>
  <c r="D904" i="17"/>
  <c r="D905" i="17"/>
  <c r="D906" i="17"/>
  <c r="D907" i="17"/>
  <c r="D908" i="17"/>
  <c r="D909" i="17"/>
  <c r="D910" i="17"/>
  <c r="D911" i="17"/>
  <c r="D912" i="17"/>
  <c r="D913" i="17"/>
  <c r="D914" i="17"/>
  <c r="D915" i="17"/>
  <c r="D916" i="17"/>
  <c r="D917" i="17"/>
  <c r="D918" i="17"/>
  <c r="D919" i="17"/>
  <c r="D920" i="17"/>
  <c r="D921" i="17"/>
  <c r="D922" i="17"/>
  <c r="D923" i="17"/>
  <c r="D924" i="17"/>
  <c r="D925" i="17"/>
  <c r="D926" i="17"/>
  <c r="D927" i="17"/>
  <c r="D928" i="17"/>
  <c r="D929" i="17"/>
  <c r="D930" i="17"/>
  <c r="D931" i="17"/>
  <c r="D932" i="17"/>
  <c r="D933" i="17"/>
  <c r="D934" i="17"/>
  <c r="D935" i="17"/>
  <c r="D936" i="17"/>
  <c r="D937" i="17"/>
  <c r="D938" i="17"/>
  <c r="D939" i="17"/>
  <c r="D940" i="17"/>
  <c r="D941" i="17"/>
  <c r="D942" i="17"/>
  <c r="D943" i="17"/>
  <c r="D944" i="17"/>
  <c r="D945" i="17"/>
  <c r="D946" i="17"/>
  <c r="D947" i="17"/>
  <c r="D948" i="17"/>
  <c r="D949" i="17"/>
  <c r="D950" i="17"/>
  <c r="D951" i="17"/>
  <c r="D952" i="17"/>
  <c r="D953" i="17"/>
  <c r="D954" i="17"/>
  <c r="D955" i="17"/>
  <c r="D956" i="17"/>
  <c r="D957" i="17"/>
  <c r="D958" i="17"/>
  <c r="D959" i="17"/>
  <c r="D960" i="17"/>
  <c r="D961" i="17"/>
  <c r="D962" i="17"/>
  <c r="D963" i="17"/>
  <c r="D964" i="17"/>
  <c r="D965" i="17"/>
  <c r="D966" i="17"/>
  <c r="D967" i="17"/>
  <c r="D968" i="17"/>
  <c r="D969" i="17"/>
  <c r="D970" i="17"/>
  <c r="D971" i="17"/>
  <c r="D972" i="17"/>
  <c r="D973" i="17"/>
  <c r="D974" i="17"/>
  <c r="D975" i="17"/>
  <c r="D976" i="17"/>
  <c r="D977" i="17"/>
  <c r="D978" i="17"/>
  <c r="D979" i="17"/>
  <c r="D980" i="17"/>
  <c r="D981" i="17"/>
  <c r="D982" i="17"/>
  <c r="D983" i="17"/>
  <c r="D984" i="17"/>
  <c r="D985" i="17"/>
  <c r="D986" i="17"/>
  <c r="D987" i="17"/>
  <c r="D988" i="17"/>
  <c r="D989" i="17"/>
  <c r="D990" i="17"/>
  <c r="D991" i="17"/>
  <c r="D992" i="17"/>
  <c r="D993" i="17"/>
  <c r="D994" i="17"/>
  <c r="D995" i="17"/>
  <c r="D996" i="17"/>
  <c r="D997" i="17"/>
  <c r="D998" i="17"/>
  <c r="D999" i="17"/>
  <c r="D1000" i="17"/>
  <c r="D1001" i="17"/>
  <c r="D1002" i="17"/>
  <c r="D1003" i="17"/>
  <c r="D1004" i="17"/>
  <c r="D1005" i="17"/>
  <c r="D1006" i="17"/>
  <c r="D1007" i="17"/>
  <c r="D1008" i="17"/>
  <c r="D1009" i="17"/>
  <c r="D1010" i="17"/>
  <c r="D1011" i="17"/>
  <c r="D1012" i="17"/>
  <c r="D1013" i="17"/>
  <c r="D1014" i="17"/>
  <c r="D1015" i="17"/>
  <c r="D1016" i="17"/>
  <c r="D1017" i="17"/>
  <c r="D1018" i="17"/>
  <c r="D1019" i="17"/>
  <c r="D1020" i="17"/>
  <c r="D1021" i="17"/>
  <c r="D1022" i="17"/>
  <c r="D1023" i="17"/>
  <c r="D1024" i="17"/>
  <c r="D1025" i="17"/>
  <c r="D1026" i="17"/>
  <c r="D1027" i="17"/>
  <c r="D1028" i="17"/>
  <c r="D1029" i="17"/>
  <c r="D1030" i="17"/>
  <c r="D1031" i="17"/>
  <c r="D1032" i="17"/>
  <c r="D1033" i="17"/>
  <c r="D1034" i="17"/>
  <c r="D1035" i="17"/>
  <c r="D1036" i="17"/>
  <c r="D1037" i="17"/>
  <c r="D1038" i="17"/>
  <c r="D1039" i="17"/>
  <c r="D1040" i="17"/>
  <c r="D1041" i="17"/>
  <c r="D1042" i="17"/>
  <c r="D1043" i="17"/>
  <c r="D1044" i="17"/>
  <c r="D1045" i="17"/>
  <c r="D1046" i="17"/>
  <c r="D1047" i="17"/>
  <c r="D1048" i="17"/>
  <c r="D1049" i="17"/>
  <c r="D1050" i="17"/>
  <c r="D1051" i="17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Q988" i="14"/>
  <c r="Q989" i="14"/>
  <c r="Q990" i="14"/>
  <c r="Q991" i="14"/>
  <c r="Q992" i="14"/>
  <c r="Q993" i="14"/>
  <c r="Q994" i="14"/>
  <c r="Q995" i="14"/>
  <c r="Q996" i="14"/>
  <c r="Q997" i="14"/>
  <c r="Q998" i="14"/>
  <c r="Q999" i="14"/>
  <c r="Q1000" i="14"/>
  <c r="Q1001" i="14"/>
  <c r="Q1002" i="14"/>
  <c r="Q1003" i="14"/>
  <c r="Q1004" i="14"/>
  <c r="Q1005" i="14"/>
  <c r="Q1006" i="14"/>
  <c r="Q1007" i="14"/>
  <c r="Q1008" i="14"/>
  <c r="Q1009" i="14"/>
  <c r="Q1010" i="14"/>
  <c r="Q1011" i="14"/>
  <c r="Q1012" i="14"/>
  <c r="Q1013" i="14"/>
  <c r="Q1014" i="14"/>
  <c r="Q1015" i="14"/>
  <c r="Q1016" i="14"/>
  <c r="Q1017" i="14"/>
  <c r="Q1018" i="14"/>
  <c r="Q1019" i="14"/>
  <c r="Q1020" i="14"/>
  <c r="Q1021" i="14"/>
  <c r="Q1022" i="14"/>
  <c r="Q1023" i="14"/>
  <c r="Q1024" i="14"/>
  <c r="Q1025" i="14"/>
  <c r="Q1026" i="14"/>
  <c r="Q1027" i="14"/>
  <c r="Q1028" i="14"/>
  <c r="Q1029" i="14"/>
  <c r="Q1030" i="14"/>
  <c r="Q1031" i="14"/>
  <c r="Q1032" i="14"/>
  <c r="Q1033" i="14"/>
  <c r="Q1034" i="14"/>
  <c r="Q1035" i="14"/>
  <c r="Q1036" i="14"/>
  <c r="Q1037" i="14"/>
  <c r="Q1038" i="14"/>
  <c r="Q1039" i="14"/>
  <c r="Q1040" i="14"/>
  <c r="Q1041" i="14"/>
  <c r="Q1042" i="14"/>
  <c r="Q1043" i="14"/>
  <c r="Q1044" i="14"/>
  <c r="Q1045" i="14"/>
  <c r="Q1046" i="14"/>
  <c r="Q1047" i="14"/>
  <c r="Q1048" i="14"/>
  <c r="Q1049" i="14"/>
  <c r="Q1050" i="14"/>
  <c r="Q1051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927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L790" i="14"/>
  <c r="L791" i="14"/>
  <c r="L792" i="14"/>
  <c r="L793" i="14"/>
  <c r="L794" i="14"/>
  <c r="L795" i="14"/>
  <c r="L796" i="14"/>
  <c r="L797" i="14"/>
  <c r="L798" i="14"/>
  <c r="L799" i="14"/>
  <c r="L800" i="14"/>
  <c r="L801" i="14"/>
  <c r="L802" i="14"/>
  <c r="L803" i="14"/>
  <c r="L804" i="14"/>
  <c r="L805" i="14"/>
  <c r="L806" i="14"/>
  <c r="L807" i="14"/>
  <c r="L808" i="14"/>
  <c r="L809" i="14"/>
  <c r="L810" i="14"/>
  <c r="L811" i="14"/>
  <c r="L812" i="14"/>
  <c r="L813" i="14"/>
  <c r="L814" i="14"/>
  <c r="L815" i="14"/>
  <c r="L816" i="14"/>
  <c r="L817" i="14"/>
  <c r="L818" i="14"/>
  <c r="L819" i="14"/>
  <c r="L820" i="14"/>
  <c r="L821" i="14"/>
  <c r="L822" i="14"/>
  <c r="L823" i="14"/>
  <c r="L824" i="14"/>
  <c r="L825" i="14"/>
  <c r="L826" i="14"/>
  <c r="L827" i="14"/>
  <c r="L828" i="14"/>
  <c r="L829" i="14"/>
  <c r="L830" i="14"/>
  <c r="L831" i="14"/>
  <c r="L832" i="14"/>
  <c r="L833" i="14"/>
  <c r="L834" i="14"/>
  <c r="L835" i="14"/>
  <c r="L836" i="14"/>
  <c r="L837" i="14"/>
  <c r="L838" i="14"/>
  <c r="L839" i="14"/>
  <c r="L840" i="14"/>
  <c r="L841" i="14"/>
  <c r="L842" i="14"/>
  <c r="L843" i="14"/>
  <c r="L844" i="14"/>
  <c r="L845" i="14"/>
  <c r="L846" i="14"/>
  <c r="L847" i="14"/>
  <c r="L848" i="14"/>
  <c r="L849" i="14"/>
  <c r="L850" i="14"/>
  <c r="L851" i="14"/>
  <c r="L852" i="14"/>
  <c r="L853" i="14"/>
  <c r="L854" i="14"/>
  <c r="L855" i="14"/>
  <c r="L856" i="14"/>
  <c r="L857" i="14"/>
  <c r="L858" i="14"/>
  <c r="L859" i="14"/>
  <c r="L860" i="14"/>
  <c r="L861" i="14"/>
  <c r="L862" i="14"/>
  <c r="L863" i="14"/>
  <c r="L864" i="14"/>
  <c r="L865" i="14"/>
  <c r="L866" i="14"/>
  <c r="L867" i="14"/>
  <c r="L868" i="14"/>
  <c r="L869" i="14"/>
  <c r="L870" i="14"/>
  <c r="L871" i="14"/>
  <c r="L872" i="14"/>
  <c r="L873" i="14"/>
  <c r="L874" i="14"/>
  <c r="L875" i="14"/>
  <c r="L876" i="14"/>
  <c r="L877" i="14"/>
  <c r="L878" i="14"/>
  <c r="L879" i="14"/>
  <c r="L880" i="14"/>
  <c r="L881" i="14"/>
  <c r="L882" i="14"/>
  <c r="L883" i="14"/>
  <c r="L884" i="14"/>
  <c r="L885" i="14"/>
  <c r="L886" i="14"/>
  <c r="L887" i="14"/>
  <c r="L888" i="14"/>
  <c r="L889" i="14"/>
  <c r="L890" i="14"/>
  <c r="L891" i="14"/>
  <c r="L892" i="14"/>
  <c r="L893" i="14"/>
  <c r="L894" i="14"/>
  <c r="L895" i="14"/>
  <c r="L896" i="14"/>
  <c r="L897" i="14"/>
  <c r="L898" i="14"/>
  <c r="L899" i="14"/>
  <c r="L900" i="14"/>
  <c r="L901" i="14"/>
  <c r="L902" i="14"/>
  <c r="L903" i="14"/>
  <c r="L904" i="14"/>
  <c r="L905" i="14"/>
  <c r="L906" i="14"/>
  <c r="L907" i="14"/>
  <c r="L908" i="14"/>
  <c r="L909" i="14"/>
  <c r="L910" i="14"/>
  <c r="L911" i="14"/>
  <c r="L912" i="14"/>
  <c r="L913" i="14"/>
  <c r="L914" i="14"/>
  <c r="L915" i="14"/>
  <c r="L916" i="14"/>
  <c r="L917" i="14"/>
  <c r="L918" i="14"/>
  <c r="L919" i="14"/>
  <c r="L920" i="14"/>
  <c r="L921" i="14"/>
  <c r="L922" i="14"/>
  <c r="L923" i="14"/>
  <c r="L924" i="14"/>
  <c r="L925" i="14"/>
  <c r="L926" i="14"/>
  <c r="L927" i="14"/>
  <c r="L928" i="14"/>
  <c r="L929" i="14"/>
  <c r="L930" i="14"/>
  <c r="L931" i="14"/>
  <c r="L932" i="14"/>
  <c r="L933" i="14"/>
  <c r="L934" i="14"/>
  <c r="L935" i="14"/>
  <c r="L936" i="14"/>
  <c r="L937" i="14"/>
  <c r="L938" i="14"/>
  <c r="L939" i="14"/>
  <c r="L940" i="14"/>
  <c r="L941" i="14"/>
  <c r="L942" i="14"/>
  <c r="L943" i="14"/>
  <c r="L944" i="14"/>
  <c r="L945" i="14"/>
  <c r="L946" i="14"/>
  <c r="L947" i="14"/>
  <c r="L948" i="14"/>
  <c r="L949" i="14"/>
  <c r="L950" i="14"/>
  <c r="L951" i="14"/>
  <c r="L952" i="14"/>
  <c r="L953" i="14"/>
  <c r="L954" i="14"/>
  <c r="L955" i="14"/>
  <c r="L956" i="14"/>
  <c r="L957" i="14"/>
  <c r="L958" i="14"/>
  <c r="L959" i="14"/>
  <c r="L960" i="14"/>
  <c r="L961" i="14"/>
  <c r="L962" i="14"/>
  <c r="L963" i="14"/>
  <c r="L964" i="14"/>
  <c r="L965" i="14"/>
  <c r="L966" i="14"/>
  <c r="L967" i="14"/>
  <c r="L968" i="14"/>
  <c r="L969" i="14"/>
  <c r="L970" i="14"/>
  <c r="L971" i="14"/>
  <c r="L972" i="14"/>
  <c r="L973" i="14"/>
  <c r="L974" i="14"/>
  <c r="L975" i="14"/>
  <c r="L976" i="14"/>
  <c r="L977" i="14"/>
  <c r="L978" i="14"/>
  <c r="L979" i="14"/>
  <c r="L980" i="14"/>
  <c r="L981" i="14"/>
  <c r="L982" i="14"/>
  <c r="L983" i="14"/>
  <c r="L984" i="14"/>
  <c r="L985" i="14"/>
  <c r="L986" i="14"/>
  <c r="L987" i="14"/>
  <c r="L988" i="14"/>
  <c r="L989" i="14"/>
  <c r="L990" i="14"/>
  <c r="L991" i="14"/>
  <c r="L992" i="14"/>
  <c r="L993" i="14"/>
  <c r="L994" i="14"/>
  <c r="L995" i="14"/>
  <c r="L996" i="14"/>
  <c r="L997" i="14"/>
  <c r="L998" i="14"/>
  <c r="L999" i="14"/>
  <c r="L1000" i="14"/>
  <c r="L1001" i="14"/>
  <c r="L1002" i="14"/>
  <c r="L1003" i="14"/>
  <c r="L1004" i="14"/>
  <c r="L1005" i="14"/>
  <c r="L1006" i="14"/>
  <c r="L1007" i="14"/>
  <c r="L1008" i="14"/>
  <c r="L1009" i="14"/>
  <c r="L1010" i="14"/>
  <c r="L1011" i="14"/>
  <c r="L1012" i="14"/>
  <c r="L1013" i="14"/>
  <c r="L1014" i="14"/>
  <c r="L1015" i="14"/>
  <c r="L1016" i="14"/>
  <c r="L1017" i="14"/>
  <c r="L1018" i="14"/>
  <c r="L1019" i="14"/>
  <c r="L1020" i="14"/>
  <c r="L1021" i="14"/>
  <c r="L1022" i="14"/>
  <c r="L1023" i="14"/>
  <c r="L1024" i="14"/>
  <c r="L1025" i="14"/>
  <c r="L1026" i="14"/>
  <c r="L1027" i="14"/>
  <c r="L1028" i="14"/>
  <c r="L1029" i="14"/>
  <c r="L1030" i="14"/>
  <c r="L1031" i="14"/>
  <c r="L1032" i="14"/>
  <c r="L1033" i="14"/>
  <c r="L1034" i="14"/>
  <c r="L1035" i="14"/>
  <c r="L1036" i="14"/>
  <c r="L1037" i="14"/>
  <c r="L1038" i="14"/>
  <c r="L1039" i="14"/>
  <c r="L1040" i="14"/>
  <c r="L1041" i="14"/>
  <c r="L1042" i="14"/>
  <c r="L1043" i="14"/>
  <c r="L1044" i="14"/>
  <c r="L1045" i="14"/>
  <c r="L1046" i="14"/>
  <c r="L1047" i="14"/>
  <c r="L1048" i="14"/>
  <c r="L1049" i="14"/>
  <c r="L1050" i="14"/>
  <c r="L1051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846" i="14"/>
  <c r="K847" i="14"/>
  <c r="K848" i="14"/>
  <c r="K849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J790" i="14"/>
  <c r="J791" i="14"/>
  <c r="J792" i="14"/>
  <c r="J793" i="14"/>
  <c r="J794" i="14"/>
  <c r="J795" i="14"/>
  <c r="J796" i="14"/>
  <c r="J797" i="14"/>
  <c r="J798" i="14"/>
  <c r="J799" i="14"/>
  <c r="J800" i="14"/>
  <c r="J801" i="14"/>
  <c r="J802" i="14"/>
  <c r="J803" i="14"/>
  <c r="J804" i="14"/>
  <c r="J805" i="14"/>
  <c r="J806" i="14"/>
  <c r="J807" i="14"/>
  <c r="J808" i="14"/>
  <c r="J809" i="14"/>
  <c r="J810" i="14"/>
  <c r="J811" i="14"/>
  <c r="J812" i="14"/>
  <c r="J813" i="14"/>
  <c r="J814" i="14"/>
  <c r="J815" i="14"/>
  <c r="J816" i="14"/>
  <c r="J817" i="14"/>
  <c r="J818" i="14"/>
  <c r="J819" i="14"/>
  <c r="J820" i="14"/>
  <c r="J821" i="14"/>
  <c r="J822" i="14"/>
  <c r="J823" i="14"/>
  <c r="J824" i="14"/>
  <c r="J825" i="14"/>
  <c r="J826" i="14"/>
  <c r="J827" i="14"/>
  <c r="J828" i="14"/>
  <c r="J829" i="14"/>
  <c r="J830" i="14"/>
  <c r="J831" i="14"/>
  <c r="J832" i="14"/>
  <c r="J833" i="14"/>
  <c r="J834" i="14"/>
  <c r="J835" i="14"/>
  <c r="J836" i="14"/>
  <c r="J837" i="14"/>
  <c r="J838" i="14"/>
  <c r="J839" i="14"/>
  <c r="J840" i="14"/>
  <c r="J841" i="14"/>
  <c r="J842" i="14"/>
  <c r="J843" i="14"/>
  <c r="J844" i="14"/>
  <c r="J845" i="14"/>
  <c r="J846" i="14"/>
  <c r="J847" i="14"/>
  <c r="J848" i="14"/>
  <c r="J849" i="14"/>
  <c r="J850" i="14"/>
  <c r="J851" i="14"/>
  <c r="J852" i="14"/>
  <c r="J853" i="14"/>
  <c r="J854" i="14"/>
  <c r="J855" i="14"/>
  <c r="J856" i="14"/>
  <c r="J857" i="14"/>
  <c r="J858" i="14"/>
  <c r="J859" i="14"/>
  <c r="J860" i="14"/>
  <c r="J861" i="14"/>
  <c r="J862" i="14"/>
  <c r="J863" i="14"/>
  <c r="J864" i="14"/>
  <c r="J865" i="14"/>
  <c r="J866" i="14"/>
  <c r="J867" i="14"/>
  <c r="J868" i="14"/>
  <c r="J869" i="14"/>
  <c r="J870" i="14"/>
  <c r="J871" i="14"/>
  <c r="J872" i="14"/>
  <c r="J873" i="14"/>
  <c r="J874" i="14"/>
  <c r="J875" i="14"/>
  <c r="J876" i="14"/>
  <c r="J877" i="14"/>
  <c r="J878" i="14"/>
  <c r="J879" i="14"/>
  <c r="J880" i="14"/>
  <c r="J881" i="14"/>
  <c r="J882" i="14"/>
  <c r="J883" i="14"/>
  <c r="J884" i="14"/>
  <c r="J885" i="14"/>
  <c r="J886" i="14"/>
  <c r="J887" i="14"/>
  <c r="J888" i="14"/>
  <c r="J889" i="14"/>
  <c r="J890" i="14"/>
  <c r="J891" i="14"/>
  <c r="J892" i="14"/>
  <c r="J893" i="14"/>
  <c r="J894" i="14"/>
  <c r="J895" i="14"/>
  <c r="J896" i="14"/>
  <c r="J897" i="14"/>
  <c r="J898" i="14"/>
  <c r="J899" i="14"/>
  <c r="J900" i="14"/>
  <c r="J901" i="14"/>
  <c r="J902" i="14"/>
  <c r="J903" i="14"/>
  <c r="J904" i="14"/>
  <c r="J905" i="14"/>
  <c r="J906" i="14"/>
  <c r="J907" i="14"/>
  <c r="J908" i="14"/>
  <c r="J909" i="14"/>
  <c r="J910" i="14"/>
  <c r="J911" i="14"/>
  <c r="J912" i="14"/>
  <c r="J913" i="14"/>
  <c r="J914" i="14"/>
  <c r="J915" i="14"/>
  <c r="J916" i="14"/>
  <c r="J917" i="14"/>
  <c r="J918" i="14"/>
  <c r="J919" i="14"/>
  <c r="J920" i="14"/>
  <c r="J921" i="14"/>
  <c r="J922" i="14"/>
  <c r="J923" i="14"/>
  <c r="J924" i="14"/>
  <c r="J925" i="14"/>
  <c r="J926" i="14"/>
  <c r="J927" i="14"/>
  <c r="J928" i="14"/>
  <c r="J929" i="14"/>
  <c r="J930" i="14"/>
  <c r="J931" i="14"/>
  <c r="J932" i="14"/>
  <c r="J933" i="14"/>
  <c r="J934" i="14"/>
  <c r="J935" i="14"/>
  <c r="J936" i="14"/>
  <c r="J937" i="14"/>
  <c r="J938" i="14"/>
  <c r="J939" i="14"/>
  <c r="J940" i="14"/>
  <c r="J941" i="14"/>
  <c r="J942" i="14"/>
  <c r="J943" i="14"/>
  <c r="J944" i="14"/>
  <c r="J945" i="14"/>
  <c r="J946" i="14"/>
  <c r="J947" i="14"/>
  <c r="J948" i="14"/>
  <c r="J949" i="14"/>
  <c r="J950" i="14"/>
  <c r="J951" i="14"/>
  <c r="J952" i="14"/>
  <c r="J953" i="14"/>
  <c r="J954" i="14"/>
  <c r="J955" i="14"/>
  <c r="J956" i="14"/>
  <c r="J957" i="14"/>
  <c r="J958" i="14"/>
  <c r="J959" i="14"/>
  <c r="J960" i="14"/>
  <c r="J961" i="14"/>
  <c r="J962" i="14"/>
  <c r="J963" i="14"/>
  <c r="J964" i="14"/>
  <c r="J965" i="14"/>
  <c r="J966" i="14"/>
  <c r="J967" i="14"/>
  <c r="J968" i="14"/>
  <c r="J969" i="14"/>
  <c r="J970" i="14"/>
  <c r="J971" i="14"/>
  <c r="J972" i="14"/>
  <c r="J973" i="14"/>
  <c r="J974" i="14"/>
  <c r="J975" i="14"/>
  <c r="J976" i="14"/>
  <c r="J977" i="14"/>
  <c r="J978" i="14"/>
  <c r="J979" i="14"/>
  <c r="J980" i="14"/>
  <c r="J981" i="14"/>
  <c r="J982" i="14"/>
  <c r="J983" i="14"/>
  <c r="J984" i="14"/>
  <c r="J985" i="14"/>
  <c r="J986" i="14"/>
  <c r="J987" i="14"/>
  <c r="J988" i="14"/>
  <c r="J989" i="14"/>
  <c r="J990" i="14"/>
  <c r="J991" i="14"/>
  <c r="J992" i="14"/>
  <c r="J993" i="14"/>
  <c r="J994" i="14"/>
  <c r="J995" i="14"/>
  <c r="J996" i="14"/>
  <c r="J997" i="14"/>
  <c r="J998" i="14"/>
  <c r="J999" i="14"/>
  <c r="J1000" i="14"/>
  <c r="J1001" i="14"/>
  <c r="J1002" i="14"/>
  <c r="J1003" i="14"/>
  <c r="J1004" i="14"/>
  <c r="J1005" i="14"/>
  <c r="J1006" i="14"/>
  <c r="J1007" i="14"/>
  <c r="J1008" i="14"/>
  <c r="J1009" i="14"/>
  <c r="J1010" i="14"/>
  <c r="J1011" i="14"/>
  <c r="J1012" i="14"/>
  <c r="J1013" i="14"/>
  <c r="J1014" i="14"/>
  <c r="J1015" i="14"/>
  <c r="J1016" i="14"/>
  <c r="J1017" i="14"/>
  <c r="J1018" i="14"/>
  <c r="J1019" i="14"/>
  <c r="J1020" i="14"/>
  <c r="J1021" i="14"/>
  <c r="J1022" i="14"/>
  <c r="J1023" i="14"/>
  <c r="J1024" i="14"/>
  <c r="J1025" i="14"/>
  <c r="J1026" i="14"/>
  <c r="J1027" i="14"/>
  <c r="J1028" i="14"/>
  <c r="J1029" i="14"/>
  <c r="J1030" i="14"/>
  <c r="J1031" i="14"/>
  <c r="J1032" i="14"/>
  <c r="J1033" i="14"/>
  <c r="J1034" i="14"/>
  <c r="J1035" i="14"/>
  <c r="J1036" i="14"/>
  <c r="J1037" i="14"/>
  <c r="J1038" i="14"/>
  <c r="J1039" i="14"/>
  <c r="J1040" i="14"/>
  <c r="J1041" i="14"/>
  <c r="J1042" i="14"/>
  <c r="J1043" i="14"/>
  <c r="J1044" i="14"/>
  <c r="J1045" i="14"/>
  <c r="J1046" i="14"/>
  <c r="J1047" i="14"/>
  <c r="J1048" i="14"/>
  <c r="J1049" i="14"/>
  <c r="J1050" i="14"/>
  <c r="J105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518" i="14"/>
  <c r="C518" i="14" s="1"/>
  <c r="D542" i="14"/>
  <c r="C542" i="14" s="1"/>
  <c r="D544" i="14"/>
  <c r="C544" i="14" s="1"/>
  <c r="D546" i="14"/>
  <c r="C546" i="14" s="1"/>
  <c r="D547" i="14"/>
  <c r="C547" i="14" s="1"/>
  <c r="D548" i="14"/>
  <c r="C548" i="14" s="1"/>
  <c r="D549" i="14"/>
  <c r="C549" i="14" s="1"/>
  <c r="D550" i="14"/>
  <c r="C550" i="14" s="1"/>
  <c r="D551" i="14"/>
  <c r="C551" i="14" s="1"/>
  <c r="D552" i="14"/>
  <c r="C552" i="14" s="1"/>
  <c r="D553" i="14"/>
  <c r="C553" i="14" s="1"/>
  <c r="D554" i="14"/>
  <c r="C554" i="14" s="1"/>
  <c r="D555" i="14"/>
  <c r="C555" i="14" s="1"/>
  <c r="D556" i="14"/>
  <c r="C556" i="14" s="1"/>
  <c r="D557" i="14"/>
  <c r="C557" i="14" s="1"/>
  <c r="D558" i="14"/>
  <c r="C558" i="14" s="1"/>
  <c r="D559" i="14"/>
  <c r="C559" i="14" s="1"/>
  <c r="D560" i="14"/>
  <c r="C560" i="14" s="1"/>
  <c r="D561" i="14"/>
  <c r="C561" i="14" s="1"/>
  <c r="D562" i="14"/>
  <c r="C562" i="14" s="1"/>
  <c r="D563" i="14"/>
  <c r="C563" i="14" s="1"/>
  <c r="D564" i="14"/>
  <c r="C564" i="14" s="1"/>
  <c r="D565" i="14"/>
  <c r="C565" i="14" s="1"/>
  <c r="D566" i="14"/>
  <c r="C566" i="14" s="1"/>
  <c r="D567" i="14"/>
  <c r="C567" i="14" s="1"/>
  <c r="D568" i="14"/>
  <c r="C568" i="14" s="1"/>
  <c r="D569" i="14"/>
  <c r="C569" i="14" s="1"/>
  <c r="D570" i="14"/>
  <c r="C570" i="14" s="1"/>
  <c r="D571" i="14"/>
  <c r="C571" i="14" s="1"/>
  <c r="D572" i="14"/>
  <c r="C572" i="14" s="1"/>
  <c r="D573" i="14"/>
  <c r="C573" i="14" s="1"/>
  <c r="D574" i="14"/>
  <c r="C574" i="14" s="1"/>
  <c r="D575" i="14"/>
  <c r="C575" i="14" s="1"/>
  <c r="D576" i="14"/>
  <c r="C576" i="14" s="1"/>
  <c r="D577" i="14"/>
  <c r="C577" i="14" s="1"/>
  <c r="D578" i="14"/>
  <c r="C578" i="14" s="1"/>
  <c r="D579" i="14"/>
  <c r="C579" i="14" s="1"/>
  <c r="D580" i="14"/>
  <c r="C580" i="14" s="1"/>
  <c r="D581" i="14"/>
  <c r="C581" i="14" s="1"/>
  <c r="D582" i="14"/>
  <c r="C582" i="14" s="1"/>
  <c r="D583" i="14"/>
  <c r="C583" i="14" s="1"/>
  <c r="D584" i="14"/>
  <c r="C584" i="14" s="1"/>
  <c r="D585" i="14"/>
  <c r="C585" i="14" s="1"/>
  <c r="D586" i="14"/>
  <c r="C586" i="14" s="1"/>
  <c r="D587" i="14"/>
  <c r="C587" i="14" s="1"/>
  <c r="D588" i="14"/>
  <c r="C588" i="14" s="1"/>
  <c r="D589" i="14"/>
  <c r="C589" i="14" s="1"/>
  <c r="D590" i="14"/>
  <c r="C590" i="14" s="1"/>
  <c r="D591" i="14"/>
  <c r="C591" i="14" s="1"/>
  <c r="D592" i="14"/>
  <c r="C592" i="14" s="1"/>
  <c r="D593" i="14"/>
  <c r="C593" i="14" s="1"/>
  <c r="D594" i="14"/>
  <c r="C594" i="14" s="1"/>
  <c r="D595" i="14"/>
  <c r="C595" i="14" s="1"/>
  <c r="D596" i="14"/>
  <c r="C596" i="14" s="1"/>
  <c r="D597" i="14"/>
  <c r="C597" i="14" s="1"/>
  <c r="D598" i="14"/>
  <c r="C598" i="14" s="1"/>
  <c r="D599" i="14"/>
  <c r="C599" i="14" s="1"/>
  <c r="D600" i="14"/>
  <c r="C600" i="14" s="1"/>
  <c r="D601" i="14"/>
  <c r="C601" i="14" s="1"/>
  <c r="D602" i="14"/>
  <c r="C602" i="14" s="1"/>
  <c r="D603" i="14"/>
  <c r="C603" i="14" s="1"/>
  <c r="D604" i="14"/>
  <c r="C604" i="14" s="1"/>
  <c r="D605" i="14"/>
  <c r="C605" i="14" s="1"/>
  <c r="D606" i="14"/>
  <c r="C606" i="14" s="1"/>
  <c r="D607" i="14"/>
  <c r="C607" i="14" s="1"/>
  <c r="D608" i="14"/>
  <c r="C608" i="14" s="1"/>
  <c r="D825" i="14"/>
  <c r="C825" i="14" s="1"/>
  <c r="D826" i="14"/>
  <c r="C826" i="14" s="1"/>
  <c r="D827" i="14"/>
  <c r="C827" i="14" s="1"/>
  <c r="D828" i="14"/>
  <c r="C828" i="14" s="1"/>
  <c r="D829" i="14"/>
  <c r="C829" i="14" s="1"/>
  <c r="D830" i="14"/>
  <c r="C830" i="14" s="1"/>
  <c r="D831" i="14"/>
  <c r="C831" i="14" s="1"/>
  <c r="D832" i="14"/>
  <c r="C832" i="14" s="1"/>
  <c r="D833" i="14"/>
  <c r="C833" i="14" s="1"/>
  <c r="D834" i="14"/>
  <c r="C834" i="14" s="1"/>
  <c r="D835" i="14"/>
  <c r="C835" i="14" s="1"/>
  <c r="D836" i="14"/>
  <c r="C836" i="14" s="1"/>
  <c r="D837" i="14"/>
  <c r="C837" i="14" s="1"/>
  <c r="D838" i="14"/>
  <c r="C838" i="14" s="1"/>
  <c r="D839" i="14"/>
  <c r="C839" i="14" s="1"/>
  <c r="D840" i="14"/>
  <c r="C840" i="14" s="1"/>
  <c r="D841" i="14"/>
  <c r="C841" i="14" s="1"/>
  <c r="D842" i="14"/>
  <c r="C842" i="14" s="1"/>
  <c r="D843" i="14"/>
  <c r="C843" i="14" s="1"/>
  <c r="D844" i="14"/>
  <c r="C844" i="14" s="1"/>
  <c r="D845" i="14"/>
  <c r="C845" i="14" s="1"/>
  <c r="D846" i="14"/>
  <c r="C846" i="14" s="1"/>
  <c r="D847" i="14"/>
  <c r="C847" i="14" s="1"/>
  <c r="D848" i="14"/>
  <c r="C848" i="14" s="1"/>
  <c r="D849" i="14"/>
  <c r="C849" i="14" s="1"/>
  <c r="D850" i="14"/>
  <c r="C850" i="14" s="1"/>
  <c r="D851" i="14"/>
  <c r="C851" i="14" s="1"/>
  <c r="D852" i="14"/>
  <c r="C852" i="14" s="1"/>
  <c r="D853" i="14"/>
  <c r="C853" i="14" s="1"/>
  <c r="D854" i="14"/>
  <c r="C854" i="14" s="1"/>
  <c r="D855" i="14"/>
  <c r="C855" i="14" s="1"/>
  <c r="D856" i="14"/>
  <c r="C856" i="14" s="1"/>
  <c r="D857" i="14"/>
  <c r="C857" i="14" s="1"/>
  <c r="D858" i="14"/>
  <c r="C858" i="14" s="1"/>
  <c r="D859" i="14"/>
  <c r="C859" i="14" s="1"/>
  <c r="D860" i="14"/>
  <c r="C860" i="14" s="1"/>
  <c r="D861" i="14"/>
  <c r="C861" i="14" s="1"/>
  <c r="D862" i="14"/>
  <c r="C862" i="14" s="1"/>
  <c r="D863" i="14"/>
  <c r="C863" i="14" s="1"/>
  <c r="D864" i="14"/>
  <c r="C864" i="14" s="1"/>
  <c r="D865" i="14"/>
  <c r="C865" i="14" s="1"/>
  <c r="D866" i="14"/>
  <c r="C866" i="14" s="1"/>
  <c r="D867" i="14"/>
  <c r="C867" i="14" s="1"/>
  <c r="D868" i="14"/>
  <c r="C868" i="14" s="1"/>
  <c r="D869" i="14"/>
  <c r="C869" i="14" s="1"/>
  <c r="D870" i="14"/>
  <c r="C870" i="14" s="1"/>
  <c r="D871" i="14"/>
  <c r="C871" i="14" s="1"/>
  <c r="D872" i="14"/>
  <c r="C872" i="14" s="1"/>
  <c r="D873" i="14"/>
  <c r="C873" i="14" s="1"/>
  <c r="D874" i="14"/>
  <c r="C874" i="14" s="1"/>
  <c r="D875" i="14"/>
  <c r="C875" i="14" s="1"/>
  <c r="D876" i="14"/>
  <c r="C876" i="14" s="1"/>
  <c r="D877" i="14"/>
  <c r="C877" i="14" s="1"/>
  <c r="D878" i="14"/>
  <c r="C878" i="14" s="1"/>
  <c r="D879" i="14"/>
  <c r="C879" i="14" s="1"/>
  <c r="D880" i="14"/>
  <c r="C880" i="14" s="1"/>
  <c r="D881" i="14"/>
  <c r="C881" i="14" s="1"/>
  <c r="D882" i="14"/>
  <c r="C882" i="14" s="1"/>
  <c r="D883" i="14"/>
  <c r="C883" i="14" s="1"/>
  <c r="D884" i="14"/>
  <c r="C884" i="14" s="1"/>
  <c r="D885" i="14"/>
  <c r="C885" i="14" s="1"/>
  <c r="D886" i="14"/>
  <c r="C886" i="14" s="1"/>
  <c r="D887" i="14"/>
  <c r="C887" i="14" s="1"/>
  <c r="D888" i="14"/>
  <c r="C888" i="14" s="1"/>
  <c r="D889" i="14"/>
  <c r="C889" i="14" s="1"/>
  <c r="D890" i="14"/>
  <c r="C890" i="14" s="1"/>
  <c r="D891" i="14"/>
  <c r="C891" i="14" s="1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C928" i="14" s="1"/>
  <c r="D929" i="14"/>
  <c r="C929" i="14" s="1"/>
  <c r="D930" i="14"/>
  <c r="C930" i="14" s="1"/>
  <c r="D931" i="14"/>
  <c r="C931" i="14" s="1"/>
  <c r="D932" i="14"/>
  <c r="C932" i="14" s="1"/>
  <c r="D933" i="14"/>
  <c r="C933" i="14" s="1"/>
  <c r="D934" i="14"/>
  <c r="C934" i="14" s="1"/>
  <c r="D935" i="14"/>
  <c r="C935" i="14" s="1"/>
  <c r="D936" i="14"/>
  <c r="C936" i="14" s="1"/>
  <c r="D937" i="14"/>
  <c r="C937" i="14" s="1"/>
  <c r="D938" i="14"/>
  <c r="C938" i="14" s="1"/>
  <c r="D939" i="14"/>
  <c r="C939" i="14" s="1"/>
  <c r="D940" i="14"/>
  <c r="C940" i="14" s="1"/>
  <c r="D941" i="14"/>
  <c r="C941" i="14" s="1"/>
  <c r="D942" i="14"/>
  <c r="C942" i="14" s="1"/>
  <c r="D943" i="14"/>
  <c r="C943" i="14" s="1"/>
  <c r="D944" i="14"/>
  <c r="C944" i="14" s="1"/>
  <c r="D945" i="14"/>
  <c r="C945" i="14" s="1"/>
  <c r="D946" i="14"/>
  <c r="D947" i="14"/>
  <c r="D948" i="14"/>
  <c r="D949" i="14"/>
  <c r="D950" i="14"/>
  <c r="D951" i="14"/>
  <c r="D952" i="14"/>
  <c r="D953" i="14"/>
  <c r="D954" i="14"/>
  <c r="D955" i="14"/>
  <c r="D956" i="14"/>
  <c r="D957" i="14"/>
  <c r="D958" i="14"/>
  <c r="D959" i="14"/>
  <c r="D960" i="14"/>
  <c r="D961" i="14"/>
  <c r="D962" i="14"/>
  <c r="D963" i="14"/>
  <c r="D964" i="14"/>
  <c r="D965" i="14"/>
  <c r="D966" i="14"/>
  <c r="D967" i="14"/>
  <c r="D968" i="14"/>
  <c r="D969" i="14"/>
  <c r="D970" i="14"/>
  <c r="D971" i="14"/>
  <c r="D972" i="14"/>
  <c r="D973" i="14"/>
  <c r="D974" i="14"/>
  <c r="D975" i="14"/>
  <c r="D976" i="14"/>
  <c r="D977" i="14"/>
  <c r="D978" i="14"/>
  <c r="D979" i="14"/>
  <c r="D980" i="14"/>
  <c r="D981" i="14"/>
  <c r="D982" i="14"/>
  <c r="D983" i="14"/>
  <c r="D984" i="14"/>
  <c r="D985" i="14"/>
  <c r="D986" i="14"/>
  <c r="D987" i="14"/>
  <c r="D988" i="14"/>
  <c r="D989" i="14"/>
  <c r="D990" i="14"/>
  <c r="D991" i="14"/>
  <c r="D992" i="14"/>
  <c r="D993" i="14"/>
  <c r="D994" i="14"/>
  <c r="D995" i="14"/>
  <c r="D996" i="14"/>
  <c r="D997" i="14"/>
  <c r="D998" i="14"/>
  <c r="D999" i="14"/>
  <c r="D1000" i="14"/>
  <c r="D1001" i="14"/>
  <c r="D1002" i="14"/>
  <c r="D1003" i="14"/>
  <c r="D1004" i="14"/>
  <c r="D1005" i="14"/>
  <c r="D1006" i="14"/>
  <c r="D1007" i="14"/>
  <c r="D1008" i="14"/>
  <c r="D1009" i="14"/>
  <c r="D1010" i="14"/>
  <c r="D1011" i="14"/>
  <c r="D1012" i="14"/>
  <c r="D1013" i="14"/>
  <c r="D1014" i="14"/>
  <c r="D1015" i="14"/>
  <c r="D1016" i="14"/>
  <c r="D1017" i="14"/>
  <c r="D1018" i="14"/>
  <c r="D1019" i="14"/>
  <c r="D1020" i="14"/>
  <c r="D1021" i="14"/>
  <c r="D1022" i="14"/>
  <c r="D1023" i="14"/>
  <c r="D1024" i="14"/>
  <c r="D1025" i="14"/>
  <c r="D1026" i="14"/>
  <c r="D1027" i="14"/>
  <c r="D1028" i="14"/>
  <c r="D1029" i="14"/>
  <c r="D1030" i="14"/>
  <c r="D1031" i="14"/>
  <c r="D1032" i="14"/>
  <c r="D1033" i="14"/>
  <c r="D1034" i="14"/>
  <c r="D1035" i="14"/>
  <c r="D1036" i="14"/>
  <c r="D1037" i="14"/>
  <c r="D1038" i="14"/>
  <c r="D1039" i="14"/>
  <c r="D1040" i="14"/>
  <c r="D1041" i="14"/>
  <c r="D1042" i="14"/>
  <c r="D1043" i="14"/>
  <c r="D1044" i="14"/>
  <c r="D1045" i="14"/>
  <c r="D1046" i="14"/>
  <c r="D1047" i="14"/>
  <c r="D1048" i="14"/>
  <c r="D1049" i="14"/>
  <c r="D1050" i="14"/>
  <c r="D105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350" i="14"/>
  <c r="B351" i="14"/>
  <c r="B352" i="14"/>
  <c r="B353" i="14"/>
  <c r="B354" i="14"/>
  <c r="B355" i="14"/>
  <c r="B356" i="14"/>
  <c r="B357" i="14"/>
  <c r="B358" i="14"/>
  <c r="B359" i="14"/>
  <c r="B360" i="14"/>
  <c r="B361" i="14"/>
  <c r="B362" i="14"/>
  <c r="B363" i="14"/>
  <c r="B364" i="14"/>
  <c r="B365" i="14"/>
  <c r="B366" i="14"/>
  <c r="B367" i="14"/>
  <c r="B368" i="14"/>
  <c r="B369" i="14"/>
  <c r="B370" i="14"/>
  <c r="B371" i="14"/>
  <c r="B372" i="14"/>
  <c r="B373" i="14"/>
  <c r="B374" i="14"/>
  <c r="B375" i="14"/>
  <c r="B376" i="14"/>
  <c r="B377" i="14"/>
  <c r="B378" i="14"/>
  <c r="B379" i="14"/>
  <c r="B380" i="14"/>
  <c r="B381" i="14"/>
  <c r="B382" i="14"/>
  <c r="B383" i="14"/>
  <c r="B384" i="14"/>
  <c r="B385" i="14"/>
  <c r="B386" i="14"/>
  <c r="B387" i="14"/>
  <c r="B388" i="14"/>
  <c r="B389" i="14"/>
  <c r="B390" i="14"/>
  <c r="B391" i="14"/>
  <c r="B392" i="14"/>
  <c r="B393" i="14"/>
  <c r="B394" i="14"/>
  <c r="B395" i="14"/>
  <c r="B396" i="14"/>
  <c r="B397" i="14"/>
  <c r="B398" i="14"/>
  <c r="B399" i="14"/>
  <c r="B400" i="14"/>
  <c r="B401" i="14"/>
  <c r="B402" i="14"/>
  <c r="B403" i="14"/>
  <c r="B404" i="14"/>
  <c r="B405" i="14"/>
  <c r="B406" i="14"/>
  <c r="B407" i="14"/>
  <c r="B408" i="14"/>
  <c r="B409" i="14"/>
  <c r="B410" i="14"/>
  <c r="B411" i="14"/>
  <c r="B412" i="14"/>
  <c r="B413" i="14"/>
  <c r="B414" i="14"/>
  <c r="B415" i="14"/>
  <c r="B416" i="14"/>
  <c r="B417" i="14"/>
  <c r="B418" i="14"/>
  <c r="B419" i="14"/>
  <c r="B420" i="14"/>
  <c r="B421" i="14"/>
  <c r="B422" i="14"/>
  <c r="B423" i="14"/>
  <c r="B424" i="14"/>
  <c r="B425" i="14"/>
  <c r="B426" i="14"/>
  <c r="B427" i="14"/>
  <c r="B428" i="14"/>
  <c r="B429" i="14"/>
  <c r="B430" i="14"/>
  <c r="B431" i="14"/>
  <c r="B432" i="14"/>
  <c r="B433" i="14"/>
  <c r="B434" i="14"/>
  <c r="B435" i="14"/>
  <c r="B436" i="14"/>
  <c r="B437" i="14"/>
  <c r="B438" i="14"/>
  <c r="B439" i="14"/>
  <c r="B440" i="14"/>
  <c r="B441" i="14"/>
  <c r="B442" i="14"/>
  <c r="B443" i="14"/>
  <c r="B444" i="14"/>
  <c r="B445" i="14"/>
  <c r="B446" i="14"/>
  <c r="B447" i="14"/>
  <c r="B448" i="14"/>
  <c r="B449" i="14"/>
  <c r="B450" i="14"/>
  <c r="B451" i="14"/>
  <c r="B452" i="14"/>
  <c r="B453" i="14"/>
  <c r="B454" i="14"/>
  <c r="B455" i="14"/>
  <c r="B456" i="14"/>
  <c r="B457" i="14"/>
  <c r="B458" i="14"/>
  <c r="B459" i="14"/>
  <c r="B460" i="14"/>
  <c r="B461" i="14"/>
  <c r="B462" i="14"/>
  <c r="B463" i="14"/>
  <c r="B464" i="14"/>
  <c r="B465" i="14"/>
  <c r="B466" i="14"/>
  <c r="B467" i="14"/>
  <c r="B468" i="14"/>
  <c r="B469" i="14"/>
  <c r="B470" i="14"/>
  <c r="B471" i="14"/>
  <c r="B472" i="14"/>
  <c r="B473" i="14"/>
  <c r="B474" i="14"/>
  <c r="B475" i="14"/>
  <c r="B476" i="14"/>
  <c r="B477" i="14"/>
  <c r="B478" i="14"/>
  <c r="B479" i="14"/>
  <c r="B480" i="14"/>
  <c r="B481" i="14"/>
  <c r="B482" i="14"/>
  <c r="B483" i="14"/>
  <c r="B484" i="14"/>
  <c r="B485" i="14"/>
  <c r="B486" i="14"/>
  <c r="B487" i="14"/>
  <c r="B488" i="14"/>
  <c r="B489" i="14"/>
  <c r="B490" i="14"/>
  <c r="B491" i="14"/>
  <c r="B492" i="14"/>
  <c r="B493" i="14"/>
  <c r="B494" i="14"/>
  <c r="B495" i="14"/>
  <c r="B496" i="14"/>
  <c r="B497" i="14"/>
  <c r="B498" i="14"/>
  <c r="B499" i="14"/>
  <c r="B500" i="14"/>
  <c r="B501" i="14"/>
  <c r="B502" i="14"/>
  <c r="B503" i="14"/>
  <c r="B504" i="14"/>
  <c r="B505" i="14"/>
  <c r="B506" i="14"/>
  <c r="B507" i="14"/>
  <c r="B508" i="14"/>
  <c r="B509" i="14"/>
  <c r="B510" i="14"/>
  <c r="B511" i="14"/>
  <c r="B512" i="14"/>
  <c r="B513" i="14"/>
  <c r="B514" i="14"/>
  <c r="B515" i="14"/>
  <c r="B516" i="14"/>
  <c r="B517" i="14"/>
  <c r="B518" i="14"/>
  <c r="B519" i="14"/>
  <c r="B520" i="14"/>
  <c r="B521" i="14"/>
  <c r="B522" i="14"/>
  <c r="B523" i="14"/>
  <c r="B524" i="14"/>
  <c r="B525" i="14"/>
  <c r="B526" i="14"/>
  <c r="B527" i="14"/>
  <c r="B528" i="14"/>
  <c r="B529" i="14"/>
  <c r="B530" i="14"/>
  <c r="B531" i="14"/>
  <c r="B532" i="14"/>
  <c r="B533" i="14"/>
  <c r="B534" i="14"/>
  <c r="B535" i="14"/>
  <c r="B536" i="14"/>
  <c r="B537" i="14"/>
  <c r="B538" i="14"/>
  <c r="B539" i="14"/>
  <c r="B540" i="14"/>
  <c r="B541" i="14"/>
  <c r="B542" i="14"/>
  <c r="B543" i="14"/>
  <c r="B544" i="14"/>
  <c r="B545" i="14"/>
  <c r="B546" i="14"/>
  <c r="B547" i="14"/>
  <c r="B548" i="14"/>
  <c r="B549" i="14"/>
  <c r="B550" i="14"/>
  <c r="B551" i="14"/>
  <c r="B552" i="14"/>
  <c r="B553" i="14"/>
  <c r="B554" i="14"/>
  <c r="B555" i="14"/>
  <c r="B556" i="14"/>
  <c r="B557" i="14"/>
  <c r="B558" i="14"/>
  <c r="B559" i="14"/>
  <c r="B560" i="14"/>
  <c r="B561" i="14"/>
  <c r="B562" i="14"/>
  <c r="B563" i="14"/>
  <c r="B564" i="14"/>
  <c r="B565" i="14"/>
  <c r="B566" i="14"/>
  <c r="B567" i="14"/>
  <c r="B568" i="14"/>
  <c r="B569" i="14"/>
  <c r="B570" i="14"/>
  <c r="B571" i="14"/>
  <c r="B572" i="14"/>
  <c r="B573" i="14"/>
  <c r="B574" i="14"/>
  <c r="B575" i="14"/>
  <c r="B576" i="14"/>
  <c r="B577" i="14"/>
  <c r="B578" i="14"/>
  <c r="B579" i="14"/>
  <c r="B580" i="14"/>
  <c r="B581" i="14"/>
  <c r="B582" i="14"/>
  <c r="B583" i="14"/>
  <c r="B584" i="14"/>
  <c r="B585" i="14"/>
  <c r="B586" i="14"/>
  <c r="B587" i="14"/>
  <c r="B588" i="14"/>
  <c r="B589" i="14"/>
  <c r="B590" i="14"/>
  <c r="B591" i="14"/>
  <c r="B592" i="14"/>
  <c r="B593" i="14"/>
  <c r="B594" i="14"/>
  <c r="B595" i="14"/>
  <c r="B596" i="14"/>
  <c r="B597" i="14"/>
  <c r="B598" i="14"/>
  <c r="B599" i="14"/>
  <c r="B600" i="14"/>
  <c r="B601" i="14"/>
  <c r="B602" i="14"/>
  <c r="B603" i="14"/>
  <c r="B604" i="14"/>
  <c r="B605" i="14"/>
  <c r="B606" i="14"/>
  <c r="B607" i="14"/>
  <c r="B608" i="14"/>
  <c r="B609" i="14"/>
  <c r="B610" i="14"/>
  <c r="B611" i="14"/>
  <c r="B612" i="14"/>
  <c r="B613" i="14"/>
  <c r="B614" i="14"/>
  <c r="B615" i="14"/>
  <c r="B616" i="14"/>
  <c r="B617" i="14"/>
  <c r="B618" i="14"/>
  <c r="B619" i="14"/>
  <c r="B620" i="14"/>
  <c r="B621" i="14"/>
  <c r="B622" i="14"/>
  <c r="B623" i="14"/>
  <c r="B624" i="14"/>
  <c r="B625" i="14"/>
  <c r="B626" i="14"/>
  <c r="B627" i="14"/>
  <c r="B628" i="14"/>
  <c r="B629" i="14"/>
  <c r="B630" i="14"/>
  <c r="B631" i="14"/>
  <c r="B632" i="14"/>
  <c r="B633" i="14"/>
  <c r="B634" i="14"/>
  <c r="B635" i="14"/>
  <c r="B636" i="14"/>
  <c r="B637" i="14"/>
  <c r="B638" i="14"/>
  <c r="B639" i="14"/>
  <c r="B640" i="14"/>
  <c r="B641" i="14"/>
  <c r="B642" i="14"/>
  <c r="B643" i="14"/>
  <c r="B644" i="14"/>
  <c r="B645" i="14"/>
  <c r="B646" i="14"/>
  <c r="B647" i="14"/>
  <c r="B648" i="14"/>
  <c r="B649" i="14"/>
  <c r="B650" i="14"/>
  <c r="B651" i="14"/>
  <c r="B652" i="14"/>
  <c r="B653" i="14"/>
  <c r="B654" i="14"/>
  <c r="B655" i="14"/>
  <c r="B656" i="14"/>
  <c r="B657" i="14"/>
  <c r="B658" i="14"/>
  <c r="B659" i="14"/>
  <c r="B660" i="14"/>
  <c r="B661" i="14"/>
  <c r="B662" i="14"/>
  <c r="B663" i="14"/>
  <c r="B664" i="14"/>
  <c r="B665" i="14"/>
  <c r="B666" i="14"/>
  <c r="B667" i="14"/>
  <c r="B668" i="14"/>
  <c r="B669" i="14"/>
  <c r="B670" i="14"/>
  <c r="B671" i="14"/>
  <c r="B672" i="14"/>
  <c r="B673" i="14"/>
  <c r="B674" i="14"/>
  <c r="B675" i="14"/>
  <c r="B676" i="14"/>
  <c r="B677" i="14"/>
  <c r="B678" i="14"/>
  <c r="B679" i="14"/>
  <c r="B680" i="14"/>
  <c r="B681" i="14"/>
  <c r="B682" i="14"/>
  <c r="B683" i="14"/>
  <c r="B684" i="14"/>
  <c r="B685" i="14"/>
  <c r="B686" i="14"/>
  <c r="B687" i="14"/>
  <c r="B688" i="14"/>
  <c r="B689" i="14"/>
  <c r="B690" i="14"/>
  <c r="B691" i="14"/>
  <c r="B692" i="14"/>
  <c r="B693" i="14"/>
  <c r="B694" i="14"/>
  <c r="B695" i="14"/>
  <c r="B696" i="14"/>
  <c r="B697" i="14"/>
  <c r="B698" i="14"/>
  <c r="B699" i="14"/>
  <c r="B700" i="14"/>
  <c r="B701" i="14"/>
  <c r="B702" i="14"/>
  <c r="B703" i="14"/>
  <c r="B704" i="14"/>
  <c r="B705" i="14"/>
  <c r="B706" i="14"/>
  <c r="B707" i="14"/>
  <c r="B708" i="14"/>
  <c r="B709" i="14"/>
  <c r="B710" i="14"/>
  <c r="B711" i="14"/>
  <c r="B712" i="14"/>
  <c r="B713" i="14"/>
  <c r="B714" i="14"/>
  <c r="B715" i="14"/>
  <c r="B716" i="14"/>
  <c r="B717" i="14"/>
  <c r="B718" i="14"/>
  <c r="B719" i="14"/>
  <c r="B720" i="14"/>
  <c r="B721" i="14"/>
  <c r="B722" i="14"/>
  <c r="B723" i="14"/>
  <c r="B724" i="14"/>
  <c r="B725" i="14"/>
  <c r="B726" i="14"/>
  <c r="B727" i="14"/>
  <c r="B728" i="14"/>
  <c r="B729" i="14"/>
  <c r="B730" i="14"/>
  <c r="B731" i="14"/>
  <c r="B732" i="14"/>
  <c r="B733" i="14"/>
  <c r="B734" i="14"/>
  <c r="B735" i="14"/>
  <c r="B736" i="14"/>
  <c r="B737" i="14"/>
  <c r="B738" i="14"/>
  <c r="B739" i="14"/>
  <c r="B740" i="14"/>
  <c r="B741" i="14"/>
  <c r="B742" i="14"/>
  <c r="B743" i="14"/>
  <c r="B744" i="14"/>
  <c r="B745" i="14"/>
  <c r="B746" i="14"/>
  <c r="B747" i="14"/>
  <c r="B748" i="14"/>
  <c r="B749" i="14"/>
  <c r="B750" i="14"/>
  <c r="B751" i="14"/>
  <c r="B752" i="14"/>
  <c r="B753" i="14"/>
  <c r="B754" i="14"/>
  <c r="B755" i="14"/>
  <c r="B756" i="14"/>
  <c r="B757" i="14"/>
  <c r="B758" i="14"/>
  <c r="B759" i="14"/>
  <c r="B760" i="14"/>
  <c r="B761" i="14"/>
  <c r="B762" i="14"/>
  <c r="B763" i="14"/>
  <c r="B764" i="14"/>
  <c r="B765" i="14"/>
  <c r="B766" i="14"/>
  <c r="B767" i="14"/>
  <c r="B768" i="14"/>
  <c r="B769" i="14"/>
  <c r="B770" i="14"/>
  <c r="B771" i="14"/>
  <c r="B772" i="14"/>
  <c r="B773" i="14"/>
  <c r="B774" i="14"/>
  <c r="B775" i="14"/>
  <c r="B776" i="14"/>
  <c r="B777" i="14"/>
  <c r="B778" i="14"/>
  <c r="B779" i="14"/>
  <c r="B780" i="14"/>
  <c r="B781" i="14"/>
  <c r="B782" i="14"/>
  <c r="B783" i="14"/>
  <c r="B784" i="14"/>
  <c r="B785" i="14"/>
  <c r="B786" i="14"/>
  <c r="B787" i="14"/>
  <c r="B788" i="14"/>
  <c r="B789" i="14"/>
  <c r="B790" i="14"/>
  <c r="B791" i="14"/>
  <c r="B792" i="14"/>
  <c r="B793" i="14"/>
  <c r="B794" i="14"/>
  <c r="B795" i="14"/>
  <c r="B796" i="14"/>
  <c r="B797" i="14"/>
  <c r="B798" i="14"/>
  <c r="B799" i="14"/>
  <c r="B800" i="14"/>
  <c r="B801" i="14"/>
  <c r="B802" i="14"/>
  <c r="B803" i="14"/>
  <c r="B804" i="14"/>
  <c r="B805" i="14"/>
  <c r="B806" i="14"/>
  <c r="B807" i="14"/>
  <c r="B808" i="14"/>
  <c r="B809" i="14"/>
  <c r="B810" i="14"/>
  <c r="B811" i="14"/>
  <c r="B812" i="14"/>
  <c r="B813" i="14"/>
  <c r="B814" i="14"/>
  <c r="B815" i="14"/>
  <c r="B816" i="14"/>
  <c r="B817" i="14"/>
  <c r="B818" i="14"/>
  <c r="B819" i="14"/>
  <c r="B820" i="14"/>
  <c r="B821" i="14"/>
  <c r="B822" i="14"/>
  <c r="B823" i="14"/>
  <c r="B824" i="14"/>
  <c r="B825" i="14"/>
  <c r="B826" i="14"/>
  <c r="B827" i="14"/>
  <c r="B828" i="14"/>
  <c r="B829" i="14"/>
  <c r="B830" i="14"/>
  <c r="B831" i="14"/>
  <c r="B832" i="14"/>
  <c r="B833" i="14"/>
  <c r="B834" i="14"/>
  <c r="B835" i="14"/>
  <c r="B836" i="14"/>
  <c r="B837" i="14"/>
  <c r="B838" i="14"/>
  <c r="B839" i="14"/>
  <c r="B840" i="14"/>
  <c r="B841" i="14"/>
  <c r="B842" i="14"/>
  <c r="B843" i="14"/>
  <c r="B844" i="14"/>
  <c r="B845" i="14"/>
  <c r="B846" i="14"/>
  <c r="B847" i="14"/>
  <c r="B848" i="14"/>
  <c r="B849" i="14"/>
  <c r="B850" i="14"/>
  <c r="B851" i="14"/>
  <c r="B852" i="14"/>
  <c r="B853" i="14"/>
  <c r="B854" i="14"/>
  <c r="B855" i="14"/>
  <c r="B856" i="14"/>
  <c r="B857" i="14"/>
  <c r="B858" i="14"/>
  <c r="B859" i="14"/>
  <c r="B860" i="14"/>
  <c r="B861" i="14"/>
  <c r="B862" i="14"/>
  <c r="B863" i="14"/>
  <c r="B864" i="14"/>
  <c r="B865" i="14"/>
  <c r="B866" i="14"/>
  <c r="B867" i="14"/>
  <c r="B868" i="14"/>
  <c r="B869" i="14"/>
  <c r="B870" i="14"/>
  <c r="B871" i="14"/>
  <c r="B872" i="14"/>
  <c r="B873" i="14"/>
  <c r="B874" i="14"/>
  <c r="B875" i="14"/>
  <c r="B876" i="14"/>
  <c r="B877" i="14"/>
  <c r="B878" i="14"/>
  <c r="B879" i="14"/>
  <c r="B880" i="14"/>
  <c r="B881" i="14"/>
  <c r="B882" i="14"/>
  <c r="B883" i="14"/>
  <c r="B884" i="14"/>
  <c r="B885" i="14"/>
  <c r="B886" i="14"/>
  <c r="B887" i="14"/>
  <c r="B888" i="14"/>
  <c r="B889" i="14"/>
  <c r="B890" i="14"/>
  <c r="B891" i="14"/>
  <c r="B892" i="14"/>
  <c r="B893" i="14"/>
  <c r="B894" i="14"/>
  <c r="B895" i="14"/>
  <c r="B896" i="14"/>
  <c r="B897" i="14"/>
  <c r="B898" i="14"/>
  <c r="B899" i="14"/>
  <c r="B900" i="14"/>
  <c r="B901" i="14"/>
  <c r="B902" i="14"/>
  <c r="B903" i="14"/>
  <c r="B904" i="14"/>
  <c r="B905" i="14"/>
  <c r="B906" i="14"/>
  <c r="B907" i="14"/>
  <c r="B908" i="14"/>
  <c r="B909" i="14"/>
  <c r="B910" i="14"/>
  <c r="B911" i="14"/>
  <c r="B912" i="14"/>
  <c r="B913" i="14"/>
  <c r="B914" i="14"/>
  <c r="B915" i="14"/>
  <c r="B916" i="14"/>
  <c r="B917" i="14"/>
  <c r="B918" i="14"/>
  <c r="B919" i="14"/>
  <c r="B920" i="14"/>
  <c r="B921" i="14"/>
  <c r="B922" i="14"/>
  <c r="B923" i="14"/>
  <c r="B924" i="14"/>
  <c r="B925" i="14"/>
  <c r="B926" i="14"/>
  <c r="B927" i="14"/>
  <c r="B928" i="14"/>
  <c r="B929" i="14"/>
  <c r="B930" i="14"/>
  <c r="B931" i="14"/>
  <c r="B932" i="14"/>
  <c r="B933" i="14"/>
  <c r="B934" i="14"/>
  <c r="B935" i="14"/>
  <c r="B936" i="14"/>
  <c r="B937" i="14"/>
  <c r="B938" i="14"/>
  <c r="B939" i="14"/>
  <c r="B940" i="14"/>
  <c r="B941" i="14"/>
  <c r="B942" i="14"/>
  <c r="B943" i="14"/>
  <c r="B944" i="14"/>
  <c r="B945" i="14"/>
  <c r="B946" i="14"/>
  <c r="B947" i="14"/>
  <c r="B948" i="14"/>
  <c r="B949" i="14"/>
  <c r="B950" i="14"/>
  <c r="B951" i="14"/>
  <c r="B952" i="14"/>
  <c r="B953" i="14"/>
  <c r="B954" i="14"/>
  <c r="B955" i="14"/>
  <c r="B956" i="14"/>
  <c r="B957" i="14"/>
  <c r="B958" i="14"/>
  <c r="B959" i="14"/>
  <c r="B960" i="14"/>
  <c r="B961" i="14"/>
  <c r="B962" i="14"/>
  <c r="B963" i="14"/>
  <c r="B964" i="14"/>
  <c r="B965" i="14"/>
  <c r="B966" i="14"/>
  <c r="B967" i="14"/>
  <c r="B968" i="14"/>
  <c r="B969" i="14"/>
  <c r="B970" i="14"/>
  <c r="B971" i="14"/>
  <c r="B972" i="14"/>
  <c r="B973" i="14"/>
  <c r="B974" i="14"/>
  <c r="B975" i="14"/>
  <c r="B976" i="14"/>
  <c r="B977" i="14"/>
  <c r="B978" i="14"/>
  <c r="B979" i="14"/>
  <c r="B980" i="14"/>
  <c r="B981" i="14"/>
  <c r="B982" i="14"/>
  <c r="B983" i="14"/>
  <c r="B984" i="14"/>
  <c r="B985" i="14"/>
  <c r="B986" i="14"/>
  <c r="B987" i="14"/>
  <c r="B988" i="14"/>
  <c r="B989" i="14"/>
  <c r="B990" i="14"/>
  <c r="B991" i="14"/>
  <c r="B992" i="14"/>
  <c r="B993" i="14"/>
  <c r="B994" i="14"/>
  <c r="B995" i="14"/>
  <c r="B996" i="14"/>
  <c r="B997" i="14"/>
  <c r="B998" i="14"/>
  <c r="B999" i="14"/>
  <c r="B1000" i="14"/>
  <c r="B1001" i="14"/>
  <c r="B1002" i="14"/>
  <c r="B1003" i="14"/>
  <c r="B1004" i="14"/>
  <c r="B1005" i="14"/>
  <c r="B1006" i="14"/>
  <c r="B1007" i="14"/>
  <c r="B1008" i="14"/>
  <c r="B1009" i="14"/>
  <c r="B1010" i="14"/>
  <c r="B1011" i="14"/>
  <c r="B1012" i="14"/>
  <c r="B1013" i="14"/>
  <c r="B1014" i="14"/>
  <c r="B1015" i="14"/>
  <c r="B1016" i="14"/>
  <c r="B1017" i="14"/>
  <c r="B1018" i="14"/>
  <c r="B1019" i="14"/>
  <c r="B1020" i="14"/>
  <c r="B1021" i="14"/>
  <c r="B1022" i="14"/>
  <c r="B1023" i="14"/>
  <c r="B1024" i="14"/>
  <c r="B1025" i="14"/>
  <c r="B1026" i="14"/>
  <c r="B1027" i="14"/>
  <c r="B1028" i="14"/>
  <c r="B1029" i="14"/>
  <c r="B1030" i="14"/>
  <c r="B1031" i="14"/>
  <c r="B1032" i="14"/>
  <c r="B1033" i="14"/>
  <c r="B1034" i="14"/>
  <c r="B1035" i="14"/>
  <c r="B1036" i="14"/>
  <c r="B1037" i="14"/>
  <c r="B1038" i="14"/>
  <c r="B1039" i="14"/>
  <c r="B1040" i="14"/>
  <c r="B1041" i="14"/>
  <c r="B1042" i="14"/>
  <c r="B1043" i="14"/>
  <c r="B1044" i="14"/>
  <c r="B1045" i="14"/>
  <c r="B1046" i="14"/>
  <c r="B1047" i="14"/>
  <c r="B1048" i="14"/>
  <c r="B1049" i="14"/>
  <c r="B1050" i="14"/>
  <c r="B1051" i="14"/>
  <c r="AH545" i="1"/>
  <c r="AH546" i="1"/>
  <c r="AH547" i="1"/>
  <c r="AH548" i="1"/>
  <c r="AH549" i="1"/>
  <c r="AH550" i="1"/>
  <c r="AH552" i="1"/>
  <c r="AH553" i="1"/>
  <c r="AH554" i="1"/>
  <c r="AH555" i="1"/>
  <c r="AH556" i="1"/>
  <c r="AH557" i="1"/>
  <c r="AH558" i="1"/>
  <c r="AH559" i="1"/>
  <c r="AH560" i="1"/>
  <c r="AH561" i="1"/>
  <c r="AH562" i="1"/>
  <c r="AH564" i="1"/>
  <c r="AH565" i="1"/>
  <c r="AH566" i="1"/>
  <c r="AH567" i="1"/>
  <c r="AH620" i="1"/>
  <c r="AH621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857" i="1"/>
  <c r="AH858" i="1"/>
  <c r="AH859" i="1"/>
  <c r="AH861" i="1"/>
  <c r="AH862" i="1"/>
  <c r="AH863" i="1"/>
  <c r="AH864" i="1"/>
  <c r="AH865" i="1"/>
  <c r="AH866" i="1"/>
  <c r="AH867" i="1"/>
  <c r="AH868" i="1"/>
  <c r="AH869" i="1"/>
  <c r="AH870" i="1"/>
  <c r="AH875" i="1"/>
  <c r="AH876" i="1"/>
  <c r="AH877" i="1"/>
  <c r="AH880" i="1"/>
  <c r="AH884" i="1"/>
  <c r="AH887" i="1"/>
  <c r="AH889" i="1"/>
  <c r="AH890" i="1"/>
  <c r="AH897" i="1"/>
  <c r="AH899" i="1"/>
  <c r="AH900" i="1"/>
  <c r="AH901" i="1"/>
  <c r="AH902" i="1"/>
  <c r="AH903" i="1"/>
  <c r="AH904" i="1"/>
  <c r="AH907" i="1"/>
  <c r="AH908" i="1"/>
  <c r="AH912" i="1"/>
  <c r="AH913" i="1"/>
  <c r="AH914" i="1"/>
  <c r="AH915" i="1"/>
  <c r="AH916" i="1"/>
  <c r="AH917" i="1"/>
  <c r="AH919" i="1"/>
  <c r="AH920" i="1"/>
  <c r="AH923" i="1"/>
  <c r="AH924" i="1"/>
  <c r="AH925" i="1"/>
  <c r="AH926" i="1"/>
  <c r="AH927" i="1"/>
  <c r="AH933" i="1"/>
  <c r="AH934" i="1"/>
  <c r="AH938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D1051" i="1"/>
  <c r="P1051" i="17"/>
  <c r="AA1051" i="17"/>
  <c r="AC1051" i="17" s="1"/>
  <c r="I1051" i="14"/>
  <c r="H1051" i="14" s="1"/>
  <c r="M1051" i="14"/>
  <c r="N1051" i="14"/>
  <c r="AD1050" i="1"/>
  <c r="P1050" i="17"/>
  <c r="AA1050" i="17"/>
  <c r="AC1050" i="17" s="1"/>
  <c r="I1050" i="14"/>
  <c r="H1050" i="14" s="1"/>
  <c r="M1050" i="14"/>
  <c r="N1050" i="14"/>
  <c r="AD1049" i="1"/>
  <c r="Z1049" i="17"/>
  <c r="P1049" i="17"/>
  <c r="AA1049" i="17"/>
  <c r="AC1049" i="17" s="1"/>
  <c r="I1049" i="14"/>
  <c r="H1049" i="14" s="1"/>
  <c r="M1049" i="14"/>
  <c r="N1049" i="14"/>
  <c r="T426" i="17"/>
  <c r="T440" i="17"/>
  <c r="T1046" i="17"/>
  <c r="U1048" i="17"/>
  <c r="R440" i="17"/>
  <c r="R426" i="17"/>
  <c r="R1048" i="17"/>
  <c r="AD1046" i="1"/>
  <c r="AD1047" i="1"/>
  <c r="AD1048" i="1"/>
  <c r="R1047" i="17"/>
  <c r="R1046" i="17"/>
  <c r="P1046" i="17"/>
  <c r="P1047" i="17"/>
  <c r="P1048" i="17"/>
  <c r="AA1046" i="17"/>
  <c r="AC1046" i="17" s="1"/>
  <c r="AA1047" i="17"/>
  <c r="AC1047" i="17" s="1"/>
  <c r="AA1048" i="17"/>
  <c r="AC1048" i="17" s="1"/>
  <c r="I1046" i="14"/>
  <c r="I1047" i="14"/>
  <c r="I1048" i="14"/>
  <c r="M1046" i="14"/>
  <c r="M1047" i="14"/>
  <c r="M1048" i="14"/>
  <c r="N1046" i="14"/>
  <c r="N1047" i="14"/>
  <c r="N1048" i="14"/>
  <c r="R1045" i="17"/>
  <c r="AD1044" i="1"/>
  <c r="AD1045" i="1"/>
  <c r="P1044" i="17"/>
  <c r="P1045" i="17"/>
  <c r="AA1044" i="17"/>
  <c r="AC1044" i="17" s="1"/>
  <c r="AA1045" i="17"/>
  <c r="AC1045" i="17" s="1"/>
  <c r="I1045" i="14"/>
  <c r="M1045" i="14"/>
  <c r="N1045" i="14"/>
  <c r="I1044" i="14"/>
  <c r="M1044" i="14"/>
  <c r="N1044" i="14"/>
  <c r="AD1043" i="1"/>
  <c r="AA1043" i="17"/>
  <c r="AC1043" i="17" s="1"/>
  <c r="P1043" i="17"/>
  <c r="I1043" i="14"/>
  <c r="M1043" i="14"/>
  <c r="N1043" i="14"/>
  <c r="AD1042" i="1"/>
  <c r="P1042" i="17"/>
  <c r="AA1042" i="17"/>
  <c r="AC1042" i="17" s="1"/>
  <c r="I1042" i="14"/>
  <c r="M1042" i="14"/>
  <c r="N1042" i="14"/>
  <c r="AD1041" i="1"/>
  <c r="P1041" i="17"/>
  <c r="AA1041" i="17"/>
  <c r="AC1041" i="17" s="1"/>
  <c r="I1041" i="14"/>
  <c r="M1041" i="14"/>
  <c r="N1041" i="14"/>
  <c r="R1039" i="17"/>
  <c r="AD1039" i="1"/>
  <c r="AD1040" i="1"/>
  <c r="P1039" i="17"/>
  <c r="P1040" i="17"/>
  <c r="AA1039" i="17"/>
  <c r="AC1039" i="17" s="1"/>
  <c r="AA1040" i="17"/>
  <c r="AC1040" i="17" s="1"/>
  <c r="I1040" i="14"/>
  <c r="M1040" i="14"/>
  <c r="N1040" i="14"/>
  <c r="I1039" i="14"/>
  <c r="M1039" i="14"/>
  <c r="N1039" i="14"/>
  <c r="AD1036" i="1"/>
  <c r="AD1037" i="1"/>
  <c r="AD1038" i="1"/>
  <c r="R1038" i="17"/>
  <c r="Q1038" i="17"/>
  <c r="AA1038" i="17"/>
  <c r="AC1038" i="17" s="1"/>
  <c r="P1038" i="17"/>
  <c r="AA1037" i="17"/>
  <c r="AC1037" i="17" s="1"/>
  <c r="P1037" i="17"/>
  <c r="Z1036" i="17"/>
  <c r="R1036" i="17"/>
  <c r="Q1036" i="17"/>
  <c r="P1036" i="17"/>
  <c r="AC1019" i="17"/>
  <c r="I1037" i="14"/>
  <c r="H1037" i="14" s="1"/>
  <c r="I1038" i="14"/>
  <c r="H1038" i="14" s="1"/>
  <c r="M1037" i="14"/>
  <c r="M1038" i="14"/>
  <c r="N1037" i="14"/>
  <c r="N1038" i="14"/>
  <c r="I1036" i="14"/>
  <c r="M1036" i="14"/>
  <c r="N1036" i="14"/>
  <c r="AD1035" i="1"/>
  <c r="I1035" i="14"/>
  <c r="M1035" i="14"/>
  <c r="N1035" i="14"/>
  <c r="P1035" i="17"/>
  <c r="AA1035" i="17"/>
  <c r="AC1035" i="17" s="1"/>
  <c r="AD1033" i="1"/>
  <c r="AD1034" i="1"/>
  <c r="AA1034" i="17"/>
  <c r="AC1034" i="17" s="1"/>
  <c r="P1034" i="17"/>
  <c r="AA1033" i="17"/>
  <c r="AC1033" i="17" s="1"/>
  <c r="P1033" i="17"/>
  <c r="I1034" i="14"/>
  <c r="M1034" i="14"/>
  <c r="N1034" i="14"/>
  <c r="I1033" i="14"/>
  <c r="M1033" i="14"/>
  <c r="N1033" i="14"/>
  <c r="AD1031" i="1"/>
  <c r="AD1032" i="1"/>
  <c r="AA1032" i="17"/>
  <c r="AC1032" i="17" s="1"/>
  <c r="P1032" i="17"/>
  <c r="AA1031" i="17"/>
  <c r="AC1031" i="17" s="1"/>
  <c r="P1031" i="17"/>
  <c r="N1032" i="14"/>
  <c r="M1032" i="14"/>
  <c r="I1032" i="14"/>
  <c r="N1031" i="14"/>
  <c r="M1031" i="14"/>
  <c r="I1031" i="14"/>
  <c r="AD1030" i="1"/>
  <c r="Q1030" i="17"/>
  <c r="AA1030" i="17" s="1"/>
  <c r="AC1030" i="17" s="1"/>
  <c r="P1030" i="17"/>
  <c r="I1030" i="14"/>
  <c r="M1030" i="14"/>
  <c r="N1030" i="14"/>
  <c r="AD1029" i="1"/>
  <c r="AA1029" i="17"/>
  <c r="AC1029" i="17" s="1"/>
  <c r="P1029" i="17"/>
  <c r="I1029" i="14"/>
  <c r="M1029" i="14"/>
  <c r="N1029" i="14"/>
  <c r="AD1028" i="1"/>
  <c r="Q1028" i="17"/>
  <c r="AA1028" i="17" s="1"/>
  <c r="AC1028" i="17" s="1"/>
  <c r="P1028" i="17"/>
  <c r="I1028" i="14"/>
  <c r="M1028" i="14"/>
  <c r="N1028" i="14"/>
  <c r="AD1027" i="1"/>
  <c r="Q1027" i="17"/>
  <c r="P1027" i="17"/>
  <c r="AA1027" i="17"/>
  <c r="AC1027" i="17" s="1"/>
  <c r="I1027" i="14"/>
  <c r="M1027" i="14"/>
  <c r="N1027" i="14"/>
  <c r="AD1026" i="1"/>
  <c r="AA1026" i="17"/>
  <c r="AC1026" i="17" s="1"/>
  <c r="P1026" i="17"/>
  <c r="I1026" i="14"/>
  <c r="M1026" i="14"/>
  <c r="N1026" i="14"/>
  <c r="AD1025" i="1"/>
  <c r="P1025" i="17"/>
  <c r="AA1025" i="17"/>
  <c r="AC1025" i="17" s="1"/>
  <c r="I1025" i="14"/>
  <c r="M1025" i="14"/>
  <c r="N1025" i="14"/>
  <c r="AD1024" i="1"/>
  <c r="P1024" i="17"/>
  <c r="AA1024" i="17"/>
  <c r="AC1024" i="17" s="1"/>
  <c r="N1024" i="14"/>
  <c r="M1024" i="14"/>
  <c r="I1024" i="14"/>
  <c r="AD1022" i="1"/>
  <c r="AD1023" i="1"/>
  <c r="P1022" i="17"/>
  <c r="P1023" i="17"/>
  <c r="AA1022" i="17"/>
  <c r="AC1022" i="17" s="1"/>
  <c r="AA1023" i="17"/>
  <c r="AC1023" i="17" s="1"/>
  <c r="N1023" i="14"/>
  <c r="M1023" i="14"/>
  <c r="I1023" i="14"/>
  <c r="N1022" i="14"/>
  <c r="M1022" i="14"/>
  <c r="I1022" i="14"/>
  <c r="AD1021" i="1"/>
  <c r="AA1021" i="17"/>
  <c r="AC1021" i="17" s="1"/>
  <c r="P1021" i="17"/>
  <c r="N1021" i="14"/>
  <c r="M1021" i="14"/>
  <c r="I1021" i="14"/>
  <c r="AD1020" i="1"/>
  <c r="AA1020" i="17"/>
  <c r="AC1020" i="17" s="1"/>
  <c r="P1020" i="17"/>
  <c r="I1020" i="14"/>
  <c r="M1020" i="14"/>
  <c r="N1020" i="14"/>
  <c r="AD1019" i="1"/>
  <c r="P1019" i="17"/>
  <c r="I1019" i="14"/>
  <c r="M1019" i="14"/>
  <c r="N1019" i="14"/>
  <c r="J1018" i="17"/>
  <c r="AD1018" i="1"/>
  <c r="P1018" i="17"/>
  <c r="AA1018" i="17"/>
  <c r="AC1018" i="17" s="1"/>
  <c r="I1018" i="14"/>
  <c r="M1018" i="14"/>
  <c r="N1018" i="14"/>
  <c r="P953" i="17"/>
  <c r="AA953" i="17"/>
  <c r="AC953" i="17" s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AD1017" i="1"/>
  <c r="P1017" i="17"/>
  <c r="AA1017" i="17"/>
  <c r="AC1017" i="17" s="1"/>
  <c r="M1017" i="14"/>
  <c r="N1017" i="14"/>
  <c r="AA1013" i="17"/>
  <c r="AC1013" i="17" s="1"/>
  <c r="R1014" i="17"/>
  <c r="AD1013" i="1"/>
  <c r="AD1014" i="1"/>
  <c r="AD1015" i="1"/>
  <c r="AD1016" i="1"/>
  <c r="P1013" i="17"/>
  <c r="P1014" i="17"/>
  <c r="P1015" i="17"/>
  <c r="P1016" i="17"/>
  <c r="AA1014" i="17"/>
  <c r="AC1014" i="17" s="1"/>
  <c r="AA1015" i="17"/>
  <c r="AC1015" i="17" s="1"/>
  <c r="AA1016" i="17"/>
  <c r="AC1016" i="17" s="1"/>
  <c r="M1016" i="14"/>
  <c r="N1016" i="14"/>
  <c r="M1015" i="14"/>
  <c r="N1015" i="14"/>
  <c r="M1014" i="14"/>
  <c r="N1014" i="14"/>
  <c r="M1013" i="14"/>
  <c r="N1013" i="14"/>
  <c r="AD1012" i="1"/>
  <c r="AA1012" i="17"/>
  <c r="AC1012" i="17" s="1"/>
  <c r="P1012" i="17"/>
  <c r="N1012" i="14"/>
  <c r="M1012" i="14"/>
  <c r="AD1011" i="1"/>
  <c r="P1011" i="17"/>
  <c r="AA1011" i="17"/>
  <c r="AC1011" i="17" s="1"/>
  <c r="M1011" i="14"/>
  <c r="N1011" i="14"/>
  <c r="AD1010" i="1"/>
  <c r="P1010" i="17"/>
  <c r="AA1010" i="17"/>
  <c r="AC1010" i="17" s="1"/>
  <c r="M1010" i="14"/>
  <c r="N1010" i="14"/>
  <c r="AD1009" i="1"/>
  <c r="P1009" i="17"/>
  <c r="AA1009" i="17"/>
  <c r="AC1009" i="17" s="1"/>
  <c r="M1009" i="14"/>
  <c r="N1009" i="14"/>
  <c r="AD1008" i="1"/>
  <c r="P1008" i="17"/>
  <c r="AA1008" i="17"/>
  <c r="AC1008" i="17" s="1"/>
  <c r="M1008" i="14"/>
  <c r="N1008" i="14"/>
  <c r="AD1007" i="1"/>
  <c r="P1007" i="17"/>
  <c r="AA1007" i="17"/>
  <c r="AC1007" i="17" s="1"/>
  <c r="M1007" i="14"/>
  <c r="N1007" i="14"/>
  <c r="AD1006" i="1"/>
  <c r="P1006" i="17"/>
  <c r="AA1006" i="17"/>
  <c r="AC1006" i="17" s="1"/>
  <c r="M1006" i="14"/>
  <c r="N1006" i="14"/>
  <c r="AD1005" i="1"/>
  <c r="P1005" i="17"/>
  <c r="AA1005" i="17"/>
  <c r="AC1005" i="17" s="1"/>
  <c r="N1005" i="14"/>
  <c r="M1005" i="14"/>
  <c r="AD1004" i="1"/>
  <c r="P1004" i="17"/>
  <c r="AA1004" i="17"/>
  <c r="AC1004" i="17" s="1"/>
  <c r="M1004" i="14"/>
  <c r="N1004" i="14"/>
  <c r="AD1003" i="1"/>
  <c r="P1003" i="17"/>
  <c r="AA1003" i="17"/>
  <c r="AC1003" i="17" s="1"/>
  <c r="M1003" i="14"/>
  <c r="N1003" i="14"/>
  <c r="AD1002" i="1"/>
  <c r="Z1002" i="17"/>
  <c r="Q1002" i="17"/>
  <c r="P1002" i="17"/>
  <c r="M1002" i="14"/>
  <c r="N1002" i="14"/>
  <c r="AA999" i="17"/>
  <c r="AC999" i="17" s="1"/>
  <c r="P999" i="17"/>
  <c r="AD999" i="1"/>
  <c r="AD1000" i="1"/>
  <c r="AD1001" i="1"/>
  <c r="Z1001" i="17"/>
  <c r="AA1001" i="17" s="1"/>
  <c r="AC1001" i="17" s="1"/>
  <c r="P1001" i="17"/>
  <c r="P1000" i="17"/>
  <c r="AA1000" i="17"/>
  <c r="AC1000" i="17" s="1"/>
  <c r="M1001" i="14"/>
  <c r="N1001" i="14"/>
  <c r="M1000" i="14"/>
  <c r="N1000" i="14"/>
  <c r="M999" i="14"/>
  <c r="N999" i="14"/>
  <c r="AD998" i="1"/>
  <c r="P998" i="17"/>
  <c r="AA998" i="17"/>
  <c r="AC998" i="17" s="1"/>
  <c r="M998" i="14"/>
  <c r="N998" i="14"/>
  <c r="AD997" i="1"/>
  <c r="P997" i="17"/>
  <c r="AA997" i="17"/>
  <c r="AC997" i="17" s="1"/>
  <c r="M997" i="14"/>
  <c r="N997" i="14"/>
  <c r="AD996" i="1"/>
  <c r="P996" i="17"/>
  <c r="AA996" i="17"/>
  <c r="AC996" i="17" s="1"/>
  <c r="M996" i="14"/>
  <c r="N996" i="14"/>
  <c r="AD995" i="1"/>
  <c r="P995" i="17"/>
  <c r="AA995" i="17"/>
  <c r="AC995" i="17" s="1"/>
  <c r="M995" i="14"/>
  <c r="N995" i="14"/>
  <c r="Q994" i="17"/>
  <c r="AE994" i="17"/>
  <c r="J994" i="17"/>
  <c r="R994" i="17"/>
  <c r="AD994" i="1"/>
  <c r="P994" i="17"/>
  <c r="AA994" i="17"/>
  <c r="AC994" i="17" s="1"/>
  <c r="M994" i="14"/>
  <c r="N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D436" i="1"/>
  <c r="AD435" i="1"/>
  <c r="AD434" i="1"/>
  <c r="AD433" i="1"/>
  <c r="AD432" i="1"/>
  <c r="AD431" i="1"/>
  <c r="AD430" i="1"/>
  <c r="AD429" i="1"/>
  <c r="AD428" i="1"/>
  <c r="AD427" i="1"/>
  <c r="AD426" i="1"/>
  <c r="AD425" i="1"/>
  <c r="AD424" i="1"/>
  <c r="AD423" i="1"/>
  <c r="AD422" i="1"/>
  <c r="AD421" i="1"/>
  <c r="AD420" i="1"/>
  <c r="AD419" i="1"/>
  <c r="AD418" i="1"/>
  <c r="AD417" i="1"/>
  <c r="AD416" i="1"/>
  <c r="AD415" i="1"/>
  <c r="AD414" i="1"/>
  <c r="AD413" i="1"/>
  <c r="AD412" i="1"/>
  <c r="AD411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  <c r="AA993" i="17"/>
  <c r="AC993" i="17" s="1"/>
  <c r="P993" i="17"/>
  <c r="AA992" i="17"/>
  <c r="AC992" i="17" s="1"/>
  <c r="R992" i="17"/>
  <c r="P992" i="17"/>
  <c r="AA991" i="17"/>
  <c r="AC991" i="17" s="1"/>
  <c r="P991" i="17"/>
  <c r="AA990" i="17"/>
  <c r="AC990" i="17" s="1"/>
  <c r="P990" i="17"/>
  <c r="AA989" i="17"/>
  <c r="AC989" i="17" s="1"/>
  <c r="P989" i="17"/>
  <c r="AA988" i="17"/>
  <c r="AC988" i="17" s="1"/>
  <c r="AA987" i="17"/>
  <c r="AC987" i="17" s="1"/>
  <c r="P987" i="17"/>
  <c r="AA986" i="17"/>
  <c r="AC986" i="17" s="1"/>
  <c r="P986" i="17"/>
  <c r="AE985" i="17"/>
  <c r="Z985" i="17"/>
  <c r="Q985" i="17"/>
  <c r="P985" i="17"/>
  <c r="J985" i="17"/>
  <c r="AA984" i="17"/>
  <c r="AC984" i="17" s="1"/>
  <c r="P984" i="17"/>
  <c r="AA983" i="17"/>
  <c r="AC983" i="17" s="1"/>
  <c r="R983" i="17"/>
  <c r="P983" i="17"/>
  <c r="AA982" i="17"/>
  <c r="AC982" i="17" s="1"/>
  <c r="R982" i="17"/>
  <c r="P982" i="17"/>
  <c r="AA981" i="17"/>
  <c r="AC981" i="17" s="1"/>
  <c r="R981" i="17"/>
  <c r="P981" i="17"/>
  <c r="AA980" i="17"/>
  <c r="AC980" i="17" s="1"/>
  <c r="R980" i="17"/>
  <c r="P980" i="17"/>
  <c r="AA979" i="17"/>
  <c r="AC979" i="17" s="1"/>
  <c r="P979" i="17"/>
  <c r="AA978" i="17"/>
  <c r="AC978" i="17" s="1"/>
  <c r="R978" i="17"/>
  <c r="P978" i="17"/>
  <c r="AA977" i="17"/>
  <c r="AC977" i="17" s="1"/>
  <c r="R977" i="17"/>
  <c r="P977" i="17"/>
  <c r="Q976" i="17"/>
  <c r="AA976" i="17" s="1"/>
  <c r="AC976" i="17" s="1"/>
  <c r="P976" i="17"/>
  <c r="Z975" i="17"/>
  <c r="AA975" i="17" s="1"/>
  <c r="AC975" i="17" s="1"/>
  <c r="P975" i="17"/>
  <c r="Q974" i="17"/>
  <c r="AA974" i="17" s="1"/>
  <c r="AC974" i="17" s="1"/>
  <c r="P974" i="17"/>
  <c r="J974" i="17"/>
  <c r="Z973" i="17"/>
  <c r="AA973" i="17" s="1"/>
  <c r="AC973" i="17" s="1"/>
  <c r="V973" i="17"/>
  <c r="P973" i="17"/>
  <c r="Z972" i="17"/>
  <c r="AA972" i="17" s="1"/>
  <c r="AC972" i="17" s="1"/>
  <c r="P972" i="17"/>
  <c r="AA971" i="17"/>
  <c r="AC971" i="17" s="1"/>
  <c r="P971" i="17"/>
  <c r="AA970" i="17"/>
  <c r="AC970" i="17" s="1"/>
  <c r="P970" i="17"/>
  <c r="AA969" i="17"/>
  <c r="AC969" i="17" s="1"/>
  <c r="P969" i="17"/>
  <c r="AA968" i="17"/>
  <c r="AC968" i="17" s="1"/>
  <c r="P968" i="17"/>
  <c r="AA967" i="17"/>
  <c r="AC967" i="17" s="1"/>
  <c r="P967" i="17"/>
  <c r="AA966" i="17"/>
  <c r="AC966" i="17" s="1"/>
  <c r="P966" i="17"/>
  <c r="AA965" i="17"/>
  <c r="AC965" i="17" s="1"/>
  <c r="P965" i="17"/>
  <c r="AA964" i="17"/>
  <c r="AC964" i="17" s="1"/>
  <c r="P964" i="17"/>
  <c r="AA963" i="17"/>
  <c r="AC963" i="17" s="1"/>
  <c r="P963" i="17"/>
  <c r="AA962" i="17"/>
  <c r="AC962" i="17" s="1"/>
  <c r="P962" i="17"/>
  <c r="AA961" i="17"/>
  <c r="AC961" i="17" s="1"/>
  <c r="P961" i="17"/>
  <c r="AA960" i="17"/>
  <c r="AC960" i="17" s="1"/>
  <c r="P960" i="17"/>
  <c r="AA959" i="17"/>
  <c r="AC959" i="17" s="1"/>
  <c r="P959" i="17"/>
  <c r="AA958" i="17"/>
  <c r="AC958" i="17" s="1"/>
  <c r="P958" i="17"/>
  <c r="AA957" i="17"/>
  <c r="AC957" i="17" s="1"/>
  <c r="V957" i="17"/>
  <c r="P957" i="17"/>
  <c r="AA956" i="17"/>
  <c r="AC956" i="17" s="1"/>
  <c r="P956" i="17"/>
  <c r="AA955" i="17"/>
  <c r="AC955" i="17" s="1"/>
  <c r="P955" i="17"/>
  <c r="AA954" i="17"/>
  <c r="AC954" i="17" s="1"/>
  <c r="P954" i="17"/>
  <c r="AA952" i="17"/>
  <c r="AC952" i="17" s="1"/>
  <c r="P952" i="17"/>
  <c r="AA951" i="17"/>
  <c r="AC951" i="17" s="1"/>
  <c r="P951" i="17"/>
  <c r="AA950" i="17"/>
  <c r="AC950" i="17" s="1"/>
  <c r="P950" i="17"/>
  <c r="AA949" i="17"/>
  <c r="AC949" i="17" s="1"/>
  <c r="P949" i="17"/>
  <c r="AA948" i="17"/>
  <c r="AC948" i="17" s="1"/>
  <c r="P948" i="17"/>
  <c r="AA947" i="17"/>
  <c r="AC947" i="17" s="1"/>
  <c r="P947" i="17"/>
  <c r="AA946" i="17"/>
  <c r="AC946" i="17" s="1"/>
  <c r="P946" i="17"/>
  <c r="AA945" i="17"/>
  <c r="AC945" i="17" s="1"/>
  <c r="P945" i="17"/>
  <c r="AA944" i="17"/>
  <c r="AC944" i="17" s="1"/>
  <c r="P944" i="17"/>
  <c r="AA943" i="17"/>
  <c r="AC943" i="17" s="1"/>
  <c r="P943" i="17"/>
  <c r="AA942" i="17"/>
  <c r="AC942" i="17" s="1"/>
  <c r="P942" i="17"/>
  <c r="AA941" i="17"/>
  <c r="AC941" i="17" s="1"/>
  <c r="P941" i="17"/>
  <c r="AA940" i="17"/>
  <c r="AC940" i="17" s="1"/>
  <c r="P940" i="17"/>
  <c r="AA939" i="17"/>
  <c r="AC939" i="17" s="1"/>
  <c r="P939" i="17"/>
  <c r="AA938" i="17"/>
  <c r="AC938" i="17" s="1"/>
  <c r="R938" i="17"/>
  <c r="P938" i="17"/>
  <c r="AA937" i="17"/>
  <c r="AC937" i="17" s="1"/>
  <c r="P937" i="17"/>
  <c r="J937" i="17"/>
  <c r="AA936" i="17"/>
  <c r="AC936" i="17" s="1"/>
  <c r="P936" i="17"/>
  <c r="J936" i="17"/>
  <c r="AA935" i="17"/>
  <c r="AC935" i="17" s="1"/>
  <c r="P935" i="17"/>
  <c r="Z934" i="17"/>
  <c r="AA934" i="17" s="1"/>
  <c r="AC934" i="17" s="1"/>
  <c r="P934" i="17"/>
  <c r="AA933" i="17"/>
  <c r="AC933" i="17" s="1"/>
  <c r="P933" i="17"/>
  <c r="AA932" i="17"/>
  <c r="AC932" i="17" s="1"/>
  <c r="P932" i="17"/>
  <c r="AA931" i="17"/>
  <c r="AC931" i="17" s="1"/>
  <c r="P931" i="17"/>
  <c r="AA930" i="17"/>
  <c r="AC930" i="17" s="1"/>
  <c r="P930" i="17"/>
  <c r="AA929" i="17"/>
  <c r="AC929" i="17" s="1"/>
  <c r="P929" i="17"/>
  <c r="AA928" i="17"/>
  <c r="AC928" i="17" s="1"/>
  <c r="P928" i="17"/>
  <c r="AA927" i="17"/>
  <c r="AC927" i="17" s="1"/>
  <c r="P927" i="17"/>
  <c r="AA926" i="17"/>
  <c r="AC926" i="17" s="1"/>
  <c r="P926" i="17"/>
  <c r="AA925" i="17"/>
  <c r="AC925" i="17" s="1"/>
  <c r="P925" i="17"/>
  <c r="AA924" i="17"/>
  <c r="AC924" i="17" s="1"/>
  <c r="P924" i="17"/>
  <c r="AA923" i="17"/>
  <c r="AC923" i="17" s="1"/>
  <c r="P923" i="17"/>
  <c r="AA922" i="17"/>
  <c r="AC922" i="17" s="1"/>
  <c r="P922" i="17"/>
  <c r="AA921" i="17"/>
  <c r="AC921" i="17" s="1"/>
  <c r="P921" i="17"/>
  <c r="AA920" i="17"/>
  <c r="AC920" i="17" s="1"/>
  <c r="P920" i="17"/>
  <c r="AA919" i="17"/>
  <c r="AC919" i="17" s="1"/>
  <c r="P919" i="17"/>
  <c r="AA918" i="17"/>
  <c r="AC918" i="17" s="1"/>
  <c r="P918" i="17"/>
  <c r="AA917" i="17"/>
  <c r="AC917" i="17" s="1"/>
  <c r="P917" i="17"/>
  <c r="AA916" i="17"/>
  <c r="AC916" i="17" s="1"/>
  <c r="P916" i="17"/>
  <c r="AA915" i="17"/>
  <c r="AC915" i="17" s="1"/>
  <c r="P915" i="17"/>
  <c r="AA914" i="17"/>
  <c r="AC914" i="17" s="1"/>
  <c r="P914" i="17"/>
  <c r="AA913" i="17"/>
  <c r="AC913" i="17" s="1"/>
  <c r="P913" i="17"/>
  <c r="AA912" i="17"/>
  <c r="AC912" i="17" s="1"/>
  <c r="P912" i="17"/>
  <c r="AA911" i="17"/>
  <c r="AC911" i="17" s="1"/>
  <c r="P911" i="17"/>
  <c r="AA910" i="17"/>
  <c r="AC910" i="17" s="1"/>
  <c r="P910" i="17"/>
  <c r="AA909" i="17"/>
  <c r="AC909" i="17" s="1"/>
  <c r="P909" i="17"/>
  <c r="J909" i="17"/>
  <c r="AA908" i="17"/>
  <c r="AC908" i="17" s="1"/>
  <c r="P908" i="17"/>
  <c r="AA907" i="17"/>
  <c r="AC907" i="17" s="1"/>
  <c r="P907" i="17"/>
  <c r="AA906" i="17"/>
  <c r="AC906" i="17" s="1"/>
  <c r="P906" i="17"/>
  <c r="Q905" i="17"/>
  <c r="AA905" i="17" s="1"/>
  <c r="AC905" i="17" s="1"/>
  <c r="P905" i="17"/>
  <c r="J905" i="17"/>
  <c r="AA904" i="17"/>
  <c r="AC904" i="17" s="1"/>
  <c r="P904" i="17"/>
  <c r="AA903" i="17"/>
  <c r="AC903" i="17" s="1"/>
  <c r="P903" i="17"/>
  <c r="Q902" i="17"/>
  <c r="AA902" i="17" s="1"/>
  <c r="AC902" i="17" s="1"/>
  <c r="P902" i="17"/>
  <c r="J902" i="17"/>
  <c r="AA901" i="17"/>
  <c r="AC901" i="17" s="1"/>
  <c r="P901" i="17"/>
  <c r="AA900" i="17"/>
  <c r="AC900" i="17" s="1"/>
  <c r="P900" i="17"/>
  <c r="Z899" i="17"/>
  <c r="AA899" i="17" s="1"/>
  <c r="AC899" i="17" s="1"/>
  <c r="P899" i="17"/>
  <c r="Z898" i="17"/>
  <c r="AA898" i="17" s="1"/>
  <c r="AC898" i="17" s="1"/>
  <c r="P898" i="17"/>
  <c r="AA897" i="17"/>
  <c r="AC897" i="17" s="1"/>
  <c r="P897" i="17"/>
  <c r="AA896" i="17"/>
  <c r="AC896" i="17" s="1"/>
  <c r="P896" i="17"/>
  <c r="AA895" i="17"/>
  <c r="AC895" i="17" s="1"/>
  <c r="R895" i="17"/>
  <c r="P895" i="17"/>
  <c r="Q894" i="17"/>
  <c r="AA894" i="17" s="1"/>
  <c r="AC894" i="17" s="1"/>
  <c r="P894" i="17"/>
  <c r="J894" i="17"/>
  <c r="AA893" i="17"/>
  <c r="AC893" i="17" s="1"/>
  <c r="P893" i="17"/>
  <c r="Q892" i="17"/>
  <c r="AA892" i="17" s="1"/>
  <c r="AC892" i="17" s="1"/>
  <c r="P892" i="17"/>
  <c r="J892" i="17"/>
  <c r="AA891" i="17"/>
  <c r="AC891" i="17" s="1"/>
  <c r="P891" i="17"/>
  <c r="AA890" i="17"/>
  <c r="AC890" i="17" s="1"/>
  <c r="P890" i="17"/>
  <c r="AA889" i="17"/>
  <c r="AC889" i="17" s="1"/>
  <c r="P889" i="17"/>
  <c r="AA888" i="17"/>
  <c r="AC888" i="17" s="1"/>
  <c r="P888" i="17"/>
  <c r="AA887" i="17"/>
  <c r="AC887" i="17" s="1"/>
  <c r="P887" i="17"/>
  <c r="AA886" i="17"/>
  <c r="AC886" i="17" s="1"/>
  <c r="P886" i="17"/>
  <c r="AA885" i="17"/>
  <c r="AC885" i="17" s="1"/>
  <c r="P885" i="17"/>
  <c r="AA884" i="17"/>
  <c r="AC884" i="17" s="1"/>
  <c r="P884" i="17"/>
  <c r="AA883" i="17"/>
  <c r="AC883" i="17" s="1"/>
  <c r="P883" i="17"/>
  <c r="AA882" i="17"/>
  <c r="AC882" i="17" s="1"/>
  <c r="P882" i="17"/>
  <c r="AA881" i="17"/>
  <c r="AC881" i="17" s="1"/>
  <c r="P881" i="17"/>
  <c r="Z880" i="17"/>
  <c r="AA880" i="17" s="1"/>
  <c r="AC880" i="17" s="1"/>
  <c r="P880" i="17"/>
  <c r="AA879" i="17"/>
  <c r="AC879" i="17" s="1"/>
  <c r="P879" i="17"/>
  <c r="AA878" i="17"/>
  <c r="AC878" i="17" s="1"/>
  <c r="P878" i="17"/>
  <c r="Z877" i="17"/>
  <c r="AA877" i="17" s="1"/>
  <c r="AC877" i="17" s="1"/>
  <c r="P877" i="17"/>
  <c r="Z876" i="17"/>
  <c r="AA876" i="17" s="1"/>
  <c r="AC876" i="17" s="1"/>
  <c r="P876" i="17"/>
  <c r="Z875" i="17"/>
  <c r="AA875" i="17" s="1"/>
  <c r="AC875" i="17" s="1"/>
  <c r="P875" i="17"/>
  <c r="Z874" i="17"/>
  <c r="AA874" i="17" s="1"/>
  <c r="AC874" i="17" s="1"/>
  <c r="P874" i="17"/>
  <c r="AA873" i="17"/>
  <c r="AC873" i="17" s="1"/>
  <c r="P873" i="17"/>
  <c r="Z872" i="17"/>
  <c r="AA872" i="17" s="1"/>
  <c r="AC872" i="17" s="1"/>
  <c r="P872" i="17"/>
  <c r="AA871" i="17"/>
  <c r="AC871" i="17" s="1"/>
  <c r="P871" i="17"/>
  <c r="AA870" i="17"/>
  <c r="AC870" i="17" s="1"/>
  <c r="P870" i="17"/>
  <c r="AA869" i="17"/>
  <c r="AC869" i="17" s="1"/>
  <c r="P869" i="17"/>
  <c r="AA868" i="17"/>
  <c r="AC868" i="17" s="1"/>
  <c r="P868" i="17"/>
  <c r="AA867" i="17"/>
  <c r="AC867" i="17" s="1"/>
  <c r="P867" i="17"/>
  <c r="AA866" i="17"/>
  <c r="AC866" i="17" s="1"/>
  <c r="P866" i="17"/>
  <c r="AA865" i="17"/>
  <c r="AC865" i="17" s="1"/>
  <c r="P865" i="17"/>
  <c r="AA864" i="17"/>
  <c r="AC864" i="17" s="1"/>
  <c r="P864" i="17"/>
  <c r="AA863" i="17"/>
  <c r="AC863" i="17" s="1"/>
  <c r="P863" i="17"/>
  <c r="AA862" i="17"/>
  <c r="AC862" i="17" s="1"/>
  <c r="P862" i="17"/>
  <c r="AA861" i="17"/>
  <c r="AC861" i="17" s="1"/>
  <c r="P861" i="17"/>
  <c r="AA860" i="17"/>
  <c r="AC860" i="17" s="1"/>
  <c r="P860" i="17"/>
  <c r="AA859" i="17"/>
  <c r="AC859" i="17" s="1"/>
  <c r="P859" i="17"/>
  <c r="AA858" i="17"/>
  <c r="AC858" i="17" s="1"/>
  <c r="P858" i="17"/>
  <c r="AA857" i="17"/>
  <c r="AC857" i="17" s="1"/>
  <c r="P857" i="17"/>
  <c r="AA856" i="17"/>
  <c r="AC856" i="17" s="1"/>
  <c r="P856" i="17"/>
  <c r="AA855" i="17"/>
  <c r="AC855" i="17" s="1"/>
  <c r="P855" i="17"/>
  <c r="AA854" i="17"/>
  <c r="AC854" i="17" s="1"/>
  <c r="P854" i="17"/>
  <c r="AA853" i="17"/>
  <c r="AC853" i="17" s="1"/>
  <c r="P853" i="17"/>
  <c r="AA852" i="17"/>
  <c r="AC852" i="17" s="1"/>
  <c r="P852" i="17"/>
  <c r="AA851" i="17"/>
  <c r="AC851" i="17" s="1"/>
  <c r="P851" i="17"/>
  <c r="AA850" i="17"/>
  <c r="AC850" i="17" s="1"/>
  <c r="P850" i="17"/>
  <c r="AA849" i="17"/>
  <c r="AC849" i="17" s="1"/>
  <c r="P849" i="17"/>
  <c r="AA848" i="17"/>
  <c r="AC848" i="17" s="1"/>
  <c r="P848" i="17"/>
  <c r="AA847" i="17"/>
  <c r="AC847" i="17" s="1"/>
  <c r="P847" i="17"/>
  <c r="AA846" i="17"/>
  <c r="AC846" i="17" s="1"/>
  <c r="P846" i="17"/>
  <c r="AA845" i="17"/>
  <c r="AC845" i="17" s="1"/>
  <c r="P845" i="17"/>
  <c r="AA844" i="17"/>
  <c r="AC844" i="17" s="1"/>
  <c r="P844" i="17"/>
  <c r="AA843" i="17"/>
  <c r="AC843" i="17" s="1"/>
  <c r="P843" i="17"/>
  <c r="AA842" i="17"/>
  <c r="AC842" i="17" s="1"/>
  <c r="P842" i="17"/>
  <c r="AA841" i="17"/>
  <c r="AC841" i="17" s="1"/>
  <c r="P841" i="17"/>
  <c r="AA840" i="17"/>
  <c r="AC840" i="17" s="1"/>
  <c r="P840" i="17"/>
  <c r="AA839" i="17"/>
  <c r="AC839" i="17" s="1"/>
  <c r="P839" i="17"/>
  <c r="AA838" i="17"/>
  <c r="AC838" i="17" s="1"/>
  <c r="P838" i="17"/>
  <c r="AA837" i="17"/>
  <c r="AC837" i="17" s="1"/>
  <c r="P837" i="17"/>
  <c r="AA836" i="17"/>
  <c r="AC836" i="17" s="1"/>
  <c r="P836" i="17"/>
  <c r="AA835" i="17"/>
  <c r="AC835" i="17" s="1"/>
  <c r="P835" i="17"/>
  <c r="AA834" i="17"/>
  <c r="AC834" i="17" s="1"/>
  <c r="P834" i="17"/>
  <c r="AE833" i="17"/>
  <c r="Q833" i="17"/>
  <c r="AA833" i="17" s="1"/>
  <c r="AC833" i="17" s="1"/>
  <c r="P833" i="17"/>
  <c r="J833" i="17"/>
  <c r="AA832" i="17"/>
  <c r="AC832" i="17" s="1"/>
  <c r="R832" i="17"/>
  <c r="P832" i="17"/>
  <c r="J832" i="17"/>
  <c r="AA831" i="17"/>
  <c r="AC831" i="17" s="1"/>
  <c r="P831" i="17"/>
  <c r="AA830" i="17"/>
  <c r="AC830" i="17" s="1"/>
  <c r="P830" i="17"/>
  <c r="AA829" i="17"/>
  <c r="AC829" i="17" s="1"/>
  <c r="P829" i="17"/>
  <c r="AA828" i="17"/>
  <c r="AC828" i="17" s="1"/>
  <c r="P828" i="17"/>
  <c r="AA827" i="17"/>
  <c r="AC827" i="17" s="1"/>
  <c r="P827" i="17"/>
  <c r="AA826" i="17"/>
  <c r="AC826" i="17" s="1"/>
  <c r="P826" i="17"/>
  <c r="AA825" i="17"/>
  <c r="AC825" i="17" s="1"/>
  <c r="P825" i="17"/>
  <c r="AA824" i="17"/>
  <c r="AC824" i="17" s="1"/>
  <c r="R824" i="17"/>
  <c r="P824" i="17"/>
  <c r="AA823" i="17"/>
  <c r="AC823" i="17" s="1"/>
  <c r="P823" i="17"/>
  <c r="Q822" i="17"/>
  <c r="AA822" i="17" s="1"/>
  <c r="AC822" i="17" s="1"/>
  <c r="P822" i="17"/>
  <c r="AA821" i="17"/>
  <c r="AC821" i="17" s="1"/>
  <c r="P821" i="17"/>
  <c r="AA820" i="17"/>
  <c r="AC820" i="17" s="1"/>
  <c r="P820" i="17"/>
  <c r="AA819" i="17"/>
  <c r="AC819" i="17" s="1"/>
  <c r="P819" i="17"/>
  <c r="AA818" i="17"/>
  <c r="AC818" i="17" s="1"/>
  <c r="P818" i="17"/>
  <c r="Q817" i="17"/>
  <c r="AA817" i="17" s="1"/>
  <c r="AC817" i="17" s="1"/>
  <c r="P817" i="17"/>
  <c r="J817" i="17"/>
  <c r="Q816" i="17"/>
  <c r="AA816" i="17" s="1"/>
  <c r="AC816" i="17" s="1"/>
  <c r="P816" i="17"/>
  <c r="J816" i="17"/>
  <c r="AA815" i="17"/>
  <c r="AC815" i="17" s="1"/>
  <c r="P815" i="17"/>
  <c r="J815" i="17"/>
  <c r="AA814" i="17"/>
  <c r="AC814" i="17" s="1"/>
  <c r="P814" i="17"/>
  <c r="AA813" i="17"/>
  <c r="AC813" i="17" s="1"/>
  <c r="P813" i="17"/>
  <c r="AA812" i="17"/>
  <c r="AC812" i="17" s="1"/>
  <c r="P812" i="17"/>
  <c r="AA811" i="17"/>
  <c r="AC811" i="17" s="1"/>
  <c r="P811" i="17"/>
  <c r="AA810" i="17"/>
  <c r="AC810" i="17" s="1"/>
  <c r="P810" i="17"/>
  <c r="AA809" i="17"/>
  <c r="AC809" i="17" s="1"/>
  <c r="P809" i="17"/>
  <c r="AA808" i="17"/>
  <c r="AC808" i="17" s="1"/>
  <c r="P808" i="17"/>
  <c r="AA807" i="17"/>
  <c r="AC807" i="17" s="1"/>
  <c r="P807" i="17"/>
  <c r="AA806" i="17"/>
  <c r="AC806" i="17" s="1"/>
  <c r="P806" i="17"/>
  <c r="AA805" i="17"/>
  <c r="AC805" i="17" s="1"/>
  <c r="P805" i="17"/>
  <c r="AA804" i="17"/>
  <c r="AC804" i="17" s="1"/>
  <c r="P804" i="17"/>
  <c r="AA803" i="17"/>
  <c r="AC803" i="17" s="1"/>
  <c r="P803" i="17"/>
  <c r="AA802" i="17"/>
  <c r="AC802" i="17" s="1"/>
  <c r="P802" i="17"/>
  <c r="AA801" i="17"/>
  <c r="AC801" i="17" s="1"/>
  <c r="P801" i="17"/>
  <c r="AA800" i="17"/>
  <c r="AC800" i="17" s="1"/>
  <c r="P800" i="17"/>
  <c r="AA799" i="17"/>
  <c r="AC799" i="17" s="1"/>
  <c r="P799" i="17"/>
  <c r="AA798" i="17"/>
  <c r="AC798" i="17" s="1"/>
  <c r="P798" i="17"/>
  <c r="AA797" i="17"/>
  <c r="AC797" i="17" s="1"/>
  <c r="P797" i="17"/>
  <c r="AA796" i="17"/>
  <c r="AC796" i="17" s="1"/>
  <c r="P796" i="17"/>
  <c r="AA795" i="17"/>
  <c r="AC795" i="17" s="1"/>
  <c r="P795" i="17"/>
  <c r="AA794" i="17"/>
  <c r="AC794" i="17" s="1"/>
  <c r="P794" i="17"/>
  <c r="AA793" i="17"/>
  <c r="AC793" i="17" s="1"/>
  <c r="V793" i="17"/>
  <c r="P793" i="17"/>
  <c r="Z792" i="17"/>
  <c r="Q792" i="17"/>
  <c r="P792" i="17"/>
  <c r="AA791" i="17"/>
  <c r="AC791" i="17" s="1"/>
  <c r="P791" i="17"/>
  <c r="AA790" i="17"/>
  <c r="AC790" i="17" s="1"/>
  <c r="P790" i="17"/>
  <c r="AA789" i="17"/>
  <c r="AC789" i="17" s="1"/>
  <c r="P789" i="17"/>
  <c r="AA788" i="17"/>
  <c r="AC788" i="17" s="1"/>
  <c r="P788" i="17"/>
  <c r="J788" i="17"/>
  <c r="AA787" i="17"/>
  <c r="AC787" i="17" s="1"/>
  <c r="P787" i="17"/>
  <c r="AA786" i="17"/>
  <c r="AC786" i="17" s="1"/>
  <c r="P786" i="17"/>
  <c r="J786" i="17"/>
  <c r="AA785" i="17"/>
  <c r="AC785" i="17" s="1"/>
  <c r="P785" i="17"/>
  <c r="J785" i="17"/>
  <c r="AA784" i="17"/>
  <c r="AC784" i="17" s="1"/>
  <c r="P784" i="17"/>
  <c r="AA783" i="17"/>
  <c r="AC783" i="17" s="1"/>
  <c r="P783" i="17"/>
  <c r="AA782" i="17"/>
  <c r="AC782" i="17" s="1"/>
  <c r="P782" i="17"/>
  <c r="AA781" i="17"/>
  <c r="AC781" i="17" s="1"/>
  <c r="P781" i="17"/>
  <c r="AA780" i="17"/>
  <c r="AC780" i="17" s="1"/>
  <c r="P780" i="17"/>
  <c r="AA779" i="17"/>
  <c r="AC779" i="17" s="1"/>
  <c r="P779" i="17"/>
  <c r="J779" i="17"/>
  <c r="AA778" i="17"/>
  <c r="AC778" i="17" s="1"/>
  <c r="P778" i="17"/>
  <c r="AA777" i="17"/>
  <c r="AC777" i="17" s="1"/>
  <c r="P777" i="17"/>
  <c r="AA776" i="17"/>
  <c r="AC776" i="17" s="1"/>
  <c r="P776" i="17"/>
  <c r="AA775" i="17"/>
  <c r="AC775" i="17" s="1"/>
  <c r="P775" i="17"/>
  <c r="J775" i="17"/>
  <c r="AA774" i="17"/>
  <c r="AC774" i="17" s="1"/>
  <c r="P774" i="17"/>
  <c r="AA773" i="17"/>
  <c r="AC773" i="17" s="1"/>
  <c r="P773" i="17"/>
  <c r="AA772" i="17"/>
  <c r="AC772" i="17" s="1"/>
  <c r="P772" i="17"/>
  <c r="AA771" i="17"/>
  <c r="AC771" i="17" s="1"/>
  <c r="P771" i="17"/>
  <c r="AA770" i="17"/>
  <c r="AC770" i="17" s="1"/>
  <c r="P770" i="17"/>
  <c r="AA769" i="17"/>
  <c r="AC769" i="17" s="1"/>
  <c r="P769" i="17"/>
  <c r="AA768" i="17"/>
  <c r="AC768" i="17" s="1"/>
  <c r="P768" i="17"/>
  <c r="AA767" i="17"/>
  <c r="AC767" i="17" s="1"/>
  <c r="P767" i="17"/>
  <c r="AA766" i="17"/>
  <c r="AC766" i="17" s="1"/>
  <c r="P766" i="17"/>
  <c r="AA765" i="17"/>
  <c r="AC765" i="17" s="1"/>
  <c r="P765" i="17"/>
  <c r="AA764" i="17"/>
  <c r="AC764" i="17" s="1"/>
  <c r="P764" i="17"/>
  <c r="AA763" i="17"/>
  <c r="AC763" i="17" s="1"/>
  <c r="P763" i="17"/>
  <c r="AA762" i="17"/>
  <c r="AC762" i="17" s="1"/>
  <c r="P762" i="17"/>
  <c r="AA761" i="17"/>
  <c r="AC761" i="17" s="1"/>
  <c r="P761" i="17"/>
  <c r="AA760" i="17"/>
  <c r="AC760" i="17" s="1"/>
  <c r="P760" i="17"/>
  <c r="AA759" i="17"/>
  <c r="AC759" i="17" s="1"/>
  <c r="P759" i="17"/>
  <c r="AA758" i="17"/>
  <c r="AC758" i="17" s="1"/>
  <c r="P758" i="17"/>
  <c r="AA757" i="17"/>
  <c r="AC757" i="17" s="1"/>
  <c r="P757" i="17"/>
  <c r="AA756" i="17"/>
  <c r="AC756" i="17" s="1"/>
  <c r="P756" i="17"/>
  <c r="AA755" i="17"/>
  <c r="AC755" i="17" s="1"/>
  <c r="P755" i="17"/>
  <c r="Q754" i="17"/>
  <c r="AA754" i="17" s="1"/>
  <c r="AC754" i="17" s="1"/>
  <c r="P754" i="17"/>
  <c r="AA753" i="17"/>
  <c r="AC753" i="17" s="1"/>
  <c r="P753" i="17"/>
  <c r="AA752" i="17"/>
  <c r="AC752" i="17" s="1"/>
  <c r="P752" i="17"/>
  <c r="AA751" i="17"/>
  <c r="AC751" i="17" s="1"/>
  <c r="P751" i="17"/>
  <c r="AA750" i="17"/>
  <c r="AC750" i="17" s="1"/>
  <c r="P750" i="17"/>
  <c r="AA749" i="17"/>
  <c r="AC749" i="17" s="1"/>
  <c r="P749" i="17"/>
  <c r="AA748" i="17"/>
  <c r="AC748" i="17" s="1"/>
  <c r="P748" i="17"/>
  <c r="AA747" i="17"/>
  <c r="AC747" i="17" s="1"/>
  <c r="P747" i="17"/>
  <c r="AA746" i="17"/>
  <c r="AC746" i="17" s="1"/>
  <c r="P746" i="17"/>
  <c r="AA745" i="17"/>
  <c r="AC745" i="17" s="1"/>
  <c r="P745" i="17"/>
  <c r="AA744" i="17"/>
  <c r="AC744" i="17" s="1"/>
  <c r="P744" i="17"/>
  <c r="AA743" i="17"/>
  <c r="AC743" i="17" s="1"/>
  <c r="P743" i="17"/>
  <c r="AA742" i="17"/>
  <c r="AC742" i="17" s="1"/>
  <c r="P742" i="17"/>
  <c r="AA741" i="17"/>
  <c r="AC741" i="17" s="1"/>
  <c r="P741" i="17"/>
  <c r="AA740" i="17"/>
  <c r="AC740" i="17" s="1"/>
  <c r="P740" i="17"/>
  <c r="AA739" i="17"/>
  <c r="AC739" i="17" s="1"/>
  <c r="P739" i="17"/>
  <c r="AA738" i="17"/>
  <c r="AC738" i="17" s="1"/>
  <c r="P738" i="17"/>
  <c r="AA737" i="17"/>
  <c r="AC737" i="17" s="1"/>
  <c r="P737" i="17"/>
  <c r="AA736" i="17"/>
  <c r="AC736" i="17" s="1"/>
  <c r="P736" i="17"/>
  <c r="AA735" i="17"/>
  <c r="AC735" i="17" s="1"/>
  <c r="P735" i="17"/>
  <c r="AA734" i="17"/>
  <c r="AC734" i="17" s="1"/>
  <c r="P734" i="17"/>
  <c r="AA733" i="17"/>
  <c r="AC733" i="17" s="1"/>
  <c r="P733" i="17"/>
  <c r="AA732" i="17"/>
  <c r="AC732" i="17" s="1"/>
  <c r="P732" i="17"/>
  <c r="AA731" i="17"/>
  <c r="AC731" i="17" s="1"/>
  <c r="P731" i="17"/>
  <c r="AA730" i="17"/>
  <c r="AC730" i="17" s="1"/>
  <c r="P730" i="17"/>
  <c r="AA729" i="17"/>
  <c r="AC729" i="17" s="1"/>
  <c r="P729" i="17"/>
  <c r="AA728" i="17"/>
  <c r="AC728" i="17" s="1"/>
  <c r="P728" i="17"/>
  <c r="AA727" i="17"/>
  <c r="AC727" i="17" s="1"/>
  <c r="P727" i="17"/>
  <c r="AA726" i="17"/>
  <c r="AC726" i="17" s="1"/>
  <c r="P726" i="17"/>
  <c r="AA725" i="17"/>
  <c r="AC725" i="17" s="1"/>
  <c r="P725" i="17"/>
  <c r="AA724" i="17"/>
  <c r="AC724" i="17" s="1"/>
  <c r="P724" i="17"/>
  <c r="AA723" i="17"/>
  <c r="AC723" i="17" s="1"/>
  <c r="P723" i="17"/>
  <c r="AA722" i="17"/>
  <c r="AC722" i="17" s="1"/>
  <c r="P722" i="17"/>
  <c r="AA721" i="17"/>
  <c r="AC721" i="17" s="1"/>
  <c r="P721" i="17"/>
  <c r="AA720" i="17"/>
  <c r="AC720" i="17" s="1"/>
  <c r="P720" i="17"/>
  <c r="AA719" i="17"/>
  <c r="AC719" i="17" s="1"/>
  <c r="P719" i="17"/>
  <c r="AA718" i="17"/>
  <c r="AC718" i="17" s="1"/>
  <c r="P718" i="17"/>
  <c r="AA717" i="17"/>
  <c r="AC717" i="17" s="1"/>
  <c r="P717" i="17"/>
  <c r="AA716" i="17"/>
  <c r="AC716" i="17" s="1"/>
  <c r="P716" i="17"/>
  <c r="AA715" i="17"/>
  <c r="AC715" i="17" s="1"/>
  <c r="P715" i="17"/>
  <c r="AA714" i="17"/>
  <c r="AC714" i="17" s="1"/>
  <c r="P714" i="17"/>
  <c r="AA713" i="17"/>
  <c r="AC713" i="17" s="1"/>
  <c r="P713" i="17"/>
  <c r="AA712" i="17"/>
  <c r="AC712" i="17" s="1"/>
  <c r="P712" i="17"/>
  <c r="AA711" i="17"/>
  <c r="AC711" i="17" s="1"/>
  <c r="P711" i="17"/>
  <c r="AA710" i="17"/>
  <c r="AC710" i="17" s="1"/>
  <c r="P710" i="17"/>
  <c r="AA709" i="17"/>
  <c r="AC709" i="17" s="1"/>
  <c r="P709" i="17"/>
  <c r="AA708" i="17"/>
  <c r="AC708" i="17" s="1"/>
  <c r="P708" i="17"/>
  <c r="AA707" i="17"/>
  <c r="AC707" i="17" s="1"/>
  <c r="P707" i="17"/>
  <c r="AA706" i="17"/>
  <c r="AC706" i="17" s="1"/>
  <c r="P706" i="17"/>
  <c r="AA705" i="17"/>
  <c r="AC705" i="17" s="1"/>
  <c r="P705" i="17"/>
  <c r="AA704" i="17"/>
  <c r="AC704" i="17" s="1"/>
  <c r="P704" i="17"/>
  <c r="AA703" i="17"/>
  <c r="AC703" i="17" s="1"/>
  <c r="P703" i="17"/>
  <c r="AA702" i="17"/>
  <c r="AC702" i="17" s="1"/>
  <c r="P702" i="17"/>
  <c r="AA701" i="17"/>
  <c r="AC701" i="17" s="1"/>
  <c r="P701" i="17"/>
  <c r="AA700" i="17"/>
  <c r="AC700" i="17" s="1"/>
  <c r="P700" i="17"/>
  <c r="AA699" i="17"/>
  <c r="AC699" i="17" s="1"/>
  <c r="P699" i="17"/>
  <c r="AA698" i="17"/>
  <c r="AC698" i="17" s="1"/>
  <c r="P698" i="17"/>
  <c r="AA697" i="17"/>
  <c r="AC697" i="17" s="1"/>
  <c r="P697" i="17"/>
  <c r="AA696" i="17"/>
  <c r="AC696" i="17" s="1"/>
  <c r="P696" i="17"/>
  <c r="AA695" i="17"/>
  <c r="AC695" i="17" s="1"/>
  <c r="P695" i="17"/>
  <c r="AA694" i="17"/>
  <c r="AC694" i="17" s="1"/>
  <c r="P694" i="17"/>
  <c r="AA693" i="17"/>
  <c r="AC693" i="17" s="1"/>
  <c r="P693" i="17"/>
  <c r="AA692" i="17"/>
  <c r="AC692" i="17" s="1"/>
  <c r="P692" i="17"/>
  <c r="AA691" i="17"/>
  <c r="AC691" i="17" s="1"/>
  <c r="P691" i="17"/>
  <c r="AA690" i="17"/>
  <c r="AC690" i="17" s="1"/>
  <c r="P690" i="17"/>
  <c r="AA689" i="17"/>
  <c r="AC689" i="17" s="1"/>
  <c r="P689" i="17"/>
  <c r="AA688" i="17"/>
  <c r="AC688" i="17" s="1"/>
  <c r="P688" i="17"/>
  <c r="AA687" i="17"/>
  <c r="AC687" i="17" s="1"/>
  <c r="P687" i="17"/>
  <c r="AA686" i="17"/>
  <c r="AC686" i="17" s="1"/>
  <c r="P686" i="17"/>
  <c r="AA685" i="17"/>
  <c r="AC685" i="17" s="1"/>
  <c r="P685" i="17"/>
  <c r="AA684" i="17"/>
  <c r="AC684" i="17" s="1"/>
  <c r="P684" i="17"/>
  <c r="AA683" i="17"/>
  <c r="AC683" i="17" s="1"/>
  <c r="P683" i="17"/>
  <c r="AA682" i="17"/>
  <c r="AC682" i="17" s="1"/>
  <c r="P682" i="17"/>
  <c r="AA681" i="17"/>
  <c r="AC681" i="17" s="1"/>
  <c r="P681" i="17"/>
  <c r="AA680" i="17"/>
  <c r="AC680" i="17" s="1"/>
  <c r="P680" i="17"/>
  <c r="AA679" i="17"/>
  <c r="AC679" i="17" s="1"/>
  <c r="P679" i="17"/>
  <c r="AA678" i="17"/>
  <c r="AC678" i="17" s="1"/>
  <c r="P678" i="17"/>
  <c r="AA677" i="17"/>
  <c r="AC677" i="17" s="1"/>
  <c r="P677" i="17"/>
  <c r="AA676" i="17"/>
  <c r="AC676" i="17" s="1"/>
  <c r="P676" i="17"/>
  <c r="AA675" i="17"/>
  <c r="AC675" i="17" s="1"/>
  <c r="P675" i="17"/>
  <c r="AA674" i="17"/>
  <c r="AC674" i="17" s="1"/>
  <c r="P674" i="17"/>
  <c r="AA673" i="17"/>
  <c r="AC673" i="17" s="1"/>
  <c r="P673" i="17"/>
  <c r="AA672" i="17"/>
  <c r="AC672" i="17" s="1"/>
  <c r="P672" i="17"/>
  <c r="AA671" i="17"/>
  <c r="AC671" i="17" s="1"/>
  <c r="P671" i="17"/>
  <c r="AA670" i="17"/>
  <c r="AC670" i="17" s="1"/>
  <c r="P670" i="17"/>
  <c r="AA669" i="17"/>
  <c r="AC669" i="17" s="1"/>
  <c r="P669" i="17"/>
  <c r="AA668" i="17"/>
  <c r="AC668" i="17" s="1"/>
  <c r="P668" i="17"/>
  <c r="AA667" i="17"/>
  <c r="AC667" i="17" s="1"/>
  <c r="P667" i="17"/>
  <c r="AA666" i="17"/>
  <c r="AC666" i="17" s="1"/>
  <c r="P666" i="17"/>
  <c r="AA665" i="17"/>
  <c r="AC665" i="17" s="1"/>
  <c r="P665" i="17"/>
  <c r="AA664" i="17"/>
  <c r="AC664" i="17" s="1"/>
  <c r="P664" i="17"/>
  <c r="AA663" i="17"/>
  <c r="AC663" i="17" s="1"/>
  <c r="P663" i="17"/>
  <c r="AA662" i="17"/>
  <c r="AC662" i="17" s="1"/>
  <c r="P662" i="17"/>
  <c r="AA661" i="17"/>
  <c r="AC661" i="17" s="1"/>
  <c r="P661" i="17"/>
  <c r="AA660" i="17"/>
  <c r="AC660" i="17" s="1"/>
  <c r="P660" i="17"/>
  <c r="AA659" i="17"/>
  <c r="AC659" i="17" s="1"/>
  <c r="P659" i="17"/>
  <c r="AA658" i="17"/>
  <c r="AC658" i="17" s="1"/>
  <c r="P658" i="17"/>
  <c r="AA657" i="17"/>
  <c r="AC657" i="17" s="1"/>
  <c r="P657" i="17"/>
  <c r="AA656" i="17"/>
  <c r="AC656" i="17" s="1"/>
  <c r="P656" i="17"/>
  <c r="AA655" i="17"/>
  <c r="AC655" i="17" s="1"/>
  <c r="P655" i="17"/>
  <c r="AA654" i="17"/>
  <c r="AC654" i="17" s="1"/>
  <c r="P654" i="17"/>
  <c r="AA653" i="17"/>
  <c r="AC653" i="17" s="1"/>
  <c r="P653" i="17"/>
  <c r="AA652" i="17"/>
  <c r="AC652" i="17" s="1"/>
  <c r="P652" i="17"/>
  <c r="AA651" i="17"/>
  <c r="AC651" i="17" s="1"/>
  <c r="P651" i="17"/>
  <c r="AA650" i="17"/>
  <c r="AC650" i="17" s="1"/>
  <c r="P650" i="17"/>
  <c r="AA649" i="17"/>
  <c r="AC649" i="17" s="1"/>
  <c r="P649" i="17"/>
  <c r="AA648" i="17"/>
  <c r="AC648" i="17" s="1"/>
  <c r="P648" i="17"/>
  <c r="AA647" i="17"/>
  <c r="AC647" i="17" s="1"/>
  <c r="P647" i="17"/>
  <c r="AA646" i="17"/>
  <c r="AC646" i="17" s="1"/>
  <c r="R646" i="17"/>
  <c r="P646" i="17"/>
  <c r="AA645" i="17"/>
  <c r="AC645" i="17" s="1"/>
  <c r="P645" i="17"/>
  <c r="AA644" i="17"/>
  <c r="AC644" i="17" s="1"/>
  <c r="P644" i="17"/>
  <c r="AA643" i="17"/>
  <c r="AC643" i="17" s="1"/>
  <c r="P643" i="17"/>
  <c r="AA642" i="17"/>
  <c r="AC642" i="17" s="1"/>
  <c r="P642" i="17"/>
  <c r="AA641" i="17"/>
  <c r="AC641" i="17" s="1"/>
  <c r="P641" i="17"/>
  <c r="AA640" i="17"/>
  <c r="AC640" i="17" s="1"/>
  <c r="P640" i="17"/>
  <c r="AA639" i="17"/>
  <c r="AC639" i="17" s="1"/>
  <c r="P639" i="17"/>
  <c r="AA638" i="17"/>
  <c r="AC638" i="17" s="1"/>
  <c r="P638" i="17"/>
  <c r="AA637" i="17"/>
  <c r="AC637" i="17" s="1"/>
  <c r="P637" i="17"/>
  <c r="AA636" i="17"/>
  <c r="AC636" i="17" s="1"/>
  <c r="P636" i="17"/>
  <c r="AA635" i="17"/>
  <c r="AC635" i="17" s="1"/>
  <c r="P635" i="17"/>
  <c r="AA634" i="17"/>
  <c r="AC634" i="17" s="1"/>
  <c r="P634" i="17"/>
  <c r="AA633" i="17"/>
  <c r="AC633" i="17" s="1"/>
  <c r="P633" i="17"/>
  <c r="AA632" i="17"/>
  <c r="AC632" i="17" s="1"/>
  <c r="P632" i="17"/>
  <c r="AA631" i="17"/>
  <c r="AC631" i="17" s="1"/>
  <c r="P631" i="17"/>
  <c r="Z630" i="17"/>
  <c r="AA630" i="17" s="1"/>
  <c r="AC630" i="17" s="1"/>
  <c r="P630" i="17"/>
  <c r="Z629" i="17"/>
  <c r="AA629" i="17" s="1"/>
  <c r="AC629" i="17" s="1"/>
  <c r="P629" i="17"/>
  <c r="AA628" i="17"/>
  <c r="AC628" i="17" s="1"/>
  <c r="R628" i="17"/>
  <c r="P628" i="17"/>
  <c r="R627" i="17"/>
  <c r="Q627" i="17"/>
  <c r="AA627" i="17" s="1"/>
  <c r="AC627" i="17" s="1"/>
  <c r="P627" i="17"/>
  <c r="AA626" i="17"/>
  <c r="AC626" i="17" s="1"/>
  <c r="R626" i="17"/>
  <c r="P626" i="17"/>
  <c r="AA625" i="17"/>
  <c r="AC625" i="17" s="1"/>
  <c r="P625" i="17"/>
  <c r="AE624" i="17"/>
  <c r="AA624" i="17"/>
  <c r="AC624" i="17" s="1"/>
  <c r="P624" i="17"/>
  <c r="J624" i="17"/>
  <c r="AA623" i="17"/>
  <c r="AC623" i="17" s="1"/>
  <c r="P623" i="17"/>
  <c r="Z622" i="17"/>
  <c r="AA622" i="17" s="1"/>
  <c r="AC622" i="17" s="1"/>
  <c r="P622" i="17"/>
  <c r="AA621" i="17"/>
  <c r="AC621" i="17" s="1"/>
  <c r="R621" i="17"/>
  <c r="P621" i="17"/>
  <c r="AA620" i="17"/>
  <c r="AC620" i="17" s="1"/>
  <c r="P620" i="17"/>
  <c r="AA619" i="17"/>
  <c r="AC619" i="17" s="1"/>
  <c r="P619" i="17"/>
  <c r="AA618" i="17"/>
  <c r="AC618" i="17" s="1"/>
  <c r="R618" i="17"/>
  <c r="P618" i="17"/>
  <c r="AA617" i="17"/>
  <c r="AC617" i="17" s="1"/>
  <c r="P617" i="17"/>
  <c r="AA616" i="17"/>
  <c r="AC616" i="17" s="1"/>
  <c r="P616" i="17"/>
  <c r="AA615" i="17"/>
  <c r="AC615" i="17" s="1"/>
  <c r="P615" i="17"/>
  <c r="AA614" i="17"/>
  <c r="AC614" i="17" s="1"/>
  <c r="P614" i="17"/>
  <c r="AA613" i="17"/>
  <c r="AC613" i="17" s="1"/>
  <c r="P613" i="17"/>
  <c r="AA612" i="17"/>
  <c r="AC612" i="17" s="1"/>
  <c r="P612" i="17"/>
  <c r="AA611" i="17"/>
  <c r="AC611" i="17" s="1"/>
  <c r="P611" i="17"/>
  <c r="AA610" i="17"/>
  <c r="AC610" i="17" s="1"/>
  <c r="P610" i="17"/>
  <c r="AA609" i="17"/>
  <c r="AC609" i="17" s="1"/>
  <c r="P609" i="17"/>
  <c r="AA608" i="17"/>
  <c r="AC608" i="17" s="1"/>
  <c r="P608" i="17"/>
  <c r="AA607" i="17"/>
  <c r="AC607" i="17" s="1"/>
  <c r="P607" i="17"/>
  <c r="AA606" i="17"/>
  <c r="AC606" i="17" s="1"/>
  <c r="P606" i="17"/>
  <c r="AA605" i="17"/>
  <c r="AC605" i="17" s="1"/>
  <c r="P605" i="17"/>
  <c r="AA604" i="17"/>
  <c r="AC604" i="17" s="1"/>
  <c r="P604" i="17"/>
  <c r="AA603" i="17"/>
  <c r="AC603" i="17" s="1"/>
  <c r="P603" i="17"/>
  <c r="AA602" i="17"/>
  <c r="AC602" i="17" s="1"/>
  <c r="P602" i="17"/>
  <c r="AA601" i="17"/>
  <c r="AC601" i="17" s="1"/>
  <c r="P601" i="17"/>
  <c r="AA600" i="17"/>
  <c r="AC600" i="17" s="1"/>
  <c r="P600" i="17"/>
  <c r="AA599" i="17"/>
  <c r="AC599" i="17" s="1"/>
  <c r="P599" i="17"/>
  <c r="AA598" i="17"/>
  <c r="AC598" i="17" s="1"/>
  <c r="P598" i="17"/>
  <c r="AA597" i="17"/>
  <c r="AC597" i="17" s="1"/>
  <c r="P597" i="17"/>
  <c r="AA596" i="17"/>
  <c r="AC596" i="17" s="1"/>
  <c r="P596" i="17"/>
  <c r="AA595" i="17"/>
  <c r="AC595" i="17" s="1"/>
  <c r="P595" i="17"/>
  <c r="AA594" i="17"/>
  <c r="AC594" i="17" s="1"/>
  <c r="P594" i="17"/>
  <c r="AA593" i="17"/>
  <c r="AC593" i="17" s="1"/>
  <c r="P593" i="17"/>
  <c r="AA592" i="17"/>
  <c r="AC592" i="17" s="1"/>
  <c r="P592" i="17"/>
  <c r="AA591" i="17"/>
  <c r="AC591" i="17" s="1"/>
  <c r="P591" i="17"/>
  <c r="AA590" i="17"/>
  <c r="AC590" i="17" s="1"/>
  <c r="P590" i="17"/>
  <c r="AA589" i="17"/>
  <c r="AC589" i="17" s="1"/>
  <c r="P589" i="17"/>
  <c r="AA588" i="17"/>
  <c r="AC588" i="17" s="1"/>
  <c r="P588" i="17"/>
  <c r="AA587" i="17"/>
  <c r="AC587" i="17" s="1"/>
  <c r="P587" i="17"/>
  <c r="AA586" i="17"/>
  <c r="AC586" i="17" s="1"/>
  <c r="P586" i="17"/>
  <c r="AA585" i="17"/>
  <c r="AC585" i="17" s="1"/>
  <c r="P585" i="17"/>
  <c r="AA584" i="17"/>
  <c r="AC584" i="17" s="1"/>
  <c r="P584" i="17"/>
  <c r="AA583" i="17"/>
  <c r="AC583" i="17" s="1"/>
  <c r="P583" i="17"/>
  <c r="AA582" i="17"/>
  <c r="AC582" i="17" s="1"/>
  <c r="P582" i="17"/>
  <c r="AA581" i="17"/>
  <c r="AC581" i="17" s="1"/>
  <c r="P581" i="17"/>
  <c r="AA580" i="17"/>
  <c r="AC580" i="17" s="1"/>
  <c r="P580" i="17"/>
  <c r="AA579" i="17"/>
  <c r="AC579" i="17" s="1"/>
  <c r="P579" i="17"/>
  <c r="AA578" i="17"/>
  <c r="AC578" i="17" s="1"/>
  <c r="P578" i="17"/>
  <c r="AA577" i="17"/>
  <c r="AC577" i="17" s="1"/>
  <c r="P577" i="17"/>
  <c r="AA576" i="17"/>
  <c r="AC576" i="17" s="1"/>
  <c r="P576" i="17"/>
  <c r="AA575" i="17"/>
  <c r="AC575" i="17" s="1"/>
  <c r="P575" i="17"/>
  <c r="AA574" i="17"/>
  <c r="AC574" i="17" s="1"/>
  <c r="P574" i="17"/>
  <c r="AA573" i="17"/>
  <c r="AC573" i="17" s="1"/>
  <c r="P573" i="17"/>
  <c r="AA572" i="17"/>
  <c r="AC572" i="17" s="1"/>
  <c r="P572" i="17"/>
  <c r="AA571" i="17"/>
  <c r="AC571" i="17" s="1"/>
  <c r="P571" i="17"/>
  <c r="J571" i="17"/>
  <c r="AA570" i="17"/>
  <c r="AC570" i="17" s="1"/>
  <c r="P570" i="17"/>
  <c r="AA569" i="17"/>
  <c r="AC569" i="17" s="1"/>
  <c r="P569" i="17"/>
  <c r="AA568" i="17"/>
  <c r="AC568" i="17" s="1"/>
  <c r="P568" i="17"/>
  <c r="AA567" i="17"/>
  <c r="AC567" i="17" s="1"/>
  <c r="P567" i="17"/>
  <c r="AA566" i="17"/>
  <c r="AC566" i="17" s="1"/>
  <c r="P566" i="17"/>
  <c r="AA565" i="17"/>
  <c r="AC565" i="17" s="1"/>
  <c r="P565" i="17"/>
  <c r="AA564" i="17"/>
  <c r="AC564" i="17" s="1"/>
  <c r="P564" i="17"/>
  <c r="AA563" i="17"/>
  <c r="AC563" i="17" s="1"/>
  <c r="P563" i="17"/>
  <c r="AA562" i="17"/>
  <c r="AC562" i="17" s="1"/>
  <c r="P562" i="17"/>
  <c r="AA561" i="17"/>
  <c r="AC561" i="17" s="1"/>
  <c r="P561" i="17"/>
  <c r="Z560" i="17"/>
  <c r="AA560" i="17" s="1"/>
  <c r="AC560" i="17" s="1"/>
  <c r="P560" i="17"/>
  <c r="Z559" i="17"/>
  <c r="AA559" i="17" s="1"/>
  <c r="AC559" i="17" s="1"/>
  <c r="P559" i="17"/>
  <c r="Z558" i="17"/>
  <c r="AA558" i="17" s="1"/>
  <c r="AC558" i="17" s="1"/>
  <c r="P558" i="17"/>
  <c r="AA557" i="17"/>
  <c r="AC557" i="17" s="1"/>
  <c r="P557" i="17"/>
  <c r="AE556" i="17"/>
  <c r="Z556" i="17"/>
  <c r="Q556" i="17"/>
  <c r="P556" i="17"/>
  <c r="J556" i="17"/>
  <c r="AA555" i="17"/>
  <c r="AC555" i="17" s="1"/>
  <c r="R555" i="17"/>
  <c r="P555" i="17"/>
  <c r="Z554" i="17"/>
  <c r="AA554" i="17" s="1"/>
  <c r="AC554" i="17" s="1"/>
  <c r="R554" i="17"/>
  <c r="P554" i="17"/>
  <c r="AA553" i="17"/>
  <c r="AC553" i="17" s="1"/>
  <c r="R553" i="17"/>
  <c r="P553" i="17"/>
  <c r="R552" i="17"/>
  <c r="Q552" i="17"/>
  <c r="AA552" i="17" s="1"/>
  <c r="AC552" i="17" s="1"/>
  <c r="P552" i="17"/>
  <c r="AA551" i="17"/>
  <c r="AC551" i="17" s="1"/>
  <c r="P551" i="17"/>
  <c r="AA550" i="17"/>
  <c r="AC550" i="17" s="1"/>
  <c r="R550" i="17"/>
  <c r="P550" i="17"/>
  <c r="Z549" i="17"/>
  <c r="AA549" i="17" s="1"/>
  <c r="AC549" i="17" s="1"/>
  <c r="P549" i="17"/>
  <c r="Z548" i="17"/>
  <c r="AA548" i="17" s="1"/>
  <c r="AC548" i="17" s="1"/>
  <c r="P548" i="17"/>
  <c r="AE547" i="17"/>
  <c r="AA547" i="17"/>
  <c r="AC547" i="17" s="1"/>
  <c r="P547" i="17"/>
  <c r="J547" i="17"/>
  <c r="AA546" i="17"/>
  <c r="AC546" i="17" s="1"/>
  <c r="P546" i="17"/>
  <c r="Z545" i="17"/>
  <c r="AA545" i="17" s="1"/>
  <c r="AC545" i="17" s="1"/>
  <c r="P545" i="17"/>
  <c r="AA544" i="17"/>
  <c r="AC544" i="17" s="1"/>
  <c r="R544" i="17"/>
  <c r="P544" i="17"/>
  <c r="AA543" i="17"/>
  <c r="AC543" i="17" s="1"/>
  <c r="R543" i="17"/>
  <c r="P543" i="17"/>
  <c r="AA542" i="17"/>
  <c r="AC542" i="17" s="1"/>
  <c r="R542" i="17"/>
  <c r="P542" i="17"/>
  <c r="AA541" i="17"/>
  <c r="AC541" i="17" s="1"/>
  <c r="P541" i="17"/>
  <c r="AE540" i="17"/>
  <c r="AA540" i="17"/>
  <c r="AC540" i="17" s="1"/>
  <c r="P540" i="17"/>
  <c r="J540" i="17"/>
  <c r="AE539" i="17"/>
  <c r="AA539" i="17"/>
  <c r="AC539" i="17" s="1"/>
  <c r="P539" i="17"/>
  <c r="J539" i="17"/>
  <c r="Z538" i="17"/>
  <c r="Q538" i="17"/>
  <c r="P538" i="17"/>
  <c r="AE537" i="17"/>
  <c r="Q537" i="17"/>
  <c r="AA537" i="17" s="1"/>
  <c r="AC537" i="17" s="1"/>
  <c r="P537" i="17"/>
  <c r="J537" i="17"/>
  <c r="AE536" i="17"/>
  <c r="Z536" i="17"/>
  <c r="Q536" i="17"/>
  <c r="P536" i="17"/>
  <c r="J536" i="17"/>
  <c r="Z535" i="17"/>
  <c r="AA535" i="17" s="1"/>
  <c r="AC535" i="17" s="1"/>
  <c r="P535" i="17"/>
  <c r="Z534" i="17"/>
  <c r="AA534" i="17" s="1"/>
  <c r="AC534" i="17" s="1"/>
  <c r="P534" i="17"/>
  <c r="Z533" i="17"/>
  <c r="AA533" i="17" s="1"/>
  <c r="AC533" i="17" s="1"/>
  <c r="P533" i="17"/>
  <c r="AE532" i="17"/>
  <c r="Z532" i="17"/>
  <c r="R532" i="17"/>
  <c r="Q532" i="17"/>
  <c r="P532" i="17"/>
  <c r="Z531" i="17"/>
  <c r="AA531" i="17" s="1"/>
  <c r="AC531" i="17" s="1"/>
  <c r="P531" i="17"/>
  <c r="Z530" i="17"/>
  <c r="Q530" i="17"/>
  <c r="P530" i="17"/>
  <c r="Z529" i="17"/>
  <c r="AA529" i="17" s="1"/>
  <c r="AC529" i="17" s="1"/>
  <c r="R529" i="17"/>
  <c r="P529" i="17"/>
  <c r="AE528" i="17"/>
  <c r="AA528" i="17"/>
  <c r="AC528" i="17" s="1"/>
  <c r="R528" i="17"/>
  <c r="P528" i="17"/>
  <c r="J528" i="17"/>
  <c r="Z527" i="17"/>
  <c r="AA527" i="17" s="1"/>
  <c r="AC527" i="17" s="1"/>
  <c r="P527" i="17"/>
  <c r="Z526" i="17"/>
  <c r="AA526" i="17" s="1"/>
  <c r="AC526" i="17" s="1"/>
  <c r="R526" i="17"/>
  <c r="P526" i="17"/>
  <c r="Z525" i="17"/>
  <c r="Q525" i="17"/>
  <c r="P525" i="17"/>
  <c r="Z524" i="17"/>
  <c r="AA524" i="17" s="1"/>
  <c r="AC524" i="17" s="1"/>
  <c r="P524" i="17"/>
  <c r="AE523" i="17"/>
  <c r="Z523" i="17"/>
  <c r="AA523" i="17" s="1"/>
  <c r="AC523" i="17" s="1"/>
  <c r="P523" i="17"/>
  <c r="J523" i="17"/>
  <c r="Z522" i="17"/>
  <c r="AA522" i="17" s="1"/>
  <c r="AC522" i="17" s="1"/>
  <c r="P522" i="17"/>
  <c r="Z521" i="17"/>
  <c r="AA521" i="17" s="1"/>
  <c r="AC521" i="17" s="1"/>
  <c r="P521" i="17"/>
  <c r="Z520" i="17"/>
  <c r="AA520" i="17" s="1"/>
  <c r="AC520" i="17" s="1"/>
  <c r="P520" i="17"/>
  <c r="AE519" i="17"/>
  <c r="Z519" i="17"/>
  <c r="Q519" i="17"/>
  <c r="P519" i="17"/>
  <c r="J519" i="17"/>
  <c r="AE518" i="17"/>
  <c r="Z518" i="17"/>
  <c r="R518" i="17"/>
  <c r="Q518" i="17"/>
  <c r="P518" i="17"/>
  <c r="J518" i="17"/>
  <c r="AE517" i="17"/>
  <c r="Z517" i="17"/>
  <c r="AA517" i="17" s="1"/>
  <c r="AC517" i="17" s="1"/>
  <c r="P517" i="17"/>
  <c r="J517" i="17"/>
  <c r="Z516" i="17"/>
  <c r="Q516" i="17"/>
  <c r="P516" i="17"/>
  <c r="AE515" i="17"/>
  <c r="Z515" i="17"/>
  <c r="Q515" i="17"/>
  <c r="P515" i="17"/>
  <c r="J515" i="17"/>
  <c r="AE514" i="17"/>
  <c r="Z514" i="17"/>
  <c r="Q514" i="17"/>
  <c r="P514" i="17"/>
  <c r="J514" i="17"/>
  <c r="Z513" i="17"/>
  <c r="AA513" i="17" s="1"/>
  <c r="AC513" i="17" s="1"/>
  <c r="P513" i="17"/>
  <c r="Z512" i="17"/>
  <c r="Q512" i="17"/>
  <c r="P512" i="17"/>
  <c r="J512" i="17"/>
  <c r="Z511" i="17"/>
  <c r="Q511" i="17"/>
  <c r="P511" i="17"/>
  <c r="J511" i="17"/>
  <c r="Z510" i="17"/>
  <c r="AA510" i="17" s="1"/>
  <c r="AC510" i="17" s="1"/>
  <c r="P510" i="17"/>
  <c r="Z509" i="17"/>
  <c r="Q509" i="17"/>
  <c r="P509" i="17"/>
  <c r="Z508" i="17"/>
  <c r="Q508" i="17"/>
  <c r="P508" i="17"/>
  <c r="Z507" i="17"/>
  <c r="AA507" i="17" s="1"/>
  <c r="AC507" i="17" s="1"/>
  <c r="P507" i="17"/>
  <c r="Z506" i="17"/>
  <c r="AA506" i="17" s="1"/>
  <c r="AC506" i="17" s="1"/>
  <c r="R506" i="17"/>
  <c r="P506" i="17"/>
  <c r="R505" i="17"/>
  <c r="Q505" i="17"/>
  <c r="AA505" i="17" s="1"/>
  <c r="AC505" i="17" s="1"/>
  <c r="P505" i="17"/>
  <c r="AE504" i="17"/>
  <c r="AA504" i="17"/>
  <c r="AC504" i="17" s="1"/>
  <c r="P504" i="17"/>
  <c r="J504" i="17"/>
  <c r="AE503" i="17"/>
  <c r="Z503" i="17"/>
  <c r="AA503" i="17" s="1"/>
  <c r="AC503" i="17" s="1"/>
  <c r="R503" i="17"/>
  <c r="P503" i="17"/>
  <c r="J503" i="17"/>
  <c r="AE502" i="17"/>
  <c r="Z502" i="17"/>
  <c r="AA502" i="17" s="1"/>
  <c r="AC502" i="17" s="1"/>
  <c r="R502" i="17"/>
  <c r="P502" i="17"/>
  <c r="J502" i="17"/>
  <c r="Z501" i="17"/>
  <c r="AA501" i="17" s="1"/>
  <c r="AC501" i="17" s="1"/>
  <c r="P501" i="17"/>
  <c r="Z500" i="17"/>
  <c r="AA500" i="17" s="1"/>
  <c r="AC500" i="17" s="1"/>
  <c r="P500" i="17"/>
  <c r="Z499" i="17"/>
  <c r="AA499" i="17" s="1"/>
  <c r="AC499" i="17" s="1"/>
  <c r="P499" i="17"/>
  <c r="Z498" i="17"/>
  <c r="AA498" i="17" s="1"/>
  <c r="AC498" i="17" s="1"/>
  <c r="P498" i="17"/>
  <c r="Z497" i="17"/>
  <c r="AA497" i="17" s="1"/>
  <c r="AC497" i="17" s="1"/>
  <c r="P497" i="17"/>
  <c r="Z496" i="17"/>
  <c r="AA496" i="17" s="1"/>
  <c r="AC496" i="17" s="1"/>
  <c r="P496" i="17"/>
  <c r="AE495" i="17"/>
  <c r="Z495" i="17"/>
  <c r="AA495" i="17" s="1"/>
  <c r="AC495" i="17" s="1"/>
  <c r="P495" i="17"/>
  <c r="J495" i="17"/>
  <c r="AE494" i="17"/>
  <c r="Z494" i="17"/>
  <c r="AA494" i="17" s="1"/>
  <c r="AC494" i="17" s="1"/>
  <c r="P494" i="17"/>
  <c r="J494" i="17"/>
  <c r="Z493" i="17"/>
  <c r="AA493" i="17" s="1"/>
  <c r="AC493" i="17" s="1"/>
  <c r="P493" i="17"/>
  <c r="AE492" i="17"/>
  <c r="Z492" i="17"/>
  <c r="Q492" i="17"/>
  <c r="P492" i="17"/>
  <c r="Z491" i="17"/>
  <c r="AA491" i="17" s="1"/>
  <c r="AC491" i="17" s="1"/>
  <c r="P491" i="17"/>
  <c r="Z490" i="17"/>
  <c r="AA490" i="17" s="1"/>
  <c r="AC490" i="17" s="1"/>
  <c r="P490" i="17"/>
  <c r="Z489" i="17"/>
  <c r="AA489" i="17" s="1"/>
  <c r="AC489" i="17" s="1"/>
  <c r="P489" i="17"/>
  <c r="Z488" i="17"/>
  <c r="AA488" i="17" s="1"/>
  <c r="AC488" i="17" s="1"/>
  <c r="P488" i="17"/>
  <c r="AE487" i="17"/>
  <c r="Z487" i="17"/>
  <c r="AA487" i="17" s="1"/>
  <c r="AC487" i="17" s="1"/>
  <c r="R487" i="17"/>
  <c r="P487" i="17"/>
  <c r="J487" i="17"/>
  <c r="AE486" i="17"/>
  <c r="Z486" i="17"/>
  <c r="AA486" i="17" s="1"/>
  <c r="AC486" i="17" s="1"/>
  <c r="P486" i="17"/>
  <c r="J486" i="17"/>
  <c r="AE485" i="17"/>
  <c r="Z485" i="17"/>
  <c r="AA485" i="17" s="1"/>
  <c r="AC485" i="17" s="1"/>
  <c r="P485" i="17"/>
  <c r="Z484" i="17"/>
  <c r="AA484" i="17" s="1"/>
  <c r="AC484" i="17" s="1"/>
  <c r="P484" i="17"/>
  <c r="Z483" i="17"/>
  <c r="AA483" i="17" s="1"/>
  <c r="AC483" i="17" s="1"/>
  <c r="R483" i="17"/>
  <c r="P483" i="17"/>
  <c r="Z482" i="17"/>
  <c r="AA482" i="17" s="1"/>
  <c r="AC482" i="17" s="1"/>
  <c r="P482" i="17"/>
  <c r="Z481" i="17"/>
  <c r="R481" i="17"/>
  <c r="Q481" i="17"/>
  <c r="P481" i="17"/>
  <c r="Z480" i="17"/>
  <c r="AA480" i="17" s="1"/>
  <c r="AC480" i="17" s="1"/>
  <c r="P480" i="17"/>
  <c r="Z479" i="17"/>
  <c r="AA479" i="17" s="1"/>
  <c r="AC479" i="17" s="1"/>
  <c r="P479" i="17"/>
  <c r="AE478" i="17"/>
  <c r="Z478" i="17"/>
  <c r="AA478" i="17" s="1"/>
  <c r="AC478" i="17" s="1"/>
  <c r="P478" i="17"/>
  <c r="J478" i="17"/>
  <c r="Z477" i="17"/>
  <c r="AA477" i="17" s="1"/>
  <c r="AC477" i="17" s="1"/>
  <c r="P477" i="17"/>
  <c r="Z476" i="17"/>
  <c r="AA476" i="17" s="1"/>
  <c r="AC476" i="17" s="1"/>
  <c r="P476" i="17"/>
  <c r="J476" i="17"/>
  <c r="Z475" i="17"/>
  <c r="AA475" i="17" s="1"/>
  <c r="AC475" i="17" s="1"/>
  <c r="P475" i="17"/>
  <c r="J475" i="17"/>
  <c r="Z474" i="17"/>
  <c r="AA474" i="17" s="1"/>
  <c r="AC474" i="17" s="1"/>
  <c r="P474" i="17"/>
  <c r="Z473" i="17"/>
  <c r="AA473" i="17" s="1"/>
  <c r="AC473" i="17" s="1"/>
  <c r="P473" i="17"/>
  <c r="Z472" i="17"/>
  <c r="AA472" i="17" s="1"/>
  <c r="AC472" i="17" s="1"/>
  <c r="P472" i="17"/>
  <c r="Z471" i="17"/>
  <c r="AA471" i="17" s="1"/>
  <c r="AC471" i="17" s="1"/>
  <c r="R471" i="17"/>
  <c r="P471" i="17"/>
  <c r="AE470" i="17"/>
  <c r="Z470" i="17"/>
  <c r="Q470" i="17"/>
  <c r="P470" i="17"/>
  <c r="J470" i="17"/>
  <c r="Z469" i="17"/>
  <c r="AA469" i="17" s="1"/>
  <c r="AC469" i="17" s="1"/>
  <c r="P469" i="17"/>
  <c r="J469" i="17"/>
  <c r="AE469" i="17" s="1"/>
  <c r="Z468" i="17"/>
  <c r="R468" i="17"/>
  <c r="Q468" i="17"/>
  <c r="P468" i="17"/>
  <c r="J468" i="17"/>
  <c r="AE468" i="17" s="1"/>
  <c r="Z467" i="17"/>
  <c r="AA467" i="17" s="1"/>
  <c r="AC467" i="17" s="1"/>
  <c r="P467" i="17"/>
  <c r="AE466" i="17"/>
  <c r="Z466" i="17"/>
  <c r="AA466" i="17" s="1"/>
  <c r="AC466" i="17" s="1"/>
  <c r="R466" i="17"/>
  <c r="P466" i="17"/>
  <c r="J466" i="17"/>
  <c r="AE465" i="17"/>
  <c r="Z465" i="17"/>
  <c r="AA465" i="17" s="1"/>
  <c r="AC465" i="17" s="1"/>
  <c r="P465" i="17"/>
  <c r="Z464" i="17"/>
  <c r="R464" i="17"/>
  <c r="Q464" i="17"/>
  <c r="P464" i="17"/>
  <c r="Z463" i="17"/>
  <c r="R463" i="17"/>
  <c r="Q463" i="17"/>
  <c r="P463" i="17"/>
  <c r="Z462" i="17"/>
  <c r="AA462" i="17" s="1"/>
  <c r="AC462" i="17" s="1"/>
  <c r="R462" i="17"/>
  <c r="P462" i="17"/>
  <c r="Z461" i="17"/>
  <c r="Q461" i="17"/>
  <c r="P461" i="17"/>
  <c r="AE460" i="17"/>
  <c r="Z460" i="17"/>
  <c r="Q460" i="17"/>
  <c r="P460" i="17"/>
  <c r="AE459" i="17"/>
  <c r="Z459" i="17"/>
  <c r="Q459" i="17"/>
  <c r="P459" i="17"/>
  <c r="Z458" i="17"/>
  <c r="Q458" i="17"/>
  <c r="P458" i="17"/>
  <c r="Z457" i="17"/>
  <c r="Q457" i="17"/>
  <c r="P457" i="17"/>
  <c r="AE456" i="17"/>
  <c r="Z456" i="17"/>
  <c r="Q456" i="17"/>
  <c r="P456" i="17"/>
  <c r="J456" i="17"/>
  <c r="Z455" i="17"/>
  <c r="Q455" i="17"/>
  <c r="P455" i="17"/>
  <c r="Z454" i="17"/>
  <c r="Q454" i="17"/>
  <c r="P454" i="17"/>
  <c r="AE453" i="17"/>
  <c r="Z453" i="17"/>
  <c r="Q453" i="17"/>
  <c r="P453" i="17"/>
  <c r="J453" i="17"/>
  <c r="AA452" i="17"/>
  <c r="AC452" i="17" s="1"/>
  <c r="P452" i="17"/>
  <c r="AA451" i="17"/>
  <c r="AC451" i="17" s="1"/>
  <c r="P451" i="17"/>
  <c r="AA450" i="17"/>
  <c r="AC450" i="17" s="1"/>
  <c r="P450" i="17"/>
  <c r="AA449" i="17"/>
  <c r="AC449" i="17" s="1"/>
  <c r="P449" i="17"/>
  <c r="AA448" i="17"/>
  <c r="AC448" i="17" s="1"/>
  <c r="P448" i="17"/>
  <c r="AA447" i="17"/>
  <c r="AC447" i="17" s="1"/>
  <c r="P447" i="17"/>
  <c r="AA446" i="17"/>
  <c r="AC446" i="17" s="1"/>
  <c r="P446" i="17"/>
  <c r="AA445" i="17"/>
  <c r="AC445" i="17" s="1"/>
  <c r="P445" i="17"/>
  <c r="AA444" i="17"/>
  <c r="AC444" i="17" s="1"/>
  <c r="P444" i="17"/>
  <c r="AA443" i="17"/>
  <c r="AC443" i="17" s="1"/>
  <c r="P443" i="17"/>
  <c r="AA442" i="17"/>
  <c r="AC442" i="17" s="1"/>
  <c r="P442" i="17"/>
  <c r="AA441" i="17"/>
  <c r="AC441" i="17" s="1"/>
  <c r="P441" i="17"/>
  <c r="AA440" i="17"/>
  <c r="AC440" i="17" s="1"/>
  <c r="P440" i="17"/>
  <c r="AA439" i="17"/>
  <c r="AC439" i="17" s="1"/>
  <c r="P439" i="17"/>
  <c r="AA438" i="17"/>
  <c r="AC438" i="17" s="1"/>
  <c r="P438" i="17"/>
  <c r="AA437" i="17"/>
  <c r="AC437" i="17" s="1"/>
  <c r="P437" i="17"/>
  <c r="AA436" i="17"/>
  <c r="AC436" i="17" s="1"/>
  <c r="P436" i="17"/>
  <c r="AA435" i="17"/>
  <c r="AC435" i="17" s="1"/>
  <c r="P435" i="17"/>
  <c r="AA434" i="17"/>
  <c r="AC434" i="17" s="1"/>
  <c r="P434" i="17"/>
  <c r="AA433" i="17"/>
  <c r="AC433" i="17" s="1"/>
  <c r="P433" i="17"/>
  <c r="AA432" i="17"/>
  <c r="AC432" i="17" s="1"/>
  <c r="P432" i="17"/>
  <c r="AA431" i="17"/>
  <c r="AC431" i="17" s="1"/>
  <c r="P431" i="17"/>
  <c r="AA430" i="17"/>
  <c r="AC430" i="17" s="1"/>
  <c r="P430" i="17"/>
  <c r="AA429" i="17"/>
  <c r="AC429" i="17" s="1"/>
  <c r="P429" i="17"/>
  <c r="AA428" i="17"/>
  <c r="AC428" i="17" s="1"/>
  <c r="P428" i="17"/>
  <c r="AA427" i="17"/>
  <c r="AC427" i="17" s="1"/>
  <c r="P427" i="17"/>
  <c r="AA426" i="17"/>
  <c r="AC426" i="17" s="1"/>
  <c r="P426" i="17"/>
  <c r="AA425" i="17"/>
  <c r="AC425" i="17" s="1"/>
  <c r="P425" i="17"/>
  <c r="AA424" i="17"/>
  <c r="AC424" i="17" s="1"/>
  <c r="P424" i="17"/>
  <c r="AA423" i="17"/>
  <c r="AC423" i="17" s="1"/>
  <c r="P423" i="17"/>
  <c r="AA422" i="17"/>
  <c r="AC422" i="17" s="1"/>
  <c r="P422" i="17"/>
  <c r="AA421" i="17"/>
  <c r="AC421" i="17" s="1"/>
  <c r="P421" i="17"/>
  <c r="AA420" i="17"/>
  <c r="AC420" i="17" s="1"/>
  <c r="P420" i="17"/>
  <c r="AA419" i="17"/>
  <c r="AC419" i="17" s="1"/>
  <c r="P419" i="17"/>
  <c r="AA418" i="17"/>
  <c r="AC418" i="17" s="1"/>
  <c r="P418" i="17"/>
  <c r="AA417" i="17"/>
  <c r="AC417" i="17" s="1"/>
  <c r="P417" i="17"/>
  <c r="AA416" i="17"/>
  <c r="AC416" i="17" s="1"/>
  <c r="P416" i="17"/>
  <c r="AA415" i="17"/>
  <c r="AC415" i="17" s="1"/>
  <c r="P415" i="17"/>
  <c r="AA414" i="17"/>
  <c r="AC414" i="17" s="1"/>
  <c r="P414" i="17"/>
  <c r="AA413" i="17"/>
  <c r="AC413" i="17" s="1"/>
  <c r="P413" i="17"/>
  <c r="AA412" i="17"/>
  <c r="AC412" i="17" s="1"/>
  <c r="P412" i="17"/>
  <c r="AA411" i="17"/>
  <c r="AC411" i="17" s="1"/>
  <c r="P411" i="17"/>
  <c r="AA410" i="17"/>
  <c r="AC410" i="17" s="1"/>
  <c r="P410" i="17"/>
  <c r="AA409" i="17"/>
  <c r="AC409" i="17" s="1"/>
  <c r="P409" i="17"/>
  <c r="AA408" i="17"/>
  <c r="AC408" i="17" s="1"/>
  <c r="P408" i="17"/>
  <c r="AA407" i="17"/>
  <c r="AC407" i="17" s="1"/>
  <c r="P407" i="17"/>
  <c r="Z406" i="17"/>
  <c r="R406" i="17"/>
  <c r="Q406" i="17"/>
  <c r="P406" i="17"/>
  <c r="AA405" i="17"/>
  <c r="AC405" i="17" s="1"/>
  <c r="P405" i="17"/>
  <c r="AA404" i="17"/>
  <c r="AC404" i="17" s="1"/>
  <c r="P404" i="17"/>
  <c r="AA403" i="17"/>
  <c r="AC403" i="17" s="1"/>
  <c r="P403" i="17"/>
  <c r="AA402" i="17"/>
  <c r="AC402" i="17" s="1"/>
  <c r="P402" i="17"/>
  <c r="AA401" i="17"/>
  <c r="AC401" i="17" s="1"/>
  <c r="P401" i="17"/>
  <c r="AA400" i="17"/>
  <c r="AC400" i="17" s="1"/>
  <c r="P400" i="17"/>
  <c r="AA399" i="17"/>
  <c r="AC399" i="17" s="1"/>
  <c r="P399" i="17"/>
  <c r="AA398" i="17"/>
  <c r="AC398" i="17" s="1"/>
  <c r="P398" i="17"/>
  <c r="AA397" i="17"/>
  <c r="AC397" i="17" s="1"/>
  <c r="P397" i="17"/>
  <c r="AA396" i="17"/>
  <c r="AC396" i="17" s="1"/>
  <c r="P396" i="17"/>
  <c r="AA395" i="17"/>
  <c r="AC395" i="17" s="1"/>
  <c r="P395" i="17"/>
  <c r="AA394" i="17"/>
  <c r="AC394" i="17" s="1"/>
  <c r="P394" i="17"/>
  <c r="AA393" i="17"/>
  <c r="AC393" i="17" s="1"/>
  <c r="P393" i="17"/>
  <c r="AA392" i="17"/>
  <c r="AC392" i="17" s="1"/>
  <c r="P392" i="17"/>
  <c r="AA391" i="17"/>
  <c r="AC391" i="17" s="1"/>
  <c r="P391" i="17"/>
  <c r="AA390" i="17"/>
  <c r="AC390" i="17" s="1"/>
  <c r="P390" i="17"/>
  <c r="AA389" i="17"/>
  <c r="AC389" i="17" s="1"/>
  <c r="P389" i="17"/>
  <c r="AA388" i="17"/>
  <c r="AC388" i="17" s="1"/>
  <c r="P388" i="17"/>
  <c r="AA387" i="17"/>
  <c r="AC387" i="17" s="1"/>
  <c r="P387" i="17"/>
  <c r="AA386" i="17"/>
  <c r="AC386" i="17" s="1"/>
  <c r="P386" i="17"/>
  <c r="AA385" i="17"/>
  <c r="AC385" i="17" s="1"/>
  <c r="P385" i="17"/>
  <c r="AA384" i="17"/>
  <c r="AC384" i="17" s="1"/>
  <c r="P384" i="17"/>
  <c r="AA383" i="17"/>
  <c r="AC383" i="17" s="1"/>
  <c r="P383" i="17"/>
  <c r="AA382" i="17"/>
  <c r="AC382" i="17" s="1"/>
  <c r="P382" i="17"/>
  <c r="AA381" i="17"/>
  <c r="AC381" i="17" s="1"/>
  <c r="P381" i="17"/>
  <c r="AA380" i="17"/>
  <c r="AC380" i="17" s="1"/>
  <c r="P380" i="17"/>
  <c r="AA379" i="17"/>
  <c r="AC379" i="17" s="1"/>
  <c r="P379" i="17"/>
  <c r="AA378" i="17"/>
  <c r="AC378" i="17" s="1"/>
  <c r="P378" i="17"/>
  <c r="AA377" i="17"/>
  <c r="AC377" i="17" s="1"/>
  <c r="P377" i="17"/>
  <c r="AA376" i="17"/>
  <c r="AC376" i="17" s="1"/>
  <c r="P376" i="17"/>
  <c r="AA375" i="17"/>
  <c r="AC375" i="17" s="1"/>
  <c r="P375" i="17"/>
  <c r="AA374" i="17"/>
  <c r="AC374" i="17" s="1"/>
  <c r="P374" i="17"/>
  <c r="AA373" i="17"/>
  <c r="AC373" i="17" s="1"/>
  <c r="P373" i="17"/>
  <c r="AA372" i="17"/>
  <c r="AC372" i="17" s="1"/>
  <c r="P372" i="17"/>
  <c r="AA371" i="17"/>
  <c r="AC371" i="17" s="1"/>
  <c r="P371" i="17"/>
  <c r="AA370" i="17"/>
  <c r="AC370" i="17" s="1"/>
  <c r="P370" i="17"/>
  <c r="AA369" i="17"/>
  <c r="AC369" i="17" s="1"/>
  <c r="P369" i="17"/>
  <c r="AA368" i="17"/>
  <c r="AC368" i="17" s="1"/>
  <c r="P368" i="17"/>
  <c r="AA367" i="17"/>
  <c r="AC367" i="17" s="1"/>
  <c r="P367" i="17"/>
  <c r="AA366" i="17"/>
  <c r="AC366" i="17" s="1"/>
  <c r="P366" i="17"/>
  <c r="AA365" i="17"/>
  <c r="AC365" i="17" s="1"/>
  <c r="P365" i="17"/>
  <c r="AA364" i="17"/>
  <c r="AC364" i="17" s="1"/>
  <c r="P364" i="17"/>
  <c r="AA363" i="17"/>
  <c r="AC363" i="17" s="1"/>
  <c r="P363" i="17"/>
  <c r="AA362" i="17"/>
  <c r="AC362" i="17" s="1"/>
  <c r="P362" i="17"/>
  <c r="AA361" i="17"/>
  <c r="AC361" i="17" s="1"/>
  <c r="P361" i="17"/>
  <c r="AA360" i="17"/>
  <c r="AC360" i="17" s="1"/>
  <c r="P360" i="17"/>
  <c r="AA359" i="17"/>
  <c r="AC359" i="17" s="1"/>
  <c r="P359" i="17"/>
  <c r="AA358" i="17"/>
  <c r="AC358" i="17" s="1"/>
  <c r="P358" i="17"/>
  <c r="AA357" i="17"/>
  <c r="AC357" i="17" s="1"/>
  <c r="P357" i="17"/>
  <c r="AA356" i="17"/>
  <c r="AC356" i="17" s="1"/>
  <c r="P356" i="17"/>
  <c r="AA355" i="17"/>
  <c r="AC355" i="17" s="1"/>
  <c r="P355" i="17"/>
  <c r="AA354" i="17"/>
  <c r="AC354" i="17" s="1"/>
  <c r="P354" i="17"/>
  <c r="AA353" i="17"/>
  <c r="AC353" i="17" s="1"/>
  <c r="P353" i="17"/>
  <c r="AA352" i="17"/>
  <c r="AC352" i="17" s="1"/>
  <c r="P352" i="17"/>
  <c r="AA351" i="17"/>
  <c r="AC351" i="17" s="1"/>
  <c r="P351" i="17"/>
  <c r="AA350" i="17"/>
  <c r="AC350" i="17" s="1"/>
  <c r="P350" i="17"/>
  <c r="AA349" i="17"/>
  <c r="AC349" i="17" s="1"/>
  <c r="P349" i="17"/>
  <c r="AA348" i="17"/>
  <c r="AC348" i="17" s="1"/>
  <c r="P348" i="17"/>
  <c r="AA347" i="17"/>
  <c r="AC347" i="17" s="1"/>
  <c r="P347" i="17"/>
  <c r="AA346" i="17"/>
  <c r="AC346" i="17" s="1"/>
  <c r="P346" i="17"/>
  <c r="AA345" i="17"/>
  <c r="AC345" i="17" s="1"/>
  <c r="P345" i="17"/>
  <c r="AA344" i="17"/>
  <c r="AC344" i="17" s="1"/>
  <c r="P344" i="17"/>
  <c r="AA343" i="17"/>
  <c r="AC343" i="17" s="1"/>
  <c r="P343" i="17"/>
  <c r="AA342" i="17"/>
  <c r="AC342" i="17" s="1"/>
  <c r="P342" i="17"/>
  <c r="AA341" i="17"/>
  <c r="AC341" i="17" s="1"/>
  <c r="P341" i="17"/>
  <c r="AA340" i="17"/>
  <c r="AC340" i="17" s="1"/>
  <c r="P340" i="17"/>
  <c r="AA339" i="17"/>
  <c r="AC339" i="17" s="1"/>
  <c r="P339" i="17"/>
  <c r="AA338" i="17"/>
  <c r="AC338" i="17" s="1"/>
  <c r="P338" i="17"/>
  <c r="AA337" i="17"/>
  <c r="AC337" i="17" s="1"/>
  <c r="P337" i="17"/>
  <c r="AA336" i="17"/>
  <c r="AC336" i="17" s="1"/>
  <c r="P336" i="17"/>
  <c r="AA335" i="17"/>
  <c r="AC335" i="17" s="1"/>
  <c r="P335" i="17"/>
  <c r="AA334" i="17"/>
  <c r="AC334" i="17" s="1"/>
  <c r="P334" i="17"/>
  <c r="AA333" i="17"/>
  <c r="AC333" i="17" s="1"/>
  <c r="P333" i="17"/>
  <c r="AA332" i="17"/>
  <c r="AC332" i="17" s="1"/>
  <c r="P332" i="17"/>
  <c r="AA331" i="17"/>
  <c r="AC331" i="17" s="1"/>
  <c r="P331" i="17"/>
  <c r="AA330" i="17"/>
  <c r="AC330" i="17" s="1"/>
  <c r="P330" i="17"/>
  <c r="AA329" i="17"/>
  <c r="AC329" i="17" s="1"/>
  <c r="P329" i="17"/>
  <c r="AA328" i="17"/>
  <c r="AC328" i="17" s="1"/>
  <c r="P328" i="17"/>
  <c r="AA327" i="17"/>
  <c r="AC327" i="17" s="1"/>
  <c r="P327" i="17"/>
  <c r="AA326" i="17"/>
  <c r="AC326" i="17" s="1"/>
  <c r="P326" i="17"/>
  <c r="AA325" i="17"/>
  <c r="AC325" i="17" s="1"/>
  <c r="P325" i="17"/>
  <c r="AA324" i="17"/>
  <c r="AC324" i="17" s="1"/>
  <c r="P324" i="17"/>
  <c r="AA323" i="17"/>
  <c r="AC323" i="17" s="1"/>
  <c r="P323" i="17"/>
  <c r="AA322" i="17"/>
  <c r="AC322" i="17" s="1"/>
  <c r="P322" i="17"/>
  <c r="AA321" i="17"/>
  <c r="AC321" i="17" s="1"/>
  <c r="P321" i="17"/>
  <c r="AA320" i="17"/>
  <c r="AC320" i="17" s="1"/>
  <c r="P320" i="17"/>
  <c r="AA319" i="17"/>
  <c r="AC319" i="17" s="1"/>
  <c r="P319" i="17"/>
  <c r="AA318" i="17"/>
  <c r="AC318" i="17" s="1"/>
  <c r="P318" i="17"/>
  <c r="AA317" i="17"/>
  <c r="AC317" i="17" s="1"/>
  <c r="P317" i="17"/>
  <c r="AA316" i="17"/>
  <c r="AC316" i="17" s="1"/>
  <c r="P316" i="17"/>
  <c r="AA315" i="17"/>
  <c r="AC315" i="17" s="1"/>
  <c r="P315" i="17"/>
  <c r="AA314" i="17"/>
  <c r="AC314" i="17" s="1"/>
  <c r="P314" i="17"/>
  <c r="AA313" i="17"/>
  <c r="AC313" i="17" s="1"/>
  <c r="P313" i="17"/>
  <c r="AA312" i="17"/>
  <c r="AC312" i="17" s="1"/>
  <c r="P312" i="17"/>
  <c r="AA311" i="17"/>
  <c r="AC311" i="17" s="1"/>
  <c r="P311" i="17"/>
  <c r="AA310" i="17"/>
  <c r="AC310" i="17" s="1"/>
  <c r="P310" i="17"/>
  <c r="AA309" i="17"/>
  <c r="AC309" i="17" s="1"/>
  <c r="P309" i="17"/>
  <c r="AA308" i="17"/>
  <c r="AC308" i="17" s="1"/>
  <c r="P308" i="17"/>
  <c r="AA307" i="17"/>
  <c r="AC307" i="17" s="1"/>
  <c r="P307" i="17"/>
  <c r="AA306" i="17"/>
  <c r="AC306" i="17" s="1"/>
  <c r="P306" i="17"/>
  <c r="AA305" i="17"/>
  <c r="AC305" i="17" s="1"/>
  <c r="P305" i="17"/>
  <c r="AA304" i="17"/>
  <c r="AC304" i="17" s="1"/>
  <c r="P304" i="17"/>
  <c r="AA303" i="17"/>
  <c r="AC303" i="17" s="1"/>
  <c r="P303" i="17"/>
  <c r="AA302" i="17"/>
  <c r="AC302" i="17" s="1"/>
  <c r="P302" i="17"/>
  <c r="AA301" i="17"/>
  <c r="AC301" i="17" s="1"/>
  <c r="P301" i="17"/>
  <c r="AA300" i="17"/>
  <c r="AC300" i="17" s="1"/>
  <c r="P300" i="17"/>
  <c r="AA299" i="17"/>
  <c r="AC299" i="17" s="1"/>
  <c r="P299" i="17"/>
  <c r="AA298" i="17"/>
  <c r="AC298" i="17" s="1"/>
  <c r="P298" i="17"/>
  <c r="AA297" i="17"/>
  <c r="AC297" i="17" s="1"/>
  <c r="P297" i="17"/>
  <c r="AA296" i="17"/>
  <c r="AC296" i="17" s="1"/>
  <c r="P296" i="17"/>
  <c r="AA295" i="17"/>
  <c r="AC295" i="17" s="1"/>
  <c r="P295" i="17"/>
  <c r="AA294" i="17"/>
  <c r="AC294" i="17" s="1"/>
  <c r="P294" i="17"/>
  <c r="AA293" i="17"/>
  <c r="AC293" i="17" s="1"/>
  <c r="P293" i="17"/>
  <c r="AA292" i="17"/>
  <c r="AC292" i="17" s="1"/>
  <c r="P292" i="17"/>
  <c r="AA291" i="17"/>
  <c r="AC291" i="17" s="1"/>
  <c r="P291" i="17"/>
  <c r="AA290" i="17"/>
  <c r="AC290" i="17" s="1"/>
  <c r="P290" i="17"/>
  <c r="AA289" i="17"/>
  <c r="AC289" i="17" s="1"/>
  <c r="P289" i="17"/>
  <c r="AA288" i="17"/>
  <c r="AC288" i="17" s="1"/>
  <c r="P288" i="17"/>
  <c r="AA287" i="17"/>
  <c r="AC287" i="17" s="1"/>
  <c r="P287" i="17"/>
  <c r="AA286" i="17"/>
  <c r="AC286" i="17" s="1"/>
  <c r="P286" i="17"/>
  <c r="Z285" i="17"/>
  <c r="AA285" i="17" s="1"/>
  <c r="AC285" i="17" s="1"/>
  <c r="P285" i="17"/>
  <c r="AA284" i="17"/>
  <c r="AC284" i="17" s="1"/>
  <c r="P284" i="17"/>
  <c r="AA283" i="17"/>
  <c r="AC283" i="17" s="1"/>
  <c r="P283" i="17"/>
  <c r="AA282" i="17"/>
  <c r="AC282" i="17" s="1"/>
  <c r="P282" i="17"/>
  <c r="AA281" i="17"/>
  <c r="AC281" i="17" s="1"/>
  <c r="P281" i="17"/>
  <c r="AA280" i="17"/>
  <c r="AC280" i="17" s="1"/>
  <c r="P280" i="17"/>
  <c r="AA279" i="17"/>
  <c r="AC279" i="17" s="1"/>
  <c r="P279" i="17"/>
  <c r="AA278" i="17"/>
  <c r="AC278" i="17" s="1"/>
  <c r="P278" i="17"/>
  <c r="AA277" i="17"/>
  <c r="AC277" i="17" s="1"/>
  <c r="P277" i="17"/>
  <c r="AA276" i="17"/>
  <c r="AC276" i="17" s="1"/>
  <c r="P276" i="17"/>
  <c r="AA275" i="17"/>
  <c r="AC275" i="17" s="1"/>
  <c r="P275" i="17"/>
  <c r="AA274" i="17"/>
  <c r="AC274" i="17" s="1"/>
  <c r="P274" i="17"/>
  <c r="AA273" i="17"/>
  <c r="AC273" i="17" s="1"/>
  <c r="P273" i="17"/>
  <c r="AA272" i="17"/>
  <c r="AC272" i="17" s="1"/>
  <c r="P272" i="17"/>
  <c r="AA271" i="17"/>
  <c r="AC271" i="17" s="1"/>
  <c r="P271" i="17"/>
  <c r="AA270" i="17"/>
  <c r="AC270" i="17" s="1"/>
  <c r="P270" i="17"/>
  <c r="AA269" i="17"/>
  <c r="AC269" i="17" s="1"/>
  <c r="P269" i="17"/>
  <c r="AA268" i="17"/>
  <c r="AC268" i="17" s="1"/>
  <c r="P268" i="17"/>
  <c r="AA267" i="17"/>
  <c r="AC267" i="17" s="1"/>
  <c r="P267" i="17"/>
  <c r="AA266" i="17"/>
  <c r="AC266" i="17" s="1"/>
  <c r="P266" i="17"/>
  <c r="AA265" i="17"/>
  <c r="AC265" i="17" s="1"/>
  <c r="P265" i="17"/>
  <c r="AA264" i="17"/>
  <c r="AC264" i="17" s="1"/>
  <c r="P264" i="17"/>
  <c r="AA263" i="17"/>
  <c r="AC263" i="17" s="1"/>
  <c r="P263" i="17"/>
  <c r="AA262" i="17"/>
  <c r="AC262" i="17" s="1"/>
  <c r="P262" i="17"/>
  <c r="AA261" i="17"/>
  <c r="AC261" i="17" s="1"/>
  <c r="P261" i="17"/>
  <c r="AA260" i="17"/>
  <c r="AC260" i="17" s="1"/>
  <c r="P260" i="17"/>
  <c r="AA259" i="17"/>
  <c r="AC259" i="17" s="1"/>
  <c r="P259" i="17"/>
  <c r="AA258" i="17"/>
  <c r="AC258" i="17" s="1"/>
  <c r="P258" i="17"/>
  <c r="AA257" i="17"/>
  <c r="AC257" i="17" s="1"/>
  <c r="P257" i="17"/>
  <c r="AA256" i="17"/>
  <c r="AC256" i="17" s="1"/>
  <c r="P256" i="17"/>
  <c r="AA255" i="17"/>
  <c r="AC255" i="17" s="1"/>
  <c r="P255" i="17"/>
  <c r="AA254" i="17"/>
  <c r="AC254" i="17" s="1"/>
  <c r="P254" i="17"/>
  <c r="AA253" i="17"/>
  <c r="AC253" i="17" s="1"/>
  <c r="P253" i="17"/>
  <c r="AA252" i="17"/>
  <c r="AC252" i="17" s="1"/>
  <c r="P252" i="17"/>
  <c r="AA251" i="17"/>
  <c r="AC251" i="17" s="1"/>
  <c r="P251" i="17"/>
  <c r="AA250" i="17"/>
  <c r="AC250" i="17" s="1"/>
  <c r="P250" i="17"/>
  <c r="AA249" i="17"/>
  <c r="AC249" i="17" s="1"/>
  <c r="P249" i="17"/>
  <c r="AA248" i="17"/>
  <c r="AC248" i="17" s="1"/>
  <c r="P248" i="17"/>
  <c r="AA247" i="17"/>
  <c r="AC247" i="17" s="1"/>
  <c r="P247" i="17"/>
  <c r="AA246" i="17"/>
  <c r="AC246" i="17" s="1"/>
  <c r="P246" i="17"/>
  <c r="AA245" i="17"/>
  <c r="AC245" i="17" s="1"/>
  <c r="P245" i="17"/>
  <c r="AA244" i="17"/>
  <c r="AC244" i="17" s="1"/>
  <c r="P244" i="17"/>
  <c r="AA243" i="17"/>
  <c r="AC243" i="17" s="1"/>
  <c r="P243" i="17"/>
  <c r="AA242" i="17"/>
  <c r="AC242" i="17" s="1"/>
  <c r="P242" i="17"/>
  <c r="AA241" i="17"/>
  <c r="AC241" i="17" s="1"/>
  <c r="P241" i="17"/>
  <c r="AA240" i="17"/>
  <c r="AC240" i="17" s="1"/>
  <c r="P240" i="17"/>
  <c r="AA239" i="17"/>
  <c r="AC239" i="17" s="1"/>
  <c r="P239" i="17"/>
  <c r="AA238" i="17"/>
  <c r="AC238" i="17" s="1"/>
  <c r="P238" i="17"/>
  <c r="AA237" i="17"/>
  <c r="AC237" i="17" s="1"/>
  <c r="P237" i="17"/>
  <c r="AA236" i="17"/>
  <c r="AC236" i="17" s="1"/>
  <c r="P236" i="17"/>
  <c r="Z235" i="17"/>
  <c r="AA235" i="17" s="1"/>
  <c r="AC235" i="17" s="1"/>
  <c r="P235" i="17"/>
  <c r="AA234" i="17"/>
  <c r="AC234" i="17" s="1"/>
  <c r="P234" i="17"/>
  <c r="AA233" i="17"/>
  <c r="AC233" i="17" s="1"/>
  <c r="P233" i="17"/>
  <c r="AA232" i="17"/>
  <c r="AC232" i="17" s="1"/>
  <c r="P232" i="17"/>
  <c r="AA231" i="17"/>
  <c r="AC231" i="17" s="1"/>
  <c r="P231" i="17"/>
  <c r="AA230" i="17"/>
  <c r="AC230" i="17" s="1"/>
  <c r="P230" i="17"/>
  <c r="AA229" i="17"/>
  <c r="AC229" i="17" s="1"/>
  <c r="P229" i="17"/>
  <c r="AA228" i="17"/>
  <c r="AC228" i="17" s="1"/>
  <c r="P228" i="17"/>
  <c r="AA227" i="17"/>
  <c r="AC227" i="17" s="1"/>
  <c r="P227" i="17"/>
  <c r="AA226" i="17"/>
  <c r="AC226" i="17" s="1"/>
  <c r="P226" i="17"/>
  <c r="AA225" i="17"/>
  <c r="AC225" i="17" s="1"/>
  <c r="P225" i="17"/>
  <c r="AA224" i="17"/>
  <c r="AC224" i="17" s="1"/>
  <c r="P224" i="17"/>
  <c r="AA223" i="17"/>
  <c r="AC223" i="17" s="1"/>
  <c r="P223" i="17"/>
  <c r="AA222" i="17"/>
  <c r="AC222" i="17" s="1"/>
  <c r="P222" i="17"/>
  <c r="AA221" i="17"/>
  <c r="AC221" i="17" s="1"/>
  <c r="P221" i="17"/>
  <c r="AA220" i="17"/>
  <c r="AC220" i="17" s="1"/>
  <c r="P220" i="17"/>
  <c r="AA219" i="17"/>
  <c r="AC219" i="17" s="1"/>
  <c r="P219" i="17"/>
  <c r="AA218" i="17"/>
  <c r="AC218" i="17" s="1"/>
  <c r="P218" i="17"/>
  <c r="AA217" i="17"/>
  <c r="AC217" i="17" s="1"/>
  <c r="P217" i="17"/>
  <c r="AA216" i="17"/>
  <c r="AC216" i="17" s="1"/>
  <c r="P216" i="17"/>
  <c r="AA215" i="17"/>
  <c r="AC215" i="17" s="1"/>
  <c r="P215" i="17"/>
  <c r="AA214" i="17"/>
  <c r="AC214" i="17" s="1"/>
  <c r="P214" i="17"/>
  <c r="AA213" i="17"/>
  <c r="AC213" i="17" s="1"/>
  <c r="P213" i="17"/>
  <c r="AA212" i="17"/>
  <c r="AC212" i="17" s="1"/>
  <c r="P212" i="17"/>
  <c r="AA211" i="17"/>
  <c r="AC211" i="17" s="1"/>
  <c r="P211" i="17"/>
  <c r="AA210" i="17"/>
  <c r="AC210" i="17" s="1"/>
  <c r="P210" i="17"/>
  <c r="AA209" i="17"/>
  <c r="AC209" i="17" s="1"/>
  <c r="P209" i="17"/>
  <c r="AA208" i="17"/>
  <c r="AC208" i="17" s="1"/>
  <c r="P208" i="17"/>
  <c r="AA207" i="17"/>
  <c r="AC207" i="17" s="1"/>
  <c r="P207" i="17"/>
  <c r="AA206" i="17"/>
  <c r="AC206" i="17" s="1"/>
  <c r="P206" i="17"/>
  <c r="AA205" i="17"/>
  <c r="AC205" i="17" s="1"/>
  <c r="P205" i="17"/>
  <c r="AA204" i="17"/>
  <c r="AC204" i="17" s="1"/>
  <c r="P204" i="17"/>
  <c r="AA203" i="17"/>
  <c r="AC203" i="17" s="1"/>
  <c r="P203" i="17"/>
  <c r="AA202" i="17"/>
  <c r="AC202" i="17" s="1"/>
  <c r="P202" i="17"/>
  <c r="AA201" i="17"/>
  <c r="AC201" i="17" s="1"/>
  <c r="P201" i="17"/>
  <c r="AA200" i="17"/>
  <c r="AC200" i="17" s="1"/>
  <c r="P200" i="17"/>
  <c r="AA199" i="17"/>
  <c r="AC199" i="17" s="1"/>
  <c r="P199" i="17"/>
  <c r="AA198" i="17"/>
  <c r="AC198" i="17" s="1"/>
  <c r="P198" i="17"/>
  <c r="AA197" i="17"/>
  <c r="AC197" i="17" s="1"/>
  <c r="P197" i="17"/>
  <c r="AA196" i="17"/>
  <c r="AC196" i="17" s="1"/>
  <c r="P196" i="17"/>
  <c r="AA195" i="17"/>
  <c r="AC195" i="17" s="1"/>
  <c r="P195" i="17"/>
  <c r="AA194" i="17"/>
  <c r="AC194" i="17" s="1"/>
  <c r="P194" i="17"/>
  <c r="AA193" i="17"/>
  <c r="AC193" i="17" s="1"/>
  <c r="P193" i="17"/>
  <c r="AA192" i="17"/>
  <c r="AC192" i="17" s="1"/>
  <c r="P192" i="17"/>
  <c r="AA191" i="17"/>
  <c r="AC191" i="17" s="1"/>
  <c r="P191" i="17"/>
  <c r="AA190" i="17"/>
  <c r="AC190" i="17" s="1"/>
  <c r="P190" i="17"/>
  <c r="AA189" i="17"/>
  <c r="AC189" i="17" s="1"/>
  <c r="P189" i="17"/>
  <c r="AA188" i="17"/>
  <c r="AC188" i="17" s="1"/>
  <c r="P188" i="17"/>
  <c r="AA187" i="17"/>
  <c r="AC187" i="17" s="1"/>
  <c r="P187" i="17"/>
  <c r="AA186" i="17"/>
  <c r="AC186" i="17" s="1"/>
  <c r="P186" i="17"/>
  <c r="AA185" i="17"/>
  <c r="AC185" i="17" s="1"/>
  <c r="P185" i="17"/>
  <c r="AA184" i="17"/>
  <c r="AC184" i="17" s="1"/>
  <c r="P184" i="17"/>
  <c r="AA183" i="17"/>
  <c r="AC183" i="17" s="1"/>
  <c r="P183" i="17"/>
  <c r="AA182" i="17"/>
  <c r="AC182" i="17" s="1"/>
  <c r="P182" i="17"/>
  <c r="AA181" i="17"/>
  <c r="AC181" i="17" s="1"/>
  <c r="P181" i="17"/>
  <c r="AA180" i="17"/>
  <c r="AC180" i="17" s="1"/>
  <c r="P180" i="17"/>
  <c r="AA179" i="17"/>
  <c r="AC179" i="17" s="1"/>
  <c r="P179" i="17"/>
  <c r="AA178" i="17"/>
  <c r="AC178" i="17" s="1"/>
  <c r="P178" i="17"/>
  <c r="AA177" i="17"/>
  <c r="AC177" i="17" s="1"/>
  <c r="P177" i="17"/>
  <c r="AA176" i="17"/>
  <c r="AC176" i="17" s="1"/>
  <c r="P176" i="17"/>
  <c r="AA175" i="17"/>
  <c r="AC175" i="17" s="1"/>
  <c r="P175" i="17"/>
  <c r="AA174" i="17"/>
  <c r="AC174" i="17" s="1"/>
  <c r="P174" i="17"/>
  <c r="AA173" i="17"/>
  <c r="AC173" i="17" s="1"/>
  <c r="P173" i="17"/>
  <c r="AA172" i="17"/>
  <c r="AC172" i="17" s="1"/>
  <c r="P172" i="17"/>
  <c r="AA171" i="17"/>
  <c r="AC171" i="17" s="1"/>
  <c r="P171" i="17"/>
  <c r="AA170" i="17"/>
  <c r="AC170" i="17" s="1"/>
  <c r="P170" i="17"/>
  <c r="AA169" i="17"/>
  <c r="AC169" i="17" s="1"/>
  <c r="P169" i="17"/>
  <c r="AA168" i="17"/>
  <c r="AC168" i="17" s="1"/>
  <c r="P168" i="17"/>
  <c r="AA167" i="17"/>
  <c r="AC167" i="17" s="1"/>
  <c r="P167" i="17"/>
  <c r="AA166" i="17"/>
  <c r="AC166" i="17" s="1"/>
  <c r="P166" i="17"/>
  <c r="AA165" i="17"/>
  <c r="AC165" i="17" s="1"/>
  <c r="P165" i="17"/>
  <c r="AA164" i="17"/>
  <c r="AC164" i="17" s="1"/>
  <c r="P164" i="17"/>
  <c r="AA163" i="17"/>
  <c r="AC163" i="17" s="1"/>
  <c r="P163" i="17"/>
  <c r="AA162" i="17"/>
  <c r="AC162" i="17" s="1"/>
  <c r="P162" i="17"/>
  <c r="AA161" i="17"/>
  <c r="AC161" i="17" s="1"/>
  <c r="P161" i="17"/>
  <c r="AA160" i="17"/>
  <c r="AC160" i="17" s="1"/>
  <c r="P160" i="17"/>
  <c r="AA159" i="17"/>
  <c r="AC159" i="17" s="1"/>
  <c r="P159" i="17"/>
  <c r="AA158" i="17"/>
  <c r="AC158" i="17" s="1"/>
  <c r="P158" i="17"/>
  <c r="AA157" i="17"/>
  <c r="AC157" i="17" s="1"/>
  <c r="P157" i="17"/>
  <c r="AA156" i="17"/>
  <c r="AC156" i="17" s="1"/>
  <c r="V156" i="17"/>
  <c r="P156" i="17"/>
  <c r="AA155" i="17"/>
  <c r="AC155" i="17" s="1"/>
  <c r="P155" i="17"/>
  <c r="AA154" i="17"/>
  <c r="AC154" i="17" s="1"/>
  <c r="P154" i="17"/>
  <c r="AA153" i="17"/>
  <c r="AC153" i="17" s="1"/>
  <c r="P153" i="17"/>
  <c r="AA152" i="17"/>
  <c r="AC152" i="17" s="1"/>
  <c r="P152" i="17"/>
  <c r="AA151" i="17"/>
  <c r="AC151" i="17" s="1"/>
  <c r="P151" i="17"/>
  <c r="AA150" i="17"/>
  <c r="AC150" i="17" s="1"/>
  <c r="P150" i="17"/>
  <c r="AA149" i="17"/>
  <c r="AC149" i="17" s="1"/>
  <c r="P149" i="17"/>
  <c r="AA148" i="17"/>
  <c r="AC148" i="17" s="1"/>
  <c r="P148" i="17"/>
  <c r="AA147" i="17"/>
  <c r="AC147" i="17" s="1"/>
  <c r="P147" i="17"/>
  <c r="AA146" i="17"/>
  <c r="AC146" i="17" s="1"/>
  <c r="P146" i="17"/>
  <c r="AA145" i="17"/>
  <c r="AC145" i="17" s="1"/>
  <c r="P145" i="17"/>
  <c r="AA144" i="17"/>
  <c r="AC144" i="17" s="1"/>
  <c r="P144" i="17"/>
  <c r="AA143" i="17"/>
  <c r="AC143" i="17" s="1"/>
  <c r="P143" i="17"/>
  <c r="AA142" i="17"/>
  <c r="AC142" i="17" s="1"/>
  <c r="P142" i="17"/>
  <c r="AA141" i="17"/>
  <c r="AC141" i="17" s="1"/>
  <c r="P141" i="17"/>
  <c r="AA140" i="17"/>
  <c r="AC140" i="17" s="1"/>
  <c r="P140" i="17"/>
  <c r="AA139" i="17"/>
  <c r="AC139" i="17" s="1"/>
  <c r="P139" i="17"/>
  <c r="AA138" i="17"/>
  <c r="AC138" i="17" s="1"/>
  <c r="P138" i="17"/>
  <c r="AA137" i="17"/>
  <c r="AC137" i="17" s="1"/>
  <c r="P137" i="17"/>
  <c r="AA136" i="17"/>
  <c r="AC136" i="17" s="1"/>
  <c r="P136" i="17"/>
  <c r="Z135" i="17"/>
  <c r="AA135" i="17" s="1"/>
  <c r="AC135" i="17" s="1"/>
  <c r="P135" i="17"/>
  <c r="AA134" i="17"/>
  <c r="AC134" i="17" s="1"/>
  <c r="P134" i="17"/>
  <c r="AA133" i="17"/>
  <c r="AC133" i="17" s="1"/>
  <c r="P133" i="17"/>
  <c r="AA132" i="17"/>
  <c r="AC132" i="17" s="1"/>
  <c r="P132" i="17"/>
  <c r="AA131" i="17"/>
  <c r="AC131" i="17" s="1"/>
  <c r="P131" i="17"/>
  <c r="AA130" i="17"/>
  <c r="AC130" i="17" s="1"/>
  <c r="P130" i="17"/>
  <c r="AA129" i="17"/>
  <c r="AC129" i="17" s="1"/>
  <c r="P129" i="17"/>
  <c r="AA128" i="17"/>
  <c r="AC128" i="17" s="1"/>
  <c r="P128" i="17"/>
  <c r="AA127" i="17"/>
  <c r="AC127" i="17" s="1"/>
  <c r="P127" i="17"/>
  <c r="AA126" i="17"/>
  <c r="AC126" i="17" s="1"/>
  <c r="P126" i="17"/>
  <c r="AA125" i="17"/>
  <c r="AC125" i="17" s="1"/>
  <c r="P125" i="17"/>
  <c r="AA124" i="17"/>
  <c r="AC124" i="17" s="1"/>
  <c r="P124" i="17"/>
  <c r="AA123" i="17"/>
  <c r="AC123" i="17" s="1"/>
  <c r="P123" i="17"/>
  <c r="AA122" i="17"/>
  <c r="AC122" i="17" s="1"/>
  <c r="P122" i="17"/>
  <c r="AA121" i="17"/>
  <c r="AC121" i="17" s="1"/>
  <c r="P121" i="17"/>
  <c r="AA120" i="17"/>
  <c r="AC120" i="17" s="1"/>
  <c r="P120" i="17"/>
  <c r="AA119" i="17"/>
  <c r="AC119" i="17" s="1"/>
  <c r="P119" i="17"/>
  <c r="AA118" i="17"/>
  <c r="AC118" i="17" s="1"/>
  <c r="P118" i="17"/>
  <c r="AA117" i="17"/>
  <c r="AC117" i="17" s="1"/>
  <c r="P117" i="17"/>
  <c r="AA116" i="17"/>
  <c r="AC116" i="17" s="1"/>
  <c r="P116" i="17"/>
  <c r="AA115" i="17"/>
  <c r="AC115" i="17" s="1"/>
  <c r="P115" i="17"/>
  <c r="AA114" i="17"/>
  <c r="AC114" i="17" s="1"/>
  <c r="P114" i="17"/>
  <c r="AA113" i="17"/>
  <c r="AC113" i="17" s="1"/>
  <c r="P113" i="17"/>
  <c r="AA112" i="17"/>
  <c r="AC112" i="17" s="1"/>
  <c r="P112" i="17"/>
  <c r="AA111" i="17"/>
  <c r="AC111" i="17" s="1"/>
  <c r="P111" i="17"/>
  <c r="AA110" i="17"/>
  <c r="AC110" i="17" s="1"/>
  <c r="P110" i="17"/>
  <c r="AA109" i="17"/>
  <c r="AC109" i="17" s="1"/>
  <c r="P109" i="17"/>
  <c r="AA108" i="17"/>
  <c r="AC108" i="17" s="1"/>
  <c r="P108" i="17"/>
  <c r="AA107" i="17"/>
  <c r="AC107" i="17" s="1"/>
  <c r="P107" i="17"/>
  <c r="AA106" i="17"/>
  <c r="AC106" i="17" s="1"/>
  <c r="P106" i="17"/>
  <c r="AA105" i="17"/>
  <c r="AC105" i="17" s="1"/>
  <c r="P105" i="17"/>
  <c r="AA104" i="17"/>
  <c r="AC104" i="17" s="1"/>
  <c r="P104" i="17"/>
  <c r="AA103" i="17"/>
  <c r="AC103" i="17" s="1"/>
  <c r="P103" i="17"/>
  <c r="Q102" i="17"/>
  <c r="AA102" i="17" s="1"/>
  <c r="AC102" i="17" s="1"/>
  <c r="P102" i="17"/>
  <c r="AA101" i="17"/>
  <c r="AC101" i="17" s="1"/>
  <c r="P101" i="17"/>
  <c r="AA100" i="17"/>
  <c r="AC100" i="17" s="1"/>
  <c r="P100" i="17"/>
  <c r="AA99" i="17"/>
  <c r="AC99" i="17" s="1"/>
  <c r="P99" i="17"/>
  <c r="AA98" i="17"/>
  <c r="AC98" i="17" s="1"/>
  <c r="P98" i="17"/>
  <c r="AA97" i="17"/>
  <c r="AC97" i="17" s="1"/>
  <c r="P97" i="17"/>
  <c r="AA96" i="17"/>
  <c r="AC96" i="17" s="1"/>
  <c r="P96" i="17"/>
  <c r="AA95" i="17"/>
  <c r="AC95" i="17" s="1"/>
  <c r="P95" i="17"/>
  <c r="AA94" i="17"/>
  <c r="AC94" i="17" s="1"/>
  <c r="P94" i="17"/>
  <c r="AA93" i="17"/>
  <c r="AC93" i="17" s="1"/>
  <c r="P93" i="17"/>
  <c r="AA92" i="17"/>
  <c r="AC92" i="17" s="1"/>
  <c r="P92" i="17"/>
  <c r="AA91" i="17"/>
  <c r="AC91" i="17" s="1"/>
  <c r="P91" i="17"/>
  <c r="AA90" i="17"/>
  <c r="AC90" i="17" s="1"/>
  <c r="P90" i="17"/>
  <c r="AA89" i="17"/>
  <c r="AC89" i="17" s="1"/>
  <c r="P89" i="17"/>
  <c r="AA88" i="17"/>
  <c r="AC88" i="17" s="1"/>
  <c r="P88" i="17"/>
  <c r="AA87" i="17"/>
  <c r="AC87" i="17" s="1"/>
  <c r="P87" i="17"/>
  <c r="AA86" i="17"/>
  <c r="AC86" i="17" s="1"/>
  <c r="P86" i="17"/>
  <c r="AA85" i="17"/>
  <c r="AC85" i="17" s="1"/>
  <c r="P85" i="17"/>
  <c r="AA84" i="17"/>
  <c r="AC84" i="17" s="1"/>
  <c r="P84" i="17"/>
  <c r="AA83" i="17"/>
  <c r="AC83" i="17" s="1"/>
  <c r="P83" i="17"/>
  <c r="AA82" i="17"/>
  <c r="AC82" i="17" s="1"/>
  <c r="P82" i="17"/>
  <c r="AA81" i="17"/>
  <c r="AC81" i="17" s="1"/>
  <c r="P81" i="17"/>
  <c r="AA80" i="17"/>
  <c r="AC80" i="17" s="1"/>
  <c r="P80" i="17"/>
  <c r="AA79" i="17"/>
  <c r="AC79" i="17" s="1"/>
  <c r="P79" i="17"/>
  <c r="AA78" i="17"/>
  <c r="AC78" i="17" s="1"/>
  <c r="P78" i="17"/>
  <c r="AA77" i="17"/>
  <c r="AC77" i="17" s="1"/>
  <c r="P77" i="17"/>
  <c r="AA76" i="17"/>
  <c r="AC76" i="17" s="1"/>
  <c r="P76" i="17"/>
  <c r="AA75" i="17"/>
  <c r="AC75" i="17" s="1"/>
  <c r="P75" i="17"/>
  <c r="AA74" i="17"/>
  <c r="AC74" i="17" s="1"/>
  <c r="P74" i="17"/>
  <c r="AA73" i="17"/>
  <c r="AC73" i="17" s="1"/>
  <c r="P73" i="17"/>
  <c r="AA72" i="17"/>
  <c r="AC72" i="17" s="1"/>
  <c r="P72" i="17"/>
  <c r="AA71" i="17"/>
  <c r="AC71" i="17" s="1"/>
  <c r="P71" i="17"/>
  <c r="P70" i="17"/>
  <c r="P69" i="17"/>
  <c r="AA68" i="17"/>
  <c r="AC68" i="17" s="1"/>
  <c r="P68" i="17"/>
  <c r="AA67" i="17"/>
  <c r="AC67" i="17" s="1"/>
  <c r="P67" i="17"/>
  <c r="AA66" i="17"/>
  <c r="AC66" i="17" s="1"/>
  <c r="P66" i="17"/>
  <c r="AA65" i="17"/>
  <c r="AC65" i="17" s="1"/>
  <c r="P65" i="17"/>
  <c r="AA64" i="17"/>
  <c r="AC64" i="17" s="1"/>
  <c r="P64" i="17"/>
  <c r="AA63" i="17"/>
  <c r="AC63" i="17" s="1"/>
  <c r="P63" i="17"/>
  <c r="AA62" i="17"/>
  <c r="AC62" i="17" s="1"/>
  <c r="P62" i="17"/>
  <c r="AA61" i="17"/>
  <c r="AC61" i="17" s="1"/>
  <c r="P61" i="17"/>
  <c r="AA60" i="17"/>
  <c r="AC60" i="17" s="1"/>
  <c r="P60" i="17"/>
  <c r="J60" i="17"/>
  <c r="AA59" i="17"/>
  <c r="AC59" i="17" s="1"/>
  <c r="P59" i="17"/>
  <c r="AA58" i="17"/>
  <c r="AC58" i="17" s="1"/>
  <c r="P58" i="17"/>
  <c r="AA57" i="17"/>
  <c r="AC57" i="17" s="1"/>
  <c r="P57" i="17"/>
  <c r="AA56" i="17"/>
  <c r="AC56" i="17" s="1"/>
  <c r="P56" i="17"/>
  <c r="AA55" i="17"/>
  <c r="AC55" i="17" s="1"/>
  <c r="P55" i="17"/>
  <c r="AA54" i="17"/>
  <c r="AC54" i="17" s="1"/>
  <c r="P54" i="17"/>
  <c r="AA53" i="17"/>
  <c r="AC53" i="17" s="1"/>
  <c r="P53" i="17"/>
  <c r="J53" i="17"/>
  <c r="AA52" i="17"/>
  <c r="AC52" i="17" s="1"/>
  <c r="P52" i="17"/>
  <c r="AA51" i="17"/>
  <c r="AC51" i="17" s="1"/>
  <c r="P51" i="17"/>
  <c r="AA50" i="17"/>
  <c r="AC50" i="17" s="1"/>
  <c r="P50" i="17"/>
  <c r="AA49" i="17"/>
  <c r="AC49" i="17" s="1"/>
  <c r="P49" i="17"/>
  <c r="AA48" i="17"/>
  <c r="AC48" i="17" s="1"/>
  <c r="P48" i="17"/>
  <c r="AA47" i="17"/>
  <c r="AC47" i="17" s="1"/>
  <c r="P47" i="17"/>
  <c r="AA46" i="17"/>
  <c r="AC46" i="17" s="1"/>
  <c r="P46" i="17"/>
  <c r="AA45" i="17"/>
  <c r="AC45" i="17" s="1"/>
  <c r="P45" i="17"/>
  <c r="AA44" i="17"/>
  <c r="AC44" i="17" s="1"/>
  <c r="P44" i="17"/>
  <c r="AA43" i="17"/>
  <c r="AC43" i="17" s="1"/>
  <c r="R43" i="17"/>
  <c r="P43" i="17"/>
  <c r="AA42" i="17"/>
  <c r="AC42" i="17" s="1"/>
  <c r="P42" i="17"/>
  <c r="AA41" i="17"/>
  <c r="AC41" i="17" s="1"/>
  <c r="P41" i="17"/>
  <c r="AA40" i="17"/>
  <c r="AC40" i="17" s="1"/>
  <c r="P40" i="17"/>
  <c r="AA39" i="17"/>
  <c r="AC39" i="17" s="1"/>
  <c r="P39" i="17"/>
  <c r="J39" i="17"/>
  <c r="AA38" i="17"/>
  <c r="AC38" i="17" s="1"/>
  <c r="P38" i="17"/>
  <c r="AA37" i="17"/>
  <c r="AC37" i="17" s="1"/>
  <c r="P37" i="17"/>
  <c r="AA36" i="17"/>
  <c r="AC36" i="17" s="1"/>
  <c r="P36" i="17"/>
  <c r="AA35" i="17"/>
  <c r="AC35" i="17" s="1"/>
  <c r="P35" i="17"/>
  <c r="AA34" i="17"/>
  <c r="AC34" i="17" s="1"/>
  <c r="P34" i="17"/>
  <c r="AA33" i="17"/>
  <c r="AC33" i="17" s="1"/>
  <c r="P33" i="17"/>
  <c r="AA32" i="17"/>
  <c r="AC32" i="17" s="1"/>
  <c r="P32" i="17"/>
  <c r="AA31" i="17"/>
  <c r="AC31" i="17" s="1"/>
  <c r="P31" i="17"/>
  <c r="AA30" i="17"/>
  <c r="AC30" i="17" s="1"/>
  <c r="P30" i="17"/>
  <c r="AA29" i="17"/>
  <c r="AC29" i="17" s="1"/>
  <c r="P29" i="17"/>
  <c r="AA28" i="17"/>
  <c r="AC28" i="17" s="1"/>
  <c r="P28" i="17"/>
  <c r="AA27" i="17"/>
  <c r="AC27" i="17" s="1"/>
  <c r="P27" i="17"/>
  <c r="AA26" i="17"/>
  <c r="AC26" i="17" s="1"/>
  <c r="P26" i="17"/>
  <c r="AA25" i="17"/>
  <c r="AC25" i="17" s="1"/>
  <c r="P25" i="17"/>
  <c r="AA24" i="17"/>
  <c r="AC24" i="17" s="1"/>
  <c r="P24" i="17"/>
  <c r="AA23" i="17"/>
  <c r="AC23" i="17" s="1"/>
  <c r="P23" i="17"/>
  <c r="AA22" i="17"/>
  <c r="AC22" i="17" s="1"/>
  <c r="P22" i="17"/>
  <c r="AA21" i="17"/>
  <c r="AC21" i="17" s="1"/>
  <c r="P21" i="17"/>
  <c r="AA20" i="17"/>
  <c r="AC20" i="17" s="1"/>
  <c r="P20" i="17"/>
  <c r="AA19" i="17"/>
  <c r="AC19" i="17" s="1"/>
  <c r="P19" i="17"/>
  <c r="AA18" i="17"/>
  <c r="AC18" i="17" s="1"/>
  <c r="P18" i="17"/>
  <c r="AA17" i="17"/>
  <c r="AC17" i="17" s="1"/>
  <c r="P17" i="17"/>
  <c r="AA16" i="17"/>
  <c r="AC16" i="17" s="1"/>
  <c r="R16" i="17"/>
  <c r="P16" i="17"/>
  <c r="AA15" i="17"/>
  <c r="AC15" i="17" s="1"/>
  <c r="P15" i="17"/>
  <c r="AA14" i="17"/>
  <c r="AC14" i="17" s="1"/>
  <c r="P14" i="17"/>
  <c r="AA13" i="17"/>
  <c r="AC13" i="17" s="1"/>
  <c r="P13" i="17"/>
  <c r="AA12" i="17"/>
  <c r="AC12" i="17" s="1"/>
  <c r="P12" i="17"/>
  <c r="AA11" i="17"/>
  <c r="AC11" i="17" s="1"/>
  <c r="P11" i="17"/>
  <c r="AA10" i="17"/>
  <c r="AC10" i="17" s="1"/>
  <c r="P10" i="17"/>
  <c r="AA9" i="17"/>
  <c r="AC9" i="17" s="1"/>
  <c r="P9" i="17"/>
  <c r="AA8" i="17"/>
  <c r="AC8" i="17" s="1"/>
  <c r="P8" i="17"/>
  <c r="AA7" i="17"/>
  <c r="AC7" i="17" s="1"/>
  <c r="P7" i="17"/>
  <c r="AA6" i="17"/>
  <c r="AC6" i="17" s="1"/>
  <c r="P6" i="17"/>
  <c r="AA5" i="17"/>
  <c r="AC5" i="17" s="1"/>
  <c r="P5" i="17"/>
  <c r="AA4" i="17"/>
  <c r="AC4" i="17" s="1"/>
  <c r="P4" i="17"/>
  <c r="AA3" i="17"/>
  <c r="AC3" i="17" s="1"/>
  <c r="P3" i="17"/>
  <c r="AA2" i="17"/>
  <c r="AC2" i="17" s="1"/>
  <c r="P2" i="17"/>
  <c r="N993" i="14"/>
  <c r="M993" i="14"/>
  <c r="N992" i="14"/>
  <c r="M992" i="14"/>
  <c r="N991" i="14"/>
  <c r="M991" i="14"/>
  <c r="N990" i="14"/>
  <c r="M990" i="14"/>
  <c r="N989" i="14"/>
  <c r="M989" i="14"/>
  <c r="N988" i="14"/>
  <c r="M988" i="14"/>
  <c r="N987" i="14"/>
  <c r="M987" i="14"/>
  <c r="N986" i="14"/>
  <c r="M986" i="14"/>
  <c r="N985" i="14"/>
  <c r="M985" i="14"/>
  <c r="N984" i="14"/>
  <c r="M984" i="14"/>
  <c r="N983" i="14"/>
  <c r="M983" i="14"/>
  <c r="N982" i="14"/>
  <c r="M982" i="14"/>
  <c r="N981" i="14"/>
  <c r="M981" i="14"/>
  <c r="N980" i="14"/>
  <c r="M980" i="14"/>
  <c r="N979" i="14"/>
  <c r="M979" i="14"/>
  <c r="N978" i="14"/>
  <c r="M978" i="14"/>
  <c r="N977" i="14"/>
  <c r="M977" i="14"/>
  <c r="N976" i="14"/>
  <c r="M976" i="14"/>
  <c r="N975" i="14"/>
  <c r="M975" i="14"/>
  <c r="N974" i="14"/>
  <c r="M974" i="14"/>
  <c r="N973" i="14"/>
  <c r="M973" i="14"/>
  <c r="N972" i="14"/>
  <c r="M972" i="14"/>
  <c r="N971" i="14"/>
  <c r="M971" i="14"/>
  <c r="N970" i="14"/>
  <c r="M970" i="14"/>
  <c r="N969" i="14"/>
  <c r="M969" i="14"/>
  <c r="N968" i="14"/>
  <c r="M968" i="14"/>
  <c r="N967" i="14"/>
  <c r="M967" i="14"/>
  <c r="N966" i="14"/>
  <c r="M966" i="14"/>
  <c r="N965" i="14"/>
  <c r="M965" i="14"/>
  <c r="N964" i="14"/>
  <c r="M964" i="14"/>
  <c r="N963" i="14"/>
  <c r="M963" i="14"/>
  <c r="N962" i="14"/>
  <c r="M962" i="14"/>
  <c r="N961" i="14"/>
  <c r="M961" i="14"/>
  <c r="N960" i="14"/>
  <c r="M960" i="14"/>
  <c r="N959" i="14"/>
  <c r="M959" i="14"/>
  <c r="N958" i="14"/>
  <c r="M958" i="14"/>
  <c r="N957" i="14"/>
  <c r="M957" i="14"/>
  <c r="N956" i="14"/>
  <c r="M956" i="14"/>
  <c r="N955" i="14"/>
  <c r="M955" i="14"/>
  <c r="N954" i="14"/>
  <c r="M954" i="14"/>
  <c r="N953" i="14"/>
  <c r="M953" i="14"/>
  <c r="N952" i="14"/>
  <c r="M952" i="14"/>
  <c r="N951" i="14"/>
  <c r="M951" i="14"/>
  <c r="N950" i="14"/>
  <c r="M950" i="14"/>
  <c r="N949" i="14"/>
  <c r="M949" i="14"/>
  <c r="N948" i="14"/>
  <c r="M948" i="14"/>
  <c r="N947" i="14"/>
  <c r="M947" i="14"/>
  <c r="N946" i="14"/>
  <c r="M946" i="14"/>
  <c r="N945" i="14"/>
  <c r="M945" i="14"/>
  <c r="N944" i="14"/>
  <c r="M944" i="14"/>
  <c r="N943" i="14"/>
  <c r="M943" i="14"/>
  <c r="N942" i="14"/>
  <c r="M942" i="14"/>
  <c r="N941" i="14"/>
  <c r="M941" i="14"/>
  <c r="N940" i="14"/>
  <c r="M940" i="14"/>
  <c r="N939" i="14"/>
  <c r="M939" i="14"/>
  <c r="N938" i="14"/>
  <c r="M938" i="14"/>
  <c r="N937" i="14"/>
  <c r="M937" i="14"/>
  <c r="N936" i="14"/>
  <c r="M936" i="14"/>
  <c r="N935" i="14"/>
  <c r="M935" i="14"/>
  <c r="N934" i="14"/>
  <c r="M934" i="14"/>
  <c r="N933" i="14"/>
  <c r="M933" i="14"/>
  <c r="N932" i="14"/>
  <c r="M932" i="14"/>
  <c r="N931" i="14"/>
  <c r="M931" i="14"/>
  <c r="N930" i="14"/>
  <c r="M930" i="14"/>
  <c r="N929" i="14"/>
  <c r="M929" i="14"/>
  <c r="N928" i="14"/>
  <c r="M928" i="14"/>
  <c r="N927" i="14"/>
  <c r="M927" i="14"/>
  <c r="N926" i="14"/>
  <c r="M926" i="14"/>
  <c r="N925" i="14"/>
  <c r="M925" i="14"/>
  <c r="N924" i="14"/>
  <c r="M924" i="14"/>
  <c r="N923" i="14"/>
  <c r="M923" i="14"/>
  <c r="N922" i="14"/>
  <c r="M922" i="14"/>
  <c r="N921" i="14"/>
  <c r="M921" i="14"/>
  <c r="N920" i="14"/>
  <c r="M920" i="14"/>
  <c r="N919" i="14"/>
  <c r="M919" i="14"/>
  <c r="N918" i="14"/>
  <c r="M918" i="14"/>
  <c r="N917" i="14"/>
  <c r="M917" i="14"/>
  <c r="N916" i="14"/>
  <c r="M916" i="14"/>
  <c r="N915" i="14"/>
  <c r="M915" i="14"/>
  <c r="N914" i="14"/>
  <c r="M914" i="14"/>
  <c r="N913" i="14"/>
  <c r="M913" i="14"/>
  <c r="N912" i="14"/>
  <c r="M912" i="14"/>
  <c r="N911" i="14"/>
  <c r="M911" i="14"/>
  <c r="N910" i="14"/>
  <c r="M910" i="14"/>
  <c r="N909" i="14"/>
  <c r="M909" i="14"/>
  <c r="N908" i="14"/>
  <c r="M908" i="14"/>
  <c r="N907" i="14"/>
  <c r="M907" i="14"/>
  <c r="N906" i="14"/>
  <c r="M906" i="14"/>
  <c r="N905" i="14"/>
  <c r="M905" i="14"/>
  <c r="N904" i="14"/>
  <c r="M904" i="14"/>
  <c r="N903" i="14"/>
  <c r="M903" i="14"/>
  <c r="N902" i="14"/>
  <c r="M902" i="14"/>
  <c r="N901" i="14"/>
  <c r="M901" i="14"/>
  <c r="N900" i="14"/>
  <c r="M900" i="14"/>
  <c r="N899" i="14"/>
  <c r="M899" i="14"/>
  <c r="N898" i="14"/>
  <c r="M898" i="14"/>
  <c r="N897" i="14"/>
  <c r="M897" i="14"/>
  <c r="N896" i="14"/>
  <c r="M896" i="14"/>
  <c r="N895" i="14"/>
  <c r="M895" i="14"/>
  <c r="N894" i="14"/>
  <c r="M894" i="14"/>
  <c r="N893" i="14"/>
  <c r="M893" i="14"/>
  <c r="N892" i="14"/>
  <c r="M892" i="14"/>
  <c r="N891" i="14"/>
  <c r="M891" i="14"/>
  <c r="N890" i="14"/>
  <c r="M890" i="14"/>
  <c r="N889" i="14"/>
  <c r="M889" i="14"/>
  <c r="N888" i="14"/>
  <c r="M888" i="14"/>
  <c r="N887" i="14"/>
  <c r="M887" i="14"/>
  <c r="N886" i="14"/>
  <c r="M886" i="14"/>
  <c r="N885" i="14"/>
  <c r="M885" i="14"/>
  <c r="N884" i="14"/>
  <c r="M884" i="14"/>
  <c r="N883" i="14"/>
  <c r="M883" i="14"/>
  <c r="N882" i="14"/>
  <c r="M882" i="14"/>
  <c r="N881" i="14"/>
  <c r="M881" i="14"/>
  <c r="N880" i="14"/>
  <c r="M880" i="14"/>
  <c r="N879" i="14"/>
  <c r="M879" i="14"/>
  <c r="N878" i="14"/>
  <c r="M878" i="14"/>
  <c r="N877" i="14"/>
  <c r="M877" i="14"/>
  <c r="N876" i="14"/>
  <c r="M876" i="14"/>
  <c r="N875" i="14"/>
  <c r="M875" i="14"/>
  <c r="N874" i="14"/>
  <c r="M874" i="14"/>
  <c r="N873" i="14"/>
  <c r="M873" i="14"/>
  <c r="N872" i="14"/>
  <c r="M872" i="14"/>
  <c r="N871" i="14"/>
  <c r="M871" i="14"/>
  <c r="N870" i="14"/>
  <c r="M870" i="14"/>
  <c r="N869" i="14"/>
  <c r="M869" i="14"/>
  <c r="N868" i="14"/>
  <c r="M868" i="14"/>
  <c r="N867" i="14"/>
  <c r="M867" i="14"/>
  <c r="N866" i="14"/>
  <c r="M866" i="14"/>
  <c r="N865" i="14"/>
  <c r="M865" i="14"/>
  <c r="N864" i="14"/>
  <c r="M864" i="14"/>
  <c r="N863" i="14"/>
  <c r="M863" i="14"/>
  <c r="N862" i="14"/>
  <c r="M862" i="14"/>
  <c r="N861" i="14"/>
  <c r="M861" i="14"/>
  <c r="N860" i="14"/>
  <c r="M860" i="14"/>
  <c r="N859" i="14"/>
  <c r="M859" i="14"/>
  <c r="N858" i="14"/>
  <c r="M858" i="14"/>
  <c r="N857" i="14"/>
  <c r="M857" i="14"/>
  <c r="N856" i="14"/>
  <c r="M856" i="14"/>
  <c r="N855" i="14"/>
  <c r="M855" i="14"/>
  <c r="N854" i="14"/>
  <c r="M854" i="14"/>
  <c r="N853" i="14"/>
  <c r="M853" i="14"/>
  <c r="N852" i="14"/>
  <c r="M852" i="14"/>
  <c r="N851" i="14"/>
  <c r="M851" i="14"/>
  <c r="N850" i="14"/>
  <c r="M850" i="14"/>
  <c r="N849" i="14"/>
  <c r="M849" i="14"/>
  <c r="N848" i="14"/>
  <c r="M848" i="14"/>
  <c r="N847" i="14"/>
  <c r="M847" i="14"/>
  <c r="N846" i="14"/>
  <c r="M846" i="14"/>
  <c r="N845" i="14"/>
  <c r="M845" i="14"/>
  <c r="N844" i="14"/>
  <c r="M844" i="14"/>
  <c r="N843" i="14"/>
  <c r="M843" i="14"/>
  <c r="N842" i="14"/>
  <c r="M842" i="14"/>
  <c r="N841" i="14"/>
  <c r="M841" i="14"/>
  <c r="N840" i="14"/>
  <c r="M840" i="14"/>
  <c r="N839" i="14"/>
  <c r="M839" i="14"/>
  <c r="N838" i="14"/>
  <c r="M838" i="14"/>
  <c r="N837" i="14"/>
  <c r="M837" i="14"/>
  <c r="N836" i="14"/>
  <c r="M836" i="14"/>
  <c r="N835" i="14"/>
  <c r="M835" i="14"/>
  <c r="N834" i="14"/>
  <c r="M834" i="14"/>
  <c r="N833" i="14"/>
  <c r="M833" i="14"/>
  <c r="N832" i="14"/>
  <c r="M832" i="14"/>
  <c r="N831" i="14"/>
  <c r="M831" i="14"/>
  <c r="N830" i="14"/>
  <c r="M830" i="14"/>
  <c r="N829" i="14"/>
  <c r="M829" i="14"/>
  <c r="N828" i="14"/>
  <c r="M828" i="14"/>
  <c r="N827" i="14"/>
  <c r="M827" i="14"/>
  <c r="N826" i="14"/>
  <c r="M826" i="14"/>
  <c r="N825" i="14"/>
  <c r="M825" i="14"/>
  <c r="N824" i="14"/>
  <c r="M824" i="14"/>
  <c r="N823" i="14"/>
  <c r="M823" i="14"/>
  <c r="N822" i="14"/>
  <c r="M822" i="14"/>
  <c r="N821" i="14"/>
  <c r="M821" i="14"/>
  <c r="N820" i="14"/>
  <c r="M820" i="14"/>
  <c r="N819" i="14"/>
  <c r="M819" i="14"/>
  <c r="N818" i="14"/>
  <c r="M818" i="14"/>
  <c r="N817" i="14"/>
  <c r="M817" i="14"/>
  <c r="N816" i="14"/>
  <c r="M816" i="14"/>
  <c r="N815" i="14"/>
  <c r="M815" i="14"/>
  <c r="N814" i="14"/>
  <c r="M814" i="14"/>
  <c r="N813" i="14"/>
  <c r="M813" i="14"/>
  <c r="N812" i="14"/>
  <c r="M812" i="14"/>
  <c r="N811" i="14"/>
  <c r="M811" i="14"/>
  <c r="N810" i="14"/>
  <c r="M810" i="14"/>
  <c r="N809" i="14"/>
  <c r="M809" i="14"/>
  <c r="N808" i="14"/>
  <c r="M808" i="14"/>
  <c r="N807" i="14"/>
  <c r="M807" i="14"/>
  <c r="N806" i="14"/>
  <c r="M806" i="14"/>
  <c r="N805" i="14"/>
  <c r="M805" i="14"/>
  <c r="N804" i="14"/>
  <c r="M804" i="14"/>
  <c r="N803" i="14"/>
  <c r="M803" i="14"/>
  <c r="N802" i="14"/>
  <c r="M802" i="14"/>
  <c r="N801" i="14"/>
  <c r="M801" i="14"/>
  <c r="N800" i="14"/>
  <c r="M800" i="14"/>
  <c r="N799" i="14"/>
  <c r="M799" i="14"/>
  <c r="N798" i="14"/>
  <c r="M798" i="14"/>
  <c r="N797" i="14"/>
  <c r="M797" i="14"/>
  <c r="N796" i="14"/>
  <c r="M796" i="14"/>
  <c r="N795" i="14"/>
  <c r="M795" i="14"/>
  <c r="N794" i="14"/>
  <c r="M794" i="14"/>
  <c r="N793" i="14"/>
  <c r="M793" i="14"/>
  <c r="N792" i="14"/>
  <c r="M792" i="14"/>
  <c r="N791" i="14"/>
  <c r="M791" i="14"/>
  <c r="N790" i="14"/>
  <c r="M790" i="14"/>
  <c r="N789" i="14"/>
  <c r="M789" i="14"/>
  <c r="N788" i="14"/>
  <c r="M788" i="14"/>
  <c r="N787" i="14"/>
  <c r="M787" i="14"/>
  <c r="N786" i="14"/>
  <c r="M786" i="14"/>
  <c r="N785" i="14"/>
  <c r="M785" i="14"/>
  <c r="N784" i="14"/>
  <c r="M784" i="14"/>
  <c r="N783" i="14"/>
  <c r="M783" i="14"/>
  <c r="N782" i="14"/>
  <c r="M782" i="14"/>
  <c r="N781" i="14"/>
  <c r="M781" i="14"/>
  <c r="N780" i="14"/>
  <c r="M780" i="14"/>
  <c r="N779" i="14"/>
  <c r="M779" i="14"/>
  <c r="N778" i="14"/>
  <c r="M778" i="14"/>
  <c r="N777" i="14"/>
  <c r="M777" i="14"/>
  <c r="N776" i="14"/>
  <c r="M776" i="14"/>
  <c r="N775" i="14"/>
  <c r="M775" i="14"/>
  <c r="N774" i="14"/>
  <c r="M774" i="14"/>
  <c r="N773" i="14"/>
  <c r="M773" i="14"/>
  <c r="N772" i="14"/>
  <c r="M772" i="14"/>
  <c r="N771" i="14"/>
  <c r="M771" i="14"/>
  <c r="N770" i="14"/>
  <c r="M770" i="14"/>
  <c r="N769" i="14"/>
  <c r="M769" i="14"/>
  <c r="N768" i="14"/>
  <c r="M768" i="14"/>
  <c r="N767" i="14"/>
  <c r="M767" i="14"/>
  <c r="N766" i="14"/>
  <c r="M766" i="14"/>
  <c r="N765" i="14"/>
  <c r="M765" i="14"/>
  <c r="N764" i="14"/>
  <c r="M764" i="14"/>
  <c r="N763" i="14"/>
  <c r="M763" i="14"/>
  <c r="N762" i="14"/>
  <c r="M762" i="14"/>
  <c r="N761" i="14"/>
  <c r="M761" i="14"/>
  <c r="N760" i="14"/>
  <c r="M760" i="14"/>
  <c r="N759" i="14"/>
  <c r="M759" i="14"/>
  <c r="N758" i="14"/>
  <c r="M758" i="14"/>
  <c r="N757" i="14"/>
  <c r="M757" i="14"/>
  <c r="N756" i="14"/>
  <c r="M756" i="14"/>
  <c r="N755" i="14"/>
  <c r="M755" i="14"/>
  <c r="N754" i="14"/>
  <c r="M754" i="14"/>
  <c r="N753" i="14"/>
  <c r="M753" i="14"/>
  <c r="N752" i="14"/>
  <c r="M752" i="14"/>
  <c r="N751" i="14"/>
  <c r="M751" i="14"/>
  <c r="N750" i="14"/>
  <c r="M750" i="14"/>
  <c r="N749" i="14"/>
  <c r="M749" i="14"/>
  <c r="N748" i="14"/>
  <c r="M748" i="14"/>
  <c r="N747" i="14"/>
  <c r="M747" i="14"/>
  <c r="N746" i="14"/>
  <c r="M746" i="14"/>
  <c r="N745" i="14"/>
  <c r="M745" i="14"/>
  <c r="N744" i="14"/>
  <c r="M744" i="14"/>
  <c r="N743" i="14"/>
  <c r="M743" i="14"/>
  <c r="N742" i="14"/>
  <c r="M742" i="14"/>
  <c r="N741" i="14"/>
  <c r="M741" i="14"/>
  <c r="N740" i="14"/>
  <c r="M740" i="14"/>
  <c r="N739" i="14"/>
  <c r="M739" i="14"/>
  <c r="N738" i="14"/>
  <c r="M738" i="14"/>
  <c r="N737" i="14"/>
  <c r="M737" i="14"/>
  <c r="N736" i="14"/>
  <c r="M736" i="14"/>
  <c r="N735" i="14"/>
  <c r="M735" i="14"/>
  <c r="N734" i="14"/>
  <c r="M734" i="14"/>
  <c r="N733" i="14"/>
  <c r="M733" i="14"/>
  <c r="N732" i="14"/>
  <c r="M732" i="14"/>
  <c r="N731" i="14"/>
  <c r="M731" i="14"/>
  <c r="N730" i="14"/>
  <c r="M730" i="14"/>
  <c r="N729" i="14"/>
  <c r="M729" i="14"/>
  <c r="N728" i="14"/>
  <c r="M728" i="14"/>
  <c r="N727" i="14"/>
  <c r="M727" i="14"/>
  <c r="N726" i="14"/>
  <c r="M726" i="14"/>
  <c r="N725" i="14"/>
  <c r="M725" i="14"/>
  <c r="N724" i="14"/>
  <c r="M724" i="14"/>
  <c r="N723" i="14"/>
  <c r="M723" i="14"/>
  <c r="N722" i="14"/>
  <c r="M722" i="14"/>
  <c r="N721" i="14"/>
  <c r="M721" i="14"/>
  <c r="N720" i="14"/>
  <c r="M720" i="14"/>
  <c r="N719" i="14"/>
  <c r="M719" i="14"/>
  <c r="N718" i="14"/>
  <c r="M718" i="14"/>
  <c r="N717" i="14"/>
  <c r="M717" i="14"/>
  <c r="N716" i="14"/>
  <c r="M716" i="14"/>
  <c r="N715" i="14"/>
  <c r="M715" i="14"/>
  <c r="N714" i="14"/>
  <c r="M714" i="14"/>
  <c r="N713" i="14"/>
  <c r="M713" i="14"/>
  <c r="N712" i="14"/>
  <c r="M712" i="14"/>
  <c r="N711" i="14"/>
  <c r="M711" i="14"/>
  <c r="N710" i="14"/>
  <c r="M710" i="14"/>
  <c r="N709" i="14"/>
  <c r="M709" i="14"/>
  <c r="N708" i="14"/>
  <c r="M708" i="14"/>
  <c r="N707" i="14"/>
  <c r="M707" i="14"/>
  <c r="N706" i="14"/>
  <c r="M706" i="14"/>
  <c r="N705" i="14"/>
  <c r="M705" i="14"/>
  <c r="N704" i="14"/>
  <c r="M704" i="14"/>
  <c r="N703" i="14"/>
  <c r="M703" i="14"/>
  <c r="N702" i="14"/>
  <c r="M702" i="14"/>
  <c r="N701" i="14"/>
  <c r="M701" i="14"/>
  <c r="N700" i="14"/>
  <c r="M700" i="14"/>
  <c r="N699" i="14"/>
  <c r="M699" i="14"/>
  <c r="N698" i="14"/>
  <c r="M698" i="14"/>
  <c r="N697" i="14"/>
  <c r="M697" i="14"/>
  <c r="N696" i="14"/>
  <c r="M696" i="14"/>
  <c r="N695" i="14"/>
  <c r="M695" i="14"/>
  <c r="N694" i="14"/>
  <c r="M694" i="14"/>
  <c r="N693" i="14"/>
  <c r="M693" i="14"/>
  <c r="N692" i="14"/>
  <c r="M692" i="14"/>
  <c r="N691" i="14"/>
  <c r="M691" i="14"/>
  <c r="N690" i="14"/>
  <c r="M690" i="14"/>
  <c r="N689" i="14"/>
  <c r="M689" i="14"/>
  <c r="N688" i="14"/>
  <c r="M688" i="14"/>
  <c r="N687" i="14"/>
  <c r="M687" i="14"/>
  <c r="N686" i="14"/>
  <c r="M686" i="14"/>
  <c r="N685" i="14"/>
  <c r="M685" i="14"/>
  <c r="N684" i="14"/>
  <c r="M684" i="14"/>
  <c r="N683" i="14"/>
  <c r="M683" i="14"/>
  <c r="N682" i="14"/>
  <c r="M682" i="14"/>
  <c r="N681" i="14"/>
  <c r="M681" i="14"/>
  <c r="N680" i="14"/>
  <c r="M680" i="14"/>
  <c r="N679" i="14"/>
  <c r="M679" i="14"/>
  <c r="N678" i="14"/>
  <c r="M678" i="14"/>
  <c r="N677" i="14"/>
  <c r="M677" i="14"/>
  <c r="N676" i="14"/>
  <c r="M676" i="14"/>
  <c r="N675" i="14"/>
  <c r="M675" i="14"/>
  <c r="N674" i="14"/>
  <c r="M674" i="14"/>
  <c r="N673" i="14"/>
  <c r="M673" i="14"/>
  <c r="N672" i="14"/>
  <c r="M672" i="14"/>
  <c r="N671" i="14"/>
  <c r="M671" i="14"/>
  <c r="N670" i="14"/>
  <c r="M670" i="14"/>
  <c r="N669" i="14"/>
  <c r="M669" i="14"/>
  <c r="N668" i="14"/>
  <c r="M668" i="14"/>
  <c r="N667" i="14"/>
  <c r="M667" i="14"/>
  <c r="N666" i="14"/>
  <c r="M666" i="14"/>
  <c r="N665" i="14"/>
  <c r="M665" i="14"/>
  <c r="N664" i="14"/>
  <c r="M664" i="14"/>
  <c r="N663" i="14"/>
  <c r="M663" i="14"/>
  <c r="N662" i="14"/>
  <c r="M662" i="14"/>
  <c r="N661" i="14"/>
  <c r="M661" i="14"/>
  <c r="N660" i="14"/>
  <c r="M660" i="14"/>
  <c r="N659" i="14"/>
  <c r="M659" i="14"/>
  <c r="N658" i="14"/>
  <c r="M658" i="14"/>
  <c r="N657" i="14"/>
  <c r="M657" i="14"/>
  <c r="N656" i="14"/>
  <c r="M656" i="14"/>
  <c r="N655" i="14"/>
  <c r="M655" i="14"/>
  <c r="N654" i="14"/>
  <c r="M654" i="14"/>
  <c r="N653" i="14"/>
  <c r="M653" i="14"/>
  <c r="N652" i="14"/>
  <c r="M652" i="14"/>
  <c r="N651" i="14"/>
  <c r="M651" i="14"/>
  <c r="N650" i="14"/>
  <c r="M650" i="14"/>
  <c r="N649" i="14"/>
  <c r="M649" i="14"/>
  <c r="N648" i="14"/>
  <c r="M648" i="14"/>
  <c r="N647" i="14"/>
  <c r="M647" i="14"/>
  <c r="N646" i="14"/>
  <c r="M646" i="14"/>
  <c r="N645" i="14"/>
  <c r="M645" i="14"/>
  <c r="N644" i="14"/>
  <c r="M644" i="14"/>
  <c r="N643" i="14"/>
  <c r="M643" i="14"/>
  <c r="N642" i="14"/>
  <c r="M642" i="14"/>
  <c r="N641" i="14"/>
  <c r="M641" i="14"/>
  <c r="N640" i="14"/>
  <c r="M640" i="14"/>
  <c r="N639" i="14"/>
  <c r="M639" i="14"/>
  <c r="N638" i="14"/>
  <c r="M638" i="14"/>
  <c r="N637" i="14"/>
  <c r="M637" i="14"/>
  <c r="N636" i="14"/>
  <c r="M636" i="14"/>
  <c r="N635" i="14"/>
  <c r="M635" i="14"/>
  <c r="N634" i="14"/>
  <c r="M634" i="14"/>
  <c r="N633" i="14"/>
  <c r="M633" i="14"/>
  <c r="N632" i="14"/>
  <c r="M632" i="14"/>
  <c r="N631" i="14"/>
  <c r="M631" i="14"/>
  <c r="N630" i="14"/>
  <c r="M630" i="14"/>
  <c r="N629" i="14"/>
  <c r="M629" i="14"/>
  <c r="N628" i="14"/>
  <c r="M628" i="14"/>
  <c r="N627" i="14"/>
  <c r="M627" i="14"/>
  <c r="N626" i="14"/>
  <c r="M626" i="14"/>
  <c r="N625" i="14"/>
  <c r="M625" i="14"/>
  <c r="N624" i="14"/>
  <c r="M624" i="14"/>
  <c r="N623" i="14"/>
  <c r="M623" i="14"/>
  <c r="N622" i="14"/>
  <c r="M622" i="14"/>
  <c r="N621" i="14"/>
  <c r="M621" i="14"/>
  <c r="N620" i="14"/>
  <c r="M620" i="14"/>
  <c r="N619" i="14"/>
  <c r="M619" i="14"/>
  <c r="N618" i="14"/>
  <c r="M618" i="14"/>
  <c r="N617" i="14"/>
  <c r="M617" i="14"/>
  <c r="N616" i="14"/>
  <c r="M616" i="14"/>
  <c r="N615" i="14"/>
  <c r="M615" i="14"/>
  <c r="N614" i="14"/>
  <c r="M614" i="14"/>
  <c r="N613" i="14"/>
  <c r="M613" i="14"/>
  <c r="N612" i="14"/>
  <c r="M612" i="14"/>
  <c r="N611" i="14"/>
  <c r="M611" i="14"/>
  <c r="N610" i="14"/>
  <c r="M610" i="14"/>
  <c r="N609" i="14"/>
  <c r="M609" i="14"/>
  <c r="N608" i="14"/>
  <c r="M608" i="14"/>
  <c r="N607" i="14"/>
  <c r="M607" i="14"/>
  <c r="N606" i="14"/>
  <c r="M606" i="14"/>
  <c r="N605" i="14"/>
  <c r="M605" i="14"/>
  <c r="N604" i="14"/>
  <c r="M604" i="14"/>
  <c r="N603" i="14"/>
  <c r="M603" i="14"/>
  <c r="N602" i="14"/>
  <c r="M602" i="14"/>
  <c r="N601" i="14"/>
  <c r="M601" i="14"/>
  <c r="N600" i="14"/>
  <c r="M600" i="14"/>
  <c r="N599" i="14"/>
  <c r="M599" i="14"/>
  <c r="N598" i="14"/>
  <c r="M598" i="14"/>
  <c r="N597" i="14"/>
  <c r="M597" i="14"/>
  <c r="N596" i="14"/>
  <c r="M596" i="14"/>
  <c r="N595" i="14"/>
  <c r="M595" i="14"/>
  <c r="N594" i="14"/>
  <c r="M594" i="14"/>
  <c r="N593" i="14"/>
  <c r="M593" i="14"/>
  <c r="N592" i="14"/>
  <c r="M592" i="14"/>
  <c r="N591" i="14"/>
  <c r="M591" i="14"/>
  <c r="N590" i="14"/>
  <c r="M590" i="14"/>
  <c r="N589" i="14"/>
  <c r="M589" i="14"/>
  <c r="N588" i="14"/>
  <c r="M588" i="14"/>
  <c r="N587" i="14"/>
  <c r="M587" i="14"/>
  <c r="N586" i="14"/>
  <c r="M586" i="14"/>
  <c r="N585" i="14"/>
  <c r="M585" i="14"/>
  <c r="N584" i="14"/>
  <c r="M584" i="14"/>
  <c r="N583" i="14"/>
  <c r="M583" i="14"/>
  <c r="N582" i="14"/>
  <c r="M582" i="14"/>
  <c r="N581" i="14"/>
  <c r="M581" i="14"/>
  <c r="N580" i="14"/>
  <c r="M580" i="14"/>
  <c r="N579" i="14"/>
  <c r="M579" i="14"/>
  <c r="N578" i="14"/>
  <c r="M578" i="14"/>
  <c r="N577" i="14"/>
  <c r="M577" i="14"/>
  <c r="N576" i="14"/>
  <c r="M576" i="14"/>
  <c r="N575" i="14"/>
  <c r="M575" i="14"/>
  <c r="N574" i="14"/>
  <c r="M574" i="14"/>
  <c r="N573" i="14"/>
  <c r="M573" i="14"/>
  <c r="N572" i="14"/>
  <c r="M572" i="14"/>
  <c r="N571" i="14"/>
  <c r="M571" i="14"/>
  <c r="N570" i="14"/>
  <c r="M570" i="14"/>
  <c r="N569" i="14"/>
  <c r="M569" i="14"/>
  <c r="N568" i="14"/>
  <c r="M568" i="14"/>
  <c r="N567" i="14"/>
  <c r="M567" i="14"/>
  <c r="N566" i="14"/>
  <c r="M566" i="14"/>
  <c r="N565" i="14"/>
  <c r="M565" i="14"/>
  <c r="N564" i="14"/>
  <c r="M564" i="14"/>
  <c r="N563" i="14"/>
  <c r="M563" i="14"/>
  <c r="N562" i="14"/>
  <c r="M562" i="14"/>
  <c r="N561" i="14"/>
  <c r="M561" i="14"/>
  <c r="N560" i="14"/>
  <c r="M560" i="14"/>
  <c r="N559" i="14"/>
  <c r="M559" i="14"/>
  <c r="N558" i="14"/>
  <c r="M558" i="14"/>
  <c r="N557" i="14"/>
  <c r="M557" i="14"/>
  <c r="N556" i="14"/>
  <c r="M556" i="14"/>
  <c r="N555" i="14"/>
  <c r="M555" i="14"/>
  <c r="N554" i="14"/>
  <c r="M554" i="14"/>
  <c r="N553" i="14"/>
  <c r="M553" i="14"/>
  <c r="N552" i="14"/>
  <c r="M552" i="14"/>
  <c r="N551" i="14"/>
  <c r="M551" i="14"/>
  <c r="N550" i="14"/>
  <c r="M550" i="14"/>
  <c r="N549" i="14"/>
  <c r="M549" i="14"/>
  <c r="N548" i="14"/>
  <c r="M548" i="14"/>
  <c r="N547" i="14"/>
  <c r="M547" i="14"/>
  <c r="N546" i="14"/>
  <c r="M546" i="14"/>
  <c r="N545" i="14"/>
  <c r="M545" i="14"/>
  <c r="N544" i="14"/>
  <c r="M544" i="14"/>
  <c r="N543" i="14"/>
  <c r="M543" i="14"/>
  <c r="N542" i="14"/>
  <c r="M542" i="14"/>
  <c r="N541" i="14"/>
  <c r="M541" i="14"/>
  <c r="N540" i="14"/>
  <c r="M540" i="14"/>
  <c r="N539" i="14"/>
  <c r="M539" i="14"/>
  <c r="N538" i="14"/>
  <c r="M538" i="14"/>
  <c r="N537" i="14"/>
  <c r="M537" i="14"/>
  <c r="N536" i="14"/>
  <c r="M536" i="14"/>
  <c r="N535" i="14"/>
  <c r="M535" i="14"/>
  <c r="N534" i="14"/>
  <c r="M534" i="14"/>
  <c r="N533" i="14"/>
  <c r="M533" i="14"/>
  <c r="N532" i="14"/>
  <c r="M532" i="14"/>
  <c r="N531" i="14"/>
  <c r="M531" i="14"/>
  <c r="N530" i="14"/>
  <c r="M530" i="14"/>
  <c r="N529" i="14"/>
  <c r="M529" i="14"/>
  <c r="N528" i="14"/>
  <c r="M528" i="14"/>
  <c r="N527" i="14"/>
  <c r="M527" i="14"/>
  <c r="N526" i="14"/>
  <c r="M526" i="14"/>
  <c r="N525" i="14"/>
  <c r="M525" i="14"/>
  <c r="N524" i="14"/>
  <c r="M524" i="14"/>
  <c r="N523" i="14"/>
  <c r="M523" i="14"/>
  <c r="N522" i="14"/>
  <c r="M522" i="14"/>
  <c r="N521" i="14"/>
  <c r="M521" i="14"/>
  <c r="N520" i="14"/>
  <c r="M520" i="14"/>
  <c r="N519" i="14"/>
  <c r="M519" i="14"/>
  <c r="N518" i="14"/>
  <c r="M518" i="14"/>
  <c r="N517" i="14"/>
  <c r="M517" i="14"/>
  <c r="N516" i="14"/>
  <c r="M516" i="14"/>
  <c r="N515" i="14"/>
  <c r="M515" i="14"/>
  <c r="N514" i="14"/>
  <c r="M514" i="14"/>
  <c r="N513" i="14"/>
  <c r="M513" i="14"/>
  <c r="N512" i="14"/>
  <c r="M512" i="14"/>
  <c r="N511" i="14"/>
  <c r="M511" i="14"/>
  <c r="N510" i="14"/>
  <c r="M510" i="14"/>
  <c r="N509" i="14"/>
  <c r="M509" i="14"/>
  <c r="N508" i="14"/>
  <c r="M508" i="14"/>
  <c r="N507" i="14"/>
  <c r="M507" i="14"/>
  <c r="N506" i="14"/>
  <c r="M506" i="14"/>
  <c r="N505" i="14"/>
  <c r="M505" i="14"/>
  <c r="N504" i="14"/>
  <c r="M504" i="14"/>
  <c r="N503" i="14"/>
  <c r="M503" i="14"/>
  <c r="N502" i="14"/>
  <c r="M502" i="14"/>
  <c r="N501" i="14"/>
  <c r="M501" i="14"/>
  <c r="N500" i="14"/>
  <c r="M500" i="14"/>
  <c r="N499" i="14"/>
  <c r="M499" i="14"/>
  <c r="N498" i="14"/>
  <c r="M498" i="14"/>
  <c r="N497" i="14"/>
  <c r="M497" i="14"/>
  <c r="N496" i="14"/>
  <c r="M496" i="14"/>
  <c r="N495" i="14"/>
  <c r="M495" i="14"/>
  <c r="N494" i="14"/>
  <c r="M494" i="14"/>
  <c r="N493" i="14"/>
  <c r="M493" i="14"/>
  <c r="N492" i="14"/>
  <c r="M492" i="14"/>
  <c r="N491" i="14"/>
  <c r="M491" i="14"/>
  <c r="N490" i="14"/>
  <c r="M490" i="14"/>
  <c r="N489" i="14"/>
  <c r="M489" i="14"/>
  <c r="N488" i="14"/>
  <c r="M488" i="14"/>
  <c r="N487" i="14"/>
  <c r="M487" i="14"/>
  <c r="N486" i="14"/>
  <c r="M486" i="14"/>
  <c r="N485" i="14"/>
  <c r="M485" i="14"/>
  <c r="N484" i="14"/>
  <c r="M484" i="14"/>
  <c r="N483" i="14"/>
  <c r="M483" i="14"/>
  <c r="N482" i="14"/>
  <c r="M482" i="14"/>
  <c r="N481" i="14"/>
  <c r="M481" i="14"/>
  <c r="N480" i="14"/>
  <c r="M480" i="14"/>
  <c r="N479" i="14"/>
  <c r="M479" i="14"/>
  <c r="N478" i="14"/>
  <c r="M478" i="14"/>
  <c r="N477" i="14"/>
  <c r="M477" i="14"/>
  <c r="N476" i="14"/>
  <c r="M476" i="14"/>
  <c r="N475" i="14"/>
  <c r="M475" i="14"/>
  <c r="N474" i="14"/>
  <c r="M474" i="14"/>
  <c r="N473" i="14"/>
  <c r="M473" i="14"/>
  <c r="N472" i="14"/>
  <c r="M472" i="14"/>
  <c r="N471" i="14"/>
  <c r="M471" i="14"/>
  <c r="N470" i="14"/>
  <c r="M470" i="14"/>
  <c r="N469" i="14"/>
  <c r="M469" i="14"/>
  <c r="N468" i="14"/>
  <c r="M468" i="14"/>
  <c r="N467" i="14"/>
  <c r="M467" i="14"/>
  <c r="N466" i="14"/>
  <c r="M466" i="14"/>
  <c r="N465" i="14"/>
  <c r="M465" i="14"/>
  <c r="N464" i="14"/>
  <c r="M464" i="14"/>
  <c r="N463" i="14"/>
  <c r="M463" i="14"/>
  <c r="N462" i="14"/>
  <c r="M462" i="14"/>
  <c r="N461" i="14"/>
  <c r="M461" i="14"/>
  <c r="N460" i="14"/>
  <c r="M460" i="14"/>
  <c r="N459" i="14"/>
  <c r="M459" i="14"/>
  <c r="N458" i="14"/>
  <c r="M458" i="14"/>
  <c r="N457" i="14"/>
  <c r="M457" i="14"/>
  <c r="N456" i="14"/>
  <c r="M456" i="14"/>
  <c r="N455" i="14"/>
  <c r="M455" i="14"/>
  <c r="N454" i="14"/>
  <c r="M454" i="14"/>
  <c r="N453" i="14"/>
  <c r="M453" i="14"/>
  <c r="N452" i="14"/>
  <c r="M452" i="14"/>
  <c r="N451" i="14"/>
  <c r="M451" i="14"/>
  <c r="N450" i="14"/>
  <c r="M450" i="14"/>
  <c r="N449" i="14"/>
  <c r="M449" i="14"/>
  <c r="N448" i="14"/>
  <c r="M448" i="14"/>
  <c r="N447" i="14"/>
  <c r="M447" i="14"/>
  <c r="N446" i="14"/>
  <c r="M446" i="14"/>
  <c r="N445" i="14"/>
  <c r="M445" i="14"/>
  <c r="N444" i="14"/>
  <c r="M444" i="14"/>
  <c r="N443" i="14"/>
  <c r="M443" i="14"/>
  <c r="N442" i="14"/>
  <c r="M442" i="14"/>
  <c r="N441" i="14"/>
  <c r="M441" i="14"/>
  <c r="N440" i="14"/>
  <c r="M440" i="14"/>
  <c r="N439" i="14"/>
  <c r="M439" i="14"/>
  <c r="N438" i="14"/>
  <c r="M438" i="14"/>
  <c r="N437" i="14"/>
  <c r="M437" i="14"/>
  <c r="N436" i="14"/>
  <c r="M436" i="14"/>
  <c r="N435" i="14"/>
  <c r="M435" i="14"/>
  <c r="N434" i="14"/>
  <c r="M434" i="14"/>
  <c r="N433" i="14"/>
  <c r="M433" i="14"/>
  <c r="N432" i="14"/>
  <c r="M432" i="14"/>
  <c r="N431" i="14"/>
  <c r="M431" i="14"/>
  <c r="N430" i="14"/>
  <c r="M430" i="14"/>
  <c r="N429" i="14"/>
  <c r="M429" i="14"/>
  <c r="N428" i="14"/>
  <c r="M428" i="14"/>
  <c r="N427" i="14"/>
  <c r="M427" i="14"/>
  <c r="N426" i="14"/>
  <c r="M426" i="14"/>
  <c r="N425" i="14"/>
  <c r="M425" i="14"/>
  <c r="N424" i="14"/>
  <c r="M424" i="14"/>
  <c r="N423" i="14"/>
  <c r="M423" i="14"/>
  <c r="N422" i="14"/>
  <c r="M422" i="14"/>
  <c r="N421" i="14"/>
  <c r="M421" i="14"/>
  <c r="N420" i="14"/>
  <c r="M420" i="14"/>
  <c r="N419" i="14"/>
  <c r="M419" i="14"/>
  <c r="N418" i="14"/>
  <c r="M418" i="14"/>
  <c r="N417" i="14"/>
  <c r="M417" i="14"/>
  <c r="N416" i="14"/>
  <c r="M416" i="14"/>
  <c r="N415" i="14"/>
  <c r="M415" i="14"/>
  <c r="N414" i="14"/>
  <c r="M414" i="14"/>
  <c r="N413" i="14"/>
  <c r="M413" i="14"/>
  <c r="N412" i="14"/>
  <c r="M412" i="14"/>
  <c r="N411" i="14"/>
  <c r="M411" i="14"/>
  <c r="N410" i="14"/>
  <c r="M410" i="14"/>
  <c r="N409" i="14"/>
  <c r="M409" i="14"/>
  <c r="N408" i="14"/>
  <c r="M408" i="14"/>
  <c r="N407" i="14"/>
  <c r="M407" i="14"/>
  <c r="N406" i="14"/>
  <c r="M406" i="14"/>
  <c r="N405" i="14"/>
  <c r="M405" i="14"/>
  <c r="N404" i="14"/>
  <c r="M404" i="14"/>
  <c r="N403" i="14"/>
  <c r="M403" i="14"/>
  <c r="N402" i="14"/>
  <c r="M402" i="14"/>
  <c r="N401" i="14"/>
  <c r="M401" i="14"/>
  <c r="N400" i="14"/>
  <c r="M400" i="14"/>
  <c r="N399" i="14"/>
  <c r="M399" i="14"/>
  <c r="N398" i="14"/>
  <c r="M398" i="14"/>
  <c r="N397" i="14"/>
  <c r="M397" i="14"/>
  <c r="N396" i="14"/>
  <c r="M396" i="14"/>
  <c r="N395" i="14"/>
  <c r="M395" i="14"/>
  <c r="N394" i="14"/>
  <c r="M394" i="14"/>
  <c r="N393" i="14"/>
  <c r="M393" i="14"/>
  <c r="N392" i="14"/>
  <c r="M392" i="14"/>
  <c r="N391" i="14"/>
  <c r="M391" i="14"/>
  <c r="N390" i="14"/>
  <c r="M390" i="14"/>
  <c r="N389" i="14"/>
  <c r="M389" i="14"/>
  <c r="N388" i="14"/>
  <c r="M388" i="14"/>
  <c r="N387" i="14"/>
  <c r="M387" i="14"/>
  <c r="N386" i="14"/>
  <c r="M386" i="14"/>
  <c r="N385" i="14"/>
  <c r="M385" i="14"/>
  <c r="N384" i="14"/>
  <c r="M384" i="14"/>
  <c r="N383" i="14"/>
  <c r="M383" i="14"/>
  <c r="N382" i="14"/>
  <c r="M382" i="14"/>
  <c r="N381" i="14"/>
  <c r="M381" i="14"/>
  <c r="N380" i="14"/>
  <c r="M380" i="14"/>
  <c r="N379" i="14"/>
  <c r="M379" i="14"/>
  <c r="N378" i="14"/>
  <c r="M378" i="14"/>
  <c r="N377" i="14"/>
  <c r="M377" i="14"/>
  <c r="N376" i="14"/>
  <c r="M376" i="14"/>
  <c r="N375" i="14"/>
  <c r="M375" i="14"/>
  <c r="N374" i="14"/>
  <c r="M374" i="14"/>
  <c r="N373" i="14"/>
  <c r="M373" i="14"/>
  <c r="N372" i="14"/>
  <c r="M372" i="14"/>
  <c r="N371" i="14"/>
  <c r="M371" i="14"/>
  <c r="N370" i="14"/>
  <c r="M370" i="14"/>
  <c r="N369" i="14"/>
  <c r="M369" i="14"/>
  <c r="N368" i="14"/>
  <c r="M368" i="14"/>
  <c r="N367" i="14"/>
  <c r="M367" i="14"/>
  <c r="N366" i="14"/>
  <c r="M366" i="14"/>
  <c r="N365" i="14"/>
  <c r="M365" i="14"/>
  <c r="N364" i="14"/>
  <c r="M364" i="14"/>
  <c r="N363" i="14"/>
  <c r="M363" i="14"/>
  <c r="N362" i="14"/>
  <c r="M362" i="14"/>
  <c r="N361" i="14"/>
  <c r="M361" i="14"/>
  <c r="N360" i="14"/>
  <c r="M360" i="14"/>
  <c r="N359" i="14"/>
  <c r="M359" i="14"/>
  <c r="N358" i="14"/>
  <c r="M358" i="14"/>
  <c r="N357" i="14"/>
  <c r="M357" i="14"/>
  <c r="N356" i="14"/>
  <c r="M356" i="14"/>
  <c r="N355" i="14"/>
  <c r="M355" i="14"/>
  <c r="N354" i="14"/>
  <c r="M354" i="14"/>
  <c r="N353" i="14"/>
  <c r="M353" i="14"/>
  <c r="N352" i="14"/>
  <c r="M352" i="14"/>
  <c r="N351" i="14"/>
  <c r="M351" i="14"/>
  <c r="N350" i="14"/>
  <c r="M350" i="14"/>
  <c r="N349" i="14"/>
  <c r="M349" i="14"/>
  <c r="N348" i="14"/>
  <c r="M348" i="14"/>
  <c r="N347" i="14"/>
  <c r="M347" i="14"/>
  <c r="N346" i="14"/>
  <c r="M346" i="14"/>
  <c r="N345" i="14"/>
  <c r="M345" i="14"/>
  <c r="N344" i="14"/>
  <c r="M344" i="14"/>
  <c r="N343" i="14"/>
  <c r="M343" i="14"/>
  <c r="N342" i="14"/>
  <c r="M342" i="14"/>
  <c r="N341" i="14"/>
  <c r="M341" i="14"/>
  <c r="N340" i="14"/>
  <c r="M340" i="14"/>
  <c r="N339" i="14"/>
  <c r="M339" i="14"/>
  <c r="N338" i="14"/>
  <c r="M338" i="14"/>
  <c r="N337" i="14"/>
  <c r="M337" i="14"/>
  <c r="N336" i="14"/>
  <c r="M336" i="14"/>
  <c r="N335" i="14"/>
  <c r="M335" i="14"/>
  <c r="N334" i="14"/>
  <c r="M334" i="14"/>
  <c r="N333" i="14"/>
  <c r="M333" i="14"/>
  <c r="N332" i="14"/>
  <c r="M332" i="14"/>
  <c r="N331" i="14"/>
  <c r="M331" i="14"/>
  <c r="N330" i="14"/>
  <c r="M330" i="14"/>
  <c r="N329" i="14"/>
  <c r="M329" i="14"/>
  <c r="N328" i="14"/>
  <c r="M328" i="14"/>
  <c r="N327" i="14"/>
  <c r="M327" i="14"/>
  <c r="N326" i="14"/>
  <c r="M326" i="14"/>
  <c r="N325" i="14"/>
  <c r="M325" i="14"/>
  <c r="N324" i="14"/>
  <c r="M324" i="14"/>
  <c r="N323" i="14"/>
  <c r="M323" i="14"/>
  <c r="N322" i="14"/>
  <c r="M322" i="14"/>
  <c r="N321" i="14"/>
  <c r="M321" i="14"/>
  <c r="N320" i="14"/>
  <c r="M320" i="14"/>
  <c r="N319" i="14"/>
  <c r="M319" i="14"/>
  <c r="N318" i="14"/>
  <c r="M318" i="14"/>
  <c r="N317" i="14"/>
  <c r="M317" i="14"/>
  <c r="N316" i="14"/>
  <c r="M316" i="14"/>
  <c r="N315" i="14"/>
  <c r="M315" i="14"/>
  <c r="N314" i="14"/>
  <c r="M314" i="14"/>
  <c r="N313" i="14"/>
  <c r="M313" i="14"/>
  <c r="N312" i="14"/>
  <c r="M312" i="14"/>
  <c r="N311" i="14"/>
  <c r="M311" i="14"/>
  <c r="N310" i="14"/>
  <c r="M310" i="14"/>
  <c r="N309" i="14"/>
  <c r="M309" i="14"/>
  <c r="N308" i="14"/>
  <c r="M308" i="14"/>
  <c r="N307" i="14"/>
  <c r="M307" i="14"/>
  <c r="N306" i="14"/>
  <c r="M306" i="14"/>
  <c r="N305" i="14"/>
  <c r="M305" i="14"/>
  <c r="N304" i="14"/>
  <c r="M304" i="14"/>
  <c r="N303" i="14"/>
  <c r="M303" i="14"/>
  <c r="N302" i="14"/>
  <c r="M302" i="14"/>
  <c r="N301" i="14"/>
  <c r="M301" i="14"/>
  <c r="N300" i="14"/>
  <c r="M300" i="14"/>
  <c r="N299" i="14"/>
  <c r="M299" i="14"/>
  <c r="N298" i="14"/>
  <c r="M298" i="14"/>
  <c r="N297" i="14"/>
  <c r="M297" i="14"/>
  <c r="N296" i="14"/>
  <c r="M296" i="14"/>
  <c r="N295" i="14"/>
  <c r="M295" i="14"/>
  <c r="N294" i="14"/>
  <c r="M294" i="14"/>
  <c r="N293" i="14"/>
  <c r="M293" i="14"/>
  <c r="N292" i="14"/>
  <c r="M292" i="14"/>
  <c r="N291" i="14"/>
  <c r="M291" i="14"/>
  <c r="N290" i="14"/>
  <c r="M290" i="14"/>
  <c r="N289" i="14"/>
  <c r="M289" i="14"/>
  <c r="N288" i="14"/>
  <c r="M288" i="14"/>
  <c r="N287" i="14"/>
  <c r="M287" i="14"/>
  <c r="N286" i="14"/>
  <c r="M286" i="14"/>
  <c r="N285" i="14"/>
  <c r="M285" i="14"/>
  <c r="N284" i="14"/>
  <c r="M284" i="14"/>
  <c r="N283" i="14"/>
  <c r="M283" i="14"/>
  <c r="N282" i="14"/>
  <c r="M282" i="14"/>
  <c r="N281" i="14"/>
  <c r="M281" i="14"/>
  <c r="N280" i="14"/>
  <c r="M280" i="14"/>
  <c r="N279" i="14"/>
  <c r="M279" i="14"/>
  <c r="N278" i="14"/>
  <c r="M278" i="14"/>
  <c r="N277" i="14"/>
  <c r="M277" i="14"/>
  <c r="N276" i="14"/>
  <c r="M276" i="14"/>
  <c r="N275" i="14"/>
  <c r="M275" i="14"/>
  <c r="N274" i="14"/>
  <c r="M274" i="14"/>
  <c r="N273" i="14"/>
  <c r="M273" i="14"/>
  <c r="N272" i="14"/>
  <c r="M272" i="14"/>
  <c r="N271" i="14"/>
  <c r="M271" i="14"/>
  <c r="N270" i="14"/>
  <c r="M270" i="14"/>
  <c r="N269" i="14"/>
  <c r="M269" i="14"/>
  <c r="N268" i="14"/>
  <c r="M268" i="14"/>
  <c r="N267" i="14"/>
  <c r="M267" i="14"/>
  <c r="N266" i="14"/>
  <c r="M266" i="14"/>
  <c r="N265" i="14"/>
  <c r="M265" i="14"/>
  <c r="N264" i="14"/>
  <c r="M264" i="14"/>
  <c r="N263" i="14"/>
  <c r="M263" i="14"/>
  <c r="N262" i="14"/>
  <c r="M262" i="14"/>
  <c r="N261" i="14"/>
  <c r="M261" i="14"/>
  <c r="N260" i="14"/>
  <c r="M260" i="14"/>
  <c r="N259" i="14"/>
  <c r="M259" i="14"/>
  <c r="N258" i="14"/>
  <c r="M258" i="14"/>
  <c r="N257" i="14"/>
  <c r="M257" i="14"/>
  <c r="N256" i="14"/>
  <c r="M256" i="14"/>
  <c r="N255" i="14"/>
  <c r="M255" i="14"/>
  <c r="N254" i="14"/>
  <c r="M254" i="14"/>
  <c r="N253" i="14"/>
  <c r="M253" i="14"/>
  <c r="N252" i="14"/>
  <c r="M252" i="14"/>
  <c r="N251" i="14"/>
  <c r="M251" i="14"/>
  <c r="N250" i="14"/>
  <c r="M250" i="14"/>
  <c r="N249" i="14"/>
  <c r="M249" i="14"/>
  <c r="N248" i="14"/>
  <c r="M248" i="14"/>
  <c r="N247" i="14"/>
  <c r="M247" i="14"/>
  <c r="N246" i="14"/>
  <c r="M246" i="14"/>
  <c r="N245" i="14"/>
  <c r="M245" i="14"/>
  <c r="N244" i="14"/>
  <c r="M244" i="14"/>
  <c r="N243" i="14"/>
  <c r="M243" i="14"/>
  <c r="N242" i="14"/>
  <c r="M242" i="14"/>
  <c r="N241" i="14"/>
  <c r="M241" i="14"/>
  <c r="N240" i="14"/>
  <c r="M240" i="14"/>
  <c r="N239" i="14"/>
  <c r="M239" i="14"/>
  <c r="N238" i="14"/>
  <c r="M238" i="14"/>
  <c r="N237" i="14"/>
  <c r="M237" i="14"/>
  <c r="N236" i="14"/>
  <c r="M236" i="14"/>
  <c r="N235" i="14"/>
  <c r="M235" i="14"/>
  <c r="N234" i="14"/>
  <c r="M234" i="14"/>
  <c r="N233" i="14"/>
  <c r="M233" i="14"/>
  <c r="N232" i="14"/>
  <c r="M232" i="14"/>
  <c r="N231" i="14"/>
  <c r="M231" i="14"/>
  <c r="N230" i="14"/>
  <c r="M230" i="14"/>
  <c r="N229" i="14"/>
  <c r="M229" i="14"/>
  <c r="N228" i="14"/>
  <c r="M228" i="14"/>
  <c r="N227" i="14"/>
  <c r="M227" i="14"/>
  <c r="N226" i="14"/>
  <c r="M226" i="14"/>
  <c r="N225" i="14"/>
  <c r="M225" i="14"/>
  <c r="N224" i="14"/>
  <c r="M224" i="14"/>
  <c r="N223" i="14"/>
  <c r="M223" i="14"/>
  <c r="N222" i="14"/>
  <c r="M222" i="14"/>
  <c r="N221" i="14"/>
  <c r="M221" i="14"/>
  <c r="N220" i="14"/>
  <c r="M220" i="14"/>
  <c r="N219" i="14"/>
  <c r="M219" i="14"/>
  <c r="N218" i="14"/>
  <c r="M218" i="14"/>
  <c r="N217" i="14"/>
  <c r="M217" i="14"/>
  <c r="N216" i="14"/>
  <c r="M216" i="14"/>
  <c r="N215" i="14"/>
  <c r="M215" i="14"/>
  <c r="N214" i="14"/>
  <c r="M214" i="14"/>
  <c r="N213" i="14"/>
  <c r="M213" i="14"/>
  <c r="N212" i="14"/>
  <c r="M212" i="14"/>
  <c r="N211" i="14"/>
  <c r="M211" i="14"/>
  <c r="N210" i="14"/>
  <c r="M210" i="14"/>
  <c r="N209" i="14"/>
  <c r="M209" i="14"/>
  <c r="N208" i="14"/>
  <c r="M208" i="14"/>
  <c r="N207" i="14"/>
  <c r="M207" i="14"/>
  <c r="N206" i="14"/>
  <c r="M206" i="14"/>
  <c r="N205" i="14"/>
  <c r="M205" i="14"/>
  <c r="N204" i="14"/>
  <c r="M204" i="14"/>
  <c r="N203" i="14"/>
  <c r="M203" i="14"/>
  <c r="N202" i="14"/>
  <c r="M202" i="14"/>
  <c r="N201" i="14"/>
  <c r="M201" i="14"/>
  <c r="N200" i="14"/>
  <c r="M200" i="14"/>
  <c r="N199" i="14"/>
  <c r="M199" i="14"/>
  <c r="N198" i="14"/>
  <c r="M198" i="14"/>
  <c r="N197" i="14"/>
  <c r="M197" i="14"/>
  <c r="N196" i="14"/>
  <c r="M196" i="14"/>
  <c r="N195" i="14"/>
  <c r="M195" i="14"/>
  <c r="N194" i="14"/>
  <c r="M194" i="14"/>
  <c r="N193" i="14"/>
  <c r="M193" i="14"/>
  <c r="N192" i="14"/>
  <c r="M192" i="14"/>
  <c r="N191" i="14"/>
  <c r="M191" i="14"/>
  <c r="N190" i="14"/>
  <c r="M190" i="14"/>
  <c r="N189" i="14"/>
  <c r="M189" i="14"/>
  <c r="N188" i="14"/>
  <c r="M188" i="14"/>
  <c r="N187" i="14"/>
  <c r="M187" i="14"/>
  <c r="N186" i="14"/>
  <c r="M186" i="14"/>
  <c r="N185" i="14"/>
  <c r="M185" i="14"/>
  <c r="N184" i="14"/>
  <c r="M184" i="14"/>
  <c r="N183" i="14"/>
  <c r="M183" i="14"/>
  <c r="N182" i="14"/>
  <c r="M182" i="14"/>
  <c r="N181" i="14"/>
  <c r="M181" i="14"/>
  <c r="N180" i="14"/>
  <c r="M180" i="14"/>
  <c r="N179" i="14"/>
  <c r="M179" i="14"/>
  <c r="N178" i="14"/>
  <c r="M178" i="14"/>
  <c r="N177" i="14"/>
  <c r="M177" i="14"/>
  <c r="N176" i="14"/>
  <c r="M176" i="14"/>
  <c r="N175" i="14"/>
  <c r="M175" i="14"/>
  <c r="N174" i="14"/>
  <c r="M174" i="14"/>
  <c r="N173" i="14"/>
  <c r="M173" i="14"/>
  <c r="N172" i="14"/>
  <c r="M172" i="14"/>
  <c r="N171" i="14"/>
  <c r="M171" i="14"/>
  <c r="N170" i="14"/>
  <c r="M170" i="14"/>
  <c r="N169" i="14"/>
  <c r="M169" i="14"/>
  <c r="N168" i="14"/>
  <c r="M168" i="14"/>
  <c r="N167" i="14"/>
  <c r="M167" i="14"/>
  <c r="N166" i="14"/>
  <c r="M166" i="14"/>
  <c r="N165" i="14"/>
  <c r="M165" i="14"/>
  <c r="N164" i="14"/>
  <c r="M164" i="14"/>
  <c r="N163" i="14"/>
  <c r="M163" i="14"/>
  <c r="N162" i="14"/>
  <c r="M162" i="14"/>
  <c r="N161" i="14"/>
  <c r="M161" i="14"/>
  <c r="N160" i="14"/>
  <c r="M160" i="14"/>
  <c r="N159" i="14"/>
  <c r="M159" i="14"/>
  <c r="N158" i="14"/>
  <c r="M158" i="14"/>
  <c r="N157" i="14"/>
  <c r="M157" i="14"/>
  <c r="N156" i="14"/>
  <c r="M156" i="14"/>
  <c r="N155" i="14"/>
  <c r="M155" i="14"/>
  <c r="N154" i="14"/>
  <c r="M154" i="14"/>
  <c r="N153" i="14"/>
  <c r="M153" i="14"/>
  <c r="N152" i="14"/>
  <c r="M152" i="14"/>
  <c r="N151" i="14"/>
  <c r="M151" i="14"/>
  <c r="N150" i="14"/>
  <c r="M150" i="14"/>
  <c r="N149" i="14"/>
  <c r="M149" i="14"/>
  <c r="N148" i="14"/>
  <c r="M148" i="14"/>
  <c r="N147" i="14"/>
  <c r="M147" i="14"/>
  <c r="N146" i="14"/>
  <c r="M146" i="14"/>
  <c r="N145" i="14"/>
  <c r="M145" i="14"/>
  <c r="N144" i="14"/>
  <c r="M144" i="14"/>
  <c r="N143" i="14"/>
  <c r="M143" i="14"/>
  <c r="N142" i="14"/>
  <c r="M142" i="14"/>
  <c r="N141" i="14"/>
  <c r="M141" i="14"/>
  <c r="N140" i="14"/>
  <c r="M140" i="14"/>
  <c r="N139" i="14"/>
  <c r="M139" i="14"/>
  <c r="N138" i="14"/>
  <c r="M138" i="14"/>
  <c r="N137" i="14"/>
  <c r="M137" i="14"/>
  <c r="N136" i="14"/>
  <c r="M136" i="14"/>
  <c r="N135" i="14"/>
  <c r="M135" i="14"/>
  <c r="N134" i="14"/>
  <c r="M134" i="14"/>
  <c r="N133" i="14"/>
  <c r="M133" i="14"/>
  <c r="N132" i="14"/>
  <c r="M132" i="14"/>
  <c r="N131" i="14"/>
  <c r="M131" i="14"/>
  <c r="N130" i="14"/>
  <c r="M130" i="14"/>
  <c r="N129" i="14"/>
  <c r="M129" i="14"/>
  <c r="N128" i="14"/>
  <c r="M128" i="14"/>
  <c r="N127" i="14"/>
  <c r="M127" i="14"/>
  <c r="N126" i="14"/>
  <c r="M126" i="14"/>
  <c r="N125" i="14"/>
  <c r="M125" i="14"/>
  <c r="N124" i="14"/>
  <c r="M124" i="14"/>
  <c r="N123" i="14"/>
  <c r="M123" i="14"/>
  <c r="N122" i="14"/>
  <c r="M122" i="14"/>
  <c r="N121" i="14"/>
  <c r="M121" i="14"/>
  <c r="N120" i="14"/>
  <c r="M120" i="14"/>
  <c r="N119" i="14"/>
  <c r="M119" i="14"/>
  <c r="N118" i="14"/>
  <c r="M118" i="14"/>
  <c r="N117" i="14"/>
  <c r="M117" i="14"/>
  <c r="N116" i="14"/>
  <c r="M116" i="14"/>
  <c r="N115" i="14"/>
  <c r="M115" i="14"/>
  <c r="N114" i="14"/>
  <c r="M114" i="14"/>
  <c r="N113" i="14"/>
  <c r="M113" i="14"/>
  <c r="N112" i="14"/>
  <c r="M112" i="14"/>
  <c r="N111" i="14"/>
  <c r="M111" i="14"/>
  <c r="N110" i="14"/>
  <c r="M110" i="14"/>
  <c r="N109" i="14"/>
  <c r="M109" i="14"/>
  <c r="N108" i="14"/>
  <c r="M108" i="14"/>
  <c r="N107" i="14"/>
  <c r="M107" i="14"/>
  <c r="N106" i="14"/>
  <c r="M106" i="14"/>
  <c r="N105" i="14"/>
  <c r="M105" i="14"/>
  <c r="N104" i="14"/>
  <c r="M104" i="14"/>
  <c r="N103" i="14"/>
  <c r="M103" i="14"/>
  <c r="N102" i="14"/>
  <c r="M102" i="14"/>
  <c r="N101" i="14"/>
  <c r="M101" i="14"/>
  <c r="N100" i="14"/>
  <c r="M100" i="14"/>
  <c r="N99" i="14"/>
  <c r="M99" i="14"/>
  <c r="N98" i="14"/>
  <c r="M98" i="14"/>
  <c r="N97" i="14"/>
  <c r="M97" i="14"/>
  <c r="N96" i="14"/>
  <c r="M96" i="14"/>
  <c r="N95" i="14"/>
  <c r="M95" i="14"/>
  <c r="N94" i="14"/>
  <c r="M94" i="14"/>
  <c r="N93" i="14"/>
  <c r="M93" i="14"/>
  <c r="N92" i="14"/>
  <c r="M92" i="14"/>
  <c r="N91" i="14"/>
  <c r="M91" i="14"/>
  <c r="N90" i="14"/>
  <c r="M90" i="14"/>
  <c r="N89" i="14"/>
  <c r="M89" i="14"/>
  <c r="N88" i="14"/>
  <c r="M88" i="14"/>
  <c r="N87" i="14"/>
  <c r="M87" i="14"/>
  <c r="N86" i="14"/>
  <c r="M86" i="14"/>
  <c r="N85" i="14"/>
  <c r="M85" i="14"/>
  <c r="N84" i="14"/>
  <c r="M84" i="14"/>
  <c r="N83" i="14"/>
  <c r="M83" i="14"/>
  <c r="N82" i="14"/>
  <c r="M82" i="14"/>
  <c r="N81" i="14"/>
  <c r="M81" i="14"/>
  <c r="N80" i="14"/>
  <c r="M80" i="14"/>
  <c r="N79" i="14"/>
  <c r="M79" i="14"/>
  <c r="N78" i="14"/>
  <c r="M78" i="14"/>
  <c r="N77" i="14"/>
  <c r="M77" i="14"/>
  <c r="N76" i="14"/>
  <c r="M76" i="14"/>
  <c r="N75" i="14"/>
  <c r="M75" i="14"/>
  <c r="N74" i="14"/>
  <c r="M74" i="14"/>
  <c r="N73" i="14"/>
  <c r="M73" i="14"/>
  <c r="N72" i="14"/>
  <c r="M72" i="14"/>
  <c r="N71" i="14"/>
  <c r="M71" i="14"/>
  <c r="N70" i="14"/>
  <c r="M70" i="14"/>
  <c r="N69" i="14"/>
  <c r="M69" i="14"/>
  <c r="N68" i="14"/>
  <c r="M68" i="14"/>
  <c r="N67" i="14"/>
  <c r="M67" i="14"/>
  <c r="N66" i="14"/>
  <c r="M66" i="14"/>
  <c r="N65" i="14"/>
  <c r="M65" i="14"/>
  <c r="N64" i="14"/>
  <c r="M64" i="14"/>
  <c r="N63" i="14"/>
  <c r="M63" i="14"/>
  <c r="N62" i="14"/>
  <c r="M62" i="14"/>
  <c r="N61" i="14"/>
  <c r="M61" i="14"/>
  <c r="N60" i="14"/>
  <c r="M60" i="14"/>
  <c r="N59" i="14"/>
  <c r="M59" i="14"/>
  <c r="N58" i="14"/>
  <c r="M58" i="14"/>
  <c r="N57" i="14"/>
  <c r="M57" i="14"/>
  <c r="N56" i="14"/>
  <c r="M56" i="14"/>
  <c r="N55" i="14"/>
  <c r="M55" i="14"/>
  <c r="N54" i="14"/>
  <c r="M54" i="14"/>
  <c r="N53" i="14"/>
  <c r="M53" i="14"/>
  <c r="N52" i="14"/>
  <c r="M52" i="14"/>
  <c r="N51" i="14"/>
  <c r="M51" i="14"/>
  <c r="N50" i="14"/>
  <c r="M50" i="14"/>
  <c r="N49" i="14"/>
  <c r="M49" i="14"/>
  <c r="N48" i="14"/>
  <c r="M48" i="14"/>
  <c r="N47" i="14"/>
  <c r="M47" i="14"/>
  <c r="N46" i="14"/>
  <c r="M46" i="14"/>
  <c r="N45" i="14"/>
  <c r="M45" i="14"/>
  <c r="N44" i="14"/>
  <c r="M44" i="14"/>
  <c r="N43" i="14"/>
  <c r="M43" i="14"/>
  <c r="N42" i="14"/>
  <c r="M42" i="14"/>
  <c r="N41" i="14"/>
  <c r="M41" i="14"/>
  <c r="N40" i="14"/>
  <c r="M40" i="14"/>
  <c r="N39" i="14"/>
  <c r="M39" i="14"/>
  <c r="N38" i="14"/>
  <c r="M38" i="14"/>
  <c r="N37" i="14"/>
  <c r="M37" i="14"/>
  <c r="N36" i="14"/>
  <c r="M36" i="14"/>
  <c r="N35" i="14"/>
  <c r="M35" i="14"/>
  <c r="N34" i="14"/>
  <c r="M34" i="14"/>
  <c r="N33" i="14"/>
  <c r="M33" i="14"/>
  <c r="N32" i="14"/>
  <c r="M32" i="14"/>
  <c r="N31" i="14"/>
  <c r="M31" i="14"/>
  <c r="N30" i="14"/>
  <c r="M30" i="14"/>
  <c r="N29" i="14"/>
  <c r="M29" i="14"/>
  <c r="N28" i="14"/>
  <c r="M28" i="14"/>
  <c r="N27" i="14"/>
  <c r="M27" i="14"/>
  <c r="N26" i="14"/>
  <c r="M26" i="14"/>
  <c r="N25" i="14"/>
  <c r="M25" i="14"/>
  <c r="N24" i="14"/>
  <c r="M24" i="14"/>
  <c r="N23" i="14"/>
  <c r="M23" i="14"/>
  <c r="N22" i="14"/>
  <c r="M22" i="14"/>
  <c r="N21" i="14"/>
  <c r="M21" i="14"/>
  <c r="N20" i="14"/>
  <c r="M20" i="14"/>
  <c r="N19" i="14"/>
  <c r="M19" i="14"/>
  <c r="N18" i="14"/>
  <c r="M18" i="14"/>
  <c r="N17" i="14"/>
  <c r="M17" i="14"/>
  <c r="N16" i="14"/>
  <c r="M16" i="14"/>
  <c r="N15" i="14"/>
  <c r="M15" i="14"/>
  <c r="N14" i="14"/>
  <c r="M14" i="14"/>
  <c r="N13" i="14"/>
  <c r="M13" i="14"/>
  <c r="N12" i="14"/>
  <c r="M12" i="14"/>
  <c r="N11" i="14"/>
  <c r="M11" i="14"/>
  <c r="N10" i="14"/>
  <c r="M10" i="14"/>
  <c r="N9" i="14"/>
  <c r="M9" i="14"/>
  <c r="N8" i="14"/>
  <c r="M8" i="14"/>
  <c r="N7" i="14"/>
  <c r="M7" i="14"/>
  <c r="N6" i="14"/>
  <c r="M6" i="14"/>
  <c r="N5" i="14"/>
  <c r="M5" i="14"/>
  <c r="N4" i="14"/>
  <c r="M4" i="14"/>
  <c r="N3" i="14"/>
  <c r="M3" i="14"/>
  <c r="N2" i="14"/>
  <c r="M2" i="14"/>
  <c r="C106" i="14" l="1"/>
  <c r="AM106" i="17"/>
  <c r="AL106" i="17"/>
  <c r="C107" i="14"/>
  <c r="AM107" i="17"/>
  <c r="AL107" i="17"/>
  <c r="C108" i="14"/>
  <c r="AM108" i="17"/>
  <c r="AL108" i="17"/>
  <c r="C109" i="14"/>
  <c r="AM109" i="17"/>
  <c r="AL109" i="17"/>
  <c r="AL529" i="17"/>
  <c r="C529" i="14"/>
  <c r="AM529" i="17"/>
  <c r="AL901" i="17"/>
  <c r="C901" i="14"/>
  <c r="AM901" i="17"/>
  <c r="AL902" i="17"/>
  <c r="AM902" i="17"/>
  <c r="C902" i="14"/>
  <c r="C903" i="14"/>
  <c r="AM903" i="17"/>
  <c r="AL903" i="17"/>
  <c r="AM904" i="17"/>
  <c r="AL904" i="17"/>
  <c r="C904" i="14"/>
  <c r="AL905" i="17"/>
  <c r="C905" i="14"/>
  <c r="AM905" i="17"/>
  <c r="AM906" i="17"/>
  <c r="C906" i="14"/>
  <c r="AL906" i="17"/>
  <c r="AL907" i="17"/>
  <c r="C907" i="14"/>
  <c r="AM907" i="17"/>
  <c r="C908" i="14"/>
  <c r="AM908" i="17"/>
  <c r="AL908" i="17"/>
  <c r="AL909" i="17"/>
  <c r="AM909" i="17"/>
  <c r="C909" i="14"/>
  <c r="AL910" i="17"/>
  <c r="AM910" i="17"/>
  <c r="C910" i="14"/>
  <c r="AL911" i="17"/>
  <c r="C911" i="14"/>
  <c r="AM911" i="17"/>
  <c r="AM912" i="17"/>
  <c r="AL912" i="17"/>
  <c r="C912" i="14"/>
  <c r="AL913" i="17"/>
  <c r="C913" i="14"/>
  <c r="AM913" i="17"/>
  <c r="AM914" i="17"/>
  <c r="C914" i="14"/>
  <c r="AL914" i="17"/>
  <c r="C915" i="14"/>
  <c r="AL915" i="17"/>
  <c r="AM915" i="17"/>
  <c r="AM916" i="17"/>
  <c r="C916" i="14"/>
  <c r="AL916" i="17"/>
  <c r="C917" i="14"/>
  <c r="AL917" i="17"/>
  <c r="AM917" i="17"/>
  <c r="AM918" i="17"/>
  <c r="C918" i="14"/>
  <c r="AL918" i="17"/>
  <c r="AL919" i="17"/>
  <c r="C919" i="14"/>
  <c r="AM919" i="17"/>
  <c r="AM920" i="17"/>
  <c r="C920" i="14"/>
  <c r="AL920" i="17"/>
  <c r="AL921" i="17"/>
  <c r="C921" i="14"/>
  <c r="AM921" i="17"/>
  <c r="AM922" i="17"/>
  <c r="C922" i="14"/>
  <c r="AL922" i="17"/>
  <c r="C923" i="14"/>
  <c r="AL923" i="17"/>
  <c r="AM923" i="17"/>
  <c r="AM924" i="17"/>
  <c r="AL924" i="17"/>
  <c r="C924" i="14"/>
  <c r="AL925" i="17"/>
  <c r="AM925" i="17"/>
  <c r="C925" i="14"/>
  <c r="AL926" i="17"/>
  <c r="C926" i="14"/>
  <c r="AM926" i="17"/>
  <c r="AL927" i="17"/>
  <c r="AM927" i="17"/>
  <c r="C927" i="14"/>
  <c r="AL2" i="17"/>
  <c r="AN2" i="17" s="1"/>
  <c r="E568" i="14"/>
  <c r="E570" i="14"/>
  <c r="E571" i="14" s="1"/>
  <c r="E572" i="14"/>
  <c r="E790" i="14"/>
  <c r="E791" i="14"/>
  <c r="E792" i="14"/>
  <c r="E793" i="14"/>
  <c r="E794" i="14"/>
  <c r="E795" i="14"/>
  <c r="E796" i="14" s="1"/>
  <c r="E799" i="14"/>
  <c r="E803" i="14"/>
  <c r="E804" i="14"/>
  <c r="E805" i="14"/>
  <c r="E806" i="14"/>
  <c r="E807" i="14"/>
  <c r="E808" i="14"/>
  <c r="E822" i="14"/>
  <c r="E823" i="14"/>
  <c r="E828" i="14"/>
  <c r="E829" i="14"/>
  <c r="E830" i="14"/>
  <c r="E831" i="14"/>
  <c r="E950" i="14"/>
  <c r="E961" i="14"/>
  <c r="E963" i="14"/>
  <c r="E964" i="14"/>
  <c r="E1018" i="14"/>
  <c r="E1029" i="14"/>
  <c r="E1039" i="14"/>
  <c r="E1051" i="14"/>
  <c r="AM2" i="17"/>
  <c r="C2" i="14"/>
  <c r="AL3" i="17"/>
  <c r="AM3" i="17"/>
  <c r="C3" i="14"/>
  <c r="AL4" i="17"/>
  <c r="AM4" i="17"/>
  <c r="C4" i="14"/>
  <c r="AL5" i="17"/>
  <c r="AM5" i="17"/>
  <c r="C5" i="14"/>
  <c r="AL6" i="17"/>
  <c r="AM6" i="17"/>
  <c r="C6" i="14"/>
  <c r="AL7" i="17"/>
  <c r="AM7" i="17"/>
  <c r="C7" i="14"/>
  <c r="AL8" i="17"/>
  <c r="AM8" i="17"/>
  <c r="C8" i="14"/>
  <c r="AL9" i="17"/>
  <c r="AM9" i="17"/>
  <c r="C9" i="14"/>
  <c r="AL10" i="17"/>
  <c r="AM10" i="17"/>
  <c r="C10" i="14"/>
  <c r="AL11" i="17"/>
  <c r="AM11" i="17"/>
  <c r="C11" i="14"/>
  <c r="AL12" i="17"/>
  <c r="AM12" i="17"/>
  <c r="C12" i="14"/>
  <c r="AL13" i="17"/>
  <c r="AM13" i="17"/>
  <c r="C13" i="14"/>
  <c r="AL14" i="17"/>
  <c r="AM14" i="17"/>
  <c r="C14" i="14"/>
  <c r="AL15" i="17"/>
  <c r="AM15" i="17"/>
  <c r="C15" i="14"/>
  <c r="AL16" i="17"/>
  <c r="AM16" i="17"/>
  <c r="C16" i="14"/>
  <c r="AL17" i="17"/>
  <c r="AM17" i="17"/>
  <c r="C17" i="14"/>
  <c r="AL18" i="17"/>
  <c r="AM18" i="17"/>
  <c r="C18" i="14"/>
  <c r="AL19" i="17"/>
  <c r="AM19" i="17"/>
  <c r="C19" i="14"/>
  <c r="AL20" i="17"/>
  <c r="AM20" i="17"/>
  <c r="C20" i="14"/>
  <c r="AL21" i="17"/>
  <c r="AM21" i="17"/>
  <c r="C21" i="14"/>
  <c r="AL22" i="17"/>
  <c r="AM22" i="17"/>
  <c r="C22" i="14"/>
  <c r="AL23" i="17"/>
  <c r="AM23" i="17"/>
  <c r="C23" i="14"/>
  <c r="AL24" i="17"/>
  <c r="AM24" i="17"/>
  <c r="C24" i="14"/>
  <c r="AL25" i="17"/>
  <c r="AM25" i="17"/>
  <c r="C25" i="14"/>
  <c r="AL26" i="17"/>
  <c r="AM26" i="17"/>
  <c r="C26" i="14"/>
  <c r="AL27" i="17"/>
  <c r="AM27" i="17"/>
  <c r="C27" i="14"/>
  <c r="AL28" i="17"/>
  <c r="AM28" i="17"/>
  <c r="C28" i="14"/>
  <c r="AL29" i="17"/>
  <c r="AM29" i="17"/>
  <c r="C29" i="14"/>
  <c r="AL30" i="17"/>
  <c r="AM30" i="17"/>
  <c r="C30" i="14"/>
  <c r="AL31" i="17"/>
  <c r="AM31" i="17"/>
  <c r="C31" i="14"/>
  <c r="AL32" i="17"/>
  <c r="AM32" i="17"/>
  <c r="C32" i="14"/>
  <c r="AL33" i="17"/>
  <c r="AM33" i="17"/>
  <c r="C33" i="14"/>
  <c r="AL34" i="17"/>
  <c r="AM34" i="17"/>
  <c r="C34" i="14"/>
  <c r="AL35" i="17"/>
  <c r="AM35" i="17"/>
  <c r="C35" i="14"/>
  <c r="AL36" i="17"/>
  <c r="AM36" i="17"/>
  <c r="C36" i="14"/>
  <c r="AL37" i="17"/>
  <c r="AM37" i="17"/>
  <c r="C37" i="14"/>
  <c r="AL38" i="17"/>
  <c r="AM38" i="17"/>
  <c r="C38" i="14"/>
  <c r="AL39" i="17"/>
  <c r="AM39" i="17"/>
  <c r="C39" i="14"/>
  <c r="AL40" i="17"/>
  <c r="AM40" i="17"/>
  <c r="C40" i="14"/>
  <c r="AL41" i="17"/>
  <c r="AM41" i="17"/>
  <c r="C41" i="14"/>
  <c r="AL42" i="17"/>
  <c r="AM42" i="17"/>
  <c r="C42" i="14"/>
  <c r="AL43" i="17"/>
  <c r="AM43" i="17"/>
  <c r="C43" i="14"/>
  <c r="AL44" i="17"/>
  <c r="AM44" i="17"/>
  <c r="C44" i="14"/>
  <c r="AL45" i="17"/>
  <c r="AM45" i="17"/>
  <c r="C45" i="14"/>
  <c r="AL46" i="17"/>
  <c r="AM46" i="17"/>
  <c r="C46" i="14"/>
  <c r="AL47" i="17"/>
  <c r="AM47" i="17"/>
  <c r="C47" i="14"/>
  <c r="AL48" i="17"/>
  <c r="AM48" i="17"/>
  <c r="C48" i="14"/>
  <c r="AL49" i="17"/>
  <c r="AM49" i="17"/>
  <c r="C49" i="14"/>
  <c r="AL50" i="17"/>
  <c r="AM50" i="17"/>
  <c r="C50" i="14"/>
  <c r="AL51" i="17"/>
  <c r="AM51" i="17"/>
  <c r="C51" i="14"/>
  <c r="AL52" i="17"/>
  <c r="AM52" i="17"/>
  <c r="C52" i="14"/>
  <c r="AL53" i="17"/>
  <c r="AM53" i="17"/>
  <c r="C53" i="14"/>
  <c r="AL54" i="17"/>
  <c r="AM54" i="17"/>
  <c r="C54" i="14"/>
  <c r="AL55" i="17"/>
  <c r="AM55" i="17"/>
  <c r="C55" i="14"/>
  <c r="AL56" i="17"/>
  <c r="AM56" i="17"/>
  <c r="C56" i="14"/>
  <c r="AL57" i="17"/>
  <c r="AM57" i="17"/>
  <c r="C57" i="14"/>
  <c r="AL58" i="17"/>
  <c r="AM58" i="17"/>
  <c r="C58" i="14"/>
  <c r="AL59" i="17"/>
  <c r="AM59" i="17"/>
  <c r="C59" i="14"/>
  <c r="AL60" i="17"/>
  <c r="AM60" i="17"/>
  <c r="C60" i="14"/>
  <c r="AL61" i="17"/>
  <c r="AM61" i="17"/>
  <c r="C61" i="14"/>
  <c r="AL62" i="17"/>
  <c r="AM62" i="17"/>
  <c r="C62" i="14"/>
  <c r="AL63" i="17"/>
  <c r="AM63" i="17"/>
  <c r="C63" i="14"/>
  <c r="AL64" i="17"/>
  <c r="AM64" i="17"/>
  <c r="C64" i="14"/>
  <c r="AL65" i="17"/>
  <c r="AM65" i="17"/>
  <c r="C65" i="14"/>
  <c r="AL66" i="17"/>
  <c r="AM66" i="17"/>
  <c r="C66" i="14"/>
  <c r="AL67" i="17"/>
  <c r="AM67" i="17"/>
  <c r="C67" i="14"/>
  <c r="AL68" i="17"/>
  <c r="AM68" i="17"/>
  <c r="C68" i="14"/>
  <c r="AL69" i="17"/>
  <c r="AM69" i="17"/>
  <c r="C69" i="14"/>
  <c r="AL70" i="17"/>
  <c r="AM70" i="17"/>
  <c r="C70" i="14"/>
  <c r="AL71" i="17"/>
  <c r="AM71" i="17"/>
  <c r="C71" i="14"/>
  <c r="AL72" i="17"/>
  <c r="AM72" i="17"/>
  <c r="C72" i="14"/>
  <c r="AL73" i="17"/>
  <c r="AM73" i="17"/>
  <c r="C73" i="14"/>
  <c r="AL74" i="17"/>
  <c r="AM74" i="17"/>
  <c r="C74" i="14"/>
  <c r="AL75" i="17"/>
  <c r="AM75" i="17"/>
  <c r="C75" i="14"/>
  <c r="AL76" i="17"/>
  <c r="AM76" i="17"/>
  <c r="C76" i="14"/>
  <c r="AL77" i="17"/>
  <c r="AM77" i="17"/>
  <c r="C77" i="14"/>
  <c r="AL78" i="17"/>
  <c r="AM78" i="17"/>
  <c r="C78" i="14"/>
  <c r="AL79" i="17"/>
  <c r="AM79" i="17"/>
  <c r="C79" i="14"/>
  <c r="AL80" i="17"/>
  <c r="AM80" i="17"/>
  <c r="C80" i="14"/>
  <c r="AL81" i="17"/>
  <c r="AM81" i="17"/>
  <c r="C81" i="14"/>
  <c r="AL82" i="17"/>
  <c r="AM82" i="17"/>
  <c r="C82" i="14"/>
  <c r="AL83" i="17"/>
  <c r="AM83" i="17"/>
  <c r="C83" i="14"/>
  <c r="AL84" i="17"/>
  <c r="AM84" i="17"/>
  <c r="C84" i="14"/>
  <c r="AL85" i="17"/>
  <c r="AM85" i="17"/>
  <c r="C85" i="14"/>
  <c r="AL86" i="17"/>
  <c r="AM86" i="17"/>
  <c r="C86" i="14"/>
  <c r="AL87" i="17"/>
  <c r="AM87" i="17"/>
  <c r="C87" i="14"/>
  <c r="AL88" i="17"/>
  <c r="AM88" i="17"/>
  <c r="C88" i="14"/>
  <c r="AL89" i="17"/>
  <c r="AM89" i="17"/>
  <c r="C89" i="14"/>
  <c r="AL90" i="17"/>
  <c r="AM90" i="17"/>
  <c r="C90" i="14"/>
  <c r="AL91" i="17"/>
  <c r="AM91" i="17"/>
  <c r="C91" i="14"/>
  <c r="AL92" i="17"/>
  <c r="AM92" i="17"/>
  <c r="C92" i="14"/>
  <c r="AL93" i="17"/>
  <c r="AM93" i="17"/>
  <c r="C93" i="14"/>
  <c r="AL94" i="17"/>
  <c r="AM94" i="17"/>
  <c r="C94" i="14"/>
  <c r="AL95" i="17"/>
  <c r="AM95" i="17"/>
  <c r="C95" i="14"/>
  <c r="AL96" i="17"/>
  <c r="AM96" i="17"/>
  <c r="C96" i="14"/>
  <c r="AL97" i="17"/>
  <c r="AM97" i="17"/>
  <c r="C97" i="14"/>
  <c r="AL98" i="17"/>
  <c r="AM98" i="17"/>
  <c r="C98" i="14"/>
  <c r="AL99" i="17"/>
  <c r="AM99" i="17"/>
  <c r="C99" i="14"/>
  <c r="AL100" i="17"/>
  <c r="AM100" i="17"/>
  <c r="C100" i="14"/>
  <c r="AL101" i="17"/>
  <c r="AM101" i="17"/>
  <c r="C101" i="14"/>
  <c r="AL102" i="17"/>
  <c r="AM102" i="17"/>
  <c r="C102" i="14"/>
  <c r="AL103" i="17"/>
  <c r="AM103" i="17"/>
  <c r="C103" i="14"/>
  <c r="AL104" i="17"/>
  <c r="AM104" i="17"/>
  <c r="C104" i="14"/>
  <c r="AL105" i="17"/>
  <c r="AM105" i="17"/>
  <c r="C105" i="14"/>
  <c r="AL892" i="17"/>
  <c r="AM892" i="17"/>
  <c r="E892" i="14"/>
  <c r="C892" i="14"/>
  <c r="AL893" i="17"/>
  <c r="AM893" i="17"/>
  <c r="C893" i="14"/>
  <c r="C894" i="14"/>
  <c r="AL894" i="17"/>
  <c r="AM894" i="17"/>
  <c r="AL895" i="17"/>
  <c r="AM895" i="17"/>
  <c r="C895" i="14"/>
  <c r="AL896" i="17"/>
  <c r="AM896" i="17"/>
  <c r="C896" i="14"/>
  <c r="AL897" i="17"/>
  <c r="AM897" i="17"/>
  <c r="C897" i="14"/>
  <c r="C898" i="14"/>
  <c r="AL898" i="17"/>
  <c r="AM898" i="17"/>
  <c r="AL899" i="17"/>
  <c r="AM899" i="17"/>
  <c r="C899" i="14"/>
  <c r="AL900" i="17"/>
  <c r="AM900" i="17"/>
  <c r="C900" i="14"/>
  <c r="AL110" i="17"/>
  <c r="AM110" i="17"/>
  <c r="AL111" i="17"/>
  <c r="AM111" i="17"/>
  <c r="AL112" i="17"/>
  <c r="AM112" i="17"/>
  <c r="AM113" i="17"/>
  <c r="AL113" i="17"/>
  <c r="AM114" i="17"/>
  <c r="AL114" i="17"/>
  <c r="AM115" i="17"/>
  <c r="AL115" i="17"/>
  <c r="AM116" i="17"/>
  <c r="AL116" i="17"/>
  <c r="AM117" i="17"/>
  <c r="AL117" i="17"/>
  <c r="AL118" i="17"/>
  <c r="AM118" i="17"/>
  <c r="AL119" i="17"/>
  <c r="AM119" i="17"/>
  <c r="AL120" i="17"/>
  <c r="AM120" i="17"/>
  <c r="AM121" i="17"/>
  <c r="AL121" i="17"/>
  <c r="AL122" i="17"/>
  <c r="AM122" i="17"/>
  <c r="AL123" i="17"/>
  <c r="AM123" i="17"/>
  <c r="AM124" i="17"/>
  <c r="AL124" i="17"/>
  <c r="AL125" i="17"/>
  <c r="AM125" i="17"/>
  <c r="AM126" i="17"/>
  <c r="AL126" i="17"/>
  <c r="AL127" i="17"/>
  <c r="AM127" i="17"/>
  <c r="AL128" i="17"/>
  <c r="AM128" i="17"/>
  <c r="AL129" i="17"/>
  <c r="AM129" i="17"/>
  <c r="AL130" i="17"/>
  <c r="AM130" i="17"/>
  <c r="AL131" i="17"/>
  <c r="AM131" i="17"/>
  <c r="AL132" i="17"/>
  <c r="AM132" i="17"/>
  <c r="AL133" i="17"/>
  <c r="AM133" i="17"/>
  <c r="AL134" i="17"/>
  <c r="AM134" i="17"/>
  <c r="AL135" i="17"/>
  <c r="AM135" i="17"/>
  <c r="AL136" i="17"/>
  <c r="AM136" i="17"/>
  <c r="AM137" i="17"/>
  <c r="AL137" i="17"/>
  <c r="AM138" i="17"/>
  <c r="AL138" i="17"/>
  <c r="AL139" i="17"/>
  <c r="AM139" i="17"/>
  <c r="AM140" i="17"/>
  <c r="AL140" i="17"/>
  <c r="AM141" i="17"/>
  <c r="AL141" i="17"/>
  <c r="AM142" i="17"/>
  <c r="AL142" i="17"/>
  <c r="AM143" i="17"/>
  <c r="AL143" i="17"/>
  <c r="AL144" i="17"/>
  <c r="AM144" i="17"/>
  <c r="AL145" i="17"/>
  <c r="AM145" i="17"/>
  <c r="AM146" i="17"/>
  <c r="AL146" i="17"/>
  <c r="AL147" i="17"/>
  <c r="AM147" i="17"/>
  <c r="AM148" i="17"/>
  <c r="AL148" i="17"/>
  <c r="AM149" i="17"/>
  <c r="AL149" i="17"/>
  <c r="AM150" i="17"/>
  <c r="AL150" i="17"/>
  <c r="AM151" i="17"/>
  <c r="AL151" i="17"/>
  <c r="AM152" i="17"/>
  <c r="AL152" i="17"/>
  <c r="AM153" i="17"/>
  <c r="AL153" i="17"/>
  <c r="AM154" i="17"/>
  <c r="AL154" i="17"/>
  <c r="AL155" i="17"/>
  <c r="AM155" i="17"/>
  <c r="AL156" i="17"/>
  <c r="AM156" i="17"/>
  <c r="AM157" i="17"/>
  <c r="AL157" i="17"/>
  <c r="AL158" i="17"/>
  <c r="AM158" i="17"/>
  <c r="AL159" i="17"/>
  <c r="AM159" i="17"/>
  <c r="AM160" i="17"/>
  <c r="AL160" i="17"/>
  <c r="AM161" i="17"/>
  <c r="AL161" i="17"/>
  <c r="AM162" i="17"/>
  <c r="AL162" i="17"/>
  <c r="AM163" i="17"/>
  <c r="AL163" i="17"/>
  <c r="AM164" i="17"/>
  <c r="AL164" i="17"/>
  <c r="AM165" i="17"/>
  <c r="AL165" i="17"/>
  <c r="AM166" i="17"/>
  <c r="AL166" i="17"/>
  <c r="AM167" i="17"/>
  <c r="AL167" i="17"/>
  <c r="AM168" i="17"/>
  <c r="AL168" i="17"/>
  <c r="AM169" i="17"/>
  <c r="AL169" i="17"/>
  <c r="AM170" i="17"/>
  <c r="AL170" i="17"/>
  <c r="AM171" i="17"/>
  <c r="AL171" i="17"/>
  <c r="AM172" i="17"/>
  <c r="AL172" i="17"/>
  <c r="AM173" i="17"/>
  <c r="AL173" i="17"/>
  <c r="AM174" i="17"/>
  <c r="AL174" i="17"/>
  <c r="AM175" i="17"/>
  <c r="AL175" i="17"/>
  <c r="AM176" i="17"/>
  <c r="AL176" i="17"/>
  <c r="AL177" i="17"/>
  <c r="AM177" i="17"/>
  <c r="AL178" i="17"/>
  <c r="AM178" i="17"/>
  <c r="AL179" i="17"/>
  <c r="AM179" i="17"/>
  <c r="AM180" i="17"/>
  <c r="AL180" i="17"/>
  <c r="AL181" i="17"/>
  <c r="AM181" i="17"/>
  <c r="AM182" i="17"/>
  <c r="AL182" i="17"/>
  <c r="AL183" i="17"/>
  <c r="AM183" i="17"/>
  <c r="AM184" i="17"/>
  <c r="AL184" i="17"/>
  <c r="AM185" i="17"/>
  <c r="AL185" i="17"/>
  <c r="AL186" i="17"/>
  <c r="AM186" i="17"/>
  <c r="AL187" i="17"/>
  <c r="AM187" i="17"/>
  <c r="AL188" i="17"/>
  <c r="AM188" i="17"/>
  <c r="AM189" i="17"/>
  <c r="AL189" i="17"/>
  <c r="AL190" i="17"/>
  <c r="AM190" i="17"/>
  <c r="AM191" i="17"/>
  <c r="AL191" i="17"/>
  <c r="AM192" i="17"/>
  <c r="AL192" i="17"/>
  <c r="AM193" i="17"/>
  <c r="AL193" i="17"/>
  <c r="AM194" i="17"/>
  <c r="AL194" i="17"/>
  <c r="AM195" i="17"/>
  <c r="AL195" i="17"/>
  <c r="AM196" i="17"/>
  <c r="AL196" i="17"/>
  <c r="AM197" i="17"/>
  <c r="AL197" i="17"/>
  <c r="AL198" i="17"/>
  <c r="AM198" i="17"/>
  <c r="AL199" i="17"/>
  <c r="AM199" i="17"/>
  <c r="AM200" i="17"/>
  <c r="AL200" i="17"/>
  <c r="AL201" i="17"/>
  <c r="AM201" i="17"/>
  <c r="AL202" i="17"/>
  <c r="AM202" i="17"/>
  <c r="AL203" i="17"/>
  <c r="AM203" i="17"/>
  <c r="AM204" i="17"/>
  <c r="AL204" i="17"/>
  <c r="AM205" i="17"/>
  <c r="AL205" i="17"/>
  <c r="AL206" i="17"/>
  <c r="AM206" i="17"/>
  <c r="AL207" i="17"/>
  <c r="AM207" i="17"/>
  <c r="AM208" i="17"/>
  <c r="AL208" i="17"/>
  <c r="AM209" i="17"/>
  <c r="AL209" i="17"/>
  <c r="AM210" i="17"/>
  <c r="AL210" i="17"/>
  <c r="AM211" i="17"/>
  <c r="AL211" i="17"/>
  <c r="AM212" i="17"/>
  <c r="AL212" i="17"/>
  <c r="AM213" i="17"/>
  <c r="AL213" i="17"/>
  <c r="AM214" i="17"/>
  <c r="AL214" i="17"/>
  <c r="AM215" i="17"/>
  <c r="AL215" i="17"/>
  <c r="AM216" i="17"/>
  <c r="AL216" i="17"/>
  <c r="AL217" i="17"/>
  <c r="AM217" i="17"/>
  <c r="AL218" i="17"/>
  <c r="AM218" i="17"/>
  <c r="AL219" i="17"/>
  <c r="AM219" i="17"/>
  <c r="AL220" i="17"/>
  <c r="AM220" i="17"/>
  <c r="AL221" i="17"/>
  <c r="AM221" i="17"/>
  <c r="AM222" i="17"/>
  <c r="AL222" i="17"/>
  <c r="AL223" i="17"/>
  <c r="AM223" i="17"/>
  <c r="AL224" i="17"/>
  <c r="AM224" i="17"/>
  <c r="AL225" i="17"/>
  <c r="AM225" i="17"/>
  <c r="AL226" i="17"/>
  <c r="AM226" i="17"/>
  <c r="AL227" i="17"/>
  <c r="AM227" i="17"/>
  <c r="AM228" i="17"/>
  <c r="AL228" i="17"/>
  <c r="AL229" i="17"/>
  <c r="AM229" i="17"/>
  <c r="AL230" i="17"/>
  <c r="AM230" i="17"/>
  <c r="AL231" i="17"/>
  <c r="AM231" i="17"/>
  <c r="AM232" i="17"/>
  <c r="AL232" i="17"/>
  <c r="AM233" i="17"/>
  <c r="AL233" i="17"/>
  <c r="AM234" i="17"/>
  <c r="AL234" i="17"/>
  <c r="AM235" i="17"/>
  <c r="AL235" i="17"/>
  <c r="AM236" i="17"/>
  <c r="AL236" i="17"/>
  <c r="AL237" i="17"/>
  <c r="AM237" i="17"/>
  <c r="AM238" i="17"/>
  <c r="AL238" i="17"/>
  <c r="AM239" i="17"/>
  <c r="AL239" i="17"/>
  <c r="AM240" i="17"/>
  <c r="AL240" i="17"/>
  <c r="AM241" i="17"/>
  <c r="AL241" i="17"/>
  <c r="AL242" i="17"/>
  <c r="AM242" i="17"/>
  <c r="AL243" i="17"/>
  <c r="AM243" i="17"/>
  <c r="AL244" i="17"/>
  <c r="AM244" i="17"/>
  <c r="AL245" i="17"/>
  <c r="AM245" i="17"/>
  <c r="AL246" i="17"/>
  <c r="AM246" i="17"/>
  <c r="AL247" i="17"/>
  <c r="AM247" i="17"/>
  <c r="AL248" i="17"/>
  <c r="AM248" i="17"/>
  <c r="AM249" i="17"/>
  <c r="AL249" i="17"/>
  <c r="AL250" i="17"/>
  <c r="AM250" i="17"/>
  <c r="AM251" i="17"/>
  <c r="AL251" i="17"/>
  <c r="AL252" i="17"/>
  <c r="AM252" i="17"/>
  <c r="AM253" i="17"/>
  <c r="AL253" i="17"/>
  <c r="AL254" i="17"/>
  <c r="AM254" i="17"/>
  <c r="AL255" i="17"/>
  <c r="AM255" i="17"/>
  <c r="AM256" i="17"/>
  <c r="AL256" i="17"/>
  <c r="AM257" i="17"/>
  <c r="AL257" i="17"/>
  <c r="AL258" i="17"/>
  <c r="AM258" i="17"/>
  <c r="AL259" i="17"/>
  <c r="AM259" i="17"/>
  <c r="AL260" i="17"/>
  <c r="AM260" i="17"/>
  <c r="AL261" i="17"/>
  <c r="AM261" i="17"/>
  <c r="AM262" i="17"/>
  <c r="AL262" i="17"/>
  <c r="AL263" i="17"/>
  <c r="AM263" i="17"/>
  <c r="AL264" i="17"/>
  <c r="AM264" i="17"/>
  <c r="AL265" i="17"/>
  <c r="AM265" i="17"/>
  <c r="AL266" i="17"/>
  <c r="AM266" i="17"/>
  <c r="AM267" i="17"/>
  <c r="AL267" i="17"/>
  <c r="AM268" i="17"/>
  <c r="AL268" i="17"/>
  <c r="AM269" i="17"/>
  <c r="AL269" i="17"/>
  <c r="AM270" i="17"/>
  <c r="AL270" i="17"/>
  <c r="AM271" i="17"/>
  <c r="AL271" i="17"/>
  <c r="AM272" i="17"/>
  <c r="AL272" i="17"/>
  <c r="AM273" i="17"/>
  <c r="AL273" i="17"/>
  <c r="AM274" i="17"/>
  <c r="AL274" i="17"/>
  <c r="AM275" i="17"/>
  <c r="AL275" i="17"/>
  <c r="AL276" i="17"/>
  <c r="AM276" i="17"/>
  <c r="AM277" i="17"/>
  <c r="AL277" i="17"/>
  <c r="AL278" i="17"/>
  <c r="AM278" i="17"/>
  <c r="AM279" i="17"/>
  <c r="AL279" i="17"/>
  <c r="AM280" i="17"/>
  <c r="AL280" i="17"/>
  <c r="AM281" i="17"/>
  <c r="AL281" i="17"/>
  <c r="AM282" i="17"/>
  <c r="AL282" i="17"/>
  <c r="AM283" i="17"/>
  <c r="AL283" i="17"/>
  <c r="AL284" i="17"/>
  <c r="AM284" i="17"/>
  <c r="AL285" i="17"/>
  <c r="AM285" i="17"/>
  <c r="AM286" i="17"/>
  <c r="AL286" i="17"/>
  <c r="AL287" i="17"/>
  <c r="AM287" i="17"/>
  <c r="AL288" i="17"/>
  <c r="AM288" i="17"/>
  <c r="AL289" i="17"/>
  <c r="AM289" i="17"/>
  <c r="AM290" i="17"/>
  <c r="AL290" i="17"/>
  <c r="AL291" i="17"/>
  <c r="AM291" i="17"/>
  <c r="AM292" i="17"/>
  <c r="AL292" i="17"/>
  <c r="AL293" i="17"/>
  <c r="AM293" i="17"/>
  <c r="AM294" i="17"/>
  <c r="AL294" i="17"/>
  <c r="AM295" i="17"/>
  <c r="AL295" i="17"/>
  <c r="AL296" i="17"/>
  <c r="AM296" i="17"/>
  <c r="AM297" i="17"/>
  <c r="AL297" i="17"/>
  <c r="AL298" i="17"/>
  <c r="AM298" i="17"/>
  <c r="AL299" i="17"/>
  <c r="AM299" i="17"/>
  <c r="AM300" i="17"/>
  <c r="AL300" i="17"/>
  <c r="AM301" i="17"/>
  <c r="AL301" i="17"/>
  <c r="AL302" i="17"/>
  <c r="AM302" i="17"/>
  <c r="AL303" i="17"/>
  <c r="AM303" i="17"/>
  <c r="AL304" i="17"/>
  <c r="AM304" i="17"/>
  <c r="AM305" i="17"/>
  <c r="AL305" i="17"/>
  <c r="AM306" i="17"/>
  <c r="AL306" i="17"/>
  <c r="AL307" i="17"/>
  <c r="AM307" i="17"/>
  <c r="AM308" i="17"/>
  <c r="AL308" i="17"/>
  <c r="AL309" i="17"/>
  <c r="AM309" i="17"/>
  <c r="AM310" i="17"/>
  <c r="AL310" i="17"/>
  <c r="AL311" i="17"/>
  <c r="AM311" i="17"/>
  <c r="AL312" i="17"/>
  <c r="AM312" i="17"/>
  <c r="AL313" i="17"/>
  <c r="AM313" i="17"/>
  <c r="AL314" i="17"/>
  <c r="AM314" i="17"/>
  <c r="AL315" i="17"/>
  <c r="AM315" i="17"/>
  <c r="AM316" i="17"/>
  <c r="AL316" i="17"/>
  <c r="AM317" i="17"/>
  <c r="AL317" i="17"/>
  <c r="AM318" i="17"/>
  <c r="AL318" i="17"/>
  <c r="AM319" i="17"/>
  <c r="AL319" i="17"/>
  <c r="AL320" i="17"/>
  <c r="AM320" i="17"/>
  <c r="AL321" i="17"/>
  <c r="AM321" i="17"/>
  <c r="AL322" i="17"/>
  <c r="AM322" i="17"/>
  <c r="AM323" i="17"/>
  <c r="AL323" i="17"/>
  <c r="AM324" i="17"/>
  <c r="AL324" i="17"/>
  <c r="AM325" i="17"/>
  <c r="AL325" i="17"/>
  <c r="AM326" i="17"/>
  <c r="AL326" i="17"/>
  <c r="AL327" i="17"/>
  <c r="AM327" i="17"/>
  <c r="AM328" i="17"/>
  <c r="AL328" i="17"/>
  <c r="AM329" i="17"/>
  <c r="AL329" i="17"/>
  <c r="AM330" i="17"/>
  <c r="AL330" i="17"/>
  <c r="AL331" i="17"/>
  <c r="AM331" i="17"/>
  <c r="AM332" i="17"/>
  <c r="AL332" i="17"/>
  <c r="AL333" i="17"/>
  <c r="AM333" i="17"/>
  <c r="AM334" i="17"/>
  <c r="AL334" i="17"/>
  <c r="AL335" i="17"/>
  <c r="AM335" i="17"/>
  <c r="AM336" i="17"/>
  <c r="AL336" i="17"/>
  <c r="AL337" i="17"/>
  <c r="AM337" i="17"/>
  <c r="AL338" i="17"/>
  <c r="AM338" i="17"/>
  <c r="AL339" i="17"/>
  <c r="AM339" i="17"/>
  <c r="AM340" i="17"/>
  <c r="AL340" i="17"/>
  <c r="AL341" i="17"/>
  <c r="AM341" i="17"/>
  <c r="AL342" i="17"/>
  <c r="AM342" i="17"/>
  <c r="AL343" i="17"/>
  <c r="AM343" i="17"/>
  <c r="AL344" i="17"/>
  <c r="AM344" i="17"/>
  <c r="AM345" i="17"/>
  <c r="AL345" i="17"/>
  <c r="AL346" i="17"/>
  <c r="AM346" i="17"/>
  <c r="AM347" i="17"/>
  <c r="AL347" i="17"/>
  <c r="AM348" i="17"/>
  <c r="AL348" i="17"/>
  <c r="AM349" i="17"/>
  <c r="AL349" i="17"/>
  <c r="AL350" i="17"/>
  <c r="AM350" i="17"/>
  <c r="AM351" i="17"/>
  <c r="AL351" i="17"/>
  <c r="AL352" i="17"/>
  <c r="AM352" i="17"/>
  <c r="AM353" i="17"/>
  <c r="AL353" i="17"/>
  <c r="AM354" i="17"/>
  <c r="AL354" i="17"/>
  <c r="AM355" i="17"/>
  <c r="AL355" i="17"/>
  <c r="AM356" i="17"/>
  <c r="AL356" i="17"/>
  <c r="AL357" i="17"/>
  <c r="AM357" i="17"/>
  <c r="AL358" i="17"/>
  <c r="AM358" i="17"/>
  <c r="AM359" i="17"/>
  <c r="AL359" i="17"/>
  <c r="AL360" i="17"/>
  <c r="AM360" i="17"/>
  <c r="AM361" i="17"/>
  <c r="AL361" i="17"/>
  <c r="AM362" i="17"/>
  <c r="AL362" i="17"/>
  <c r="AL363" i="17"/>
  <c r="AM363" i="17"/>
  <c r="AM364" i="17"/>
  <c r="AL364" i="17"/>
  <c r="AL365" i="17"/>
  <c r="AM365" i="17"/>
  <c r="AL366" i="17"/>
  <c r="AM366" i="17"/>
  <c r="AM367" i="17"/>
  <c r="AL367" i="17"/>
  <c r="AM368" i="17"/>
  <c r="AL368" i="17"/>
  <c r="AM369" i="17"/>
  <c r="AL369" i="17"/>
  <c r="AL370" i="17"/>
  <c r="AM370" i="17"/>
  <c r="AM371" i="17"/>
  <c r="AL371" i="17"/>
  <c r="AL372" i="17"/>
  <c r="AM372" i="17"/>
  <c r="AL373" i="17"/>
  <c r="AM373" i="17"/>
  <c r="AL374" i="17"/>
  <c r="AM374" i="17"/>
  <c r="AM375" i="17"/>
  <c r="AL375" i="17"/>
  <c r="AL376" i="17"/>
  <c r="AM376" i="17"/>
  <c r="AM377" i="17"/>
  <c r="AL377" i="17"/>
  <c r="AL378" i="17"/>
  <c r="AM378" i="17"/>
  <c r="AM379" i="17"/>
  <c r="AL379" i="17"/>
  <c r="AL380" i="17"/>
  <c r="AM380" i="17"/>
  <c r="AL381" i="17"/>
  <c r="AM381" i="17"/>
  <c r="AM382" i="17"/>
  <c r="AL382" i="17"/>
  <c r="AM383" i="17"/>
  <c r="AL383" i="17"/>
  <c r="AM384" i="17"/>
  <c r="AL384" i="17"/>
  <c r="AM385" i="17"/>
  <c r="AL385" i="17"/>
  <c r="AM386" i="17"/>
  <c r="AL386" i="17"/>
  <c r="AL387" i="17"/>
  <c r="AM387" i="17"/>
  <c r="AM388" i="17"/>
  <c r="AL388" i="17"/>
  <c r="AM389" i="17"/>
  <c r="AL389" i="17"/>
  <c r="AM390" i="17"/>
  <c r="AL390" i="17"/>
  <c r="AL391" i="17"/>
  <c r="AM391" i="17"/>
  <c r="AM392" i="17"/>
  <c r="AL392" i="17"/>
  <c r="AM393" i="17"/>
  <c r="AL393" i="17"/>
  <c r="AL394" i="17"/>
  <c r="AM394" i="17"/>
  <c r="AL395" i="17"/>
  <c r="AM395" i="17"/>
  <c r="AL396" i="17"/>
  <c r="AM396" i="17"/>
  <c r="AM397" i="17"/>
  <c r="AL397" i="17"/>
  <c r="AM398" i="17"/>
  <c r="AL398" i="17"/>
  <c r="AM399" i="17"/>
  <c r="AL399" i="17"/>
  <c r="AM400" i="17"/>
  <c r="AL400" i="17"/>
  <c r="AL401" i="17"/>
  <c r="AM401" i="17"/>
  <c r="AM402" i="17"/>
  <c r="AL402" i="17"/>
  <c r="AM403" i="17"/>
  <c r="AL403" i="17"/>
  <c r="AM404" i="17"/>
  <c r="AL404" i="17"/>
  <c r="AM405" i="17"/>
  <c r="AL405" i="17"/>
  <c r="AM406" i="17"/>
  <c r="AL406" i="17"/>
  <c r="AM407" i="17"/>
  <c r="AL407" i="17"/>
  <c r="AL408" i="17"/>
  <c r="AM408" i="17"/>
  <c r="AM409" i="17"/>
  <c r="AL409" i="17"/>
  <c r="AL410" i="17"/>
  <c r="AM410" i="17"/>
  <c r="AL411" i="17"/>
  <c r="AM411" i="17"/>
  <c r="AL412" i="17"/>
  <c r="AM412" i="17"/>
  <c r="AM413" i="17"/>
  <c r="AL413" i="17"/>
  <c r="AL414" i="17"/>
  <c r="AM414" i="17"/>
  <c r="AL415" i="17"/>
  <c r="AM415" i="17"/>
  <c r="AL416" i="17"/>
  <c r="AM416" i="17"/>
  <c r="AL417" i="17"/>
  <c r="AM417" i="17"/>
  <c r="AL418" i="17"/>
  <c r="AM418" i="17"/>
  <c r="AL419" i="17"/>
  <c r="AM419" i="17"/>
  <c r="AM420" i="17"/>
  <c r="AL420" i="17"/>
  <c r="AL421" i="17"/>
  <c r="AM421" i="17"/>
  <c r="AL422" i="17"/>
  <c r="AM422" i="17"/>
  <c r="AL423" i="17"/>
  <c r="AM423" i="17"/>
  <c r="AM424" i="17"/>
  <c r="AL424" i="17"/>
  <c r="AL425" i="17"/>
  <c r="AM425" i="17"/>
  <c r="AL426" i="17"/>
  <c r="AM426" i="17"/>
  <c r="AM427" i="17"/>
  <c r="AL427" i="17"/>
  <c r="AL428" i="17"/>
  <c r="AM428" i="17"/>
  <c r="AL429" i="17"/>
  <c r="AM429" i="17"/>
  <c r="AL430" i="17"/>
  <c r="AM430" i="17"/>
  <c r="AL431" i="17"/>
  <c r="AM431" i="17"/>
  <c r="AL432" i="17"/>
  <c r="AM432" i="17"/>
  <c r="AL433" i="17"/>
  <c r="AM433" i="17"/>
  <c r="AM434" i="17"/>
  <c r="AL434" i="17"/>
  <c r="AM435" i="17"/>
  <c r="AL435" i="17"/>
  <c r="AL436" i="17"/>
  <c r="AM436" i="17"/>
  <c r="AL437" i="17"/>
  <c r="AM437" i="17"/>
  <c r="AM438" i="17"/>
  <c r="AL438" i="17"/>
  <c r="AM439" i="17"/>
  <c r="AL439" i="17"/>
  <c r="AM440" i="17"/>
  <c r="AL440" i="17"/>
  <c r="AL441" i="17"/>
  <c r="AM441" i="17"/>
  <c r="AL442" i="17"/>
  <c r="AM442" i="17"/>
  <c r="AL443" i="17"/>
  <c r="AM443" i="17"/>
  <c r="AL444" i="17"/>
  <c r="AM444" i="17"/>
  <c r="AM445" i="17"/>
  <c r="AL445" i="17"/>
  <c r="AL446" i="17"/>
  <c r="AM446" i="17"/>
  <c r="AL447" i="17"/>
  <c r="AM447" i="17"/>
  <c r="AL448" i="17"/>
  <c r="AM448" i="17"/>
  <c r="AL449" i="17"/>
  <c r="AM449" i="17"/>
  <c r="AL450" i="17"/>
  <c r="AM450" i="17"/>
  <c r="AL451" i="17"/>
  <c r="AM451" i="17"/>
  <c r="AM452" i="17"/>
  <c r="AL452" i="17"/>
  <c r="AL453" i="17"/>
  <c r="AM453" i="17"/>
  <c r="AM454" i="17"/>
  <c r="AL454" i="17"/>
  <c r="AM455" i="17"/>
  <c r="AL455" i="17"/>
  <c r="AL456" i="17"/>
  <c r="AM456" i="17"/>
  <c r="AL457" i="17"/>
  <c r="AM457" i="17"/>
  <c r="AM458" i="17"/>
  <c r="AL458" i="17"/>
  <c r="AL459" i="17"/>
  <c r="AM459" i="17"/>
  <c r="AM460" i="17"/>
  <c r="AL460" i="17"/>
  <c r="AL461" i="17"/>
  <c r="AM461" i="17"/>
  <c r="AL462" i="17"/>
  <c r="AM462" i="17"/>
  <c r="AL463" i="17"/>
  <c r="AM463" i="17"/>
  <c r="AL464" i="17"/>
  <c r="AM464" i="17"/>
  <c r="AL465" i="17"/>
  <c r="AM465" i="17"/>
  <c r="AM466" i="17"/>
  <c r="AL466" i="17"/>
  <c r="AM467" i="17"/>
  <c r="AL467" i="17"/>
  <c r="AM468" i="17"/>
  <c r="AL468" i="17"/>
  <c r="AM469" i="17"/>
  <c r="AL469" i="17"/>
  <c r="AM470" i="17"/>
  <c r="AL470" i="17"/>
  <c r="AM471" i="17"/>
  <c r="AL471" i="17"/>
  <c r="AM472" i="17"/>
  <c r="AL472" i="17"/>
  <c r="AM473" i="17"/>
  <c r="AL473" i="17"/>
  <c r="AM474" i="17"/>
  <c r="AL474" i="17"/>
  <c r="AL475" i="17"/>
  <c r="AM475" i="17"/>
  <c r="AM476" i="17"/>
  <c r="AL476" i="17"/>
  <c r="AL477" i="17"/>
  <c r="AM477" i="17"/>
  <c r="AM478" i="17"/>
  <c r="AL478" i="17"/>
  <c r="AL479" i="17"/>
  <c r="AM479" i="17"/>
  <c r="AM480" i="17"/>
  <c r="AL480" i="17"/>
  <c r="AM481" i="17"/>
  <c r="AL481" i="17"/>
  <c r="AL482" i="17"/>
  <c r="AM482" i="17"/>
  <c r="AL483" i="17"/>
  <c r="AM483" i="17"/>
  <c r="AL484" i="17"/>
  <c r="AM484" i="17"/>
  <c r="AM485" i="17"/>
  <c r="AL485" i="17"/>
  <c r="AL486" i="17"/>
  <c r="AM486" i="17"/>
  <c r="AL487" i="17"/>
  <c r="AM487" i="17"/>
  <c r="AM488" i="17"/>
  <c r="AL488" i="17"/>
  <c r="AM489" i="17"/>
  <c r="AL489" i="17"/>
  <c r="AM490" i="17"/>
  <c r="AL490" i="17"/>
  <c r="AL491" i="17"/>
  <c r="AM491" i="17"/>
  <c r="AL492" i="17"/>
  <c r="AM492" i="17"/>
  <c r="AM493" i="17"/>
  <c r="AL493" i="17"/>
  <c r="AL494" i="17"/>
  <c r="AM494" i="17"/>
  <c r="AL495" i="17"/>
  <c r="AM495" i="17"/>
  <c r="AL496" i="17"/>
  <c r="AM496" i="17"/>
  <c r="AL497" i="17"/>
  <c r="AM497" i="17"/>
  <c r="AL498" i="17"/>
  <c r="AM498" i="17"/>
  <c r="AL499" i="17"/>
  <c r="AM499" i="17"/>
  <c r="AM500" i="17"/>
  <c r="AL500" i="17"/>
  <c r="AL501" i="17"/>
  <c r="AM501" i="17"/>
  <c r="AM502" i="17"/>
  <c r="AL502" i="17"/>
  <c r="AL503" i="17"/>
  <c r="AM503" i="17"/>
  <c r="AL504" i="17"/>
  <c r="AM504" i="17"/>
  <c r="AL505" i="17"/>
  <c r="AM505" i="17"/>
  <c r="AL506" i="17"/>
  <c r="AM506" i="17"/>
  <c r="AM507" i="17"/>
  <c r="AL507" i="17"/>
  <c r="AL508" i="17"/>
  <c r="AM508" i="17"/>
  <c r="AM509" i="17"/>
  <c r="AL509" i="17"/>
  <c r="AL510" i="17"/>
  <c r="AM510" i="17"/>
  <c r="AM511" i="17"/>
  <c r="AL511" i="17"/>
  <c r="AM512" i="17"/>
  <c r="AL512" i="17"/>
  <c r="AM513" i="17"/>
  <c r="AL513" i="17"/>
  <c r="AL514" i="17"/>
  <c r="AM514" i="17"/>
  <c r="AL515" i="17"/>
  <c r="AM515" i="17"/>
  <c r="AM516" i="17"/>
  <c r="AL516" i="17"/>
  <c r="AM517" i="17"/>
  <c r="AL517" i="17"/>
  <c r="AL518" i="17"/>
  <c r="AM518" i="17"/>
  <c r="AM519" i="17"/>
  <c r="AL519" i="17"/>
  <c r="AL520" i="17"/>
  <c r="AM520" i="17"/>
  <c r="AL521" i="17"/>
  <c r="AM521" i="17"/>
  <c r="AL522" i="17"/>
  <c r="AM522" i="17"/>
  <c r="AL523" i="17"/>
  <c r="AM523" i="17"/>
  <c r="AL524" i="17"/>
  <c r="AM524" i="17"/>
  <c r="AL525" i="17"/>
  <c r="AM525" i="17"/>
  <c r="AL526" i="17"/>
  <c r="AM526" i="17"/>
  <c r="AM527" i="17"/>
  <c r="AL527" i="17"/>
  <c r="AM528" i="17"/>
  <c r="AL528" i="17"/>
  <c r="AM530" i="17"/>
  <c r="AL530" i="17"/>
  <c r="AM531" i="17"/>
  <c r="AL531" i="17"/>
  <c r="AM532" i="17"/>
  <c r="AL532" i="17"/>
  <c r="AL533" i="17"/>
  <c r="AM533" i="17"/>
  <c r="AM534" i="17"/>
  <c r="AL534" i="17"/>
  <c r="AM535" i="17"/>
  <c r="AL535" i="17"/>
  <c r="AM536" i="17"/>
  <c r="AL536" i="17"/>
  <c r="AM537" i="17"/>
  <c r="AL537" i="17"/>
  <c r="AL538" i="17"/>
  <c r="AM538" i="17"/>
  <c r="AL539" i="17"/>
  <c r="AM539" i="17"/>
  <c r="AM540" i="17"/>
  <c r="AL540" i="17"/>
  <c r="AL541" i="17"/>
  <c r="AM541" i="17"/>
  <c r="AL542" i="17"/>
  <c r="AM542" i="17"/>
  <c r="AL543" i="17"/>
  <c r="AM543" i="17"/>
  <c r="AL544" i="17"/>
  <c r="AM544" i="17"/>
  <c r="AM545" i="17"/>
  <c r="AL545" i="17"/>
  <c r="AM546" i="17"/>
  <c r="AL546" i="17"/>
  <c r="AL547" i="17"/>
  <c r="AM547" i="17"/>
  <c r="AL548" i="17"/>
  <c r="AM548" i="17"/>
  <c r="AL549" i="17"/>
  <c r="AM549" i="17"/>
  <c r="AL550" i="17"/>
  <c r="AM550" i="17"/>
  <c r="AM551" i="17"/>
  <c r="AL551" i="17"/>
  <c r="AL552" i="17"/>
  <c r="AM552" i="17"/>
  <c r="AM553" i="17"/>
  <c r="AL553" i="17"/>
  <c r="AM554" i="17"/>
  <c r="AL554" i="17"/>
  <c r="AL555" i="17"/>
  <c r="AM555" i="17"/>
  <c r="AM556" i="17"/>
  <c r="AL556" i="17"/>
  <c r="AL557" i="17"/>
  <c r="AM557" i="17"/>
  <c r="AL558" i="17"/>
  <c r="AM558" i="17"/>
  <c r="AM559" i="17"/>
  <c r="AL559" i="17"/>
  <c r="AM560" i="17"/>
  <c r="AL560" i="17"/>
  <c r="AM561" i="17"/>
  <c r="AL561" i="17"/>
  <c r="AL562" i="17"/>
  <c r="AM562" i="17"/>
  <c r="AM563" i="17"/>
  <c r="AL563" i="17"/>
  <c r="AL564" i="17"/>
  <c r="AM564" i="17"/>
  <c r="AL565" i="17"/>
  <c r="AM565" i="17"/>
  <c r="AM566" i="17"/>
  <c r="AL566" i="17"/>
  <c r="AM567" i="17"/>
  <c r="AL567" i="17"/>
  <c r="AL568" i="17"/>
  <c r="AM568" i="17"/>
  <c r="AL569" i="17"/>
  <c r="AM569" i="17"/>
  <c r="AL570" i="17"/>
  <c r="AM570" i="17"/>
  <c r="AL571" i="17"/>
  <c r="AM571" i="17"/>
  <c r="AL572" i="17"/>
  <c r="AM572" i="17"/>
  <c r="AL573" i="17"/>
  <c r="AM573" i="17"/>
  <c r="AL574" i="17"/>
  <c r="AM574" i="17"/>
  <c r="AM575" i="17"/>
  <c r="AL575" i="17"/>
  <c r="AM576" i="17"/>
  <c r="AL576" i="17"/>
  <c r="AM577" i="17"/>
  <c r="AL577" i="17"/>
  <c r="AM578" i="17"/>
  <c r="AL578" i="17"/>
  <c r="AM579" i="17"/>
  <c r="AL579" i="17"/>
  <c r="AM580" i="17"/>
  <c r="AL580" i="17"/>
  <c r="AM581" i="17"/>
  <c r="AL581" i="17"/>
  <c r="AM582" i="17"/>
  <c r="AL582" i="17"/>
  <c r="AM583" i="17"/>
  <c r="AL583" i="17"/>
  <c r="AM584" i="17"/>
  <c r="AL584" i="17"/>
  <c r="AM585" i="17"/>
  <c r="AL585" i="17"/>
  <c r="AM586" i="17"/>
  <c r="AL586" i="17"/>
  <c r="AM587" i="17"/>
  <c r="AL587" i="17"/>
  <c r="AM588" i="17"/>
  <c r="AL588" i="17"/>
  <c r="AL589" i="17"/>
  <c r="AM589" i="17"/>
  <c r="AL590" i="17"/>
  <c r="AM590" i="17"/>
  <c r="AL591" i="17"/>
  <c r="AM591" i="17"/>
  <c r="AL592" i="17"/>
  <c r="AM592" i="17"/>
  <c r="AM593" i="17"/>
  <c r="AL593" i="17"/>
  <c r="AL594" i="17"/>
  <c r="AM594" i="17"/>
  <c r="AL595" i="17"/>
  <c r="AM595" i="17"/>
  <c r="AM596" i="17"/>
  <c r="AL596" i="17"/>
  <c r="AL597" i="17"/>
  <c r="AM597" i="17"/>
  <c r="AM598" i="17"/>
  <c r="AL598" i="17"/>
  <c r="AM599" i="17"/>
  <c r="AL599" i="17"/>
  <c r="AL600" i="17"/>
  <c r="AM600" i="17"/>
  <c r="AM601" i="17"/>
  <c r="AL601" i="17"/>
  <c r="AM602" i="17"/>
  <c r="AL602" i="17"/>
  <c r="AM603" i="17"/>
  <c r="AL603" i="17"/>
  <c r="AL604" i="17"/>
  <c r="AM604" i="17"/>
  <c r="AL605" i="17"/>
  <c r="AM605" i="17"/>
  <c r="AM606" i="17"/>
  <c r="AL606" i="17"/>
  <c r="AM607" i="17"/>
  <c r="AL607" i="17"/>
  <c r="AL608" i="17"/>
  <c r="AM608" i="17"/>
  <c r="AL609" i="17"/>
  <c r="AM609" i="17"/>
  <c r="AL610" i="17"/>
  <c r="AM610" i="17"/>
  <c r="AL611" i="17"/>
  <c r="AM611" i="17"/>
  <c r="AL612" i="17"/>
  <c r="AM612" i="17"/>
  <c r="AL613" i="17"/>
  <c r="AM613" i="17"/>
  <c r="AL614" i="17"/>
  <c r="AM614" i="17"/>
  <c r="AL615" i="17"/>
  <c r="AM615" i="17"/>
  <c r="AL616" i="17"/>
  <c r="AM616" i="17"/>
  <c r="AL617" i="17"/>
  <c r="AM617" i="17"/>
  <c r="AL618" i="17"/>
  <c r="AM618" i="17"/>
  <c r="AL619" i="17"/>
  <c r="AM619" i="17"/>
  <c r="AL620" i="17"/>
  <c r="AM620" i="17"/>
  <c r="AM621" i="17"/>
  <c r="AL621" i="17"/>
  <c r="AM622" i="17"/>
  <c r="AL622" i="17"/>
  <c r="AM623" i="17"/>
  <c r="AL623" i="17"/>
  <c r="AM624" i="17"/>
  <c r="AL624" i="17"/>
  <c r="AL625" i="17"/>
  <c r="AM625" i="17"/>
  <c r="AL626" i="17"/>
  <c r="AM626" i="17"/>
  <c r="AL627" i="17"/>
  <c r="AM627" i="17"/>
  <c r="AL628" i="17"/>
  <c r="AM628" i="17"/>
  <c r="AM629" i="17"/>
  <c r="AL629" i="17"/>
  <c r="AM630" i="17"/>
  <c r="AL630" i="17"/>
  <c r="AM631" i="17"/>
  <c r="AL631" i="17"/>
  <c r="AM632" i="17"/>
  <c r="AL632" i="17"/>
  <c r="AM633" i="17"/>
  <c r="AL633" i="17"/>
  <c r="AM634" i="17"/>
  <c r="AL634" i="17"/>
  <c r="AL635" i="17"/>
  <c r="AM635" i="17"/>
  <c r="AL636" i="17"/>
  <c r="AM636" i="17"/>
  <c r="AL637" i="17"/>
  <c r="AM637" i="17"/>
  <c r="AM638" i="17"/>
  <c r="AL638" i="17"/>
  <c r="AM639" i="17"/>
  <c r="AL639" i="17"/>
  <c r="AM640" i="17"/>
  <c r="AL640" i="17"/>
  <c r="AM641" i="17"/>
  <c r="AL641" i="17"/>
  <c r="AM642" i="17"/>
  <c r="AL642" i="17"/>
  <c r="AM643" i="17"/>
  <c r="AL643" i="17"/>
  <c r="AM644" i="17"/>
  <c r="AL644" i="17"/>
  <c r="AM645" i="17"/>
  <c r="AL645" i="17"/>
  <c r="AM646" i="17"/>
  <c r="AL646" i="17"/>
  <c r="AM647" i="17"/>
  <c r="AL647" i="17"/>
  <c r="AL648" i="17"/>
  <c r="AM648" i="17"/>
  <c r="AL649" i="17"/>
  <c r="AN649" i="17" s="1"/>
  <c r="AM649" i="17"/>
  <c r="AL650" i="17"/>
  <c r="AN650" i="17" s="1"/>
  <c r="AM650" i="17"/>
  <c r="AL651" i="17"/>
  <c r="AN651" i="17" s="1"/>
  <c r="AM651" i="17"/>
  <c r="AL652" i="17"/>
  <c r="AN652" i="17" s="1"/>
  <c r="AM652" i="17"/>
  <c r="AM653" i="17"/>
  <c r="AL653" i="17"/>
  <c r="AN653" i="17" s="1"/>
  <c r="AM654" i="17"/>
  <c r="AL654" i="17"/>
  <c r="AM655" i="17"/>
  <c r="AL655" i="17"/>
  <c r="AM656" i="17"/>
  <c r="AL656" i="17"/>
  <c r="AM657" i="17"/>
  <c r="AL657" i="17"/>
  <c r="AM658" i="17"/>
  <c r="AL658" i="17"/>
  <c r="AM659" i="17"/>
  <c r="AL659" i="17"/>
  <c r="AL660" i="17"/>
  <c r="AM660" i="17"/>
  <c r="AL661" i="17"/>
  <c r="AM661" i="17"/>
  <c r="AL662" i="17"/>
  <c r="AM662" i="17"/>
  <c r="AL663" i="17"/>
  <c r="AM663" i="17"/>
  <c r="AL664" i="17"/>
  <c r="AM664" i="17"/>
  <c r="AL665" i="17"/>
  <c r="AM665" i="17"/>
  <c r="AM666" i="17"/>
  <c r="AL666" i="17"/>
  <c r="AM667" i="17"/>
  <c r="AL667" i="17"/>
  <c r="AM668" i="17"/>
  <c r="AL668" i="17"/>
  <c r="AM669" i="17"/>
  <c r="AL669" i="17"/>
  <c r="AL670" i="17"/>
  <c r="AM670" i="17"/>
  <c r="AM671" i="17"/>
  <c r="AL671" i="17"/>
  <c r="AM672" i="17"/>
  <c r="AL672" i="17"/>
  <c r="AM673" i="17"/>
  <c r="AL673" i="17"/>
  <c r="AM674" i="17"/>
  <c r="AL674" i="17"/>
  <c r="AL675" i="17"/>
  <c r="AM675" i="17"/>
  <c r="AL676" i="17"/>
  <c r="AM676" i="17"/>
  <c r="AL677" i="17"/>
  <c r="AM677" i="17"/>
  <c r="AM678" i="17"/>
  <c r="AL678" i="17"/>
  <c r="AM679" i="17"/>
  <c r="AL679" i="17"/>
  <c r="AM680" i="17"/>
  <c r="AL680" i="17"/>
  <c r="AM681" i="17"/>
  <c r="AL681" i="17"/>
  <c r="AM682" i="17"/>
  <c r="AL682" i="17"/>
  <c r="AM683" i="17"/>
  <c r="AL683" i="17"/>
  <c r="AM684" i="17"/>
  <c r="AL684" i="17"/>
  <c r="AM685" i="17"/>
  <c r="AL685" i="17"/>
  <c r="AM686" i="17"/>
  <c r="AL686" i="17"/>
  <c r="AL687" i="17"/>
  <c r="AM687" i="17"/>
  <c r="AM688" i="17"/>
  <c r="AL688" i="17"/>
  <c r="AM689" i="17"/>
  <c r="AL689" i="17"/>
  <c r="AM690" i="17"/>
  <c r="AL690" i="17"/>
  <c r="AM691" i="17"/>
  <c r="AL691" i="17"/>
  <c r="AM692" i="17"/>
  <c r="AL692" i="17"/>
  <c r="AL693" i="17"/>
  <c r="AM693" i="17"/>
  <c r="AL694" i="17"/>
  <c r="AM694" i="17"/>
  <c r="AL695" i="17"/>
  <c r="AM695" i="17"/>
  <c r="AM696" i="17"/>
  <c r="AL696" i="17"/>
  <c r="AM697" i="17"/>
  <c r="AL697" i="17"/>
  <c r="AM698" i="17"/>
  <c r="AL698" i="17"/>
  <c r="AL699" i="17"/>
  <c r="AM699" i="17"/>
  <c r="AL700" i="17"/>
  <c r="AM700" i="17"/>
  <c r="AM701" i="17"/>
  <c r="AL701" i="17"/>
  <c r="AL702" i="17"/>
  <c r="AM702" i="17"/>
  <c r="AL703" i="17"/>
  <c r="AM703" i="17"/>
  <c r="AL704" i="17"/>
  <c r="AM704" i="17"/>
  <c r="AL705" i="17"/>
  <c r="AM705" i="17"/>
  <c r="AL706" i="17"/>
  <c r="AM706" i="17"/>
  <c r="AM707" i="17"/>
  <c r="AL707" i="17"/>
  <c r="AL708" i="17"/>
  <c r="AM708" i="17"/>
  <c r="AL709" i="17"/>
  <c r="AM709" i="17"/>
  <c r="AL710" i="17"/>
  <c r="AM710" i="17"/>
  <c r="AL711" i="17"/>
  <c r="AM711" i="17"/>
  <c r="AL712" i="17"/>
  <c r="AM712" i="17"/>
  <c r="AL713" i="17"/>
  <c r="AM713" i="17"/>
  <c r="AL714" i="17"/>
  <c r="AM714" i="17"/>
  <c r="AL715" i="17"/>
  <c r="AM715" i="17"/>
  <c r="AM716" i="17"/>
  <c r="AL716" i="17"/>
  <c r="AL717" i="17"/>
  <c r="AM717" i="17"/>
  <c r="AL718" i="17"/>
  <c r="AM718" i="17"/>
  <c r="AL719" i="17"/>
  <c r="AM719" i="17"/>
  <c r="AM720" i="17"/>
  <c r="AL720" i="17"/>
  <c r="AM721" i="17"/>
  <c r="AL721" i="17"/>
  <c r="AM722" i="17"/>
  <c r="AL722" i="17"/>
  <c r="AM723" i="17"/>
  <c r="AL723" i="17"/>
  <c r="AM724" i="17"/>
  <c r="AL724" i="17"/>
  <c r="AL725" i="17"/>
  <c r="AM725" i="17"/>
  <c r="AM726" i="17"/>
  <c r="AL726" i="17"/>
  <c r="AL727" i="17"/>
  <c r="AM727" i="17"/>
  <c r="AL728" i="17"/>
  <c r="AM728" i="17"/>
  <c r="AM729" i="17"/>
  <c r="AL729" i="17"/>
  <c r="AM730" i="17"/>
  <c r="AL730" i="17"/>
  <c r="AL731" i="17"/>
  <c r="AM731" i="17"/>
  <c r="AL732" i="17"/>
  <c r="AM732" i="17"/>
  <c r="AL733" i="17"/>
  <c r="AM733" i="17"/>
  <c r="AL734" i="17"/>
  <c r="AM734" i="17"/>
  <c r="AL735" i="17"/>
  <c r="AM735" i="17"/>
  <c r="AL736" i="17"/>
  <c r="AM736" i="17"/>
  <c r="AL737" i="17"/>
  <c r="AM737" i="17"/>
  <c r="AL738" i="17"/>
  <c r="AM738" i="17"/>
  <c r="AL739" i="17"/>
  <c r="AM739" i="17"/>
  <c r="AL740" i="17"/>
  <c r="AM740" i="17"/>
  <c r="AM741" i="17"/>
  <c r="AL741" i="17"/>
  <c r="AL742" i="17"/>
  <c r="AM742" i="17"/>
  <c r="AL743" i="17"/>
  <c r="AM743" i="17"/>
  <c r="AM744" i="17"/>
  <c r="AL744" i="17"/>
  <c r="AM745" i="17"/>
  <c r="AL745" i="17"/>
  <c r="AM746" i="17"/>
  <c r="AL746" i="17"/>
  <c r="AM747" i="17"/>
  <c r="AL747" i="17"/>
  <c r="AM748" i="17"/>
  <c r="AL748" i="17"/>
  <c r="AM749" i="17"/>
  <c r="AL749" i="17"/>
  <c r="AM750" i="17"/>
  <c r="AL750" i="17"/>
  <c r="AM751" i="17"/>
  <c r="AL751" i="17"/>
  <c r="AM752" i="17"/>
  <c r="AL752" i="17"/>
  <c r="AM753" i="17"/>
  <c r="AL753" i="17"/>
  <c r="AM754" i="17"/>
  <c r="AL754" i="17"/>
  <c r="AM755" i="17"/>
  <c r="AL755" i="17"/>
  <c r="AL756" i="17"/>
  <c r="AM756" i="17"/>
  <c r="AM757" i="17"/>
  <c r="AL757" i="17"/>
  <c r="AL758" i="17"/>
  <c r="AM758" i="17"/>
  <c r="AM759" i="17"/>
  <c r="AL759" i="17"/>
  <c r="AL760" i="17"/>
  <c r="AM760" i="17"/>
  <c r="AL761" i="17"/>
  <c r="AM761" i="17"/>
  <c r="AL762" i="17"/>
  <c r="AM762" i="17"/>
  <c r="AL763" i="17"/>
  <c r="AM763" i="17"/>
  <c r="AL764" i="17"/>
  <c r="AM764" i="17"/>
  <c r="AM765" i="17"/>
  <c r="AL765" i="17"/>
  <c r="AM766" i="17"/>
  <c r="AL766" i="17"/>
  <c r="AM767" i="17"/>
  <c r="AL767" i="17"/>
  <c r="AM768" i="17"/>
  <c r="AL768" i="17"/>
  <c r="AM769" i="17"/>
  <c r="AL769" i="17"/>
  <c r="AM770" i="17"/>
  <c r="AL770" i="17"/>
  <c r="AM771" i="17"/>
  <c r="AL771" i="17"/>
  <c r="AM772" i="17"/>
  <c r="AL772" i="17"/>
  <c r="AM773" i="17"/>
  <c r="AL773" i="17"/>
  <c r="AM774" i="17"/>
  <c r="AL774" i="17"/>
  <c r="AM775" i="17"/>
  <c r="AL775" i="17"/>
  <c r="AM776" i="17"/>
  <c r="AL776" i="17"/>
  <c r="AM777" i="17"/>
  <c r="AL777" i="17"/>
  <c r="AM778" i="17"/>
  <c r="AL778" i="17"/>
  <c r="AL779" i="17"/>
  <c r="AM779" i="17"/>
  <c r="AL780" i="17"/>
  <c r="AM780" i="17"/>
  <c r="AL781" i="17"/>
  <c r="AM781" i="17"/>
  <c r="AL782" i="17"/>
  <c r="AM782" i="17"/>
  <c r="AL783" i="17"/>
  <c r="AM783" i="17"/>
  <c r="AL784" i="17"/>
  <c r="AM784" i="17"/>
  <c r="AL785" i="17"/>
  <c r="AM785" i="17"/>
  <c r="AL786" i="17"/>
  <c r="AM786" i="17"/>
  <c r="AL787" i="17"/>
  <c r="AM787" i="17"/>
  <c r="AL788" i="17"/>
  <c r="AM788" i="17"/>
  <c r="AL789" i="17"/>
  <c r="AM789" i="17"/>
  <c r="AL790" i="17"/>
  <c r="AM790" i="17"/>
  <c r="AL791" i="17"/>
  <c r="AM791" i="17"/>
  <c r="AL792" i="17"/>
  <c r="AM792" i="17"/>
  <c r="AL793" i="17"/>
  <c r="AM793" i="17"/>
  <c r="AM794" i="17"/>
  <c r="AL794" i="17"/>
  <c r="AL795" i="17"/>
  <c r="AM795" i="17"/>
  <c r="AL796" i="17"/>
  <c r="AM796" i="17"/>
  <c r="AL797" i="17"/>
  <c r="AM797" i="17"/>
  <c r="AL798" i="17"/>
  <c r="AM798" i="17"/>
  <c r="AL799" i="17"/>
  <c r="AM799" i="17"/>
  <c r="AL800" i="17"/>
  <c r="AM800" i="17"/>
  <c r="AL801" i="17"/>
  <c r="AM801" i="17"/>
  <c r="AL802" i="17"/>
  <c r="AM802" i="17"/>
  <c r="AL803" i="17"/>
  <c r="AM803" i="17"/>
  <c r="AL804" i="17"/>
  <c r="AM804" i="17"/>
  <c r="AL805" i="17"/>
  <c r="AM805" i="17"/>
  <c r="AM806" i="17"/>
  <c r="AL806" i="17"/>
  <c r="AL807" i="17"/>
  <c r="AM807" i="17"/>
  <c r="AM808" i="17"/>
  <c r="AL808" i="17"/>
  <c r="AM809" i="17"/>
  <c r="AL809" i="17"/>
  <c r="AM810" i="17"/>
  <c r="AL810" i="17"/>
  <c r="AL811" i="17"/>
  <c r="AM811" i="17"/>
  <c r="AM812" i="17"/>
  <c r="AL812" i="17"/>
  <c r="AM813" i="17"/>
  <c r="AL813" i="17"/>
  <c r="AL814" i="17"/>
  <c r="AM814" i="17"/>
  <c r="AM815" i="17"/>
  <c r="AL815" i="17"/>
  <c r="AM816" i="17"/>
  <c r="AL816" i="17"/>
  <c r="AM817" i="17"/>
  <c r="AL817" i="17"/>
  <c r="AM818" i="17"/>
  <c r="AL818" i="17"/>
  <c r="AM819" i="17"/>
  <c r="AL819" i="17"/>
  <c r="AM820" i="17"/>
  <c r="AL820" i="17"/>
  <c r="AL821" i="17"/>
  <c r="AM821" i="17"/>
  <c r="AM822" i="17"/>
  <c r="AL822" i="17"/>
  <c r="AL823" i="17"/>
  <c r="AM823" i="17"/>
  <c r="AL824" i="17"/>
  <c r="AM824" i="17"/>
  <c r="AM825" i="17"/>
  <c r="AL825" i="17"/>
  <c r="AM826" i="17"/>
  <c r="AL826" i="17"/>
  <c r="AL827" i="17"/>
  <c r="AM827" i="17"/>
  <c r="AL828" i="17"/>
  <c r="AM828" i="17"/>
  <c r="AL829" i="17"/>
  <c r="AM829" i="17"/>
  <c r="AM830" i="17"/>
  <c r="AL830" i="17"/>
  <c r="AM831" i="17"/>
  <c r="AL831" i="17"/>
  <c r="AM832" i="17"/>
  <c r="AL832" i="17"/>
  <c r="AM833" i="17"/>
  <c r="AL833" i="17"/>
  <c r="AM834" i="17"/>
  <c r="AL834" i="17"/>
  <c r="AM835" i="17"/>
  <c r="AL835" i="17"/>
  <c r="AM836" i="17"/>
  <c r="AL836" i="17"/>
  <c r="AM837" i="17"/>
  <c r="AL837" i="17"/>
  <c r="AL838" i="17"/>
  <c r="AM838" i="17"/>
  <c r="AM839" i="17"/>
  <c r="AL839" i="17"/>
  <c r="AL840" i="17"/>
  <c r="AM840" i="17"/>
  <c r="AL841" i="17"/>
  <c r="AM841" i="17"/>
  <c r="AL842" i="17"/>
  <c r="AM842" i="17"/>
  <c r="AL843" i="17"/>
  <c r="AM843" i="17"/>
  <c r="AL844" i="17"/>
  <c r="AM844" i="17"/>
  <c r="AL845" i="17"/>
  <c r="AM845" i="17"/>
  <c r="AM846" i="17"/>
  <c r="AL846" i="17"/>
  <c r="AL847" i="17"/>
  <c r="AM847" i="17"/>
  <c r="AL848" i="17"/>
  <c r="AM848" i="17"/>
  <c r="AL849" i="17"/>
  <c r="AM849" i="17"/>
  <c r="AL850" i="17"/>
  <c r="AM850" i="17"/>
  <c r="AL851" i="17"/>
  <c r="AM851" i="17"/>
  <c r="AL852" i="17"/>
  <c r="AM852" i="17"/>
  <c r="AL853" i="17"/>
  <c r="AM853" i="17"/>
  <c r="AL854" i="17"/>
  <c r="AM854" i="17"/>
  <c r="AL855" i="17"/>
  <c r="AM855" i="17"/>
  <c r="AL856" i="17"/>
  <c r="AM856" i="17"/>
  <c r="AL857" i="17"/>
  <c r="AM857" i="17"/>
  <c r="AL858" i="17"/>
  <c r="AM858" i="17"/>
  <c r="AM859" i="17"/>
  <c r="AL859" i="17"/>
  <c r="AM860" i="17"/>
  <c r="AL860" i="17"/>
  <c r="AM861" i="17"/>
  <c r="AL861" i="17"/>
  <c r="AM862" i="17"/>
  <c r="AL862" i="17"/>
  <c r="AM863" i="17"/>
  <c r="AL863" i="17"/>
  <c r="AM864" i="17"/>
  <c r="AL864" i="17"/>
  <c r="AM865" i="17"/>
  <c r="AL865" i="17"/>
  <c r="AM866" i="17"/>
  <c r="AL866" i="17"/>
  <c r="AM867" i="17"/>
  <c r="AL867" i="17"/>
  <c r="AM868" i="17"/>
  <c r="AL868" i="17"/>
  <c r="AM869" i="17"/>
  <c r="AL869" i="17"/>
  <c r="AL870" i="17"/>
  <c r="AM870" i="17"/>
  <c r="AL871" i="17"/>
  <c r="AM871" i="17"/>
  <c r="AL872" i="17"/>
  <c r="AM872" i="17"/>
  <c r="AL873" i="17"/>
  <c r="AM873" i="17"/>
  <c r="AL874" i="17"/>
  <c r="AM874" i="17"/>
  <c r="AL875" i="17"/>
  <c r="AM875" i="17"/>
  <c r="AL876" i="17"/>
  <c r="AM876" i="17"/>
  <c r="AM877" i="17"/>
  <c r="AL877" i="17"/>
  <c r="AL878" i="17"/>
  <c r="AM878" i="17"/>
  <c r="AL879" i="17"/>
  <c r="AM879" i="17"/>
  <c r="AM880" i="17"/>
  <c r="AL880" i="17"/>
  <c r="AL881" i="17"/>
  <c r="AM881" i="17"/>
  <c r="AM882" i="17"/>
  <c r="AL882" i="17"/>
  <c r="AL883" i="17"/>
  <c r="AM883" i="17"/>
  <c r="AM884" i="17"/>
  <c r="AL884" i="17"/>
  <c r="AM885" i="17"/>
  <c r="AL885" i="17"/>
  <c r="AL886" i="17"/>
  <c r="AM886" i="17"/>
  <c r="AM887" i="17"/>
  <c r="AL887" i="17"/>
  <c r="AM888" i="17"/>
  <c r="AL888" i="17"/>
  <c r="AL889" i="17"/>
  <c r="AM889" i="17"/>
  <c r="AL890" i="17"/>
  <c r="AM890" i="17"/>
  <c r="AL891" i="17"/>
  <c r="AM891" i="17"/>
  <c r="AL928" i="17"/>
  <c r="AM928" i="17"/>
  <c r="AL929" i="17"/>
  <c r="AM929" i="17"/>
  <c r="AL930" i="17"/>
  <c r="AM930" i="17"/>
  <c r="AM931" i="17"/>
  <c r="AL931" i="17"/>
  <c r="AM932" i="17"/>
  <c r="AL932" i="17"/>
  <c r="AM933" i="17"/>
  <c r="AL933" i="17"/>
  <c r="AM934" i="17"/>
  <c r="AL934" i="17"/>
  <c r="AM935" i="17"/>
  <c r="AL935" i="17"/>
  <c r="AL936" i="17"/>
  <c r="AM936" i="17"/>
  <c r="AL937" i="17"/>
  <c r="AM937" i="17"/>
  <c r="AL938" i="17"/>
  <c r="AM938" i="17"/>
  <c r="AM939" i="17"/>
  <c r="AL939" i="17"/>
  <c r="AM940" i="17"/>
  <c r="AL940" i="17"/>
  <c r="AM941" i="17"/>
  <c r="AL941" i="17"/>
  <c r="AM942" i="17"/>
  <c r="AL942" i="17"/>
  <c r="AM943" i="17"/>
  <c r="AL943" i="17"/>
  <c r="AL944" i="17"/>
  <c r="AM944" i="17"/>
  <c r="AL945" i="17"/>
  <c r="AM945" i="17"/>
  <c r="C946" i="14"/>
  <c r="AM946" i="17"/>
  <c r="AL946" i="17"/>
  <c r="AL947" i="17"/>
  <c r="AM947" i="17"/>
  <c r="C947" i="14"/>
  <c r="AL948" i="17"/>
  <c r="AM948" i="17"/>
  <c r="C948" i="14"/>
  <c r="AM949" i="17"/>
  <c r="AL949" i="17"/>
  <c r="C949" i="14"/>
  <c r="AM950" i="17"/>
  <c r="AL950" i="17"/>
  <c r="C950" i="14"/>
  <c r="AM951" i="17"/>
  <c r="AL951" i="17"/>
  <c r="C951" i="14"/>
  <c r="AM952" i="17"/>
  <c r="AL952" i="17"/>
  <c r="C952" i="14"/>
  <c r="AL953" i="17"/>
  <c r="C953" i="14"/>
  <c r="AM953" i="17"/>
  <c r="C954" i="14"/>
  <c r="AL954" i="17"/>
  <c r="AM954" i="17"/>
  <c r="C955" i="14"/>
  <c r="AL955" i="17"/>
  <c r="AM955" i="17"/>
  <c r="AL956" i="17"/>
  <c r="C956" i="14"/>
  <c r="AM956" i="17"/>
  <c r="AM957" i="17"/>
  <c r="AL957" i="17"/>
  <c r="C957" i="14"/>
  <c r="AM958" i="17"/>
  <c r="C958" i="14"/>
  <c r="AL958" i="17"/>
  <c r="AL959" i="17"/>
  <c r="C959" i="14"/>
  <c r="AM959" i="17"/>
  <c r="AL960" i="17"/>
  <c r="AM960" i="17"/>
  <c r="C960" i="14"/>
  <c r="AL961" i="17"/>
  <c r="AM961" i="17"/>
  <c r="C961" i="14"/>
  <c r="AL962" i="17"/>
  <c r="AM962" i="17"/>
  <c r="C962" i="14"/>
  <c r="AL963" i="17"/>
  <c r="C963" i="14"/>
  <c r="AM963" i="17"/>
  <c r="C964" i="14"/>
  <c r="AM964" i="17"/>
  <c r="AL964" i="17"/>
  <c r="AL965" i="17"/>
  <c r="AM965" i="17"/>
  <c r="C965" i="14"/>
  <c r="AM966" i="17"/>
  <c r="AL966" i="17"/>
  <c r="C966" i="14"/>
  <c r="AL967" i="17"/>
  <c r="C967" i="14"/>
  <c r="AM967" i="17"/>
  <c r="AL968" i="17"/>
  <c r="C968" i="14"/>
  <c r="AM968" i="17"/>
  <c r="AL969" i="17"/>
  <c r="C969" i="14"/>
  <c r="AM969" i="17"/>
  <c r="AL970" i="17"/>
  <c r="C970" i="14"/>
  <c r="AM970" i="17"/>
  <c r="AM971" i="17"/>
  <c r="C971" i="14"/>
  <c r="AL971" i="17"/>
  <c r="AM972" i="17"/>
  <c r="C972" i="14"/>
  <c r="AL972" i="17"/>
  <c r="AM973" i="17"/>
  <c r="C973" i="14"/>
  <c r="AL973" i="17"/>
  <c r="AM974" i="17"/>
  <c r="AL974" i="17"/>
  <c r="C974" i="14"/>
  <c r="AM975" i="17"/>
  <c r="C975" i="14"/>
  <c r="AL975" i="17"/>
  <c r="AM976" i="17"/>
  <c r="AL976" i="17"/>
  <c r="C976" i="14"/>
  <c r="AM977" i="17"/>
  <c r="C977" i="14"/>
  <c r="AL977" i="17"/>
  <c r="AM978" i="17"/>
  <c r="AL978" i="17"/>
  <c r="C978" i="14"/>
  <c r="AM979" i="17"/>
  <c r="AL979" i="17"/>
  <c r="C979" i="14"/>
  <c r="AL980" i="17"/>
  <c r="AM980" i="17"/>
  <c r="C980" i="14"/>
  <c r="C981" i="14"/>
  <c r="AL981" i="17"/>
  <c r="AM981" i="17"/>
  <c r="AL982" i="17"/>
  <c r="C982" i="14"/>
  <c r="AM982" i="17"/>
  <c r="AL983" i="17"/>
  <c r="C983" i="14"/>
  <c r="AM983" i="17"/>
  <c r="C984" i="14"/>
  <c r="AL984" i="17"/>
  <c r="AM984" i="17"/>
  <c r="C985" i="14"/>
  <c r="AL985" i="17"/>
  <c r="AM985" i="17"/>
  <c r="C986" i="14"/>
  <c r="AL986" i="17"/>
  <c r="AM986" i="17"/>
  <c r="C987" i="14"/>
  <c r="AL987" i="17"/>
  <c r="AM987" i="17"/>
  <c r="AL988" i="17"/>
  <c r="C988" i="14"/>
  <c r="AM988" i="17"/>
  <c r="C989" i="14"/>
  <c r="AL989" i="17"/>
  <c r="AM989" i="17"/>
  <c r="C990" i="14"/>
  <c r="AM990" i="17"/>
  <c r="AL990" i="17"/>
  <c r="C991" i="14"/>
  <c r="AL991" i="17"/>
  <c r="AM991" i="17"/>
  <c r="AM992" i="17"/>
  <c r="AL992" i="17"/>
  <c r="C992" i="14"/>
  <c r="AL993" i="17"/>
  <c r="AM993" i="17"/>
  <c r="C993" i="14"/>
  <c r="AM994" i="17"/>
  <c r="C994" i="14"/>
  <c r="AL994" i="17"/>
  <c r="AM995" i="17"/>
  <c r="AL995" i="17"/>
  <c r="C995" i="14"/>
  <c r="AM996" i="17"/>
  <c r="AL996" i="17"/>
  <c r="C996" i="14"/>
  <c r="AL997" i="17"/>
  <c r="AM997" i="17"/>
  <c r="C997" i="14"/>
  <c r="AL998" i="17"/>
  <c r="AM998" i="17"/>
  <c r="C998" i="14"/>
  <c r="AM999" i="17"/>
  <c r="AL999" i="17"/>
  <c r="C999" i="14"/>
  <c r="AM1000" i="17"/>
  <c r="AL1000" i="17"/>
  <c r="C1000" i="14"/>
  <c r="C1001" i="14"/>
  <c r="AL1001" i="17"/>
  <c r="AM1001" i="17"/>
  <c r="AL1002" i="17"/>
  <c r="AM1002" i="17"/>
  <c r="C1002" i="14"/>
  <c r="C1003" i="14"/>
  <c r="AM1003" i="17"/>
  <c r="AL1003" i="17"/>
  <c r="C1004" i="14"/>
  <c r="AM1004" i="17"/>
  <c r="AL1004" i="17"/>
  <c r="AM1005" i="17"/>
  <c r="AL1005" i="17"/>
  <c r="C1005" i="14"/>
  <c r="AM1006" i="17"/>
  <c r="AL1006" i="17"/>
  <c r="C1006" i="14"/>
  <c r="AM1007" i="17"/>
  <c r="AL1007" i="17"/>
  <c r="AN1007" i="17" s="1"/>
  <c r="C1007" i="14"/>
  <c r="AM1008" i="17"/>
  <c r="AL1008" i="17"/>
  <c r="AN1008" i="17" s="1"/>
  <c r="C1008" i="14"/>
  <c r="AM1009" i="17"/>
  <c r="AL1009" i="17"/>
  <c r="AN1009" i="17" s="1"/>
  <c r="C1009" i="14"/>
  <c r="AM1010" i="17"/>
  <c r="AL1010" i="17"/>
  <c r="C1010" i="14"/>
  <c r="AM1011" i="17"/>
  <c r="C1011" i="14"/>
  <c r="AL1011" i="17"/>
  <c r="AM1012" i="17"/>
  <c r="C1012" i="14"/>
  <c r="AL1012" i="17"/>
  <c r="AN1012" i="17" s="1"/>
  <c r="AL1013" i="17"/>
  <c r="AM1013" i="17"/>
  <c r="C1013" i="14"/>
  <c r="AL1014" i="17"/>
  <c r="C1014" i="14"/>
  <c r="AM1014" i="17"/>
  <c r="C1015" i="14"/>
  <c r="AM1015" i="17"/>
  <c r="AL1015" i="17"/>
  <c r="AL1016" i="17"/>
  <c r="AN1016" i="17" s="1"/>
  <c r="C1016" i="14"/>
  <c r="AM1016" i="17"/>
  <c r="AL1017" i="17"/>
  <c r="C1017" i="14"/>
  <c r="AM1017" i="17"/>
  <c r="AM1018" i="17"/>
  <c r="C1018" i="14"/>
  <c r="AL1018" i="17"/>
  <c r="AN1018" i="17" s="1"/>
  <c r="C1019" i="14"/>
  <c r="AL1019" i="17"/>
  <c r="AN1019" i="17" s="1"/>
  <c r="AM1019" i="17"/>
  <c r="C1020" i="14"/>
  <c r="AM1020" i="17"/>
  <c r="AL1020" i="17"/>
  <c r="AN1020" i="17" s="1"/>
  <c r="C1021" i="14"/>
  <c r="AM1021" i="17"/>
  <c r="AL1021" i="17"/>
  <c r="AN1021" i="17" s="1"/>
  <c r="C1022" i="14"/>
  <c r="AL1022" i="17"/>
  <c r="AN1022" i="17" s="1"/>
  <c r="AM1022" i="17"/>
  <c r="C1023" i="14"/>
  <c r="AM1023" i="17"/>
  <c r="AL1023" i="17"/>
  <c r="AN1023" i="17" s="1"/>
  <c r="C1024" i="14"/>
  <c r="AL1024" i="17"/>
  <c r="AN1024" i="17" s="1"/>
  <c r="AM1024" i="17"/>
  <c r="AM1025" i="17"/>
  <c r="AL1025" i="17"/>
  <c r="C1025" i="14"/>
  <c r="AM1026" i="17"/>
  <c r="C1026" i="14"/>
  <c r="AL1026" i="17"/>
  <c r="AM1027" i="17"/>
  <c r="C1027" i="14"/>
  <c r="AL1027" i="17"/>
  <c r="AL1028" i="17"/>
  <c r="AM1028" i="17"/>
  <c r="C1028" i="14"/>
  <c r="C1029" i="14"/>
  <c r="AM1029" i="17"/>
  <c r="AL1029" i="17"/>
  <c r="C1030" i="14"/>
  <c r="AM1030" i="17"/>
  <c r="AL1030" i="17"/>
  <c r="AL1031" i="17"/>
  <c r="C1031" i="14"/>
  <c r="AM1031" i="17"/>
  <c r="C1032" i="14"/>
  <c r="AM1032" i="17"/>
  <c r="AL1032" i="17"/>
  <c r="AM1033" i="17"/>
  <c r="AL1033" i="17"/>
  <c r="C1033" i="14"/>
  <c r="AM1034" i="17"/>
  <c r="C1034" i="14"/>
  <c r="AL1034" i="17"/>
  <c r="C1035" i="14"/>
  <c r="AL1035" i="17"/>
  <c r="AM1035" i="17"/>
  <c r="AL1036" i="17"/>
  <c r="C1036" i="14"/>
  <c r="AM1036" i="17"/>
  <c r="AM1037" i="17"/>
  <c r="AL1037" i="17"/>
  <c r="C1037" i="14"/>
  <c r="AL1038" i="17"/>
  <c r="AM1038" i="17"/>
  <c r="C1038" i="14"/>
  <c r="AM1039" i="17"/>
  <c r="C1039" i="14"/>
  <c r="AL1039" i="17"/>
  <c r="AN1039" i="17" s="1"/>
  <c r="C1040" i="14"/>
  <c r="AM1040" i="17"/>
  <c r="AL1040" i="17"/>
  <c r="AN1040" i="17" s="1"/>
  <c r="C1041" i="14"/>
  <c r="AL1041" i="17"/>
  <c r="AN1041" i="17" s="1"/>
  <c r="AM1041" i="17"/>
  <c r="AL1042" i="17"/>
  <c r="AN1042" i="17" s="1"/>
  <c r="C1042" i="14"/>
  <c r="AM1042" i="17"/>
  <c r="AM1043" i="17"/>
  <c r="C1043" i="14"/>
  <c r="AL1043" i="17"/>
  <c r="AN1043" i="17" s="1"/>
  <c r="AL1044" i="17"/>
  <c r="AN1044" i="17" s="1"/>
  <c r="C1044" i="14"/>
  <c r="AM1044" i="17"/>
  <c r="C1045" i="14"/>
  <c r="AL1045" i="17"/>
  <c r="AN1045" i="17" s="1"/>
  <c r="AM1045" i="17"/>
  <c r="AM1046" i="17"/>
  <c r="C1046" i="14"/>
  <c r="AL1046" i="17"/>
  <c r="AN1046" i="17" s="1"/>
  <c r="AM1047" i="17"/>
  <c r="C1047" i="14"/>
  <c r="AL1047" i="17"/>
  <c r="AN1047" i="17" s="1"/>
  <c r="AM1048" i="17"/>
  <c r="AL1048" i="17"/>
  <c r="AN1048" i="17" s="1"/>
  <c r="C1048" i="14"/>
  <c r="AM1049" i="17"/>
  <c r="AL1049" i="17"/>
  <c r="AN1049" i="17" s="1"/>
  <c r="C1049" i="14"/>
  <c r="AM1050" i="17"/>
  <c r="AL1050" i="17"/>
  <c r="C1050" i="14"/>
  <c r="AM1051" i="17"/>
  <c r="C1051" i="14"/>
  <c r="AL1051" i="17"/>
  <c r="AN1051" i="17" s="1"/>
  <c r="AN3" i="17"/>
  <c r="AN654" i="17"/>
  <c r="AN1050" i="17"/>
  <c r="AA1036" i="17"/>
  <c r="AC1036" i="17" s="1"/>
  <c r="H1048" i="14"/>
  <c r="H1032" i="14"/>
  <c r="H1031" i="14"/>
  <c r="H1029" i="14"/>
  <c r="H912" i="14"/>
  <c r="H917" i="14"/>
  <c r="H918" i="14"/>
  <c r="H919" i="14"/>
  <c r="H920" i="14"/>
  <c r="H934" i="14"/>
  <c r="H935" i="14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H1047" i="1"/>
  <c r="H1045" i="14"/>
  <c r="H1044" i="14"/>
  <c r="AH1045" i="1"/>
  <c r="H1043" i="14"/>
  <c r="AH1042" i="1"/>
  <c r="AH1041" i="1"/>
  <c r="H1042" i="14"/>
  <c r="AH1040" i="1"/>
  <c r="H1041" i="14"/>
  <c r="AH1039" i="1"/>
  <c r="H1040" i="14"/>
  <c r="H1039" i="14"/>
  <c r="H1030" i="14"/>
  <c r="AH355" i="1"/>
  <c r="AH1036" i="1"/>
  <c r="AH1037" i="1"/>
  <c r="AH1038" i="1"/>
  <c r="H1024" i="14"/>
  <c r="H1023" i="14"/>
  <c r="H1022" i="14"/>
  <c r="H1021" i="14"/>
  <c r="H1028" i="14"/>
  <c r="H1020" i="14"/>
  <c r="H1027" i="14"/>
  <c r="H1025" i="14"/>
  <c r="AH911" i="1"/>
  <c r="AH910" i="1"/>
  <c r="H1019" i="14"/>
  <c r="H1018" i="14"/>
  <c r="AH314" i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H1013" i="14"/>
  <c r="AH1013" i="1"/>
  <c r="AH1015" i="1"/>
  <c r="AH1016" i="1"/>
  <c r="H1012" i="14"/>
  <c r="H1010" i="14"/>
  <c r="AH563" i="1"/>
  <c r="AH531" i="1"/>
  <c r="AH551" i="1"/>
  <c r="AH404" i="1"/>
  <c r="AH439" i="1"/>
  <c r="AH1012" i="1"/>
  <c r="AH413" i="1"/>
  <c r="AH1010" i="1"/>
  <c r="AH1011" i="1"/>
  <c r="H1011" i="14"/>
  <c r="H1007" i="14"/>
  <c r="H1005" i="14"/>
  <c r="H1003" i="14"/>
  <c r="H1002" i="14"/>
  <c r="H1001" i="14"/>
  <c r="AH612" i="1"/>
  <c r="AH1008" i="1"/>
  <c r="H1009" i="14"/>
  <c r="H1000" i="14"/>
  <c r="H1008" i="14"/>
  <c r="H999" i="14"/>
  <c r="H998" i="14"/>
  <c r="AH1007" i="1"/>
  <c r="AH601" i="1"/>
  <c r="AH602" i="1"/>
  <c r="AH599" i="1"/>
  <c r="AH1005" i="1"/>
  <c r="H1006" i="14"/>
  <c r="AH54" i="1"/>
  <c r="AH1004" i="1"/>
  <c r="AH1003" i="1"/>
  <c r="H1004" i="14"/>
  <c r="AH244" i="1"/>
  <c r="AH241" i="1"/>
  <c r="H995" i="14"/>
  <c r="H696" i="14"/>
  <c r="AH605" i="1"/>
  <c r="AH47" i="1"/>
  <c r="AH603" i="1"/>
  <c r="AH606" i="1"/>
  <c r="AH600" i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AH9" i="1"/>
  <c r="AH141" i="1"/>
  <c r="H924" i="14"/>
  <c r="AH964" i="1"/>
  <c r="AH604" i="1"/>
  <c r="AH423" i="1"/>
  <c r="AH33" i="1"/>
  <c r="AH582" i="1"/>
  <c r="AH842" i="1"/>
  <c r="AH27" i="1"/>
  <c r="AH624" i="1"/>
  <c r="AH757" i="1"/>
  <c r="AH844" i="1"/>
  <c r="AH615" i="1"/>
  <c r="H997" i="14"/>
  <c r="H701" i="14"/>
  <c r="AH591" i="1"/>
  <c r="AH898" i="1"/>
  <c r="AH617" i="1"/>
  <c r="AH905" i="1"/>
  <c r="AH594" i="1"/>
  <c r="AH813" i="1"/>
  <c r="AH289" i="1"/>
  <c r="AH247" i="1"/>
  <c r="AH2" i="1"/>
  <c r="AH873" i="1"/>
  <c r="H996" i="14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983" i="14"/>
  <c r="H982" i="14"/>
  <c r="H980" i="14"/>
  <c r="H979" i="14"/>
  <c r="H978" i="14"/>
  <c r="H977" i="14"/>
  <c r="H976" i="14"/>
  <c r="H975" i="14"/>
  <c r="H974" i="14"/>
  <c r="H973" i="14"/>
  <c r="H972" i="14"/>
  <c r="H971" i="14"/>
  <c r="H970" i="14"/>
  <c r="H969" i="14"/>
  <c r="H968" i="14"/>
  <c r="H967" i="14"/>
  <c r="H966" i="14"/>
  <c r="H965" i="14"/>
  <c r="H964" i="14"/>
  <c r="H963" i="14"/>
  <c r="H960" i="14"/>
  <c r="H959" i="14"/>
  <c r="H958" i="14"/>
  <c r="H957" i="14"/>
  <c r="H955" i="14"/>
  <c r="H954" i="14"/>
  <c r="H953" i="14"/>
  <c r="H952" i="14"/>
  <c r="H951" i="14"/>
  <c r="H950" i="14"/>
  <c r="H949" i="14"/>
  <c r="H948" i="14"/>
  <c r="H947" i="14"/>
  <c r="H946" i="14"/>
  <c r="H945" i="14"/>
  <c r="H944" i="14"/>
  <c r="H943" i="14"/>
  <c r="H942" i="14"/>
  <c r="H941" i="14"/>
  <c r="H940" i="14"/>
  <c r="H939" i="14"/>
  <c r="H938" i="14"/>
  <c r="H937" i="1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827" i="14" l="1"/>
  <c r="E834" i="14"/>
  <c r="E835" i="14"/>
  <c r="E836" i="14"/>
  <c r="E837" i="14"/>
  <c r="E814" i="14"/>
  <c r="E815" i="14"/>
  <c r="E809" i="14"/>
  <c r="E573" i="14"/>
  <c r="E962" i="14"/>
  <c r="E797" i="14"/>
  <c r="E992" i="14"/>
  <c r="E1002" i="14" s="1"/>
  <c r="E910" i="14"/>
  <c r="E895" i="14"/>
  <c r="E902" i="14" s="1"/>
  <c r="E896" i="14"/>
  <c r="E900" i="14"/>
  <c r="E894" i="14"/>
  <c r="AN1010" i="17"/>
  <c r="AN1029" i="17"/>
  <c r="AN1038" i="17"/>
  <c r="AN1035" i="17"/>
  <c r="AN1030" i="17"/>
  <c r="AN1031" i="17"/>
  <c r="AN1032" i="17"/>
  <c r="AN1033" i="17"/>
  <c r="AN1034" i="17"/>
  <c r="AN1036" i="17"/>
  <c r="AN1037" i="17"/>
  <c r="AN1026" i="17"/>
  <c r="AN1028" i="17"/>
  <c r="AN1027" i="17"/>
  <c r="AN1025" i="17"/>
  <c r="AN994" i="17"/>
  <c r="AN995" i="17"/>
  <c r="AN1002" i="17"/>
  <c r="AN1004" i="17"/>
  <c r="AN1005" i="17"/>
  <c r="AN1011" i="17"/>
  <c r="AN1006" i="17"/>
  <c r="AN1017" i="17"/>
  <c r="AN1003" i="17"/>
  <c r="AN1001" i="17"/>
  <c r="AN998" i="17"/>
  <c r="AN997" i="17"/>
  <c r="AN1013" i="17"/>
  <c r="AN1014" i="17"/>
  <c r="AN1015" i="17"/>
  <c r="AN996" i="17"/>
  <c r="AN945" i="17"/>
  <c r="AN944" i="17"/>
  <c r="AN943" i="17"/>
  <c r="AN942" i="17"/>
  <c r="AN941" i="17"/>
  <c r="AN940" i="17"/>
  <c r="AN939" i="17"/>
  <c r="AN938" i="17"/>
  <c r="AN937" i="17"/>
  <c r="AN936" i="17"/>
  <c r="AN989" i="17"/>
  <c r="AN988" i="17"/>
  <c r="AN987" i="17"/>
  <c r="AN986" i="17"/>
  <c r="AN985" i="17"/>
  <c r="AN984" i="17"/>
  <c r="AN983" i="17"/>
  <c r="AN982" i="17"/>
  <c r="AN981" i="17"/>
  <c r="AN980" i="17"/>
  <c r="AN979" i="17"/>
  <c r="AN978" i="17"/>
  <c r="AN972" i="17"/>
  <c r="AN971" i="17"/>
  <c r="AN970" i="17"/>
  <c r="AN969" i="17"/>
  <c r="AN968" i="17"/>
  <c r="AN916" i="17"/>
  <c r="AN915" i="17"/>
  <c r="AN914" i="17"/>
  <c r="AN913" i="17"/>
  <c r="AN912" i="17"/>
  <c r="AN911" i="17"/>
  <c r="AN999" i="17"/>
  <c r="AN1000" i="17"/>
  <c r="AN919" i="17"/>
  <c r="AN918" i="17"/>
  <c r="AN917" i="17"/>
  <c r="AN990" i="17"/>
  <c r="AN993" i="17"/>
  <c r="AN992" i="17"/>
  <c r="AN991" i="17"/>
  <c r="AN967" i="17"/>
  <c r="AN973" i="17"/>
  <c r="AN39" i="17"/>
  <c r="AN38" i="17"/>
  <c r="AN37" i="17"/>
  <c r="AN36" i="17"/>
  <c r="AN35" i="17"/>
  <c r="AN34" i="17"/>
  <c r="AN33" i="17"/>
  <c r="AN32" i="17"/>
  <c r="AN31" i="17"/>
  <c r="AN30" i="17"/>
  <c r="AN29" i="17"/>
  <c r="AN28" i="17"/>
  <c r="AN27" i="17"/>
  <c r="AN26" i="17"/>
  <c r="AN25" i="17"/>
  <c r="AN977" i="17"/>
  <c r="AN887" i="17"/>
  <c r="AN24" i="17"/>
  <c r="AN23" i="17"/>
  <c r="AN22" i="17"/>
  <c r="AN21" i="17"/>
  <c r="AN20" i="17"/>
  <c r="AN976" i="17"/>
  <c r="AN975" i="17"/>
  <c r="AN974" i="17"/>
  <c r="AN870" i="17"/>
  <c r="AN869" i="17"/>
  <c r="AN868" i="17"/>
  <c r="AN867" i="17"/>
  <c r="AN866" i="17"/>
  <c r="AN865" i="17"/>
  <c r="AN792" i="17"/>
  <c r="AN791" i="17"/>
  <c r="AN790" i="17"/>
  <c r="AN789" i="17"/>
  <c r="AN788" i="17"/>
  <c r="AN787" i="17"/>
  <c r="AN557" i="17"/>
  <c r="AN556" i="17"/>
  <c r="AN487" i="17"/>
  <c r="AN486" i="17"/>
  <c r="AN485" i="17"/>
  <c r="AN484" i="17"/>
  <c r="AN483" i="17"/>
  <c r="AN482" i="17"/>
  <c r="AN481" i="17"/>
  <c r="AN480" i="17"/>
  <c r="AN19" i="17"/>
  <c r="AN18" i="17"/>
  <c r="AN966" i="17"/>
  <c r="AN786" i="17"/>
  <c r="AN785" i="17"/>
  <c r="AN555" i="17"/>
  <c r="AN554" i="17"/>
  <c r="AN713" i="17"/>
  <c r="AN712" i="17"/>
  <c r="AN13" i="17"/>
  <c r="AN946" i="17"/>
  <c r="AN910" i="17"/>
  <c r="AN909" i="17"/>
  <c r="AN908" i="17"/>
  <c r="AN907" i="17"/>
  <c r="AN906" i="17"/>
  <c r="AN905" i="17"/>
  <c r="AN904" i="17"/>
  <c r="AN903" i="17"/>
  <c r="AN902" i="17"/>
  <c r="AN901" i="17"/>
  <c r="AN900" i="17"/>
  <c r="AN899" i="17"/>
  <c r="AN898" i="17"/>
  <c r="AN897" i="17"/>
  <c r="AN896" i="17"/>
  <c r="AN895" i="17"/>
  <c r="AN894" i="17"/>
  <c r="AN893" i="17"/>
  <c r="AN892" i="17"/>
  <c r="AN891" i="17"/>
  <c r="AN890" i="17"/>
  <c r="AN889" i="17"/>
  <c r="AN888" i="17"/>
  <c r="AN947" i="17"/>
  <c r="AN949" i="17"/>
  <c r="AN948" i="17"/>
  <c r="AN553" i="17"/>
  <c r="AN552" i="17"/>
  <c r="AN551" i="17"/>
  <c r="AN258" i="17"/>
  <c r="AN257" i="17"/>
  <c r="AN256" i="17"/>
  <c r="AN255" i="17"/>
  <c r="AN254" i="17"/>
  <c r="AN253" i="17"/>
  <c r="AN252" i="17"/>
  <c r="AN251" i="17"/>
  <c r="AN250" i="17"/>
  <c r="AN249" i="17"/>
  <c r="AN248" i="17"/>
  <c r="AN247" i="17"/>
  <c r="AN784" i="17"/>
  <c r="AN783" i="17"/>
  <c r="AN782" i="17"/>
  <c r="AN781" i="17"/>
  <c r="AN780" i="17"/>
  <c r="AN550" i="17"/>
  <c r="AN549" i="17"/>
  <c r="AN548" i="17"/>
  <c r="AN547" i="17"/>
  <c r="AN490" i="17"/>
  <c r="AN479" i="17"/>
  <c r="AN478" i="17"/>
  <c r="AN477" i="17"/>
  <c r="AN476" i="17"/>
  <c r="AN475" i="17"/>
  <c r="AN246" i="17"/>
  <c r="AN245" i="17"/>
  <c r="AN244" i="17"/>
  <c r="AN243" i="17"/>
  <c r="AN242" i="17"/>
  <c r="AN241" i="17"/>
  <c r="AN12" i="17"/>
  <c r="AN11" i="17"/>
  <c r="AN10" i="17"/>
  <c r="AN9" i="17"/>
  <c r="AN711" i="17"/>
  <c r="AN710" i="17"/>
  <c r="AN697" i="17"/>
  <c r="AN696" i="17"/>
  <c r="AN489" i="17"/>
  <c r="AN488" i="17"/>
  <c r="AN240" i="17"/>
  <c r="AN779" i="17"/>
  <c r="AN695" i="17"/>
  <c r="AN694" i="17"/>
  <c r="AN693" i="17"/>
  <c r="AN546" i="17"/>
  <c r="AN474" i="17"/>
  <c r="AN473" i="17"/>
  <c r="AN472" i="17"/>
  <c r="AN417" i="17"/>
  <c r="AN416" i="17"/>
  <c r="AN415" i="17"/>
  <c r="AN414" i="17"/>
  <c r="AN413" i="17"/>
  <c r="AN8" i="17"/>
  <c r="AN965" i="17"/>
  <c r="AN864" i="17"/>
  <c r="AN863" i="17"/>
  <c r="AN860" i="17"/>
  <c r="AN862" i="17"/>
  <c r="AN861" i="17"/>
  <c r="AN859" i="17"/>
  <c r="AN858" i="17"/>
  <c r="AN857" i="17"/>
  <c r="AN856" i="17"/>
  <c r="AN855" i="17"/>
  <c r="AN854" i="17"/>
  <c r="AN853" i="17"/>
  <c r="AN852" i="17"/>
  <c r="AN851" i="17"/>
  <c r="AN850" i="17"/>
  <c r="AN849" i="17"/>
  <c r="AN848" i="17"/>
  <c r="AN847" i="17"/>
  <c r="AN846" i="17"/>
  <c r="AN845" i="17"/>
  <c r="AN844" i="17"/>
  <c r="AN778" i="17"/>
  <c r="AN777" i="17"/>
  <c r="AN776" i="17"/>
  <c r="AN775" i="17"/>
  <c r="AN471" i="17"/>
  <c r="AN470" i="17"/>
  <c r="AN469" i="17"/>
  <c r="AN468" i="17"/>
  <c r="AN467" i="17"/>
  <c r="AN466" i="17"/>
  <c r="AN465" i="17"/>
  <c r="AN464" i="17"/>
  <c r="AN463" i="17"/>
  <c r="AN412" i="17"/>
  <c r="AN411" i="17"/>
  <c r="AN7" i="17"/>
  <c r="AN6" i="17"/>
  <c r="AN5" i="17"/>
  <c r="AN964" i="17"/>
  <c r="AN963" i="17"/>
  <c r="AN962" i="17"/>
  <c r="AN961" i="17"/>
  <c r="AN960" i="17"/>
  <c r="AN959" i="17"/>
  <c r="AN958" i="17"/>
  <c r="AN953" i="17"/>
  <c r="AN952" i="17"/>
  <c r="AN951" i="17"/>
  <c r="AN950" i="17"/>
  <c r="AN886" i="17"/>
  <c r="AN885" i="17"/>
  <c r="AN884" i="17"/>
  <c r="AN957" i="17"/>
  <c r="AN956" i="17"/>
  <c r="AN955" i="17"/>
  <c r="AN954" i="17"/>
  <c r="AN774" i="17"/>
  <c r="AN773" i="17"/>
  <c r="AN772" i="17"/>
  <c r="AN771" i="17"/>
  <c r="AN770" i="17"/>
  <c r="AN769" i="17"/>
  <c r="AN768" i="17"/>
  <c r="AN767" i="17"/>
  <c r="AN715" i="17"/>
  <c r="AN714" i="17"/>
  <c r="AN692" i="17"/>
  <c r="AN691" i="17"/>
  <c r="AN690" i="17"/>
  <c r="AN689" i="17"/>
  <c r="AN688" i="17"/>
  <c r="AN687" i="17"/>
  <c r="AN686" i="17"/>
  <c r="AN685" i="17"/>
  <c r="AN684" i="17"/>
  <c r="AN683" i="17"/>
  <c r="AN682" i="17"/>
  <c r="AN634" i="17"/>
  <c r="AN633" i="17"/>
  <c r="AN632" i="17"/>
  <c r="AN631" i="17"/>
  <c r="AN630" i="17"/>
  <c r="AN629" i="17"/>
  <c r="AN628" i="17"/>
  <c r="AN627" i="17"/>
  <c r="AN626" i="17"/>
  <c r="AN625" i="17"/>
  <c r="AN624" i="17"/>
  <c r="AN623" i="17"/>
  <c r="AN622" i="17"/>
  <c r="AN621" i="17"/>
  <c r="AN620" i="17"/>
  <c r="AN619" i="17"/>
  <c r="AN618" i="17"/>
  <c r="AN617" i="17"/>
  <c r="AN616" i="17"/>
  <c r="AN545" i="17"/>
  <c r="AN544" i="17"/>
  <c r="AN543" i="17"/>
  <c r="AN462" i="17"/>
  <c r="AN461" i="17"/>
  <c r="AN239" i="17"/>
  <c r="AN238" i="17"/>
  <c r="AN168" i="17"/>
  <c r="AN167" i="17"/>
  <c r="AN166" i="17"/>
  <c r="AN165" i="17"/>
  <c r="AN164" i="17"/>
  <c r="AN163" i="17"/>
  <c r="AN162" i="17"/>
  <c r="AN161" i="17"/>
  <c r="AN160" i="17"/>
  <c r="AN159" i="17"/>
  <c r="AN158" i="17"/>
  <c r="AN157" i="17"/>
  <c r="AN156" i="17"/>
  <c r="AN155" i="17"/>
  <c r="AN154" i="17"/>
  <c r="AN153" i="17"/>
  <c r="AN152" i="17"/>
  <c r="AN151" i="17"/>
  <c r="AN150" i="17"/>
  <c r="AN149" i="17"/>
  <c r="AN148" i="17"/>
  <c r="AN147" i="17"/>
  <c r="AN146" i="17"/>
  <c r="AN145" i="17"/>
  <c r="AN144" i="17"/>
  <c r="AN53" i="17"/>
  <c r="AN52" i="17"/>
  <c r="AN51" i="17"/>
  <c r="AN50" i="17"/>
  <c r="AN49" i="17"/>
  <c r="AN48" i="17"/>
  <c r="AN47" i="17"/>
  <c r="AN46" i="17"/>
  <c r="AN45" i="17"/>
  <c r="AN44" i="17"/>
  <c r="AN43" i="17"/>
  <c r="AN42" i="17"/>
  <c r="AN41" i="17"/>
  <c r="AN40" i="17"/>
  <c r="AN4" i="17"/>
  <c r="AN920" i="17"/>
  <c r="AN883" i="17"/>
  <c r="AN882" i="17"/>
  <c r="AN881" i="17"/>
  <c r="AN880" i="17"/>
  <c r="AN879" i="17"/>
  <c r="AN878" i="17"/>
  <c r="AN877" i="17"/>
  <c r="AN876" i="17"/>
  <c r="AN875" i="17"/>
  <c r="AN874" i="17"/>
  <c r="AN873" i="17"/>
  <c r="AN872" i="17"/>
  <c r="AN871" i="17"/>
  <c r="AN843" i="17"/>
  <c r="AN842" i="17"/>
  <c r="AN841" i="17"/>
  <c r="AN840" i="17"/>
  <c r="AN839" i="17"/>
  <c r="AN838" i="17"/>
  <c r="AN837" i="17"/>
  <c r="AN836" i="17"/>
  <c r="AN835" i="17"/>
  <c r="AN834" i="17"/>
  <c r="AN833" i="17"/>
  <c r="AN832" i="17"/>
  <c r="AN831" i="17"/>
  <c r="AN830" i="17"/>
  <c r="AN829" i="17"/>
  <c r="AN828" i="17"/>
  <c r="AN827" i="17"/>
  <c r="AN826" i="17"/>
  <c r="AN807" i="17"/>
  <c r="AN806" i="17"/>
  <c r="AN805" i="17"/>
  <c r="AN804" i="17"/>
  <c r="AN803" i="17"/>
  <c r="AN802" i="17"/>
  <c r="AN801" i="17"/>
  <c r="AN800" i="17"/>
  <c r="AN799" i="17"/>
  <c r="AN798" i="17"/>
  <c r="AN797" i="17"/>
  <c r="AN796" i="17"/>
  <c r="AN795" i="17"/>
  <c r="AN794" i="17"/>
  <c r="AN793" i="17"/>
  <c r="AN766" i="17"/>
  <c r="AN765" i="17"/>
  <c r="AN764" i="17"/>
  <c r="AN763" i="17"/>
  <c r="AN762" i="17"/>
  <c r="AN761" i="17"/>
  <c r="AN760" i="17"/>
  <c r="AN759" i="17"/>
  <c r="AN758" i="17"/>
  <c r="AN757" i="17"/>
  <c r="AN756" i="17"/>
  <c r="AN755" i="17"/>
  <c r="AN754" i="17"/>
  <c r="AN753" i="17"/>
  <c r="AN752" i="17"/>
  <c r="AN751" i="17"/>
  <c r="AN750" i="17"/>
  <c r="AN749" i="17"/>
  <c r="AN748" i="17"/>
  <c r="AN747" i="17"/>
  <c r="AN746" i="17"/>
  <c r="AN745" i="17"/>
  <c r="AN744" i="17"/>
  <c r="AN743" i="17"/>
  <c r="AN742" i="17"/>
  <c r="AN741" i="17"/>
  <c r="AN740" i="17"/>
  <c r="AN739" i="17"/>
  <c r="AN738" i="17"/>
  <c r="AN737" i="17"/>
  <c r="AN736" i="17"/>
  <c r="AN735" i="17"/>
  <c r="AN734" i="17"/>
  <c r="AN733" i="17"/>
  <c r="AN732" i="17"/>
  <c r="AN731" i="17"/>
  <c r="AN730" i="17"/>
  <c r="AN729" i="17"/>
  <c r="AN728" i="17"/>
  <c r="AN727" i="17"/>
  <c r="AN726" i="17"/>
  <c r="AN725" i="17"/>
  <c r="AN724" i="17"/>
  <c r="AN723" i="17"/>
  <c r="AN722" i="17"/>
  <c r="AN721" i="17"/>
  <c r="AN720" i="17"/>
  <c r="AN719" i="17"/>
  <c r="AN718" i="17"/>
  <c r="AN717" i="17"/>
  <c r="AN716" i="17"/>
  <c r="AN681" i="17"/>
  <c r="AN680" i="17"/>
  <c r="AN679" i="17"/>
  <c r="AN678" i="17"/>
  <c r="AN677" i="17"/>
  <c r="AN676" i="17"/>
  <c r="AN675" i="17"/>
  <c r="AN674" i="17"/>
  <c r="AN673" i="17"/>
  <c r="AN672" i="17"/>
  <c r="AN671" i="17"/>
  <c r="AN670" i="17"/>
  <c r="AN669" i="17"/>
  <c r="AN668" i="17"/>
  <c r="AN667" i="17"/>
  <c r="AN666" i="17"/>
  <c r="AN665" i="17"/>
  <c r="AN664" i="17"/>
  <c r="AN663" i="17"/>
  <c r="AN662" i="17"/>
  <c r="AN661" i="17"/>
  <c r="AN660" i="17"/>
  <c r="AN659" i="17"/>
  <c r="AN658" i="17"/>
  <c r="AN657" i="17"/>
  <c r="AN656" i="17"/>
  <c r="AN655" i="17"/>
  <c r="AN648" i="17"/>
  <c r="AN647" i="17"/>
  <c r="AN646" i="17"/>
  <c r="AN645" i="17"/>
  <c r="AN644" i="17"/>
  <c r="AN643" i="17"/>
  <c r="AN642" i="17"/>
  <c r="AN641" i="17"/>
  <c r="AN640" i="17"/>
  <c r="AN639" i="17"/>
  <c r="AN638" i="17"/>
  <c r="AN637" i="17"/>
  <c r="AN636" i="17"/>
  <c r="AN635" i="17"/>
  <c r="AN615" i="17"/>
  <c r="AN614" i="17"/>
  <c r="AN613" i="17"/>
  <c r="AN612" i="17"/>
  <c r="AN611" i="17"/>
  <c r="AN610" i="17"/>
  <c r="AN609" i="17"/>
  <c r="AN608" i="17"/>
  <c r="AN607" i="17"/>
  <c r="AN606" i="17"/>
  <c r="AN605" i="17"/>
  <c r="AN604" i="17"/>
  <c r="AN603" i="17"/>
  <c r="AN602" i="17"/>
  <c r="AN601" i="17"/>
  <c r="AN600" i="17"/>
  <c r="AN599" i="17"/>
  <c r="AN598" i="17"/>
  <c r="AN597" i="17"/>
  <c r="AN596" i="17"/>
  <c r="AN595" i="17"/>
  <c r="AN594" i="17"/>
  <c r="AN593" i="17"/>
  <c r="AN592" i="17"/>
  <c r="AN588" i="17"/>
  <c r="AN587" i="17"/>
  <c r="AN586" i="17"/>
  <c r="AN585" i="17"/>
  <c r="AN584" i="17"/>
  <c r="AN583" i="17"/>
  <c r="AN582" i="17"/>
  <c r="AN581" i="17"/>
  <c r="AN580" i="17"/>
  <c r="AN579" i="17"/>
  <c r="AN578" i="17"/>
  <c r="AN577" i="17"/>
  <c r="AN576" i="17"/>
  <c r="AN575" i="17"/>
  <c r="AN574" i="17"/>
  <c r="AN573" i="17"/>
  <c r="AN572" i="17"/>
  <c r="AN571" i="17"/>
  <c r="AN570" i="17"/>
  <c r="AN569" i="17"/>
  <c r="AN568" i="17"/>
  <c r="AN567" i="17"/>
  <c r="AN566" i="17"/>
  <c r="AN565" i="17"/>
  <c r="AN564" i="17"/>
  <c r="AN563" i="17"/>
  <c r="AN562" i="17"/>
  <c r="AN561" i="17"/>
  <c r="AN560" i="17"/>
  <c r="AN559" i="17"/>
  <c r="AN558" i="17"/>
  <c r="AN542" i="17"/>
  <c r="AN541" i="17"/>
  <c r="AN540" i="17"/>
  <c r="AN539" i="17"/>
  <c r="AN538" i="17"/>
  <c r="AN537" i="17"/>
  <c r="AN536" i="17"/>
  <c r="AN535" i="17"/>
  <c r="AN534" i="17"/>
  <c r="AN533" i="17"/>
  <c r="AN532" i="17"/>
  <c r="AN531" i="17"/>
  <c r="AN530" i="17"/>
  <c r="AN529" i="17"/>
  <c r="AN528" i="17"/>
  <c r="AN527" i="17"/>
  <c r="AN526" i="17"/>
  <c r="AN525" i="17"/>
  <c r="AN524" i="17"/>
  <c r="AN523" i="17"/>
  <c r="AN522" i="17"/>
  <c r="AN521" i="17"/>
  <c r="AN520" i="17"/>
  <c r="AN519" i="17"/>
  <c r="AN518" i="17"/>
  <c r="AN517" i="17"/>
  <c r="AN516" i="17"/>
  <c r="AN515" i="17"/>
  <c r="AN514" i="17"/>
  <c r="AN513" i="17"/>
  <c r="AN512" i="17"/>
  <c r="AN511" i="17"/>
  <c r="AN510" i="17"/>
  <c r="AN509" i="17"/>
  <c r="AN508" i="17"/>
  <c r="AN507" i="17"/>
  <c r="AN506" i="17"/>
  <c r="AN505" i="17"/>
  <c r="AN504" i="17"/>
  <c r="AN503" i="17"/>
  <c r="AN502" i="17"/>
  <c r="AN501" i="17"/>
  <c r="AN500" i="17"/>
  <c r="AN499" i="17"/>
  <c r="AN498" i="17"/>
  <c r="AN497" i="17"/>
  <c r="AN496" i="17"/>
  <c r="AN495" i="17"/>
  <c r="AN494" i="17"/>
  <c r="AN493" i="17"/>
  <c r="AN492" i="17"/>
  <c r="AN491" i="17"/>
  <c r="AN433" i="17"/>
  <c r="AN432" i="17"/>
  <c r="AN431" i="17"/>
  <c r="AN430" i="17"/>
  <c r="AN429" i="17"/>
  <c r="AN428" i="17"/>
  <c r="AN427" i="17"/>
  <c r="AN426" i="17"/>
  <c r="AN425" i="17"/>
  <c r="AN424" i="17"/>
  <c r="AN423" i="17"/>
  <c r="AN422" i="17"/>
  <c r="AN421" i="17"/>
  <c r="AN420" i="17"/>
  <c r="AN419" i="17"/>
  <c r="AN418" i="17"/>
  <c r="AN410" i="17"/>
  <c r="AN409" i="17"/>
  <c r="AN408" i="17"/>
  <c r="AN407" i="17"/>
  <c r="AN406" i="17"/>
  <c r="AN405" i="17"/>
  <c r="AN404" i="17"/>
  <c r="AN403" i="17"/>
  <c r="AN402" i="17"/>
  <c r="AN401" i="17"/>
  <c r="AN400" i="17"/>
  <c r="AN399" i="17"/>
  <c r="AN398" i="17"/>
  <c r="AN397" i="17"/>
  <c r="AN396" i="17"/>
  <c r="AN395" i="17"/>
  <c r="AN394" i="17"/>
  <c r="AN393" i="17"/>
  <c r="AN392" i="17"/>
  <c r="AN391" i="17"/>
  <c r="AN390" i="17"/>
  <c r="AN389" i="17"/>
  <c r="AN388" i="17"/>
  <c r="AN387" i="17"/>
  <c r="AN386" i="17"/>
  <c r="AN385" i="17"/>
  <c r="AN384" i="17"/>
  <c r="AN383" i="17"/>
  <c r="AN382" i="17"/>
  <c r="AN381" i="17"/>
  <c r="AN380" i="17"/>
  <c r="AN379" i="17"/>
  <c r="AN378" i="17"/>
  <c r="AN377" i="17"/>
  <c r="AN376" i="17"/>
  <c r="AN375" i="17"/>
  <c r="AN374" i="17"/>
  <c r="AN373" i="17"/>
  <c r="AN372" i="17"/>
  <c r="AN371" i="17"/>
  <c r="AN370" i="17"/>
  <c r="AN369" i="17"/>
  <c r="AN368" i="17"/>
  <c r="AN367" i="17"/>
  <c r="AN366" i="17"/>
  <c r="AN365" i="17"/>
  <c r="AN364" i="17"/>
  <c r="AN363" i="17"/>
  <c r="AN362" i="17"/>
  <c r="AN361" i="17"/>
  <c r="AN360" i="17"/>
  <c r="AN359" i="17"/>
  <c r="AN358" i="17"/>
  <c r="AN357" i="17"/>
  <c r="AN356" i="17"/>
  <c r="AN355" i="17"/>
  <c r="AN354" i="17"/>
  <c r="AN353" i="17"/>
  <c r="AN352" i="17"/>
  <c r="AN351" i="17"/>
  <c r="AN350" i="17"/>
  <c r="AN349" i="17"/>
  <c r="AN304" i="17"/>
  <c r="AN303" i="17"/>
  <c r="AN302" i="17"/>
  <c r="AN301" i="17"/>
  <c r="AN300" i="17"/>
  <c r="AN299" i="17"/>
  <c r="AN298" i="17"/>
  <c r="AN297" i="17"/>
  <c r="AN296" i="17"/>
  <c r="AN295" i="17"/>
  <c r="AN294" i="17"/>
  <c r="AN293" i="17"/>
  <c r="AN292" i="17"/>
  <c r="AN291" i="17"/>
  <c r="AN290" i="17"/>
  <c r="AN289" i="17"/>
  <c r="AN288" i="17"/>
  <c r="AN287" i="17"/>
  <c r="AN286" i="17"/>
  <c r="AN285" i="17"/>
  <c r="AN284" i="17"/>
  <c r="AN283" i="17"/>
  <c r="AN282" i="17"/>
  <c r="AN281" i="17"/>
  <c r="AN280" i="17"/>
  <c r="AN279" i="17"/>
  <c r="AN278" i="17"/>
  <c r="AN277" i="17"/>
  <c r="AN276" i="17"/>
  <c r="AN275" i="17"/>
  <c r="AN274" i="17"/>
  <c r="AN273" i="17"/>
  <c r="AN272" i="17"/>
  <c r="AN271" i="17"/>
  <c r="AN270" i="17"/>
  <c r="AN269" i="17"/>
  <c r="AN268" i="17"/>
  <c r="AN267" i="17"/>
  <c r="AN266" i="17"/>
  <c r="AN265" i="17"/>
  <c r="AN264" i="17"/>
  <c r="AN263" i="17"/>
  <c r="AN262" i="17"/>
  <c r="AN261" i="17"/>
  <c r="AN260" i="17"/>
  <c r="AN259" i="17"/>
  <c r="AN143" i="17"/>
  <c r="AN142" i="17"/>
  <c r="AN141" i="17"/>
  <c r="AN140" i="17"/>
  <c r="AN139" i="17"/>
  <c r="AN138" i="17"/>
  <c r="AN137" i="17"/>
  <c r="AN136" i="17"/>
  <c r="AN135" i="17"/>
  <c r="AN134" i="17"/>
  <c r="AN133" i="17"/>
  <c r="AN132" i="17"/>
  <c r="AN131" i="17"/>
  <c r="AN130" i="17"/>
  <c r="AN129" i="17"/>
  <c r="AN128" i="17"/>
  <c r="AN127" i="17"/>
  <c r="AN126" i="17"/>
  <c r="AN125" i="17"/>
  <c r="AN124" i="17"/>
  <c r="AN123" i="17"/>
  <c r="AN122" i="17"/>
  <c r="AN121" i="17"/>
  <c r="AN120" i="17"/>
  <c r="AN17" i="17"/>
  <c r="AN16" i="17"/>
  <c r="AN15" i="17"/>
  <c r="AN14" i="17"/>
  <c r="AN935" i="17"/>
  <c r="AN934" i="17"/>
  <c r="AN933" i="17"/>
  <c r="AN932" i="17"/>
  <c r="AN931" i="17"/>
  <c r="AN930" i="17"/>
  <c r="AN929" i="17"/>
  <c r="AN928" i="17"/>
  <c r="AN927" i="17"/>
  <c r="AN926" i="17"/>
  <c r="AN925" i="17"/>
  <c r="AN924" i="17"/>
  <c r="AN923" i="17"/>
  <c r="AN922" i="17"/>
  <c r="AN921" i="17"/>
  <c r="AN825" i="17"/>
  <c r="AN824" i="17"/>
  <c r="AN823" i="17"/>
  <c r="AN822" i="17"/>
  <c r="AN821" i="17"/>
  <c r="AN820" i="17"/>
  <c r="AN819" i="17"/>
  <c r="AN818" i="17"/>
  <c r="AN817" i="17"/>
  <c r="AN816" i="17"/>
  <c r="AN815" i="17"/>
  <c r="AN814" i="17"/>
  <c r="AN813" i="17"/>
  <c r="AN812" i="17"/>
  <c r="AN811" i="17"/>
  <c r="AN810" i="17"/>
  <c r="AN809" i="17"/>
  <c r="AN808" i="17"/>
  <c r="AN709" i="17"/>
  <c r="AN708" i="17"/>
  <c r="AN707" i="17"/>
  <c r="AN706" i="17"/>
  <c r="AN705" i="17"/>
  <c r="AN704" i="17"/>
  <c r="AN703" i="17"/>
  <c r="AN702" i="17"/>
  <c r="AN701" i="17"/>
  <c r="AN700" i="17"/>
  <c r="AN699" i="17"/>
  <c r="AN698" i="17"/>
  <c r="AN591" i="17"/>
  <c r="AN590" i="17"/>
  <c r="AN589" i="17"/>
  <c r="AN460" i="17"/>
  <c r="AN459" i="17"/>
  <c r="AN458" i="17"/>
  <c r="AN457" i="17"/>
  <c r="AN456" i="17"/>
  <c r="AN455" i="17"/>
  <c r="AN454" i="17"/>
  <c r="AN453" i="17"/>
  <c r="AN452" i="17"/>
  <c r="AN451" i="17"/>
  <c r="AN450" i="17"/>
  <c r="AN449" i="17"/>
  <c r="AN448" i="17"/>
  <c r="AN447" i="17"/>
  <c r="AN446" i="17"/>
  <c r="AN445" i="17"/>
  <c r="AN444" i="17"/>
  <c r="AN443" i="17"/>
  <c r="AN442" i="17"/>
  <c r="AN441" i="17"/>
  <c r="AN440" i="17"/>
  <c r="AN439" i="17"/>
  <c r="AN438" i="17"/>
  <c r="AN437" i="17"/>
  <c r="AN436" i="17"/>
  <c r="AN435" i="17"/>
  <c r="AN434" i="17"/>
  <c r="AN348" i="17"/>
  <c r="AN347" i="17"/>
  <c r="AN346" i="17"/>
  <c r="AN345" i="17"/>
  <c r="AN344" i="17"/>
  <c r="AN343" i="17"/>
  <c r="AN342" i="17"/>
  <c r="AN341" i="17"/>
  <c r="AN340" i="17"/>
  <c r="AN339" i="17"/>
  <c r="AN338" i="17"/>
  <c r="AN337" i="17"/>
  <c r="AN336" i="17"/>
  <c r="AN335" i="17"/>
  <c r="AN334" i="17"/>
  <c r="AN333" i="17"/>
  <c r="AN332" i="17"/>
  <c r="AN331" i="17"/>
  <c r="AN330" i="17"/>
  <c r="AN329" i="17"/>
  <c r="AN328" i="17"/>
  <c r="AN327" i="17"/>
  <c r="AN326" i="17"/>
  <c r="AN325" i="17"/>
  <c r="AN324" i="17"/>
  <c r="AN323" i="17"/>
  <c r="AN322" i="17"/>
  <c r="AN321" i="17"/>
  <c r="AN320" i="17"/>
  <c r="AN319" i="17"/>
  <c r="AN318" i="17"/>
  <c r="AN317" i="17"/>
  <c r="AN316" i="17"/>
  <c r="AN315" i="17"/>
  <c r="AN314" i="17"/>
  <c r="AN313" i="17"/>
  <c r="AN312" i="17"/>
  <c r="AN311" i="17"/>
  <c r="AN310" i="17"/>
  <c r="AN309" i="17"/>
  <c r="AN308" i="17"/>
  <c r="AN307" i="17"/>
  <c r="AN306" i="17"/>
  <c r="AN305" i="17"/>
  <c r="AN237" i="17"/>
  <c r="AN236" i="17"/>
  <c r="AN235" i="17"/>
  <c r="AN234" i="17"/>
  <c r="AN233" i="17"/>
  <c r="AN232" i="17"/>
  <c r="AN231" i="17"/>
  <c r="AN230" i="17"/>
  <c r="AN229" i="17"/>
  <c r="AN228" i="17"/>
  <c r="AN227" i="17"/>
  <c r="AN226" i="17"/>
  <c r="AN225" i="17"/>
  <c r="AN224" i="17"/>
  <c r="AN223" i="17"/>
  <c r="AN222" i="17"/>
  <c r="AN221" i="17"/>
  <c r="AN220" i="17"/>
  <c r="AN219" i="17"/>
  <c r="AN218" i="17"/>
  <c r="AN217" i="17"/>
  <c r="AN216" i="17"/>
  <c r="AN215" i="17"/>
  <c r="AN214" i="17"/>
  <c r="AN213" i="17"/>
  <c r="AN212" i="17"/>
  <c r="AN211" i="17"/>
  <c r="AN210" i="17"/>
  <c r="AN209" i="17"/>
  <c r="AN208" i="17"/>
  <c r="AN207" i="17"/>
  <c r="AN206" i="17"/>
  <c r="AN205" i="17"/>
  <c r="AN204" i="17"/>
  <c r="AN203" i="17"/>
  <c r="AN202" i="17"/>
  <c r="AN201" i="17"/>
  <c r="AN200" i="17"/>
  <c r="AN199" i="17"/>
  <c r="AN198" i="17"/>
  <c r="AN197" i="17"/>
  <c r="AN196" i="17"/>
  <c r="AN195" i="17"/>
  <c r="AN194" i="17"/>
  <c r="AN193" i="17"/>
  <c r="AN192" i="17"/>
  <c r="AN191" i="17"/>
  <c r="AN190" i="17"/>
  <c r="AN189" i="17"/>
  <c r="AN188" i="17"/>
  <c r="AN187" i="17"/>
  <c r="AN186" i="17"/>
  <c r="AN185" i="17"/>
  <c r="AN184" i="17"/>
  <c r="AN183" i="17"/>
  <c r="AN182" i="17"/>
  <c r="AN181" i="17"/>
  <c r="AN180" i="17"/>
  <c r="AN179" i="17"/>
  <c r="AN178" i="17"/>
  <c r="AN177" i="17"/>
  <c r="AN176" i="17"/>
  <c r="AN175" i="17"/>
  <c r="AN174" i="17"/>
  <c r="AN173" i="17"/>
  <c r="AN172" i="17"/>
  <c r="AN171" i="17"/>
  <c r="AN170" i="17"/>
  <c r="AN169" i="17"/>
  <c r="AN119" i="17"/>
  <c r="AN118" i="17"/>
  <c r="AN117" i="17"/>
  <c r="AN116" i="17"/>
  <c r="AN115" i="17"/>
  <c r="AN114" i="17"/>
  <c r="AN113" i="17"/>
  <c r="AN112" i="17"/>
  <c r="AN111" i="17"/>
  <c r="AN110" i="17"/>
  <c r="AN109" i="17"/>
  <c r="AN108" i="17"/>
  <c r="AN107" i="17"/>
  <c r="AN106" i="17"/>
  <c r="AN105" i="17"/>
  <c r="AN104" i="17"/>
  <c r="AN103" i="17"/>
  <c r="AN102" i="17"/>
  <c r="AN101" i="17"/>
  <c r="AN100" i="17"/>
  <c r="AN99" i="17"/>
  <c r="AN98" i="17"/>
  <c r="AN97" i="17"/>
  <c r="AN96" i="17"/>
  <c r="AN95" i="17"/>
  <c r="AN94" i="17"/>
  <c r="AN93" i="17"/>
  <c r="AN92" i="17"/>
  <c r="AN91" i="17"/>
  <c r="AN90" i="17"/>
  <c r="AN89" i="17"/>
  <c r="AN88" i="17"/>
  <c r="AN87" i="17"/>
  <c r="AN86" i="17"/>
  <c r="AN85" i="17"/>
  <c r="AN84" i="17"/>
  <c r="AN83" i="17"/>
  <c r="AN82" i="17"/>
  <c r="AN81" i="17"/>
  <c r="AN80" i="17"/>
  <c r="AN79" i="17"/>
  <c r="AN78" i="17"/>
  <c r="AN77" i="17"/>
  <c r="AN76" i="17"/>
  <c r="AN75" i="17"/>
  <c r="AN74" i="17"/>
  <c r="AN73" i="17"/>
  <c r="AN72" i="17"/>
  <c r="AN71" i="17"/>
  <c r="AN70" i="17"/>
  <c r="AN69" i="17"/>
  <c r="AN68" i="17"/>
  <c r="AN67" i="17"/>
  <c r="AN66" i="17"/>
  <c r="AN65" i="17"/>
  <c r="AN64" i="17"/>
  <c r="AN63" i="17"/>
  <c r="AN62" i="17"/>
  <c r="AN61" i="17"/>
  <c r="AN60" i="17"/>
  <c r="AN59" i="17"/>
  <c r="AN58" i="17"/>
  <c r="AN57" i="17"/>
  <c r="AN56" i="17"/>
  <c r="AN55" i="17"/>
  <c r="AN54" i="17"/>
  <c r="E838" i="14" l="1"/>
  <c r="E839" i="14" s="1"/>
  <c r="E852" i="14"/>
  <c r="E867" i="14"/>
  <c r="E868" i="14"/>
  <c r="E875" i="14"/>
  <c r="E816" i="14"/>
  <c r="E810" i="14"/>
  <c r="E811" i="14"/>
  <c r="E812" i="14" s="1"/>
  <c r="E574" i="14"/>
  <c r="E798" i="14"/>
  <c r="E800" i="14"/>
  <c r="E801" i="14" s="1"/>
  <c r="E911" i="14"/>
  <c r="E903" i="14"/>
  <c r="E897" i="14"/>
  <c r="E898" i="14"/>
  <c r="E899" i="14" s="1"/>
  <c r="E840" i="14" l="1"/>
  <c r="E888" i="14"/>
  <c r="E841" i="14"/>
  <c r="E819" i="14"/>
  <c r="E818" i="14"/>
  <c r="E817" i="14"/>
  <c r="E575" i="14"/>
  <c r="E912" i="14"/>
  <c r="E913" i="14" s="1"/>
  <c r="E802" i="14"/>
  <c r="E824" i="14" s="1"/>
  <c r="E906" i="14"/>
  <c r="E901" i="14"/>
  <c r="E904" i="14" s="1"/>
  <c r="E905" i="14" s="1"/>
  <c r="E889" i="14" l="1"/>
  <c r="E842" i="14"/>
  <c r="E843" i="14"/>
  <c r="E820" i="14"/>
  <c r="E821" i="14"/>
  <c r="E576" i="14"/>
  <c r="E577" i="14"/>
  <c r="E578" i="14" s="1"/>
  <c r="E914" i="14"/>
  <c r="E915" i="14"/>
  <c r="E916" i="14" s="1"/>
  <c r="E825" i="14"/>
  <c r="E907" i="14"/>
  <c r="E908" i="14" s="1"/>
  <c r="E909" i="14" s="1"/>
  <c r="E844" i="14" l="1"/>
  <c r="E891" i="14"/>
  <c r="E579" i="14"/>
  <c r="E580" i="14" s="1"/>
  <c r="E581" i="14" s="1"/>
  <c r="E582" i="14" s="1"/>
  <c r="E583" i="14" s="1"/>
  <c r="E584" i="14" s="1"/>
  <c r="E585" i="14" s="1"/>
  <c r="E586" i="14" s="1"/>
  <c r="E813" i="14" s="1"/>
  <c r="E917" i="14"/>
  <c r="E918" i="14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6" i="14"/>
  <c r="E832" i="14" s="1"/>
  <c r="E833" i="14" s="1"/>
  <c r="E935" i="14"/>
  <c r="E936" i="14" s="1"/>
  <c r="E937" i="14" s="1"/>
  <c r="E980" i="14"/>
  <c r="E934" i="14" l="1"/>
  <c r="E940" i="14"/>
  <c r="E974" i="14" s="1"/>
  <c r="E978" i="14" s="1"/>
  <c r="E938" i="14"/>
  <c r="E1019" i="14" s="1"/>
  <c r="E845" i="14"/>
  <c r="E846" i="14" l="1"/>
  <c r="E847" i="14" l="1"/>
  <c r="E848" i="14" l="1"/>
  <c r="E849" i="14" l="1"/>
  <c r="E850" i="14" l="1"/>
  <c r="E851" i="14" l="1"/>
  <c r="E853" i="14" l="1"/>
  <c r="E854" i="14" l="1"/>
  <c r="E855" i="14" l="1"/>
  <c r="E856" i="14" l="1"/>
  <c r="E857" i="14" l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881" i="14"/>
  <c r="E1021" i="14"/>
  <c r="E1022" i="14" s="1"/>
  <c r="E1023" i="14" s="1"/>
  <c r="E1024" i="14" s="1"/>
  <c r="E941" i="14" l="1"/>
  <c r="E942" i="14"/>
  <c r="E882" i="14"/>
  <c r="E943" i="14" l="1"/>
  <c r="E946" i="14"/>
  <c r="E947" i="14" s="1"/>
  <c r="E951" i="14" s="1"/>
  <c r="E952" i="14" s="1"/>
  <c r="E953" i="14" s="1"/>
  <c r="E954" i="14" s="1"/>
  <c r="E955" i="14" s="1"/>
  <c r="E956" i="14" s="1"/>
  <c r="E957" i="14" s="1"/>
  <c r="E969" i="14" s="1"/>
  <c r="E883" i="14"/>
  <c r="E884" i="14" l="1"/>
  <c r="E944" i="14"/>
  <c r="E945" i="14" s="1"/>
  <c r="E965" i="14" l="1"/>
  <c r="E885" i="14"/>
  <c r="E966" i="14" l="1"/>
  <c r="E886" i="14"/>
  <c r="E887" i="14" s="1"/>
  <c r="E890" i="14" s="1"/>
  <c r="E893" i="14" s="1"/>
  <c r="E948" i="14" s="1"/>
  <c r="E949" i="14" s="1"/>
  <c r="E958" i="14" s="1"/>
  <c r="E959" i="14" s="1"/>
  <c r="E960" i="14" s="1"/>
  <c r="E967" i="14"/>
  <c r="E968" i="14" s="1"/>
  <c r="E970" i="14" s="1"/>
  <c r="E971" i="14" s="1"/>
  <c r="E972" i="14" s="1"/>
  <c r="E973" i="14" s="1"/>
  <c r="E975" i="14" s="1"/>
  <c r="E976" i="14" l="1"/>
  <c r="E981" i="14"/>
  <c r="E982" i="14" s="1"/>
  <c r="E983" i="14" s="1"/>
  <c r="E984" i="14" s="1"/>
  <c r="E985" i="14" s="1"/>
  <c r="E988" i="14" l="1"/>
  <c r="E977" i="14"/>
  <c r="E979" i="14" s="1"/>
  <c r="E986" i="14" s="1"/>
  <c r="E987" i="14" s="1"/>
  <c r="E989" i="14" l="1"/>
  <c r="E990" i="14" s="1"/>
  <c r="E991" i="14" s="1"/>
  <c r="E993" i="14" s="1"/>
  <c r="E994" i="14" l="1"/>
  <c r="E995" i="14" s="1"/>
  <c r="E996" i="14" s="1"/>
  <c r="E997" i="14" s="1"/>
  <c r="E998" i="14" l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20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<sst xmlns="http://schemas.openxmlformats.org/spreadsheetml/2006/main" count="18002" uniqueCount="3696">
  <si>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</si>
  <si>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</si>
  <si>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</si>
  <si>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</si>
  <si>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</si>
  <si>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</si>
  <si>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</si>
  <si>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</si>
  <si>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</si>
  <si>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</si>
  <si>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</si>
  <si>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</si>
  <si>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</si>
  <si>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</si>
  <si>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</si>
  <si>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</si>
  <si>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</si>
  <si>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</si>
  <si>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</si>
  <si>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</si>
  <si>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</si>
  <si>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</si>
  <si>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</si>
  <si>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</si>
  <si>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</si>
  <si>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</si>
  <si>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</si>
  <si>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</si>
  <si>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</si>
  <si>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</si>
  <si>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</si>
  <si>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</si>
  <si>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</si>
  <si>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</si>
  <si>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</si>
  <si>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</si>
  <si>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</si>
  <si>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</si>
  <si>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</si>
  <si>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</si>
  <si>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</si>
  <si>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</si>
  <si>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</si>
  <si>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</si>
  <si>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</si>
  <si>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</si>
  <si>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</si>
  <si>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</si>
  <si>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</si>
  <si>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</si>
  <si>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</si>
  <si>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</si>
  <si>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</si>
  <si>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</si>
  <si>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</si>
  <si>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</si>
  <si>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</si>
  <si>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</si>
  <si>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</si>
  <si>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</si>
  <si>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</si>
  <si>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</si>
  <si>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</si>
  <si>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</si>
  <si>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</si>
  <si>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</si>
  <si>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</si>
  <si>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</si>
  <si>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</si>
  <si>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</si>
  <si>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</si>
  <si>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</si>
  <si>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</si>
  <si>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</si>
  <si>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</si>
  <si>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</si>
  <si>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</si>
  <si>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</si>
  <si>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</si>
  <si>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</si>
  <si>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</si>
  <si>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</si>
  <si>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</si>
  <si>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</si>
  <si>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</si>
  <si>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</si>
  <si>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</si>
  <si>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</si>
  <si>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</si>
  <si>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</si>
  <si>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</si>
  <si>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</si>
  <si>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</si>
  <si>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</si>
  <si>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</si>
  <si>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</si>
  <si>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</si>
  <si>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</si>
  <si>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</si>
  <si>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</si>
  <si>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</si>
  <si>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</si>
  <si>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</si>
  <si>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</si>
  <si>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</si>
  <si>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</si>
  <si>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</si>
  <si>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</si>
  <si>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</si>
  <si>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</si>
  <si>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</si>
  <si>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</si>
  <si>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</si>
  <si>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</si>
  <si>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</si>
  <si>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</si>
  <si>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</si>
  <si>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</si>
  <si>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</si>
  <si>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</si>
  <si>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</si>
  <si>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</si>
  <si>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</si>
  <si>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</si>
  <si>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</si>
  <si>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</si>
  <si>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</si>
  <si>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</si>
  <si>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</si>
  <si>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</si>
  <si>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</si>
  <si>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</si>
  <si>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</si>
  <si>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</si>
  <si>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</si>
  <si>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</si>
  <si>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</si>
  <si>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</si>
  <si>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</si>
  <si>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</si>
  <si>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</si>
  <si>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</si>
  <si>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</si>
  <si>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</si>
  <si>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</si>
  <si>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</si>
  <si>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</si>
  <si>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</si>
  <si>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</si>
  <si>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</si>
  <si>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</si>
  <si>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</si>
  <si>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</si>
  <si>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</si>
  <si>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</si>
  <si>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</si>
  <si>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</si>
  <si>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</si>
  <si>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</si>
  <si>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</si>
  <si>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</si>
  <si>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</si>
  <si>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</si>
  <si>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</si>
  <si>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</si>
  <si>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</si>
  <si>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</si>
  <si>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</si>
  <si>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</si>
  <si>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</si>
  <si>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</si>
  <si>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</si>
  <si>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</si>
  <si>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</si>
  <si>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</si>
  <si>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</si>
  <si>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</si>
  <si>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</si>
  <si>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</si>
  <si>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</si>
  <si>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</si>
  <si>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</si>
  <si>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</si>
  <si>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</si>
  <si>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</si>
  <si>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</si>
  <si>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</si>
  <si>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</si>
  <si>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</si>
  <si>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</si>
  <si>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</si>
  <si>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</si>
  <si>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</si>
  <si>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</si>
  <si>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</si>
  <si>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</si>
  <si>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</si>
  <si>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</si>
  <si>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</si>
  <si>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</si>
  <si>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</si>
  <si>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</si>
  <si>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</si>
  <si>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</si>
  <si>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</si>
  <si>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</si>
  <si>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</si>
  <si>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</si>
  <si>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</si>
  <si>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</si>
  <si>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</si>
  <si>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</si>
  <si>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</si>
  <si>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</si>
  <si>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</si>
  <si>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</si>
  <si>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</si>
  <si>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</si>
  <si>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</si>
  <si>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</si>
  <si>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</si>
  <si>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</si>
  <si>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</si>
  <si>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</si>
  <si>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</si>
  <si>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</si>
  <si>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</si>
  <si>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</si>
  <si>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</si>
  <si>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</si>
  <si>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</si>
  <si>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</si>
  <si>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</si>
  <si>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</si>
  <si>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</si>
  <si>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</si>
  <si>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</si>
  <si>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</si>
  <si>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</si>
  <si>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</si>
  <si>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</si>
  <si>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</si>
  <si>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</si>
  <si>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</si>
  <si>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</si>
  <si>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</si>
  <si>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</si>
  <si>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</si>
  <si>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</si>
  <si>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</si>
  <si>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</si>
  <si>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</si>
  <si>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</si>
  <si>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</si>
  <si>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</si>
  <si>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</si>
  <si>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</si>
  <si>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</si>
  <si>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</si>
  <si>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</si>
  <si>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</si>
  <si>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</si>
  <si>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</si>
  <si>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</si>
  <si>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</si>
  <si>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</si>
  <si>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</si>
  <si>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</si>
  <si>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</si>
  <si>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</si>
  <si>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</si>
  <si>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</si>
  <si>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</si>
  <si>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</si>
  <si>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</si>
  <si>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</si>
  <si>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</si>
  <si>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</si>
  <si>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</si>
  <si>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</si>
  <si>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</si>
  <si>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</si>
  <si>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</si>
  <si>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</si>
  <si>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</si>
  <si>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</si>
  <si>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</si>
  <si>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</si>
  <si>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</si>
  <si>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</si>
  <si>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</si>
  <si>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</si>
  <si>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</si>
  <si>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</si>
  <si>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</si>
  <si>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</si>
  <si>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</si>
  <si>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</si>
  <si>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</si>
  <si>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</si>
  <si>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</si>
  <si>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</si>
  <si>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</si>
  <si>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</si>
  <si>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</si>
  <si>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</si>
  <si>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</si>
  <si>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</si>
  <si>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</si>
  <si>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</si>
  <si>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</si>
  <si>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</si>
  <si>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</si>
  <si>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</si>
  <si>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</si>
  <si>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</si>
  <si>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</si>
  <si>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</si>
  <si>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</si>
  <si>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</si>
  <si>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</si>
  <si>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</si>
  <si>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</si>
  <si>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</si>
  <si>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</si>
  <si>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</si>
  <si>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</si>
  <si>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</si>
  <si>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</si>
  <si>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</si>
  <si>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</si>
  <si>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</si>
  <si>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</si>
  <si>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</si>
  <si>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</si>
  <si>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</si>
  <si>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</si>
  <si>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</si>
  <si>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</si>
  <si>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</si>
  <si>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</si>
  <si>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</si>
  <si>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</si>
  <si>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</si>
  <si>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</si>
  <si>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</si>
  <si>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</si>
  <si>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</si>
  <si>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</si>
  <si>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</si>
  <si>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</si>
  <si>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</si>
  <si>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</si>
  <si>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</si>
  <si>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</si>
  <si>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</si>
  <si>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</si>
  <si>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</si>
  <si>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</si>
  <si>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</si>
  <si>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</si>
  <si>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</si>
  <si>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</si>
  <si>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</si>
  <si>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</si>
  <si>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</si>
  <si>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</si>
  <si>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</si>
  <si>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</si>
  <si>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</si>
  <si>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</si>
  <si>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</si>
  <si>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</si>
  <si>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</si>
  <si>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</si>
  <si>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</si>
  <si>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</si>
  <si>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</si>
  <si>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</si>
  <si>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</si>
  <si>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</si>
  <si>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</si>
  <si>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</si>
  <si>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</si>
  <si>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</si>
  <si>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</si>
  <si>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</si>
  <si>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</si>
  <si>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</si>
  <si>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</si>
  <si>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</si>
  <si>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</si>
  <si>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</si>
  <si>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</si>
  <si>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</si>
  <si>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</si>
  <si>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</si>
  <si>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</si>
  <si>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</si>
  <si>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</si>
  <si>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</si>
  <si>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</si>
  <si>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</si>
  <si>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</si>
  <si>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</si>
  <si>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</si>
  <si>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</si>
  <si>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</si>
  <si>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</si>
  <si>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</si>
  <si>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</si>
  <si>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</si>
  <si>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</si>
  <si>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</si>
  <si>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</si>
  <si>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</si>
  <si>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</si>
  <si>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</si>
  <si>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</si>
  <si>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</si>
  <si>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</si>
  <si>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</si>
  <si>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</si>
  <si>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</si>
  <si>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</si>
  <si>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</si>
  <si>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</si>
  <si>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</si>
  <si>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</si>
  <si>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</si>
  <si>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</si>
  <si>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</si>
  <si>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</si>
  <si>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</si>
  <si>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</si>
  <si>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</si>
  <si>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</si>
  <si>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</si>
  <si>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</si>
  <si>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</si>
  <si>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</si>
  <si>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</si>
  <si>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</si>
  <si>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</si>
  <si>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</si>
  <si>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</si>
  <si>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</si>
  <si>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</si>
  <si>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</si>
  <si>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</si>
  <si>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</si>
  <si>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</si>
  <si>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</si>
  <si>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</si>
  <si>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</si>
  <si>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</si>
  <si>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</si>
  <si>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</si>
  <si>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</si>
  <si>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</si>
  <si>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</si>
  <si>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</si>
  <si>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</si>
  <si>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</si>
  <si>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</si>
  <si>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</si>
  <si>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</si>
  <si>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</si>
  <si>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</si>
  <si>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</si>
  <si>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</si>
  <si>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</si>
  <si>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</si>
  <si>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</si>
  <si>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</si>
  <si>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</si>
  <si>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</si>
  <si>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</si>
  <si>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</si>
  <si>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</si>
  <si>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</si>
  <si>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</si>
  <si>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</si>
  <si>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</si>
  <si>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</si>
  <si>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</si>
  <si>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</si>
  <si>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</si>
  <si>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</si>
  <si>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</si>
  <si>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</si>
  <si>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</si>
  <si>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</si>
  <si>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</si>
  <si>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</si>
  <si>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</si>
  <si>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</si>
  <si>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</si>
  <si>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</si>
  <si>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</si>
  <si>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</si>
  <si>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</si>
  <si>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</si>
  <si>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</si>
  <si>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</si>
  <si>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</si>
  <si>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</si>
  <si>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</si>
  <si>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</si>
  <si>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</si>
  <si>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</si>
  <si>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</si>
  <si>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</si>
  <si>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</si>
  <si>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</si>
  <si>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</si>
  <si>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</si>
  <si>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</si>
  <si>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</si>
  <si>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</si>
  <si>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</si>
  <si>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</si>
  <si>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</si>
  <si>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</si>
  <si>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</si>
  <si>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</si>
  <si>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</si>
  <si>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</si>
  <si>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</si>
  <si>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</si>
  <si>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</si>
  <si>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</si>
  <si>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</si>
  <si>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</si>
  <si>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</si>
  <si>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</si>
  <si>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</si>
  <si>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</si>
  <si>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</si>
  <si>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</si>
  <si>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</si>
  <si>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</si>
  <si>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</si>
  <si>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</si>
  <si>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</si>
  <si>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</si>
  <si>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</si>
  <si>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</si>
  <si>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</si>
  <si>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</si>
  <si>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</si>
  <si>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</si>
  <si>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</si>
  <si>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</si>
  <si>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</si>
  <si>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</si>
  <si>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</si>
  <si>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</si>
  <si>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</si>
  <si>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</si>
  <si>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</si>
  <si>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</si>
  <si>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</si>
  <si>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</si>
  <si>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</si>
  <si>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</si>
  <si>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</si>
  <si>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</si>
  <si>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</si>
  <si>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</si>
  <si>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</si>
  <si>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</si>
  <si>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</si>
  <si>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</si>
  <si>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</si>
  <si>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</si>
  <si>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</si>
  <si>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</si>
  <si>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</si>
  <si>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</si>
  <si>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</si>
  <si>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</si>
  <si>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</si>
  <si>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</si>
  <si>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</si>
  <si>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</si>
  <si>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</si>
  <si>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</si>
  <si>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</si>
  <si>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</si>
  <si>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</si>
  <si>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</si>
  <si>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</si>
  <si>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</si>
  <si>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</si>
  <si>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</si>
  <si>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</si>
  <si>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</si>
  <si>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</si>
  <si>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</si>
  <si>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</si>
  <si>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</si>
  <si>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</si>
  <si>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</si>
  <si>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</si>
  <si>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</si>
  <si>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</si>
  <si>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</si>
  <si>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</si>
  <si>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</si>
  <si>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</si>
  <si>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</si>
  <si>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</si>
  <si>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</si>
  <si>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</si>
  <si>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</si>
  <si>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</si>
  <si>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</si>
  <si>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</si>
  <si>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</si>
  <si>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</si>
  <si>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</si>
  <si>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</si>
  <si>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</si>
  <si>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</si>
  <si>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</si>
  <si>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</si>
  <si>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</si>
  <si>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</si>
  <si>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</si>
  <si>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</si>
  <si>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</si>
  <si>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</si>
  <si>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</si>
  <si>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</si>
  <si>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</si>
  <si>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</si>
  <si>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</si>
  <si>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</si>
  <si>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</si>
  <si>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</si>
  <si>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</si>
  <si>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</si>
  <si>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</si>
  <si>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</si>
  <si>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</si>
  <si>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</si>
  <si>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</si>
  <si>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</si>
  <si>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</si>
  <si>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</si>
  <si>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</si>
  <si>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</si>
  <si>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</si>
  <si>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</si>
  <si>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</si>
  <si>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</si>
  <si>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</si>
  <si>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</si>
  <si>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</si>
  <si>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</si>
  <si>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</si>
  <si>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</si>
  <si>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</si>
  <si>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</si>
  <si>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</si>
  <si>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</si>
  <si>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</si>
  <si>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</si>
  <si>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</si>
  <si>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</si>
  <si>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</si>
  <si>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</si>
  <si>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</si>
  <si>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</si>
  <si>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</si>
  <si>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</si>
  <si>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</si>
  <si>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</si>
  <si>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</si>
  <si>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</si>
  <si>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</si>
  <si>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</si>
  <si>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</si>
  <si>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</si>
  <si>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</si>
  <si>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</si>
  <si>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</si>
  <si>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</si>
  <si>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</si>
  <si>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</si>
  <si>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</si>
  <si>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</si>
  <si>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</si>
  <si>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</si>
  <si>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</si>
  <si>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</si>
  <si>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</si>
  <si>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</si>
  <si>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</si>
  <si>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</si>
  <si>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</si>
  <si>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</si>
  <si>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</si>
  <si>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</si>
  <si>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</si>
  <si>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</si>
  <si>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</si>
  <si>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</si>
  <si>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</si>
  <si>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</si>
  <si>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</si>
  <si>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</si>
  <si>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</si>
  <si>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</si>
  <si>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</si>
  <si>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</si>
  <si>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</si>
  <si>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</si>
  <si>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</si>
  <si>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</si>
  <si>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</si>
  <si>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</si>
  <si>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</si>
  <si>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</si>
  <si>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</si>
  <si>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</si>
  <si>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</si>
  <si>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</si>
  <si>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</si>
  <si>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</si>
  <si>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</si>
  <si>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</si>
  <si>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</si>
  <si>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</si>
  <si>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</si>
  <si>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</si>
  <si>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</si>
  <si>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</si>
  <si>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</si>
  <si>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</si>
  <si>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</si>
  <si>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</si>
  <si>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</si>
  <si>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</si>
  <si>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</si>
  <si>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</si>
  <si>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</si>
  <si>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</si>
  <si>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</si>
  <si>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</si>
  <si>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</si>
  <si>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</si>
  <si>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</si>
  <si>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</si>
  <si>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</si>
  <si>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</si>
  <si>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</si>
  <si>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</si>
  <si>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</si>
  <si>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</si>
  <si>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</si>
  <si>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</si>
  <si>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</si>
  <si>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</si>
  <si>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</si>
  <si>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</si>
  <si>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</si>
  <si>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</si>
  <si>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</si>
  <si>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</si>
  <si>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</si>
  <si>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</si>
  <si>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</si>
  <si>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</si>
  <si>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</si>
  <si>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</si>
  <si>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</si>
  <si>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</si>
  <si>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</si>
  <si>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</si>
  <si>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</si>
  <si>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</si>
  <si>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</si>
  <si>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</si>
  <si>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</si>
  <si>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</si>
  <si>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</si>
  <si>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</si>
  <si>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</si>
  <si>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</si>
  <si>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</si>
  <si>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</si>
  <si>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</si>
  <si>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</si>
  <si>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</si>
  <si>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</si>
  <si>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</si>
  <si>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</si>
  <si>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</si>
  <si>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</si>
  <si>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</si>
  <si>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</si>
  <si>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</si>
  <si>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</si>
  <si>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</si>
  <si>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</si>
  <si>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</si>
  <si>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</si>
  <si>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</si>
  <si>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</si>
  <si>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</si>
  <si>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</si>
  <si>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</si>
  <si>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</si>
  <si>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</si>
  <si>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</si>
  <si>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</si>
  <si>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</si>
  <si>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</si>
  <si>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</si>
  <si>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</si>
  <si>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</si>
  <si>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</si>
  <si>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</si>
  <si>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</si>
  <si>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</si>
  <si>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</si>
  <si>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</si>
  <si>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</si>
  <si>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</si>
  <si>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</si>
  <si>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</si>
  <si>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</si>
  <si>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</si>
  <si>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</si>
  <si>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</si>
  <si>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</si>
  <si>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</si>
  <si>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</si>
  <si>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</si>
  <si>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</si>
  <si>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</si>
  <si>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</si>
  <si>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</si>
  <si>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</si>
  <si>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</si>
  <si>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</si>
  <si>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</si>
  <si>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</si>
  <si>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</si>
  <si>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</si>
  <si>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</si>
  <si>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</si>
  <si>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</si>
  <si>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</si>
  <si>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</si>
  <si>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</si>
  <si>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</si>
  <si>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</si>
  <si>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</si>
  <si>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</si>
  <si>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</si>
  <si>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</si>
  <si>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</si>
  <si>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</si>
  <si>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</si>
  <si>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</si>
  <si>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</si>
  <si>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</si>
  <si>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</si>
  <si>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</si>
  <si>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</si>
  <si>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</si>
  <si>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</si>
  <si>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</si>
  <si>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</si>
  <si>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</si>
  <si>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</si>
  <si>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</si>
  <si>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</si>
  <si>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</si>
  <si>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</si>
  <si>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</si>
  <si>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</si>
  <si>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</si>
  <si>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</si>
  <si>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</si>
  <si>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</si>
  <si>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</si>
  <si>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</si>
  <si>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</si>
  <si>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</si>
  <si>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</si>
  <si>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</si>
  <si>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</si>
  <si>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</si>
  <si>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</si>
  <si>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</si>
  <si>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</si>
  <si>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</si>
  <si>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</si>
  <si>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</si>
  <si>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</si>
  <si>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</si>
  <si>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</si>
  <si>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</si>
  <si>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</si>
  <si>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</si>
  <si>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</si>
  <si>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</si>
  <si>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</si>
  <si>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</si>
  <si>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</si>
  <si>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</si>
  <si>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</si>
  <si>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</si>
  <si>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</si>
  <si>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</si>
  <si>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</si>
  <si>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</si>
  <si>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</si>
  <si>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</si>
  <si>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</si>
  <si>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</si>
  <si>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</si>
  <si>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</si>
  <si>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</si>
  <si>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</si>
  <si>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</si>
  <si>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</si>
  <si>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</si>
  <si>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</si>
  <si>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</si>
  <si>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</si>
  <si>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</si>
  <si>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</si>
  <si>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</si>
  <si>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</si>
  <si>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</si>
  <si>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</si>
  <si>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</si>
  <si>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</si>
  <si>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</si>
  <si>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</si>
  <si>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</si>
  <si>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</si>
  <si>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</si>
  <si>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</si>
  <si>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</si>
  <si>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</si>
  <si>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</si>
  <si>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</si>
  <si>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</si>
  <si>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</si>
  <si>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</si>
  <si>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</si>
  <si>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</si>
  <si>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</si>
  <si>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</si>
  <si>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</si>
  <si>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</si>
  <si>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</si>
  <si>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</si>
  <si>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</si>
  <si>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</si>
  <si>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</si>
  <si>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</si>
  <si>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</si>
  <si>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</si>
  <si>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</si>
  <si>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</si>
  <si>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</si>
  <si>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</si>
  <si>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</si>
  <si>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</si>
  <si>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</si>
  <si>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</si>
  <si>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</si>
  <si>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</si>
  <si>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</si>
  <si>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</si>
  <si>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</si>
  <si>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</si>
  <si>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</si>
  <si>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</si>
  <si>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</si>
  <si>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</si>
  <si>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</si>
  <si>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</si>
  <si>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</si>
  <si>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</si>
  <si>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</si>
  <si>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</si>
  <si>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</si>
  <si>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</si>
  <si>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</si>
  <si>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</si>
  <si>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</si>
  <si>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</si>
  <si>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</si>
  <si>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</si>
  <si>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</si>
  <si>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</si>
  <si>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</si>
  <si>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</si>
  <si>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</si>
  <si>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</si>
  <si>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</si>
  <si>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</si>
  <si>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</si>
  <si>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</si>
  <si>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</si>
  <si>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</si>
  <si>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</si>
  <si>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</si>
  <si>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</si>
  <si>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</si>
  <si>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</si>
  <si>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</si>
  <si>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</si>
  <si>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</si>
  <si>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</si>
  <si>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</si>
  <si>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</si>
  <si>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</si>
  <si>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</si>
  <si>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</si>
  <si>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</si>
  <si>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</si>
  <si>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</si>
  <si>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</si>
  <si>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</si>
  <si>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</si>
  <si>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</si>
  <si>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</si>
  <si>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</si>
  <si>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</si>
  <si>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</si>
  <si>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</si>
  <si>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</si>
  <si>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</si>
  <si>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</si>
  <si>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</si>
  <si>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</si>
  <si>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</si>
  <si>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</si>
  <si>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</si>
  <si>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</si>
  <si>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</si>
  <si>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</si>
  <si>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</si>
  <si>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</si>
  <si>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</si>
  <si>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</si>
  <si>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</si>
  <si>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</si>
  <si>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</si>
  <si>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</si>
  <si>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</si>
  <si>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</si>
  <si>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</si>
  <si>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</si>
  <si>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</si>
  <si>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</si>
  <si>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</si>
  <si>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</si>
  <si>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</si>
  <si>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</si>
  <si>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</si>
  <si>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</si>
  <si>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</si>
  <si>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</si>
  <si>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</si>
  <si>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</si>
  <si>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</si>
  <si>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</si>
  <si>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</si>
  <si>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</si>
  <si>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</si>
  <si>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</si>
  <si>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</si>
  <si>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</si>
  <si>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</si>
  <si>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</si>
  <si>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</si>
  <si>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</si>
  <si>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</si>
  <si>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</si>
  <si>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</si>
  <si>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</si>
  <si>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</si>
  <si>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</si>
  <si>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</si>
  <si>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</si>
  <si>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</si>
  <si>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</si>
  <si>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</si>
  <si>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</si>
  <si>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</si>
  <si>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</si>
  <si>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</si>
  <si>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</si>
  <si>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</si>
  <si>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</si>
  <si>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</si>
  <si>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</si>
  <si>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</si>
  <si>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</si>
  <si>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</si>
  <si>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</si>
  <si>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</si>
  <si>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</si>
  <si>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</si>
  <si>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</si>
  <si>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</si>
  <si>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</si>
  <si>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</si>
  <si>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</si>
  <si>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</si>
  <si>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</si>
  <si>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</si>
  <si>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</si>
  <si>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</si>
  <si>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</si>
  <si>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</si>
  <si>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</si>
  <si>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</si>
  <si>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</si>
  <si>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</si>
  <si>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</si>
  <si>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</si>
  <si>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</si>
  <si>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</si>
  <si>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</si>
  <si>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</si>
  <si>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</si>
  <si>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</si>
  <si>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</si>
  <si>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</si>
  <si>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</si>
  <si>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</si>
  <si>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</si>
  <si>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</si>
  <si>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</si>
  <si>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</si>
  <si>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</si>
  <si>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</si>
  <si>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</si>
  <si>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</si>
  <si>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</si>
  <si>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</si>
  <si>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</si>
  <si>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</si>
  <si>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</si>
  <si>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</si>
  <si>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</si>
  <si>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</si>
  <si>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</si>
  <si>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</si>
  <si>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</si>
  <si>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</si>
  <si>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</si>
  <si>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</si>
  <si>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</si>
  <si>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</si>
  <si>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</si>
  <si>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</si>
  <si>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</si>
  <si>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</si>
  <si>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</si>
  <si>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</si>
  <si>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</si>
  <si>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</si>
  <si>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</si>
  <si>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</si>
  <si>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</si>
  <si>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</si>
  <si>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</si>
  <si>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</si>
  <si>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</si>
  <si>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</si>
  <si>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</si>
  <si>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</si>
  <si>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</si>
  <si>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</si>
  <si>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</si>
  <si>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</si>
  <si>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</si>
  <si>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</si>
  <si>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</si>
  <si>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</si>
  <si>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</si>
  <si>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</si>
  <si>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</si>
  <si>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</si>
  <si>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</si>
  <si>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</si>
  <si>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</si>
  <si>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</si>
  <si>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</si>
  <si>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</si>
  <si>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</si>
  <si>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</si>
  <si>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</si>
  <si>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</si>
  <si>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</si>
  <si>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</si>
  <si>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</si>
  <si>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</si>
  <si>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</si>
  <si>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</si>
  <si>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</si>
  <si>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</si>
  <si>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</si>
  <si>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</si>
  <si>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</si>
  <si>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</si>
  <si>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</si>
  <si>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</si>
  <si>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</si>
  <si>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</si>
  <si>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</si>
  <si>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</si>
  <si>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</si>
  <si>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</si>
  <si>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</si>
  <si>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</si>
  <si>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</si>
  <si>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</si>
  <si>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</si>
  <si>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</si>
  <si>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</si>
  <si>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</si>
  <si>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</si>
  <si>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</si>
  <si>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</si>
  <si>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</si>
  <si>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</si>
  <si>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</si>
  <si>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</si>
  <si>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</si>
  <si>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</si>
  <si>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</si>
  <si>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</si>
  <si>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</si>
  <si>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</si>
  <si>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</si>
  <si>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</si>
  <si>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</si>
  <si>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</si>
  <si>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</si>
  <si>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</si>
  <si>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</si>
  <si>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</si>
  <si>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</si>
  <si>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</si>
  <si>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</si>
  <si>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</si>
  <si>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</si>
  <si>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</si>
  <si>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</si>
  <si>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</si>
  <si>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</si>
  <si>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</si>
  <si>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</si>
  <si>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</si>
  <si>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</si>
  <si>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</si>
  <si>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</si>
  <si>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</si>
  <si>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</si>
  <si>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</si>
  <si>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</si>
  <si>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</si>
  <si>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</si>
  <si>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</si>
  <si>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</si>
  <si>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</si>
  <si>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</si>
  <si>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</si>
  <si>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</si>
  <si>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</si>
  <si>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</si>
  <si>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</si>
  <si>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</si>
  <si>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</si>
  <si>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</si>
  <si>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</si>
  <si>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</si>
  <si>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</si>
  <si>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</si>
  <si>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</si>
  <si>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</si>
  <si>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</si>
  <si>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</si>
  <si>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</si>
  <si>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</si>
  <si>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</si>
  <si>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</si>
  <si>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</si>
  <si>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</si>
  <si>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</si>
  <si>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</si>
  <si>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</si>
  <si>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</si>
  <si>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</si>
  <si>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</si>
  <si>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</si>
  <si>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</si>
  <si>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</si>
  <si>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</si>
  <si>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</si>
  <si>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</si>
  <si>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</si>
  <si>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</si>
  <si>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</si>
  <si>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</si>
  <si>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</si>
  <si>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</si>
  <si>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</si>
  <si>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</si>
  <si>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</si>
  <si>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</si>
  <si>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</si>
  <si>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</si>
  <si>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</si>
  <si>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</si>
  <si>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</si>
  <si>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</si>
  <si>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</si>
  <si>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</si>
  <si>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</si>
  <si>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</si>
  <si>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</si>
  <si>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</si>
  <si>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</si>
  <si>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</si>
  <si>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</si>
  <si>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</si>
  <si>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</si>
  <si>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</si>
  <si>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</si>
  <si>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</si>
  <si>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</si>
  <si>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</si>
  <si>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</si>
  <si>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</si>
  <si>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</si>
  <si>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</si>
  <si>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</si>
  <si>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</si>
  <si>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</si>
  <si>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</si>
  <si>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</si>
  <si>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</si>
  <si>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</si>
  <si>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</si>
  <si>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</si>
  <si>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</si>
  <si>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</si>
  <si>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</si>
  <si>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</si>
  <si>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</si>
  <si>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</si>
  <si>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</si>
  <si>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</si>
  <si>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</si>
  <si>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</si>
  <si>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</si>
  <si>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</si>
  <si>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</si>
  <si>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</si>
  <si>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</si>
  <si>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</si>
  <si>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</si>
  <si>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</si>
  <si>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</si>
  <si>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</si>
  <si>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</si>
  <si>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</si>
  <si>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</si>
  <si>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</si>
  <si>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</si>
  <si>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</si>
  <si>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</si>
  <si>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</si>
  <si>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</si>
  <si>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</si>
  <si>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</si>
  <si>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</si>
  <si>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</si>
  <si>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</si>
  <si>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</si>
  <si>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</si>
  <si>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</si>
  <si>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</si>
  <si>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</si>
  <si>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</si>
  <si>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</si>
  <si>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</si>
  <si>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</si>
  <si>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</si>
  <si>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</si>
  <si>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</si>
  <si>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</si>
  <si>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</si>
  <si>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</si>
  <si>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</si>
  <si>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</si>
  <si>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</si>
  <si>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</si>
  <si>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</si>
  <si>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</si>
  <si>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</si>
  <si>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</si>
  <si>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</si>
  <si>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</si>
  <si>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</si>
  <si>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</si>
  <si>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</si>
  <si>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</si>
  <si>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</si>
  <si>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</si>
  <si>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</si>
  <si>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</si>
  <si>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</si>
  <si>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</si>
  <si>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</si>
  <si>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</si>
  <si>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</si>
  <si>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</si>
  <si>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</si>
  <si>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</si>
  <si>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</si>
  <si>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</si>
  <si>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</si>
  <si>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</si>
  <si>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</si>
  <si>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</si>
  <si>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</si>
  <si>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</si>
  <si>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</si>
  <si>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</si>
  <si>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</si>
  <si>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</si>
  <si>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</si>
  <si>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</si>
  <si>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</si>
  <si>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</si>
  <si>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</si>
  <si>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</si>
  <si>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</si>
  <si>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</si>
  <si>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</si>
  <si>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</si>
  <si>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</si>
  <si>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</si>
  <si>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</si>
  <si>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</si>
  <si>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</si>
  <si>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</si>
  <si>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</si>
  <si>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</si>
  <si>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</si>
  <si>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</si>
  <si>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</si>
  <si>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</si>
  <si>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</si>
  <si>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</si>
  <si>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</si>
  <si>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</si>
  <si>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</si>
  <si>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</si>
  <si>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</si>
  <si>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</si>
  <si>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</si>
  <si>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</si>
  <si>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</si>
  <si>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</si>
  <si>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</si>
  <si>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</si>
  <si>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</si>
  <si>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</si>
  <si>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</si>
  <si>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</si>
  <si>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</si>
  <si>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</si>
  <si>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</si>
  <si>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</si>
  <si>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</si>
  <si>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</si>
  <si>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</si>
  <si>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</si>
  <si>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</si>
  <si>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</si>
  <si>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</si>
  <si>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</si>
  <si>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</si>
  <si>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</si>
  <si>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</si>
  <si>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</si>
  <si>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</si>
  <si>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</si>
  <si>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</si>
  <si>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</si>
  <si>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</si>
  <si>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</si>
  <si>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</si>
  <si>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</si>
  <si>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</si>
  <si>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</si>
  <si>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</si>
  <si>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</si>
  <si>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</si>
  <si>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</si>
  <si>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</si>
  <si>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</si>
  <si>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</si>
  <si>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</si>
  <si>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</si>
  <si>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</si>
  <si>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</si>
  <si>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</si>
  <si>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</si>
  <si>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</si>
  <si>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</si>
  <si>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</si>
  <si>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</si>
  <si>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</si>
  <si>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</si>
  <si>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</si>
  <si>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</si>
  <si>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</si>
  <si>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</si>
  <si>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</si>
  <si>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</si>
  <si>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</si>
  <si>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</si>
  <si>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</si>
  <si>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</si>
  <si>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</si>
  <si>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</si>
  <si>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</si>
  <si>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</si>
  <si>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</si>
  <si>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</si>
  <si>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</si>
  <si>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</si>
  <si>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</si>
  <si>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</si>
  <si>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</si>
  <si>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</si>
  <si>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</si>
  <si>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</si>
  <si>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</si>
  <si>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</si>
  <si>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</si>
  <si>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</si>
  <si>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</si>
  <si>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</si>
  <si>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</si>
  <si>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</si>
  <si>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</si>
  <si>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</si>
  <si>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</si>
  <si>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</si>
  <si>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</si>
  <si>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</si>
  <si>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</si>
  <si>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</si>
  <si>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</si>
  <si>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</si>
  <si>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</si>
  <si>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</si>
  <si>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</si>
  <si>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</si>
  <si>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</si>
  <si>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</si>
  <si>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</si>
  <si>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</si>
  <si>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</si>
  <si>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</si>
  <si>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</si>
  <si>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</si>
  <si>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</si>
  <si>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</si>
  <si>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</si>
  <si>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</si>
  <si>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</si>
  <si>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</si>
  <si>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</si>
  <si>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</si>
  <si>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</si>
  <si>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</si>
  <si>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</si>
  <si>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</si>
  <si>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</si>
  <si>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</si>
  <si>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</si>
  <si>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</si>
  <si>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</si>
  <si>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</si>
  <si>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</si>
  <si>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</si>
  <si>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</si>
  <si>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</si>
  <si>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</si>
  <si>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</si>
  <si>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</si>
  <si>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</si>
  <si>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</si>
  <si>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</si>
  <si>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</si>
  <si>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</si>
  <si>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</si>
  <si>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</si>
  <si>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</si>
  <si>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</si>
  <si>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</si>
  <si>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</si>
  <si>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</si>
  <si>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</si>
  <si>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</si>
  <si>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</si>
  <si>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</si>
  <si>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</si>
  <si>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</si>
  <si>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</si>
  <si>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</si>
  <si>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</si>
  <si>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</si>
  <si>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</si>
  <si>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</si>
  <si>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</si>
  <si>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</si>
  <si>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</si>
  <si>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</si>
  <si>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</si>
  <si>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</si>
  <si>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</si>
  <si>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</si>
  <si>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</si>
  <si>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</si>
  <si>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</si>
  <si>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</si>
  <si>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</si>
  <si>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</si>
  <si>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</si>
  <si>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</si>
  <si>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</si>
  <si>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</si>
  <si>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</si>
  <si>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</si>
  <si>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</si>
  <si>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</si>
  <si>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</si>
  <si>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</si>
  <si>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</si>
  <si>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</si>
  <si>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</si>
  <si>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</si>
  <si>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</si>
  <si>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</si>
  <si>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</si>
  <si>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</si>
  <si>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</si>
  <si>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</si>
  <si>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</si>
  <si>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</si>
  <si>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</si>
  <si>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</si>
  <si>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</si>
  <si>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</si>
  <si>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</si>
  <si>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</si>
  <si>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</si>
  <si>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</si>
  <si>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</si>
  <si>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</si>
  <si>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</si>
  <si>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</si>
  <si>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</si>
  <si>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</si>
  <si>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</si>
  <si>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</si>
  <si>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</si>
  <si>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</si>
  <si>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</si>
  <si>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</si>
  <si>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</si>
  <si>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</si>
  <si>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</si>
  <si>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</si>
  <si>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</si>
  <si>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</si>
  <si>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</si>
  <si>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</si>
  <si>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</si>
  <si>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</si>
  <si>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</si>
  <si>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</si>
  <si>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</si>
  <si>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</si>
  <si>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</si>
  <si>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</si>
  <si>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</si>
  <si>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</si>
  <si>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</si>
  <si>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</si>
  <si>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</si>
  <si>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</si>
  <si>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</si>
  <si>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</si>
  <si>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</si>
  <si>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</si>
  <si>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</si>
  <si>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</si>
  <si>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</si>
  <si>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</si>
  <si>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</si>
  <si>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</si>
  <si>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</si>
  <si>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</si>
  <si>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</si>
  <si>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</si>
  <si>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</si>
  <si>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</si>
  <si>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</si>
  <si>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</si>
  <si>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</si>
  <si>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</si>
  <si>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</si>
  <si>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</si>
  <si>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</si>
  <si>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</si>
  <si>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</si>
  <si>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</si>
  <si>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</si>
  <si>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</si>
  <si>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</si>
  <si>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</si>
  <si>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</si>
  <si>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</si>
  <si>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</si>
  <si>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</si>
  <si>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</si>
  <si>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</si>
  <si>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</si>
  <si>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</si>
  <si>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</si>
  <si>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</si>
  <si>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</si>
  <si>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</si>
  <si>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</si>
  <si>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</si>
  <si>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</si>
  <si>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</si>
  <si>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</si>
  <si>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</si>
  <si>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</si>
  <si>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</si>
  <si>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</si>
  <si>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</si>
  <si>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</si>
  <si>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</si>
  <si>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</si>
  <si>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</si>
  <si>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</si>
  <si>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</si>
  <si>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</si>
  <si>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</si>
  <si>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</si>
  <si>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</si>
  <si>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</si>
  <si>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</si>
  <si>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</si>
  <si>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</si>
  <si>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</si>
  <si>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</si>
  <si>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</si>
  <si>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</si>
  <si>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</si>
  <si>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</si>
  <si>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</si>
  <si>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</si>
  <si>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</si>
  <si>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</si>
  <si>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</si>
  <si>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</si>
  <si>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</si>
  <si>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</si>
  <si>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</si>
  <si>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</si>
  <si>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</si>
  <si>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</si>
  <si>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</si>
  <si>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</si>
  <si>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</si>
  <si>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</si>
  <si>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</si>
  <si>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</si>
  <si>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</si>
  <si>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</si>
  <si>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</si>
  <si>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</si>
  <si>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</si>
  <si>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</si>
  <si>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</si>
  <si>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</si>
  <si>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</si>
  <si>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</si>
  <si>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</si>
  <si>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</si>
  <si>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</si>
  <si>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</si>
  <si>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</si>
  <si>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</si>
  <si>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</si>
  <si>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</si>
  <si>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</si>
  <si>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</si>
  <si>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</si>
  <si>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</si>
  <si>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</si>
  <si>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</si>
  <si>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</si>
  <si>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</si>
  <si>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</si>
  <si>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</si>
  <si>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</si>
  <si>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</si>
  <si>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</si>
  <si>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</si>
  <si>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</si>
  <si>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</si>
  <si>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</si>
  <si>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</si>
  <si>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</si>
  <si>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</si>
  <si>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</si>
  <si>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</si>
  <si>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</si>
  <si>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</si>
  <si>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</si>
  <si>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</si>
  <si>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</si>
  <si>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</si>
  <si>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</si>
  <si>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</si>
  <si>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</si>
  <si>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</si>
  <si>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</si>
  <si>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</si>
  <si>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</si>
  <si>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</si>
  <si>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</si>
  <si>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</si>
  <si>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</si>
  <si>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</si>
  <si>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</si>
  <si>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</si>
  <si>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</si>
  <si>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</si>
  <si>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</si>
  <si>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</si>
  <si>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</si>
  <si>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</si>
  <si>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</si>
  <si>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</si>
  <si>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</si>
  <si>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</si>
  <si>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</si>
  <si>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</si>
  <si>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</si>
  <si>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</si>
  <si>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</si>
  <si>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</si>
  <si>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</si>
  <si>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</si>
  <si>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</si>
  <si>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</si>
  <si>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</si>
  <si>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</si>
  <si>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</si>
  <si>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</si>
  <si>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</si>
  <si>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</si>
  <si>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</si>
  <si>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</si>
  <si>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</si>
  <si>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</si>
  <si>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</si>
  <si>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</si>
  <si>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</si>
  <si>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</si>
  <si>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</si>
  <si>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</si>
  <si>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</si>
  <si>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</si>
  <si>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</si>
  <si>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</si>
  <si>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</si>
  <si>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</si>
  <si>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</si>
  <si>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</si>
  <si>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</si>
  <si>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</si>
  <si>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</si>
  <si>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</si>
  <si>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</si>
  <si>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</si>
  <si>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</si>
  <si>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</si>
  <si>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</si>
  <si>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</si>
  <si>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</si>
  <si>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</si>
  <si>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</si>
  <si>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</si>
  <si>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</si>
  <si>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</si>
  <si>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</si>
  <si>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</si>
  <si>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</si>
  <si>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</si>
  <si>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</si>
  <si>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</si>
  <si>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</si>
  <si>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</si>
  <si>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</si>
  <si>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</si>
  <si>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</si>
  <si>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</si>
  <si>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</si>
  <si>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</si>
  <si>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</si>
  <si>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</si>
  <si>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</si>
  <si>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</si>
  <si>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</si>
  <si>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</si>
  <si>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</si>
  <si>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</si>
  <si>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</si>
  <si>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</si>
  <si>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</si>
  <si>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</si>
  <si>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</si>
  <si>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</si>
  <si>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</si>
  <si>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</si>
  <si>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</si>
  <si>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</si>
  <si>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</si>
  <si>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</si>
  <si>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</si>
  <si>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</si>
  <si>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</si>
  <si>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</si>
  <si>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</si>
  <si>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</si>
  <si>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</si>
  <si>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</si>
  <si>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</si>
  <si>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</si>
  <si>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</si>
  <si>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</si>
  <si>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</si>
  <si>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</si>
  <si>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</si>
  <si>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</si>
  <si>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</si>
  <si>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</si>
  <si>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</si>
  <si>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</si>
  <si>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</si>
  <si>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</si>
  <si>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</si>
  <si>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</si>
  <si>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</si>
  <si>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</si>
  <si>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</si>
  <si>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</si>
  <si>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</si>
  <si>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</si>
  <si>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</si>
  <si>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</si>
  <si>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</si>
  <si>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</si>
  <si>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</si>
  <si>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</si>
  <si>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</si>
  <si>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</si>
  <si>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</si>
  <si>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</si>
  <si>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</si>
  <si>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</si>
  <si>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</si>
  <si>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</si>
  <si>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</si>
  <si>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</si>
  <si>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</si>
  <si>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</si>
  <si>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</si>
  <si>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</si>
  <si>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</si>
  <si>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</si>
  <si>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</si>
  <si>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</si>
  <si>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</si>
  <si>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</si>
  <si>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</si>
  <si>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</si>
  <si>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</si>
  <si>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</si>
  <si>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</si>
  <si>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</si>
  <si>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</si>
  <si>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</si>
  <si>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</si>
  <si>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</si>
  <si>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</si>
  <si>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</si>
  <si>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</si>
  <si>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</si>
  <si>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</si>
  <si>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</si>
  <si>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</si>
  <si>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</si>
  <si>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</si>
  <si>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</si>
  <si>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</si>
  <si>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</si>
  <si>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</si>
  <si>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</si>
  <si>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</si>
  <si>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</si>
  <si>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</si>
  <si>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</si>
  <si>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</si>
  <si>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</si>
  <si>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</si>
  <si>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</si>
  <si>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</si>
  <si>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</si>
  <si>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</si>
  <si>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</si>
  <si>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</si>
  <si>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</si>
  <si>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</si>
  <si>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</si>
  <si>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</si>
  <si>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</si>
  <si>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</si>
  <si>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</si>
  <si>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</si>
  <si>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</si>
  <si>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</si>
  <si>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</si>
  <si>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</si>
  <si>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</si>
  <si>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</si>
  <si>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</si>
  <si>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</si>
  <si>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</si>
  <si>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</si>
  <si>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</si>
  <si>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</si>
  <si>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</si>
  <si>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</si>
  <si>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</si>
  <si>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</si>
  <si>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</si>
  <si>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</si>
  <si>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</si>
  <si>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</si>
  <si>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</si>
  <si>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</si>
  <si>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</si>
  <si>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</si>
  <si>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</si>
  <si>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</si>
  <si>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</si>
  <si>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</si>
  <si>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</si>
  <si>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</si>
  <si>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</si>
  <si>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</si>
  <si>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</si>
  <si>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</si>
  <si>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</si>
  <si>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</si>
  <si>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</si>
  <si>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</si>
  <si>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</si>
  <si>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</si>
  <si>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</si>
  <si>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</si>
  <si>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</si>
  <si>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</si>
  <si>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</si>
  <si>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</si>
  <si>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</si>
  <si>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</si>
  <si>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</si>
  <si>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</si>
  <si>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</si>
  <si>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</si>
  <si>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</si>
  <si>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</si>
  <si>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</si>
  <si>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</si>
  <si>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</si>
  <si>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</si>
  <si>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</si>
  <si>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</si>
  <si>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</si>
  <si>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</si>
  <si>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</si>
  <si>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</si>
  <si>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</si>
  <si>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</si>
  <si>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</si>
  <si>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</si>
  <si>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</si>
  <si>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</si>
  <si>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</si>
  <si>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</si>
  <si>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</si>
  <si>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</si>
  <si>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</si>
  <si>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</si>
  <si>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</si>
  <si>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</si>
  <si>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</si>
  <si>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</si>
  <si>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</si>
  <si>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</si>
  <si>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</si>
  <si>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</si>
  <si>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</si>
  <si>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</si>
  <si>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</si>
  <si>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</si>
  <si>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</si>
  <si>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</si>
  <si>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</si>
  <si>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</si>
  <si>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</si>
  <si>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</si>
  <si>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</si>
  <si>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</si>
  <si>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</si>
  <si>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</si>
  <si>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</si>
  <si>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</si>
  <si>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</si>
  <si>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</si>
  <si>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</si>
  <si>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</si>
  <si>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</si>
  <si>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</si>
  <si>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</si>
  <si>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</si>
  <si>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</si>
  <si>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</si>
  <si>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</si>
  <si>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</si>
  <si>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</si>
  <si>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</si>
  <si>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</si>
  <si>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</si>
  <si>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</si>
  <si>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</si>
  <si>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</si>
  <si>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</si>
  <si>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</si>
  <si>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</si>
  <si>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</si>
  <si>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</si>
  <si>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</si>
  <si>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</si>
  <si>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</si>
  <si>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</si>
  <si>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</si>
  <si>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</si>
  <si>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</si>
  <si>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</si>
  <si>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</si>
  <si>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</si>
  <si>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</si>
  <si>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</si>
  <si>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</si>
  <si>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</si>
  <si>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</si>
  <si>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</si>
  <si>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</si>
  <si>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</si>
  <si>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</si>
  <si>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</si>
  <si>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</si>
  <si>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</si>
  <si>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</si>
  <si>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</si>
  <si>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</si>
  <si>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</si>
  <si>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</si>
  <si>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</si>
  <si>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</si>
  <si>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</si>
  <si>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</si>
  <si>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</si>
  <si>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</si>
  <si>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</si>
  <si>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</si>
  <si>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</si>
  <si>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</si>
  <si>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</si>
  <si>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</si>
  <si>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</si>
  <si>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</si>
  <si>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</si>
  <si>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</si>
  <si>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</si>
  <si>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</si>
  <si>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</si>
  <si>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</si>
  <si>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</si>
  <si>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</si>
  <si>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</si>
  <si>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</si>
  <si>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</si>
  <si>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</si>
  <si>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</si>
  <si>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</si>
  <si>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</si>
  <si>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</si>
  <si>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</si>
  <si>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</si>
  <si>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</si>
  <si>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</si>
  <si>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</si>
  <si>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</si>
  <si>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</si>
  <si>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</si>
  <si>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</si>
  <si>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</si>
  <si>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</si>
  <si>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</si>
  <si>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</si>
  <si>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</si>
  <si>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</si>
  <si>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</si>
  <si>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</si>
  <si>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</si>
  <si>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</si>
  <si>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</si>
  <si>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</si>
  <si>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</si>
  <si>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</si>
  <si>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</si>
  <si>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</si>
  <si>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</si>
  <si>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</si>
  <si>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</si>
  <si>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</si>
  <si>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</si>
  <si>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</si>
  <si>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</si>
  <si>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</si>
  <si>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</si>
  <si>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</si>
  <si>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</si>
  <si>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</si>
  <si>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</si>
  <si>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</si>
  <si>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</si>
  <si>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</si>
  <si>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</si>
  <si>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</si>
  <si>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</si>
  <si>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</si>
  <si>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</si>
  <si>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</si>
  <si>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</si>
  <si>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</si>
  <si>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</si>
  <si>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</si>
  <si>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</si>
  <si>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</si>
  <si>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</si>
  <si>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</si>
  <si>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</si>
  <si>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</si>
  <si>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</si>
  <si>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</si>
  <si>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</si>
  <si>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</si>
  <si>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</si>
  <si>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</si>
  <si>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</si>
  <si>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</si>
  <si>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</si>
  <si>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</si>
  <si>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</si>
  <si>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</si>
  <si>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</si>
  <si>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</si>
  <si>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</si>
  <si>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</si>
  <si>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</si>
  <si>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</si>
  <si>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</si>
  <si>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</si>
  <si>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</si>
  <si>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</si>
  <si>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</si>
  <si>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</si>
  <si>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</si>
  <si>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</si>
  <si>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</si>
  <si>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</si>
  <si>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</si>
  <si>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</si>
  <si>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</si>
  <si>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</si>
  <si>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</si>
  <si>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</si>
  <si>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</si>
  <si>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</si>
  <si>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</si>
  <si>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</si>
  <si>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</si>
  <si>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</si>
  <si>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</si>
  <si>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</si>
  <si>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</si>
  <si>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</si>
  <si>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</si>
  <si>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</si>
  <si>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</si>
  <si>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</si>
  <si>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</si>
  <si>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</si>
  <si>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</si>
  <si>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</si>
  <si>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</si>
  <si>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</si>
  <si>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</si>
  <si>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</si>
  <si>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</si>
  <si>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</si>
  <si>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</si>
  <si>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</si>
  <si>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</si>
  <si>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</si>
  <si>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</si>
  <si>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</si>
  <si>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</si>
  <si>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</si>
  <si>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</si>
  <si>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</si>
  <si>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</si>
  <si>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</si>
  <si>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</si>
  <si>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</si>
  <si>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</si>
  <si>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</si>
  <si>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</si>
  <si>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</si>
  <si>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</si>
  <si>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</si>
  <si>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</si>
  <si>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</si>
  <si>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</si>
  <si>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</si>
  <si>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</si>
  <si>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</si>
  <si>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</si>
  <si>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</si>
  <si>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</si>
  <si>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</si>
  <si>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</si>
  <si>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</si>
  <si>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</si>
  <si>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</si>
  <si>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</si>
  <si>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</si>
  <si>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</si>
  <si>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</si>
  <si>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</si>
  <si>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</si>
  <si>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</si>
  <si>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</si>
  <si>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</si>
  <si>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</si>
  <si>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</si>
  <si>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</si>
  <si>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</si>
  <si>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</si>
  <si>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</si>
  <si>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</si>
  <si>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</si>
  <si>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</si>
  <si>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</si>
  <si>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</si>
  <si>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</si>
  <si>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</si>
  <si>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</si>
  <si>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</si>
  <si>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</si>
  <si>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</si>
  <si>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</si>
  <si>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</si>
  <si>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</si>
  <si>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</si>
  <si>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</si>
  <si>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</si>
  <si>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</si>
  <si>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</si>
  <si>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</si>
  <si>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</si>
  <si>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</si>
  <si>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</si>
  <si>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</si>
  <si>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</si>
  <si>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</si>
  <si>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</si>
  <si>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</si>
  <si>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</si>
  <si>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</si>
  <si>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</si>
  <si>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</si>
  <si>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</si>
  <si>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</si>
  <si>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</si>
  <si>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</si>
  <si>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</si>
  <si>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</si>
  <si>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</si>
  <si>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</si>
  <si>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</si>
  <si>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</si>
  <si>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</si>
  <si>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</si>
  <si>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</si>
  <si>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</si>
  <si>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</si>
  <si>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</si>
  <si>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</si>
  <si>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</si>
  <si>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</si>
  <si>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</si>
  <si>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</si>
  <si>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</si>
  <si>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</si>
  <si>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</si>
  <si>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</si>
  <si>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</si>
  <si>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</si>
  <si>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</si>
  <si>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</si>
  <si>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</si>
  <si>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</si>
  <si>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</si>
  <si>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</si>
  <si>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</si>
  <si>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</si>
  <si>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</si>
  <si>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</si>
  <si>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</si>
  <si>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</si>
  <si>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</si>
  <si>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</si>
  <si>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</si>
  <si>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</si>
  <si>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</si>
  <si>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</si>
  <si>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</si>
  <si>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</si>
  <si>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</si>
  <si>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</si>
  <si>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</si>
  <si>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</si>
  <si>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</si>
  <si>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</si>
  <si>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</si>
  <si>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</si>
  <si>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</si>
  <si>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</si>
  <si>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</si>
  <si>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</si>
  <si>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</si>
  <si>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</si>
  <si>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</si>
  <si>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</si>
  <si>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</si>
  <si>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</si>
  <si>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</si>
  <si>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</si>
  <si>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</si>
  <si>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</si>
  <si>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</si>
  <si>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</si>
  <si>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</si>
  <si>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</si>
  <si>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</si>
  <si>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</si>
  <si>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</si>
  <si>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</si>
  <si>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</si>
  <si>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</si>
  <si>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</si>
  <si>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</si>
  <si>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</si>
  <si>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</si>
  <si>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</si>
  <si>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</si>
  <si>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</si>
  <si>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</si>
  <si>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</si>
  <si>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</si>
  <si>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</si>
  <si>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</si>
  <si>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</si>
  <si>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</si>
  <si>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</si>
  <si>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</si>
  <si>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</si>
  <si>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</si>
  <si>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</si>
  <si>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</si>
  <si>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</si>
  <si>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</si>
  <si>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</si>
  <si>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</si>
  <si>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</si>
  <si>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</si>
  <si>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</si>
  <si>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</si>
  <si>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</si>
  <si>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</si>
  <si>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</si>
  <si>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</si>
  <si>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</si>
  <si>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</si>
  <si>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</si>
  <si>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</si>
  <si>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</si>
  <si>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</si>
  <si>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</si>
  <si>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</si>
  <si>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</si>
  <si>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</si>
  <si>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</si>
  <si>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</si>
  <si>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</si>
  <si>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</si>
  <si>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</si>
  <si>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</si>
  <si>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</si>
  <si>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</si>
  <si>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</si>
  <si>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</si>
  <si>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</si>
  <si>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</si>
  <si>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</si>
  <si>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</si>
  <si>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</si>
  <si>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</si>
  <si>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</si>
  <si>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</si>
  <si>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</si>
  <si>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</si>
  <si>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</si>
  <si>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</si>
  <si>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</si>
  <si>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</si>
  <si>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</si>
  <si>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</si>
  <si>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</si>
  <si>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</si>
  <si>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</si>
  <si>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</si>
  <si>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</si>
  <si>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</si>
  <si>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</si>
  <si>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</si>
  <si>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</si>
  <si>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</si>
  <si>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</si>
  <si>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</si>
  <si>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</si>
  <si>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</si>
  <si>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</si>
  <si>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</si>
  <si>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</si>
  <si>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</si>
  <si>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</si>
  <si>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</si>
  <si>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</si>
  <si>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</si>
  <si>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</si>
  <si>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</si>
  <si>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</si>
  <si>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</si>
  <si>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</si>
  <si>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</si>
  <si>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</si>
  <si>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</si>
  <si>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</si>
  <si>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</si>
  <si>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</si>
  <si>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</si>
  <si>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</si>
  <si>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</si>
  <si>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</si>
  <si>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</si>
  <si>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</si>
  <si>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</si>
  <si>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</si>
  <si>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</si>
  <si>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</si>
  <si>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</si>
  <si>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</si>
  <si>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</si>
  <si>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</si>
  <si>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</si>
  <si>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</si>
  <si>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</si>
  <si>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</si>
  <si>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</si>
  <si>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</si>
  <si>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</si>
  <si>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</si>
  <si>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</si>
  <si>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</si>
  <si>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</si>
  <si>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</si>
  <si>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</si>
  <si>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</si>
  <si>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</si>
  <si>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</si>
  <si>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</si>
  <si>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</si>
  <si>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</si>
  <si>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</si>
  <si>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</si>
  <si>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</si>
  <si>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</si>
  <si>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</si>
  <si>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</si>
  <si>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</si>
  <si>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</si>
  <si>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</si>
  <si>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</si>
  <si>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</si>
  <si>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</si>
  <si>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</si>
  <si>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</si>
  <si>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</si>
  <si>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</si>
  <si>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</si>
  <si>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</si>
  <si>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</si>
  <si>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</si>
  <si>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</si>
  <si>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</si>
  <si>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</si>
  <si>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</si>
  <si>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</si>
  <si>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</si>
  <si>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</si>
  <si>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</si>
  <si>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</si>
  <si>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</si>
  <si>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</si>
  <si>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</si>
  <si>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</si>
  <si>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</si>
  <si>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</si>
  <si>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</si>
  <si>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</si>
  <si>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</si>
  <si>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</si>
  <si>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</si>
  <si>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</si>
  <si>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</si>
  <si>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</si>
  <si>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</si>
  <si>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</si>
  <si>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</si>
  <si>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</si>
  <si>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</si>
  <si>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</si>
  <si>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</si>
  <si>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</si>
  <si>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</si>
  <si>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</si>
  <si>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</si>
  <si>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</si>
  <si>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</si>
  <si>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</si>
  <si>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</si>
  <si>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</si>
  <si>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</si>
  <si>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</si>
  <si>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</si>
  <si>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</si>
  <si>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</si>
  <si>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</si>
  <si>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</si>
  <si>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</si>
  <si>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</si>
  <si>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</si>
  <si>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</si>
  <si>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</si>
  <si>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</si>
  <si>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</si>
  <si>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</si>
  <si>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</si>
  <si>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</si>
  <si>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</si>
  <si>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</si>
  <si>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</si>
  <si>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</si>
  <si>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</si>
  <si>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</si>
  <si>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</si>
  <si>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</si>
  <si>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</si>
  <si>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</si>
  <si>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</si>
  <si>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</si>
  <si>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</si>
  <si>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</si>
  <si>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</si>
  <si>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</si>
  <si>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</si>
  <si>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</si>
  <si>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</si>
  <si>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</si>
  <si>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</si>
  <si>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</si>
  <si>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</si>
  <si>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</si>
  <si>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</si>
  <si>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</si>
  <si>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</si>
  <si>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</si>
  <si>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</si>
  <si>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</si>
  <si>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</si>
  <si>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</si>
  <si>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</si>
  <si>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</si>
  <si>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</si>
  <si>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</si>
  <si>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</si>
  <si>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</si>
  <si>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</si>
  <si>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</si>
  <si>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</si>
  <si>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</si>
  <si>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</si>
  <si>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</si>
  <si>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</si>
  <si>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</si>
  <si>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</si>
  <si>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</si>
  <si>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</si>
  <si>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</si>
  <si>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</si>
  <si>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</si>
  <si>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</si>
  <si>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</si>
  <si>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</si>
  <si>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</si>
  <si>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</si>
  <si>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</si>
  <si>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</si>
  <si>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</si>
  <si>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</si>
  <si>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</si>
  <si>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</si>
  <si>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</si>
  <si>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</si>
  <si>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</si>
  <si>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</si>
  <si>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</si>
  <si>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</si>
  <si>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</si>
  <si>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</si>
  <si>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</si>
  <si>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</si>
  <si>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</si>
  <si>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</si>
  <si>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</si>
  <si>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</si>
  <si>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</si>
  <si>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</si>
  <si>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</si>
  <si>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</si>
  <si>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</si>
  <si>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</si>
  <si>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</si>
  <si>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</si>
  <si>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</si>
  <si>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</si>
  <si>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</si>
  <si>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</si>
  <si>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</si>
  <si>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</si>
  <si>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</si>
  <si>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</si>
  <si>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</si>
  <si>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</si>
  <si>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</si>
  <si>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</si>
  <si>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</si>
  <si>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</si>
  <si>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</si>
  <si>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</si>
  <si>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</si>
  <si>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</si>
  <si>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</si>
  <si>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</si>
  <si>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</si>
  <si>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</si>
  <si>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</si>
  <si>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</si>
  <si>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</si>
  <si>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</si>
  <si>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</si>
  <si>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</si>
  <si>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</si>
  <si>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</si>
  <si>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</si>
  <si>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</si>
  <si>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</si>
  <si>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</si>
  <si>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</si>
  <si>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</si>
  <si>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</si>
  <si>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</si>
  <si>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</si>
  <si>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</si>
  <si>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</si>
  <si>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</si>
  <si>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</si>
  <si>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</si>
  <si>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</si>
  <si>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</si>
  <si>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</si>
  <si>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</si>
  <si>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</si>
  <si>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</si>
  <si>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</si>
  <si>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</si>
  <si>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</si>
  <si>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</si>
  <si>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</si>
  <si>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</si>
  <si>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</si>
  <si>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</si>
  <si>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</si>
  <si>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</si>
  <si>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</si>
  <si>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</si>
  <si>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</si>
  <si>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</si>
  <si>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</si>
  <si>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</si>
  <si>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</si>
  <si>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</si>
  <si>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</si>
  <si>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</si>
  <si>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</si>
  <si>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</si>
  <si>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</si>
  <si>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</si>
  <si>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</si>
  <si>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</si>
  <si>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</si>
  <si>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</si>
  <si>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</si>
  <si>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</si>
  <si>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</si>
  <si>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</si>
  <si>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</si>
  <si>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</si>
  <si>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</si>
  <si>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</si>
  <si>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</si>
  <si>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</si>
  <si>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</si>
  <si>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</si>
  <si>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</si>
  <si>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</si>
  <si>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</si>
  <si>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</si>
  <si>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</si>
  <si>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</si>
  <si>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</si>
  <si>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</si>
  <si>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</si>
  <si>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</si>
  <si>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</si>
  <si>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</si>
  <si>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</si>
  <si>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</si>
  <si>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</si>
  <si>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</si>
  <si>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</si>
  <si>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</si>
  <si>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</si>
  <si>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</si>
  <si>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</si>
  <si>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</si>
  <si>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</si>
  <si>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</si>
  <si>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</si>
  <si>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</si>
  <si>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</si>
  <si>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</si>
  <si>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</si>
  <si>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</si>
  <si>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</si>
  <si>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</si>
  <si>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</si>
  <si>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</si>
  <si>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</si>
  <si>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</si>
  <si>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</si>
  <si>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</si>
  <si>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</si>
  <si>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</si>
  <si>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</si>
  <si>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</si>
  <si>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</si>
  <si>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</si>
  <si>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</si>
  <si>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</si>
  <si>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</si>
  <si>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</si>
  <si>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</si>
  <si>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</si>
  <si>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</si>
  <si>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</si>
  <si>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</si>
  <si>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</si>
  <si>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</si>
  <si>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</si>
  <si>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</si>
  <si>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</si>
  <si>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</si>
  <si>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</si>
  <si>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</si>
  <si>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</si>
  <si>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</si>
  <si>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</si>
  <si>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</si>
  <si>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</si>
  <si>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</si>
  <si>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</si>
  <si>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</si>
  <si>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</si>
  <si>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</si>
  <si>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</si>
  <si>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</si>
  <si>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</si>
  <si>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</si>
  <si>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</si>
  <si>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</si>
  <si>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</si>
  <si>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</si>
  <si>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</si>
  <si>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</si>
  <si>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</si>
  <si>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</si>
  <si>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</si>
  <si>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</si>
  <si>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</si>
  <si>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</si>
  <si>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</si>
  <si>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</si>
  <si>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</si>
  <si>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</si>
  <si>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</si>
  <si>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</si>
  <si>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</si>
  <si>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</si>
  <si>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</si>
  <si>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</si>
  <si>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</si>
  <si>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</si>
  <si>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</si>
  <si>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</si>
  <si>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</si>
  <si>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</si>
  <si>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</si>
  <si>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</si>
  <si>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</si>
  <si>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</si>
  <si>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</si>
  <si>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</si>
  <si>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</si>
  <si>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</si>
  <si>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</si>
  <si>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</si>
  <si>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</si>
  <si>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</si>
  <si>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</si>
  <si>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</si>
  <si>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</si>
  <si>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</si>
  <si>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</si>
  <si>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</si>
  <si>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</si>
  <si>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</si>
  <si>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</si>
  <si>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</si>
  <si>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</si>
  <si>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</si>
  <si>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</si>
  <si>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</si>
  <si>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</si>
  <si>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</si>
  <si>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</si>
  <si>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</si>
  <si>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</si>
  <si>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</si>
  <si>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</si>
  <si>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</si>
  <si>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</si>
  <si>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</si>
  <si>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</si>
  <si>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</si>
  <si>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</si>
  <si>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</si>
  <si>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</si>
  <si>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</si>
  <si>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</si>
  <si>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</si>
  <si>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</si>
  <si>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</si>
  <si>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</si>
  <si>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</si>
  <si>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</si>
  <si>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</si>
  <si>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</si>
  <si>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</si>
  <si>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</si>
  <si>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</si>
  <si>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</si>
  <si>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</si>
  <si>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</si>
  <si>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</si>
  <si>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</si>
  <si>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</si>
  <si>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</si>
  <si>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</si>
  <si>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</si>
  <si>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</si>
  <si>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</si>
  <si>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</si>
  <si>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</si>
  <si>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</si>
  <si>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</si>
  <si>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</si>
  <si>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</si>
  <si>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</si>
  <si>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</si>
  <si>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</si>
  <si>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</si>
  <si>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</si>
  <si>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</si>
  <si>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</si>
  <si>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</si>
  <si>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</si>
  <si>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</si>
  <si>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</si>
  <si>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</si>
  <si>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</si>
  <si>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</si>
  <si>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</si>
  <si>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</si>
  <si>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</si>
  <si>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</si>
  <si>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</si>
  <si>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</si>
  <si>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</si>
  <si>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</si>
  <si>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</si>
  <si>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</si>
  <si>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</si>
  <si>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</si>
  <si>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</si>
  <si>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</si>
  <si>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</si>
  <si>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</si>
  <si>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</si>
  <si>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</si>
  <si>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</si>
  <si>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</si>
  <si>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</si>
  <si>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</si>
  <si>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</si>
  <si>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</si>
  <si>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</si>
  <si>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</si>
  <si>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</si>
  <si>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</si>
  <si>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</si>
  <si>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</si>
  <si>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</si>
  <si>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</si>
  <si>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</si>
  <si>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</si>
  <si>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</si>
  <si>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</si>
  <si>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</si>
  <si>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</si>
  <si>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</si>
  <si>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</si>
  <si>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</si>
  <si>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</si>
  <si>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</si>
  <si>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</si>
  <si>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</si>
  <si>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</si>
  <si>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</si>
  <si>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</si>
  <si>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</si>
  <si>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</si>
  <si>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</si>
  <si>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</si>
  <si>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</si>
  <si>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</si>
  <si>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</si>
  <si>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</si>
  <si>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</si>
  <si>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</si>
  <si>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</si>
  <si>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</si>
  <si>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</si>
  <si>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</si>
  <si>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</si>
  <si>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</si>
  <si>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</si>
  <si>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</si>
  <si>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</si>
  <si>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</si>
  <si>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</si>
  <si>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</si>
  <si>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</si>
  <si>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</si>
  <si>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</si>
  <si>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</si>
  <si>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</si>
  <si>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</si>
  <si>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</si>
  <si>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</si>
  <si>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</si>
  <si>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</si>
  <si>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</si>
  <si>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</si>
  <si>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</si>
  <si>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</si>
  <si>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</si>
  <si>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</si>
  <si>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</si>
  <si>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</si>
  <si>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</si>
  <si>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</si>
  <si>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</si>
  <si>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</si>
  <si>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</si>
  <si>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</si>
  <si>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</si>
  <si>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</si>
  <si>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</si>
  <si>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</si>
  <si>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</si>
  <si>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</si>
  <si>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</si>
  <si>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</si>
  <si>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</si>
  <si>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</si>
  <si>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</si>
  <si>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</si>
  <si>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</si>
  <si>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</si>
  <si>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</si>
  <si>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</si>
  <si>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</si>
  <si>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</si>
  <si>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</si>
  <si>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</si>
  <si>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</si>
  <si>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</si>
  <si>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</si>
  <si>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</si>
  <si>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</si>
  <si>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</si>
  <si>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</si>
  <si>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</si>
  <si>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</si>
  <si>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</si>
  <si>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</si>
  <si>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</si>
  <si>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</si>
  <si>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</si>
  <si>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</si>
  <si>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</si>
  <si>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</si>
  <si>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</si>
  <si>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</si>
  <si>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</si>
  <si>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</si>
  <si>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</si>
  <si>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</si>
  <si>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</si>
  <si>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</si>
  <si>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</si>
  <si>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</si>
  <si>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</si>
  <si>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</si>
  <si>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</si>
  <si>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</si>
  <si>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</si>
  <si>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</si>
  <si>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</si>
  <si>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</si>
  <si>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</si>
  <si>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</si>
  <si>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</si>
  <si>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</si>
  <si>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</si>
  <si>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</si>
  <si>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</si>
  <si>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</si>
  <si>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</si>
  <si>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</si>
  <si>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</si>
  <si>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</si>
  <si>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</si>
  <si>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</si>
  <si>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</si>
  <si>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</si>
  <si>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</si>
  <si>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</si>
  <si>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</si>
  <si>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</si>
  <si>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</si>
  <si>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</si>
  <si>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</si>
  <si>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</si>
  <si>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</si>
  <si>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</si>
  <si>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</si>
  <si>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</si>
  <si>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</si>
  <si>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</si>
  <si>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</si>
  <si>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</si>
  <si>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</si>
  <si>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</si>
  <si>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</si>
  <si>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</si>
  <si>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</si>
  <si>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</si>
  <si>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</si>
  <si>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</si>
  <si>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</si>
  <si>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</si>
  <si>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</si>
  <si>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</si>
  <si>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</si>
  <si>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</si>
  <si>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</si>
  <si>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</si>
  <si>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</si>
  <si>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</si>
  <si>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</si>
  <si>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</si>
  <si>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</si>
  <si>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</si>
  <si>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</si>
  <si>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</si>
  <si>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</si>
  <si>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</si>
  <si>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</si>
  <si>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</si>
  <si>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</si>
  <si>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</si>
  <si>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</si>
  <si>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</si>
  <si>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</si>
  <si>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</si>
  <si>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</si>
  <si>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</si>
  <si>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</si>
  <si>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</si>
  <si>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</si>
  <si>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</si>
  <si>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</si>
  <si>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</si>
  <si>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</si>
  <si>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</si>
  <si>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</si>
  <si>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</si>
  <si>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</si>
  <si>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</si>
  <si>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</si>
  <si>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</si>
  <si>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</si>
  <si>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</si>
  <si>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</si>
  <si>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</si>
  <si>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</si>
  <si>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</si>
  <si>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</si>
  <si>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</si>
  <si>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</si>
  <si>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</si>
  <si>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</si>
  <si>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</si>
  <si>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</si>
  <si>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</si>
  <si>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</si>
  <si>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</si>
  <si>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</si>
  <si>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</si>
  <si>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</si>
  <si>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</si>
  <si>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</si>
  <si>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</si>
  <si>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</si>
  <si>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</si>
  <si>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</si>
  <si>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</si>
  <si>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</si>
  <si>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</si>
  <si>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</si>
  <si>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</si>
  <si>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</si>
  <si>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</si>
  <si>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</si>
  <si>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</si>
  <si>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</si>
  <si>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</si>
  <si>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</si>
  <si>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</si>
  <si>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</si>
  <si>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</si>
  <si>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</si>
  <si>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</si>
  <si>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</si>
  <si>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</si>
  <si>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</si>
  <si>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</si>
  <si>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</si>
  <si>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</si>
  <si>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</si>
  <si>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</si>
  <si>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</si>
  <si>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</si>
  <si>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</si>
  <si>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</si>
  <si>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</si>
  <si>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</si>
  <si>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</si>
  <si>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</si>
  <si>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</si>
  <si>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</si>
  <si>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</si>
  <si>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</si>
  <si>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</si>
  <si>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</si>
  <si>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</si>
  <si>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</si>
  <si>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</si>
  <si>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</si>
  <si>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</si>
  <si>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</si>
  <si>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</si>
  <si>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</si>
  <si>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</si>
  <si>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</si>
  <si>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</si>
  <si>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</si>
  <si>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</si>
  <si>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</si>
  <si>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</si>
  <si>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</si>
  <si>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</si>
  <si>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</si>
  <si>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</si>
  <si>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</si>
  <si>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</si>
  <si>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</si>
  <si>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</si>
  <si>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</si>
  <si>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</si>
  <si>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</si>
  <si>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</si>
  <si>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</si>
  <si>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</si>
  <si>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</si>
  <si>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</si>
  <si>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</si>
  <si>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</si>
  <si>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</si>
  <si>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</si>
  <si>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</si>
  <si>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</si>
  <si>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</si>
  <si>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</si>
  <si>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</si>
  <si>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</si>
  <si>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</si>
  <si>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</si>
  <si>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</si>
  <si>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</si>
  <si>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</si>
  <si>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</si>
  <si>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</si>
  <si>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</si>
  <si>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</si>
  <si>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</si>
  <si>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</si>
  <si>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</si>
  <si>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</si>
  <si>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</si>
  <si>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</si>
  <si>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</si>
  <si>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</si>
  <si>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</si>
  <si>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</si>
  <si>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</si>
  <si>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</si>
  <si>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</si>
  <si>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</si>
  <si>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</si>
  <si>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</si>
  <si>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</si>
  <si>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</si>
  <si>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</si>
  <si>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</si>
  <si>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</si>
  <si>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</si>
  <si>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</si>
  <si>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</si>
  <si>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</si>
  <si>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</si>
  <si>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</si>
  <si>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</si>
  <si>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</si>
  <si>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</si>
  <si>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</si>
  <si>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</si>
  <si>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</si>
  <si>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</si>
  <si>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</si>
  <si>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</si>
  <si>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</si>
  <si>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</si>
  <si>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</si>
  <si>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</si>
  <si>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</si>
  <si>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</si>
  <si>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</si>
  <si>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</si>
  <si>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</si>
  <si>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</si>
  <si>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</si>
  <si>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</si>
  <si>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</si>
  <si>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</si>
  <si>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</si>
  <si>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</si>
  <si>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</si>
  <si>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</si>
  <si>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</si>
  <si>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</si>
  <si>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</si>
  <si>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</si>
  <si>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</si>
  <si>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</si>
  <si>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</si>
  <si>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</si>
  <si>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</si>
  <si>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</si>
  <si>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</si>
  <si>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</si>
  <si>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</si>
  <si>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</si>
  <si>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</si>
  <si>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</si>
  <si>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</si>
  <si>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</si>
  <si>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</si>
  <si>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</si>
  <si>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</si>
  <si>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</si>
  <si>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</si>
  <si>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</si>
  <si>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</si>
  <si>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</si>
  <si>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</si>
  <si>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</si>
  <si>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</si>
  <si>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</si>
  <si>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</si>
  <si>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</si>
  <si>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</si>
  <si>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</si>
  <si>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</si>
  <si>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</si>
  <si>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</si>
  <si>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</si>
  <si>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</si>
  <si>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</si>
  <si>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</si>
  <si>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</si>
  <si>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</si>
  <si>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</si>
  <si>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</si>
  <si>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</si>
  <si>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</si>
  <si>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</si>
  <si>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</si>
  <si>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</si>
  <si>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</si>
  <si>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</si>
  <si>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</si>
  <si>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</si>
  <si>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</si>
  <si>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</si>
  <si>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</si>
  <si>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</si>
  <si>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</si>
  <si>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</si>
  <si>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</si>
  <si>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</si>
  <si>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</si>
  <si>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</si>
  <si>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</si>
  <si>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</si>
  <si>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</si>
  <si>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</si>
  <si>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</si>
  <si>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</si>
  <si>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</si>
  <si>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</si>
  <si>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</si>
  <si>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</si>
  <si>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</si>
  <si>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</si>
  <si>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</si>
  <si>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</si>
  <si>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</si>
  <si>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</si>
  <si>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</si>
  <si>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</si>
  <si>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</si>
  <si>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</si>
  <si>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</si>
  <si>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</si>
  <si>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</si>
  <si>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</si>
  <si>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</si>
  <si>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</si>
  <si>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</si>
  <si>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</si>
  <si>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</si>
  <si>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</si>
  <si>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</si>
  <si>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</si>
  <si>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</si>
  <si>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</si>
  <si>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</si>
  <si>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</si>
  <si>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</si>
  <si>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</si>
  <si>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</si>
  <si>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</si>
  <si>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</si>
  <si>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</si>
  <si>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</si>
  <si>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</si>
  <si>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</si>
  <si>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</si>
  <si>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</si>
  <si>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</si>
  <si>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</si>
  <si>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</si>
  <si>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</si>
  <si>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</si>
  <si>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</si>
  <si>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</si>
  <si>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</si>
  <si>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</si>
  <si>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</si>
  <si>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</si>
  <si>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</si>
  <si>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</si>
  <si>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</si>
  <si>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</si>
  <si>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</si>
  <si>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</si>
  <si>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</si>
  <si>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</si>
  <si>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</si>
  <si>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</si>
  <si>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</si>
  <si>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</si>
  <si>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</si>
  <si>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</si>
  <si>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</si>
  <si>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</si>
  <si>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</si>
  <si>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</si>
  <si>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</si>
  <si>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</si>
  <si>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</si>
  <si>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</si>
  <si>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</si>
  <si>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</si>
  <si>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</si>
  <si>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</si>
  <si>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</si>
  <si>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</si>
  <si>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</si>
  <si>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</si>
  <si>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</si>
  <si>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</si>
  <si>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</si>
  <si>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</si>
  <si>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</si>
  <si>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</si>
  <si>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</si>
  <si>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</si>
  <si>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</si>
  <si>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</si>
  <si>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</si>
  <si>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</si>
  <si>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</si>
  <si>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</si>
  <si>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</si>
  <si>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</si>
  <si>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</si>
  <si>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</si>
  <si>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</si>
  <si>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</si>
  <si>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</si>
  <si>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</si>
  <si>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</si>
  <si>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</si>
  <si>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</si>
  <si>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</si>
  <si>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</si>
  <si>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</si>
  <si>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</si>
  <si>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</si>
  <si>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</si>
  <si>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</si>
  <si>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</si>
  <si>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</si>
  <si>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</si>
  <si>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</si>
  <si>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</si>
  <si>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</si>
  <si>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</si>
  <si>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</si>
  <si>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</si>
  <si>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</si>
  <si>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</si>
  <si>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</si>
  <si>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</si>
  <si>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</si>
  <si>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</si>
  <si>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</si>
  <si>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</si>
  <si>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</si>
  <si>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</si>
  <si>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</si>
  <si>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</si>
  <si>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</si>
  <si>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rbd_Ganz_MAVAG_SN61</t>
  </si>
  <si>
    <t>https://pl.wikipedia.org/wiki/SN61</t>
  </si>
  <si>
    <t>Ganz-MAVAG SN61</t>
  </si>
  <si>
    <t>rbd_Ganz_MAVAG_Ikarus_725_00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</si>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</sst>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2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11" xfId="0" applyBorder="1"/>
    <xf numFmtId="0" fontId="0" fillId="0" borderId="11" xfId="42" applyNumberFormat="1" applyFont="1" applyBorder="1"/>
    <xf numFmtId="0" fontId="23" fillId="0" borderId="0" xfId="0" applyFont="1"/>
    <xf numFmtId="0" fontId="23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8"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color theme="0" tint="-0.24994659260841701"/>
      </font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51" totalsRowShown="0" headerRowDxfId="165">
  <autoFilter ref="A1:Q1051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64">
      <calculatedColumnFormula>MID(CONTROL[[#This Row],[VEHIDCODE]],FIND("_",CONTROL[[#This Row],[VEHIDCODE]])+1,LEN(CONTROL[[#This Row],[VEHIDCODE]]))</calculatedColumnFormula>
    </tableColumn>
    <tableColumn id="3" xr3:uid="{58AEBD72-A51F-449B-AF75-94BF72F5E83B}" name="SAVE_TO" dataDxfId="163">
      <calculatedColumnFormula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calculatedColumnFormula>
    </tableColumn>
    <tableColumn id="4" xr3:uid="{FAAD5A25-9CB6-4659-8E2D-79C6E6F46654}" name="VEHID_ID_CATEGORY" dataDxfId="162">
      <calculatedColumnFormula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calculatedColumnFormula>
    </tableColumn>
    <tableColumn id="5" xr3:uid="{FDD16D0E-AAD0-4DAE-86B7-8822B79E252B}" name="VEHID_ID"/>
    <tableColumn id="18" xr3:uid="{21382560-03DE-409F-8B64-0D6266C1BC27}" name="ENGLISH" dataDxfId="161"/>
    <tableColumn id="17" xr3:uid="{52550B53-5A6E-4D0B-A358-FCA22B56CC77}" name="WEB"/>
    <tableColumn id="15" xr3:uid="{C9DBDDFF-A526-4383-A426-8408C4B17785}" name="IS_POWERED_UNPOWERED_SUNDRY" dataDxfId="16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59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58">
      <calculatedColumnFormula>ISNUMBER(MATCH(CONTROL[[#This Row],[VEHIDCODE]],TRACK_TYPES[VEHIDCODE],0))</calculatedColumnFormula>
    </tableColumn>
    <tableColumn id="14" xr3:uid="{222C2DB1-CA5D-4369-995A-6A316AC5C947}" name="PROPERTIES" dataDxfId="157">
      <calculatedColumnFormula>ISNUMBER(MATCH(CONTROL[[#This Row],[VEHIDCODE]],PROPERTIES[VEHIDCODE],0))</calculatedColumnFormula>
    </tableColumn>
    <tableColumn id="10" xr3:uid="{7783F713-60B4-45CF-AEB3-EE02271B3D6F}" name="GRAPHICS_PROPERTIES" dataDxfId="156">
      <calculatedColumnFormula>ISNUMBER(MATCH(CONTROL[[#This Row],[VEHIDCODE]],GRAPHICS_PROPERTIES[VEHIDCODE],0))</calculatedColumnFormula>
    </tableColumn>
    <tableColumn id="9" xr3:uid="{7B229E25-CF6B-4C5F-B4A4-FEC34CB93E9B}" name="ITEM" dataDxfId="155">
      <calculatedColumnFormula>"item_"&amp;CONTROL[[#This Row],[VEHIDCODE]]</calculatedColumnFormula>
    </tableColumn>
    <tableColumn id="8" xr3:uid="{327E5CDA-51AE-4721-ACBD-5E8C3D890998}" name="NAME" dataDxfId="154">
      <calculatedColumnFormula>"str_"&amp;CONTROL[[#This Row],[VEHIDCODE]]</calculatedColumnFormula>
    </tableColumn>
    <tableColumn id="20" xr3:uid="{88FD7161-B830-4249-99C6-ED97733BD3B5}" name="CONCEPT_READONLY" dataDxfId="153">
      <calculatedColumnFormula>INDEX(PROPERTIES[IS_CONCEPT],MATCH(CONTROL[[#This Row],[VEHIDCODE]],PROPERTIES[VEHIDCODE],0))="IS_CONCEPT"</calculatedColumnFormula>
    </tableColumn>
    <tableColumn id="12" xr3:uid="{EFC553E2-02F2-4304-B3F9-158BFEF75D95}" name="EXCLUDE_READONLY" dataDxfId="152">
      <calculatedColumnFormula>INDEX(PROPERTIES[EXCLUDE],MATCH(CONTROL[[#This Row],[VEHIDCODE]],PROPERTIES[VEHIDCODE],0))</calculatedColumnFormula>
    </tableColumn>
    <tableColumn id="13" xr3:uid="{586C832A-56E8-4A49-9E08-FE14BF1C7E56}" name="TPL_READONLY" dataDxfId="151">
      <calculatedColumnFormula>INDEX(GRAPHICS_PROPERTIES[TEMPLATE_ID],MATCH(CONTROL[[#This Row],[VEHIDCODE]],GRAPHICS_PROPERTIES[VEHIDCODE],0))&amp;INDEX(GRAPHICS_PROPERTIES[TEMPLATE_AMENDMENT_CODE],MATCH(CONTROL[[#This Row],[VEHIDCODE]],GRAPHICS_PROPERTIES[VEHIDCODE],0))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U1051" totalsRowShown="0" headerRowDxfId="197">
  <autoFilter ref="A1:AU1051" xr:uid="{B4AC46B4-8F52-465B-9AAB-A8A862C6E256}"/>
  <tableColumns count="47">
    <tableColumn id="1" xr3:uid="{173D09BF-30BA-4FF2-B4FE-F09962415DA2}" name="VEHIDCODE" dataDxfId="196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95">
      <calculatedColumnFormula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calculatedColumnFormula>
    </tableColumn>
    <tableColumn id="33" xr3:uid="{4A400405-4306-4C6A-86A1-79E45307A451}" name="ENGLISH_READONLY" dataDxfId="194">
      <calculatedColumnFormula>INDEX(CONTROL[ENGLISH],MATCH(PROPERTIES[[#This Row],[VEHIDCODE]],CONTROL[VEHIDCODE],0))</calculatedColumnFormula>
    </tableColumn>
    <tableColumn id="17" xr3:uid="{17B46224-9CA1-4559-B300-6B5EA9CC33A4}" name="COUNTRY" dataDxfId="193"/>
    <tableColumn id="19" xr3:uid="{FD65B400-35DE-464D-97AA-B59BB7DAE7DB}" name="COUNTRY_CODE" dataDxfId="192">
      <calculatedColumnFormula>_xlfn.IFNA(INDEX(COUNTRIES[COUNTRY_LABEL],MATCH(PROPERTIES[[#This Row],[COUNTRY]],COUNTRIES[COUNTRY_DESCRIPTION],0)),"")</calculatedColumnFormula>
    </tableColumn>
    <tableColumn id="5" xr3:uid="{98B61C67-E0DC-4AEF-9F29-B41397156B81}" name="ENGINE_CLASS" dataDxfId="191">
      <calculatedColumnFormula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190">
      <calculatedColumnFormula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89">
      <calculatedColumnFormula>INDEX(LOADINGSPEEDDEF[SPEED],MATCH("LOADINGSPEEDDEF_"&amp;PROPERTIES[[#This Row],[LOADINGSPEED]],LOADINGSPEEDDEF[TYPE],0))</calculatedColumnFormula>
    </tableColumn>
    <tableColumn id="10" xr3:uid="{C0F3F1B9-691D-4602-AD0F-0ED5C9105CD8}" name="MODEL_LIFE" dataDxfId="188">
      <calculatedColumnFormula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87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86"/>
    <tableColumn id="24" xr3:uid="{FFD5C22B-7B16-440D-91CC-48C8761050DA}" name="TE_COEFFICIENT_CALC" dataDxfId="18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84"/>
    <tableColumn id="14" xr3:uid="{123AAB87-6D4C-406A-A5E1-A61DC2DDFFEE}" name="TE_COEFFICIENT" dataDxfId="18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82">
      <calculatedColumnFormula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1"/>
    <tableColumn id="15" xr3:uid="{3558C882-A912-4F84-BDE6-BC0A2A676C4B}" name="LENGTH_P3_WAGON" dataDxfId="180"/>
    <tableColumn id="30" xr3:uid="{235283C1-F061-434B-8C4A-AD474FB16FE8}" name="REGION1" dataDxfId="179"/>
    <tableColumn id="29" xr3:uid="{19EC58E3-4FB9-44BC-BFFA-4C7DCCC53DA8}" name="REGION2" dataDxfId="178"/>
    <tableColumn id="35" xr3:uid="{BABD5FE4-A781-4494-9E58-0659380B54F2}" name="REGION3"/>
    <tableColumn id="34" xr3:uid="{E252F46B-9ACE-4CDD-B00A-279ACE2DE71D}" name="REGION4" dataDxfId="177"/>
    <tableColumn id="27" xr3:uid="{C00DC499-0060-4E48-A71D-AE565097985F}" name="IS_CONCEPT" dataDxfId="176"/>
    <tableColumn id="56" xr3:uid="{188F57E8-1157-47DF-9E8F-B5F737649F6C}" name="PURCHASECOST_VALUE" dataDxfId="175">
      <calculatedColumnFormula>"PURCHASECOST_"&amp;INDEX(VEHICLE_ID_RANGES[COST_VALUE_TYPE],MATCH(INDEX(CONTROL[VEHID_ID_CATEGORY],MATCH(PROPERTIES[[#This Row],[VEHIDCODE]],CONTROL[VEHIDCODE],0)),VEHICLE_ID_RANGES[ID Type],0))&amp;"_VALUE"</calculatedColumnFormula>
    </tableColumn>
    <tableColumn id="28" xr3:uid="{B24767B4-97D7-4814-9BBD-1231E1A0A0A7}" name="RUNNINGCOST_VALUE" dataDxfId="174">
      <calculatedColumnFormula>"RUNNINGCOST_"&amp;INDEX(VEHICLE_ID_RANGES[COST_VALUE_TYPE],MATCH(INDEX(CONTROL[VEHID_ID_CATEGORY],MATCH(PROPERTIES[[#This Row],[VEHIDCODE]],CONTROL[VEHIDCODE],0)),VEHICLE_ID_RANGES[ID Type],0))&amp;"_VALUE"</calculatedColumnFormula>
    </tableColumn>
    <tableColumn id="22" xr3:uid="{68BAA036-8189-4A5A-B0EF-3F284C15672C}" name="COST_CAT" dataDxfId="173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72"/>
    <tableColumn id="37" xr3:uid="{4EA59FD5-0929-4D90-895D-440F7C1044AF}" name="HAS_CAB" dataDxfId="171"/>
    <tableColumn id="36" xr3:uid="{BAA724AA-BB03-4B6D-BE56-C2836EC6A7DF}" name="IS_TILT" dataDxfId="170"/>
    <tableColumn id="2" xr3:uid="{D95C6E98-71C9-4E8E-9221-49A3007D3EF7}" name="LOADING_STATE_COUNT" dataDxfId="169"/>
    <tableColumn id="46" xr3:uid="{CE04F357-ED23-4036-951B-48AD8AE62721}" name="HAS_DRIVING_STATE" dataDxfId="168"/>
    <tableColumn id="9" xr3:uid="{19FCF859-005A-4696-BB66-C378C763CAEF}" name="EXCLUDE" dataDxfId="167"/>
    <tableColumn id="25" xr3:uid="{967B6F30-4C08-47D0-A4C1-79DC433D9519}" name="TPL_READONLY" dataDxfId="166">
      <calculatedColumnFormula>INDEX(GRAPHICS_PROPERTIES[TEMPLATE_ID],MATCH(PROPERTIES[[#This Row],[VEHIDCODE]],GRAPHICS_PROPERTIES[VEHIDCODE],0))&amp;INDEX(GRAPHICS_PROPERTIES[TEMPLATE_AMENDMENT_CODE],MATCH(PROPERTIES[[#This Row],[VEHIDCODE]],GRAPHICS_PROPERTIES[VEHIDCODE],0))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1" totalsRowShown="0" headerRowDxfId="150">
  <autoFilter ref="A1:AH1051" xr:uid="{6DCCB998-B5D1-4B0D-8701-BC0E171A94CA}"/>
  <tableColumns count="34">
    <tableColumn id="1" xr3:uid="{CDEAF13A-A986-4600-A992-A08C1CA6142C}" name="VEHIDCODE" dataDxfId="149"/>
    <tableColumn id="6" xr3:uid="{80742CDB-5E6B-4140-B4FD-5D968A6B8D5E}" name="ENGLISH_READONLY" dataDxfId="148">
      <calculatedColumnFormula>INDEX(CONTROL[ENGLISH],MATCH(PROPERTIES[[#This Row],[VEHIDCODE]],CONTROL[VEHIDCODE],0))</calculatedColumnFormula>
    </tableColumn>
    <tableColumn id="55" xr3:uid="{839D134C-3027-42F4-BA04-3BA8BFF71A3B}" name="TRACK_TYPE_STANDARD_GAUGE_RAILTYPE_OHLE" dataDxfId="147"/>
    <tableColumn id="54" xr3:uid="{5D83FD10-ABCB-4FE7-A7DB-4A857A58D719}" name="TRACK_TYPE_STANDARD_GAUGE_RAILTYPE_25KV" dataDxfId="146"/>
    <tableColumn id="53" xr3:uid="{56183170-0B7F-45FB-91B4-356C62C246AD}" name="TRACK_TYPE_STANDARD_GAUGE_RAILTYPE_15KV" dataDxfId="145"/>
    <tableColumn id="52" xr3:uid="{5B71BE07-0EB9-4DEB-A8E8-252C9D979AC2}" name="TRACK_TYPE_STANDARD_GAUGE_RAILTYPE_3KV" dataDxfId="144"/>
    <tableColumn id="51" xr3:uid="{5A6435EB-111E-4AED-A8E1-AEFF82C34393}" name="TRACK_TYPE_STANDARD_GAUGE_RAILTYPE_1500V" dataDxfId="143"/>
    <tableColumn id="50" xr3:uid="{14CA70EA-0EE7-44BA-9D77-FC902C0596DD}" name="TRACK_TYPE_STANDARD_GAUGE_RAILTYPE_3RD" dataDxfId="142"/>
    <tableColumn id="49" xr3:uid="{3A15447A-9663-43FB-8EFF-8F8034548FB0}" name="TRACK_TYPE_STANDARD_GAUGE_RAILTYPE_4TH" dataDxfId="141"/>
    <tableColumn id="47" xr3:uid="{FE3223C6-E685-4456-91E9-10AEB3B699E7}" name="TRACK_TYPE_STANDARD_GAUGE_RAILTYPE_NONE" dataDxfId="140"/>
    <tableColumn id="46" xr3:uid="{D39969E8-C0CA-4A59-A556-D29019991069}" name="TRACK_TYPE_NARROW_GAUGE_RAILTYPE_OHLE" dataDxfId="139"/>
    <tableColumn id="45" xr3:uid="{5266A9E9-D840-4460-AB81-A081897372F3}" name="TRACK_TYPE_NARROW_GAUGE_RAILTYPE_25KV" dataDxfId="138"/>
    <tableColumn id="44" xr3:uid="{7B4C44D1-C745-4291-86A0-777579742A84}" name="TRACK_TYPE_NARROW_GAUGE_RAILTYPE_15KV" dataDxfId="137"/>
    <tableColumn id="43" xr3:uid="{8736D285-A163-4DBE-84E1-870118B47F14}" name="TRACK_TYPE_NARROW_GAUGE_RAILTYPE_3KV" dataDxfId="136"/>
    <tableColumn id="42" xr3:uid="{6FBBA2FB-4743-4072-B4E0-C42BBDA1CC47}" name="TRACK_TYPE_NARROW_GAUGE_RAILTYPE_1500V" dataDxfId="135"/>
    <tableColumn id="41" xr3:uid="{D3ED2E70-19BF-4D92-A76B-0F0F03D31947}" name="TRACK_TYPE_NARROW_GAUGE_RAILTYPE_3RD" dataDxfId="134"/>
    <tableColumn id="40" xr3:uid="{F38AE7AF-B798-40A5-992A-13685296E710}" name="TRACK_TYPE_NARROW_GAUGE_RAILTYPE_4TH" dataDxfId="133"/>
    <tableColumn id="38" xr3:uid="{97037A15-9172-4057-863E-582804353817}" name="TRACK_TYPE_NARROW_GAUGE_RAILTYPE_NONE" dataDxfId="132"/>
    <tableColumn id="37" xr3:uid="{24999D59-5A4F-4A21-B8B4-EBDBF9F8BF1E}" name="TRACK_TYPE_BROAD_GAUGE_RAILTYPE_OHLE" dataDxfId="131"/>
    <tableColumn id="36" xr3:uid="{31AB3927-D18B-49AD-8EF5-C7E9FF4CEDF3}" name="TRACK_TYPE_BROAD_GAUGE_RAILTYPE_25KV" dataDxfId="130"/>
    <tableColumn id="35" xr3:uid="{CB3432E7-4DAE-4807-9CE5-4CB1ACECD395}" name="TRACK_TYPE_BROAD_GAUGE_RAILTYPE_15KV" dataDxfId="129"/>
    <tableColumn id="34" xr3:uid="{E3936FE4-2B46-4DC0-84C0-44C7892A0927}" name="TRACK_TYPE_BROAD_GAUGE_RAILTYPE_3KV" dataDxfId="128"/>
    <tableColumn id="33" xr3:uid="{A5FAA105-CF81-4A75-8967-5721104454E8}" name="TRACK_TYPE_BROAD_GAUGE_RAILTYPE_1500V" dataDxfId="127"/>
    <tableColumn id="32" xr3:uid="{439CDFDE-6BFC-446C-87CF-28C8FF65FCE0}" name="TRACK_TYPE_BROAD_GAUGE_RAILTYPE_3RD" dataDxfId="126"/>
    <tableColumn id="31" xr3:uid="{219AB5E3-CDFF-41B3-BD58-F7427606D15F}" name="TRACK_TYPE_BROAD_GAUGE_RAILTYPE_4TH" dataDxfId="125"/>
    <tableColumn id="29" xr3:uid="{32C384AB-18DB-4161-B29B-A363A2547BB2}" name="TRACK_TYPE_BROAD_GAUGE_RAILTYPE_NONE" dataDxfId="124"/>
    <tableColumn id="26" xr3:uid="{1CFC6F26-22A8-42EE-972B-0F7ED6623B5A}" name="TRACK_TYPE_MONO" dataDxfId="123"/>
    <tableColumn id="25" xr3:uid="{62939270-15C1-494E-9C53-6EA9E8209C3B}" name="TRACK_TYPE_MGLV" dataDxfId="122"/>
    <tableColumn id="24" xr3:uid="{9DA86EDA-F2AB-4C2D-918E-5260313FD8B3}" name="TRACK_TYPE_MTRO" dataDxfId="121"/>
    <tableColumn id="21" xr3:uid="{E6F11214-E912-4D1C-980D-A111C93B0BED}" name="CHECK_ANY_TT" dataDxfId="1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9">
      <calculatedColumnFormula>IFERROR(OR(TRACK_TYPES[[#This Row],[TRACK_TYPE_STANDARD_GAUGE_RAILTYPE_OHLE]:[TRACK_TYPE_STANDARD_GAUGE_RAILTYPE_NONE]]),FALSE)</calculatedColumnFormula>
    </tableColumn>
    <tableColumn id="3" xr3:uid="{990CDFC7-B848-4CC0-9AF6-047BFDEA6B65}" name="IS_NARROW" dataDxfId="118">
      <calculatedColumnFormula>IFERROR(OR(TRACK_TYPES[[#This Row],[TRACK_TYPE_NARROW_GAUGE_RAILTYPE_OHLE]:[TRACK_TYPE_NARROW_GAUGE_RAILTYPE_NONE]]),FALSE)</calculatedColumnFormula>
    </tableColumn>
    <tableColumn id="4" xr3:uid="{96330843-B10E-4C30-81BB-1531624371AB}" name="IS_BROAD" dataDxfId="117">
      <calculatedColumnFormula>IFERROR(OR(TRACK_TYPES[[#This Row],[TRACK_TYPE_BROAD_GAUGE_RAILTYPE_OHLE]:[TRACK_TYPE_BROAD_GAUGE_RAILTYPE_NONE]]),FALSE)</calculatedColumnFormula>
    </tableColumn>
    <tableColumn id="5" xr3:uid="{1B9178BD-5A54-4B39-93D8-6B2BD86F763D}" name="GAUGE" dataDxfId="1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F1244" totalsRowShown="0" headerRowDxfId="115">
  <autoFilter ref="A1:F1244" xr:uid="{6DCCB998-B5D1-4B0D-8701-BC0E171A94CA}"/>
  <tableColumns count="6">
    <tableColumn id="1" xr3:uid="{0B6094CF-6CA6-410A-A041-C85FACC0820E}" name="VEHIDCODE"/>
    <tableColumn id="3" xr3:uid="{9DF99A2B-875D-43CB-8DCB-2410879F1FC8}" name="ENGLISH_READONLY" dataDxfId="114">
      <calculatedColumnFormula>INDEX(CONTROL[ENGLISH],MATCH(GRAPHICS_PROPERTIES[[#This Row],[VEHIDCODE]],CONTROL[VEHIDCODE],0))</calculatedColumnFormula>
    </tableColumn>
    <tableColumn id="2" xr3:uid="{D5F692EC-BD97-49EB-B5E2-A1AC97685811}" name="VISUAL_EFFECT_2" dataDxfId="113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2" headerRowBorderDxfId="111" tableBorderDxfId="11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9" headerRowBorderDxfId="108" tableBorderDxfId="10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6" dataDxfId="10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4"/>
    <tableColumn id="2" xr3:uid="{CCC9A744-4F42-4023-A516-9395213016EB}" name="COUNTRY_DESCRIPTION" dataDxfId="103"/>
    <tableColumn id="3" xr3:uid="{01E32DA0-BF93-49AA-BE03-33EF914A0BCC}" name="COUNTS" dataDxfId="10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0" headerRowBorderDxfId="101" tableBorderDxfId="99" totalsRowBorderDxfId="98">
  <autoFilter ref="K1:K24" xr:uid="{686D0694-AFBC-4B91-A3D3-72E1CCF00B7D}"/>
  <tableColumns count="1">
    <tableColumn id="1" xr3:uid="{7F0999BD-E0C9-463F-A054-2DA49D41A9EE}" name="VEHID_ID_CATEGORY" dataDxfId="9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96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5"/>
    <tableColumn id="4" xr3:uid="{3DDC8685-BA3D-40E8-A910-1E59013A762D}" name="Range End" dataDxfId="9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51"/>
  <sheetViews>
    <sheetView zoomScaleNormal="100" workbookViewId="0">
      <pane xSplit="1" ySplit="1" topLeftCell="B158" activePane="bottomRight" state="frozen"/>
      <selection pane="topRight" activeCell="B1" sqref="B1"/>
      <selection pane="bottomLeft" activeCell="A2" sqref="A2"/>
      <selection pane="bottomRight" activeCell="L1" sqref="L1:L1048576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0" bestFit="1" customWidth="1"/>
    <col min="7" max="7" width="23.6328125" customWidth="1"/>
    <col min="8" max="8" width="13.90625" hidden="1" customWidth="1"/>
    <col min="9" max="9" width="11" style="2" hidden="1" customWidth="1"/>
    <col min="13" max="13" width="55.26953125" hidden="1" customWidth="1"/>
    <col min="14" max="14" width="53.81640625" hidden="1" customWidth="1"/>
    <col min="15" max="15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29" t="s">
        <v>1212</v>
      </c>
      <c r="G1" s="3" t="s">
        <v>1055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351</v>
      </c>
      <c r="M1" s="4" t="s">
        <v>50</v>
      </c>
      <c r="N1" s="4" t="s">
        <v>51</v>
      </c>
      <c r="O1" s="4" t="s">
        <v>2568</v>
      </c>
      <c r="P1" s="4" t="s">
        <v>1882</v>
      </c>
      <c r="Q1" s="3" t="s">
        <v>3690</v>
      </c>
    </row>
    <row r="2" spans="1:17" x14ac:dyDescent="0.35">
      <c r="A2" s="2" t="s">
        <v>71</v>
      </c>
      <c r="B2" s="21" t="str">
        <f>MID(CONTROL[[#This Row],[VEHIDCODE]],FIND("_",CONTROL[[#This Row],[VEHIDCODE]])+1,LEN(CONTROL[[#This Row],[VEHIDCODE]]))</f>
        <v>Maglev_Wagon_Powered</v>
      </c>
      <c r="C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ID_RANGE_UNIT_WAGONS_MGLV</v>
      </c>
      <c r="E2">
        <v>13005</v>
      </c>
      <c r="F2" s="30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ISNUMBER(MATCH(CONTROL[[#This Row],[VEHIDCODE]],TRACK_TYPES[VEHIDCODE],0))</f>
        <v>1</v>
      </c>
      <c r="K2" t="b">
        <f>ISNUMBER(MATCH(CONTROL[[#This Row],[VEHIDCODE]],PROPERTIES[VEHIDCODE],0))</f>
        <v>1</v>
      </c>
      <c r="L2" t="b">
        <f>ISNUMBER(MATCH(CONTROL[[#This Row],[VEHIDCODE]],GRAPHICS_PROPERTIES[VEHIDCODE],0))</f>
        <v>1</v>
      </c>
      <c r="M2" s="21" t="str">
        <f>"item_"&amp;CONTROL[[#This Row],[VEHIDCODE]]</f>
        <v>item_mglv_Maglev_Wagon_Powered</v>
      </c>
      <c r="N2" s="21" t="str">
        <f>"str_"&amp;CONTROL[[#This Row],[VEHIDCODE]]</f>
        <v>str_mglv_Maglev_Wagon_Powered</v>
      </c>
      <c r="O2" s="7" t="b">
        <f>INDEX(PROPERTIES[IS_CONCEPT],MATCH(CONTROL[[#This Row],[VEHIDCODE]],PROPERTIES[VEHIDCODE],0))="IS_CONCEPT"</f>
        <v>0</v>
      </c>
      <c r="P2" s="7" t="b">
        <f>INDEX(PROPERTIES[EXCLUDE],MATCH(CONTROL[[#This Row],[VEHIDCODE]],PROPERTIES[VEHIDCODE],0))</f>
        <v>0</v>
      </c>
      <c r="Q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3" spans="1:17" x14ac:dyDescent="0.35">
      <c r="A3" s="2" t="s">
        <v>72</v>
      </c>
      <c r="B3" s="21" t="str">
        <f>MID(CONTROL[[#This Row],[VEHIDCODE]],FIND("_",CONTROL[[#This Row],[VEHIDCODE]])+1,LEN(CONTROL[[#This Row],[VEHIDCODE]]))</f>
        <v>Maglev_Wagon_Unpowered</v>
      </c>
      <c r="C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ID_RANGE_UNIT_WAGONS_MGLV</v>
      </c>
      <c r="E3">
        <v>13004</v>
      </c>
      <c r="F3" s="30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ISNUMBER(MATCH(CONTROL[[#This Row],[VEHIDCODE]],TRACK_TYPES[VEHIDCODE],0))</f>
        <v>1</v>
      </c>
      <c r="K3" t="b">
        <f>ISNUMBER(MATCH(CONTROL[[#This Row],[VEHIDCODE]],PROPERTIES[VEHIDCODE],0))</f>
        <v>1</v>
      </c>
      <c r="L3" t="b">
        <f>ISNUMBER(MATCH(CONTROL[[#This Row],[VEHIDCODE]],GRAPHICS_PROPERTIES[VEHIDCODE],0))</f>
        <v>1</v>
      </c>
      <c r="M3" s="21" t="str">
        <f>"item_"&amp;CONTROL[[#This Row],[VEHIDCODE]]</f>
        <v>item_mglv_Maglev_Wagon_Unpowered</v>
      </c>
      <c r="N3" s="21" t="str">
        <f>"str_"&amp;CONTROL[[#This Row],[VEHIDCODE]]</f>
        <v>str_mglv_Maglev_Wagon_Unpowered</v>
      </c>
      <c r="O3" s="7" t="b">
        <f>INDEX(PROPERTIES[IS_CONCEPT],MATCH(CONTROL[[#This Row],[VEHIDCODE]],PROPERTIES[VEHIDCODE],0))="IS_CONCEPT"</f>
        <v>0</v>
      </c>
      <c r="P3" s="7" t="b">
        <f>INDEX(PROPERTIES[EXCLUDE],MATCH(CONTROL[[#This Row],[VEHIDCODE]],PROPERTIES[VEHIDCODE],0))</f>
        <v>0</v>
      </c>
      <c r="Q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4" spans="1:17" x14ac:dyDescent="0.35">
      <c r="A4" s="2" t="s">
        <v>2641</v>
      </c>
      <c r="B4" s="21" t="str">
        <f>MID(CONTROL[[#This Row],[VEHIDCODE]],FIND("_",CONTROL[[#This Row],[VEHIDCODE]])+1,LEN(CONTROL[[#This Row],[VEHIDCODE]]))</f>
        <v>Komarek_NOLB_1</v>
      </c>
      <c r="C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4">
        <v>1000</v>
      </c>
      <c r="F4" s="30" t="s">
        <v>2044</v>
      </c>
      <c r="G4" t="s">
        <v>1039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ISNUMBER(MATCH(CONTROL[[#This Row],[VEHIDCODE]],TRACK_TYPES[VEHIDCODE],0))</f>
        <v>1</v>
      </c>
      <c r="K4" t="b">
        <f>ISNUMBER(MATCH(CONTROL[[#This Row],[VEHIDCODE]],PROPERTIES[VEHIDCODE],0))</f>
        <v>1</v>
      </c>
      <c r="L4" t="b">
        <f>ISNUMBER(MATCH(CONTROL[[#This Row],[VEHIDCODE]],GRAPHICS_PROPERTIES[VEHIDCODE],0))</f>
        <v>1</v>
      </c>
      <c r="M4" s="21" t="str">
        <f>"item_"&amp;CONTROL[[#This Row],[VEHIDCODE]]</f>
        <v>item_rbs_Komarek_NOLB_1</v>
      </c>
      <c r="N4" s="21" t="str">
        <f>"str_"&amp;CONTROL[[#This Row],[VEHIDCODE]]</f>
        <v>str_rbs_Komarek_NOLB_1</v>
      </c>
      <c r="O4" s="7" t="b">
        <f>INDEX(PROPERTIES[IS_CONCEPT],MATCH(CONTROL[[#This Row],[VEHIDCODE]],PROPERTIES[VEHIDCODE],0))="IS_CONCEPT"</f>
        <v>0</v>
      </c>
      <c r="P4" s="7" t="b">
        <f>INDEX(PROPERTIES[EXCLUDE],MATCH(CONTROL[[#This Row],[VEHIDCODE]],PROPERTIES[VEHIDCODE],0))</f>
        <v>0</v>
      </c>
      <c r="Q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" spans="1:17" x14ac:dyDescent="0.35">
      <c r="A5" s="2" t="s">
        <v>2642</v>
      </c>
      <c r="B5" s="21" t="str">
        <f>MID(CONTROL[[#This Row],[VEHIDCODE]],FIND("_",CONTROL[[#This Row],[VEHIDCODE]])+1,LEN(CONTROL[[#This Row],[VEHIDCODE]]))</f>
        <v>Kerr__Stuart___Co__86</v>
      </c>
      <c r="C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5">
        <v>1001</v>
      </c>
      <c r="F5" s="30" t="s">
        <v>2045</v>
      </c>
      <c r="G5" t="s">
        <v>1040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ISNUMBER(MATCH(CONTROL[[#This Row],[VEHIDCODE]],TRACK_TYPES[VEHIDCODE],0))</f>
        <v>1</v>
      </c>
      <c r="K5" t="b">
        <f>ISNUMBER(MATCH(CONTROL[[#This Row],[VEHIDCODE]],PROPERTIES[VEHIDCODE],0))</f>
        <v>1</v>
      </c>
      <c r="L5" t="b">
        <f>ISNUMBER(MATCH(CONTROL[[#This Row],[VEHIDCODE]],GRAPHICS_PROPERTIES[VEHIDCODE],0))</f>
        <v>1</v>
      </c>
      <c r="M5" s="21" t="str">
        <f>"item_"&amp;CONTROL[[#This Row],[VEHIDCODE]]</f>
        <v>item_rbs_Kerr__Stuart___Co__86</v>
      </c>
      <c r="N5" s="21" t="str">
        <f>"str_"&amp;CONTROL[[#This Row],[VEHIDCODE]]</f>
        <v>str_rbs_Kerr__Stuart___Co__86</v>
      </c>
      <c r="O5" s="7" t="b">
        <f>INDEX(PROPERTIES[IS_CONCEPT],MATCH(CONTROL[[#This Row],[VEHIDCODE]],PROPERTIES[VEHIDCODE],0))="IS_CONCEPT"</f>
        <v>0</v>
      </c>
      <c r="P5" s="7" t="b">
        <f>INDEX(PROPERTIES[EXCLUDE],MATCH(CONTROL[[#This Row],[VEHIDCODE]],PROPERTIES[VEHIDCODE],0))</f>
        <v>0</v>
      </c>
      <c r="Q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" spans="1:17" x14ac:dyDescent="0.35">
      <c r="A6" s="2" t="s">
        <v>2643</v>
      </c>
      <c r="B6" s="21" t="str">
        <f>MID(CONTROL[[#This Row],[VEHIDCODE]],FIND("_",CONTROL[[#This Row],[VEHIDCODE]])+1,LEN(CONTROL[[#This Row],[VEHIDCODE]]))</f>
        <v>Victorian_Railways_Rowan_Railmotor</v>
      </c>
      <c r="C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6">
        <v>1002</v>
      </c>
      <c r="F6" s="30" t="s">
        <v>355</v>
      </c>
      <c r="G6" t="s">
        <v>1041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ISNUMBER(MATCH(CONTROL[[#This Row],[VEHIDCODE]],TRACK_TYPES[VEHIDCODE],0))</f>
        <v>1</v>
      </c>
      <c r="K6" t="b">
        <f>ISNUMBER(MATCH(CONTROL[[#This Row],[VEHIDCODE]],PROPERTIES[VEHIDCODE],0))</f>
        <v>1</v>
      </c>
      <c r="L6" t="b">
        <f>ISNUMBER(MATCH(CONTROL[[#This Row],[VEHIDCODE]],GRAPHICS_PROPERTIES[VEHIDCODE],0))</f>
        <v>1</v>
      </c>
      <c r="M6" s="21" t="str">
        <f>"item_"&amp;CONTROL[[#This Row],[VEHIDCODE]]</f>
        <v>item_rbs_Victorian_Railways_Rowan_Railmotor</v>
      </c>
      <c r="N6" s="21" t="str">
        <f>"str_"&amp;CONTROL[[#This Row],[VEHIDCODE]]</f>
        <v>str_rbs_Victorian_Railways_Rowan_Railmotor</v>
      </c>
      <c r="O6" s="7" t="b">
        <f>INDEX(PROPERTIES[IS_CONCEPT],MATCH(CONTROL[[#This Row],[VEHIDCODE]],PROPERTIES[VEHIDCODE],0))="IS_CONCEPT"</f>
        <v>0</v>
      </c>
      <c r="P6" s="7" t="b">
        <f>INDEX(PROPERTIES[EXCLUDE],MATCH(CONTROL[[#This Row],[VEHIDCODE]],PROPERTIES[VEHIDCODE],0))</f>
        <v>0</v>
      </c>
      <c r="Q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" spans="1:17" x14ac:dyDescent="0.35">
      <c r="A7" s="2" t="s">
        <v>2644</v>
      </c>
      <c r="B7" s="21" t="str">
        <f>MID(CONTROL[[#This Row],[VEHIDCODE]],FIND("_",CONTROL[[#This Row],[VEHIDCODE]])+1,LEN(CONTROL[[#This Row],[VEHIDCODE]]))</f>
        <v>Esslingen_Czm_1_2</v>
      </c>
      <c r="C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7">
        <v>1003</v>
      </c>
      <c r="F7" s="30" t="s">
        <v>2046</v>
      </c>
      <c r="G7" t="s">
        <v>1042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ISNUMBER(MATCH(CONTROL[[#This Row],[VEHIDCODE]],TRACK_TYPES[VEHIDCODE],0))</f>
        <v>1</v>
      </c>
      <c r="K7" t="b">
        <f>ISNUMBER(MATCH(CONTROL[[#This Row],[VEHIDCODE]],PROPERTIES[VEHIDCODE],0))</f>
        <v>1</v>
      </c>
      <c r="L7" t="b">
        <f>ISNUMBER(MATCH(CONTROL[[#This Row],[VEHIDCODE]],GRAPHICS_PROPERTIES[VEHIDCODE],0))</f>
        <v>1</v>
      </c>
      <c r="M7" s="21" t="str">
        <f>"item_"&amp;CONTROL[[#This Row],[VEHIDCODE]]</f>
        <v>item_rbs_Esslingen_Czm_1_2</v>
      </c>
      <c r="N7" s="21" t="str">
        <f>"str_"&amp;CONTROL[[#This Row],[VEHIDCODE]]</f>
        <v>str_rbs_Esslingen_Czm_1_2</v>
      </c>
      <c r="O7" s="7" t="b">
        <f>INDEX(PROPERTIES[IS_CONCEPT],MATCH(CONTROL[[#This Row],[VEHIDCODE]],PROPERTIES[VEHIDCODE],0))="IS_CONCEPT"</f>
        <v>0</v>
      </c>
      <c r="P7" s="7" t="b">
        <f>INDEX(PROPERTIES[EXCLUDE],MATCH(CONTROL[[#This Row],[VEHIDCODE]],PROPERTIES[VEHIDCODE],0))</f>
        <v>0</v>
      </c>
      <c r="Q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" spans="1:17" x14ac:dyDescent="0.35">
      <c r="A8" s="2" t="s">
        <v>2645</v>
      </c>
      <c r="B8" s="21" t="str">
        <f>MID(CONTROL[[#This Row],[VEHIDCODE]],FIND("_",CONTROL[[#This Row],[VEHIDCODE]])+1,LEN(CONTROL[[#This Row],[VEHIDCODE]]))</f>
        <v>Maffei_MCCi</v>
      </c>
      <c r="C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8">
        <v>1004</v>
      </c>
      <c r="F8" s="30" t="s">
        <v>2047</v>
      </c>
      <c r="G8" t="s">
        <v>1044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ISNUMBER(MATCH(CONTROL[[#This Row],[VEHIDCODE]],TRACK_TYPES[VEHIDCODE],0))</f>
        <v>1</v>
      </c>
      <c r="K8" t="b">
        <f>ISNUMBER(MATCH(CONTROL[[#This Row],[VEHIDCODE]],PROPERTIES[VEHIDCODE],0))</f>
        <v>1</v>
      </c>
      <c r="L8" t="b">
        <f>ISNUMBER(MATCH(CONTROL[[#This Row],[VEHIDCODE]],GRAPHICS_PROPERTIES[VEHIDCODE],0))</f>
        <v>1</v>
      </c>
      <c r="M8" s="21" t="str">
        <f>"item_"&amp;CONTROL[[#This Row],[VEHIDCODE]]</f>
        <v>item_rbs_Maffei_MCCi</v>
      </c>
      <c r="N8" s="21" t="str">
        <f>"str_"&amp;CONTROL[[#This Row],[VEHIDCODE]]</f>
        <v>str_rbs_Maffei_MCCi</v>
      </c>
      <c r="O8" s="7" t="b">
        <f>INDEX(PROPERTIES[IS_CONCEPT],MATCH(CONTROL[[#This Row],[VEHIDCODE]],PROPERTIES[VEHIDCODE],0))="IS_CONCEPT"</f>
        <v>0</v>
      </c>
      <c r="P8" s="7" t="b">
        <f>INDEX(PROPERTIES[EXCLUDE],MATCH(CONTROL[[#This Row],[VEHIDCODE]],PROPERTIES[VEHIDCODE],0))</f>
        <v>0</v>
      </c>
      <c r="Q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9" spans="1:17" x14ac:dyDescent="0.35">
      <c r="A9" s="2" t="s">
        <v>2646</v>
      </c>
      <c r="B9" s="21" t="str">
        <f>MID(CONTROL[[#This Row],[VEHIDCODE]],FIND("_",CONTROL[[#This Row],[VEHIDCODE]])+1,LEN(CONTROL[[#This Row],[VEHIDCODE]]))</f>
        <v>Kitson___Co_CSAR_Railmotor</v>
      </c>
      <c r="C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9">
        <v>1005</v>
      </c>
      <c r="F9" s="30" t="s">
        <v>3671</v>
      </c>
      <c r="G9" t="s">
        <v>1043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ISNUMBER(MATCH(CONTROL[[#This Row],[VEHIDCODE]],TRACK_TYPES[VEHIDCODE],0))</f>
        <v>1</v>
      </c>
      <c r="K9" t="b">
        <f>ISNUMBER(MATCH(CONTROL[[#This Row],[VEHIDCODE]],PROPERTIES[VEHIDCODE],0))</f>
        <v>1</v>
      </c>
      <c r="L9" t="b">
        <f>ISNUMBER(MATCH(CONTROL[[#This Row],[VEHIDCODE]],GRAPHICS_PROPERTIES[VEHIDCODE],0))</f>
        <v>1</v>
      </c>
      <c r="M9" s="21" t="str">
        <f>"item_"&amp;CONTROL[[#This Row],[VEHIDCODE]]</f>
        <v>item_rbs_Kitson___Co_CSAR_Railmotor</v>
      </c>
      <c r="N9" s="21" t="str">
        <f>"str_"&amp;CONTROL[[#This Row],[VEHIDCODE]]</f>
        <v>str_rbs_Kitson___Co_CSAR_Railmotor</v>
      </c>
      <c r="O9" s="7" t="b">
        <f>INDEX(PROPERTIES[IS_CONCEPT],MATCH(CONTROL[[#This Row],[VEHIDCODE]],PROPERTIES[VEHIDCODE],0))="IS_CONCEPT"</f>
        <v>0</v>
      </c>
      <c r="P9" s="7" t="b">
        <f>INDEX(PROPERTIES[EXCLUDE],MATCH(CONTROL[[#This Row],[VEHIDCODE]],PROPERTIES[VEHIDCODE],0))</f>
        <v>0</v>
      </c>
      <c r="Q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TPL_32B</v>
      </c>
    </row>
    <row r="10" spans="1:17" x14ac:dyDescent="0.35">
      <c r="A10" s="2" t="s">
        <v>2647</v>
      </c>
      <c r="B10" s="21" t="str">
        <f>MID(CONTROL[[#This Row],[VEHIDCODE]],FIND("_",CONTROL[[#This Row],[VEHIDCODE]])+1,LEN(CONTROL[[#This Row],[VEHIDCODE]]))</f>
        <v>Kerr_Stuart_steam_railmotor</v>
      </c>
      <c r="C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10">
        <v>1006</v>
      </c>
      <c r="F10" s="30" t="s">
        <v>3687</v>
      </c>
      <c r="G10" t="s">
        <v>1045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ISNUMBER(MATCH(CONTROL[[#This Row],[VEHIDCODE]],TRACK_TYPES[VEHIDCODE],0))</f>
        <v>1</v>
      </c>
      <c r="K10" t="b">
        <f>ISNUMBER(MATCH(CONTROL[[#This Row],[VEHIDCODE]],PROPERTIES[VEHIDCODE],0))</f>
        <v>1</v>
      </c>
      <c r="L10" t="b">
        <f>ISNUMBER(MATCH(CONTROL[[#This Row],[VEHIDCODE]],GRAPHICS_PROPERTIES[VEHIDCODE],0))</f>
        <v>1</v>
      </c>
      <c r="M10" s="21" t="str">
        <f>"item_"&amp;CONTROL[[#This Row],[VEHIDCODE]]</f>
        <v>item_rbs_Kerr_Stuart_steam_railmotor</v>
      </c>
      <c r="N10" s="21" t="str">
        <f>"str_"&amp;CONTROL[[#This Row],[VEHIDCODE]]</f>
        <v>str_rbs_Kerr_Stuart_steam_railmotor</v>
      </c>
      <c r="O10" s="7" t="b">
        <f>INDEX(PROPERTIES[IS_CONCEPT],MATCH(CONTROL[[#This Row],[VEHIDCODE]],PROPERTIES[VEHIDCODE],0))="IS_CONCEPT"</f>
        <v>0</v>
      </c>
      <c r="P10" s="7" t="b">
        <f>INDEX(PROPERTIES[EXCLUDE],MATCH(CONTROL[[#This Row],[VEHIDCODE]],PROPERTIES[VEHIDCODE],0))</f>
        <v>0</v>
      </c>
      <c r="Q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" spans="1:17" x14ac:dyDescent="0.35">
      <c r="A11" s="2" t="s">
        <v>2648</v>
      </c>
      <c r="B11" s="21" t="str">
        <f>MID(CONTROL[[#This Row],[VEHIDCODE]],FIND("_",CONTROL[[#This Row],[VEHIDCODE]])+1,LEN(CONTROL[[#This Row],[VEHIDCODE]]))</f>
        <v>KkStB_4_0</v>
      </c>
      <c r="C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11">
        <v>1007</v>
      </c>
      <c r="F11" s="30" t="s">
        <v>1698</v>
      </c>
      <c r="G11" t="s">
        <v>1047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ISNUMBER(MATCH(CONTROL[[#This Row],[VEHIDCODE]],TRACK_TYPES[VEHIDCODE],0))</f>
        <v>1</v>
      </c>
      <c r="K11" t="b">
        <f>ISNUMBER(MATCH(CONTROL[[#This Row],[VEHIDCODE]],PROPERTIES[VEHIDCODE],0))</f>
        <v>1</v>
      </c>
      <c r="L11" t="b">
        <f>ISNUMBER(MATCH(CONTROL[[#This Row],[VEHIDCODE]],GRAPHICS_PROPERTIES[VEHIDCODE],0))</f>
        <v>1</v>
      </c>
      <c r="M11" s="21" t="str">
        <f>"item_"&amp;CONTROL[[#This Row],[VEHIDCODE]]</f>
        <v>item_rbs_KkStB_4_0</v>
      </c>
      <c r="N11" s="21" t="str">
        <f>"str_"&amp;CONTROL[[#This Row],[VEHIDCODE]]</f>
        <v>str_rbs_KkStB_4_0</v>
      </c>
      <c r="O11" s="7" t="b">
        <f>INDEX(PROPERTIES[IS_CONCEPT],MATCH(CONTROL[[#This Row],[VEHIDCODE]],PROPERTIES[VEHIDCODE],0))="IS_CONCEPT"</f>
        <v>0</v>
      </c>
      <c r="P11" s="7" t="b">
        <f>INDEX(PROPERTIES[EXCLUDE],MATCH(CONTROL[[#This Row],[VEHIDCODE]],PROPERTIES[VEHIDCODE],0))</f>
        <v>0</v>
      </c>
      <c r="Q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" spans="1:17" x14ac:dyDescent="0.35">
      <c r="A12" s="2" t="s">
        <v>2649</v>
      </c>
      <c r="B12" s="21" t="str">
        <f>MID(CONTROL[[#This Row],[VEHIDCODE]],FIND("_",CONTROL[[#This Row],[VEHIDCODE]])+1,LEN(CONTROL[[#This Row],[VEHIDCODE]]))</f>
        <v>AEC_railmotor_RM1</v>
      </c>
      <c r="C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2">
        <v>2000</v>
      </c>
      <c r="F12" s="30" t="s">
        <v>3669</v>
      </c>
      <c r="G12" t="s">
        <v>1046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ISNUMBER(MATCH(CONTROL[[#This Row],[VEHIDCODE]],TRACK_TYPES[VEHIDCODE],0))</f>
        <v>1</v>
      </c>
      <c r="K12" t="b">
        <f>ISNUMBER(MATCH(CONTROL[[#This Row],[VEHIDCODE]],PROPERTIES[VEHIDCODE],0))</f>
        <v>1</v>
      </c>
      <c r="L12" t="b">
        <f>ISNUMBER(MATCH(CONTROL[[#This Row],[VEHIDCODE]],GRAPHICS_PROPERTIES[VEHIDCODE],0))</f>
        <v>1</v>
      </c>
      <c r="M12" s="21" t="str">
        <f>"item_"&amp;CONTROL[[#This Row],[VEHIDCODE]]</f>
        <v>item_rbd_AEC_railmotor_RM1</v>
      </c>
      <c r="N12" s="21" t="str">
        <f>"str_"&amp;CONTROL[[#This Row],[VEHIDCODE]]</f>
        <v>str_rbd_AEC_railmotor_RM1</v>
      </c>
      <c r="O12" s="7" t="b">
        <f>INDEX(PROPERTIES[IS_CONCEPT],MATCH(CONTROL[[#This Row],[VEHIDCODE]],PROPERTIES[VEHIDCODE],0))="IS_CONCEPT"</f>
        <v>0</v>
      </c>
      <c r="P12" s="7" t="b">
        <f>INDEX(PROPERTIES[EXCLUDE],MATCH(CONTROL[[#This Row],[VEHIDCODE]],PROPERTIES[VEHIDCODE],0))</f>
        <v>0</v>
      </c>
      <c r="Q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3" spans="1:17" x14ac:dyDescent="0.35">
      <c r="A13" s="2" t="s">
        <v>2650</v>
      </c>
      <c r="B13" s="21" t="str">
        <f>MID(CONTROL[[#This Row],[VEHIDCODE]],FIND("_",CONTROL[[#This Row],[VEHIDCODE]])+1,LEN(CONTROL[[#This Row],[VEHIDCODE]]))</f>
        <v>VT133_Wismar_Railcar</v>
      </c>
      <c r="C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3">
        <v>2001</v>
      </c>
      <c r="F13" s="30" t="s">
        <v>2621</v>
      </c>
      <c r="G13" t="s">
        <v>1048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ISNUMBER(MATCH(CONTROL[[#This Row],[VEHIDCODE]],TRACK_TYPES[VEHIDCODE],0))</f>
        <v>1</v>
      </c>
      <c r="K13" t="b">
        <f>ISNUMBER(MATCH(CONTROL[[#This Row],[VEHIDCODE]],PROPERTIES[VEHIDCODE],0))</f>
        <v>1</v>
      </c>
      <c r="L13" t="b">
        <f>ISNUMBER(MATCH(CONTROL[[#This Row],[VEHIDCODE]],GRAPHICS_PROPERTIES[VEHIDCODE],0))</f>
        <v>1</v>
      </c>
      <c r="M13" s="21" t="str">
        <f>"item_"&amp;CONTROL[[#This Row],[VEHIDCODE]]</f>
        <v>item_rbd_VT133_Wismar_Railcar</v>
      </c>
      <c r="N13" s="21" t="str">
        <f>"str_"&amp;CONTROL[[#This Row],[VEHIDCODE]]</f>
        <v>str_rbd_VT133_Wismar_Railcar</v>
      </c>
      <c r="O13" s="7" t="b">
        <f>INDEX(PROPERTIES[IS_CONCEPT],MATCH(CONTROL[[#This Row],[VEHIDCODE]],PROPERTIES[VEHIDCODE],0))="IS_CONCEPT"</f>
        <v>0</v>
      </c>
      <c r="P13" s="7" t="b">
        <f>INDEX(PROPERTIES[EXCLUDE],MATCH(CONTROL[[#This Row],[VEHIDCODE]],PROPERTIES[VEHIDCODE],0))</f>
        <v>0</v>
      </c>
      <c r="Q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4" spans="1:17" x14ac:dyDescent="0.35">
      <c r="A14" s="2" t="s">
        <v>2651</v>
      </c>
      <c r="B14" s="21" t="str">
        <f>MID(CONTROL[[#This Row],[VEHIDCODE]],FIND("_",CONTROL[[#This Row],[VEHIDCODE]])+1,LEN(CONTROL[[#This Row],[VEHIDCODE]]))</f>
        <v>AEC_Railcar</v>
      </c>
      <c r="C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4">
        <v>2002</v>
      </c>
      <c r="F14" s="30" t="s">
        <v>2048</v>
      </c>
      <c r="G14" t="s">
        <v>1049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ISNUMBER(MATCH(CONTROL[[#This Row],[VEHIDCODE]],TRACK_TYPES[VEHIDCODE],0))</f>
        <v>1</v>
      </c>
      <c r="K14" t="b">
        <f>ISNUMBER(MATCH(CONTROL[[#This Row],[VEHIDCODE]],PROPERTIES[VEHIDCODE],0))</f>
        <v>1</v>
      </c>
      <c r="L14" t="b">
        <f>ISNUMBER(MATCH(CONTROL[[#This Row],[VEHIDCODE]],GRAPHICS_PROPERTIES[VEHIDCODE],0))</f>
        <v>1</v>
      </c>
      <c r="M14" s="21" t="str">
        <f>"item_"&amp;CONTROL[[#This Row],[VEHIDCODE]]</f>
        <v>item_rbd_AEC_Railcar</v>
      </c>
      <c r="N14" s="21" t="str">
        <f>"str_"&amp;CONTROL[[#This Row],[VEHIDCODE]]</f>
        <v>str_rbd_AEC_Railcar</v>
      </c>
      <c r="O14" s="7" t="b">
        <f>INDEX(PROPERTIES[IS_CONCEPT],MATCH(CONTROL[[#This Row],[VEHIDCODE]],PROPERTIES[VEHIDCODE],0))="IS_CONCEPT"</f>
        <v>0</v>
      </c>
      <c r="P14" s="7" t="b">
        <f>INDEX(PROPERTIES[EXCLUDE],MATCH(CONTROL[[#This Row],[VEHIDCODE]],PROPERTIES[VEHIDCODE],0))</f>
        <v>0</v>
      </c>
      <c r="Q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5" spans="1:17" x14ac:dyDescent="0.35">
      <c r="A15" s="2" t="s">
        <v>2652</v>
      </c>
      <c r="B15" s="21" t="str">
        <f>MID(CONTROL[[#This Row],[VEHIDCODE]],FIND("_",CONTROL[[#This Row],[VEHIDCODE]])+1,LEN(CONTROL[[#This Row],[VEHIDCODE]]))</f>
        <v>Simmering_VT42</v>
      </c>
      <c r="C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5">
        <v>2003</v>
      </c>
      <c r="F15" s="30" t="s">
        <v>2049</v>
      </c>
      <c r="G15" t="s">
        <v>1050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ISNUMBER(MATCH(CONTROL[[#This Row],[VEHIDCODE]],TRACK_TYPES[VEHIDCODE],0))</f>
        <v>1</v>
      </c>
      <c r="K15" t="b">
        <f>ISNUMBER(MATCH(CONTROL[[#This Row],[VEHIDCODE]],PROPERTIES[VEHIDCODE],0))</f>
        <v>1</v>
      </c>
      <c r="L15" t="b">
        <f>ISNUMBER(MATCH(CONTROL[[#This Row],[VEHIDCODE]],GRAPHICS_PROPERTIES[VEHIDCODE],0))</f>
        <v>1</v>
      </c>
      <c r="M15" s="21" t="str">
        <f>"item_"&amp;CONTROL[[#This Row],[VEHIDCODE]]</f>
        <v>item_rbd_Simmering_VT42</v>
      </c>
      <c r="N15" s="21" t="str">
        <f>"str_"&amp;CONTROL[[#This Row],[VEHIDCODE]]</f>
        <v>str_rbd_Simmering_VT42</v>
      </c>
      <c r="O15" s="7" t="b">
        <f>INDEX(PROPERTIES[IS_CONCEPT],MATCH(CONTROL[[#This Row],[VEHIDCODE]],PROPERTIES[VEHIDCODE],0))="IS_CONCEPT"</f>
        <v>0</v>
      </c>
      <c r="P15" s="7" t="b">
        <f>INDEX(PROPERTIES[EXCLUDE],MATCH(CONTROL[[#This Row],[VEHIDCODE]],PROPERTIES[VEHIDCODE],0))</f>
        <v>0</v>
      </c>
      <c r="Q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6" spans="1:17" x14ac:dyDescent="0.35">
      <c r="A16" s="2" t="s">
        <v>2653</v>
      </c>
      <c r="B16" s="21" t="str">
        <f>MID(CONTROL[[#This Row],[VEHIDCODE]],FIND("_",CONTROL[[#This Row],[VEHIDCODE]])+1,LEN(CONTROL[[#This Row],[VEHIDCODE]]))</f>
        <v>Hutt_RM31</v>
      </c>
      <c r="C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6">
        <v>2004</v>
      </c>
      <c r="F16" s="30" t="s">
        <v>2050</v>
      </c>
      <c r="G16" t="s">
        <v>1051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ISNUMBER(MATCH(CONTROL[[#This Row],[VEHIDCODE]],TRACK_TYPES[VEHIDCODE],0))</f>
        <v>1</v>
      </c>
      <c r="K16" t="b">
        <f>ISNUMBER(MATCH(CONTROL[[#This Row],[VEHIDCODE]],PROPERTIES[VEHIDCODE],0))</f>
        <v>1</v>
      </c>
      <c r="L16" t="b">
        <f>ISNUMBER(MATCH(CONTROL[[#This Row],[VEHIDCODE]],GRAPHICS_PROPERTIES[VEHIDCODE],0))</f>
        <v>1</v>
      </c>
      <c r="M16" s="21" t="str">
        <f>"item_"&amp;CONTROL[[#This Row],[VEHIDCODE]]</f>
        <v>item_rbd_Hutt_RM31</v>
      </c>
      <c r="N16" s="21" t="str">
        <f>"str_"&amp;CONTROL[[#This Row],[VEHIDCODE]]</f>
        <v>str_rbd_Hutt_RM31</v>
      </c>
      <c r="O16" s="7" t="b">
        <f>INDEX(PROPERTIES[IS_CONCEPT],MATCH(CONTROL[[#This Row],[VEHIDCODE]],PROPERTIES[VEHIDCODE],0))="IS_CONCEPT"</f>
        <v>0</v>
      </c>
      <c r="P16" s="7" t="b">
        <f>INDEX(PROPERTIES[EXCLUDE],MATCH(CONTROL[[#This Row],[VEHIDCODE]],PROPERTIES[VEHIDCODE],0))</f>
        <v>0</v>
      </c>
      <c r="Q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7" spans="1:17" x14ac:dyDescent="0.35">
      <c r="A17" s="2" t="s">
        <v>2654</v>
      </c>
      <c r="B17" s="21" t="str">
        <f>MID(CONTROL[[#This Row],[VEHIDCODE]],FIND("_",CONTROL[[#This Row],[VEHIDCODE]])+1,LEN(CONTROL[[#This Row],[VEHIDCODE]]))</f>
        <v>NOHAB_CP_0100</v>
      </c>
      <c r="C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7">
        <v>2005</v>
      </c>
      <c r="F17" s="30" t="s">
        <v>2051</v>
      </c>
      <c r="G17" t="s">
        <v>1052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ISNUMBER(MATCH(CONTROL[[#This Row],[VEHIDCODE]],TRACK_TYPES[VEHIDCODE],0))</f>
        <v>1</v>
      </c>
      <c r="K17" t="b">
        <f>ISNUMBER(MATCH(CONTROL[[#This Row],[VEHIDCODE]],PROPERTIES[VEHIDCODE],0))</f>
        <v>1</v>
      </c>
      <c r="L17" t="b">
        <f>ISNUMBER(MATCH(CONTROL[[#This Row],[VEHIDCODE]],GRAPHICS_PROPERTIES[VEHIDCODE],0))</f>
        <v>1</v>
      </c>
      <c r="M17" s="21" t="str">
        <f>"item_"&amp;CONTROL[[#This Row],[VEHIDCODE]]</f>
        <v>item_rbd_NOHAB_CP_0100</v>
      </c>
      <c r="N17" s="21" t="str">
        <f>"str_"&amp;CONTROL[[#This Row],[VEHIDCODE]]</f>
        <v>str_rbd_NOHAB_CP_0100</v>
      </c>
      <c r="O17" s="7" t="b">
        <f>INDEX(PROPERTIES[IS_CONCEPT],MATCH(CONTROL[[#This Row],[VEHIDCODE]],PROPERTIES[VEHIDCODE],0))="IS_CONCEPT"</f>
        <v>0</v>
      </c>
      <c r="P17" s="7" t="b">
        <f>INDEX(PROPERTIES[EXCLUDE],MATCH(CONTROL[[#This Row],[VEHIDCODE]],PROPERTIES[VEHIDCODE],0))</f>
        <v>0</v>
      </c>
      <c r="Q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8" spans="1:17" x14ac:dyDescent="0.35">
      <c r="A18" s="2" t="s">
        <v>2655</v>
      </c>
      <c r="B18" s="21" t="str">
        <f>MID(CONTROL[[#This Row],[VEHIDCODE]],FIND("_",CONTROL[[#This Row],[VEHIDCODE]])+1,LEN(CONTROL[[#This Row],[VEHIDCODE]]))</f>
        <v>Budd_RDC</v>
      </c>
      <c r="C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8">
        <v>2006</v>
      </c>
      <c r="F18" s="30" t="s">
        <v>2011</v>
      </c>
      <c r="G18" t="s">
        <v>1053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ISNUMBER(MATCH(CONTROL[[#This Row],[VEHIDCODE]],TRACK_TYPES[VEHIDCODE],0))</f>
        <v>1</v>
      </c>
      <c r="K18" t="b">
        <f>ISNUMBER(MATCH(CONTROL[[#This Row],[VEHIDCODE]],PROPERTIES[VEHIDCODE],0))</f>
        <v>1</v>
      </c>
      <c r="L18" t="b">
        <f>ISNUMBER(MATCH(CONTROL[[#This Row],[VEHIDCODE]],GRAPHICS_PROPERTIES[VEHIDCODE],0))</f>
        <v>1</v>
      </c>
      <c r="M18" s="21" t="str">
        <f>"item_"&amp;CONTROL[[#This Row],[VEHIDCODE]]</f>
        <v>item_rbd_Budd_RDC</v>
      </c>
      <c r="N18" s="21" t="str">
        <f>"str_"&amp;CONTROL[[#This Row],[VEHIDCODE]]</f>
        <v>str_rbd_Budd_RDC</v>
      </c>
      <c r="O18" s="7" t="b">
        <f>INDEX(PROPERTIES[IS_CONCEPT],MATCH(CONTROL[[#This Row],[VEHIDCODE]],PROPERTIES[VEHIDCODE],0))="IS_CONCEPT"</f>
        <v>0</v>
      </c>
      <c r="P18" s="7" t="b">
        <f>INDEX(PROPERTIES[EXCLUDE],MATCH(CONTROL[[#This Row],[VEHIDCODE]],PROPERTIES[VEHIDCODE],0))</f>
        <v>0</v>
      </c>
      <c r="Q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19" spans="1:17" x14ac:dyDescent="0.35">
      <c r="A19" s="2" t="s">
        <v>2656</v>
      </c>
      <c r="B19" s="21" t="str">
        <f>MID(CONTROL[[#This Row],[VEHIDCODE]],FIND("_",CONTROL[[#This Row],[VEHIDCODE]])+1,LEN(CONTROL[[#This Row],[VEHIDCODE]]))</f>
        <v>Uerdingen_railbus</v>
      </c>
      <c r="C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9">
        <v>2044</v>
      </c>
      <c r="F19" s="30" t="s">
        <v>2052</v>
      </c>
      <c r="G19" t="s">
        <v>1054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ISNUMBER(MATCH(CONTROL[[#This Row],[VEHIDCODE]],TRACK_TYPES[VEHIDCODE],0))</f>
        <v>1</v>
      </c>
      <c r="K19" t="b">
        <f>ISNUMBER(MATCH(CONTROL[[#This Row],[VEHIDCODE]],PROPERTIES[VEHIDCODE],0))</f>
        <v>1</v>
      </c>
      <c r="L19" t="b">
        <f>ISNUMBER(MATCH(CONTROL[[#This Row],[VEHIDCODE]],GRAPHICS_PROPERTIES[VEHIDCODE],0))</f>
        <v>1</v>
      </c>
      <c r="M19" s="21" t="str">
        <f>"item_"&amp;CONTROL[[#This Row],[VEHIDCODE]]</f>
        <v>item_rbd_Uerdingen_railbus</v>
      </c>
      <c r="N19" s="21" t="str">
        <f>"str_"&amp;CONTROL[[#This Row],[VEHIDCODE]]</f>
        <v>str_rbd_Uerdingen_railbus</v>
      </c>
      <c r="O19" s="7" t="b">
        <f>INDEX(PROPERTIES[IS_CONCEPT],MATCH(CONTROL[[#This Row],[VEHIDCODE]],PROPERTIES[VEHIDCODE],0))="IS_CONCEPT"</f>
        <v>0</v>
      </c>
      <c r="P19" s="7" t="b">
        <f>INDEX(PROPERTIES[EXCLUDE],MATCH(CONTROL[[#This Row],[VEHIDCODE]],PROPERTIES[VEHIDCODE],0))</f>
        <v>0</v>
      </c>
      <c r="Q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0" spans="1:17" x14ac:dyDescent="0.35">
      <c r="A20" s="2" t="s">
        <v>2657</v>
      </c>
      <c r="B20" s="21" t="str">
        <f>MID(CONTROL[[#This Row],[VEHIDCODE]],FIND("_",CONTROL[[#This Row],[VEHIDCODE]])+1,LEN(CONTROL[[#This Row],[VEHIDCODE]]))</f>
        <v>MaK_GDT</v>
      </c>
      <c r="C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0">
        <v>2008</v>
      </c>
      <c r="F20" s="30" t="s">
        <v>2053</v>
      </c>
      <c r="G20" t="s">
        <v>1056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ISNUMBER(MATCH(CONTROL[[#This Row],[VEHIDCODE]],TRACK_TYPES[VEHIDCODE],0))</f>
        <v>1</v>
      </c>
      <c r="K20" t="b">
        <f>ISNUMBER(MATCH(CONTROL[[#This Row],[VEHIDCODE]],PROPERTIES[VEHIDCODE],0))</f>
        <v>1</v>
      </c>
      <c r="L20" t="b">
        <f>ISNUMBER(MATCH(CONTROL[[#This Row],[VEHIDCODE]],GRAPHICS_PROPERTIES[VEHIDCODE],0))</f>
        <v>1</v>
      </c>
      <c r="M20" s="21" t="str">
        <f>"item_"&amp;CONTROL[[#This Row],[VEHIDCODE]]</f>
        <v>item_rbd_MaK_GDT</v>
      </c>
      <c r="N20" s="21" t="str">
        <f>"str_"&amp;CONTROL[[#This Row],[VEHIDCODE]]</f>
        <v>str_rbd_MaK_GDT</v>
      </c>
      <c r="O20" s="7" t="b">
        <f>INDEX(PROPERTIES[IS_CONCEPT],MATCH(CONTROL[[#This Row],[VEHIDCODE]],PROPERTIES[VEHIDCODE],0))="IS_CONCEPT"</f>
        <v>0</v>
      </c>
      <c r="P20" s="7" t="b">
        <f>INDEX(PROPERTIES[EXCLUDE],MATCH(CONTROL[[#This Row],[VEHIDCODE]],PROPERTIES[VEHIDCODE],0))</f>
        <v>0</v>
      </c>
      <c r="Q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1" spans="1:17" x14ac:dyDescent="0.35">
      <c r="A21" s="2" t="s">
        <v>2658</v>
      </c>
      <c r="B21" s="21" t="str">
        <f>MID(CONTROL[[#This Row],[VEHIDCODE]],FIND("_",CONTROL[[#This Row],[VEHIDCODE]])+1,LEN(CONTROL[[#This Row],[VEHIDCODE]]))</f>
        <v>Allan_Kameel</v>
      </c>
      <c r="C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1">
        <v>2009</v>
      </c>
      <c r="F21" s="30" t="s">
        <v>2054</v>
      </c>
      <c r="G21" t="s">
        <v>1057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ISNUMBER(MATCH(CONTROL[[#This Row],[VEHIDCODE]],TRACK_TYPES[VEHIDCODE],0))</f>
        <v>1</v>
      </c>
      <c r="K21" t="b">
        <f>ISNUMBER(MATCH(CONTROL[[#This Row],[VEHIDCODE]],PROPERTIES[VEHIDCODE],0))</f>
        <v>1</v>
      </c>
      <c r="L21" t="b">
        <f>ISNUMBER(MATCH(CONTROL[[#This Row],[VEHIDCODE]],GRAPHICS_PROPERTIES[VEHIDCODE],0))</f>
        <v>1</v>
      </c>
      <c r="M21" s="21" t="str">
        <f>"item_"&amp;CONTROL[[#This Row],[VEHIDCODE]]</f>
        <v>item_rbd_Allan_Kameel</v>
      </c>
      <c r="N21" s="21" t="str">
        <f>"str_"&amp;CONTROL[[#This Row],[VEHIDCODE]]</f>
        <v>str_rbd_Allan_Kameel</v>
      </c>
      <c r="O21" s="7" t="b">
        <f>INDEX(PROPERTIES[IS_CONCEPT],MATCH(CONTROL[[#This Row],[VEHIDCODE]],PROPERTIES[VEHIDCODE],0))="IS_CONCEPT"</f>
        <v>0</v>
      </c>
      <c r="P21" s="7" t="b">
        <f>INDEX(PROPERTIES[EXCLUDE],MATCH(CONTROL[[#This Row],[VEHIDCODE]],PROPERTIES[VEHIDCODE],0))</f>
        <v>0</v>
      </c>
      <c r="Q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2" spans="1:17" x14ac:dyDescent="0.35">
      <c r="A22" s="2" t="s">
        <v>2659</v>
      </c>
      <c r="B22" s="21" t="str">
        <f>MID(CONTROL[[#This Row],[VEHIDCODE]],FIND("_",CONTROL[[#This Row],[VEHIDCODE]])+1,LEN(CONTROL[[#This Row],[VEHIDCODE]]))</f>
        <v>NS_DH1</v>
      </c>
      <c r="C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2">
        <v>2012</v>
      </c>
      <c r="F22" s="30" t="s">
        <v>356</v>
      </c>
      <c r="G22" t="s">
        <v>1058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ISNUMBER(MATCH(CONTROL[[#This Row],[VEHIDCODE]],TRACK_TYPES[VEHIDCODE],0))</f>
        <v>1</v>
      </c>
      <c r="K22" t="b">
        <f>ISNUMBER(MATCH(CONTROL[[#This Row],[VEHIDCODE]],PROPERTIES[VEHIDCODE],0))</f>
        <v>1</v>
      </c>
      <c r="L22" t="b">
        <f>ISNUMBER(MATCH(CONTROL[[#This Row],[VEHIDCODE]],GRAPHICS_PROPERTIES[VEHIDCODE],0))</f>
        <v>1</v>
      </c>
      <c r="M22" s="21" t="str">
        <f>"item_"&amp;CONTROL[[#This Row],[VEHIDCODE]]</f>
        <v>item_rbd_NS_DH1</v>
      </c>
      <c r="N22" s="21" t="str">
        <f>"str_"&amp;CONTROL[[#This Row],[VEHIDCODE]]</f>
        <v>str_rbd_NS_DH1</v>
      </c>
      <c r="O22" s="7" t="b">
        <f>INDEX(PROPERTIES[IS_CONCEPT],MATCH(CONTROL[[#This Row],[VEHIDCODE]],PROPERTIES[VEHIDCODE],0))="IS_CONCEPT"</f>
        <v>0</v>
      </c>
      <c r="P22" s="7" t="b">
        <f>INDEX(PROPERTIES[EXCLUDE],MATCH(CONTROL[[#This Row],[VEHIDCODE]],PROPERTIES[VEHIDCODE],0))</f>
        <v>0</v>
      </c>
      <c r="Q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3" spans="1:17" x14ac:dyDescent="0.35">
      <c r="A23" s="2" t="s">
        <v>2660</v>
      </c>
      <c r="B23" s="21" t="str">
        <f>MID(CONTROL[[#This Row],[VEHIDCODE]],FIND("_",CONTROL[[#This Row],[VEHIDCODE]])+1,LEN(CONTROL[[#This Row],[VEHIDCODE]]))</f>
        <v>Jenbacher_Werke_5047</v>
      </c>
      <c r="C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3">
        <v>2013</v>
      </c>
      <c r="F23" s="30" t="s">
        <v>2055</v>
      </c>
      <c r="G23" t="s">
        <v>1059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ISNUMBER(MATCH(CONTROL[[#This Row],[VEHIDCODE]],TRACK_TYPES[VEHIDCODE],0))</f>
        <v>1</v>
      </c>
      <c r="K23" t="b">
        <f>ISNUMBER(MATCH(CONTROL[[#This Row],[VEHIDCODE]],PROPERTIES[VEHIDCODE],0))</f>
        <v>1</v>
      </c>
      <c r="L23" t="b">
        <f>ISNUMBER(MATCH(CONTROL[[#This Row],[VEHIDCODE]],GRAPHICS_PROPERTIES[VEHIDCODE],0))</f>
        <v>1</v>
      </c>
      <c r="M23" s="21" t="str">
        <f>"item_"&amp;CONTROL[[#This Row],[VEHIDCODE]]</f>
        <v>item_rbd_Jenbacher_Werke_5047</v>
      </c>
      <c r="N23" s="21" t="str">
        <f>"str_"&amp;CONTROL[[#This Row],[VEHIDCODE]]</f>
        <v>str_rbd_Jenbacher_Werke_5047</v>
      </c>
      <c r="O23" s="7" t="b">
        <f>INDEX(PROPERTIES[IS_CONCEPT],MATCH(CONTROL[[#This Row],[VEHIDCODE]],PROPERTIES[VEHIDCODE],0))="IS_CONCEPT"</f>
        <v>0</v>
      </c>
      <c r="P23" s="7" t="b">
        <f>INDEX(PROPERTIES[EXCLUDE],MATCH(CONTROL[[#This Row],[VEHIDCODE]],PROPERTIES[VEHIDCODE],0))</f>
        <v>0</v>
      </c>
      <c r="Q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4" spans="1:17" x14ac:dyDescent="0.35">
      <c r="A24" s="2" t="s">
        <v>2661</v>
      </c>
      <c r="B24" s="21" t="str">
        <f>MID(CONTROL[[#This Row],[VEHIDCODE]],FIND("_",CONTROL[[#This Row],[VEHIDCODE]])+1,LEN(CONTROL[[#This Row],[VEHIDCODE]]))</f>
        <v>Hunslet_Barclay_Super_Sprinter</v>
      </c>
      <c r="C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4">
        <v>2014</v>
      </c>
      <c r="F24" s="30" t="s">
        <v>2056</v>
      </c>
      <c r="G24" t="s">
        <v>1060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ISNUMBER(MATCH(CONTROL[[#This Row],[VEHIDCODE]],TRACK_TYPES[VEHIDCODE],0))</f>
        <v>1</v>
      </c>
      <c r="K24" t="b">
        <f>ISNUMBER(MATCH(CONTROL[[#This Row],[VEHIDCODE]],PROPERTIES[VEHIDCODE],0))</f>
        <v>1</v>
      </c>
      <c r="L24" t="b">
        <f>ISNUMBER(MATCH(CONTROL[[#This Row],[VEHIDCODE]],GRAPHICS_PROPERTIES[VEHIDCODE],0))</f>
        <v>1</v>
      </c>
      <c r="M24" s="21" t="str">
        <f>"item_"&amp;CONTROL[[#This Row],[VEHIDCODE]]</f>
        <v>item_rbd_Hunslet_Barclay_Super_Sprinter</v>
      </c>
      <c r="N24" s="21" t="str">
        <f>"str_"&amp;CONTROL[[#This Row],[VEHIDCODE]]</f>
        <v>str_rbd_Hunslet_Barclay_Super_Sprinter</v>
      </c>
      <c r="O24" s="7" t="b">
        <f>INDEX(PROPERTIES[IS_CONCEPT],MATCH(CONTROL[[#This Row],[VEHIDCODE]],PROPERTIES[VEHIDCODE],0))="IS_CONCEPT"</f>
        <v>0</v>
      </c>
      <c r="P24" s="7" t="b">
        <f>INDEX(PROPERTIES[EXCLUDE],MATCH(CONTROL[[#This Row],[VEHIDCODE]],PROPERTIES[VEHIDCODE],0))</f>
        <v>0</v>
      </c>
      <c r="Q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5" spans="1:17" x14ac:dyDescent="0.35">
      <c r="A25" s="2" t="s">
        <v>2662</v>
      </c>
      <c r="B25" s="21" t="str">
        <f>MID(CONTROL[[#This Row],[VEHIDCODE]],FIND("_",CONTROL[[#This Row],[VEHIDCODE]])+1,LEN(CONTROL[[#This Row],[VEHIDCODE]]))</f>
        <v>Vagonka_Studenka_809</v>
      </c>
      <c r="C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5">
        <v>2015</v>
      </c>
      <c r="F25" s="30" t="s">
        <v>2057</v>
      </c>
      <c r="G25" t="s">
        <v>1061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ISNUMBER(MATCH(CONTROL[[#This Row],[VEHIDCODE]],TRACK_TYPES[VEHIDCODE],0))</f>
        <v>1</v>
      </c>
      <c r="K25" t="b">
        <f>ISNUMBER(MATCH(CONTROL[[#This Row],[VEHIDCODE]],PROPERTIES[VEHIDCODE],0))</f>
        <v>1</v>
      </c>
      <c r="L25" t="b">
        <f>ISNUMBER(MATCH(CONTROL[[#This Row],[VEHIDCODE]],GRAPHICS_PROPERTIES[VEHIDCODE],0))</f>
        <v>1</v>
      </c>
      <c r="M25" s="21" t="str">
        <f>"item_"&amp;CONTROL[[#This Row],[VEHIDCODE]]</f>
        <v>item_rbd_Vagonka_Studenka_809</v>
      </c>
      <c r="N25" s="21" t="str">
        <f>"str_"&amp;CONTROL[[#This Row],[VEHIDCODE]]</f>
        <v>str_rbd_Vagonka_Studenka_809</v>
      </c>
      <c r="O25" s="7" t="b">
        <f>INDEX(PROPERTIES[IS_CONCEPT],MATCH(CONTROL[[#This Row],[VEHIDCODE]],PROPERTIES[VEHIDCODE],0))="IS_CONCEPT"</f>
        <v>0</v>
      </c>
      <c r="P25" s="7" t="b">
        <f>INDEX(PROPERTIES[EXCLUDE],MATCH(CONTROL[[#This Row],[VEHIDCODE]],PROPERTIES[VEHIDCODE],0))</f>
        <v>0</v>
      </c>
      <c r="Q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6" spans="1:17" x14ac:dyDescent="0.35">
      <c r="A26" s="2" t="s">
        <v>2663</v>
      </c>
      <c r="B26" s="21" t="str">
        <f>MID(CONTROL[[#This Row],[VEHIDCODE]],FIND("_",CONTROL[[#This Row],[VEHIDCODE]])+1,LEN(CONTROL[[#This Row],[VEHIDCODE]]))</f>
        <v>DWA_670</v>
      </c>
      <c r="C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6">
        <v>2017</v>
      </c>
      <c r="F26" s="30" t="s">
        <v>2058</v>
      </c>
      <c r="G26" t="s">
        <v>1062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ISNUMBER(MATCH(CONTROL[[#This Row],[VEHIDCODE]],TRACK_TYPES[VEHIDCODE],0))</f>
        <v>1</v>
      </c>
      <c r="K26" t="b">
        <f>ISNUMBER(MATCH(CONTROL[[#This Row],[VEHIDCODE]],PROPERTIES[VEHIDCODE],0))</f>
        <v>1</v>
      </c>
      <c r="L26" t="b">
        <f>ISNUMBER(MATCH(CONTROL[[#This Row],[VEHIDCODE]],GRAPHICS_PROPERTIES[VEHIDCODE],0))</f>
        <v>1</v>
      </c>
      <c r="M26" s="21" t="str">
        <f>"item_"&amp;CONTROL[[#This Row],[VEHIDCODE]]</f>
        <v>item_rbd_DWA_670</v>
      </c>
      <c r="N26" s="21" t="str">
        <f>"str_"&amp;CONTROL[[#This Row],[VEHIDCODE]]</f>
        <v>str_rbd_DWA_670</v>
      </c>
      <c r="O26" s="7" t="b">
        <f>INDEX(PROPERTIES[IS_CONCEPT],MATCH(CONTROL[[#This Row],[VEHIDCODE]],PROPERTIES[VEHIDCODE],0))="IS_CONCEPT"</f>
        <v>0</v>
      </c>
      <c r="P26" s="7" t="b">
        <f>INDEX(PROPERTIES[EXCLUDE],MATCH(CONTROL[[#This Row],[VEHIDCODE]],PROPERTIES[VEHIDCODE],0))</f>
        <v>0</v>
      </c>
      <c r="Q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7" spans="1:17" x14ac:dyDescent="0.35">
      <c r="A27" s="2" t="s">
        <v>2664</v>
      </c>
      <c r="B27" s="21" t="str">
        <f>MID(CONTROL[[#This Row],[VEHIDCODE]],FIND("_",CONTROL[[#This Row],[VEHIDCODE]])+1,LEN(CONTROL[[#This Row],[VEHIDCODE]]))</f>
        <v>RVR_AR2</v>
      </c>
      <c r="C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7">
        <v>2018</v>
      </c>
      <c r="F27" s="30" t="s">
        <v>2012</v>
      </c>
      <c r="G27" t="s">
        <v>2059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ISNUMBER(MATCH(CONTROL[[#This Row],[VEHIDCODE]],TRACK_TYPES[VEHIDCODE],0))</f>
        <v>1</v>
      </c>
      <c r="K27" t="b">
        <f>ISNUMBER(MATCH(CONTROL[[#This Row],[VEHIDCODE]],PROPERTIES[VEHIDCODE],0))</f>
        <v>1</v>
      </c>
      <c r="L27" t="b">
        <f>ISNUMBER(MATCH(CONTROL[[#This Row],[VEHIDCODE]],GRAPHICS_PROPERTIES[VEHIDCODE],0))</f>
        <v>1</v>
      </c>
      <c r="M27" s="21" t="str">
        <f>"item_"&amp;CONTROL[[#This Row],[VEHIDCODE]]</f>
        <v>item_rbd_RVR_AR2</v>
      </c>
      <c r="N27" s="21" t="str">
        <f>"str_"&amp;CONTROL[[#This Row],[VEHIDCODE]]</f>
        <v>str_rbd_RVR_AR2</v>
      </c>
      <c r="O27" s="7" t="b">
        <f>INDEX(PROPERTIES[IS_CONCEPT],MATCH(CONTROL[[#This Row],[VEHIDCODE]],PROPERTIES[VEHIDCODE],0))="IS_CONCEPT"</f>
        <v>0</v>
      </c>
      <c r="P27" s="7" t="b">
        <f>INDEX(PROPERTIES[EXCLUDE],MATCH(CONTROL[[#This Row],[VEHIDCODE]],PROPERTIES[VEHIDCODE],0))</f>
        <v>0</v>
      </c>
      <c r="Q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8" spans="1:17" x14ac:dyDescent="0.35">
      <c r="A28" s="2" t="s">
        <v>2665</v>
      </c>
      <c r="B28" s="21" t="str">
        <f>MID(CONTROL[[#This Row],[VEHIDCODE]],FIND("_",CONTROL[[#This Row],[VEHIDCODE]])+1,LEN(CONTROL[[#This Row],[VEHIDCODE]]))</f>
        <v>Austro_Daimler_Z1</v>
      </c>
      <c r="C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8">
        <v>2019</v>
      </c>
      <c r="F28" s="30" t="s">
        <v>2060</v>
      </c>
      <c r="G28" t="s">
        <v>1063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ISNUMBER(MATCH(CONTROL[[#This Row],[VEHIDCODE]],TRACK_TYPES[VEHIDCODE],0))</f>
        <v>1</v>
      </c>
      <c r="K28" t="b">
        <f>ISNUMBER(MATCH(CONTROL[[#This Row],[VEHIDCODE]],PROPERTIES[VEHIDCODE],0))</f>
        <v>1</v>
      </c>
      <c r="L28" t="b">
        <f>ISNUMBER(MATCH(CONTROL[[#This Row],[VEHIDCODE]],GRAPHICS_PROPERTIES[VEHIDCODE],0))</f>
        <v>1</v>
      </c>
      <c r="M28" s="21" t="str">
        <f>"item_"&amp;CONTROL[[#This Row],[VEHIDCODE]]</f>
        <v>item_rbd_Austro_Daimler_Z1</v>
      </c>
      <c r="N28" s="21" t="str">
        <f>"str_"&amp;CONTROL[[#This Row],[VEHIDCODE]]</f>
        <v>str_rbd_Austro_Daimler_Z1</v>
      </c>
      <c r="O28" s="7" t="b">
        <f>INDEX(PROPERTIES[IS_CONCEPT],MATCH(CONTROL[[#This Row],[VEHIDCODE]],PROPERTIES[VEHIDCODE],0))="IS_CONCEPT"</f>
        <v>0</v>
      </c>
      <c r="P28" s="7" t="b">
        <f>INDEX(PROPERTIES[EXCLUDE],MATCH(CONTROL[[#This Row],[VEHIDCODE]],PROPERTIES[VEHIDCODE],0))</f>
        <v>0</v>
      </c>
      <c r="Q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29" spans="1:17" x14ac:dyDescent="0.35">
      <c r="A29" s="2" t="s">
        <v>2666</v>
      </c>
      <c r="B29" s="21" t="str">
        <f>MID(CONTROL[[#This Row],[VEHIDCODE]],FIND("_",CONTROL[[#This Row],[VEHIDCODE]])+1,LEN(CONTROL[[#This Row],[VEHIDCODE]]))</f>
        <v>McKeen_Motor_Car_70</v>
      </c>
      <c r="C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29">
        <v>2020</v>
      </c>
      <c r="F29" s="30" t="s">
        <v>2061</v>
      </c>
      <c r="G29" t="s">
        <v>1064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ISNUMBER(MATCH(CONTROL[[#This Row],[VEHIDCODE]],TRACK_TYPES[VEHIDCODE],0))</f>
        <v>1</v>
      </c>
      <c r="K29" t="b">
        <f>ISNUMBER(MATCH(CONTROL[[#This Row],[VEHIDCODE]],PROPERTIES[VEHIDCODE],0))</f>
        <v>1</v>
      </c>
      <c r="L29" t="b">
        <f>ISNUMBER(MATCH(CONTROL[[#This Row],[VEHIDCODE]],GRAPHICS_PROPERTIES[VEHIDCODE],0))</f>
        <v>1</v>
      </c>
      <c r="M29" s="21" t="str">
        <f>"item_"&amp;CONTROL[[#This Row],[VEHIDCODE]]</f>
        <v>item_rbd_McKeen_Motor_Car_70</v>
      </c>
      <c r="N29" s="21" t="str">
        <f>"str_"&amp;CONTROL[[#This Row],[VEHIDCODE]]</f>
        <v>str_rbd_McKeen_Motor_Car_70</v>
      </c>
      <c r="O29" s="7" t="b">
        <f>INDEX(PROPERTIES[IS_CONCEPT],MATCH(CONTROL[[#This Row],[VEHIDCODE]],PROPERTIES[VEHIDCODE],0))="IS_CONCEPT"</f>
        <v>0</v>
      </c>
      <c r="P29" s="7" t="b">
        <f>INDEX(PROPERTIES[EXCLUDE],MATCH(CONTROL[[#This Row],[VEHIDCODE]],PROPERTIES[VEHIDCODE],0))</f>
        <v>0</v>
      </c>
      <c r="Q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0" spans="1:17" x14ac:dyDescent="0.35">
      <c r="A30" s="2" t="s">
        <v>2667</v>
      </c>
      <c r="B30" s="21" t="str">
        <f>MID(CONTROL[[#This Row],[VEHIDCODE]],FIND("_",CONTROL[[#This Row],[VEHIDCODE]])+1,LEN(CONTROL[[#This Row],[VEHIDCODE]]))</f>
        <v>BBC_DET_1_2_Sachsischer</v>
      </c>
      <c r="C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0">
        <v>2021</v>
      </c>
      <c r="F30" s="30" t="s">
        <v>2062</v>
      </c>
      <c r="G30" t="s">
        <v>1065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ISNUMBER(MATCH(CONTROL[[#This Row],[VEHIDCODE]],TRACK_TYPES[VEHIDCODE],0))</f>
        <v>1</v>
      </c>
      <c r="K30" t="b">
        <f>ISNUMBER(MATCH(CONTROL[[#This Row],[VEHIDCODE]],PROPERTIES[VEHIDCODE],0))</f>
        <v>1</v>
      </c>
      <c r="L30" t="b">
        <f>ISNUMBER(MATCH(CONTROL[[#This Row],[VEHIDCODE]],GRAPHICS_PROPERTIES[VEHIDCODE],0))</f>
        <v>1</v>
      </c>
      <c r="M30" s="21" t="str">
        <f>"item_"&amp;CONTROL[[#This Row],[VEHIDCODE]]</f>
        <v>item_rbd_BBC_DET_1_2_Sachsischer</v>
      </c>
      <c r="N30" s="21" t="str">
        <f>"str_"&amp;CONTROL[[#This Row],[VEHIDCODE]]</f>
        <v>str_rbd_BBC_DET_1_2_Sachsischer</v>
      </c>
      <c r="O30" s="7" t="b">
        <f>INDEX(PROPERTIES[IS_CONCEPT],MATCH(CONTROL[[#This Row],[VEHIDCODE]],PROPERTIES[VEHIDCODE],0))="IS_CONCEPT"</f>
        <v>0</v>
      </c>
      <c r="P30" s="7" t="b">
        <f>INDEX(PROPERTIES[EXCLUDE],MATCH(CONTROL[[#This Row],[VEHIDCODE]],PROPERTIES[VEHIDCODE],0))</f>
        <v>0</v>
      </c>
      <c r="Q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1" spans="1:17" x14ac:dyDescent="0.35">
      <c r="A31" s="2" t="s">
        <v>2668</v>
      </c>
      <c r="B31" s="21" t="str">
        <f>MID(CONTROL[[#This Row],[VEHIDCODE]],FIND("_",CONTROL[[#This Row],[VEHIDCODE]])+1,LEN(CONTROL[[#This Row],[VEHIDCODE]]))</f>
        <v>WC_PR_Drewry_Railcar</v>
      </c>
      <c r="C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1">
        <v>2022</v>
      </c>
      <c r="F31" s="30" t="s">
        <v>357</v>
      </c>
      <c r="G31" t="s">
        <v>1066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ISNUMBER(MATCH(CONTROL[[#This Row],[VEHIDCODE]],TRACK_TYPES[VEHIDCODE],0))</f>
        <v>1</v>
      </c>
      <c r="K31" t="b">
        <f>ISNUMBER(MATCH(CONTROL[[#This Row],[VEHIDCODE]],PROPERTIES[VEHIDCODE],0))</f>
        <v>1</v>
      </c>
      <c r="L31" t="b">
        <f>ISNUMBER(MATCH(CONTROL[[#This Row],[VEHIDCODE]],GRAPHICS_PROPERTIES[VEHIDCODE],0))</f>
        <v>1</v>
      </c>
      <c r="M31" s="21" t="str">
        <f>"item_"&amp;CONTROL[[#This Row],[VEHIDCODE]]</f>
        <v>item_rbd_WC_PR_Drewry_Railcar</v>
      </c>
      <c r="N31" s="21" t="str">
        <f>"str_"&amp;CONTROL[[#This Row],[VEHIDCODE]]</f>
        <v>str_rbd_WC_PR_Drewry_Railcar</v>
      </c>
      <c r="O31" s="7" t="b">
        <f>INDEX(PROPERTIES[IS_CONCEPT],MATCH(CONTROL[[#This Row],[VEHIDCODE]],PROPERTIES[VEHIDCODE],0))="IS_CONCEPT"</f>
        <v>0</v>
      </c>
      <c r="P31" s="7" t="b">
        <f>INDEX(PROPERTIES[EXCLUDE],MATCH(CONTROL[[#This Row],[VEHIDCODE]],PROPERTIES[VEHIDCODE],0))</f>
        <v>0</v>
      </c>
      <c r="Q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2" spans="1:17" x14ac:dyDescent="0.35">
      <c r="A32" s="2" t="s">
        <v>2669</v>
      </c>
      <c r="B32" s="21" t="str">
        <f>MID(CONTROL[[#This Row],[VEHIDCODE]],FIND("_",CONTROL[[#This Row],[VEHIDCODE]])+1,LEN(CONTROL[[#This Row],[VEHIDCODE]]))</f>
        <v>LHW_BSt_6001</v>
      </c>
      <c r="C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2">
        <v>2023</v>
      </c>
      <c r="F32" s="30" t="s">
        <v>2063</v>
      </c>
      <c r="G32" t="s">
        <v>1067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ISNUMBER(MATCH(CONTROL[[#This Row],[VEHIDCODE]],TRACK_TYPES[VEHIDCODE],0))</f>
        <v>1</v>
      </c>
      <c r="K32" t="b">
        <f>ISNUMBER(MATCH(CONTROL[[#This Row],[VEHIDCODE]],PROPERTIES[VEHIDCODE],0))</f>
        <v>1</v>
      </c>
      <c r="L32" t="b">
        <f>ISNUMBER(MATCH(CONTROL[[#This Row],[VEHIDCODE]],GRAPHICS_PROPERTIES[VEHIDCODE],0))</f>
        <v>1</v>
      </c>
      <c r="M32" s="21" t="str">
        <f>"item_"&amp;CONTROL[[#This Row],[VEHIDCODE]]</f>
        <v>item_rbd_LHW_BSt_6001</v>
      </c>
      <c r="N32" s="21" t="str">
        <f>"str_"&amp;CONTROL[[#This Row],[VEHIDCODE]]</f>
        <v>str_rbd_LHW_BSt_6001</v>
      </c>
      <c r="O32" s="7" t="b">
        <f>INDEX(PROPERTIES[IS_CONCEPT],MATCH(CONTROL[[#This Row],[VEHIDCODE]],PROPERTIES[VEHIDCODE],0))="IS_CONCEPT"</f>
        <v>0</v>
      </c>
      <c r="P32" s="7" t="b">
        <f>INDEX(PROPERTIES[EXCLUDE],MATCH(CONTROL[[#This Row],[VEHIDCODE]],PROPERTIES[VEHIDCODE],0))</f>
        <v>0</v>
      </c>
      <c r="Q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3" spans="1:17" x14ac:dyDescent="0.35">
      <c r="A33" s="2" t="s">
        <v>2670</v>
      </c>
      <c r="B33" s="21" t="str">
        <f>MID(CONTROL[[#This Row],[VEHIDCODE]],FIND("_",CONTROL[[#This Row],[VEHIDCODE]])+1,LEN(CONTROL[[#This Row],[VEHIDCODE]]))</f>
        <v>EMC_DERM</v>
      </c>
      <c r="C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3">
        <v>2024</v>
      </c>
      <c r="F33" s="30" t="s">
        <v>2064</v>
      </c>
      <c r="G33" t="s">
        <v>1068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ISNUMBER(MATCH(CONTROL[[#This Row],[VEHIDCODE]],TRACK_TYPES[VEHIDCODE],0))</f>
        <v>1</v>
      </c>
      <c r="K33" t="b">
        <f>ISNUMBER(MATCH(CONTROL[[#This Row],[VEHIDCODE]],PROPERTIES[VEHIDCODE],0))</f>
        <v>1</v>
      </c>
      <c r="L33" t="b">
        <f>ISNUMBER(MATCH(CONTROL[[#This Row],[VEHIDCODE]],GRAPHICS_PROPERTIES[VEHIDCODE],0))</f>
        <v>1</v>
      </c>
      <c r="M33" s="21" t="str">
        <f>"item_"&amp;CONTROL[[#This Row],[VEHIDCODE]]</f>
        <v>item_rbd_EMC_DERM</v>
      </c>
      <c r="N33" s="21" t="str">
        <f>"str_"&amp;CONTROL[[#This Row],[VEHIDCODE]]</f>
        <v>str_rbd_EMC_DERM</v>
      </c>
      <c r="O33" s="7" t="b">
        <f>INDEX(PROPERTIES[IS_CONCEPT],MATCH(CONTROL[[#This Row],[VEHIDCODE]],PROPERTIES[VEHIDCODE],0))="IS_CONCEPT"</f>
        <v>0</v>
      </c>
      <c r="P33" s="7" t="b">
        <f>INDEX(PROPERTIES[EXCLUDE],MATCH(CONTROL[[#This Row],[VEHIDCODE]],PROPERTIES[VEHIDCODE],0))</f>
        <v>0</v>
      </c>
      <c r="Q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4" spans="1:17" x14ac:dyDescent="0.35">
      <c r="A34" s="2" t="s">
        <v>2671</v>
      </c>
      <c r="B34" s="21" t="str">
        <f>MID(CONTROL[[#This Row],[VEHIDCODE]],FIND("_",CONTROL[[#This Row],[VEHIDCODE]])+1,LEN(CONTROL[[#This Row],[VEHIDCODE]]))</f>
        <v>Tatra_M120_4</v>
      </c>
      <c r="C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4">
        <v>2025</v>
      </c>
      <c r="F34" s="30" t="s">
        <v>2068</v>
      </c>
      <c r="G34" t="s">
        <v>1069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ISNUMBER(MATCH(CONTROL[[#This Row],[VEHIDCODE]],TRACK_TYPES[VEHIDCODE],0))</f>
        <v>1</v>
      </c>
      <c r="K34" t="b">
        <f>ISNUMBER(MATCH(CONTROL[[#This Row],[VEHIDCODE]],PROPERTIES[VEHIDCODE],0))</f>
        <v>1</v>
      </c>
      <c r="L34" t="b">
        <f>ISNUMBER(MATCH(CONTROL[[#This Row],[VEHIDCODE]],GRAPHICS_PROPERTIES[VEHIDCODE],0))</f>
        <v>1</v>
      </c>
      <c r="M34" s="21" t="str">
        <f>"item_"&amp;CONTROL[[#This Row],[VEHIDCODE]]</f>
        <v>item_rbd_Tatra_M120_4</v>
      </c>
      <c r="N34" s="21" t="str">
        <f>"str_"&amp;CONTROL[[#This Row],[VEHIDCODE]]</f>
        <v>str_rbd_Tatra_M120_4</v>
      </c>
      <c r="O34" s="7" t="b">
        <f>INDEX(PROPERTIES[IS_CONCEPT],MATCH(CONTROL[[#This Row],[VEHIDCODE]],PROPERTIES[VEHIDCODE],0))="IS_CONCEPT"</f>
        <v>0</v>
      </c>
      <c r="P34" s="7" t="b">
        <f>INDEX(PROPERTIES[EXCLUDE],MATCH(CONTROL[[#This Row],[VEHIDCODE]],PROPERTIES[VEHIDCODE],0))</f>
        <v>0</v>
      </c>
      <c r="Q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5" spans="1:17" x14ac:dyDescent="0.35">
      <c r="A35" s="2" t="s">
        <v>2672</v>
      </c>
      <c r="B35" s="21" t="str">
        <f>MID(CONTROL[[#This Row],[VEHIDCODE]],FIND("_",CONTROL[[#This Row],[VEHIDCODE]])+1,LEN(CONTROL[[#This Row],[VEHIDCODE]]))</f>
        <v>Franz_Kruckenberg_Schienenzeppelin</v>
      </c>
      <c r="C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5">
        <v>2026</v>
      </c>
      <c r="F35" s="30" t="s">
        <v>2065</v>
      </c>
      <c r="G35" t="s">
        <v>1070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ISNUMBER(MATCH(CONTROL[[#This Row],[VEHIDCODE]],TRACK_TYPES[VEHIDCODE],0))</f>
        <v>1</v>
      </c>
      <c r="K35" t="b">
        <f>ISNUMBER(MATCH(CONTROL[[#This Row],[VEHIDCODE]],PROPERTIES[VEHIDCODE],0))</f>
        <v>1</v>
      </c>
      <c r="L35" t="b">
        <f>ISNUMBER(MATCH(CONTROL[[#This Row],[VEHIDCODE]],GRAPHICS_PROPERTIES[VEHIDCODE],0))</f>
        <v>1</v>
      </c>
      <c r="M35" s="21" t="str">
        <f>"item_"&amp;CONTROL[[#This Row],[VEHIDCODE]]</f>
        <v>item_rbd_Franz_Kruckenberg_Schienenzeppelin</v>
      </c>
      <c r="N35" s="21" t="str">
        <f>"str_"&amp;CONTROL[[#This Row],[VEHIDCODE]]</f>
        <v>str_rbd_Franz_Kruckenberg_Schienenzeppelin</v>
      </c>
      <c r="O35" s="7" t="b">
        <f>INDEX(PROPERTIES[IS_CONCEPT],MATCH(CONTROL[[#This Row],[VEHIDCODE]],PROPERTIES[VEHIDCODE],0))="IS_CONCEPT"</f>
        <v>0</v>
      </c>
      <c r="P35" s="7" t="b">
        <f>INDEX(PROPERTIES[EXCLUDE],MATCH(CONTROL[[#This Row],[VEHIDCODE]],PROPERTIES[VEHIDCODE],0))</f>
        <v>0</v>
      </c>
      <c r="Q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36" spans="1:17" x14ac:dyDescent="0.35">
      <c r="A36" s="2" t="s">
        <v>2673</v>
      </c>
      <c r="B36" s="21" t="str">
        <f>MID(CONTROL[[#This Row],[VEHIDCODE]],FIND("_",CONTROL[[#This Row],[VEHIDCODE]])+1,LEN(CONTROL[[#This Row],[VEHIDCODE]]))</f>
        <v>DSB_MO_Serie_1</v>
      </c>
      <c r="C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6">
        <v>2027</v>
      </c>
      <c r="F36" s="30" t="s">
        <v>1073</v>
      </c>
      <c r="G36" t="s">
        <v>1072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ISNUMBER(MATCH(CONTROL[[#This Row],[VEHIDCODE]],TRACK_TYPES[VEHIDCODE],0))</f>
        <v>1</v>
      </c>
      <c r="K36" t="b">
        <f>ISNUMBER(MATCH(CONTROL[[#This Row],[VEHIDCODE]],PROPERTIES[VEHIDCODE],0))</f>
        <v>1</v>
      </c>
      <c r="L36" t="b">
        <f>ISNUMBER(MATCH(CONTROL[[#This Row],[VEHIDCODE]],GRAPHICS_PROPERTIES[VEHIDCODE],0))</f>
        <v>1</v>
      </c>
      <c r="M36" s="21" t="str">
        <f>"item_"&amp;CONTROL[[#This Row],[VEHIDCODE]]</f>
        <v>item_rbd_DSB_MO_Serie_1</v>
      </c>
      <c r="N36" s="21" t="str">
        <f>"str_"&amp;CONTROL[[#This Row],[VEHIDCODE]]</f>
        <v>str_rbd_DSB_MO_Serie_1</v>
      </c>
      <c r="O36" s="7" t="b">
        <f>INDEX(PROPERTIES[IS_CONCEPT],MATCH(CONTROL[[#This Row],[VEHIDCODE]],PROPERTIES[VEHIDCODE],0))="IS_CONCEPT"</f>
        <v>0</v>
      </c>
      <c r="P36" s="7" t="b">
        <f>INDEX(PROPERTIES[EXCLUDE],MATCH(CONTROL[[#This Row],[VEHIDCODE]],PROPERTIES[VEHIDCODE],0))</f>
        <v>0</v>
      </c>
      <c r="Q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7" spans="1:17" x14ac:dyDescent="0.35">
      <c r="A37" s="2" t="s">
        <v>2674</v>
      </c>
      <c r="B37" s="21" t="str">
        <f>MID(CONTROL[[#This Row],[VEHIDCODE]],FIND("_",CONTROL[[#This Row],[VEHIDCODE]])+1,LEN(CONTROL[[#This Row],[VEHIDCODE]]))</f>
        <v>Strommens_Kristine_Valdresdatter</v>
      </c>
      <c r="C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7">
        <v>2028</v>
      </c>
      <c r="F37" s="30" t="s">
        <v>2066</v>
      </c>
      <c r="G37" t="s">
        <v>1071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ISNUMBER(MATCH(CONTROL[[#This Row],[VEHIDCODE]],TRACK_TYPES[VEHIDCODE],0))</f>
        <v>1</v>
      </c>
      <c r="K37" t="b">
        <f>ISNUMBER(MATCH(CONTROL[[#This Row],[VEHIDCODE]],PROPERTIES[VEHIDCODE],0))</f>
        <v>1</v>
      </c>
      <c r="L37" t="b">
        <f>ISNUMBER(MATCH(CONTROL[[#This Row],[VEHIDCODE]],GRAPHICS_PROPERTIES[VEHIDCODE],0))</f>
        <v>1</v>
      </c>
      <c r="M37" s="21" t="str">
        <f>"item_"&amp;CONTROL[[#This Row],[VEHIDCODE]]</f>
        <v>item_rbd_Strommens_Kristine_Valdresdatter</v>
      </c>
      <c r="N37" s="21" t="str">
        <f>"str_"&amp;CONTROL[[#This Row],[VEHIDCODE]]</f>
        <v>str_rbd_Strommens_Kristine_Valdresdatter</v>
      </c>
      <c r="O37" s="7" t="b">
        <f>INDEX(PROPERTIES[IS_CONCEPT],MATCH(CONTROL[[#This Row],[VEHIDCODE]],PROPERTIES[VEHIDCODE],0))="IS_CONCEPT"</f>
        <v>0</v>
      </c>
      <c r="P37" s="7" t="b">
        <f>INDEX(PROPERTIES[EXCLUDE],MATCH(CONTROL[[#This Row],[VEHIDCODE]],PROPERTIES[VEHIDCODE],0))</f>
        <v>0</v>
      </c>
      <c r="Q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8" spans="1:17" x14ac:dyDescent="0.35">
      <c r="A38" s="2" t="s">
        <v>2675</v>
      </c>
      <c r="B38" s="21" t="str">
        <f>MID(CONTROL[[#This Row],[VEHIDCODE]],FIND("_",CONTROL[[#This Row],[VEHIDCODE]])+1,LEN(CONTROL[[#This Row],[VEHIDCODE]]))</f>
        <v>Tatra_M290</v>
      </c>
      <c r="C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8">
        <v>2029</v>
      </c>
      <c r="F38" s="30" t="s">
        <v>2067</v>
      </c>
      <c r="G38" t="s">
        <v>1074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ISNUMBER(MATCH(CONTROL[[#This Row],[VEHIDCODE]],TRACK_TYPES[VEHIDCODE],0))</f>
        <v>1</v>
      </c>
      <c r="K38" t="b">
        <f>ISNUMBER(MATCH(CONTROL[[#This Row],[VEHIDCODE]],PROPERTIES[VEHIDCODE],0))</f>
        <v>1</v>
      </c>
      <c r="L38" t="b">
        <f>ISNUMBER(MATCH(CONTROL[[#This Row],[VEHIDCODE]],GRAPHICS_PROPERTIES[VEHIDCODE],0))</f>
        <v>1</v>
      </c>
      <c r="M38" s="21" t="str">
        <f>"item_"&amp;CONTROL[[#This Row],[VEHIDCODE]]</f>
        <v>item_rbd_Tatra_M290</v>
      </c>
      <c r="N38" s="21" t="str">
        <f>"str_"&amp;CONTROL[[#This Row],[VEHIDCODE]]</f>
        <v>str_rbd_Tatra_M290</v>
      </c>
      <c r="O38" s="7" t="b">
        <f>INDEX(PROPERTIES[IS_CONCEPT],MATCH(CONTROL[[#This Row],[VEHIDCODE]],PROPERTIES[VEHIDCODE],0))="IS_CONCEPT"</f>
        <v>0</v>
      </c>
      <c r="P38" s="7" t="b">
        <f>INDEX(PROPERTIES[EXCLUDE],MATCH(CONTROL[[#This Row],[VEHIDCODE]],PROPERTIES[VEHIDCODE],0))</f>
        <v>0</v>
      </c>
      <c r="Q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39" spans="1:17" x14ac:dyDescent="0.35">
      <c r="A39" s="2" t="s">
        <v>2676</v>
      </c>
      <c r="B39" s="21" t="str">
        <f>MID(CONTROL[[#This Row],[VEHIDCODE]],FIND("_",CONTROL[[#This Row],[VEHIDCODE]])+1,LEN(CONTROL[[#This Row],[VEHIDCODE]]))</f>
        <v>Werkspoor_DM37</v>
      </c>
      <c r="C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39">
        <v>2030</v>
      </c>
      <c r="F39" s="30" t="s">
        <v>2069</v>
      </c>
      <c r="G39" t="s">
        <v>1075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ISNUMBER(MATCH(CONTROL[[#This Row],[VEHIDCODE]],TRACK_TYPES[VEHIDCODE],0))</f>
        <v>1</v>
      </c>
      <c r="K39" t="b">
        <f>ISNUMBER(MATCH(CONTROL[[#This Row],[VEHIDCODE]],PROPERTIES[VEHIDCODE],0))</f>
        <v>1</v>
      </c>
      <c r="L39" t="b">
        <f>ISNUMBER(MATCH(CONTROL[[#This Row],[VEHIDCODE]],GRAPHICS_PROPERTIES[VEHIDCODE],0))</f>
        <v>1</v>
      </c>
      <c r="M39" s="21" t="str">
        <f>"item_"&amp;CONTROL[[#This Row],[VEHIDCODE]]</f>
        <v>item_rbd_Werkspoor_DM37</v>
      </c>
      <c r="N39" s="21" t="str">
        <f>"str_"&amp;CONTROL[[#This Row],[VEHIDCODE]]</f>
        <v>str_rbd_Werkspoor_DM37</v>
      </c>
      <c r="O39" s="7" t="b">
        <f>INDEX(PROPERTIES[IS_CONCEPT],MATCH(CONTROL[[#This Row],[VEHIDCODE]],PROPERTIES[VEHIDCODE],0))="IS_CONCEPT"</f>
        <v>0</v>
      </c>
      <c r="P39" s="7" t="b">
        <f>INDEX(PROPERTIES[EXCLUDE],MATCH(CONTROL[[#This Row],[VEHIDCODE]],PROPERTIES[VEHIDCODE],0))</f>
        <v>0</v>
      </c>
      <c r="Q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0" spans="1:17" x14ac:dyDescent="0.35">
      <c r="A40" s="2" t="s">
        <v>2677</v>
      </c>
      <c r="B40" s="21" t="str">
        <f>MID(CONTROL[[#This Row],[VEHIDCODE]],FIND("_",CONTROL[[#This Row],[VEHIDCODE]])+1,LEN(CONTROL[[#This Row],[VEHIDCODE]]))</f>
        <v>Eveleigh_400_Class</v>
      </c>
      <c r="C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0">
        <v>2031</v>
      </c>
      <c r="F40" s="30" t="s">
        <v>2070</v>
      </c>
      <c r="G40" t="s">
        <v>1076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ISNUMBER(MATCH(CONTROL[[#This Row],[VEHIDCODE]],TRACK_TYPES[VEHIDCODE],0))</f>
        <v>1</v>
      </c>
      <c r="K40" t="b">
        <f>ISNUMBER(MATCH(CONTROL[[#This Row],[VEHIDCODE]],PROPERTIES[VEHIDCODE],0))</f>
        <v>1</v>
      </c>
      <c r="L40" t="b">
        <f>ISNUMBER(MATCH(CONTROL[[#This Row],[VEHIDCODE]],GRAPHICS_PROPERTIES[VEHIDCODE],0))</f>
        <v>1</v>
      </c>
      <c r="M40" s="21" t="str">
        <f>"item_"&amp;CONTROL[[#This Row],[VEHIDCODE]]</f>
        <v>item_rbd_Eveleigh_400_Class</v>
      </c>
      <c r="N40" s="21" t="str">
        <f>"str_"&amp;CONTROL[[#This Row],[VEHIDCODE]]</f>
        <v>str_rbd_Eveleigh_400_Class</v>
      </c>
      <c r="O40" s="7" t="b">
        <f>INDEX(PROPERTIES[IS_CONCEPT],MATCH(CONTROL[[#This Row],[VEHIDCODE]],PROPERTIES[VEHIDCODE],0))="IS_CONCEPT"</f>
        <v>0</v>
      </c>
      <c r="P40" s="7" t="b">
        <f>INDEX(PROPERTIES[EXCLUDE],MATCH(CONTROL[[#This Row],[VEHIDCODE]],PROPERTIES[VEHIDCODE],0))</f>
        <v>0</v>
      </c>
      <c r="Q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1" spans="1:17" x14ac:dyDescent="0.35">
      <c r="A41" s="2" t="s">
        <v>2678</v>
      </c>
      <c r="B41" s="21" t="str">
        <f>MID(CONTROL[[#This Row],[VEHIDCODE]],FIND("_",CONTROL[[#This Row],[VEHIDCODE]])+1,LEN(CONTROL[[#This Row],[VEHIDCODE]]))</f>
        <v>Vale_do_Vouga_ME51_55</v>
      </c>
      <c r="C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1">
        <v>2032</v>
      </c>
      <c r="F41" s="30" t="s">
        <v>2071</v>
      </c>
      <c r="G41" t="s">
        <v>1077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ISNUMBER(MATCH(CONTROL[[#This Row],[VEHIDCODE]],TRACK_TYPES[VEHIDCODE],0))</f>
        <v>1</v>
      </c>
      <c r="K41" t="b">
        <f>ISNUMBER(MATCH(CONTROL[[#This Row],[VEHIDCODE]],PROPERTIES[VEHIDCODE],0))</f>
        <v>1</v>
      </c>
      <c r="L41" t="b">
        <f>ISNUMBER(MATCH(CONTROL[[#This Row],[VEHIDCODE]],GRAPHICS_PROPERTIES[VEHIDCODE],0))</f>
        <v>1</v>
      </c>
      <c r="M41" s="21" t="str">
        <f>"item_"&amp;CONTROL[[#This Row],[VEHIDCODE]]</f>
        <v>item_rbd_Vale_do_Vouga_ME51_55</v>
      </c>
      <c r="N41" s="21" t="str">
        <f>"str_"&amp;CONTROL[[#This Row],[VEHIDCODE]]</f>
        <v>str_rbd_Vale_do_Vouga_ME51_55</v>
      </c>
      <c r="O41" s="7" t="b">
        <f>INDEX(PROPERTIES[IS_CONCEPT],MATCH(CONTROL[[#This Row],[VEHIDCODE]],PROPERTIES[VEHIDCODE],0))="IS_CONCEPT"</f>
        <v>0</v>
      </c>
      <c r="P41" s="7" t="b">
        <f>INDEX(PROPERTIES[EXCLUDE],MATCH(CONTROL[[#This Row],[VEHIDCODE]],PROPERTIES[VEHIDCODE],0))</f>
        <v>0</v>
      </c>
      <c r="Q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2" spans="1:17" x14ac:dyDescent="0.35">
      <c r="A42" s="2" t="s">
        <v>2679</v>
      </c>
      <c r="B42" s="21" t="str">
        <f>MID(CONTROL[[#This Row],[VEHIDCODE]],FIND("_",CONTROL[[#This Row],[VEHIDCODE]])+1,LEN(CONTROL[[#This Row],[VEHIDCODE]]))</f>
        <v>Ateliers_Germain_42_43</v>
      </c>
      <c r="C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2">
        <v>2033</v>
      </c>
      <c r="F42" s="30" t="s">
        <v>2072</v>
      </c>
      <c r="G42" t="s">
        <v>1078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ISNUMBER(MATCH(CONTROL[[#This Row],[VEHIDCODE]],TRACK_TYPES[VEHIDCODE],0))</f>
        <v>1</v>
      </c>
      <c r="K42" t="b">
        <f>ISNUMBER(MATCH(CONTROL[[#This Row],[VEHIDCODE]],PROPERTIES[VEHIDCODE],0))</f>
        <v>1</v>
      </c>
      <c r="L42" t="b">
        <f>ISNUMBER(MATCH(CONTROL[[#This Row],[VEHIDCODE]],GRAPHICS_PROPERTIES[VEHIDCODE],0))</f>
        <v>1</v>
      </c>
      <c r="M42" s="21" t="str">
        <f>"item_"&amp;CONTROL[[#This Row],[VEHIDCODE]]</f>
        <v>item_rbd_Ateliers_Germain_42_43</v>
      </c>
      <c r="N42" s="21" t="str">
        <f>"str_"&amp;CONTROL[[#This Row],[VEHIDCODE]]</f>
        <v>str_rbd_Ateliers_Germain_42_43</v>
      </c>
      <c r="O42" s="7" t="b">
        <f>INDEX(PROPERTIES[IS_CONCEPT],MATCH(CONTROL[[#This Row],[VEHIDCODE]],PROPERTIES[VEHIDCODE],0))="IS_CONCEPT"</f>
        <v>0</v>
      </c>
      <c r="P42" s="7" t="b">
        <f>INDEX(PROPERTIES[EXCLUDE],MATCH(CONTROL[[#This Row],[VEHIDCODE]],PROPERTIES[VEHIDCODE],0))</f>
        <v>0</v>
      </c>
      <c r="Q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3" spans="1:17" x14ac:dyDescent="0.35">
      <c r="A43" s="2" t="s">
        <v>2680</v>
      </c>
      <c r="B43" s="21" t="str">
        <f>MID(CONTROL[[#This Row],[VEHIDCODE]],FIND("_",CONTROL[[#This Row],[VEHIDCODE]])+1,LEN(CONTROL[[#This Row],[VEHIDCODE]]))</f>
        <v>SGP_77783_1960</v>
      </c>
      <c r="C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3">
        <v>2034</v>
      </c>
      <c r="F43" s="30" t="s">
        <v>2073</v>
      </c>
      <c r="G43" t="s">
        <v>1079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ISNUMBER(MATCH(CONTROL[[#This Row],[VEHIDCODE]],TRACK_TYPES[VEHIDCODE],0))</f>
        <v>1</v>
      </c>
      <c r="K43" t="b">
        <f>ISNUMBER(MATCH(CONTROL[[#This Row],[VEHIDCODE]],PROPERTIES[VEHIDCODE],0))</f>
        <v>1</v>
      </c>
      <c r="L43" t="b">
        <f>ISNUMBER(MATCH(CONTROL[[#This Row],[VEHIDCODE]],GRAPHICS_PROPERTIES[VEHIDCODE],0))</f>
        <v>1</v>
      </c>
      <c r="M43" s="21" t="str">
        <f>"item_"&amp;CONTROL[[#This Row],[VEHIDCODE]]</f>
        <v>item_rbd_SGP_77783_1960</v>
      </c>
      <c r="N43" s="21" t="str">
        <f>"str_"&amp;CONTROL[[#This Row],[VEHIDCODE]]</f>
        <v>str_rbd_SGP_77783_1960</v>
      </c>
      <c r="O43" s="7" t="b">
        <f>INDEX(PROPERTIES[IS_CONCEPT],MATCH(CONTROL[[#This Row],[VEHIDCODE]],PROPERTIES[VEHIDCODE],0))="IS_CONCEPT"</f>
        <v>0</v>
      </c>
      <c r="P43" s="7" t="b">
        <f>INDEX(PROPERTIES[EXCLUDE],MATCH(CONTROL[[#This Row],[VEHIDCODE]],PROPERTIES[VEHIDCODE],0))</f>
        <v>0</v>
      </c>
      <c r="Q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4" spans="1:17" x14ac:dyDescent="0.35">
      <c r="A44" s="2" t="s">
        <v>2681</v>
      </c>
      <c r="B44" s="21" t="str">
        <f>MID(CONTROL[[#This Row],[VEHIDCODE]],FIND("_",CONTROL[[#This Row],[VEHIDCODE]])+1,LEN(CONTROL[[#This Row],[VEHIDCODE]]))</f>
        <v>Ferrostaal_Esslingen_AA_71</v>
      </c>
      <c r="C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4">
        <v>2035</v>
      </c>
      <c r="F44" s="30" t="s">
        <v>2074</v>
      </c>
      <c r="G44" t="s">
        <v>1080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ISNUMBER(MATCH(CONTROL[[#This Row],[VEHIDCODE]],TRACK_TYPES[VEHIDCODE],0))</f>
        <v>1</v>
      </c>
      <c r="K44" t="b">
        <f>ISNUMBER(MATCH(CONTROL[[#This Row],[VEHIDCODE]],PROPERTIES[VEHIDCODE],0))</f>
        <v>1</v>
      </c>
      <c r="L44" t="b">
        <f>ISNUMBER(MATCH(CONTROL[[#This Row],[VEHIDCODE]],GRAPHICS_PROPERTIES[VEHIDCODE],0))</f>
        <v>1</v>
      </c>
      <c r="M44" s="21" t="str">
        <f>"item_"&amp;CONTROL[[#This Row],[VEHIDCODE]]</f>
        <v>item_rbd_Ferrostaal_Esslingen_AA_71</v>
      </c>
      <c r="N44" s="21" t="str">
        <f>"str_"&amp;CONTROL[[#This Row],[VEHIDCODE]]</f>
        <v>str_rbd_Ferrostaal_Esslingen_AA_71</v>
      </c>
      <c r="O44" s="7" t="b">
        <f>INDEX(PROPERTIES[IS_CONCEPT],MATCH(CONTROL[[#This Row],[VEHIDCODE]],PROPERTIES[VEHIDCODE],0))="IS_CONCEPT"</f>
        <v>0</v>
      </c>
      <c r="P44" s="7" t="b">
        <f>INDEX(PROPERTIES[EXCLUDE],MATCH(CONTROL[[#This Row],[VEHIDCODE]],PROPERTIES[VEHIDCODE],0))</f>
        <v>0</v>
      </c>
      <c r="Q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5" spans="1:17" x14ac:dyDescent="0.35">
      <c r="A45" s="2" t="s">
        <v>2682</v>
      </c>
      <c r="B45" s="21" t="str">
        <f>MID(CONTROL[[#This Row],[VEHIDCODE]],FIND("_",CONTROL[[#This Row],[VEHIDCODE]])+1,LEN(CONTROL[[#This Row],[VEHIDCODE]]))</f>
        <v>Alsthom_Z_431</v>
      </c>
      <c r="C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5">
        <v>2036</v>
      </c>
      <c r="F45" s="30" t="s">
        <v>2537</v>
      </c>
      <c r="G45" t="s">
        <v>1081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ISNUMBER(MATCH(CONTROL[[#This Row],[VEHIDCODE]],TRACK_TYPES[VEHIDCODE],0))</f>
        <v>1</v>
      </c>
      <c r="K45" t="b">
        <f>ISNUMBER(MATCH(CONTROL[[#This Row],[VEHIDCODE]],PROPERTIES[VEHIDCODE],0))</f>
        <v>1</v>
      </c>
      <c r="L45" t="b">
        <f>ISNUMBER(MATCH(CONTROL[[#This Row],[VEHIDCODE]],GRAPHICS_PROPERTIES[VEHIDCODE],0))</f>
        <v>1</v>
      </c>
      <c r="M45" s="21" t="str">
        <f>"item_"&amp;CONTROL[[#This Row],[VEHIDCODE]]</f>
        <v>item_rbd_Alsthom_Z_431</v>
      </c>
      <c r="N45" s="21" t="str">
        <f>"str_"&amp;CONTROL[[#This Row],[VEHIDCODE]]</f>
        <v>str_rbd_Alsthom_Z_431</v>
      </c>
      <c r="O45" s="7" t="b">
        <f>INDEX(PROPERTIES[IS_CONCEPT],MATCH(CONTROL[[#This Row],[VEHIDCODE]],PROPERTIES[VEHIDCODE],0))="IS_CONCEPT"</f>
        <v>0</v>
      </c>
      <c r="P45" s="7" t="b">
        <f>INDEX(PROPERTIES[EXCLUDE],MATCH(CONTROL[[#This Row],[VEHIDCODE]],PROPERTIES[VEHIDCODE],0))</f>
        <v>0</v>
      </c>
      <c r="Q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6" spans="1:17" x14ac:dyDescent="0.35">
      <c r="A46" s="2" t="s">
        <v>2683</v>
      </c>
      <c r="B46" s="21" t="str">
        <f>MID(CONTROL[[#This Row],[VEHIDCODE]],FIND("_",CONTROL[[#This Row],[VEHIDCODE]])+1,LEN(CONTROL[[#This Row],[VEHIDCODE]]))</f>
        <v>Budd_SPV_2000</v>
      </c>
      <c r="C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6">
        <v>2037</v>
      </c>
      <c r="F46" s="30" t="s">
        <v>2013</v>
      </c>
      <c r="G46" t="s">
        <v>1082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ISNUMBER(MATCH(CONTROL[[#This Row],[VEHIDCODE]],TRACK_TYPES[VEHIDCODE],0))</f>
        <v>1</v>
      </c>
      <c r="K46" t="b">
        <f>ISNUMBER(MATCH(CONTROL[[#This Row],[VEHIDCODE]],PROPERTIES[VEHIDCODE],0))</f>
        <v>1</v>
      </c>
      <c r="L46" t="b">
        <f>ISNUMBER(MATCH(CONTROL[[#This Row],[VEHIDCODE]],GRAPHICS_PROPERTIES[VEHIDCODE],0))</f>
        <v>1</v>
      </c>
      <c r="M46" s="21" t="str">
        <f>"item_"&amp;CONTROL[[#This Row],[VEHIDCODE]]</f>
        <v>item_rbd_Budd_SPV_2000</v>
      </c>
      <c r="N46" s="21" t="str">
        <f>"str_"&amp;CONTROL[[#This Row],[VEHIDCODE]]</f>
        <v>str_rbd_Budd_SPV_2000</v>
      </c>
      <c r="O46" s="7" t="b">
        <f>INDEX(PROPERTIES[IS_CONCEPT],MATCH(CONTROL[[#This Row],[VEHIDCODE]],PROPERTIES[VEHIDCODE],0))="IS_CONCEPT"</f>
        <v>0</v>
      </c>
      <c r="P46" s="7" t="b">
        <f>INDEX(PROPERTIES[EXCLUDE],MATCH(CONTROL[[#This Row],[VEHIDCODE]],PROPERTIES[VEHIDCODE],0))</f>
        <v>0</v>
      </c>
      <c r="Q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7" spans="1:17" x14ac:dyDescent="0.35">
      <c r="A47" s="2" t="s">
        <v>2684</v>
      </c>
      <c r="B47" s="21" t="str">
        <f>MID(CONTROL[[#This Row],[VEHIDCODE]],FIND("_",CONTROL[[#This Row],[VEHIDCODE]])+1,LEN(CONTROL[[#This Row],[VEHIDCODE]]))</f>
        <v>CKD_Vagonka_Dm12</v>
      </c>
      <c r="C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7">
        <v>2039</v>
      </c>
      <c r="F47" s="30" t="s">
        <v>2075</v>
      </c>
      <c r="G47" t="s">
        <v>1083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ISNUMBER(MATCH(CONTROL[[#This Row],[VEHIDCODE]],TRACK_TYPES[VEHIDCODE],0))</f>
        <v>1</v>
      </c>
      <c r="K47" t="b">
        <f>ISNUMBER(MATCH(CONTROL[[#This Row],[VEHIDCODE]],PROPERTIES[VEHIDCODE],0))</f>
        <v>1</v>
      </c>
      <c r="L47" t="b">
        <f>ISNUMBER(MATCH(CONTROL[[#This Row],[VEHIDCODE]],GRAPHICS_PROPERTIES[VEHIDCODE],0))</f>
        <v>1</v>
      </c>
      <c r="M47" s="21" t="str">
        <f>"item_"&amp;CONTROL[[#This Row],[VEHIDCODE]]</f>
        <v>item_rbd_CKD_Vagonka_Dm12</v>
      </c>
      <c r="N47" s="21" t="str">
        <f>"str_"&amp;CONTROL[[#This Row],[VEHIDCODE]]</f>
        <v>str_rbd_CKD_Vagonka_Dm12</v>
      </c>
      <c r="O47" s="7" t="b">
        <f>INDEX(PROPERTIES[IS_CONCEPT],MATCH(CONTROL[[#This Row],[VEHIDCODE]],PROPERTIES[VEHIDCODE],0))="IS_CONCEPT"</f>
        <v>0</v>
      </c>
      <c r="P47" s="7" t="b">
        <f>INDEX(PROPERTIES[EXCLUDE],MATCH(CONTROL[[#This Row],[VEHIDCODE]],PROPERTIES[VEHIDCODE],0))</f>
        <v>0</v>
      </c>
      <c r="Q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8" spans="1:17" x14ac:dyDescent="0.35">
      <c r="A48" s="2" t="s">
        <v>3446</v>
      </c>
      <c r="B48" s="21" t="str">
        <f>MID(CONTROL[[#This Row],[VEHIDCODE]],FIND("_",CONTROL[[#This Row],[VEHIDCODE]])+1,LEN(CONTROL[[#This Row],[VEHIDCODE]]))</f>
        <v>Stadler_Regio_Shuttle_RS1</v>
      </c>
      <c r="C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8">
        <v>2041</v>
      </c>
      <c r="F48" s="30" t="s">
        <v>3453</v>
      </c>
      <c r="G48" t="s">
        <v>1084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ISNUMBER(MATCH(CONTROL[[#This Row],[VEHIDCODE]],TRACK_TYPES[VEHIDCODE],0))</f>
        <v>1</v>
      </c>
      <c r="K48" t="b">
        <f>ISNUMBER(MATCH(CONTROL[[#This Row],[VEHIDCODE]],PROPERTIES[VEHIDCODE],0))</f>
        <v>1</v>
      </c>
      <c r="L48" t="b">
        <f>ISNUMBER(MATCH(CONTROL[[#This Row],[VEHIDCODE]],GRAPHICS_PROPERTIES[VEHIDCODE],0))</f>
        <v>1</v>
      </c>
      <c r="M48" s="21" t="str">
        <f>"item_"&amp;CONTROL[[#This Row],[VEHIDCODE]]</f>
        <v>item_rbd_Stadler_Regio_Shuttle_RS1</v>
      </c>
      <c r="N48" s="21" t="str">
        <f>"str_"&amp;CONTROL[[#This Row],[VEHIDCODE]]</f>
        <v>str_rbd_Stadler_Regio_Shuttle_RS1</v>
      </c>
      <c r="O48" s="7" t="b">
        <f>INDEX(PROPERTIES[IS_CONCEPT],MATCH(CONTROL[[#This Row],[VEHIDCODE]],PROPERTIES[VEHIDCODE],0))="IS_CONCEPT"</f>
        <v>0</v>
      </c>
      <c r="P48" s="7" t="b">
        <f>INDEX(PROPERTIES[EXCLUDE],MATCH(CONTROL[[#This Row],[VEHIDCODE]],PROPERTIES[VEHIDCODE],0))</f>
        <v>0</v>
      </c>
      <c r="Q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49" spans="1:17" x14ac:dyDescent="0.35">
      <c r="A49" s="2" t="s">
        <v>2685</v>
      </c>
      <c r="B49" s="21" t="str">
        <f>MID(CONTROL[[#This Row],[VEHIDCODE]],FIND("_",CONTROL[[#This Row],[VEHIDCODE]])+1,LEN(CONTROL[[#This Row],[VEHIDCODE]]))</f>
        <v>Fiat_Ferroviaria_ALn_668_1400</v>
      </c>
      <c r="C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49">
        <v>2046</v>
      </c>
      <c r="F49" s="30" t="s">
        <v>2076</v>
      </c>
      <c r="G49" t="s">
        <v>1085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ISNUMBER(MATCH(CONTROL[[#This Row],[VEHIDCODE]],TRACK_TYPES[VEHIDCODE],0))</f>
        <v>1</v>
      </c>
      <c r="K49" t="b">
        <f>ISNUMBER(MATCH(CONTROL[[#This Row],[VEHIDCODE]],PROPERTIES[VEHIDCODE],0))</f>
        <v>1</v>
      </c>
      <c r="L49" t="b">
        <f>ISNUMBER(MATCH(CONTROL[[#This Row],[VEHIDCODE]],GRAPHICS_PROPERTIES[VEHIDCODE],0))</f>
        <v>1</v>
      </c>
      <c r="M49" s="21" t="str">
        <f>"item_"&amp;CONTROL[[#This Row],[VEHIDCODE]]</f>
        <v>item_rbd_Fiat_Ferroviaria_ALn_668_1400</v>
      </c>
      <c r="N49" s="21" t="str">
        <f>"str_"&amp;CONTROL[[#This Row],[VEHIDCODE]]</f>
        <v>str_rbd_Fiat_Ferroviaria_ALn_668_1400</v>
      </c>
      <c r="O49" s="7" t="b">
        <f>INDEX(PROPERTIES[IS_CONCEPT],MATCH(CONTROL[[#This Row],[VEHIDCODE]],PROPERTIES[VEHIDCODE],0))="IS_CONCEPT"</f>
        <v>0</v>
      </c>
      <c r="P49" s="7" t="b">
        <f>INDEX(PROPERTIES[EXCLUDE],MATCH(CONTROL[[#This Row],[VEHIDCODE]],PROPERTIES[VEHIDCODE],0))</f>
        <v>0</v>
      </c>
      <c r="Q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0" spans="1:17" x14ac:dyDescent="0.35">
      <c r="A50" s="2" t="s">
        <v>2686</v>
      </c>
      <c r="B50" s="21" t="str">
        <f>MID(CONTROL[[#This Row],[VEHIDCODE]],FIND("_",CONTROL[[#This Row],[VEHIDCODE]])+1,LEN(CONTROL[[#This Row],[VEHIDCODE]]))</f>
        <v>Ringhoffer_40_001</v>
      </c>
      <c r="C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0">
        <v>3005</v>
      </c>
      <c r="F50" s="30" t="s">
        <v>2077</v>
      </c>
      <c r="G50" t="s">
        <v>1086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ISNUMBER(MATCH(CONTROL[[#This Row],[VEHIDCODE]],TRACK_TYPES[VEHIDCODE],0))</f>
        <v>1</v>
      </c>
      <c r="K50" t="b">
        <f>ISNUMBER(MATCH(CONTROL[[#This Row],[VEHIDCODE]],PROPERTIES[VEHIDCODE],0))</f>
        <v>1</v>
      </c>
      <c r="L50" t="b">
        <f>ISNUMBER(MATCH(CONTROL[[#This Row],[VEHIDCODE]],GRAPHICS_PROPERTIES[VEHIDCODE],0))</f>
        <v>1</v>
      </c>
      <c r="M50" s="21" t="str">
        <f>"item_"&amp;CONTROL[[#This Row],[VEHIDCODE]]</f>
        <v>item_rbe_Ringhoffer_40_001</v>
      </c>
      <c r="N50" s="21" t="str">
        <f>"str_"&amp;CONTROL[[#This Row],[VEHIDCODE]]</f>
        <v>str_rbe_Ringhoffer_40_001</v>
      </c>
      <c r="O50" s="7" t="b">
        <f>INDEX(PROPERTIES[IS_CONCEPT],MATCH(CONTROL[[#This Row],[VEHIDCODE]],PROPERTIES[VEHIDCODE],0))="IS_CONCEPT"</f>
        <v>0</v>
      </c>
      <c r="P50" s="7" t="b">
        <f>INDEX(PROPERTIES[EXCLUDE],MATCH(CONTROL[[#This Row],[VEHIDCODE]],PROPERTIES[VEHIDCODE],0))</f>
        <v>0</v>
      </c>
      <c r="Q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1" spans="1:17" x14ac:dyDescent="0.35">
      <c r="A51" s="2" t="s">
        <v>2687</v>
      </c>
      <c r="B51" s="21" t="str">
        <f>MID(CONTROL[[#This Row],[VEHIDCODE]],FIND("_",CONTROL[[#This Row],[VEHIDCODE]])+1,LEN(CONTROL[[#This Row],[VEHIDCODE]]))</f>
        <v>Decauville_Z_7100</v>
      </c>
      <c r="C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1">
        <v>3012</v>
      </c>
      <c r="F51" s="30" t="s">
        <v>2078</v>
      </c>
      <c r="G51" t="s">
        <v>1087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ISNUMBER(MATCH(CONTROL[[#This Row],[VEHIDCODE]],TRACK_TYPES[VEHIDCODE],0))</f>
        <v>1</v>
      </c>
      <c r="K51" t="b">
        <f>ISNUMBER(MATCH(CONTROL[[#This Row],[VEHIDCODE]],PROPERTIES[VEHIDCODE],0))</f>
        <v>1</v>
      </c>
      <c r="L51" t="b">
        <f>ISNUMBER(MATCH(CONTROL[[#This Row],[VEHIDCODE]],GRAPHICS_PROPERTIES[VEHIDCODE],0))</f>
        <v>1</v>
      </c>
      <c r="M51" s="21" t="str">
        <f>"item_"&amp;CONTROL[[#This Row],[VEHIDCODE]]</f>
        <v>item_rbe_Decauville_Z_7100</v>
      </c>
      <c r="N51" s="21" t="str">
        <f>"str_"&amp;CONTROL[[#This Row],[VEHIDCODE]]</f>
        <v>str_rbe_Decauville_Z_7100</v>
      </c>
      <c r="O51" s="7" t="b">
        <f>INDEX(PROPERTIES[IS_CONCEPT],MATCH(CONTROL[[#This Row],[VEHIDCODE]],PROPERTIES[VEHIDCODE],0))="IS_CONCEPT"</f>
        <v>0</v>
      </c>
      <c r="P51" s="7" t="b">
        <f>INDEX(PROPERTIES[EXCLUDE],MATCH(CONTROL[[#This Row],[VEHIDCODE]],PROPERTIES[VEHIDCODE],0))</f>
        <v>0</v>
      </c>
      <c r="Q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2" spans="1:17" x14ac:dyDescent="0.35">
      <c r="A52" s="2" t="s">
        <v>2688</v>
      </c>
      <c r="B52" s="21" t="str">
        <f>MID(CONTROL[[#This Row],[VEHIDCODE]],FIND("_",CONTROL[[#This Row],[VEHIDCODE]])+1,LEN(CONTROL[[#This Row],[VEHIDCODE]]))</f>
        <v>HAWA_AEG_Kleinbahn_Nr__1_3</v>
      </c>
      <c r="C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2">
        <v>3021</v>
      </c>
      <c r="F52" s="30" t="s">
        <v>2079</v>
      </c>
      <c r="G52" t="s">
        <v>1088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ISNUMBER(MATCH(CONTROL[[#This Row],[VEHIDCODE]],TRACK_TYPES[VEHIDCODE],0))</f>
        <v>1</v>
      </c>
      <c r="K52" t="b">
        <f>ISNUMBER(MATCH(CONTROL[[#This Row],[VEHIDCODE]],PROPERTIES[VEHIDCODE],0))</f>
        <v>1</v>
      </c>
      <c r="L52" t="b">
        <f>ISNUMBER(MATCH(CONTROL[[#This Row],[VEHIDCODE]],GRAPHICS_PROPERTIES[VEHIDCODE],0))</f>
        <v>1</v>
      </c>
      <c r="M52" s="21" t="str">
        <f>"item_"&amp;CONTROL[[#This Row],[VEHIDCODE]]</f>
        <v>item_rbe_HAWA_AEG_Kleinbahn_Nr__1_3</v>
      </c>
      <c r="N52" s="21" t="str">
        <f>"str_"&amp;CONTROL[[#This Row],[VEHIDCODE]]</f>
        <v>str_rbe_HAWA_AEG_Kleinbahn_Nr__1_3</v>
      </c>
      <c r="O52" s="7" t="b">
        <f>INDEX(PROPERTIES[IS_CONCEPT],MATCH(CONTROL[[#This Row],[VEHIDCODE]],PROPERTIES[VEHIDCODE],0))="IS_CONCEPT"</f>
        <v>0</v>
      </c>
      <c r="P52" s="7" t="b">
        <f>INDEX(PROPERTIES[EXCLUDE],MATCH(CONTROL[[#This Row],[VEHIDCODE]],PROPERTIES[VEHIDCODE],0))</f>
        <v>0</v>
      </c>
      <c r="Q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3" spans="1:17" x14ac:dyDescent="0.35">
      <c r="A53" s="2" t="s">
        <v>3463</v>
      </c>
      <c r="B53" s="21" t="str">
        <f>MID(CONTROL[[#This Row],[VEHIDCODE]],FIND("_",CONTROL[[#This Row],[VEHIDCODE]])+1,LEN(CONTROL[[#This Row],[VEHIDCODE]]))</f>
        <v>Raw_Schoneweide_479_201</v>
      </c>
      <c r="C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3">
        <v>3020</v>
      </c>
      <c r="F53" s="30" t="s">
        <v>3689</v>
      </c>
      <c r="G53" t="s">
        <v>1090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ISNUMBER(MATCH(CONTROL[[#This Row],[VEHIDCODE]],TRACK_TYPES[VEHIDCODE],0))</f>
        <v>1</v>
      </c>
      <c r="K53" t="b">
        <f>ISNUMBER(MATCH(CONTROL[[#This Row],[VEHIDCODE]],PROPERTIES[VEHIDCODE],0))</f>
        <v>1</v>
      </c>
      <c r="L53" t="b">
        <f>ISNUMBER(MATCH(CONTROL[[#This Row],[VEHIDCODE]],GRAPHICS_PROPERTIES[VEHIDCODE],0))</f>
        <v>1</v>
      </c>
      <c r="M53" s="21" t="str">
        <f>"item_"&amp;CONTROL[[#This Row],[VEHIDCODE]]</f>
        <v>item_rbe_Raw_Schoneweide_479_201</v>
      </c>
      <c r="N53" s="21" t="str">
        <f>"str_"&amp;CONTROL[[#This Row],[VEHIDCODE]]</f>
        <v>str_rbe_Raw_Schoneweide_479_201</v>
      </c>
      <c r="O53" s="7" t="b">
        <f>INDEX(PROPERTIES[IS_CONCEPT],MATCH(CONTROL[[#This Row],[VEHIDCODE]],PROPERTIES[VEHIDCODE],0))="IS_CONCEPT"</f>
        <v>0</v>
      </c>
      <c r="P53" s="7" t="b">
        <f>INDEX(PROPERTIES[EXCLUDE],MATCH(CONTROL[[#This Row],[VEHIDCODE]],PROPERTIES[VEHIDCODE],0))</f>
        <v>0</v>
      </c>
      <c r="Q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4" spans="1:17" x14ac:dyDescent="0.35">
      <c r="A54" s="2" t="s">
        <v>2689</v>
      </c>
      <c r="B54" s="21" t="str">
        <f>MID(CONTROL[[#This Row],[VEHIDCODE]],FIND("_",CONTROL[[#This Row],[VEHIDCODE]])+1,LEN(CONTROL[[#This Row],[VEHIDCODE]]))</f>
        <v>Studenka_425_95</v>
      </c>
      <c r="C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4">
        <v>3008</v>
      </c>
      <c r="F54" s="30" t="s">
        <v>2080</v>
      </c>
      <c r="G54" t="s">
        <v>1089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ISNUMBER(MATCH(CONTROL[[#This Row],[VEHIDCODE]],TRACK_TYPES[VEHIDCODE],0))</f>
        <v>1</v>
      </c>
      <c r="K54" t="b">
        <f>ISNUMBER(MATCH(CONTROL[[#This Row],[VEHIDCODE]],PROPERTIES[VEHIDCODE],0))</f>
        <v>1</v>
      </c>
      <c r="L54" t="b">
        <f>ISNUMBER(MATCH(CONTROL[[#This Row],[VEHIDCODE]],GRAPHICS_PROPERTIES[VEHIDCODE],0))</f>
        <v>1</v>
      </c>
      <c r="M54" s="21" t="str">
        <f>"item_"&amp;CONTROL[[#This Row],[VEHIDCODE]]</f>
        <v>item_rbe_Studenka_425_95</v>
      </c>
      <c r="N54" s="21" t="str">
        <f>"str_"&amp;CONTROL[[#This Row],[VEHIDCODE]]</f>
        <v>str_rbe_Studenka_425_95</v>
      </c>
      <c r="O54" s="7" t="b">
        <f>INDEX(PROPERTIES[IS_CONCEPT],MATCH(CONTROL[[#This Row],[VEHIDCODE]],PROPERTIES[VEHIDCODE],0))="IS_CONCEPT"</f>
        <v>0</v>
      </c>
      <c r="P54" s="7" t="b">
        <f>INDEX(PROPERTIES[EXCLUDE],MATCH(CONTROL[[#This Row],[VEHIDCODE]],PROPERTIES[VEHIDCODE],0))</f>
        <v>0</v>
      </c>
      <c r="Q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5" spans="1:17" x14ac:dyDescent="0.35">
      <c r="A55" s="2" t="s">
        <v>2690</v>
      </c>
      <c r="B55" s="21" t="str">
        <f>MID(CONTROL[[#This Row],[VEHIDCODE]],FIND("_",CONTROL[[#This Row],[VEHIDCODE]])+1,LEN(CONTROL[[#This Row],[VEHIDCODE]]))</f>
        <v>Pozzuoli___OCREN_OM_ALe_840</v>
      </c>
      <c r="C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5">
        <v>3004</v>
      </c>
      <c r="F55" s="30" t="s">
        <v>2081</v>
      </c>
      <c r="G55" t="s">
        <v>1091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ISNUMBER(MATCH(CONTROL[[#This Row],[VEHIDCODE]],TRACK_TYPES[VEHIDCODE],0))</f>
        <v>1</v>
      </c>
      <c r="K55" t="b">
        <f>ISNUMBER(MATCH(CONTROL[[#This Row],[VEHIDCODE]],PROPERTIES[VEHIDCODE],0))</f>
        <v>1</v>
      </c>
      <c r="L55" t="b">
        <f>ISNUMBER(MATCH(CONTROL[[#This Row],[VEHIDCODE]],GRAPHICS_PROPERTIES[VEHIDCODE],0))</f>
        <v>1</v>
      </c>
      <c r="M55" s="21" t="str">
        <f>"item_"&amp;CONTROL[[#This Row],[VEHIDCODE]]</f>
        <v>item_rbe_Pozzuoli___OCREN_OM_ALe_840</v>
      </c>
      <c r="N55" s="21" t="str">
        <f>"str_"&amp;CONTROL[[#This Row],[VEHIDCODE]]</f>
        <v>str_rbe_Pozzuoli___OCREN_OM_ALe_840</v>
      </c>
      <c r="O55" s="7" t="b">
        <f>INDEX(PROPERTIES[IS_CONCEPT],MATCH(CONTROL[[#This Row],[VEHIDCODE]],PROPERTIES[VEHIDCODE],0))="IS_CONCEPT"</f>
        <v>0</v>
      </c>
      <c r="P55" s="7" t="b">
        <f>INDEX(PROPERTIES[EXCLUDE],MATCH(CONTROL[[#This Row],[VEHIDCODE]],PROPERTIES[VEHIDCODE],0))</f>
        <v>0</v>
      </c>
      <c r="Q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" spans="1:17" x14ac:dyDescent="0.35">
      <c r="A56" s="2" t="s">
        <v>2691</v>
      </c>
      <c r="B56" s="21" t="str">
        <f>MID(CONTROL[[#This Row],[VEHIDCODE]],FIND("_",CONTROL[[#This Row],[VEHIDCODE]])+1,LEN(CONTROL[[#This Row],[VEHIDCODE]]))</f>
        <v>Stanga_ALe_80</v>
      </c>
      <c r="C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6">
        <v>3014</v>
      </c>
      <c r="F56" s="30" t="s">
        <v>2082</v>
      </c>
      <c r="G56" t="s">
        <v>1092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ISNUMBER(MATCH(CONTROL[[#This Row],[VEHIDCODE]],TRACK_TYPES[VEHIDCODE],0))</f>
        <v>1</v>
      </c>
      <c r="K56" t="b">
        <f>ISNUMBER(MATCH(CONTROL[[#This Row],[VEHIDCODE]],PROPERTIES[VEHIDCODE],0))</f>
        <v>1</v>
      </c>
      <c r="L56" t="b">
        <f>ISNUMBER(MATCH(CONTROL[[#This Row],[VEHIDCODE]],GRAPHICS_PROPERTIES[VEHIDCODE],0))</f>
        <v>1</v>
      </c>
      <c r="M56" s="21" t="str">
        <f>"item_"&amp;CONTROL[[#This Row],[VEHIDCODE]]</f>
        <v>item_rbe_Stanga_ALe_80</v>
      </c>
      <c r="N56" s="21" t="str">
        <f>"str_"&amp;CONTROL[[#This Row],[VEHIDCODE]]</f>
        <v>str_rbe_Stanga_ALe_80</v>
      </c>
      <c r="O56" s="7" t="b">
        <f>INDEX(PROPERTIES[IS_CONCEPT],MATCH(CONTROL[[#This Row],[VEHIDCODE]],PROPERTIES[VEHIDCODE],0))="IS_CONCEPT"</f>
        <v>0</v>
      </c>
      <c r="P56" s="7" t="b">
        <f>INDEX(PROPERTIES[EXCLUDE],MATCH(CONTROL[[#This Row],[VEHIDCODE]],PROPERTIES[VEHIDCODE],0))</f>
        <v>0</v>
      </c>
      <c r="Q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7" spans="1:17" x14ac:dyDescent="0.35">
      <c r="A57" s="2" t="s">
        <v>2692</v>
      </c>
      <c r="B57" s="21" t="str">
        <f>MID(CONTROL[[#This Row],[VEHIDCODE]],FIND("_",CONTROL[[#This Row],[VEHIDCODE]])+1,LEN(CONTROL[[#This Row],[VEHIDCODE]]))</f>
        <v>FS_E_623</v>
      </c>
      <c r="C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7">
        <v>3009</v>
      </c>
      <c r="F57" s="30" t="s">
        <v>358</v>
      </c>
      <c r="G57" t="s">
        <v>1093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ISNUMBER(MATCH(CONTROL[[#This Row],[VEHIDCODE]],TRACK_TYPES[VEHIDCODE],0))</f>
        <v>1</v>
      </c>
      <c r="K57" t="b">
        <f>ISNUMBER(MATCH(CONTROL[[#This Row],[VEHIDCODE]],PROPERTIES[VEHIDCODE],0))</f>
        <v>1</v>
      </c>
      <c r="L57" t="b">
        <f>ISNUMBER(MATCH(CONTROL[[#This Row],[VEHIDCODE]],GRAPHICS_PROPERTIES[VEHIDCODE],0))</f>
        <v>1</v>
      </c>
      <c r="M57" s="21" t="str">
        <f>"item_"&amp;CONTROL[[#This Row],[VEHIDCODE]]</f>
        <v>item_rbe_FS_E_623</v>
      </c>
      <c r="N57" s="21" t="str">
        <f>"str_"&amp;CONTROL[[#This Row],[VEHIDCODE]]</f>
        <v>str_rbe_FS_E_623</v>
      </c>
      <c r="O57" s="7" t="b">
        <f>INDEX(PROPERTIES[IS_CONCEPT],MATCH(CONTROL[[#This Row],[VEHIDCODE]],PROPERTIES[VEHIDCODE],0))="IS_CONCEPT"</f>
        <v>0</v>
      </c>
      <c r="P57" s="7" t="b">
        <f>INDEX(PROPERTIES[EXCLUDE],MATCH(CONTROL[[#This Row],[VEHIDCODE]],PROPERTIES[VEHIDCODE],0))</f>
        <v>0</v>
      </c>
      <c r="Q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8" spans="1:17" x14ac:dyDescent="0.35">
      <c r="A58" s="2" t="s">
        <v>2693</v>
      </c>
      <c r="B58" s="21" t="str">
        <f>MID(CONTROL[[#This Row],[VEHIDCODE]],FIND("_",CONTROL[[#This Row],[VEHIDCODE]])+1,LEN(CONTROL[[#This Row],[VEHIDCODE]]))</f>
        <v>ONCF_ZAB1000</v>
      </c>
      <c r="C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8">
        <v>3001</v>
      </c>
      <c r="F58" s="30" t="s">
        <v>527</v>
      </c>
      <c r="G58" t="s">
        <v>1094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ISNUMBER(MATCH(CONTROL[[#This Row],[VEHIDCODE]],TRACK_TYPES[VEHIDCODE],0))</f>
        <v>1</v>
      </c>
      <c r="K58" t="b">
        <f>ISNUMBER(MATCH(CONTROL[[#This Row],[VEHIDCODE]],PROPERTIES[VEHIDCODE],0))</f>
        <v>1</v>
      </c>
      <c r="L58" t="b">
        <f>ISNUMBER(MATCH(CONTROL[[#This Row],[VEHIDCODE]],GRAPHICS_PROPERTIES[VEHIDCODE],0))</f>
        <v>1</v>
      </c>
      <c r="M58" s="21" t="str">
        <f>"item_"&amp;CONTROL[[#This Row],[VEHIDCODE]]</f>
        <v>item_rbe_ONCF_ZAB1000</v>
      </c>
      <c r="N58" s="21" t="str">
        <f>"str_"&amp;CONTROL[[#This Row],[VEHIDCODE]]</f>
        <v>str_rbe_ONCF_ZAB1000</v>
      </c>
      <c r="O58" s="7" t="b">
        <f>INDEX(PROPERTIES[IS_CONCEPT],MATCH(CONTROL[[#This Row],[VEHIDCODE]],PROPERTIES[VEHIDCODE],0))="IS_CONCEPT"</f>
        <v>0</v>
      </c>
      <c r="P58" s="7" t="b">
        <f>INDEX(PROPERTIES[EXCLUDE],MATCH(CONTROL[[#This Row],[VEHIDCODE]],PROPERTIES[VEHIDCODE],0))</f>
        <v>0</v>
      </c>
      <c r="Q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" spans="1:17" x14ac:dyDescent="0.35">
      <c r="A59" s="2" t="s">
        <v>2694</v>
      </c>
      <c r="B59" s="21" t="str">
        <f>MID(CONTROL[[#This Row],[VEHIDCODE]],FIND("_",CONTROL[[#This Row],[VEHIDCODE]])+1,LEN(CONTROL[[#This Row],[VEHIDCODE]]))</f>
        <v>Pesa_308B</v>
      </c>
      <c r="C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">
        <v>3018</v>
      </c>
      <c r="F59" s="30" t="s">
        <v>1957</v>
      </c>
      <c r="G59" t="s">
        <v>1095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ISNUMBER(MATCH(CONTROL[[#This Row],[VEHIDCODE]],TRACK_TYPES[VEHIDCODE],0))</f>
        <v>1</v>
      </c>
      <c r="K59" t="b">
        <f>ISNUMBER(MATCH(CONTROL[[#This Row],[VEHIDCODE]],PROPERTIES[VEHIDCODE],0))</f>
        <v>1</v>
      </c>
      <c r="L59" t="b">
        <f>ISNUMBER(MATCH(CONTROL[[#This Row],[VEHIDCODE]],GRAPHICS_PROPERTIES[VEHIDCODE],0))</f>
        <v>1</v>
      </c>
      <c r="M59" s="21" t="str">
        <f>"item_"&amp;CONTROL[[#This Row],[VEHIDCODE]]</f>
        <v>item_rbe_Pesa_308B</v>
      </c>
      <c r="N59" s="21" t="str">
        <f>"str_"&amp;CONTROL[[#This Row],[VEHIDCODE]]</f>
        <v>str_rbe_Pesa_308B</v>
      </c>
      <c r="O59" s="7" t="b">
        <f>INDEX(PROPERTIES[IS_CONCEPT],MATCH(CONTROL[[#This Row],[VEHIDCODE]],PROPERTIES[VEHIDCODE],0))="IS_CONCEPT"</f>
        <v>0</v>
      </c>
      <c r="P59" s="7" t="b">
        <f>INDEX(PROPERTIES[EXCLUDE],MATCH(CONTROL[[#This Row],[VEHIDCODE]],PROPERTIES[VEHIDCODE],0))</f>
        <v>0</v>
      </c>
      <c r="Q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0" spans="1:17" x14ac:dyDescent="0.35">
      <c r="A60" s="2" t="s">
        <v>2695</v>
      </c>
      <c r="B60" s="21" t="str">
        <f>MID(CONTROL[[#This Row],[VEHIDCODE]],FIND("_",CONTROL[[#This Row],[VEHIDCODE]])+1,LEN(CONTROL[[#This Row],[VEHIDCODE]]))</f>
        <v>Franz_Knotz_4855</v>
      </c>
      <c r="C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0">
        <v>3015</v>
      </c>
      <c r="F60" s="30" t="s">
        <v>2083</v>
      </c>
      <c r="G60" t="s">
        <v>1096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ISNUMBER(MATCH(CONTROL[[#This Row],[VEHIDCODE]],TRACK_TYPES[VEHIDCODE],0))</f>
        <v>1</v>
      </c>
      <c r="K60" t="b">
        <f>ISNUMBER(MATCH(CONTROL[[#This Row],[VEHIDCODE]],PROPERTIES[VEHIDCODE],0))</f>
        <v>1</v>
      </c>
      <c r="L60" t="b">
        <f>ISNUMBER(MATCH(CONTROL[[#This Row],[VEHIDCODE]],GRAPHICS_PROPERTIES[VEHIDCODE],0))</f>
        <v>1</v>
      </c>
      <c r="M60" s="21" t="str">
        <f>"item_"&amp;CONTROL[[#This Row],[VEHIDCODE]]</f>
        <v>item_rbe_Franz_Knotz_4855</v>
      </c>
      <c r="N60" s="21" t="str">
        <f>"str_"&amp;CONTROL[[#This Row],[VEHIDCODE]]</f>
        <v>str_rbe_Franz_Knotz_4855</v>
      </c>
      <c r="O60" s="7" t="b">
        <f>INDEX(PROPERTIES[IS_CONCEPT],MATCH(CONTROL[[#This Row],[VEHIDCODE]],PROPERTIES[VEHIDCODE],0))="IS_CONCEPT"</f>
        <v>0</v>
      </c>
      <c r="P60" s="7" t="b">
        <f>INDEX(PROPERTIES[EXCLUDE],MATCH(CONTROL[[#This Row],[VEHIDCODE]],PROPERTIES[VEHIDCODE],0))</f>
        <v>0</v>
      </c>
      <c r="Q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1" spans="1:17" x14ac:dyDescent="0.35">
      <c r="A61" s="2" t="s">
        <v>2696</v>
      </c>
      <c r="B61" s="21" t="str">
        <f>MID(CONTROL[[#This Row],[VEHIDCODE]],FIND("_",CONTROL[[#This Row],[VEHIDCODE]])+1,LEN(CONTROL[[#This Row],[VEHIDCODE]]))</f>
        <v>Lindner_Talbot_ET_10_109</v>
      </c>
      <c r="C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1">
        <v>3017</v>
      </c>
      <c r="F61" s="30" t="s">
        <v>2084</v>
      </c>
      <c r="G61" t="s">
        <v>1097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ISNUMBER(MATCH(CONTROL[[#This Row],[VEHIDCODE]],TRACK_TYPES[VEHIDCODE],0))</f>
        <v>1</v>
      </c>
      <c r="K61" t="b">
        <f>ISNUMBER(MATCH(CONTROL[[#This Row],[VEHIDCODE]],PROPERTIES[VEHIDCODE],0))</f>
        <v>1</v>
      </c>
      <c r="L61" t="b">
        <f>ISNUMBER(MATCH(CONTROL[[#This Row],[VEHIDCODE]],GRAPHICS_PROPERTIES[VEHIDCODE],0))</f>
        <v>1</v>
      </c>
      <c r="M61" s="21" t="str">
        <f>"item_"&amp;CONTROL[[#This Row],[VEHIDCODE]]</f>
        <v>item_rbe_Lindner_Talbot_ET_10_109</v>
      </c>
      <c r="N61" s="21" t="str">
        <f>"str_"&amp;CONTROL[[#This Row],[VEHIDCODE]]</f>
        <v>str_rbe_Lindner_Talbot_ET_10_109</v>
      </c>
      <c r="O61" s="7" t="b">
        <f>INDEX(PROPERTIES[IS_CONCEPT],MATCH(CONTROL[[#This Row],[VEHIDCODE]],PROPERTIES[VEHIDCODE],0))="IS_CONCEPT"</f>
        <v>0</v>
      </c>
      <c r="P61" s="7" t="b">
        <f>INDEX(PROPERTIES[EXCLUDE],MATCH(CONTROL[[#This Row],[VEHIDCODE]],PROPERTIES[VEHIDCODE],0))</f>
        <v>0</v>
      </c>
      <c r="Q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2" spans="1:17" x14ac:dyDescent="0.35">
      <c r="A62" s="2" t="s">
        <v>2697</v>
      </c>
      <c r="B62" s="21" t="str">
        <f>MID(CONTROL[[#This Row],[VEHIDCODE]],FIND("_",CONTROL[[#This Row],[VEHIDCODE]])+1,LEN(CONTROL[[#This Row],[VEHIDCODE]]))</f>
        <v>Waggonfabrik_Fuchs_ET_85</v>
      </c>
      <c r="C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2">
        <v>3002</v>
      </c>
      <c r="F62" s="30" t="s">
        <v>2085</v>
      </c>
      <c r="G62" t="s">
        <v>1098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ISNUMBER(MATCH(CONTROL[[#This Row],[VEHIDCODE]],TRACK_TYPES[VEHIDCODE],0))</f>
        <v>1</v>
      </c>
      <c r="K62" t="b">
        <f>ISNUMBER(MATCH(CONTROL[[#This Row],[VEHIDCODE]],PROPERTIES[VEHIDCODE],0))</f>
        <v>1</v>
      </c>
      <c r="L62" t="b">
        <f>ISNUMBER(MATCH(CONTROL[[#This Row],[VEHIDCODE]],GRAPHICS_PROPERTIES[VEHIDCODE],0))</f>
        <v>1</v>
      </c>
      <c r="M62" s="21" t="str">
        <f>"item_"&amp;CONTROL[[#This Row],[VEHIDCODE]]</f>
        <v>item_rbe_Waggonfabrik_Fuchs_ET_85</v>
      </c>
      <c r="N62" s="21" t="str">
        <f>"str_"&amp;CONTROL[[#This Row],[VEHIDCODE]]</f>
        <v>str_rbe_Waggonfabrik_Fuchs_ET_85</v>
      </c>
      <c r="O62" s="7" t="b">
        <f>INDEX(PROPERTIES[IS_CONCEPT],MATCH(CONTROL[[#This Row],[VEHIDCODE]],PROPERTIES[VEHIDCODE],0))="IS_CONCEPT"</f>
        <v>0</v>
      </c>
      <c r="P62" s="7" t="b">
        <f>INDEX(PROPERTIES[EXCLUDE],MATCH(CONTROL[[#This Row],[VEHIDCODE]],PROPERTIES[VEHIDCODE],0))</f>
        <v>0</v>
      </c>
      <c r="Q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3" spans="1:17" x14ac:dyDescent="0.35">
      <c r="A63" s="2" t="s">
        <v>2698</v>
      </c>
      <c r="B63" s="21" t="str">
        <f>MID(CONTROL[[#This Row],[VEHIDCODE]],FIND("_",CONTROL[[#This Row],[VEHIDCODE]])+1,LEN(CONTROL[[#This Row],[VEHIDCODE]]))</f>
        <v>ASJ_Y6</v>
      </c>
      <c r="C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3">
        <v>3010</v>
      </c>
      <c r="F63" s="30" t="s">
        <v>2086</v>
      </c>
      <c r="G63" t="s">
        <v>1099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ISNUMBER(MATCH(CONTROL[[#This Row],[VEHIDCODE]],TRACK_TYPES[VEHIDCODE],0))</f>
        <v>1</v>
      </c>
      <c r="K63" t="b">
        <f>ISNUMBER(MATCH(CONTROL[[#This Row],[VEHIDCODE]],PROPERTIES[VEHIDCODE],0))</f>
        <v>1</v>
      </c>
      <c r="L63" t="b">
        <f>ISNUMBER(MATCH(CONTROL[[#This Row],[VEHIDCODE]],GRAPHICS_PROPERTIES[VEHIDCODE],0))</f>
        <v>1</v>
      </c>
      <c r="M63" s="21" t="str">
        <f>"item_"&amp;CONTROL[[#This Row],[VEHIDCODE]]</f>
        <v>item_rbe_ASJ_Y6</v>
      </c>
      <c r="N63" s="21" t="str">
        <f>"str_"&amp;CONTROL[[#This Row],[VEHIDCODE]]</f>
        <v>str_rbe_ASJ_Y6</v>
      </c>
      <c r="O63" s="7" t="b">
        <f>INDEX(PROPERTIES[IS_CONCEPT],MATCH(CONTROL[[#This Row],[VEHIDCODE]],PROPERTIES[VEHIDCODE],0))="IS_CONCEPT"</f>
        <v>0</v>
      </c>
      <c r="P63" s="7" t="b">
        <f>INDEX(PROPERTIES[EXCLUDE],MATCH(CONTROL[[#This Row],[VEHIDCODE]],PROPERTIES[VEHIDCODE],0))</f>
        <v>0</v>
      </c>
      <c r="Q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4" spans="1:17" x14ac:dyDescent="0.35">
      <c r="A64" s="2" t="s">
        <v>2699</v>
      </c>
      <c r="B64" s="21" t="str">
        <f>MID(CONTROL[[#This Row],[VEHIDCODE]],FIND("_",CONTROL[[#This Row],[VEHIDCODE]])+1,LEN(CONTROL[[#This Row],[VEHIDCODE]]))</f>
        <v>Budd_Silverliner_II</v>
      </c>
      <c r="C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4">
        <v>3013</v>
      </c>
      <c r="F64" s="30" t="s">
        <v>2087</v>
      </c>
      <c r="G64" t="s">
        <v>1100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ISNUMBER(MATCH(CONTROL[[#This Row],[VEHIDCODE]],TRACK_TYPES[VEHIDCODE],0))</f>
        <v>1</v>
      </c>
      <c r="K64" t="b">
        <f>ISNUMBER(MATCH(CONTROL[[#This Row],[VEHIDCODE]],PROPERTIES[VEHIDCODE],0))</f>
        <v>1</v>
      </c>
      <c r="L64" t="b">
        <f>ISNUMBER(MATCH(CONTROL[[#This Row],[VEHIDCODE]],GRAPHICS_PROPERTIES[VEHIDCODE],0))</f>
        <v>1</v>
      </c>
      <c r="M64" s="21" t="str">
        <f>"item_"&amp;CONTROL[[#This Row],[VEHIDCODE]]</f>
        <v>item_rbe_Budd_Silverliner_II</v>
      </c>
      <c r="N64" s="21" t="str">
        <f>"str_"&amp;CONTROL[[#This Row],[VEHIDCODE]]</f>
        <v>str_rbe_Budd_Silverliner_II</v>
      </c>
      <c r="O64" s="7" t="b">
        <f>INDEX(PROPERTIES[IS_CONCEPT],MATCH(CONTROL[[#This Row],[VEHIDCODE]],PROPERTIES[VEHIDCODE],0))="IS_CONCEPT"</f>
        <v>0</v>
      </c>
      <c r="P64" s="7" t="b">
        <f>INDEX(PROPERTIES[EXCLUDE],MATCH(CONTROL[[#This Row],[VEHIDCODE]],PROPERTIES[VEHIDCODE],0))</f>
        <v>0</v>
      </c>
      <c r="Q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5" spans="1:17" x14ac:dyDescent="0.35">
      <c r="A65" s="2" t="s">
        <v>2700</v>
      </c>
      <c r="B65" s="21" t="str">
        <f>MID(CONTROL[[#This Row],[VEHIDCODE]],FIND("_",CONTROL[[#This Row],[VEHIDCODE]])+1,LEN(CONTROL[[#This Row],[VEHIDCODE]]))</f>
        <v>Hyundai_Rotem_Silverliner_V</v>
      </c>
      <c r="C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65">
        <v>3019</v>
      </c>
      <c r="F65" s="30" t="s">
        <v>2088</v>
      </c>
      <c r="G65" t="s">
        <v>1101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ISNUMBER(MATCH(CONTROL[[#This Row],[VEHIDCODE]],TRACK_TYPES[VEHIDCODE],0))</f>
        <v>1</v>
      </c>
      <c r="K65" t="b">
        <f>ISNUMBER(MATCH(CONTROL[[#This Row],[VEHIDCODE]],PROPERTIES[VEHIDCODE],0))</f>
        <v>1</v>
      </c>
      <c r="L65" t="b">
        <f>ISNUMBER(MATCH(CONTROL[[#This Row],[VEHIDCODE]],GRAPHICS_PROPERTIES[VEHIDCODE],0))</f>
        <v>1</v>
      </c>
      <c r="M65" s="21" t="str">
        <f>"item_"&amp;CONTROL[[#This Row],[VEHIDCODE]]</f>
        <v>item_rbe_Hyundai_Rotem_Silverliner_V</v>
      </c>
      <c r="N65" s="21" t="str">
        <f>"str_"&amp;CONTROL[[#This Row],[VEHIDCODE]]</f>
        <v>str_rbe_Hyundai_Rotem_Silverliner_V</v>
      </c>
      <c r="O65" s="7" t="b">
        <f>INDEX(PROPERTIES[IS_CONCEPT],MATCH(CONTROL[[#This Row],[VEHIDCODE]],PROPERTIES[VEHIDCODE],0))="IS_CONCEPT"</f>
        <v>0</v>
      </c>
      <c r="P65" s="7" t="b">
        <f>INDEX(PROPERTIES[EXCLUDE],MATCH(CONTROL[[#This Row],[VEHIDCODE]],PROPERTIES[VEHIDCODE],0))</f>
        <v>0</v>
      </c>
      <c r="Q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6" spans="1:17" x14ac:dyDescent="0.35">
      <c r="A66" s="2" t="s">
        <v>2701</v>
      </c>
      <c r="B66" s="21" t="str">
        <f>MID(CONTROL[[#This Row],[VEHIDCODE]],FIND("_",CONTROL[[#This Row],[VEHIDCODE]])+1,LEN(CONTROL[[#This Row],[VEHIDCODE]]))</f>
        <v>John_Cockerill___Cie__Le_Belge</v>
      </c>
      <c r="C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6">
        <v>4000</v>
      </c>
      <c r="F66" s="30" t="s">
        <v>2089</v>
      </c>
      <c r="G66" t="s">
        <v>1102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ISNUMBER(MATCH(CONTROL[[#This Row],[VEHIDCODE]],TRACK_TYPES[VEHIDCODE],0))</f>
        <v>1</v>
      </c>
      <c r="K66" t="b">
        <f>ISNUMBER(MATCH(CONTROL[[#This Row],[VEHIDCODE]],PROPERTIES[VEHIDCODE],0))</f>
        <v>1</v>
      </c>
      <c r="L66" t="b">
        <f>ISNUMBER(MATCH(CONTROL[[#This Row],[VEHIDCODE]],GRAPHICS_PROPERTIES[VEHIDCODE],0))</f>
        <v>1</v>
      </c>
      <c r="M66" s="21" t="str">
        <f>"item_"&amp;CONTROL[[#This Row],[VEHIDCODE]]</f>
        <v>item_steam_John_Cockerill___Cie__Le_Belge</v>
      </c>
      <c r="N66" s="21" t="str">
        <f>"str_"&amp;CONTROL[[#This Row],[VEHIDCODE]]</f>
        <v>str_steam_John_Cockerill___Cie__Le_Belge</v>
      </c>
      <c r="O66" s="7" t="b">
        <f>INDEX(PROPERTIES[IS_CONCEPT],MATCH(CONTROL[[#This Row],[VEHIDCODE]],PROPERTIES[VEHIDCODE],0))="IS_CONCEPT"</f>
        <v>0</v>
      </c>
      <c r="P66" s="7" t="b">
        <f>INDEX(PROPERTIES[EXCLUDE],MATCH(CONTROL[[#This Row],[VEHIDCODE]],PROPERTIES[VEHIDCODE],0))</f>
        <v>0</v>
      </c>
      <c r="Q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7" spans="1:17" x14ac:dyDescent="0.35">
      <c r="A67" s="2" t="s">
        <v>2702</v>
      </c>
      <c r="B67" s="21" t="str">
        <f>MID(CONTROL[[#This Row],[VEHIDCODE]],FIND("_",CONTROL[[#This Row],[VEHIDCODE]])+1,LEN(CONTROL[[#This Row],[VEHIDCODE]]))</f>
        <v>GWR_4_4_0_American</v>
      </c>
      <c r="C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7">
        <v>4036</v>
      </c>
      <c r="F67" s="30" t="s">
        <v>3672</v>
      </c>
      <c r="G67" t="s">
        <v>3501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ISNUMBER(MATCH(CONTROL[[#This Row],[VEHIDCODE]],TRACK_TYPES[VEHIDCODE],0))</f>
        <v>1</v>
      </c>
      <c r="K67" t="b">
        <f>ISNUMBER(MATCH(CONTROL[[#This Row],[VEHIDCODE]],PROPERTIES[VEHIDCODE],0))</f>
        <v>1</v>
      </c>
      <c r="L67" t="b">
        <f>ISNUMBER(MATCH(CONTROL[[#This Row],[VEHIDCODE]],GRAPHICS_PROPERTIES[VEHIDCODE],0))</f>
        <v>1</v>
      </c>
      <c r="M67" s="21" t="str">
        <f>"item_"&amp;CONTROL[[#This Row],[VEHIDCODE]]</f>
        <v>item_steam_GWR_4_4_0_American</v>
      </c>
      <c r="N67" s="21" t="str">
        <f>"str_"&amp;CONTROL[[#This Row],[VEHIDCODE]]</f>
        <v>str_steam_GWR_4_4_0_American</v>
      </c>
      <c r="O67" s="7" t="b">
        <f>INDEX(PROPERTIES[IS_CONCEPT],MATCH(CONTROL[[#This Row],[VEHIDCODE]],PROPERTIES[VEHIDCODE],0))="IS_CONCEPT"</f>
        <v>0</v>
      </c>
      <c r="P67" s="7" t="b">
        <f>INDEX(PROPERTIES[EXCLUDE],MATCH(CONTROL[[#This Row],[VEHIDCODE]],PROPERTIES[VEHIDCODE],0))</f>
        <v>0</v>
      </c>
      <c r="Q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8" spans="1:17" x14ac:dyDescent="0.35">
      <c r="A68" s="2" t="s">
        <v>2703</v>
      </c>
      <c r="B68" s="21" t="str">
        <f>MID(CONTROL[[#This Row],[VEHIDCODE]],FIND("_",CONTROL[[#This Row],[VEHIDCODE]])+1,LEN(CONTROL[[#This Row],[VEHIDCODE]]))</f>
        <v>Esslingen_Ec_2_5</v>
      </c>
      <c r="C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8">
        <v>4002</v>
      </c>
      <c r="F68" s="30" t="s">
        <v>2090</v>
      </c>
      <c r="G68" t="s">
        <v>1103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ISNUMBER(MATCH(CONTROL[[#This Row],[VEHIDCODE]],TRACK_TYPES[VEHIDCODE],0))</f>
        <v>1</v>
      </c>
      <c r="K68" t="b">
        <f>ISNUMBER(MATCH(CONTROL[[#This Row],[VEHIDCODE]],PROPERTIES[VEHIDCODE],0))</f>
        <v>1</v>
      </c>
      <c r="L68" t="b">
        <f>ISNUMBER(MATCH(CONTROL[[#This Row],[VEHIDCODE]],GRAPHICS_PROPERTIES[VEHIDCODE],0))</f>
        <v>1</v>
      </c>
      <c r="M68" s="21" t="str">
        <f>"item_"&amp;CONTROL[[#This Row],[VEHIDCODE]]</f>
        <v>item_steam_Esslingen_Ec_2_5</v>
      </c>
      <c r="N68" s="21" t="str">
        <f>"str_"&amp;CONTROL[[#This Row],[VEHIDCODE]]</f>
        <v>str_steam_Esslingen_Ec_2_5</v>
      </c>
      <c r="O68" s="7" t="b">
        <f>INDEX(PROPERTIES[IS_CONCEPT],MATCH(CONTROL[[#This Row],[VEHIDCODE]],PROPERTIES[VEHIDCODE],0))="IS_CONCEPT"</f>
        <v>0</v>
      </c>
      <c r="P68" s="7" t="b">
        <f>INDEX(PROPERTIES[EXCLUDE],MATCH(CONTROL[[#This Row],[VEHIDCODE]],PROPERTIES[VEHIDCODE],0))</f>
        <v>0</v>
      </c>
      <c r="Q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9" spans="1:17" x14ac:dyDescent="0.35">
      <c r="A69" s="2" t="s">
        <v>2704</v>
      </c>
      <c r="B69" s="21" t="str">
        <f>MID(CONTROL[[#This Row],[VEHIDCODE]],FIND("_",CONTROL[[#This Row],[VEHIDCODE]])+1,LEN(CONTROL[[#This Row],[VEHIDCODE]]))</f>
        <v>Norris_4_6_0_Ten_wheeler</v>
      </c>
      <c r="C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9">
        <v>4037</v>
      </c>
      <c r="F69" s="30" t="s">
        <v>3502</v>
      </c>
      <c r="G69" t="s">
        <v>3503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ISNUMBER(MATCH(CONTROL[[#This Row],[VEHIDCODE]],TRACK_TYPES[VEHIDCODE],0))</f>
        <v>1</v>
      </c>
      <c r="K69" t="b">
        <f>ISNUMBER(MATCH(CONTROL[[#This Row],[VEHIDCODE]],PROPERTIES[VEHIDCODE],0))</f>
        <v>1</v>
      </c>
      <c r="L69" t="b">
        <f>ISNUMBER(MATCH(CONTROL[[#This Row],[VEHIDCODE]],GRAPHICS_PROPERTIES[VEHIDCODE],0))</f>
        <v>1</v>
      </c>
      <c r="M69" s="21" t="str">
        <f>"item_"&amp;CONTROL[[#This Row],[VEHIDCODE]]</f>
        <v>item_steam_Norris_4_6_0_Ten_wheeler</v>
      </c>
      <c r="N69" s="21" t="str">
        <f>"str_"&amp;CONTROL[[#This Row],[VEHIDCODE]]</f>
        <v>str_steam_Norris_4_6_0_Ten_wheeler</v>
      </c>
      <c r="O69" s="7" t="b">
        <f>INDEX(PROPERTIES[IS_CONCEPT],MATCH(CONTROL[[#This Row],[VEHIDCODE]],PROPERTIES[VEHIDCODE],0))="IS_CONCEPT"</f>
        <v>0</v>
      </c>
      <c r="P69" s="7" t="b">
        <f>INDEX(PROPERTIES[EXCLUDE],MATCH(CONTROL[[#This Row],[VEHIDCODE]],PROPERTIES[VEHIDCODE],0))</f>
        <v>0</v>
      </c>
      <c r="Q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0" spans="1:17" x14ac:dyDescent="0.35">
      <c r="A70" s="2" t="s">
        <v>2705</v>
      </c>
      <c r="B70" s="21" t="str">
        <f>MID(CONTROL[[#This Row],[VEHIDCODE]],FIND("_",CONTROL[[#This Row],[VEHIDCODE]])+1,LEN(CONTROL[[#This Row],[VEHIDCODE]]))</f>
        <v>Baldwin_2_8_0_Consolidation</v>
      </c>
      <c r="C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0">
        <v>4004</v>
      </c>
      <c r="F70" s="30" t="s">
        <v>2091</v>
      </c>
      <c r="G70" t="s">
        <v>3504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ISNUMBER(MATCH(CONTROL[[#This Row],[VEHIDCODE]],TRACK_TYPES[VEHIDCODE],0))</f>
        <v>1</v>
      </c>
      <c r="K70" t="b">
        <f>ISNUMBER(MATCH(CONTROL[[#This Row],[VEHIDCODE]],PROPERTIES[VEHIDCODE],0))</f>
        <v>1</v>
      </c>
      <c r="L70" t="b">
        <f>ISNUMBER(MATCH(CONTROL[[#This Row],[VEHIDCODE]],GRAPHICS_PROPERTIES[VEHIDCODE],0))</f>
        <v>1</v>
      </c>
      <c r="M70" s="21" t="str">
        <f>"item_"&amp;CONTROL[[#This Row],[VEHIDCODE]]</f>
        <v>item_steam_Baldwin_2_8_0_Consolidation</v>
      </c>
      <c r="N70" s="21" t="str">
        <f>"str_"&amp;CONTROL[[#This Row],[VEHIDCODE]]</f>
        <v>str_steam_Baldwin_2_8_0_Consolidation</v>
      </c>
      <c r="O70" s="7" t="b">
        <f>INDEX(PROPERTIES[IS_CONCEPT],MATCH(CONTROL[[#This Row],[VEHIDCODE]],PROPERTIES[VEHIDCODE],0))="IS_CONCEPT"</f>
        <v>0</v>
      </c>
      <c r="P70" s="7" t="b">
        <f>INDEX(PROPERTIES[EXCLUDE],MATCH(CONTROL[[#This Row],[VEHIDCODE]],PROPERTIES[VEHIDCODE],0))</f>
        <v>0</v>
      </c>
      <c r="Q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1" spans="1:17" x14ac:dyDescent="0.35">
      <c r="A71" s="2" t="s">
        <v>2706</v>
      </c>
      <c r="B71" s="21" t="str">
        <f>MID(CONTROL[[#This Row],[VEHIDCODE]],FIND("_",CONTROL[[#This Row],[VEHIDCODE]])+1,LEN(CONTROL[[#This Row],[VEHIDCODE]]))</f>
        <v>MAV_377</v>
      </c>
      <c r="C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1">
        <v>4005</v>
      </c>
      <c r="F71" s="30" t="s">
        <v>1696</v>
      </c>
      <c r="G71" t="s">
        <v>1104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ISNUMBER(MATCH(CONTROL[[#This Row],[VEHIDCODE]],TRACK_TYPES[VEHIDCODE],0))</f>
        <v>1</v>
      </c>
      <c r="K71" t="b">
        <f>ISNUMBER(MATCH(CONTROL[[#This Row],[VEHIDCODE]],PROPERTIES[VEHIDCODE],0))</f>
        <v>1</v>
      </c>
      <c r="L71" t="b">
        <f>ISNUMBER(MATCH(CONTROL[[#This Row],[VEHIDCODE]],GRAPHICS_PROPERTIES[VEHIDCODE],0))</f>
        <v>1</v>
      </c>
      <c r="M71" s="21" t="str">
        <f>"item_"&amp;CONTROL[[#This Row],[VEHIDCODE]]</f>
        <v>item_steam_MAV_377</v>
      </c>
      <c r="N71" s="21" t="str">
        <f>"str_"&amp;CONTROL[[#This Row],[VEHIDCODE]]</f>
        <v>str_steam_MAV_377</v>
      </c>
      <c r="O71" s="7" t="b">
        <f>INDEX(PROPERTIES[IS_CONCEPT],MATCH(CONTROL[[#This Row],[VEHIDCODE]],PROPERTIES[VEHIDCODE],0))="IS_CONCEPT"</f>
        <v>0</v>
      </c>
      <c r="P71" s="7" t="b">
        <f>INDEX(PROPERTIES[EXCLUDE],MATCH(CONTROL[[#This Row],[VEHIDCODE]],PROPERTIES[VEHIDCODE],0))</f>
        <v>0</v>
      </c>
      <c r="Q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2" spans="1:17" x14ac:dyDescent="0.35">
      <c r="A72" s="2" t="s">
        <v>2707</v>
      </c>
      <c r="B72" s="21" t="str">
        <f>MID(CONTROL[[#This Row],[VEHIDCODE]],FIND("_",CONTROL[[#This Row],[VEHIDCODE]])+1,LEN(CONTROL[[#This Row],[VEHIDCODE]]))</f>
        <v>Krauss_KkStB_99</v>
      </c>
      <c r="C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2">
        <v>4006</v>
      </c>
      <c r="F72" s="30" t="s">
        <v>2092</v>
      </c>
      <c r="G72" t="s">
        <v>1105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ISNUMBER(MATCH(CONTROL[[#This Row],[VEHIDCODE]],TRACK_TYPES[VEHIDCODE],0))</f>
        <v>1</v>
      </c>
      <c r="K72" t="b">
        <f>ISNUMBER(MATCH(CONTROL[[#This Row],[VEHIDCODE]],PROPERTIES[VEHIDCODE],0))</f>
        <v>1</v>
      </c>
      <c r="L72" t="b">
        <f>ISNUMBER(MATCH(CONTROL[[#This Row],[VEHIDCODE]],GRAPHICS_PROPERTIES[VEHIDCODE],0))</f>
        <v>1</v>
      </c>
      <c r="M72" s="21" t="str">
        <f>"item_"&amp;CONTROL[[#This Row],[VEHIDCODE]]</f>
        <v>item_steam_Krauss_KkStB_99</v>
      </c>
      <c r="N72" s="21" t="str">
        <f>"str_"&amp;CONTROL[[#This Row],[VEHIDCODE]]</f>
        <v>str_steam_Krauss_KkStB_99</v>
      </c>
      <c r="O72" s="7" t="b">
        <f>INDEX(PROPERTIES[IS_CONCEPT],MATCH(CONTROL[[#This Row],[VEHIDCODE]],PROPERTIES[VEHIDCODE],0))="IS_CONCEPT"</f>
        <v>0</v>
      </c>
      <c r="P72" s="7" t="b">
        <f>INDEX(PROPERTIES[EXCLUDE],MATCH(CONTROL[[#This Row],[VEHIDCODE]],PROPERTIES[VEHIDCODE],0))</f>
        <v>0</v>
      </c>
      <c r="Q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3" spans="1:17" x14ac:dyDescent="0.35">
      <c r="A73" s="2" t="s">
        <v>2708</v>
      </c>
      <c r="B73" s="21" t="str">
        <f>MID(CONTROL[[#This Row],[VEHIDCODE]],FIND("_",CONTROL[[#This Row],[VEHIDCODE]])+1,LEN(CONTROL[[#This Row],[VEHIDCODE]]))</f>
        <v>McIntosh__Caledonian_Railway__439</v>
      </c>
      <c r="C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3">
        <v>4007</v>
      </c>
      <c r="F73" s="30" t="s">
        <v>2093</v>
      </c>
      <c r="G73" t="s">
        <v>1106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ISNUMBER(MATCH(CONTROL[[#This Row],[VEHIDCODE]],TRACK_TYPES[VEHIDCODE],0))</f>
        <v>1</v>
      </c>
      <c r="K73" t="b">
        <f>ISNUMBER(MATCH(CONTROL[[#This Row],[VEHIDCODE]],PROPERTIES[VEHIDCODE],0))</f>
        <v>1</v>
      </c>
      <c r="L73" t="b">
        <f>ISNUMBER(MATCH(CONTROL[[#This Row],[VEHIDCODE]],GRAPHICS_PROPERTIES[VEHIDCODE],0))</f>
        <v>1</v>
      </c>
      <c r="M73" s="21" t="str">
        <f>"item_"&amp;CONTROL[[#This Row],[VEHIDCODE]]</f>
        <v>item_steam_McIntosh__Caledonian_Railway__439</v>
      </c>
      <c r="N73" s="21" t="str">
        <f>"str_"&amp;CONTROL[[#This Row],[VEHIDCODE]]</f>
        <v>str_steam_McIntosh__Caledonian_Railway__439</v>
      </c>
      <c r="O73" s="7" t="b">
        <f>INDEX(PROPERTIES[IS_CONCEPT],MATCH(CONTROL[[#This Row],[VEHIDCODE]],PROPERTIES[VEHIDCODE],0))="IS_CONCEPT"</f>
        <v>0</v>
      </c>
      <c r="P73" s="7" t="b">
        <f>INDEX(PROPERTIES[EXCLUDE],MATCH(CONTROL[[#This Row],[VEHIDCODE]],PROPERTIES[VEHIDCODE],0))</f>
        <v>0</v>
      </c>
      <c r="Q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4" spans="1:17" x14ac:dyDescent="0.35">
      <c r="A74" s="2" t="s">
        <v>2709</v>
      </c>
      <c r="B74" s="21" t="str">
        <f>MID(CONTROL[[#This Row],[VEHIDCODE]],FIND("_",CONTROL[[#This Row],[VEHIDCODE]])+1,LEN(CONTROL[[#This Row],[VEHIDCODE]]))</f>
        <v>SLM_Winterthur_A_3_5</v>
      </c>
      <c r="C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4">
        <v>4008</v>
      </c>
      <c r="F74" s="30" t="s">
        <v>2094</v>
      </c>
      <c r="G74" t="s">
        <v>1107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ISNUMBER(MATCH(CONTROL[[#This Row],[VEHIDCODE]],TRACK_TYPES[VEHIDCODE],0))</f>
        <v>1</v>
      </c>
      <c r="K74" t="b">
        <f>ISNUMBER(MATCH(CONTROL[[#This Row],[VEHIDCODE]],PROPERTIES[VEHIDCODE],0))</f>
        <v>1</v>
      </c>
      <c r="L74" t="b">
        <f>ISNUMBER(MATCH(CONTROL[[#This Row],[VEHIDCODE]],GRAPHICS_PROPERTIES[VEHIDCODE],0))</f>
        <v>1</v>
      </c>
      <c r="M74" s="21" t="str">
        <f>"item_"&amp;CONTROL[[#This Row],[VEHIDCODE]]</f>
        <v>item_steam_SLM_Winterthur_A_3_5</v>
      </c>
      <c r="N74" s="21" t="str">
        <f>"str_"&amp;CONTROL[[#This Row],[VEHIDCODE]]</f>
        <v>str_steam_SLM_Winterthur_A_3_5</v>
      </c>
      <c r="O74" s="7" t="b">
        <f>INDEX(PROPERTIES[IS_CONCEPT],MATCH(CONTROL[[#This Row],[VEHIDCODE]],PROPERTIES[VEHIDCODE],0))="IS_CONCEPT"</f>
        <v>0</v>
      </c>
      <c r="P74" s="7" t="b">
        <f>INDEX(PROPERTIES[EXCLUDE],MATCH(CONTROL[[#This Row],[VEHIDCODE]],PROPERTIES[VEHIDCODE],0))</f>
        <v>0</v>
      </c>
      <c r="Q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5" spans="1:17" x14ac:dyDescent="0.35">
      <c r="A75" s="2" t="s">
        <v>2710</v>
      </c>
      <c r="B75" s="21" t="str">
        <f>MID(CONTROL[[#This Row],[VEHIDCODE]],FIND("_",CONTROL[[#This Row],[VEHIDCODE]])+1,LEN(CONTROL[[#This Row],[VEHIDCODE]]))</f>
        <v>SLM_Winterthur_E_3_3</v>
      </c>
      <c r="C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5">
        <v>4009</v>
      </c>
      <c r="F75" s="30" t="s">
        <v>2095</v>
      </c>
      <c r="G75" t="s">
        <v>1108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ISNUMBER(MATCH(CONTROL[[#This Row],[VEHIDCODE]],TRACK_TYPES[VEHIDCODE],0))</f>
        <v>1</v>
      </c>
      <c r="K75" t="b">
        <f>ISNUMBER(MATCH(CONTROL[[#This Row],[VEHIDCODE]],PROPERTIES[VEHIDCODE],0))</f>
        <v>1</v>
      </c>
      <c r="L75" t="b">
        <f>ISNUMBER(MATCH(CONTROL[[#This Row],[VEHIDCODE]],GRAPHICS_PROPERTIES[VEHIDCODE],0))</f>
        <v>1</v>
      </c>
      <c r="M75" s="21" t="str">
        <f>"item_"&amp;CONTROL[[#This Row],[VEHIDCODE]]</f>
        <v>item_steam_SLM_Winterthur_E_3_3</v>
      </c>
      <c r="N75" s="21" t="str">
        <f>"str_"&amp;CONTROL[[#This Row],[VEHIDCODE]]</f>
        <v>str_steam_SLM_Winterthur_E_3_3</v>
      </c>
      <c r="O75" s="7" t="b">
        <f>INDEX(PROPERTIES[IS_CONCEPT],MATCH(CONTROL[[#This Row],[VEHIDCODE]],PROPERTIES[VEHIDCODE],0))="IS_CONCEPT"</f>
        <v>0</v>
      </c>
      <c r="P75" s="7" t="b">
        <f>INDEX(PROPERTIES[EXCLUDE],MATCH(CONTROL[[#This Row],[VEHIDCODE]],PROPERTIES[VEHIDCODE],0))</f>
        <v>0</v>
      </c>
      <c r="Q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6" spans="1:17" x14ac:dyDescent="0.35">
      <c r="A76" s="2" t="s">
        <v>2711</v>
      </c>
      <c r="B76" s="21" t="str">
        <f>MID(CONTROL[[#This Row],[VEHIDCODE]],FIND("_",CONTROL[[#This Row],[VEHIDCODE]])+1,LEN(CONTROL[[#This Row],[VEHIDCODE]]))</f>
        <v>Krauss_299</v>
      </c>
      <c r="C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6">
        <v>4010</v>
      </c>
      <c r="F76" s="30" t="s">
        <v>2096</v>
      </c>
      <c r="G76" t="s">
        <v>1109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ISNUMBER(MATCH(CONTROL[[#This Row],[VEHIDCODE]],TRACK_TYPES[VEHIDCODE],0))</f>
        <v>1</v>
      </c>
      <c r="K76" t="b">
        <f>ISNUMBER(MATCH(CONTROL[[#This Row],[VEHIDCODE]],PROPERTIES[VEHIDCODE],0))</f>
        <v>1</v>
      </c>
      <c r="L76" t="b">
        <f>ISNUMBER(MATCH(CONTROL[[#This Row],[VEHIDCODE]],GRAPHICS_PROPERTIES[VEHIDCODE],0))</f>
        <v>1</v>
      </c>
      <c r="M76" s="21" t="str">
        <f>"item_"&amp;CONTROL[[#This Row],[VEHIDCODE]]</f>
        <v>item_steam_Krauss_299</v>
      </c>
      <c r="N76" s="21" t="str">
        <f>"str_"&amp;CONTROL[[#This Row],[VEHIDCODE]]</f>
        <v>str_steam_Krauss_299</v>
      </c>
      <c r="O76" s="7" t="b">
        <f>INDEX(PROPERTIES[IS_CONCEPT],MATCH(CONTROL[[#This Row],[VEHIDCODE]],PROPERTIES[VEHIDCODE],0))="IS_CONCEPT"</f>
        <v>0</v>
      </c>
      <c r="P76" s="7" t="b">
        <f>INDEX(PROPERTIES[EXCLUDE],MATCH(CONTROL[[#This Row],[VEHIDCODE]],PROPERTIES[VEHIDCODE],0))</f>
        <v>0</v>
      </c>
      <c r="Q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7" spans="1:17" x14ac:dyDescent="0.35">
      <c r="A77" s="2" t="s">
        <v>2712</v>
      </c>
      <c r="B77" s="21" t="str">
        <f>MID(CONTROL[[#This Row],[VEHIDCODE]],FIND("_",CONTROL[[#This Row],[VEHIDCODE]])+1,LEN(CONTROL[[#This Row],[VEHIDCODE]]))</f>
        <v>NZR_X</v>
      </c>
      <c r="C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7">
        <v>4011</v>
      </c>
      <c r="F77" s="30" t="s">
        <v>359</v>
      </c>
      <c r="G77" t="s">
        <v>1110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ISNUMBER(MATCH(CONTROL[[#This Row],[VEHIDCODE]],TRACK_TYPES[VEHIDCODE],0))</f>
        <v>1</v>
      </c>
      <c r="K77" t="b">
        <f>ISNUMBER(MATCH(CONTROL[[#This Row],[VEHIDCODE]],PROPERTIES[VEHIDCODE],0))</f>
        <v>1</v>
      </c>
      <c r="L77" t="b">
        <f>ISNUMBER(MATCH(CONTROL[[#This Row],[VEHIDCODE]],GRAPHICS_PROPERTIES[VEHIDCODE],0))</f>
        <v>1</v>
      </c>
      <c r="M77" s="21" t="str">
        <f>"item_"&amp;CONTROL[[#This Row],[VEHIDCODE]]</f>
        <v>item_steam_NZR_X</v>
      </c>
      <c r="N77" s="21" t="str">
        <f>"str_"&amp;CONTROL[[#This Row],[VEHIDCODE]]</f>
        <v>str_steam_NZR_X</v>
      </c>
      <c r="O77" s="7" t="b">
        <f>INDEX(PROPERTIES[IS_CONCEPT],MATCH(CONTROL[[#This Row],[VEHIDCODE]],PROPERTIES[VEHIDCODE],0))="IS_CONCEPT"</f>
        <v>0</v>
      </c>
      <c r="P77" s="7" t="b">
        <f>INDEX(PROPERTIES[EXCLUDE],MATCH(CONTROL[[#This Row],[VEHIDCODE]],PROPERTIES[VEHIDCODE],0))</f>
        <v>0</v>
      </c>
      <c r="Q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8" spans="1:17" x14ac:dyDescent="0.35">
      <c r="A78" s="2" t="s">
        <v>3442</v>
      </c>
      <c r="B78" s="21" t="str">
        <f>MID(CONTROL[[#This Row],[VEHIDCODE]],FIND("_",CONTROL[[#This Row],[VEHIDCODE]])+1,LEN(CONTROL[[#This Row],[VEHIDCODE]]))</f>
        <v>MaVAG_375</v>
      </c>
      <c r="C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8">
        <v>4014</v>
      </c>
      <c r="F78" s="30" t="s">
        <v>3535</v>
      </c>
      <c r="G78" t="s">
        <v>1111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ISNUMBER(MATCH(CONTROL[[#This Row],[VEHIDCODE]],TRACK_TYPES[VEHIDCODE],0))</f>
        <v>1</v>
      </c>
      <c r="K78" t="b">
        <f>ISNUMBER(MATCH(CONTROL[[#This Row],[VEHIDCODE]],PROPERTIES[VEHIDCODE],0))</f>
        <v>1</v>
      </c>
      <c r="L78" t="b">
        <f>ISNUMBER(MATCH(CONTROL[[#This Row],[VEHIDCODE]],GRAPHICS_PROPERTIES[VEHIDCODE],0))</f>
        <v>1</v>
      </c>
      <c r="M78" s="21" t="str">
        <f>"item_"&amp;CONTROL[[#This Row],[VEHIDCODE]]</f>
        <v>item_steam_MaVAG_375</v>
      </c>
      <c r="N78" s="21" t="str">
        <f>"str_"&amp;CONTROL[[#This Row],[VEHIDCODE]]</f>
        <v>str_steam_MaVAG_375</v>
      </c>
      <c r="O78" s="7" t="b">
        <f>INDEX(PROPERTIES[IS_CONCEPT],MATCH(CONTROL[[#This Row],[VEHIDCODE]],PROPERTIES[VEHIDCODE],0))="IS_CONCEPT"</f>
        <v>0</v>
      </c>
      <c r="P78" s="7" t="b">
        <f>INDEX(PROPERTIES[EXCLUDE],MATCH(CONTROL[[#This Row],[VEHIDCODE]],PROPERTIES[VEHIDCODE],0))</f>
        <v>0</v>
      </c>
      <c r="Q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9" spans="1:17" x14ac:dyDescent="0.35">
      <c r="A79" s="2" t="s">
        <v>2713</v>
      </c>
      <c r="B79" s="21" t="str">
        <f>MID(CONTROL[[#This Row],[VEHIDCODE]],FIND("_",CONTROL[[#This Row],[VEHIDCODE]])+1,LEN(CONTROL[[#This Row],[VEHIDCODE]]))</f>
        <v>FS_880</v>
      </c>
      <c r="C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">
        <v>4015</v>
      </c>
      <c r="F79" s="30" t="s">
        <v>360</v>
      </c>
      <c r="G79" t="s">
        <v>1112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ISNUMBER(MATCH(CONTROL[[#This Row],[VEHIDCODE]],TRACK_TYPES[VEHIDCODE],0))</f>
        <v>1</v>
      </c>
      <c r="K79" t="b">
        <f>ISNUMBER(MATCH(CONTROL[[#This Row],[VEHIDCODE]],PROPERTIES[VEHIDCODE],0))</f>
        <v>1</v>
      </c>
      <c r="L79" t="b">
        <f>ISNUMBER(MATCH(CONTROL[[#This Row],[VEHIDCODE]],GRAPHICS_PROPERTIES[VEHIDCODE],0))</f>
        <v>1</v>
      </c>
      <c r="M79" s="21" t="str">
        <f>"item_"&amp;CONTROL[[#This Row],[VEHIDCODE]]</f>
        <v>item_steam_FS_880</v>
      </c>
      <c r="N79" s="21" t="str">
        <f>"str_"&amp;CONTROL[[#This Row],[VEHIDCODE]]</f>
        <v>str_steam_FS_880</v>
      </c>
      <c r="O79" s="7" t="b">
        <f>INDEX(PROPERTIES[IS_CONCEPT],MATCH(CONTROL[[#This Row],[VEHIDCODE]],PROPERTIES[VEHIDCODE],0))="IS_CONCEPT"</f>
        <v>0</v>
      </c>
      <c r="P79" s="7" t="b">
        <f>INDEX(PROPERTIES[EXCLUDE],MATCH(CONTROL[[#This Row],[VEHIDCODE]],PROPERTIES[VEHIDCODE],0))</f>
        <v>0</v>
      </c>
      <c r="Q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0" spans="1:17" x14ac:dyDescent="0.35">
      <c r="A80" s="2" t="s">
        <v>2714</v>
      </c>
      <c r="B80" s="21" t="str">
        <f>MID(CONTROL[[#This Row],[VEHIDCODE]],FIND("_",CONTROL[[#This Row],[VEHIDCODE]])+1,LEN(CONTROL[[#This Row],[VEHIDCODE]]))</f>
        <v>FCNEA_11B_2_8_0</v>
      </c>
      <c r="C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0">
        <v>4016</v>
      </c>
      <c r="F80" s="30" t="s">
        <v>361</v>
      </c>
      <c r="G80" t="s">
        <v>1113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ISNUMBER(MATCH(CONTROL[[#This Row],[VEHIDCODE]],TRACK_TYPES[VEHIDCODE],0))</f>
        <v>1</v>
      </c>
      <c r="K80" t="b">
        <f>ISNUMBER(MATCH(CONTROL[[#This Row],[VEHIDCODE]],PROPERTIES[VEHIDCODE],0))</f>
        <v>1</v>
      </c>
      <c r="L80" t="b">
        <f>ISNUMBER(MATCH(CONTROL[[#This Row],[VEHIDCODE]],GRAPHICS_PROPERTIES[VEHIDCODE],0))</f>
        <v>1</v>
      </c>
      <c r="M80" s="21" t="str">
        <f>"item_"&amp;CONTROL[[#This Row],[VEHIDCODE]]</f>
        <v>item_steam_FCNEA_11B_2_8_0</v>
      </c>
      <c r="N80" s="21" t="str">
        <f>"str_"&amp;CONTROL[[#This Row],[VEHIDCODE]]</f>
        <v>str_steam_FCNEA_11B_2_8_0</v>
      </c>
      <c r="O80" s="7" t="b">
        <f>INDEX(PROPERTIES[IS_CONCEPT],MATCH(CONTROL[[#This Row],[VEHIDCODE]],PROPERTIES[VEHIDCODE],0))="IS_CONCEPT"</f>
        <v>0</v>
      </c>
      <c r="P80" s="7" t="b">
        <f>INDEX(PROPERTIES[EXCLUDE],MATCH(CONTROL[[#This Row],[VEHIDCODE]],PROPERTIES[VEHIDCODE],0))</f>
        <v>0</v>
      </c>
      <c r="Q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1" spans="1:17" x14ac:dyDescent="0.35">
      <c r="A81" s="2" t="s">
        <v>2715</v>
      </c>
      <c r="B81" s="21" t="str">
        <f>MID(CONTROL[[#This Row],[VEHIDCODE]],FIND("_",CONTROL[[#This Row],[VEHIDCODE]])+1,LEN(CONTROL[[#This Row],[VEHIDCODE]]))</f>
        <v>Schneider_et_Cie_140C</v>
      </c>
      <c r="C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1">
        <v>4017</v>
      </c>
      <c r="F81" s="30" t="s">
        <v>2097</v>
      </c>
      <c r="G81" t="s">
        <v>1652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ISNUMBER(MATCH(CONTROL[[#This Row],[VEHIDCODE]],TRACK_TYPES[VEHIDCODE],0))</f>
        <v>1</v>
      </c>
      <c r="K81" t="b">
        <f>ISNUMBER(MATCH(CONTROL[[#This Row],[VEHIDCODE]],PROPERTIES[VEHIDCODE],0))</f>
        <v>1</v>
      </c>
      <c r="L81" t="b">
        <f>ISNUMBER(MATCH(CONTROL[[#This Row],[VEHIDCODE]],GRAPHICS_PROPERTIES[VEHIDCODE],0))</f>
        <v>1</v>
      </c>
      <c r="M81" s="21" t="str">
        <f>"item_"&amp;CONTROL[[#This Row],[VEHIDCODE]]</f>
        <v>item_steam_Schneider_et_Cie_140C</v>
      </c>
      <c r="N81" s="21" t="str">
        <f>"str_"&amp;CONTROL[[#This Row],[VEHIDCODE]]</f>
        <v>str_steam_Schneider_et_Cie_140C</v>
      </c>
      <c r="O81" s="7" t="b">
        <f>INDEX(PROPERTIES[IS_CONCEPT],MATCH(CONTROL[[#This Row],[VEHIDCODE]],PROPERTIES[VEHIDCODE],0))="IS_CONCEPT"</f>
        <v>0</v>
      </c>
      <c r="P81" s="7" t="b">
        <f>INDEX(PROPERTIES[EXCLUDE],MATCH(CONTROL[[#This Row],[VEHIDCODE]],PROPERTIES[VEHIDCODE],0))</f>
        <v>0</v>
      </c>
      <c r="Q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2" spans="1:17" x14ac:dyDescent="0.35">
      <c r="A82" s="2" t="s">
        <v>3464</v>
      </c>
      <c r="B82" s="21" t="str">
        <f>MID(CONTROL[[#This Row],[VEHIDCODE]],FIND("_",CONTROL[[#This Row],[VEHIDCODE]])+1,LEN(CONTROL[[#This Row],[VEHIDCODE]]))</f>
        <v>Union_Giesserei_2_8_2T</v>
      </c>
      <c r="C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2">
        <v>4018</v>
      </c>
      <c r="F82" s="30" t="s">
        <v>3465</v>
      </c>
      <c r="G82" t="s">
        <v>1651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ISNUMBER(MATCH(CONTROL[[#This Row],[VEHIDCODE]],TRACK_TYPES[VEHIDCODE],0))</f>
        <v>1</v>
      </c>
      <c r="K82" t="b">
        <f>ISNUMBER(MATCH(CONTROL[[#This Row],[VEHIDCODE]],PROPERTIES[VEHIDCODE],0))</f>
        <v>1</v>
      </c>
      <c r="L82" t="b">
        <f>ISNUMBER(MATCH(CONTROL[[#This Row],[VEHIDCODE]],GRAPHICS_PROPERTIES[VEHIDCODE],0))</f>
        <v>1</v>
      </c>
      <c r="M82" s="21" t="str">
        <f>"item_"&amp;CONTROL[[#This Row],[VEHIDCODE]]</f>
        <v>item_steam_Union_Giesserei_2_8_2T</v>
      </c>
      <c r="N82" s="21" t="str">
        <f>"str_"&amp;CONTROL[[#This Row],[VEHIDCODE]]</f>
        <v>str_steam_Union_Giesserei_2_8_2T</v>
      </c>
      <c r="O82" s="7" t="b">
        <f>INDEX(PROPERTIES[IS_CONCEPT],MATCH(CONTROL[[#This Row],[VEHIDCODE]],PROPERTIES[VEHIDCODE],0))="IS_CONCEPT"</f>
        <v>0</v>
      </c>
      <c r="P82" s="7" t="b">
        <f>INDEX(PROPERTIES[EXCLUDE],MATCH(CONTROL[[#This Row],[VEHIDCODE]],PROPERTIES[VEHIDCODE],0))</f>
        <v>0</v>
      </c>
      <c r="Q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3" spans="1:17" x14ac:dyDescent="0.35">
      <c r="A83" s="2" t="s">
        <v>2716</v>
      </c>
      <c r="B83" s="21" t="str">
        <f>MID(CONTROL[[#This Row],[VEHIDCODE]],FIND("_",CONTROL[[#This Row],[VEHIDCODE]])+1,LEN(CONTROL[[#This Row],[VEHIDCODE]]))</f>
        <v>GWR_4900_Hall</v>
      </c>
      <c r="C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">
        <v>4019</v>
      </c>
      <c r="F83" s="30" t="s">
        <v>1115</v>
      </c>
      <c r="G83" t="s">
        <v>1114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ISNUMBER(MATCH(CONTROL[[#This Row],[VEHIDCODE]],TRACK_TYPES[VEHIDCODE],0))</f>
        <v>1</v>
      </c>
      <c r="K83" t="b">
        <f>ISNUMBER(MATCH(CONTROL[[#This Row],[VEHIDCODE]],PROPERTIES[VEHIDCODE],0))</f>
        <v>1</v>
      </c>
      <c r="L83" t="b">
        <f>ISNUMBER(MATCH(CONTROL[[#This Row],[VEHIDCODE]],GRAPHICS_PROPERTIES[VEHIDCODE],0))</f>
        <v>1</v>
      </c>
      <c r="M83" s="21" t="str">
        <f>"item_"&amp;CONTROL[[#This Row],[VEHIDCODE]]</f>
        <v>item_steam_GWR_4900_Hall</v>
      </c>
      <c r="N83" s="21" t="str">
        <f>"str_"&amp;CONTROL[[#This Row],[VEHIDCODE]]</f>
        <v>str_steam_GWR_4900_Hall</v>
      </c>
      <c r="O83" s="7" t="b">
        <f>INDEX(PROPERTIES[IS_CONCEPT],MATCH(CONTROL[[#This Row],[VEHIDCODE]],PROPERTIES[VEHIDCODE],0))="IS_CONCEPT"</f>
        <v>0</v>
      </c>
      <c r="P83" s="7" t="b">
        <f>INDEX(PROPERTIES[EXCLUDE],MATCH(CONTROL[[#This Row],[VEHIDCODE]],PROPERTIES[VEHIDCODE],0))</f>
        <v>0</v>
      </c>
      <c r="Q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" spans="1:17" x14ac:dyDescent="0.35">
      <c r="A84" s="2" t="s">
        <v>2717</v>
      </c>
      <c r="B84" s="21" t="str">
        <f>MID(CONTROL[[#This Row],[VEHIDCODE]],FIND("_",CONTROL[[#This Row],[VEHIDCODE]])+1,LEN(CONTROL[[#This Row],[VEHIDCODE]]))</f>
        <v>GWR_5700_Pannier</v>
      </c>
      <c r="C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">
        <v>4020</v>
      </c>
      <c r="F84" s="30" t="s">
        <v>1116</v>
      </c>
      <c r="G84" t="s">
        <v>1117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ISNUMBER(MATCH(CONTROL[[#This Row],[VEHIDCODE]],TRACK_TYPES[VEHIDCODE],0))</f>
        <v>1</v>
      </c>
      <c r="K84" t="b">
        <f>ISNUMBER(MATCH(CONTROL[[#This Row],[VEHIDCODE]],PROPERTIES[VEHIDCODE],0))</f>
        <v>1</v>
      </c>
      <c r="L84" t="b">
        <f>ISNUMBER(MATCH(CONTROL[[#This Row],[VEHIDCODE]],GRAPHICS_PROPERTIES[VEHIDCODE],0))</f>
        <v>1</v>
      </c>
      <c r="M84" s="21" t="str">
        <f>"item_"&amp;CONTROL[[#This Row],[VEHIDCODE]]</f>
        <v>item_steam_GWR_5700_Pannier</v>
      </c>
      <c r="N84" s="21" t="str">
        <f>"str_"&amp;CONTROL[[#This Row],[VEHIDCODE]]</f>
        <v>str_steam_GWR_5700_Pannier</v>
      </c>
      <c r="O84" s="7" t="b">
        <f>INDEX(PROPERTIES[IS_CONCEPT],MATCH(CONTROL[[#This Row],[VEHIDCODE]],PROPERTIES[VEHIDCODE],0))="IS_CONCEPT"</f>
        <v>0</v>
      </c>
      <c r="P84" s="7" t="b">
        <f>INDEX(PROPERTIES[EXCLUDE],MATCH(CONTROL[[#This Row],[VEHIDCODE]],PROPERTIES[VEHIDCODE],0))</f>
        <v>0</v>
      </c>
      <c r="Q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5" spans="1:17" x14ac:dyDescent="0.35">
      <c r="A85" s="2" t="s">
        <v>2718</v>
      </c>
      <c r="B85" s="21" t="str">
        <f>MID(CONTROL[[#This Row],[VEHIDCODE]],FIND("_",CONTROL[[#This Row],[VEHIDCODE]])+1,LEN(CONTROL[[#This Row],[VEHIDCODE]]))</f>
        <v>Henschel___Sohn_series_6300</v>
      </c>
      <c r="C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5">
        <v>4021</v>
      </c>
      <c r="F85" s="30" t="s">
        <v>2596</v>
      </c>
      <c r="G85" t="s">
        <v>1118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ISNUMBER(MATCH(CONTROL[[#This Row],[VEHIDCODE]],TRACK_TYPES[VEHIDCODE],0))</f>
        <v>1</v>
      </c>
      <c r="K85" t="b">
        <f>ISNUMBER(MATCH(CONTROL[[#This Row],[VEHIDCODE]],PROPERTIES[VEHIDCODE],0))</f>
        <v>1</v>
      </c>
      <c r="L85" t="b">
        <f>ISNUMBER(MATCH(CONTROL[[#This Row],[VEHIDCODE]],GRAPHICS_PROPERTIES[VEHIDCODE],0))</f>
        <v>1</v>
      </c>
      <c r="M85" s="21" t="str">
        <f>"item_"&amp;CONTROL[[#This Row],[VEHIDCODE]]</f>
        <v>item_steam_Henschel___Sohn_series_6300</v>
      </c>
      <c r="N85" s="21" t="str">
        <f>"str_"&amp;CONTROL[[#This Row],[VEHIDCODE]]</f>
        <v>str_steam_Henschel___Sohn_series_6300</v>
      </c>
      <c r="O85" s="7" t="b">
        <f>INDEX(PROPERTIES[IS_CONCEPT],MATCH(CONTROL[[#This Row],[VEHIDCODE]],PROPERTIES[VEHIDCODE],0))="IS_CONCEPT"</f>
        <v>0</v>
      </c>
      <c r="P85" s="7" t="b">
        <f>INDEX(PROPERTIES[EXCLUDE],MATCH(CONTROL[[#This Row],[VEHIDCODE]],PROPERTIES[VEHIDCODE],0))</f>
        <v>0</v>
      </c>
      <c r="Q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6" spans="1:17" x14ac:dyDescent="0.35">
      <c r="A86" s="2" t="s">
        <v>2719</v>
      </c>
      <c r="B86" s="21" t="str">
        <f>MID(CONTROL[[#This Row],[VEHIDCODE]],FIND("_",CONTROL[[#This Row],[VEHIDCODE]])+1,LEN(CONTROL[[#This Row],[VEHIDCODE]]))</f>
        <v>Baldwin_5000_Madame_Queen</v>
      </c>
      <c r="C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6">
        <v>4022</v>
      </c>
      <c r="F86" s="30" t="s">
        <v>2098</v>
      </c>
      <c r="G86" t="s">
        <v>1119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ISNUMBER(MATCH(CONTROL[[#This Row],[VEHIDCODE]],TRACK_TYPES[VEHIDCODE],0))</f>
        <v>1</v>
      </c>
      <c r="K86" t="b">
        <f>ISNUMBER(MATCH(CONTROL[[#This Row],[VEHIDCODE]],PROPERTIES[VEHIDCODE],0))</f>
        <v>1</v>
      </c>
      <c r="L86" t="b">
        <f>ISNUMBER(MATCH(CONTROL[[#This Row],[VEHIDCODE]],GRAPHICS_PROPERTIES[VEHIDCODE],0))</f>
        <v>1</v>
      </c>
      <c r="M86" s="21" t="str">
        <f>"item_"&amp;CONTROL[[#This Row],[VEHIDCODE]]</f>
        <v>item_steam_Baldwin_5000_Madame_Queen</v>
      </c>
      <c r="N86" s="21" t="str">
        <f>"str_"&amp;CONTROL[[#This Row],[VEHIDCODE]]</f>
        <v>str_steam_Baldwin_5000_Madame_Queen</v>
      </c>
      <c r="O86" s="7" t="b">
        <f>INDEX(PROPERTIES[IS_CONCEPT],MATCH(CONTROL[[#This Row],[VEHIDCODE]],PROPERTIES[VEHIDCODE],0))="IS_CONCEPT"</f>
        <v>0</v>
      </c>
      <c r="P86" s="7" t="b">
        <f>INDEX(PROPERTIES[EXCLUDE],MATCH(CONTROL[[#This Row],[VEHIDCODE]],PROPERTIES[VEHIDCODE],0))</f>
        <v>0</v>
      </c>
      <c r="Q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7" spans="1:17" x14ac:dyDescent="0.35">
      <c r="A87" s="2" t="s">
        <v>2720</v>
      </c>
      <c r="B87" s="21" t="str">
        <f>MID(CONTROL[[#This Row],[VEHIDCODE]],FIND("_",CONTROL[[#This Row],[VEHIDCODE]])+1,LEN(CONTROL[[#This Row],[VEHIDCODE]]))</f>
        <v>Schwartzkopff_S_10_Prussian</v>
      </c>
      <c r="C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7">
        <v>4024</v>
      </c>
      <c r="F87" s="30" t="s">
        <v>2099</v>
      </c>
      <c r="G87" t="s">
        <v>1120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ISNUMBER(MATCH(CONTROL[[#This Row],[VEHIDCODE]],TRACK_TYPES[VEHIDCODE],0))</f>
        <v>1</v>
      </c>
      <c r="K87" t="b">
        <f>ISNUMBER(MATCH(CONTROL[[#This Row],[VEHIDCODE]],PROPERTIES[VEHIDCODE],0))</f>
        <v>1</v>
      </c>
      <c r="L87" t="b">
        <f>ISNUMBER(MATCH(CONTROL[[#This Row],[VEHIDCODE]],GRAPHICS_PROPERTIES[VEHIDCODE],0))</f>
        <v>1</v>
      </c>
      <c r="M87" s="21" t="str">
        <f>"item_"&amp;CONTROL[[#This Row],[VEHIDCODE]]</f>
        <v>item_steam_Schwartzkopff_S_10_Prussian</v>
      </c>
      <c r="N87" s="21" t="str">
        <f>"str_"&amp;CONTROL[[#This Row],[VEHIDCODE]]</f>
        <v>str_steam_Schwartzkopff_S_10_Prussian</v>
      </c>
      <c r="O87" s="7" t="b">
        <f>INDEX(PROPERTIES[IS_CONCEPT],MATCH(CONTROL[[#This Row],[VEHIDCODE]],PROPERTIES[VEHIDCODE],0))="IS_CONCEPT"</f>
        <v>0</v>
      </c>
      <c r="P87" s="7" t="b">
        <f>INDEX(PROPERTIES[EXCLUDE],MATCH(CONTROL[[#This Row],[VEHIDCODE]],PROPERTIES[VEHIDCODE],0))</f>
        <v>0</v>
      </c>
      <c r="Q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" spans="1:17" x14ac:dyDescent="0.35">
      <c r="A88" s="2" t="s">
        <v>2721</v>
      </c>
      <c r="B88" s="21" t="str">
        <f>MID(CONTROL[[#This Row],[VEHIDCODE]],FIND("_",CONTROL[[#This Row],[VEHIDCODE]])+1,LEN(CONTROL[[#This Row],[VEHIDCODE]]))</f>
        <v>LMS_5MT_Black_Five</v>
      </c>
      <c r="C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">
        <v>4025</v>
      </c>
      <c r="F88" s="30" t="s">
        <v>362</v>
      </c>
      <c r="G88" t="s">
        <v>1121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ISNUMBER(MATCH(CONTROL[[#This Row],[VEHIDCODE]],TRACK_TYPES[VEHIDCODE],0))</f>
        <v>1</v>
      </c>
      <c r="K88" t="b">
        <f>ISNUMBER(MATCH(CONTROL[[#This Row],[VEHIDCODE]],PROPERTIES[VEHIDCODE],0))</f>
        <v>1</v>
      </c>
      <c r="L88" t="b">
        <f>ISNUMBER(MATCH(CONTROL[[#This Row],[VEHIDCODE]],GRAPHICS_PROPERTIES[VEHIDCODE],0))</f>
        <v>1</v>
      </c>
      <c r="M88" s="21" t="str">
        <f>"item_"&amp;CONTROL[[#This Row],[VEHIDCODE]]</f>
        <v>item_steam_LMS_5MT_Black_Five</v>
      </c>
      <c r="N88" s="21" t="str">
        <f>"str_"&amp;CONTROL[[#This Row],[VEHIDCODE]]</f>
        <v>str_steam_LMS_5MT_Black_Five</v>
      </c>
      <c r="O88" s="7" t="b">
        <f>INDEX(PROPERTIES[IS_CONCEPT],MATCH(CONTROL[[#This Row],[VEHIDCODE]],PROPERTIES[VEHIDCODE],0))="IS_CONCEPT"</f>
        <v>0</v>
      </c>
      <c r="P88" s="7" t="b">
        <f>INDEX(PROPERTIES[EXCLUDE],MATCH(CONTROL[[#This Row],[VEHIDCODE]],PROPERTIES[VEHIDCODE],0))</f>
        <v>0</v>
      </c>
      <c r="Q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9" spans="1:17" x14ac:dyDescent="0.35">
      <c r="A89" s="2" t="s">
        <v>2722</v>
      </c>
      <c r="B89" s="21" t="str">
        <f>MID(CONTROL[[#This Row],[VEHIDCODE]],FIND("_",CONTROL[[#This Row],[VEHIDCODE]])+1,LEN(CONTROL[[#This Row],[VEHIDCODE]]))</f>
        <v>Kolomena_9P</v>
      </c>
      <c r="C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9">
        <v>4026</v>
      </c>
      <c r="F89" s="30" t="s">
        <v>3497</v>
      </c>
      <c r="G89" t="s">
        <v>1122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ISNUMBER(MATCH(CONTROL[[#This Row],[VEHIDCODE]],TRACK_TYPES[VEHIDCODE],0))</f>
        <v>1</v>
      </c>
      <c r="K89" t="b">
        <f>ISNUMBER(MATCH(CONTROL[[#This Row],[VEHIDCODE]],PROPERTIES[VEHIDCODE],0))</f>
        <v>1</v>
      </c>
      <c r="L89" t="b">
        <f>ISNUMBER(MATCH(CONTROL[[#This Row],[VEHIDCODE]],GRAPHICS_PROPERTIES[VEHIDCODE],0))</f>
        <v>1</v>
      </c>
      <c r="M89" s="21" t="str">
        <f>"item_"&amp;CONTROL[[#This Row],[VEHIDCODE]]</f>
        <v>item_steam_Kolomena_9P</v>
      </c>
      <c r="N89" s="21" t="str">
        <f>"str_"&amp;CONTROL[[#This Row],[VEHIDCODE]]</f>
        <v>str_steam_Kolomena_9P</v>
      </c>
      <c r="O89" s="7" t="b">
        <f>INDEX(PROPERTIES[IS_CONCEPT],MATCH(CONTROL[[#This Row],[VEHIDCODE]],PROPERTIES[VEHIDCODE],0))="IS_CONCEPT"</f>
        <v>0</v>
      </c>
      <c r="P89" s="7" t="b">
        <f>INDEX(PROPERTIES[EXCLUDE],MATCH(CONTROL[[#This Row],[VEHIDCODE]],PROPERTIES[VEHIDCODE],0))</f>
        <v>0</v>
      </c>
      <c r="Q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0" spans="1:17" x14ac:dyDescent="0.35">
      <c r="A90" s="2" t="s">
        <v>2723</v>
      </c>
      <c r="B90" s="21" t="str">
        <f>MID(CONTROL[[#This Row],[VEHIDCODE]],FIND("_",CONTROL[[#This Row],[VEHIDCODE]])+1,LEN(CONTROL[[#This Row],[VEHIDCODE]]))</f>
        <v>LNER_A4_Gresley</v>
      </c>
      <c r="C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0">
        <v>4028</v>
      </c>
      <c r="F90" s="30" t="s">
        <v>363</v>
      </c>
      <c r="G90" t="s">
        <v>1123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ISNUMBER(MATCH(CONTROL[[#This Row],[VEHIDCODE]],TRACK_TYPES[VEHIDCODE],0))</f>
        <v>1</v>
      </c>
      <c r="K90" t="b">
        <f>ISNUMBER(MATCH(CONTROL[[#This Row],[VEHIDCODE]],PROPERTIES[VEHIDCODE],0))</f>
        <v>1</v>
      </c>
      <c r="L90" t="b">
        <f>ISNUMBER(MATCH(CONTROL[[#This Row],[VEHIDCODE]],GRAPHICS_PROPERTIES[VEHIDCODE],0))</f>
        <v>1</v>
      </c>
      <c r="M90" s="21" t="str">
        <f>"item_"&amp;CONTROL[[#This Row],[VEHIDCODE]]</f>
        <v>item_steam_LNER_A4_Gresley</v>
      </c>
      <c r="N90" s="21" t="str">
        <f>"str_"&amp;CONTROL[[#This Row],[VEHIDCODE]]</f>
        <v>str_steam_LNER_A4_Gresley</v>
      </c>
      <c r="O90" s="7" t="b">
        <f>INDEX(PROPERTIES[IS_CONCEPT],MATCH(CONTROL[[#This Row],[VEHIDCODE]],PROPERTIES[VEHIDCODE],0))="IS_CONCEPT"</f>
        <v>0</v>
      </c>
      <c r="P90" s="7" t="b">
        <f>INDEX(PROPERTIES[EXCLUDE],MATCH(CONTROL[[#This Row],[VEHIDCODE]],PROPERTIES[VEHIDCODE],0))</f>
        <v>0</v>
      </c>
      <c r="Q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1" spans="1:17" x14ac:dyDescent="0.35">
      <c r="A91" s="2" t="s">
        <v>2724</v>
      </c>
      <c r="B91" s="21" t="str">
        <f>MID(CONTROL[[#This Row],[VEHIDCODE]],FIND("_",CONTROL[[#This Row],[VEHIDCODE]])+1,LEN(CONTROL[[#This Row],[VEHIDCODE]]))</f>
        <v>MLW_Royal_Hudson</v>
      </c>
      <c r="C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1">
        <v>4029</v>
      </c>
      <c r="F91" s="30" t="s">
        <v>2100</v>
      </c>
      <c r="G91" t="s">
        <v>1124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ISNUMBER(MATCH(CONTROL[[#This Row],[VEHIDCODE]],TRACK_TYPES[VEHIDCODE],0))</f>
        <v>1</v>
      </c>
      <c r="K91" t="b">
        <f>ISNUMBER(MATCH(CONTROL[[#This Row],[VEHIDCODE]],PROPERTIES[VEHIDCODE],0))</f>
        <v>1</v>
      </c>
      <c r="L91" t="b">
        <f>ISNUMBER(MATCH(CONTROL[[#This Row],[VEHIDCODE]],GRAPHICS_PROPERTIES[VEHIDCODE],0))</f>
        <v>1</v>
      </c>
      <c r="M91" s="21" t="str">
        <f>"item_"&amp;CONTROL[[#This Row],[VEHIDCODE]]</f>
        <v>item_steam_MLW_Royal_Hudson</v>
      </c>
      <c r="N91" s="21" t="str">
        <f>"str_"&amp;CONTROL[[#This Row],[VEHIDCODE]]</f>
        <v>str_steam_MLW_Royal_Hudson</v>
      </c>
      <c r="O91" s="7" t="b">
        <f>INDEX(PROPERTIES[IS_CONCEPT],MATCH(CONTROL[[#This Row],[VEHIDCODE]],PROPERTIES[VEHIDCODE],0))="IS_CONCEPT"</f>
        <v>0</v>
      </c>
      <c r="P91" s="7" t="b">
        <f>INDEX(PROPERTIES[EXCLUDE],MATCH(CONTROL[[#This Row],[VEHIDCODE]],PROPERTIES[VEHIDCODE],0))</f>
        <v>0</v>
      </c>
      <c r="Q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2" spans="1:17" x14ac:dyDescent="0.35">
      <c r="A92" s="2" t="s">
        <v>2725</v>
      </c>
      <c r="B92" s="21" t="str">
        <f>MID(CONTROL[[#This Row],[VEHIDCODE]],FIND("_",CONTROL[[#This Row],[VEHIDCODE]])+1,LEN(CONTROL[[#This Row],[VEHIDCODE]]))</f>
        <v>NOHAB_4_6_2_F</v>
      </c>
      <c r="C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2">
        <v>4038</v>
      </c>
      <c r="F92" s="30" t="s">
        <v>2101</v>
      </c>
      <c r="G92" t="s">
        <v>1653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ISNUMBER(MATCH(CONTROL[[#This Row],[VEHIDCODE]],TRACK_TYPES[VEHIDCODE],0))</f>
        <v>1</v>
      </c>
      <c r="K92" t="b">
        <f>ISNUMBER(MATCH(CONTROL[[#This Row],[VEHIDCODE]],PROPERTIES[VEHIDCODE],0))</f>
        <v>1</v>
      </c>
      <c r="L92" t="b">
        <f>ISNUMBER(MATCH(CONTROL[[#This Row],[VEHIDCODE]],GRAPHICS_PROPERTIES[VEHIDCODE],0))</f>
        <v>1</v>
      </c>
      <c r="M92" s="21" t="str">
        <f>"item_"&amp;CONTROL[[#This Row],[VEHIDCODE]]</f>
        <v>item_steam_NOHAB_4_6_2_F</v>
      </c>
      <c r="N92" s="21" t="str">
        <f>"str_"&amp;CONTROL[[#This Row],[VEHIDCODE]]</f>
        <v>str_steam_NOHAB_4_6_2_F</v>
      </c>
      <c r="O92" s="7" t="b">
        <f>INDEX(PROPERTIES[IS_CONCEPT],MATCH(CONTROL[[#This Row],[VEHIDCODE]],PROPERTIES[VEHIDCODE],0))="IS_CONCEPT"</f>
        <v>0</v>
      </c>
      <c r="P92" s="7" t="b">
        <f>INDEX(PROPERTIES[EXCLUDE],MATCH(CONTROL[[#This Row],[VEHIDCODE]],PROPERTIES[VEHIDCODE],0))</f>
        <v>0</v>
      </c>
      <c r="Q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3" spans="1:17" x14ac:dyDescent="0.35">
      <c r="A93" s="2" t="s">
        <v>2726</v>
      </c>
      <c r="B93" s="21" t="str">
        <f>MID(CONTROL[[#This Row],[VEHIDCODE]],FIND("_",CONTROL[[#This Row],[VEHIDCODE]])+1,LEN(CONTROL[[#This Row],[VEHIDCODE]]))</f>
        <v>GGL_HAS_52</v>
      </c>
      <c r="C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3">
        <v>4031</v>
      </c>
      <c r="F93" s="30" t="s">
        <v>2102</v>
      </c>
      <c r="G93" t="s">
        <v>1649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ISNUMBER(MATCH(CONTROL[[#This Row],[VEHIDCODE]],TRACK_TYPES[VEHIDCODE],0))</f>
        <v>1</v>
      </c>
      <c r="K93" t="b">
        <f>ISNUMBER(MATCH(CONTROL[[#This Row],[VEHIDCODE]],PROPERTIES[VEHIDCODE],0))</f>
        <v>1</v>
      </c>
      <c r="L93" t="b">
        <f>ISNUMBER(MATCH(CONTROL[[#This Row],[VEHIDCODE]],GRAPHICS_PROPERTIES[VEHIDCODE],0))</f>
        <v>1</v>
      </c>
      <c r="M93" s="21" t="str">
        <f>"item_"&amp;CONTROL[[#This Row],[VEHIDCODE]]</f>
        <v>item_steam_GGL_HAS_52</v>
      </c>
      <c r="N93" s="21" t="str">
        <f>"str_"&amp;CONTROL[[#This Row],[VEHIDCODE]]</f>
        <v>str_steam_GGL_HAS_52</v>
      </c>
      <c r="O93" s="7" t="b">
        <f>INDEX(PROPERTIES[IS_CONCEPT],MATCH(CONTROL[[#This Row],[VEHIDCODE]],PROPERTIES[VEHIDCODE],0))="IS_CONCEPT"</f>
        <v>0</v>
      </c>
      <c r="P93" s="7" t="b">
        <f>INDEX(PROPERTIES[EXCLUDE],MATCH(CONTROL[[#This Row],[VEHIDCODE]],PROPERTIES[VEHIDCODE],0))</f>
        <v>0</v>
      </c>
      <c r="Q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4" spans="1:17" x14ac:dyDescent="0.35">
      <c r="A94" s="2" t="s">
        <v>2727</v>
      </c>
      <c r="B94" s="21" t="str">
        <f>MID(CONTROL[[#This Row],[VEHIDCODE]],FIND("_",CONTROL[[#This Row],[VEHIDCODE]])+1,LEN(CONTROL[[#This Row],[VEHIDCODE]]))</f>
        <v>Doncaster_Darlington_Peppercorn</v>
      </c>
      <c r="C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4">
        <v>4033</v>
      </c>
      <c r="F94" s="30" t="s">
        <v>2103</v>
      </c>
      <c r="G94" t="s">
        <v>1125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ISNUMBER(MATCH(CONTROL[[#This Row],[VEHIDCODE]],TRACK_TYPES[VEHIDCODE],0))</f>
        <v>1</v>
      </c>
      <c r="K94" t="b">
        <f>ISNUMBER(MATCH(CONTROL[[#This Row],[VEHIDCODE]],PROPERTIES[VEHIDCODE],0))</f>
        <v>1</v>
      </c>
      <c r="L94" t="b">
        <f>ISNUMBER(MATCH(CONTROL[[#This Row],[VEHIDCODE]],GRAPHICS_PROPERTIES[VEHIDCODE],0))</f>
        <v>1</v>
      </c>
      <c r="M94" s="21" t="str">
        <f>"item_"&amp;CONTROL[[#This Row],[VEHIDCODE]]</f>
        <v>item_steam_Doncaster_Darlington_Peppercorn</v>
      </c>
      <c r="N94" s="21" t="str">
        <f>"str_"&amp;CONTROL[[#This Row],[VEHIDCODE]]</f>
        <v>str_steam_Doncaster_Darlington_Peppercorn</v>
      </c>
      <c r="O94" s="7" t="b">
        <f>INDEX(PROPERTIES[IS_CONCEPT],MATCH(CONTROL[[#This Row],[VEHIDCODE]],PROPERTIES[VEHIDCODE],0))="IS_CONCEPT"</f>
        <v>0</v>
      </c>
      <c r="P94" s="7" t="b">
        <f>INDEX(PROPERTIES[EXCLUDE],MATCH(CONTROL[[#This Row],[VEHIDCODE]],PROPERTIES[VEHIDCODE],0))</f>
        <v>0</v>
      </c>
      <c r="Q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5" spans="1:17" x14ac:dyDescent="0.35">
      <c r="A95" s="2" t="s">
        <v>2728</v>
      </c>
      <c r="B95" s="21" t="str">
        <f>MID(CONTROL[[#This Row],[VEHIDCODE]],FIND("_",CONTROL[[#This Row],[VEHIDCODE]])+1,LEN(CONTROL[[#This Row],[VEHIDCODE]]))</f>
        <v>Henschel___Son_Condenser</v>
      </c>
      <c r="C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5">
        <v>4034</v>
      </c>
      <c r="F95" s="30" t="s">
        <v>3686</v>
      </c>
      <c r="G95" t="s">
        <v>1126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ISNUMBER(MATCH(CONTROL[[#This Row],[VEHIDCODE]],TRACK_TYPES[VEHIDCODE],0))</f>
        <v>1</v>
      </c>
      <c r="K95" t="b">
        <f>ISNUMBER(MATCH(CONTROL[[#This Row],[VEHIDCODE]],PROPERTIES[VEHIDCODE],0))</f>
        <v>1</v>
      </c>
      <c r="L95" t="b">
        <f>ISNUMBER(MATCH(CONTROL[[#This Row],[VEHIDCODE]],GRAPHICS_PROPERTIES[VEHIDCODE],0))</f>
        <v>1</v>
      </c>
      <c r="M95" s="21" t="str">
        <f>"item_"&amp;CONTROL[[#This Row],[VEHIDCODE]]</f>
        <v>item_steam_Henschel___Son_Condenser</v>
      </c>
      <c r="N95" s="21" t="str">
        <f>"str_"&amp;CONTROL[[#This Row],[VEHIDCODE]]</f>
        <v>str_steam_Henschel___Son_Condenser</v>
      </c>
      <c r="O95" s="7" t="b">
        <f>INDEX(PROPERTIES[IS_CONCEPT],MATCH(CONTROL[[#This Row],[VEHIDCODE]],PROPERTIES[VEHIDCODE],0))="IS_CONCEPT"</f>
        <v>0</v>
      </c>
      <c r="P95" s="7" t="b">
        <f>INDEX(PROPERTIES[EXCLUDE],MATCH(CONTROL[[#This Row],[VEHIDCODE]],PROPERTIES[VEHIDCODE],0))</f>
        <v>0</v>
      </c>
      <c r="Q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" spans="1:17" x14ac:dyDescent="0.35">
      <c r="A96" s="2" t="s">
        <v>2729</v>
      </c>
      <c r="B96" s="21" t="str">
        <f>MID(CONTROL[[#This Row],[VEHIDCODE]],FIND("_",CONTROL[[#This Row],[VEHIDCODE]])+1,LEN(CONTROL[[#This Row],[VEHIDCODE]]))</f>
        <v>Kolomena_P36</v>
      </c>
      <c r="C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">
        <v>4035</v>
      </c>
      <c r="F96" s="30" t="s">
        <v>3498</v>
      </c>
      <c r="G96" t="s">
        <v>1127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ISNUMBER(MATCH(CONTROL[[#This Row],[VEHIDCODE]],TRACK_TYPES[VEHIDCODE],0))</f>
        <v>1</v>
      </c>
      <c r="K96" t="b">
        <f>ISNUMBER(MATCH(CONTROL[[#This Row],[VEHIDCODE]],PROPERTIES[VEHIDCODE],0))</f>
        <v>1</v>
      </c>
      <c r="L96" t="b">
        <f>ISNUMBER(MATCH(CONTROL[[#This Row],[VEHIDCODE]],GRAPHICS_PROPERTIES[VEHIDCODE],0))</f>
        <v>1</v>
      </c>
      <c r="M96" s="21" t="str">
        <f>"item_"&amp;CONTROL[[#This Row],[VEHIDCODE]]</f>
        <v>item_steam_Kolomena_P36</v>
      </c>
      <c r="N96" s="21" t="str">
        <f>"str_"&amp;CONTROL[[#This Row],[VEHIDCODE]]</f>
        <v>str_steam_Kolomena_P36</v>
      </c>
      <c r="O96" s="7" t="b">
        <f>INDEX(PROPERTIES[IS_CONCEPT],MATCH(CONTROL[[#This Row],[VEHIDCODE]],PROPERTIES[VEHIDCODE],0))="IS_CONCEPT"</f>
        <v>0</v>
      </c>
      <c r="P96" s="7" t="b">
        <f>INDEX(PROPERTIES[EXCLUDE],MATCH(CONTROL[[#This Row],[VEHIDCODE]],PROPERTIES[VEHIDCODE],0))</f>
        <v>0</v>
      </c>
      <c r="Q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7" spans="1:17" x14ac:dyDescent="0.35">
      <c r="A97" s="2" t="s">
        <v>2730</v>
      </c>
      <c r="B97" s="21" t="str">
        <f>MID(CONTROL[[#This Row],[VEHIDCODE]],FIND("_",CONTROL[[#This Row],[VEHIDCODE]])+1,LEN(CONTROL[[#This Row],[VEHIDCODE]]))</f>
        <v>ANF_DEL_150B</v>
      </c>
      <c r="C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">
        <v>4023</v>
      </c>
      <c r="F97" s="30" t="s">
        <v>2104</v>
      </c>
      <c r="G97" t="s">
        <v>1128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ISNUMBER(MATCH(CONTROL[[#This Row],[VEHIDCODE]],TRACK_TYPES[VEHIDCODE],0))</f>
        <v>1</v>
      </c>
      <c r="K97" t="b">
        <f>ISNUMBER(MATCH(CONTROL[[#This Row],[VEHIDCODE]],PROPERTIES[VEHIDCODE],0))</f>
        <v>1</v>
      </c>
      <c r="L97" t="b">
        <f>ISNUMBER(MATCH(CONTROL[[#This Row],[VEHIDCODE]],GRAPHICS_PROPERTIES[VEHIDCODE],0))</f>
        <v>1</v>
      </c>
      <c r="M97" s="21" t="str">
        <f>"item_"&amp;CONTROL[[#This Row],[VEHIDCODE]]</f>
        <v>item_steam_ANF_DEL_150B</v>
      </c>
      <c r="N97" s="21" t="str">
        <f>"str_"&amp;CONTROL[[#This Row],[VEHIDCODE]]</f>
        <v>str_steam_ANF_DEL_150B</v>
      </c>
      <c r="O97" s="7" t="b">
        <f>INDEX(PROPERTIES[IS_CONCEPT],MATCH(CONTROL[[#This Row],[VEHIDCODE]],PROPERTIES[VEHIDCODE],0))="IS_CONCEPT"</f>
        <v>0</v>
      </c>
      <c r="P97" s="7" t="b">
        <f>INDEX(PROPERTIES[EXCLUDE],MATCH(CONTROL[[#This Row],[VEHIDCODE]],PROPERTIES[VEHIDCODE],0))</f>
        <v>0</v>
      </c>
      <c r="Q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8" spans="1:17" x14ac:dyDescent="0.35">
      <c r="A98" s="2" t="s">
        <v>2731</v>
      </c>
      <c r="B98" s="21" t="str">
        <f>MID(CONTROL[[#This Row],[VEHIDCODE]],FIND("_",CONTROL[[#This Row],[VEHIDCODE]])+1,LEN(CONTROL[[#This Row],[VEHIDCODE]]))</f>
        <v>Henschel_895</v>
      </c>
      <c r="C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8">
        <v>4012</v>
      </c>
      <c r="F98" s="30" t="s">
        <v>2595</v>
      </c>
      <c r="G98" t="s">
        <v>1129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ISNUMBER(MATCH(CONTROL[[#This Row],[VEHIDCODE]],TRACK_TYPES[VEHIDCODE],0))</f>
        <v>1</v>
      </c>
      <c r="K98" t="b">
        <f>ISNUMBER(MATCH(CONTROL[[#This Row],[VEHIDCODE]],PROPERTIES[VEHIDCODE],0))</f>
        <v>1</v>
      </c>
      <c r="L98" t="b">
        <f>ISNUMBER(MATCH(CONTROL[[#This Row],[VEHIDCODE]],GRAPHICS_PROPERTIES[VEHIDCODE],0))</f>
        <v>1</v>
      </c>
      <c r="M98" s="21" t="str">
        <f>"item_"&amp;CONTROL[[#This Row],[VEHIDCODE]]</f>
        <v>item_steam_Henschel_895</v>
      </c>
      <c r="N98" s="21" t="str">
        <f>"str_"&amp;CONTROL[[#This Row],[VEHIDCODE]]</f>
        <v>str_steam_Henschel_895</v>
      </c>
      <c r="O98" s="7" t="b">
        <f>INDEX(PROPERTIES[IS_CONCEPT],MATCH(CONTROL[[#This Row],[VEHIDCODE]],PROPERTIES[VEHIDCODE],0))="IS_CONCEPT"</f>
        <v>0</v>
      </c>
      <c r="P98" s="7" t="b">
        <f>INDEX(PROPERTIES[EXCLUDE],MATCH(CONTROL[[#This Row],[VEHIDCODE]],PROPERTIES[VEHIDCODE],0))</f>
        <v>0</v>
      </c>
      <c r="Q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9" spans="1:17" x14ac:dyDescent="0.35">
      <c r="A99" s="2" t="s">
        <v>2732</v>
      </c>
      <c r="B99" s="21" t="str">
        <f>MID(CONTROL[[#This Row],[VEHIDCODE]],FIND("_",CONTROL[[#This Row],[VEHIDCODE]])+1,LEN(CONTROL[[#This Row],[VEHIDCODE]]))</f>
        <v>H__Cegielski_OKz32</v>
      </c>
      <c r="C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9">
        <v>4027</v>
      </c>
      <c r="F99" s="30" t="s">
        <v>2105</v>
      </c>
      <c r="G99" t="s">
        <v>1130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ISNUMBER(MATCH(CONTROL[[#This Row],[VEHIDCODE]],TRACK_TYPES[VEHIDCODE],0))</f>
        <v>1</v>
      </c>
      <c r="K99" t="b">
        <f>ISNUMBER(MATCH(CONTROL[[#This Row],[VEHIDCODE]],PROPERTIES[VEHIDCODE],0))</f>
        <v>1</v>
      </c>
      <c r="L99" t="b">
        <f>ISNUMBER(MATCH(CONTROL[[#This Row],[VEHIDCODE]],GRAPHICS_PROPERTIES[VEHIDCODE],0))</f>
        <v>1</v>
      </c>
      <c r="M99" s="21" t="str">
        <f>"item_"&amp;CONTROL[[#This Row],[VEHIDCODE]]</f>
        <v>item_steam_H__Cegielski_OKz32</v>
      </c>
      <c r="N99" s="21" t="str">
        <f>"str_"&amp;CONTROL[[#This Row],[VEHIDCODE]]</f>
        <v>str_steam_H__Cegielski_OKz32</v>
      </c>
      <c r="O99" s="7" t="b">
        <f>INDEX(PROPERTIES[IS_CONCEPT],MATCH(CONTROL[[#This Row],[VEHIDCODE]],PROPERTIES[VEHIDCODE],0))="IS_CONCEPT"</f>
        <v>0</v>
      </c>
      <c r="P99" s="7" t="b">
        <f>INDEX(PROPERTIES[EXCLUDE],MATCH(CONTROL[[#This Row],[VEHIDCODE]],PROPERTIES[VEHIDCODE],0))</f>
        <v>0</v>
      </c>
      <c r="Q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00" spans="1:17" x14ac:dyDescent="0.35">
      <c r="A100" s="2" t="s">
        <v>2733</v>
      </c>
      <c r="B100" s="21" t="str">
        <f>MID(CONTROL[[#This Row],[VEHIDCODE]],FIND("_",CONTROL[[#This Row],[VEHIDCODE]])+1,LEN(CONTROL[[#This Row],[VEHIDCODE]]))</f>
        <v>SLM_C_5_6_Elephant</v>
      </c>
      <c r="C1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0">
        <v>4013</v>
      </c>
      <c r="F100" s="30" t="s">
        <v>2106</v>
      </c>
      <c r="G100" t="s">
        <v>1131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ISNUMBER(MATCH(CONTROL[[#This Row],[VEHIDCODE]],TRACK_TYPES[VEHIDCODE],0))</f>
        <v>1</v>
      </c>
      <c r="K100" t="b">
        <f>ISNUMBER(MATCH(CONTROL[[#This Row],[VEHIDCODE]],PROPERTIES[VEHIDCODE],0))</f>
        <v>1</v>
      </c>
      <c r="L100" t="b">
        <f>ISNUMBER(MATCH(CONTROL[[#This Row],[VEHIDCODE]],GRAPHICS_PROPERTIES[VEHIDCODE],0))</f>
        <v>1</v>
      </c>
      <c r="M100" s="21" t="str">
        <f>"item_"&amp;CONTROL[[#This Row],[VEHIDCODE]]</f>
        <v>item_steam_SLM_C_5_6_Elephant</v>
      </c>
      <c r="N100" s="21" t="str">
        <f>"str_"&amp;CONTROL[[#This Row],[VEHIDCODE]]</f>
        <v>str_steam_SLM_C_5_6_Elephant</v>
      </c>
      <c r="O100" s="7" t="b">
        <f>INDEX(PROPERTIES[IS_CONCEPT],MATCH(CONTROL[[#This Row],[VEHIDCODE]],PROPERTIES[VEHIDCODE],0))="IS_CONCEPT"</f>
        <v>0</v>
      </c>
      <c r="P100" s="7" t="b">
        <f>INDEX(PROPERTIES[EXCLUDE],MATCH(CONTROL[[#This Row],[VEHIDCODE]],PROPERTIES[VEHIDCODE],0))</f>
        <v>0</v>
      </c>
      <c r="Q1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1" spans="1:17" x14ac:dyDescent="0.35">
      <c r="A101" s="2" t="s">
        <v>2734</v>
      </c>
      <c r="B101" s="21" t="str">
        <f>MID(CONTROL[[#This Row],[VEHIDCODE]],FIND("_",CONTROL[[#This Row],[VEHIDCODE]])+1,LEN(CONTROL[[#This Row],[VEHIDCODE]]))</f>
        <v>ALCO_series_4000_4_8_8_4_Big_Boy</v>
      </c>
      <c r="C1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1">
        <v>4039</v>
      </c>
      <c r="F101" s="30" t="s">
        <v>2594</v>
      </c>
      <c r="G101" t="s">
        <v>1132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ISNUMBER(MATCH(CONTROL[[#This Row],[VEHIDCODE]],TRACK_TYPES[VEHIDCODE],0))</f>
        <v>1</v>
      </c>
      <c r="K101" t="b">
        <f>ISNUMBER(MATCH(CONTROL[[#This Row],[VEHIDCODE]],PROPERTIES[VEHIDCODE],0))</f>
        <v>1</v>
      </c>
      <c r="L101" t="b">
        <f>ISNUMBER(MATCH(CONTROL[[#This Row],[VEHIDCODE]],GRAPHICS_PROPERTIES[VEHIDCODE],0))</f>
        <v>1</v>
      </c>
      <c r="M101" s="21" t="str">
        <f>"item_"&amp;CONTROL[[#This Row],[VEHIDCODE]]</f>
        <v>item_steam_ALCO_series_4000_4_8_8_4_Big_Boy</v>
      </c>
      <c r="N101" s="21" t="str">
        <f>"str_"&amp;CONTROL[[#This Row],[VEHIDCODE]]</f>
        <v>str_steam_ALCO_series_4000_4_8_8_4_Big_Boy</v>
      </c>
      <c r="O101" s="7" t="b">
        <f>INDEX(PROPERTIES[IS_CONCEPT],MATCH(CONTROL[[#This Row],[VEHIDCODE]],PROPERTIES[VEHIDCODE],0))="IS_CONCEPT"</f>
        <v>0</v>
      </c>
      <c r="P101" s="7" t="b">
        <f>INDEX(PROPERTIES[EXCLUDE],MATCH(CONTROL[[#This Row],[VEHIDCODE]],PROPERTIES[VEHIDCODE],0))</f>
        <v>0</v>
      </c>
      <c r="Q1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TPL_03G</v>
      </c>
    </row>
    <row r="102" spans="1:17" x14ac:dyDescent="0.35">
      <c r="A102" s="2" t="s">
        <v>2735</v>
      </c>
      <c r="B102" s="21" t="str">
        <f>MID(CONTROL[[#This Row],[VEHIDCODE]],FIND("_",CONTROL[[#This Row],[VEHIDCODE]])+1,LEN(CONTROL[[#This Row],[VEHIDCODE]]))</f>
        <v>Sharp_Stewart_3557_3565</v>
      </c>
      <c r="C1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2">
        <v>4040</v>
      </c>
      <c r="F102" s="30" t="s">
        <v>3673</v>
      </c>
      <c r="G102" t="s">
        <v>1133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ISNUMBER(MATCH(CONTROL[[#This Row],[VEHIDCODE]],TRACK_TYPES[VEHIDCODE],0))</f>
        <v>1</v>
      </c>
      <c r="K102" t="b">
        <f>ISNUMBER(MATCH(CONTROL[[#This Row],[VEHIDCODE]],PROPERTIES[VEHIDCODE],0))</f>
        <v>1</v>
      </c>
      <c r="L102" t="b">
        <f>ISNUMBER(MATCH(CONTROL[[#This Row],[VEHIDCODE]],GRAPHICS_PROPERTIES[VEHIDCODE],0))</f>
        <v>1</v>
      </c>
      <c r="M102" s="21" t="str">
        <f>"item_"&amp;CONTROL[[#This Row],[VEHIDCODE]]</f>
        <v>item_steam_Sharp_Stewart_3557_3565</v>
      </c>
      <c r="N102" s="21" t="str">
        <f>"str_"&amp;CONTROL[[#This Row],[VEHIDCODE]]</f>
        <v>str_steam_Sharp_Stewart_3557_3565</v>
      </c>
      <c r="O102" s="7" t="b">
        <f>INDEX(PROPERTIES[IS_CONCEPT],MATCH(CONTROL[[#This Row],[VEHIDCODE]],PROPERTIES[VEHIDCODE],0))="IS_CONCEPT"</f>
        <v>0</v>
      </c>
      <c r="P102" s="7" t="b">
        <f>INDEX(PROPERTIES[EXCLUDE],MATCH(CONTROL[[#This Row],[VEHIDCODE]],PROPERTIES[VEHIDCODE],0))</f>
        <v>0</v>
      </c>
      <c r="Q1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3" spans="1:17" x14ac:dyDescent="0.35">
      <c r="A103" s="2" t="s">
        <v>2736</v>
      </c>
      <c r="B103" s="21" t="str">
        <f>MID(CONTROL[[#This Row],[VEHIDCODE]],FIND("_",CONTROL[[#This Row],[VEHIDCODE]])+1,LEN(CONTROL[[#This Row],[VEHIDCODE]]))</f>
        <v>GWR_Iron_Duke</v>
      </c>
      <c r="C1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3">
        <v>4041</v>
      </c>
      <c r="F103" s="30" t="s">
        <v>364</v>
      </c>
      <c r="G103" t="s">
        <v>1134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ISNUMBER(MATCH(CONTROL[[#This Row],[VEHIDCODE]],TRACK_TYPES[VEHIDCODE],0))</f>
        <v>1</v>
      </c>
      <c r="K103" t="b">
        <f>ISNUMBER(MATCH(CONTROL[[#This Row],[VEHIDCODE]],PROPERTIES[VEHIDCODE],0))</f>
        <v>1</v>
      </c>
      <c r="L103" t="b">
        <f>ISNUMBER(MATCH(CONTROL[[#This Row],[VEHIDCODE]],GRAPHICS_PROPERTIES[VEHIDCODE],0))</f>
        <v>1</v>
      </c>
      <c r="M103" s="21" t="str">
        <f>"item_"&amp;CONTROL[[#This Row],[VEHIDCODE]]</f>
        <v>item_steam_GWR_Iron_Duke</v>
      </c>
      <c r="N103" s="21" t="str">
        <f>"str_"&amp;CONTROL[[#This Row],[VEHIDCODE]]</f>
        <v>str_steam_GWR_Iron_Duke</v>
      </c>
      <c r="O103" s="7" t="b">
        <f>INDEX(PROPERTIES[IS_CONCEPT],MATCH(CONTROL[[#This Row],[VEHIDCODE]],PROPERTIES[VEHIDCODE],0))="IS_CONCEPT"</f>
        <v>0</v>
      </c>
      <c r="P103" s="7" t="b">
        <f>INDEX(PROPERTIES[EXCLUDE],MATCH(CONTROL[[#This Row],[VEHIDCODE]],PROPERTIES[VEHIDCODE],0))</f>
        <v>0</v>
      </c>
      <c r="Q1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4" spans="1:17" x14ac:dyDescent="0.35">
      <c r="A104" s="2" t="s">
        <v>2737</v>
      </c>
      <c r="B104" s="21" t="str">
        <f>MID(CONTROL[[#This Row],[VEHIDCODE]],FIND("_",CONTROL[[#This Row],[VEHIDCODE]])+1,LEN(CONTROL[[#This Row],[VEHIDCODE]]))</f>
        <v>Stephenson_0_4_2_Locomotive_No_1</v>
      </c>
      <c r="C1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4">
        <v>4042</v>
      </c>
      <c r="F104" s="30" t="s">
        <v>2107</v>
      </c>
      <c r="G104" t="s">
        <v>1135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ISNUMBER(MATCH(CONTROL[[#This Row],[VEHIDCODE]],TRACK_TYPES[VEHIDCODE],0))</f>
        <v>1</v>
      </c>
      <c r="K104" t="b">
        <f>ISNUMBER(MATCH(CONTROL[[#This Row],[VEHIDCODE]],PROPERTIES[VEHIDCODE],0))</f>
        <v>1</v>
      </c>
      <c r="L104" t="b">
        <f>ISNUMBER(MATCH(CONTROL[[#This Row],[VEHIDCODE]],GRAPHICS_PROPERTIES[VEHIDCODE],0))</f>
        <v>1</v>
      </c>
      <c r="M104" s="21" t="str">
        <f>"item_"&amp;CONTROL[[#This Row],[VEHIDCODE]]</f>
        <v>item_steam_Stephenson_0_4_2_Locomotive_No_1</v>
      </c>
      <c r="N104" s="21" t="str">
        <f>"str_"&amp;CONTROL[[#This Row],[VEHIDCODE]]</f>
        <v>str_steam_Stephenson_0_4_2_Locomotive_No_1</v>
      </c>
      <c r="O104" s="7" t="b">
        <f>INDEX(PROPERTIES[IS_CONCEPT],MATCH(CONTROL[[#This Row],[VEHIDCODE]],PROPERTIES[VEHIDCODE],0))="IS_CONCEPT"</f>
        <v>0</v>
      </c>
      <c r="P104" s="7" t="b">
        <f>INDEX(PROPERTIES[EXCLUDE],MATCH(CONTROL[[#This Row],[VEHIDCODE]],PROPERTIES[VEHIDCODE],0))</f>
        <v>0</v>
      </c>
      <c r="Q1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5" spans="1:17" x14ac:dyDescent="0.35">
      <c r="A105" s="2" t="s">
        <v>2738</v>
      </c>
      <c r="B105" s="21" t="str">
        <f>MID(CONTROL[[#This Row],[VEHIDCODE]],FIND("_",CONTROL[[#This Row],[VEHIDCODE]])+1,LEN(CONTROL[[#This Row],[VEHIDCODE]]))</f>
        <v>Cooke_4_2_2_T__D__Judah</v>
      </c>
      <c r="C1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5">
        <v>4043</v>
      </c>
      <c r="F105" s="30" t="s">
        <v>2108</v>
      </c>
      <c r="G105" t="s">
        <v>1136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ISNUMBER(MATCH(CONTROL[[#This Row],[VEHIDCODE]],TRACK_TYPES[VEHIDCODE],0))</f>
        <v>1</v>
      </c>
      <c r="K105" t="b">
        <f>ISNUMBER(MATCH(CONTROL[[#This Row],[VEHIDCODE]],PROPERTIES[VEHIDCODE],0))</f>
        <v>1</v>
      </c>
      <c r="L105" t="b">
        <f>ISNUMBER(MATCH(CONTROL[[#This Row],[VEHIDCODE]],GRAPHICS_PROPERTIES[VEHIDCODE],0))</f>
        <v>1</v>
      </c>
      <c r="M105" s="21" t="str">
        <f>"item_"&amp;CONTROL[[#This Row],[VEHIDCODE]]</f>
        <v>item_steam_Cooke_4_2_2_T__D__Judah</v>
      </c>
      <c r="N105" s="21" t="str">
        <f>"str_"&amp;CONTROL[[#This Row],[VEHIDCODE]]</f>
        <v>str_steam_Cooke_4_2_2_T__D__Judah</v>
      </c>
      <c r="O105" s="7" t="b">
        <f>INDEX(PROPERTIES[IS_CONCEPT],MATCH(CONTROL[[#This Row],[VEHIDCODE]],PROPERTIES[VEHIDCODE],0))="IS_CONCEPT"</f>
        <v>0</v>
      </c>
      <c r="P105" s="7" t="b">
        <f>INDEX(PROPERTIES[EXCLUDE],MATCH(CONTROL[[#This Row],[VEHIDCODE]],PROPERTIES[VEHIDCODE],0))</f>
        <v>0</v>
      </c>
      <c r="Q1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6" spans="1:17" x14ac:dyDescent="0.35">
      <c r="A106" s="2" t="s">
        <v>2739</v>
      </c>
      <c r="B106" s="21" t="str">
        <f>MID(CONTROL[[#This Row],[VEHIDCODE]],FIND("_",CONTROL[[#This Row],[VEHIDCODE]])+1,LEN(CONTROL[[#This Row],[VEHIDCODE]]))</f>
        <v>Beyer__P___Co_2_4_0_SS_9_16__21_78</v>
      </c>
      <c r="C1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6">
        <v>4044</v>
      </c>
      <c r="F106" s="30" t="s">
        <v>3674</v>
      </c>
      <c r="G106" t="s">
        <v>1137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ISNUMBER(MATCH(CONTROL[[#This Row],[VEHIDCODE]],TRACK_TYPES[VEHIDCODE],0))</f>
        <v>1</v>
      </c>
      <c r="K106" t="b">
        <f>ISNUMBER(MATCH(CONTROL[[#This Row],[VEHIDCODE]],PROPERTIES[VEHIDCODE],0))</f>
        <v>1</v>
      </c>
      <c r="L106" t="b">
        <f>ISNUMBER(MATCH(CONTROL[[#This Row],[VEHIDCODE]],GRAPHICS_PROPERTIES[VEHIDCODE],0))</f>
        <v>1</v>
      </c>
      <c r="M106" s="21" t="str">
        <f>"item_"&amp;CONTROL[[#This Row],[VEHIDCODE]]</f>
        <v>item_steam_Beyer__P___Co_2_4_0_SS_9_16__21_78</v>
      </c>
      <c r="N106" s="21" t="str">
        <f>"str_"&amp;CONTROL[[#This Row],[VEHIDCODE]]</f>
        <v>str_steam_Beyer__P___Co_2_4_0_SS_9_16__21_78</v>
      </c>
      <c r="O106" s="7" t="b">
        <f>INDEX(PROPERTIES[IS_CONCEPT],MATCH(CONTROL[[#This Row],[VEHIDCODE]],PROPERTIES[VEHIDCODE],0))="IS_CONCEPT"</f>
        <v>0</v>
      </c>
      <c r="P106" s="7" t="b">
        <f>INDEX(PROPERTIES[EXCLUDE],MATCH(CONTROL[[#This Row],[VEHIDCODE]],PROPERTIES[VEHIDCODE],0))</f>
        <v>0</v>
      </c>
      <c r="Q1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7" spans="1:17" x14ac:dyDescent="0.35">
      <c r="A107" s="2" t="s">
        <v>2740</v>
      </c>
      <c r="B107" s="21" t="str">
        <f>MID(CONTROL[[#This Row],[VEHIDCODE]],FIND("_",CONTROL[[#This Row],[VEHIDCODE]])+1,LEN(CONTROL[[#This Row],[VEHIDCODE]]))</f>
        <v>Beyer__P___Co_2_6_0T_1702_1706</v>
      </c>
      <c r="C1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7">
        <v>4045</v>
      </c>
      <c r="F107" s="30" t="s">
        <v>3675</v>
      </c>
      <c r="G107" t="s">
        <v>1138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ISNUMBER(MATCH(CONTROL[[#This Row],[VEHIDCODE]],TRACK_TYPES[VEHIDCODE],0))</f>
        <v>1</v>
      </c>
      <c r="K107" t="b">
        <f>ISNUMBER(MATCH(CONTROL[[#This Row],[VEHIDCODE]],PROPERTIES[VEHIDCODE],0))</f>
        <v>1</v>
      </c>
      <c r="L107" t="b">
        <f>ISNUMBER(MATCH(CONTROL[[#This Row],[VEHIDCODE]],GRAPHICS_PROPERTIES[VEHIDCODE],0))</f>
        <v>1</v>
      </c>
      <c r="M107" s="21" t="str">
        <f>"item_"&amp;CONTROL[[#This Row],[VEHIDCODE]]</f>
        <v>item_steam_Beyer__P___Co_2_6_0T_1702_1706</v>
      </c>
      <c r="N107" s="21" t="str">
        <f>"str_"&amp;CONTROL[[#This Row],[VEHIDCODE]]</f>
        <v>str_steam_Beyer__P___Co_2_6_0T_1702_1706</v>
      </c>
      <c r="O107" s="7" t="b">
        <f>INDEX(PROPERTIES[IS_CONCEPT],MATCH(CONTROL[[#This Row],[VEHIDCODE]],PROPERTIES[VEHIDCODE],0))="IS_CONCEPT"</f>
        <v>0</v>
      </c>
      <c r="P107" s="7" t="b">
        <f>INDEX(PROPERTIES[EXCLUDE],MATCH(CONTROL[[#This Row],[VEHIDCODE]],PROPERTIES[VEHIDCODE],0))</f>
        <v>0</v>
      </c>
      <c r="Q1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08" spans="1:17" x14ac:dyDescent="0.35">
      <c r="A108" s="2" t="s">
        <v>2741</v>
      </c>
      <c r="B108" s="21" t="str">
        <f>MID(CONTROL[[#This Row],[VEHIDCODE]],FIND("_",CONTROL[[#This Row],[VEHIDCODE]])+1,LEN(CONTROL[[#This Row],[VEHIDCODE]]))</f>
        <v>Beyer__P___Co_2_6_0_2073_2092</v>
      </c>
      <c r="C1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8">
        <v>4046</v>
      </c>
      <c r="F108" s="30" t="s">
        <v>3676</v>
      </c>
      <c r="G108" t="s">
        <v>1139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ISNUMBER(MATCH(CONTROL[[#This Row],[VEHIDCODE]],TRACK_TYPES[VEHIDCODE],0))</f>
        <v>1</v>
      </c>
      <c r="K108" t="b">
        <f>ISNUMBER(MATCH(CONTROL[[#This Row],[VEHIDCODE]],PROPERTIES[VEHIDCODE],0))</f>
        <v>1</v>
      </c>
      <c r="L108" t="b">
        <f>ISNUMBER(MATCH(CONTROL[[#This Row],[VEHIDCODE]],GRAPHICS_PROPERTIES[VEHIDCODE],0))</f>
        <v>1</v>
      </c>
      <c r="M108" s="21" t="str">
        <f>"item_"&amp;CONTROL[[#This Row],[VEHIDCODE]]</f>
        <v>item_steam_Beyer__P___Co_2_6_0_2073_2092</v>
      </c>
      <c r="N108" s="21" t="str">
        <f>"str_"&amp;CONTROL[[#This Row],[VEHIDCODE]]</f>
        <v>str_steam_Beyer__P___Co_2_6_0_2073_2092</v>
      </c>
      <c r="O108" s="7" t="b">
        <f>INDEX(PROPERTIES[IS_CONCEPT],MATCH(CONTROL[[#This Row],[VEHIDCODE]],PROPERTIES[VEHIDCODE],0))="IS_CONCEPT"</f>
        <v>0</v>
      </c>
      <c r="P108" s="7" t="b">
        <f>INDEX(PROPERTIES[EXCLUDE],MATCH(CONTROL[[#This Row],[VEHIDCODE]],PROPERTIES[VEHIDCODE],0))</f>
        <v>0</v>
      </c>
      <c r="Q1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09" spans="1:17" x14ac:dyDescent="0.35">
      <c r="A109" s="2" t="s">
        <v>2742</v>
      </c>
      <c r="B109" s="21" t="str">
        <f>MID(CONTROL[[#This Row],[VEHIDCODE]],FIND("_",CONTROL[[#This Row],[VEHIDCODE]])+1,LEN(CONTROL[[#This Row],[VEHIDCODE]]))</f>
        <v>Canadian_Pacific_374</v>
      </c>
      <c r="C1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9">
        <v>4047</v>
      </c>
      <c r="F109" s="30" t="s">
        <v>365</v>
      </c>
      <c r="G109" t="s">
        <v>1141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ISNUMBER(MATCH(CONTROL[[#This Row],[VEHIDCODE]],TRACK_TYPES[VEHIDCODE],0))</f>
        <v>1</v>
      </c>
      <c r="K109" t="b">
        <f>ISNUMBER(MATCH(CONTROL[[#This Row],[VEHIDCODE]],PROPERTIES[VEHIDCODE],0))</f>
        <v>1</v>
      </c>
      <c r="L109" t="b">
        <f>ISNUMBER(MATCH(CONTROL[[#This Row],[VEHIDCODE]],GRAPHICS_PROPERTIES[VEHIDCODE],0))</f>
        <v>1</v>
      </c>
      <c r="M109" s="21" t="str">
        <f>"item_"&amp;CONTROL[[#This Row],[VEHIDCODE]]</f>
        <v>item_steam_Canadian_Pacific_374</v>
      </c>
      <c r="N109" s="21" t="str">
        <f>"str_"&amp;CONTROL[[#This Row],[VEHIDCODE]]</f>
        <v>str_steam_Canadian_Pacific_374</v>
      </c>
      <c r="O109" s="7" t="b">
        <f>INDEX(PROPERTIES[IS_CONCEPT],MATCH(CONTROL[[#This Row],[VEHIDCODE]],PROPERTIES[VEHIDCODE],0))="IS_CONCEPT"</f>
        <v>0</v>
      </c>
      <c r="P109" s="7" t="b">
        <f>INDEX(PROPERTIES[EXCLUDE],MATCH(CONTROL[[#This Row],[VEHIDCODE]],PROPERTIES[VEHIDCODE],0))</f>
        <v>0</v>
      </c>
      <c r="Q1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0" spans="1:17" x14ac:dyDescent="0.35">
      <c r="A110" s="2" t="s">
        <v>2743</v>
      </c>
      <c r="B110" s="21" t="str">
        <f>MID(CONTROL[[#This Row],[VEHIDCODE]],FIND("_",CONTROL[[#This Row],[VEHIDCODE]])+1,LEN(CONTROL[[#This Row],[VEHIDCODE]]))</f>
        <v>Nasmyth__Wilson___Co_35_tonner_4_6_0T</v>
      </c>
      <c r="C1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0">
        <v>4072</v>
      </c>
      <c r="F110" s="30" t="s">
        <v>3677</v>
      </c>
      <c r="G110" t="s">
        <v>1140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ISNUMBER(MATCH(CONTROL[[#This Row],[VEHIDCODE]],TRACK_TYPES[VEHIDCODE],0))</f>
        <v>1</v>
      </c>
      <c r="K110" t="b">
        <f>ISNUMBER(MATCH(CONTROL[[#This Row],[VEHIDCODE]],PROPERTIES[VEHIDCODE],0))</f>
        <v>1</v>
      </c>
      <c r="L110" t="b">
        <f>ISNUMBER(MATCH(CONTROL[[#This Row],[VEHIDCODE]],GRAPHICS_PROPERTIES[VEHIDCODE],0))</f>
        <v>1</v>
      </c>
      <c r="M110" s="21" t="str">
        <f>"item_"&amp;CONTROL[[#This Row],[VEHIDCODE]]</f>
        <v>item_steam_Nasmyth__Wilson___Co_35_tonner_4_6_0T</v>
      </c>
      <c r="N110" s="21" t="str">
        <f>"str_"&amp;CONTROL[[#This Row],[VEHIDCODE]]</f>
        <v>str_steam_Nasmyth__Wilson___Co_35_tonner_4_6_0T</v>
      </c>
      <c r="O110" s="7" t="b">
        <f>INDEX(PROPERTIES[IS_CONCEPT],MATCH(CONTROL[[#This Row],[VEHIDCODE]],PROPERTIES[VEHIDCODE],0))="IS_CONCEPT"</f>
        <v>0</v>
      </c>
      <c r="P110" s="7" t="b">
        <f>INDEX(PROPERTIES[EXCLUDE],MATCH(CONTROL[[#This Row],[VEHIDCODE]],PROPERTIES[VEHIDCODE],0))</f>
        <v>0</v>
      </c>
      <c r="Q1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1" spans="1:17" x14ac:dyDescent="0.35">
      <c r="A111" s="2" t="s">
        <v>2744</v>
      </c>
      <c r="B111" s="21" t="str">
        <f>MID(CONTROL[[#This Row],[VEHIDCODE]],FIND("_",CONTROL[[#This Row],[VEHIDCODE]])+1,LEN(CONTROL[[#This Row],[VEHIDCODE]]))</f>
        <v>Schneider_RENFE_040</v>
      </c>
      <c r="C1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1">
        <v>4050</v>
      </c>
      <c r="F111" s="30" t="s">
        <v>2109</v>
      </c>
      <c r="G111" t="s">
        <v>1142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ISNUMBER(MATCH(CONTROL[[#This Row],[VEHIDCODE]],TRACK_TYPES[VEHIDCODE],0))</f>
        <v>1</v>
      </c>
      <c r="K111" t="b">
        <f>ISNUMBER(MATCH(CONTROL[[#This Row],[VEHIDCODE]],PROPERTIES[VEHIDCODE],0))</f>
        <v>1</v>
      </c>
      <c r="L111" t="b">
        <f>ISNUMBER(MATCH(CONTROL[[#This Row],[VEHIDCODE]],GRAPHICS_PROPERTIES[VEHIDCODE],0))</f>
        <v>1</v>
      </c>
      <c r="M111" s="21" t="str">
        <f>"item_"&amp;CONTROL[[#This Row],[VEHIDCODE]]</f>
        <v>item_steam_Schneider_RENFE_040</v>
      </c>
      <c r="N111" s="21" t="str">
        <f>"str_"&amp;CONTROL[[#This Row],[VEHIDCODE]]</f>
        <v>str_steam_Schneider_RENFE_040</v>
      </c>
      <c r="O111" s="7" t="b">
        <f>INDEX(PROPERTIES[IS_CONCEPT],MATCH(CONTROL[[#This Row],[VEHIDCODE]],PROPERTIES[VEHIDCODE],0))="IS_CONCEPT"</f>
        <v>0</v>
      </c>
      <c r="P111" s="7" t="b">
        <f>INDEX(PROPERTIES[EXCLUDE],MATCH(CONTROL[[#This Row],[VEHIDCODE]],PROPERTIES[VEHIDCODE],0))</f>
        <v>0</v>
      </c>
      <c r="Q1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2" spans="1:17" x14ac:dyDescent="0.35">
      <c r="A112" s="2" t="s">
        <v>2745</v>
      </c>
      <c r="B112" s="21" t="str">
        <f>MID(CONTROL[[#This Row],[VEHIDCODE]],FIND("_",CONTROL[[#This Row],[VEHIDCODE]])+1,LEN(CONTROL[[#This Row],[VEHIDCODE]]))</f>
        <v>Sachsische_Maschinenfabrik_IV_K</v>
      </c>
      <c r="C1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2">
        <v>4051</v>
      </c>
      <c r="F112" s="30" t="s">
        <v>2110</v>
      </c>
      <c r="G112" t="s">
        <v>1143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ISNUMBER(MATCH(CONTROL[[#This Row],[VEHIDCODE]],TRACK_TYPES[VEHIDCODE],0))</f>
        <v>1</v>
      </c>
      <c r="K112" t="b">
        <f>ISNUMBER(MATCH(CONTROL[[#This Row],[VEHIDCODE]],PROPERTIES[VEHIDCODE],0))</f>
        <v>1</v>
      </c>
      <c r="L112" t="b">
        <f>ISNUMBER(MATCH(CONTROL[[#This Row],[VEHIDCODE]],GRAPHICS_PROPERTIES[VEHIDCODE],0))</f>
        <v>1</v>
      </c>
      <c r="M112" s="21" t="str">
        <f>"item_"&amp;CONTROL[[#This Row],[VEHIDCODE]]</f>
        <v>item_steam_Sachsische_Maschinenfabrik_IV_K</v>
      </c>
      <c r="N112" s="21" t="str">
        <f>"str_"&amp;CONTROL[[#This Row],[VEHIDCODE]]</f>
        <v>str_steam_Sachsische_Maschinenfabrik_IV_K</v>
      </c>
      <c r="O112" s="7" t="b">
        <f>INDEX(PROPERTIES[IS_CONCEPT],MATCH(CONTROL[[#This Row],[VEHIDCODE]],PROPERTIES[VEHIDCODE],0))="IS_CONCEPT"</f>
        <v>0</v>
      </c>
      <c r="P112" s="7" t="b">
        <f>INDEX(PROPERTIES[EXCLUDE],MATCH(CONTROL[[#This Row],[VEHIDCODE]],PROPERTIES[VEHIDCODE],0))</f>
        <v>0</v>
      </c>
      <c r="Q1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3" spans="1:17" x14ac:dyDescent="0.35">
      <c r="A113" s="2" t="s">
        <v>2746</v>
      </c>
      <c r="B113" s="21" t="str">
        <f>MID(CONTROL[[#This Row],[VEHIDCODE]],FIND("_",CONTROL[[#This Row],[VEHIDCODE]])+1,LEN(CONTROL[[#This Row],[VEHIDCODE]]))</f>
        <v>Hanomag_S_3</v>
      </c>
      <c r="C1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3">
        <v>4052</v>
      </c>
      <c r="F113" s="30" t="s">
        <v>2111</v>
      </c>
      <c r="G113" t="s">
        <v>1144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ISNUMBER(MATCH(CONTROL[[#This Row],[VEHIDCODE]],TRACK_TYPES[VEHIDCODE],0))</f>
        <v>1</v>
      </c>
      <c r="K113" t="b">
        <f>ISNUMBER(MATCH(CONTROL[[#This Row],[VEHIDCODE]],PROPERTIES[VEHIDCODE],0))</f>
        <v>1</v>
      </c>
      <c r="L113" t="b">
        <f>ISNUMBER(MATCH(CONTROL[[#This Row],[VEHIDCODE]],GRAPHICS_PROPERTIES[VEHIDCODE],0))</f>
        <v>1</v>
      </c>
      <c r="M113" s="21" t="str">
        <f>"item_"&amp;CONTROL[[#This Row],[VEHIDCODE]]</f>
        <v>item_steam_Hanomag_S_3</v>
      </c>
      <c r="N113" s="21" t="str">
        <f>"str_"&amp;CONTROL[[#This Row],[VEHIDCODE]]</f>
        <v>str_steam_Hanomag_S_3</v>
      </c>
      <c r="O113" s="7" t="b">
        <f>INDEX(PROPERTIES[IS_CONCEPT],MATCH(CONTROL[[#This Row],[VEHIDCODE]],PROPERTIES[VEHIDCODE],0))="IS_CONCEPT"</f>
        <v>0</v>
      </c>
      <c r="P113" s="7" t="b">
        <f>INDEX(PROPERTIES[EXCLUDE],MATCH(CONTROL[[#This Row],[VEHIDCODE]],PROPERTIES[VEHIDCODE],0))</f>
        <v>0</v>
      </c>
      <c r="Q1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4" spans="1:17" x14ac:dyDescent="0.35">
      <c r="A114" s="2" t="s">
        <v>2747</v>
      </c>
      <c r="B114" s="21" t="str">
        <f>MID(CONTROL[[#This Row],[VEHIDCODE]],FIND("_",CONTROL[[#This Row],[VEHIDCODE]])+1,LEN(CONTROL[[#This Row],[VEHIDCODE]]))</f>
        <v>Thune_XXIa</v>
      </c>
      <c r="C1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4">
        <v>4053</v>
      </c>
      <c r="F114" s="30" t="s">
        <v>2112</v>
      </c>
      <c r="G114" t="s">
        <v>1145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ISNUMBER(MATCH(CONTROL[[#This Row],[VEHIDCODE]],TRACK_TYPES[VEHIDCODE],0))</f>
        <v>1</v>
      </c>
      <c r="K114" t="b">
        <f>ISNUMBER(MATCH(CONTROL[[#This Row],[VEHIDCODE]],PROPERTIES[VEHIDCODE],0))</f>
        <v>1</v>
      </c>
      <c r="L114" t="b">
        <f>ISNUMBER(MATCH(CONTROL[[#This Row],[VEHIDCODE]],GRAPHICS_PROPERTIES[VEHIDCODE],0))</f>
        <v>1</v>
      </c>
      <c r="M114" s="21" t="str">
        <f>"item_"&amp;CONTROL[[#This Row],[VEHIDCODE]]</f>
        <v>item_steam_Thune_XXIa</v>
      </c>
      <c r="N114" s="21" t="str">
        <f>"str_"&amp;CONTROL[[#This Row],[VEHIDCODE]]</f>
        <v>str_steam_Thune_XXIa</v>
      </c>
      <c r="O114" s="7" t="b">
        <f>INDEX(PROPERTIES[IS_CONCEPT],MATCH(CONTROL[[#This Row],[VEHIDCODE]],PROPERTIES[VEHIDCODE],0))="IS_CONCEPT"</f>
        <v>0</v>
      </c>
      <c r="P114" s="7" t="b">
        <f>INDEX(PROPERTIES[EXCLUDE],MATCH(CONTROL[[#This Row],[VEHIDCODE]],PROPERTIES[VEHIDCODE],0))</f>
        <v>0</v>
      </c>
      <c r="Q1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5" spans="1:17" x14ac:dyDescent="0.35">
      <c r="A115" s="2" t="s">
        <v>2748</v>
      </c>
      <c r="B115" s="21" t="str">
        <f>MID(CONTROL[[#This Row],[VEHIDCODE]],FIND("_",CONTROL[[#This Row],[VEHIDCODE]])+1,LEN(CONTROL[[#This Row],[VEHIDCODE]]))</f>
        <v>PRR_D16</v>
      </c>
      <c r="C1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5">
        <v>4054</v>
      </c>
      <c r="F115" s="30" t="s">
        <v>366</v>
      </c>
      <c r="G115" t="s">
        <v>1146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ISNUMBER(MATCH(CONTROL[[#This Row],[VEHIDCODE]],TRACK_TYPES[VEHIDCODE],0))</f>
        <v>1</v>
      </c>
      <c r="K115" t="b">
        <f>ISNUMBER(MATCH(CONTROL[[#This Row],[VEHIDCODE]],PROPERTIES[VEHIDCODE],0))</f>
        <v>1</v>
      </c>
      <c r="L115" t="b">
        <f>ISNUMBER(MATCH(CONTROL[[#This Row],[VEHIDCODE]],GRAPHICS_PROPERTIES[VEHIDCODE],0))</f>
        <v>1</v>
      </c>
      <c r="M115" s="21" t="str">
        <f>"item_"&amp;CONTROL[[#This Row],[VEHIDCODE]]</f>
        <v>item_steam_PRR_D16</v>
      </c>
      <c r="N115" s="21" t="str">
        <f>"str_"&amp;CONTROL[[#This Row],[VEHIDCODE]]</f>
        <v>str_steam_PRR_D16</v>
      </c>
      <c r="O115" s="7" t="b">
        <f>INDEX(PROPERTIES[IS_CONCEPT],MATCH(CONTROL[[#This Row],[VEHIDCODE]],PROPERTIES[VEHIDCODE],0))="IS_CONCEPT"</f>
        <v>0</v>
      </c>
      <c r="P115" s="7" t="b">
        <f>INDEX(PROPERTIES[EXCLUDE],MATCH(CONTROL[[#This Row],[VEHIDCODE]],PROPERTIES[VEHIDCODE],0))</f>
        <v>0</v>
      </c>
      <c r="Q1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6" spans="1:17" x14ac:dyDescent="0.35">
      <c r="A116" s="2" t="s">
        <v>2749</v>
      </c>
      <c r="B116" s="21" t="str">
        <f>MID(CONTROL[[#This Row],[VEHIDCODE]],FIND("_",CONTROL[[#This Row],[VEHIDCODE]])+1,LEN(CONTROL[[#This Row],[VEHIDCODE]]))</f>
        <v>Machinefabriek_Breda_661_667</v>
      </c>
      <c r="C1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6">
        <v>4055</v>
      </c>
      <c r="F116" s="30" t="s">
        <v>2113</v>
      </c>
      <c r="G116" t="s">
        <v>1147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ISNUMBER(MATCH(CONTROL[[#This Row],[VEHIDCODE]],TRACK_TYPES[VEHIDCODE],0))</f>
        <v>1</v>
      </c>
      <c r="K116" t="b">
        <f>ISNUMBER(MATCH(CONTROL[[#This Row],[VEHIDCODE]],PROPERTIES[VEHIDCODE],0))</f>
        <v>1</v>
      </c>
      <c r="L116" t="b">
        <f>ISNUMBER(MATCH(CONTROL[[#This Row],[VEHIDCODE]],GRAPHICS_PROPERTIES[VEHIDCODE],0))</f>
        <v>1</v>
      </c>
      <c r="M116" s="21" t="str">
        <f>"item_"&amp;CONTROL[[#This Row],[VEHIDCODE]]</f>
        <v>item_steam_Machinefabriek_Breda_661_667</v>
      </c>
      <c r="N116" s="21" t="str">
        <f>"str_"&amp;CONTROL[[#This Row],[VEHIDCODE]]</f>
        <v>str_steam_Machinefabriek_Breda_661_667</v>
      </c>
      <c r="O116" s="7" t="b">
        <f>INDEX(PROPERTIES[IS_CONCEPT],MATCH(CONTROL[[#This Row],[VEHIDCODE]],PROPERTIES[VEHIDCODE],0))="IS_CONCEPT"</f>
        <v>0</v>
      </c>
      <c r="P116" s="7" t="b">
        <f>INDEX(PROPERTIES[EXCLUDE],MATCH(CONTROL[[#This Row],[VEHIDCODE]],PROPERTIES[VEHIDCODE],0))</f>
        <v>0</v>
      </c>
      <c r="Q1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17" spans="1:17" x14ac:dyDescent="0.35">
      <c r="A117" s="2" t="s">
        <v>2750</v>
      </c>
      <c r="B117" s="21" t="str">
        <f>MID(CONTROL[[#This Row],[VEHIDCODE]],FIND("_",CONTROL[[#This Row],[VEHIDCODE]])+1,LEN(CONTROL[[#This Row],[VEHIDCODE]]))</f>
        <v>ALCO_46581_2_6_6_2_Mallet</v>
      </c>
      <c r="C1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7">
        <v>4056</v>
      </c>
      <c r="F117" s="30" t="s">
        <v>2115</v>
      </c>
      <c r="G117" t="s">
        <v>1148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ISNUMBER(MATCH(CONTROL[[#This Row],[VEHIDCODE]],TRACK_TYPES[VEHIDCODE],0))</f>
        <v>1</v>
      </c>
      <c r="K117" t="b">
        <f>ISNUMBER(MATCH(CONTROL[[#This Row],[VEHIDCODE]],PROPERTIES[VEHIDCODE],0))</f>
        <v>1</v>
      </c>
      <c r="L117" t="b">
        <f>ISNUMBER(MATCH(CONTROL[[#This Row],[VEHIDCODE]],GRAPHICS_PROPERTIES[VEHIDCODE],0))</f>
        <v>1</v>
      </c>
      <c r="M117" s="21" t="str">
        <f>"item_"&amp;CONTROL[[#This Row],[VEHIDCODE]]</f>
        <v>item_steam_ALCO_46581_2_6_6_2_Mallet</v>
      </c>
      <c r="N117" s="21" t="str">
        <f>"str_"&amp;CONTROL[[#This Row],[VEHIDCODE]]</f>
        <v>str_steam_ALCO_46581_2_6_6_2_Mallet</v>
      </c>
      <c r="O117" s="7" t="b">
        <f>INDEX(PROPERTIES[IS_CONCEPT],MATCH(CONTROL[[#This Row],[VEHIDCODE]],PROPERTIES[VEHIDCODE],0))="IS_CONCEPT"</f>
        <v>0</v>
      </c>
      <c r="P117" s="7" t="b">
        <f>INDEX(PROPERTIES[EXCLUDE],MATCH(CONTROL[[#This Row],[VEHIDCODE]],PROPERTIES[VEHIDCODE],0))</f>
        <v>0</v>
      </c>
      <c r="Q1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8" spans="1:17" x14ac:dyDescent="0.35">
      <c r="A118" s="2" t="s">
        <v>2751</v>
      </c>
      <c r="B118" s="21" t="str">
        <f>MID(CONTROL[[#This Row],[VEHIDCODE]],FIND("_",CONTROL[[#This Row],[VEHIDCODE]])+1,LEN(CONTROL[[#This Row],[VEHIDCODE]]))</f>
        <v>Orenstein___Koppel_2_8_0_8_Tender</v>
      </c>
      <c r="C1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8">
        <v>4057</v>
      </c>
      <c r="F118" s="30" t="s">
        <v>2114</v>
      </c>
      <c r="G118" t="s">
        <v>1149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ISNUMBER(MATCH(CONTROL[[#This Row],[VEHIDCODE]],TRACK_TYPES[VEHIDCODE],0))</f>
        <v>1</v>
      </c>
      <c r="K118" t="b">
        <f>ISNUMBER(MATCH(CONTROL[[#This Row],[VEHIDCODE]],PROPERTIES[VEHIDCODE],0))</f>
        <v>1</v>
      </c>
      <c r="L118" t="b">
        <f>ISNUMBER(MATCH(CONTROL[[#This Row],[VEHIDCODE]],GRAPHICS_PROPERTIES[VEHIDCODE],0))</f>
        <v>1</v>
      </c>
      <c r="M118" s="21" t="str">
        <f>"item_"&amp;CONTROL[[#This Row],[VEHIDCODE]]</f>
        <v>item_steam_Orenstein___Koppel_2_8_0_8_Tender</v>
      </c>
      <c r="N118" s="21" t="str">
        <f>"str_"&amp;CONTROL[[#This Row],[VEHIDCODE]]</f>
        <v>str_steam_Orenstein___Koppel_2_8_0_8_Tender</v>
      </c>
      <c r="O118" s="7" t="b">
        <f>INDEX(PROPERTIES[IS_CONCEPT],MATCH(CONTROL[[#This Row],[VEHIDCODE]],PROPERTIES[VEHIDCODE],0))="IS_CONCEPT"</f>
        <v>0</v>
      </c>
      <c r="P118" s="7" t="b">
        <f>INDEX(PROPERTIES[EXCLUDE],MATCH(CONTROL[[#This Row],[VEHIDCODE]],PROPERTIES[VEHIDCODE],0))</f>
        <v>0</v>
      </c>
      <c r="Q1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19" spans="1:17" x14ac:dyDescent="0.35">
      <c r="A119" s="2" t="s">
        <v>2752</v>
      </c>
      <c r="B119" s="21" t="str">
        <f>MID(CONTROL[[#This Row],[VEHIDCODE]],FIND("_",CONTROL[[#This Row],[VEHIDCODE]])+1,LEN(CONTROL[[#This Row],[VEHIDCODE]]))</f>
        <v>Stratford_Works_L77_LNER_N7</v>
      </c>
      <c r="C1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19">
        <v>4058</v>
      </c>
      <c r="F119" s="30" t="s">
        <v>2116</v>
      </c>
      <c r="G119" t="s">
        <v>1150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ISNUMBER(MATCH(CONTROL[[#This Row],[VEHIDCODE]],TRACK_TYPES[VEHIDCODE],0))</f>
        <v>1</v>
      </c>
      <c r="K119" t="b">
        <f>ISNUMBER(MATCH(CONTROL[[#This Row],[VEHIDCODE]],PROPERTIES[VEHIDCODE],0))</f>
        <v>1</v>
      </c>
      <c r="L119" t="b">
        <f>ISNUMBER(MATCH(CONTROL[[#This Row],[VEHIDCODE]],GRAPHICS_PROPERTIES[VEHIDCODE],0))</f>
        <v>1</v>
      </c>
      <c r="M119" s="21" t="str">
        <f>"item_"&amp;CONTROL[[#This Row],[VEHIDCODE]]</f>
        <v>item_steam_Stratford_Works_L77_LNER_N7</v>
      </c>
      <c r="N119" s="21" t="str">
        <f>"str_"&amp;CONTROL[[#This Row],[VEHIDCODE]]</f>
        <v>str_steam_Stratford_Works_L77_LNER_N7</v>
      </c>
      <c r="O119" s="7" t="b">
        <f>INDEX(PROPERTIES[IS_CONCEPT],MATCH(CONTROL[[#This Row],[VEHIDCODE]],PROPERTIES[VEHIDCODE],0))="IS_CONCEPT"</f>
        <v>0</v>
      </c>
      <c r="P119" s="7" t="b">
        <f>INDEX(PROPERTIES[EXCLUDE],MATCH(CONTROL[[#This Row],[VEHIDCODE]],PROPERTIES[VEHIDCODE],0))</f>
        <v>0</v>
      </c>
      <c r="Q1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0" spans="1:17" x14ac:dyDescent="0.35">
      <c r="A120" s="2" t="s">
        <v>2753</v>
      </c>
      <c r="B120" s="21" t="str">
        <f>MID(CONTROL[[#This Row],[VEHIDCODE]],FIND("_",CONTROL[[#This Row],[VEHIDCODE]])+1,LEN(CONTROL[[#This Row],[VEHIDCODE]]))</f>
        <v>Sachsische_Maschinenfabrik_XX_HV</v>
      </c>
      <c r="C1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0">
        <v>4059</v>
      </c>
      <c r="F120" s="30" t="s">
        <v>2129</v>
      </c>
      <c r="G120" t="s">
        <v>1151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ISNUMBER(MATCH(CONTROL[[#This Row],[VEHIDCODE]],TRACK_TYPES[VEHIDCODE],0))</f>
        <v>1</v>
      </c>
      <c r="K120" t="b">
        <f>ISNUMBER(MATCH(CONTROL[[#This Row],[VEHIDCODE]],PROPERTIES[VEHIDCODE],0))</f>
        <v>1</v>
      </c>
      <c r="L120" t="b">
        <f>ISNUMBER(MATCH(CONTROL[[#This Row],[VEHIDCODE]],GRAPHICS_PROPERTIES[VEHIDCODE],0))</f>
        <v>1</v>
      </c>
      <c r="M120" s="21" t="str">
        <f>"item_"&amp;CONTROL[[#This Row],[VEHIDCODE]]</f>
        <v>item_steam_Sachsische_Maschinenfabrik_XX_HV</v>
      </c>
      <c r="N120" s="21" t="str">
        <f>"str_"&amp;CONTROL[[#This Row],[VEHIDCODE]]</f>
        <v>str_steam_Sachsische_Maschinenfabrik_XX_HV</v>
      </c>
      <c r="O120" s="7" t="b">
        <f>INDEX(PROPERTIES[IS_CONCEPT],MATCH(CONTROL[[#This Row],[VEHIDCODE]],PROPERTIES[VEHIDCODE],0))="IS_CONCEPT"</f>
        <v>0</v>
      </c>
      <c r="P120" s="7" t="b">
        <f>INDEX(PROPERTIES[EXCLUDE],MATCH(CONTROL[[#This Row],[VEHIDCODE]],PROPERTIES[VEHIDCODE],0))</f>
        <v>0</v>
      </c>
      <c r="Q1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1" spans="1:17" x14ac:dyDescent="0.35">
      <c r="A121" s="2" t="s">
        <v>2754</v>
      </c>
      <c r="B121" s="21" t="str">
        <f>MID(CONTROL[[#This Row],[VEHIDCODE]],FIND("_",CONTROL[[#This Row],[VEHIDCODE]])+1,LEN(CONTROL[[#This Row],[VEHIDCODE]]))</f>
        <v>Beyer__P___Co_2_4_0_SS_9_16</v>
      </c>
      <c r="C1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1">
        <v>4060</v>
      </c>
      <c r="F121" s="30" t="s">
        <v>3678</v>
      </c>
      <c r="G121" t="s">
        <v>1152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ISNUMBER(MATCH(CONTROL[[#This Row],[VEHIDCODE]],TRACK_TYPES[VEHIDCODE],0))</f>
        <v>1</v>
      </c>
      <c r="K121" t="b">
        <f>ISNUMBER(MATCH(CONTROL[[#This Row],[VEHIDCODE]],PROPERTIES[VEHIDCODE],0))</f>
        <v>1</v>
      </c>
      <c r="L121" t="b">
        <f>ISNUMBER(MATCH(CONTROL[[#This Row],[VEHIDCODE]],GRAPHICS_PROPERTIES[VEHIDCODE],0))</f>
        <v>1</v>
      </c>
      <c r="M121" s="21" t="str">
        <f>"item_"&amp;CONTROL[[#This Row],[VEHIDCODE]]</f>
        <v>item_steam_Beyer__P___Co_2_4_0_SS_9_16</v>
      </c>
      <c r="N121" s="21" t="str">
        <f>"str_"&amp;CONTROL[[#This Row],[VEHIDCODE]]</f>
        <v>str_steam_Beyer__P___Co_2_4_0_SS_9_16</v>
      </c>
      <c r="O121" s="7" t="b">
        <f>INDEX(PROPERTIES[IS_CONCEPT],MATCH(CONTROL[[#This Row],[VEHIDCODE]],PROPERTIES[VEHIDCODE],0))="IS_CONCEPT"</f>
        <v>0</v>
      </c>
      <c r="P121" s="7" t="b">
        <f>INDEX(PROPERTIES[EXCLUDE],MATCH(CONTROL[[#This Row],[VEHIDCODE]],PROPERTIES[VEHIDCODE],0))</f>
        <v>0</v>
      </c>
      <c r="Q1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2" spans="1:17" x14ac:dyDescent="0.35">
      <c r="A122" s="2" t="s">
        <v>2755</v>
      </c>
      <c r="B122" s="21" t="str">
        <f>MID(CONTROL[[#This Row],[VEHIDCODE]],FIND("_",CONTROL[[#This Row],[VEHIDCODE]])+1,LEN(CONTROL[[#This Row],[VEHIDCODE]]))</f>
        <v>Beyer__P___Co_2_6_0_6112_6113</v>
      </c>
      <c r="C1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2">
        <v>4061</v>
      </c>
      <c r="F122" s="30" t="s">
        <v>3679</v>
      </c>
      <c r="G122" t="s">
        <v>1153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ISNUMBER(MATCH(CONTROL[[#This Row],[VEHIDCODE]],TRACK_TYPES[VEHIDCODE],0))</f>
        <v>1</v>
      </c>
      <c r="K122" t="b">
        <f>ISNUMBER(MATCH(CONTROL[[#This Row],[VEHIDCODE]],PROPERTIES[VEHIDCODE],0))</f>
        <v>1</v>
      </c>
      <c r="L122" t="b">
        <f>ISNUMBER(MATCH(CONTROL[[#This Row],[VEHIDCODE]],GRAPHICS_PROPERTIES[VEHIDCODE],0))</f>
        <v>1</v>
      </c>
      <c r="M122" s="21" t="str">
        <f>"item_"&amp;CONTROL[[#This Row],[VEHIDCODE]]</f>
        <v>item_steam_Beyer__P___Co_2_6_0_6112_6113</v>
      </c>
      <c r="N122" s="21" t="str">
        <f>"str_"&amp;CONTROL[[#This Row],[VEHIDCODE]]</f>
        <v>str_steam_Beyer__P___Co_2_6_0_6112_6113</v>
      </c>
      <c r="O122" s="7" t="b">
        <f>INDEX(PROPERTIES[IS_CONCEPT],MATCH(CONTROL[[#This Row],[VEHIDCODE]],PROPERTIES[VEHIDCODE],0))="IS_CONCEPT"</f>
        <v>0</v>
      </c>
      <c r="P122" s="7" t="b">
        <f>INDEX(PROPERTIES[EXCLUDE],MATCH(CONTROL[[#This Row],[VEHIDCODE]],PROPERTIES[VEHIDCODE],0))</f>
        <v>0</v>
      </c>
      <c r="Q1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3" spans="1:17" x14ac:dyDescent="0.35">
      <c r="A123" s="2" t="s">
        <v>2756</v>
      </c>
      <c r="B123" s="21" t="str">
        <f>MID(CONTROL[[#This Row],[VEHIDCODE]],FIND("_",CONTROL[[#This Row],[VEHIDCODE]])+1,LEN(CONTROL[[#This Row],[VEHIDCODE]]))</f>
        <v>Baldwin_10_32_E_55246</v>
      </c>
      <c r="C1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3">
        <v>4062</v>
      </c>
      <c r="F123" s="30" t="s">
        <v>2117</v>
      </c>
      <c r="G123" t="s">
        <v>1154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ISNUMBER(MATCH(CONTROL[[#This Row],[VEHIDCODE]],TRACK_TYPES[VEHIDCODE],0))</f>
        <v>1</v>
      </c>
      <c r="K123" t="b">
        <f>ISNUMBER(MATCH(CONTROL[[#This Row],[VEHIDCODE]],PROPERTIES[VEHIDCODE],0))</f>
        <v>1</v>
      </c>
      <c r="L123" t="b">
        <f>ISNUMBER(MATCH(CONTROL[[#This Row],[VEHIDCODE]],GRAPHICS_PROPERTIES[VEHIDCODE],0))</f>
        <v>1</v>
      </c>
      <c r="M123" s="21" t="str">
        <f>"item_"&amp;CONTROL[[#This Row],[VEHIDCODE]]</f>
        <v>item_steam_Baldwin_10_32_E_55246</v>
      </c>
      <c r="N123" s="21" t="str">
        <f>"str_"&amp;CONTROL[[#This Row],[VEHIDCODE]]</f>
        <v>str_steam_Baldwin_10_32_E_55246</v>
      </c>
      <c r="O123" s="7" t="b">
        <f>INDEX(PROPERTIES[IS_CONCEPT],MATCH(CONTROL[[#This Row],[VEHIDCODE]],PROPERTIES[VEHIDCODE],0))="IS_CONCEPT"</f>
        <v>0</v>
      </c>
      <c r="P123" s="7" t="b">
        <f>INDEX(PROPERTIES[EXCLUDE],MATCH(CONTROL[[#This Row],[VEHIDCODE]],PROPERTIES[VEHIDCODE],0))</f>
        <v>0</v>
      </c>
      <c r="Q1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4" spans="1:17" x14ac:dyDescent="0.35">
      <c r="A124" s="2" t="s">
        <v>3447</v>
      </c>
      <c r="B124" s="21" t="str">
        <f>MID(CONTROL[[#This Row],[VEHIDCODE]],FIND("_",CONTROL[[#This Row],[VEHIDCODE]])+1,LEN(CONTROL[[#This Row],[VEHIDCODE]]))</f>
        <v>Canadian_National_U_1_a_</v>
      </c>
      <c r="C1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4">
        <v>4063</v>
      </c>
      <c r="F124" s="30" t="s">
        <v>3454</v>
      </c>
      <c r="G124" t="s">
        <v>1155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ISNUMBER(MATCH(CONTROL[[#This Row],[VEHIDCODE]],TRACK_TYPES[VEHIDCODE],0))</f>
        <v>1</v>
      </c>
      <c r="K124" t="b">
        <f>ISNUMBER(MATCH(CONTROL[[#This Row],[VEHIDCODE]],PROPERTIES[VEHIDCODE],0))</f>
        <v>1</v>
      </c>
      <c r="L124" t="b">
        <f>ISNUMBER(MATCH(CONTROL[[#This Row],[VEHIDCODE]],GRAPHICS_PROPERTIES[VEHIDCODE],0))</f>
        <v>1</v>
      </c>
      <c r="M124" s="21" t="str">
        <f>"item_"&amp;CONTROL[[#This Row],[VEHIDCODE]]</f>
        <v>item_steam_Canadian_National_U_1_a_</v>
      </c>
      <c r="N124" s="21" t="str">
        <f>"str_"&amp;CONTROL[[#This Row],[VEHIDCODE]]</f>
        <v>str_steam_Canadian_National_U_1_a_</v>
      </c>
      <c r="O124" s="7" t="b">
        <f>INDEX(PROPERTIES[IS_CONCEPT],MATCH(CONTROL[[#This Row],[VEHIDCODE]],PROPERTIES[VEHIDCODE],0))="IS_CONCEPT"</f>
        <v>0</v>
      </c>
      <c r="P124" s="7" t="b">
        <f>INDEX(PROPERTIES[EXCLUDE],MATCH(CONTROL[[#This Row],[VEHIDCODE]],PROPERTIES[VEHIDCODE],0))</f>
        <v>0</v>
      </c>
      <c r="Q1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5" spans="1:17" x14ac:dyDescent="0.35">
      <c r="A125" s="2" t="s">
        <v>2757</v>
      </c>
      <c r="B125" s="21" t="str">
        <f>MID(CONTROL[[#This Row],[VEHIDCODE]],FIND("_",CONTROL[[#This Row],[VEHIDCODE]])+1,LEN(CONTROL[[#This Row],[VEHIDCODE]]))</f>
        <v>Vulcan_Foundry_2_6_4_Class_XB</v>
      </c>
      <c r="C1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5">
        <v>4064</v>
      </c>
      <c r="F125" s="30" t="s">
        <v>3629</v>
      </c>
      <c r="G125" t="s">
        <v>1156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ISNUMBER(MATCH(CONTROL[[#This Row],[VEHIDCODE]],TRACK_TYPES[VEHIDCODE],0))</f>
        <v>1</v>
      </c>
      <c r="K125" t="b">
        <f>ISNUMBER(MATCH(CONTROL[[#This Row],[VEHIDCODE]],PROPERTIES[VEHIDCODE],0))</f>
        <v>1</v>
      </c>
      <c r="L125" t="b">
        <f>ISNUMBER(MATCH(CONTROL[[#This Row],[VEHIDCODE]],GRAPHICS_PROPERTIES[VEHIDCODE],0))</f>
        <v>1</v>
      </c>
      <c r="M125" s="21" t="str">
        <f>"item_"&amp;CONTROL[[#This Row],[VEHIDCODE]]</f>
        <v>item_steam_Vulcan_Foundry_2_6_4_Class_XB</v>
      </c>
      <c r="N125" s="21" t="str">
        <f>"str_"&amp;CONTROL[[#This Row],[VEHIDCODE]]</f>
        <v>str_steam_Vulcan_Foundry_2_6_4_Class_XB</v>
      </c>
      <c r="O125" s="7" t="b">
        <f>INDEX(PROPERTIES[IS_CONCEPT],MATCH(CONTROL[[#This Row],[VEHIDCODE]],PROPERTIES[VEHIDCODE],0))="IS_CONCEPT"</f>
        <v>0</v>
      </c>
      <c r="P125" s="7" t="b">
        <f>INDEX(PROPERTIES[EXCLUDE],MATCH(CONTROL[[#This Row],[VEHIDCODE]],PROPERTIES[VEHIDCODE],0))</f>
        <v>0</v>
      </c>
      <c r="Q1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6" spans="1:17" x14ac:dyDescent="0.35">
      <c r="A126" s="2" t="s">
        <v>2758</v>
      </c>
      <c r="B126" s="21" t="str">
        <f>MID(CONTROL[[#This Row],[VEHIDCODE]],FIND("_",CONTROL[[#This Row],[VEHIDCODE]])+1,LEN(CONTROL[[#This Row],[VEHIDCODE]]))</f>
        <v>Robert_Stephenson_4_6_2_6982_6985</v>
      </c>
      <c r="C1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6">
        <v>4065</v>
      </c>
      <c r="F126" s="30" t="s">
        <v>2268</v>
      </c>
      <c r="G126" t="s">
        <v>1157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ISNUMBER(MATCH(CONTROL[[#This Row],[VEHIDCODE]],TRACK_TYPES[VEHIDCODE],0))</f>
        <v>1</v>
      </c>
      <c r="K126" t="b">
        <f>ISNUMBER(MATCH(CONTROL[[#This Row],[VEHIDCODE]],PROPERTIES[VEHIDCODE],0))</f>
        <v>1</v>
      </c>
      <c r="L126" t="b">
        <f>ISNUMBER(MATCH(CONTROL[[#This Row],[VEHIDCODE]],GRAPHICS_PROPERTIES[VEHIDCODE],0))</f>
        <v>1</v>
      </c>
      <c r="M126" s="21" t="str">
        <f>"item_"&amp;CONTROL[[#This Row],[VEHIDCODE]]</f>
        <v>item_steam_Robert_Stephenson_4_6_2_6982_6985</v>
      </c>
      <c r="N126" s="21" t="str">
        <f>"str_"&amp;CONTROL[[#This Row],[VEHIDCODE]]</f>
        <v>str_steam_Robert_Stephenson_4_6_2_6982_6985</v>
      </c>
      <c r="O126" s="7" t="b">
        <f>INDEX(PROPERTIES[IS_CONCEPT],MATCH(CONTROL[[#This Row],[VEHIDCODE]],PROPERTIES[VEHIDCODE],0))="IS_CONCEPT"</f>
        <v>0</v>
      </c>
      <c r="P126" s="7" t="b">
        <f>INDEX(PROPERTIES[EXCLUDE],MATCH(CONTROL[[#This Row],[VEHIDCODE]],PROPERTIES[VEHIDCODE],0))</f>
        <v>0</v>
      </c>
      <c r="Q1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27" spans="1:17" x14ac:dyDescent="0.35">
      <c r="A127" s="2" t="s">
        <v>2759</v>
      </c>
      <c r="B127" s="21" t="str">
        <f>MID(CONTROL[[#This Row],[VEHIDCODE]],FIND("_",CONTROL[[#This Row],[VEHIDCODE]])+1,LEN(CONTROL[[#This Row],[VEHIDCODE]]))</f>
        <v>ENR_1100__LMS_Fowler_3F___WD_0_6_0T_</v>
      </c>
      <c r="C1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7">
        <v>4066</v>
      </c>
      <c r="F127" s="30" t="s">
        <v>3520</v>
      </c>
      <c r="G127" t="s">
        <v>3519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ISNUMBER(MATCH(CONTROL[[#This Row],[VEHIDCODE]],TRACK_TYPES[VEHIDCODE],0))</f>
        <v>1</v>
      </c>
      <c r="K127" t="b">
        <f>ISNUMBER(MATCH(CONTROL[[#This Row],[VEHIDCODE]],PROPERTIES[VEHIDCODE],0))</f>
        <v>1</v>
      </c>
      <c r="L127" t="b">
        <f>ISNUMBER(MATCH(CONTROL[[#This Row],[VEHIDCODE]],GRAPHICS_PROPERTIES[VEHIDCODE],0))</f>
        <v>1</v>
      </c>
      <c r="M127" s="21" t="str">
        <f>"item_"&amp;CONTROL[[#This Row],[VEHIDCODE]]</f>
        <v>item_steam_ENR_1100__LMS_Fowler_3F___WD_0_6_0T_</v>
      </c>
      <c r="N127" s="21" t="str">
        <f>"str_"&amp;CONTROL[[#This Row],[VEHIDCODE]]</f>
        <v>str_steam_ENR_1100__LMS_Fowler_3F___WD_0_6_0T_</v>
      </c>
      <c r="O127" s="7" t="b">
        <f>INDEX(PROPERTIES[IS_CONCEPT],MATCH(CONTROL[[#This Row],[VEHIDCODE]],PROPERTIES[VEHIDCODE],0))="IS_CONCEPT"</f>
        <v>0</v>
      </c>
      <c r="P127" s="7" t="b">
        <f>INDEX(PROPERTIES[EXCLUDE],MATCH(CONTROL[[#This Row],[VEHIDCODE]],PROPERTIES[VEHIDCODE],0))</f>
        <v>0</v>
      </c>
      <c r="Q1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8" spans="1:17" x14ac:dyDescent="0.35">
      <c r="A128" s="2" t="s">
        <v>2760</v>
      </c>
      <c r="B128" s="21" t="str">
        <f>MID(CONTROL[[#This Row],[VEHIDCODE]],FIND("_",CONTROL[[#This Row],[VEHIDCODE]])+1,LEN(CONTROL[[#This Row],[VEHIDCODE]]))</f>
        <v>Swindon_Works_381</v>
      </c>
      <c r="C1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8">
        <v>4068</v>
      </c>
      <c r="F128" s="30" t="s">
        <v>2118</v>
      </c>
      <c r="G128" t="s">
        <v>1158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ISNUMBER(MATCH(CONTROL[[#This Row],[VEHIDCODE]],TRACK_TYPES[VEHIDCODE],0))</f>
        <v>1</v>
      </c>
      <c r="K128" t="b">
        <f>ISNUMBER(MATCH(CONTROL[[#This Row],[VEHIDCODE]],PROPERTIES[VEHIDCODE],0))</f>
        <v>1</v>
      </c>
      <c r="L128" t="b">
        <f>ISNUMBER(MATCH(CONTROL[[#This Row],[VEHIDCODE]],GRAPHICS_PROPERTIES[VEHIDCODE],0))</f>
        <v>1</v>
      </c>
      <c r="M128" s="21" t="str">
        <f>"item_"&amp;CONTROL[[#This Row],[VEHIDCODE]]</f>
        <v>item_steam_Swindon_Works_381</v>
      </c>
      <c r="N128" s="21" t="str">
        <f>"str_"&amp;CONTROL[[#This Row],[VEHIDCODE]]</f>
        <v>str_steam_Swindon_Works_381</v>
      </c>
      <c r="O128" s="7" t="b">
        <f>INDEX(PROPERTIES[IS_CONCEPT],MATCH(CONTROL[[#This Row],[VEHIDCODE]],PROPERTIES[VEHIDCODE],0))="IS_CONCEPT"</f>
        <v>0</v>
      </c>
      <c r="P128" s="7" t="b">
        <f>INDEX(PROPERTIES[EXCLUDE],MATCH(CONTROL[[#This Row],[VEHIDCODE]],PROPERTIES[VEHIDCODE],0))</f>
        <v>0</v>
      </c>
      <c r="Q1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29" spans="1:17" x14ac:dyDescent="0.35">
      <c r="A129" s="2" t="s">
        <v>2761</v>
      </c>
      <c r="B129" s="21" t="str">
        <f>MID(CONTROL[[#This Row],[VEHIDCODE]],FIND("_",CONTROL[[#This Row],[VEHIDCODE]])+1,LEN(CONTROL[[#This Row],[VEHIDCODE]]))</f>
        <v>North_British_LC_R_4_6_4_Hudson</v>
      </c>
      <c r="C1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29">
        <v>4069</v>
      </c>
      <c r="F129" s="30" t="s">
        <v>2119</v>
      </c>
      <c r="G129" t="s">
        <v>1159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ISNUMBER(MATCH(CONTROL[[#This Row],[VEHIDCODE]],TRACK_TYPES[VEHIDCODE],0))</f>
        <v>1</v>
      </c>
      <c r="K129" t="b">
        <f>ISNUMBER(MATCH(CONTROL[[#This Row],[VEHIDCODE]],PROPERTIES[VEHIDCODE],0))</f>
        <v>1</v>
      </c>
      <c r="L129" t="b">
        <f>ISNUMBER(MATCH(CONTROL[[#This Row],[VEHIDCODE]],GRAPHICS_PROPERTIES[VEHIDCODE],0))</f>
        <v>1</v>
      </c>
      <c r="M129" s="21" t="str">
        <f>"item_"&amp;CONTROL[[#This Row],[VEHIDCODE]]</f>
        <v>item_steam_North_British_LC_R_4_6_4_Hudson</v>
      </c>
      <c r="N129" s="21" t="str">
        <f>"str_"&amp;CONTROL[[#This Row],[VEHIDCODE]]</f>
        <v>str_steam_North_British_LC_R_4_6_4_Hudson</v>
      </c>
      <c r="O129" s="7" t="b">
        <f>INDEX(PROPERTIES[IS_CONCEPT],MATCH(CONTROL[[#This Row],[VEHIDCODE]],PROPERTIES[VEHIDCODE],0))="IS_CONCEPT"</f>
        <v>0</v>
      </c>
      <c r="P129" s="7" t="b">
        <f>INDEX(PROPERTIES[EXCLUDE],MATCH(CONTROL[[#This Row],[VEHIDCODE]],PROPERTIES[VEHIDCODE],0))</f>
        <v>0</v>
      </c>
      <c r="Q1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0" spans="1:17" x14ac:dyDescent="0.35">
      <c r="A130" s="2" t="s">
        <v>2762</v>
      </c>
      <c r="B130" s="21" t="str">
        <f>MID(CONTROL[[#This Row],[VEHIDCODE]],FIND("_",CONTROL[[#This Row],[VEHIDCODE]])+1,LEN(CONTROL[[#This Row],[VEHIDCODE]]))</f>
        <v>VEB_2_10_2T_99_77_79</v>
      </c>
      <c r="C1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0">
        <v>4070</v>
      </c>
      <c r="F130" s="30" t="s">
        <v>2120</v>
      </c>
      <c r="G130" t="s">
        <v>1160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ISNUMBER(MATCH(CONTROL[[#This Row],[VEHIDCODE]],TRACK_TYPES[VEHIDCODE],0))</f>
        <v>1</v>
      </c>
      <c r="K130" t="b">
        <f>ISNUMBER(MATCH(CONTROL[[#This Row],[VEHIDCODE]],PROPERTIES[VEHIDCODE],0))</f>
        <v>1</v>
      </c>
      <c r="L130" t="b">
        <f>ISNUMBER(MATCH(CONTROL[[#This Row],[VEHIDCODE]],GRAPHICS_PROPERTIES[VEHIDCODE],0))</f>
        <v>1</v>
      </c>
      <c r="M130" s="21" t="str">
        <f>"item_"&amp;CONTROL[[#This Row],[VEHIDCODE]]</f>
        <v>item_steam_VEB_2_10_2T_99_77_79</v>
      </c>
      <c r="N130" s="21" t="str">
        <f>"str_"&amp;CONTROL[[#This Row],[VEHIDCODE]]</f>
        <v>str_steam_VEB_2_10_2T_99_77_79</v>
      </c>
      <c r="O130" s="7" t="b">
        <f>INDEX(PROPERTIES[IS_CONCEPT],MATCH(CONTROL[[#This Row],[VEHIDCODE]],PROPERTIES[VEHIDCODE],0))="IS_CONCEPT"</f>
        <v>0</v>
      </c>
      <c r="P130" s="7" t="b">
        <f>INDEX(PROPERTIES[EXCLUDE],MATCH(CONTROL[[#This Row],[VEHIDCODE]],PROPERTIES[VEHIDCODE],0))</f>
        <v>0</v>
      </c>
      <c r="Q1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31" spans="1:17" x14ac:dyDescent="0.35">
      <c r="A131" s="2" t="s">
        <v>2763</v>
      </c>
      <c r="B131" s="21" t="str">
        <f>MID(CONTROL[[#This Row],[VEHIDCODE]],FIND("_",CONTROL[[#This Row],[VEHIDCODE]])+1,LEN(CONTROL[[#This Row],[VEHIDCODE]]))</f>
        <v>RAW_Meiningen_4_6_2_89_</v>
      </c>
      <c r="C1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1">
        <v>4071</v>
      </c>
      <c r="F131" s="30" t="s">
        <v>2121</v>
      </c>
      <c r="G131" t="s">
        <v>1650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ISNUMBER(MATCH(CONTROL[[#This Row],[VEHIDCODE]],TRACK_TYPES[VEHIDCODE],0))</f>
        <v>1</v>
      </c>
      <c r="K131" t="b">
        <f>ISNUMBER(MATCH(CONTROL[[#This Row],[VEHIDCODE]],PROPERTIES[VEHIDCODE],0))</f>
        <v>1</v>
      </c>
      <c r="L131" t="b">
        <f>ISNUMBER(MATCH(CONTROL[[#This Row],[VEHIDCODE]],GRAPHICS_PROPERTIES[VEHIDCODE],0))</f>
        <v>1</v>
      </c>
      <c r="M131" s="21" t="str">
        <f>"item_"&amp;CONTROL[[#This Row],[VEHIDCODE]]</f>
        <v>item_steam_RAW_Meiningen_4_6_2_89_</v>
      </c>
      <c r="N131" s="21" t="str">
        <f>"str_"&amp;CONTROL[[#This Row],[VEHIDCODE]]</f>
        <v>str_steam_RAW_Meiningen_4_6_2_89_</v>
      </c>
      <c r="O131" s="7" t="b">
        <f>INDEX(PROPERTIES[IS_CONCEPT],MATCH(CONTROL[[#This Row],[VEHIDCODE]],PROPERTIES[VEHIDCODE],0))="IS_CONCEPT"</f>
        <v>0</v>
      </c>
      <c r="P131" s="7" t="b">
        <f>INDEX(PROPERTIES[EXCLUDE],MATCH(CONTROL[[#This Row],[VEHIDCODE]],PROPERTIES[VEHIDCODE],0))</f>
        <v>0</v>
      </c>
      <c r="Q1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2" spans="1:17" x14ac:dyDescent="0.35">
      <c r="A132" s="2" t="s">
        <v>2764</v>
      </c>
      <c r="B132" s="21" t="str">
        <f>MID(CONTROL[[#This Row],[VEHIDCODE]],FIND("_",CONTROL[[#This Row],[VEHIDCODE]])+1,LEN(CONTROL[[#This Row],[VEHIDCODE]]))</f>
        <v>NZR_4_6_4T_WAB</v>
      </c>
      <c r="C1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2">
        <v>4090</v>
      </c>
      <c r="F132" s="30" t="s">
        <v>2122</v>
      </c>
      <c r="G132" t="s">
        <v>1161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ISNUMBER(MATCH(CONTROL[[#This Row],[VEHIDCODE]],TRACK_TYPES[VEHIDCODE],0))</f>
        <v>1</v>
      </c>
      <c r="K132" t="b">
        <f>ISNUMBER(MATCH(CONTROL[[#This Row],[VEHIDCODE]],PROPERTIES[VEHIDCODE],0))</f>
        <v>1</v>
      </c>
      <c r="L132" t="b">
        <f>ISNUMBER(MATCH(CONTROL[[#This Row],[VEHIDCODE]],GRAPHICS_PROPERTIES[VEHIDCODE],0))</f>
        <v>1</v>
      </c>
      <c r="M132" s="21" t="str">
        <f>"item_"&amp;CONTROL[[#This Row],[VEHIDCODE]]</f>
        <v>item_steam_NZR_4_6_4T_WAB</v>
      </c>
      <c r="N132" s="21" t="str">
        <f>"str_"&amp;CONTROL[[#This Row],[VEHIDCODE]]</f>
        <v>str_steam_NZR_4_6_4T_WAB</v>
      </c>
      <c r="O132" s="7" t="b">
        <f>INDEX(PROPERTIES[IS_CONCEPT],MATCH(CONTROL[[#This Row],[VEHIDCODE]],PROPERTIES[VEHIDCODE],0))="IS_CONCEPT"</f>
        <v>0</v>
      </c>
      <c r="P132" s="7" t="b">
        <f>INDEX(PROPERTIES[EXCLUDE],MATCH(CONTROL[[#This Row],[VEHIDCODE]],PROPERTIES[VEHIDCODE],0))</f>
        <v>0</v>
      </c>
      <c r="Q1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33" spans="1:17" x14ac:dyDescent="0.35">
      <c r="A133" s="2" t="s">
        <v>2765</v>
      </c>
      <c r="B133" s="21" t="str">
        <f>MID(CONTROL[[#This Row],[VEHIDCODE]],FIND("_",CONTROL[[#This Row],[VEHIDCODE]])+1,LEN(CONTROL[[#This Row],[VEHIDCODE]]))</f>
        <v>Clyde_4_8_2_D57</v>
      </c>
      <c r="C1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3">
        <v>4095</v>
      </c>
      <c r="F133" s="30" t="s">
        <v>2123</v>
      </c>
      <c r="G133" t="s">
        <v>1162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ISNUMBER(MATCH(CONTROL[[#This Row],[VEHIDCODE]],TRACK_TYPES[VEHIDCODE],0))</f>
        <v>1</v>
      </c>
      <c r="K133" t="b">
        <f>ISNUMBER(MATCH(CONTROL[[#This Row],[VEHIDCODE]],PROPERTIES[VEHIDCODE],0))</f>
        <v>1</v>
      </c>
      <c r="L133" t="b">
        <f>ISNUMBER(MATCH(CONTROL[[#This Row],[VEHIDCODE]],GRAPHICS_PROPERTIES[VEHIDCODE],0))</f>
        <v>1</v>
      </c>
      <c r="M133" s="21" t="str">
        <f>"item_"&amp;CONTROL[[#This Row],[VEHIDCODE]]</f>
        <v>item_steam_Clyde_4_8_2_D57</v>
      </c>
      <c r="N133" s="21" t="str">
        <f>"str_"&amp;CONTROL[[#This Row],[VEHIDCODE]]</f>
        <v>str_steam_Clyde_4_8_2_D57</v>
      </c>
      <c r="O133" s="7" t="b">
        <f>INDEX(PROPERTIES[IS_CONCEPT],MATCH(CONTROL[[#This Row],[VEHIDCODE]],PROPERTIES[VEHIDCODE],0))="IS_CONCEPT"</f>
        <v>0</v>
      </c>
      <c r="P133" s="7" t="b">
        <f>INDEX(PROPERTIES[EXCLUDE],MATCH(CONTROL[[#This Row],[VEHIDCODE]],PROPERTIES[VEHIDCODE],0))</f>
        <v>0</v>
      </c>
      <c r="Q1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4" spans="1:17" x14ac:dyDescent="0.35">
      <c r="A134" s="2" t="s">
        <v>2766</v>
      </c>
      <c r="B134" s="21" t="str">
        <f>MID(CONTROL[[#This Row],[VEHIDCODE]],FIND("_",CONTROL[[#This Row],[VEHIDCODE]])+1,LEN(CONTROL[[#This Row],[VEHIDCODE]]))</f>
        <v>Islington_Railway_Workshops_81_92_520</v>
      </c>
      <c r="C1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4">
        <v>4101</v>
      </c>
      <c r="F134" s="30" t="s">
        <v>2124</v>
      </c>
      <c r="G134" t="s">
        <v>1163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ISNUMBER(MATCH(CONTROL[[#This Row],[VEHIDCODE]],TRACK_TYPES[VEHIDCODE],0))</f>
        <v>1</v>
      </c>
      <c r="K134" t="b">
        <f>ISNUMBER(MATCH(CONTROL[[#This Row],[VEHIDCODE]],PROPERTIES[VEHIDCODE],0))</f>
        <v>1</v>
      </c>
      <c r="L134" t="b">
        <f>ISNUMBER(MATCH(CONTROL[[#This Row],[VEHIDCODE]],GRAPHICS_PROPERTIES[VEHIDCODE],0))</f>
        <v>1</v>
      </c>
      <c r="M134" s="21" t="str">
        <f>"item_"&amp;CONTROL[[#This Row],[VEHIDCODE]]</f>
        <v>item_steam_Islington_Railway_Workshops_81_92_520</v>
      </c>
      <c r="N134" s="21" t="str">
        <f>"str_"&amp;CONTROL[[#This Row],[VEHIDCODE]]</f>
        <v>str_steam_Islington_Railway_Workshops_81_92_520</v>
      </c>
      <c r="O134" s="7" t="b">
        <f>INDEX(PROPERTIES[IS_CONCEPT],MATCH(CONTROL[[#This Row],[VEHIDCODE]],PROPERTIES[VEHIDCODE],0))="IS_CONCEPT"</f>
        <v>0</v>
      </c>
      <c r="P134" s="7" t="b">
        <f>INDEX(PROPERTIES[EXCLUDE],MATCH(CONTROL[[#This Row],[VEHIDCODE]],PROPERTIES[VEHIDCODE],0))</f>
        <v>0</v>
      </c>
      <c r="Q1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5" spans="1:17" x14ac:dyDescent="0.35">
      <c r="A135" s="2" t="s">
        <v>2767</v>
      </c>
      <c r="B135" s="21" t="str">
        <f>MID(CONTROL[[#This Row],[VEHIDCODE]],FIND("_",CONTROL[[#This Row],[VEHIDCODE]])+1,LEN(CONTROL[[#This Row],[VEHIDCODE]]))</f>
        <v>Beyer__P___Co_4_8_4_4_8_4_7473_7497</v>
      </c>
      <c r="C1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5">
        <v>4105</v>
      </c>
      <c r="F135" s="30" t="s">
        <v>3680</v>
      </c>
      <c r="G135" t="s">
        <v>1164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ISNUMBER(MATCH(CONTROL[[#This Row],[VEHIDCODE]],TRACK_TYPES[VEHIDCODE],0))</f>
        <v>1</v>
      </c>
      <c r="K135" t="b">
        <f>ISNUMBER(MATCH(CONTROL[[#This Row],[VEHIDCODE]],PROPERTIES[VEHIDCODE],0))</f>
        <v>1</v>
      </c>
      <c r="L135" t="b">
        <f>ISNUMBER(MATCH(CONTROL[[#This Row],[VEHIDCODE]],GRAPHICS_PROPERTIES[VEHIDCODE],0))</f>
        <v>1</v>
      </c>
      <c r="M135" s="21" t="str">
        <f>"item_"&amp;CONTROL[[#This Row],[VEHIDCODE]]</f>
        <v>item_steam_Beyer__P___Co_4_8_4_4_8_4_7473_7497</v>
      </c>
      <c r="N135" s="21" t="str">
        <f>"str_"&amp;CONTROL[[#This Row],[VEHIDCODE]]</f>
        <v>str_steam_Beyer__P___Co_4_8_4_4_8_4_7473_7497</v>
      </c>
      <c r="O135" s="7" t="b">
        <f>INDEX(PROPERTIES[IS_CONCEPT],MATCH(CONTROL[[#This Row],[VEHIDCODE]],PROPERTIES[VEHIDCODE],0))="IS_CONCEPT"</f>
        <v>0</v>
      </c>
      <c r="P135" s="7" t="b">
        <f>INDEX(PROPERTIES[EXCLUDE],MATCH(CONTROL[[#This Row],[VEHIDCODE]],PROPERTIES[VEHIDCODE],0))</f>
        <v>0</v>
      </c>
      <c r="Q1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136" spans="1:17" x14ac:dyDescent="0.35">
      <c r="A136" s="2" t="s">
        <v>2768</v>
      </c>
      <c r="B136" s="21" t="str">
        <f>MID(CONTROL[[#This Row],[VEHIDCODE]],FIND("_",CONTROL[[#This Row],[VEHIDCODE]])+1,LEN(CONTROL[[#This Row],[VEHIDCODE]]))</f>
        <v>AFE_N1_2_6_0</v>
      </c>
      <c r="C1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6">
        <v>4081</v>
      </c>
      <c r="F136" s="30" t="s">
        <v>367</v>
      </c>
      <c r="G136" t="s">
        <v>1165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ISNUMBER(MATCH(CONTROL[[#This Row],[VEHIDCODE]],TRACK_TYPES[VEHIDCODE],0))</f>
        <v>1</v>
      </c>
      <c r="K136" t="b">
        <f>ISNUMBER(MATCH(CONTROL[[#This Row],[VEHIDCODE]],PROPERTIES[VEHIDCODE],0))</f>
        <v>1</v>
      </c>
      <c r="L136" t="b">
        <f>ISNUMBER(MATCH(CONTROL[[#This Row],[VEHIDCODE]],GRAPHICS_PROPERTIES[VEHIDCODE],0))</f>
        <v>1</v>
      </c>
      <c r="M136" s="21" t="str">
        <f>"item_"&amp;CONTROL[[#This Row],[VEHIDCODE]]</f>
        <v>item_steam_AFE_N1_2_6_0</v>
      </c>
      <c r="N136" s="21" t="str">
        <f>"str_"&amp;CONTROL[[#This Row],[VEHIDCODE]]</f>
        <v>str_steam_AFE_N1_2_6_0</v>
      </c>
      <c r="O136" s="7" t="b">
        <f>INDEX(PROPERTIES[IS_CONCEPT],MATCH(CONTROL[[#This Row],[VEHIDCODE]],PROPERTIES[VEHIDCODE],0))="IS_CONCEPT"</f>
        <v>0</v>
      </c>
      <c r="P136" s="7" t="b">
        <f>INDEX(PROPERTIES[EXCLUDE],MATCH(CONTROL[[#This Row],[VEHIDCODE]],PROPERTIES[VEHIDCODE],0))</f>
        <v>0</v>
      </c>
      <c r="Q1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7" spans="1:17" x14ac:dyDescent="0.35">
      <c r="A137" s="2" t="s">
        <v>2769</v>
      </c>
      <c r="B137" s="21" t="str">
        <f>MID(CONTROL[[#This Row],[VEHIDCODE]],FIND("_",CONTROL[[#This Row],[VEHIDCODE]])+1,LEN(CONTROL[[#This Row],[VEHIDCODE]]))</f>
        <v>Sir_Armstrong_Whithworth___Co__PS11</v>
      </c>
      <c r="C1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7">
        <v>4096</v>
      </c>
      <c r="F137" s="30" t="s">
        <v>2125</v>
      </c>
      <c r="G137" t="s">
        <v>1167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ISNUMBER(MATCH(CONTROL[[#This Row],[VEHIDCODE]],TRACK_TYPES[VEHIDCODE],0))</f>
        <v>1</v>
      </c>
      <c r="K137" t="b">
        <f>ISNUMBER(MATCH(CONTROL[[#This Row],[VEHIDCODE]],PROPERTIES[VEHIDCODE],0))</f>
        <v>1</v>
      </c>
      <c r="L137" t="b">
        <f>ISNUMBER(MATCH(CONTROL[[#This Row],[VEHIDCODE]],GRAPHICS_PROPERTIES[VEHIDCODE],0))</f>
        <v>1</v>
      </c>
      <c r="M137" s="21" t="str">
        <f>"item_"&amp;CONTROL[[#This Row],[VEHIDCODE]]</f>
        <v>item_steam_Sir_Armstrong_Whithworth___Co__PS11</v>
      </c>
      <c r="N137" s="21" t="str">
        <f>"str_"&amp;CONTROL[[#This Row],[VEHIDCODE]]</f>
        <v>str_steam_Sir_Armstrong_Whithworth___Co__PS11</v>
      </c>
      <c r="O137" s="7" t="b">
        <f>INDEX(PROPERTIES[IS_CONCEPT],MATCH(CONTROL[[#This Row],[VEHIDCODE]],PROPERTIES[VEHIDCODE],0))="IS_CONCEPT"</f>
        <v>0</v>
      </c>
      <c r="P137" s="7" t="b">
        <f>INDEX(PROPERTIES[EXCLUDE],MATCH(CONTROL[[#This Row],[VEHIDCODE]],PROPERTIES[VEHIDCODE],0))</f>
        <v>0</v>
      </c>
      <c r="Q1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38" spans="1:17" x14ac:dyDescent="0.35">
      <c r="A138" s="2" t="s">
        <v>2770</v>
      </c>
      <c r="B138" s="21" t="str">
        <f>MID(CONTROL[[#This Row],[VEHIDCODE]],FIND("_",CONTROL[[#This Row],[VEHIDCODE]])+1,LEN(CONTROL[[#This Row],[VEHIDCODE]]))</f>
        <v>Alexander_Chaplin___Co__1584_0_4_0VB</v>
      </c>
      <c r="C1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8">
        <v>4074</v>
      </c>
      <c r="F138" s="30" t="s">
        <v>2126</v>
      </c>
      <c r="G138" t="s">
        <v>1797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ISNUMBER(MATCH(CONTROL[[#This Row],[VEHIDCODE]],TRACK_TYPES[VEHIDCODE],0))</f>
        <v>1</v>
      </c>
      <c r="K138" t="b">
        <f>ISNUMBER(MATCH(CONTROL[[#This Row],[VEHIDCODE]],PROPERTIES[VEHIDCODE],0))</f>
        <v>1</v>
      </c>
      <c r="L138" t="b">
        <f>ISNUMBER(MATCH(CONTROL[[#This Row],[VEHIDCODE]],GRAPHICS_PROPERTIES[VEHIDCODE],0))</f>
        <v>1</v>
      </c>
      <c r="M138" s="21" t="str">
        <f>"item_"&amp;CONTROL[[#This Row],[VEHIDCODE]]</f>
        <v>item_steam_Alexander_Chaplin___Co__1584_0_4_0VB</v>
      </c>
      <c r="N138" s="21" t="str">
        <f>"str_"&amp;CONTROL[[#This Row],[VEHIDCODE]]</f>
        <v>str_steam_Alexander_Chaplin___Co__1584_0_4_0VB</v>
      </c>
      <c r="O138" s="7" t="b">
        <f>INDEX(PROPERTIES[IS_CONCEPT],MATCH(CONTROL[[#This Row],[VEHIDCODE]],PROPERTIES[VEHIDCODE],0))="IS_CONCEPT"</f>
        <v>0</v>
      </c>
      <c r="P138" s="7" t="b">
        <f>INDEX(PROPERTIES[EXCLUDE],MATCH(CONTROL[[#This Row],[VEHIDCODE]],PROPERTIES[VEHIDCODE],0))</f>
        <v>0</v>
      </c>
      <c r="Q1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39" spans="1:17" x14ac:dyDescent="0.35">
      <c r="A139" s="2" t="s">
        <v>2771</v>
      </c>
      <c r="B139" s="21" t="str">
        <f>MID(CONTROL[[#This Row],[VEHIDCODE]],FIND("_",CONTROL[[#This Row],[VEHIDCODE]])+1,LEN(CONTROL[[#This Row],[VEHIDCODE]]))</f>
        <v>Falcon_Engine_and_Car_Works_F2</v>
      </c>
      <c r="C1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39">
        <v>4078</v>
      </c>
      <c r="F139" s="30" t="s">
        <v>2127</v>
      </c>
      <c r="G139" t="s">
        <v>1168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ISNUMBER(MATCH(CONTROL[[#This Row],[VEHIDCODE]],TRACK_TYPES[VEHIDCODE],0))</f>
        <v>1</v>
      </c>
      <c r="K139" t="b">
        <f>ISNUMBER(MATCH(CONTROL[[#This Row],[VEHIDCODE]],PROPERTIES[VEHIDCODE],0))</f>
        <v>1</v>
      </c>
      <c r="L139" t="b">
        <f>ISNUMBER(MATCH(CONTROL[[#This Row],[VEHIDCODE]],GRAPHICS_PROPERTIES[VEHIDCODE],0))</f>
        <v>1</v>
      </c>
      <c r="M139" s="21" t="str">
        <f>"item_"&amp;CONTROL[[#This Row],[VEHIDCODE]]</f>
        <v>item_steam_Falcon_Engine_and_Car_Works_F2</v>
      </c>
      <c r="N139" s="21" t="str">
        <f>"str_"&amp;CONTROL[[#This Row],[VEHIDCODE]]</f>
        <v>str_steam_Falcon_Engine_and_Car_Works_F2</v>
      </c>
      <c r="O139" s="7" t="b">
        <f>INDEX(PROPERTIES[IS_CONCEPT],MATCH(CONTROL[[#This Row],[VEHIDCODE]],PROPERTIES[VEHIDCODE],0))="IS_CONCEPT"</f>
        <v>0</v>
      </c>
      <c r="P139" s="7" t="b">
        <f>INDEX(PROPERTIES[EXCLUDE],MATCH(CONTROL[[#This Row],[VEHIDCODE]],PROPERTIES[VEHIDCODE],0))</f>
        <v>0</v>
      </c>
      <c r="Q1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0" spans="1:17" x14ac:dyDescent="0.35">
      <c r="A140" s="2" t="s">
        <v>2772</v>
      </c>
      <c r="B140" s="21" t="str">
        <f>MID(CONTROL[[#This Row],[VEHIDCODE]],FIND("_",CONTROL[[#This Row],[VEHIDCODE]])+1,LEN(CONTROL[[#This Row],[VEHIDCODE]]))</f>
        <v>Ansaldo_R_440_Mallet</v>
      </c>
      <c r="C1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0">
        <v>4083</v>
      </c>
      <c r="F140" s="30" t="s">
        <v>2128</v>
      </c>
      <c r="G140" t="s">
        <v>1169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ISNUMBER(MATCH(CONTROL[[#This Row],[VEHIDCODE]],TRACK_TYPES[VEHIDCODE],0))</f>
        <v>1</v>
      </c>
      <c r="K140" t="b">
        <f>ISNUMBER(MATCH(CONTROL[[#This Row],[VEHIDCODE]],PROPERTIES[VEHIDCODE],0))</f>
        <v>1</v>
      </c>
      <c r="L140" t="b">
        <f>ISNUMBER(MATCH(CONTROL[[#This Row],[VEHIDCODE]],GRAPHICS_PROPERTIES[VEHIDCODE],0))</f>
        <v>1</v>
      </c>
      <c r="M140" s="21" t="str">
        <f>"item_"&amp;CONTROL[[#This Row],[VEHIDCODE]]</f>
        <v>item_steam_Ansaldo_R_440_Mallet</v>
      </c>
      <c r="N140" s="21" t="str">
        <f>"str_"&amp;CONTROL[[#This Row],[VEHIDCODE]]</f>
        <v>str_steam_Ansaldo_R_440_Mallet</v>
      </c>
      <c r="O140" s="7" t="b">
        <f>INDEX(PROPERTIES[IS_CONCEPT],MATCH(CONTROL[[#This Row],[VEHIDCODE]],PROPERTIES[VEHIDCODE],0))="IS_CONCEPT"</f>
        <v>0</v>
      </c>
      <c r="P140" s="7" t="b">
        <f>INDEX(PROPERTIES[EXCLUDE],MATCH(CONTROL[[#This Row],[VEHIDCODE]],PROPERTIES[VEHIDCODE],0))</f>
        <v>0</v>
      </c>
      <c r="Q1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41" spans="1:17" x14ac:dyDescent="0.35">
      <c r="A141" s="2" t="s">
        <v>2773</v>
      </c>
      <c r="B141" s="21" t="str">
        <f>MID(CONTROL[[#This Row],[VEHIDCODE]],FIND("_",CONTROL[[#This Row],[VEHIDCODE]])+1,LEN(CONTROL[[#This Row],[VEHIDCODE]]))</f>
        <v>Beyer__P___Co__4_8_0_6128_6133</v>
      </c>
      <c r="C1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1">
        <v>4088</v>
      </c>
      <c r="F141" s="30" t="s">
        <v>2269</v>
      </c>
      <c r="G141" t="s">
        <v>1170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ISNUMBER(MATCH(CONTROL[[#This Row],[VEHIDCODE]],TRACK_TYPES[VEHIDCODE],0))</f>
        <v>1</v>
      </c>
      <c r="K141" t="b">
        <f>ISNUMBER(MATCH(CONTROL[[#This Row],[VEHIDCODE]],PROPERTIES[VEHIDCODE],0))</f>
        <v>1</v>
      </c>
      <c r="L141" t="b">
        <f>ISNUMBER(MATCH(CONTROL[[#This Row],[VEHIDCODE]],GRAPHICS_PROPERTIES[VEHIDCODE],0))</f>
        <v>1</v>
      </c>
      <c r="M141" s="21" t="str">
        <f>"item_"&amp;CONTROL[[#This Row],[VEHIDCODE]]</f>
        <v>item_steam_Beyer__P___Co__4_8_0_6128_6133</v>
      </c>
      <c r="N141" s="21" t="str">
        <f>"str_"&amp;CONTROL[[#This Row],[VEHIDCODE]]</f>
        <v>str_steam_Beyer__P___Co__4_8_0_6128_6133</v>
      </c>
      <c r="O141" s="7" t="b">
        <f>INDEX(PROPERTIES[IS_CONCEPT],MATCH(CONTROL[[#This Row],[VEHIDCODE]],PROPERTIES[VEHIDCODE],0))="IS_CONCEPT"</f>
        <v>0</v>
      </c>
      <c r="P141" s="7" t="b">
        <f>INDEX(PROPERTIES[EXCLUDE],MATCH(CONTROL[[#This Row],[VEHIDCODE]],PROPERTIES[VEHIDCODE],0))</f>
        <v>0</v>
      </c>
      <c r="Q1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2" spans="1:17" x14ac:dyDescent="0.35">
      <c r="A142" s="2" t="s">
        <v>2774</v>
      </c>
      <c r="B142" s="21" t="str">
        <f>MID(CONTROL[[#This Row],[VEHIDCODE]],FIND("_",CONTROL[[#This Row],[VEHIDCODE]])+1,LEN(CONTROL[[#This Row],[VEHIDCODE]]))</f>
        <v>Vulcan_Foundry_4_8_2_4318_4320</v>
      </c>
      <c r="C1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2">
        <v>4093</v>
      </c>
      <c r="F142" s="30" t="s">
        <v>2270</v>
      </c>
      <c r="G142" t="s">
        <v>1171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ISNUMBER(MATCH(CONTROL[[#This Row],[VEHIDCODE]],TRACK_TYPES[VEHIDCODE],0))</f>
        <v>1</v>
      </c>
      <c r="K142" t="b">
        <f>ISNUMBER(MATCH(CONTROL[[#This Row],[VEHIDCODE]],PROPERTIES[VEHIDCODE],0))</f>
        <v>1</v>
      </c>
      <c r="L142" t="b">
        <f>ISNUMBER(MATCH(CONTROL[[#This Row],[VEHIDCODE]],GRAPHICS_PROPERTIES[VEHIDCODE],0))</f>
        <v>1</v>
      </c>
      <c r="M142" s="21" t="str">
        <f>"item_"&amp;CONTROL[[#This Row],[VEHIDCODE]]</f>
        <v>item_steam_Vulcan_Foundry_4_8_2_4318_4320</v>
      </c>
      <c r="N142" s="21" t="str">
        <f>"str_"&amp;CONTROL[[#This Row],[VEHIDCODE]]</f>
        <v>str_steam_Vulcan_Foundry_4_8_2_4318_4320</v>
      </c>
      <c r="O142" s="7" t="b">
        <f>INDEX(PROPERTIES[IS_CONCEPT],MATCH(CONTROL[[#This Row],[VEHIDCODE]],PROPERTIES[VEHIDCODE],0))="IS_CONCEPT"</f>
        <v>0</v>
      </c>
      <c r="P142" s="7" t="b">
        <f>INDEX(PROPERTIES[EXCLUDE],MATCH(CONTROL[[#This Row],[VEHIDCODE]],PROPERTIES[VEHIDCODE],0))</f>
        <v>0</v>
      </c>
      <c r="Q1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3" spans="1:17" x14ac:dyDescent="0.35">
      <c r="A143" s="2" t="s">
        <v>2775</v>
      </c>
      <c r="B143" s="21" t="str">
        <f>MID(CONTROL[[#This Row],[VEHIDCODE]],FIND("_",CONTROL[[#This Row],[VEHIDCODE]])+1,LEN(CONTROL[[#This Row],[VEHIDCODE]]))</f>
        <v>Beyer__P___Co__4_6_4_4_6_4_15th</v>
      </c>
      <c r="C1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3">
        <v>4098</v>
      </c>
      <c r="F143" s="30" t="s">
        <v>2130</v>
      </c>
      <c r="G143" t="s">
        <v>1172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ISNUMBER(MATCH(CONTROL[[#This Row],[VEHIDCODE]],TRACK_TYPES[VEHIDCODE],0))</f>
        <v>1</v>
      </c>
      <c r="K143" t="b">
        <f>ISNUMBER(MATCH(CONTROL[[#This Row],[VEHIDCODE]],PROPERTIES[VEHIDCODE],0))</f>
        <v>1</v>
      </c>
      <c r="L143" t="b">
        <f>ISNUMBER(MATCH(CONTROL[[#This Row],[VEHIDCODE]],GRAPHICS_PROPERTIES[VEHIDCODE],0))</f>
        <v>1</v>
      </c>
      <c r="M143" s="21" t="str">
        <f>"item_"&amp;CONTROL[[#This Row],[VEHIDCODE]]</f>
        <v>item_steam_Beyer__P___Co__4_6_4_4_6_4_15th</v>
      </c>
      <c r="N143" s="21" t="str">
        <f>"str_"&amp;CONTROL[[#This Row],[VEHIDCODE]]</f>
        <v>str_steam_Beyer__P___Co__4_6_4_4_6_4_15th</v>
      </c>
      <c r="O143" s="7" t="b">
        <f>INDEX(PROPERTIES[IS_CONCEPT],MATCH(CONTROL[[#This Row],[VEHIDCODE]],PROPERTIES[VEHIDCODE],0))="IS_CONCEPT"</f>
        <v>0</v>
      </c>
      <c r="P143" s="7" t="b">
        <f>INDEX(PROPERTIES[EXCLUDE],MATCH(CONTROL[[#This Row],[VEHIDCODE]],PROPERTIES[VEHIDCODE],0))</f>
        <v>0</v>
      </c>
      <c r="Q1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144" spans="1:17" x14ac:dyDescent="0.35">
      <c r="A144" s="2" t="s">
        <v>2776</v>
      </c>
      <c r="B144" s="21" t="str">
        <f>MID(CONTROL[[#This Row],[VEHIDCODE]],FIND("_",CONTROL[[#This Row],[VEHIDCODE]])+1,LEN(CONTROL[[#This Row],[VEHIDCODE]]))</f>
        <v>Beyer__P___Co__4_8_2_2_8_4_7550_7552</v>
      </c>
      <c r="C1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4">
        <v>4106</v>
      </c>
      <c r="F144" s="30" t="s">
        <v>2131</v>
      </c>
      <c r="G144" t="s">
        <v>1173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ISNUMBER(MATCH(CONTROL[[#This Row],[VEHIDCODE]],TRACK_TYPES[VEHIDCODE],0))</f>
        <v>1</v>
      </c>
      <c r="K144" t="b">
        <f>ISNUMBER(MATCH(CONTROL[[#This Row],[VEHIDCODE]],PROPERTIES[VEHIDCODE],0))</f>
        <v>1</v>
      </c>
      <c r="L144" t="b">
        <f>ISNUMBER(MATCH(CONTROL[[#This Row],[VEHIDCODE]],GRAPHICS_PROPERTIES[VEHIDCODE],0))</f>
        <v>1</v>
      </c>
      <c r="M144" s="21" t="str">
        <f>"item_"&amp;CONTROL[[#This Row],[VEHIDCODE]]</f>
        <v>item_steam_Beyer__P___Co__4_8_2_2_8_4_7550_7552</v>
      </c>
      <c r="N144" s="21" t="str">
        <f>"str_"&amp;CONTROL[[#This Row],[VEHIDCODE]]</f>
        <v>str_steam_Beyer__P___Co__4_8_2_2_8_4_7550_7552</v>
      </c>
      <c r="O144" s="7" t="b">
        <f>INDEX(PROPERTIES[IS_CONCEPT],MATCH(CONTROL[[#This Row],[VEHIDCODE]],PROPERTIES[VEHIDCODE],0))="IS_CONCEPT"</f>
        <v>0</v>
      </c>
      <c r="P144" s="7" t="b">
        <f>INDEX(PROPERTIES[EXCLUDE],MATCH(CONTROL[[#This Row],[VEHIDCODE]],PROPERTIES[VEHIDCODE],0))</f>
        <v>0</v>
      </c>
      <c r="Q1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145" spans="1:17" x14ac:dyDescent="0.35">
      <c r="A145" s="2" t="s">
        <v>2777</v>
      </c>
      <c r="B145" s="21" t="str">
        <f>MID(CONTROL[[#This Row],[VEHIDCODE]],FIND("_",CONTROL[[#This Row],[VEHIDCODE]])+1,LEN(CONTROL[[#This Row],[VEHIDCODE]]))</f>
        <v>Vulcan_Foundry_2_8_4_6228</v>
      </c>
      <c r="C1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5">
        <v>4107</v>
      </c>
      <c r="F145" s="30" t="s">
        <v>2132</v>
      </c>
      <c r="G145" t="s">
        <v>1174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ISNUMBER(MATCH(CONTROL[[#This Row],[VEHIDCODE]],TRACK_TYPES[VEHIDCODE],0))</f>
        <v>1</v>
      </c>
      <c r="K145" t="b">
        <f>ISNUMBER(MATCH(CONTROL[[#This Row],[VEHIDCODE]],PROPERTIES[VEHIDCODE],0))</f>
        <v>1</v>
      </c>
      <c r="L145" t="b">
        <f>ISNUMBER(MATCH(CONTROL[[#This Row],[VEHIDCODE]],GRAPHICS_PROPERTIES[VEHIDCODE],0))</f>
        <v>1</v>
      </c>
      <c r="M145" s="21" t="str">
        <f>"item_"&amp;CONTROL[[#This Row],[VEHIDCODE]]</f>
        <v>item_steam_Vulcan_Foundry_2_8_4_6228</v>
      </c>
      <c r="N145" s="21" t="str">
        <f>"str_"&amp;CONTROL[[#This Row],[VEHIDCODE]]</f>
        <v>str_steam_Vulcan_Foundry_2_8_4_6228</v>
      </c>
      <c r="O145" s="7" t="b">
        <f>INDEX(PROPERTIES[IS_CONCEPT],MATCH(CONTROL[[#This Row],[VEHIDCODE]],PROPERTIES[VEHIDCODE],0))="IS_CONCEPT"</f>
        <v>0</v>
      </c>
      <c r="P145" s="7" t="b">
        <f>INDEX(PROPERTIES[EXCLUDE],MATCH(CONTROL[[#This Row],[VEHIDCODE]],PROPERTIES[VEHIDCODE],0))</f>
        <v>0</v>
      </c>
      <c r="Q1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6" spans="1:17" x14ac:dyDescent="0.35">
      <c r="A146" s="2" t="s">
        <v>2778</v>
      </c>
      <c r="B146" s="21" t="str">
        <f>MID(CONTROL[[#This Row],[VEHIDCODE]],FIND("_",CONTROL[[#This Row],[VEHIDCODE]])+1,LEN(CONTROL[[#This Row],[VEHIDCODE]]))</f>
        <v>Kitson_2_2_2WT_481_Fairy_Queen</v>
      </c>
      <c r="C1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6">
        <v>4073</v>
      </c>
      <c r="F146" s="30" t="s">
        <v>2133</v>
      </c>
      <c r="G146" t="s">
        <v>1175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ISNUMBER(MATCH(CONTROL[[#This Row],[VEHIDCODE]],TRACK_TYPES[VEHIDCODE],0))</f>
        <v>1</v>
      </c>
      <c r="K146" t="b">
        <f>ISNUMBER(MATCH(CONTROL[[#This Row],[VEHIDCODE]],PROPERTIES[VEHIDCODE],0))</f>
        <v>1</v>
      </c>
      <c r="L146" t="b">
        <f>ISNUMBER(MATCH(CONTROL[[#This Row],[VEHIDCODE]],GRAPHICS_PROPERTIES[VEHIDCODE],0))</f>
        <v>1</v>
      </c>
      <c r="M146" s="21" t="str">
        <f>"item_"&amp;CONTROL[[#This Row],[VEHIDCODE]]</f>
        <v>item_steam_Kitson_2_2_2WT_481_Fairy_Queen</v>
      </c>
      <c r="N146" s="21" t="str">
        <f>"str_"&amp;CONTROL[[#This Row],[VEHIDCODE]]</f>
        <v>str_steam_Kitson_2_2_2WT_481_Fairy_Queen</v>
      </c>
      <c r="O146" s="7" t="b">
        <f>INDEX(PROPERTIES[IS_CONCEPT],MATCH(CONTROL[[#This Row],[VEHIDCODE]],PROPERTIES[VEHIDCODE],0))="IS_CONCEPT"</f>
        <v>0</v>
      </c>
      <c r="P146" s="7" t="b">
        <f>INDEX(PROPERTIES[EXCLUDE],MATCH(CONTROL[[#This Row],[VEHIDCODE]],PROPERTIES[VEHIDCODE],0))</f>
        <v>0</v>
      </c>
      <c r="Q1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47" spans="1:17" x14ac:dyDescent="0.35">
      <c r="A147" s="2" t="s">
        <v>2779</v>
      </c>
      <c r="B147" s="21" t="str">
        <f>MID(CONTROL[[#This Row],[VEHIDCODE]],FIND("_",CONTROL[[#This Row],[VEHIDCODE]])+1,LEN(CONTROL[[#This Row],[VEHIDCODE]]))</f>
        <v>Sharp__Stewart___Co_0_4_0ST_DHR_B</v>
      </c>
      <c r="C1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7">
        <v>4076</v>
      </c>
      <c r="F147" s="30" t="s">
        <v>3681</v>
      </c>
      <c r="G147" t="s">
        <v>1176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ISNUMBER(MATCH(CONTROL[[#This Row],[VEHIDCODE]],TRACK_TYPES[VEHIDCODE],0))</f>
        <v>1</v>
      </c>
      <c r="K147" t="b">
        <f>ISNUMBER(MATCH(CONTROL[[#This Row],[VEHIDCODE]],PROPERTIES[VEHIDCODE],0))</f>
        <v>1</v>
      </c>
      <c r="L147" t="b">
        <f>ISNUMBER(MATCH(CONTROL[[#This Row],[VEHIDCODE]],GRAPHICS_PROPERTIES[VEHIDCODE],0))</f>
        <v>1</v>
      </c>
      <c r="M147" s="21" t="str">
        <f>"item_"&amp;CONTROL[[#This Row],[VEHIDCODE]]</f>
        <v>item_steam_Sharp__Stewart___Co_0_4_0ST_DHR_B</v>
      </c>
      <c r="N147" s="21" t="str">
        <f>"str_"&amp;CONTROL[[#This Row],[VEHIDCODE]]</f>
        <v>str_steam_Sharp__Stewart___Co_0_4_0ST_DHR_B</v>
      </c>
      <c r="O147" s="7" t="b">
        <f>INDEX(PROPERTIES[IS_CONCEPT],MATCH(CONTROL[[#This Row],[VEHIDCODE]],PROPERTIES[VEHIDCODE],0))="IS_CONCEPT"</f>
        <v>0</v>
      </c>
      <c r="P147" s="7" t="b">
        <f>INDEX(PROPERTIES[EXCLUDE],MATCH(CONTROL[[#This Row],[VEHIDCODE]],PROPERTIES[VEHIDCODE],0))</f>
        <v>0</v>
      </c>
      <c r="Q1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8" spans="1:17" x14ac:dyDescent="0.35">
      <c r="A148" s="2" t="s">
        <v>2780</v>
      </c>
      <c r="B148" s="21" t="str">
        <f>MID(CONTROL[[#This Row],[VEHIDCODE]],FIND("_",CONTROL[[#This Row],[VEHIDCODE]])+1,LEN(CONTROL[[#This Row],[VEHIDCODE]]))</f>
        <v>Baldwin_2_8_0_Sentetsu_Sorii</v>
      </c>
      <c r="C1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8">
        <v>4079</v>
      </c>
      <c r="F148" s="30" t="s">
        <v>2134</v>
      </c>
      <c r="G148" t="s">
        <v>1177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ISNUMBER(MATCH(CONTROL[[#This Row],[VEHIDCODE]],TRACK_TYPES[VEHIDCODE],0))</f>
        <v>1</v>
      </c>
      <c r="K148" t="b">
        <f>ISNUMBER(MATCH(CONTROL[[#This Row],[VEHIDCODE]],PROPERTIES[VEHIDCODE],0))</f>
        <v>1</v>
      </c>
      <c r="L148" t="b">
        <f>ISNUMBER(MATCH(CONTROL[[#This Row],[VEHIDCODE]],GRAPHICS_PROPERTIES[VEHIDCODE],0))</f>
        <v>1</v>
      </c>
      <c r="M148" s="21" t="str">
        <f>"item_"&amp;CONTROL[[#This Row],[VEHIDCODE]]</f>
        <v>item_steam_Baldwin_2_8_0_Sentetsu_Sorii</v>
      </c>
      <c r="N148" s="21" t="str">
        <f>"str_"&amp;CONTROL[[#This Row],[VEHIDCODE]]</f>
        <v>str_steam_Baldwin_2_8_0_Sentetsu_Sorii</v>
      </c>
      <c r="O148" s="7" t="b">
        <f>INDEX(PROPERTIES[IS_CONCEPT],MATCH(CONTROL[[#This Row],[VEHIDCODE]],PROPERTIES[VEHIDCODE],0))="IS_CONCEPT"</f>
        <v>0</v>
      </c>
      <c r="P148" s="7" t="b">
        <f>INDEX(PROPERTIES[EXCLUDE],MATCH(CONTROL[[#This Row],[VEHIDCODE]],PROPERTIES[VEHIDCODE],0))</f>
        <v>0</v>
      </c>
      <c r="Q1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49" spans="1:17" x14ac:dyDescent="0.35">
      <c r="A149" s="2" t="s">
        <v>2781</v>
      </c>
      <c r="B149" s="21" t="str">
        <f>MID(CONTROL[[#This Row],[VEHIDCODE]],FIND("_",CONTROL[[#This Row],[VEHIDCODE]])+1,LEN(CONTROL[[#This Row],[VEHIDCODE]]))</f>
        <v>Putilov_4_6_0_U</v>
      </c>
      <c r="C1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49">
        <v>4080</v>
      </c>
      <c r="F149" s="30" t="s">
        <v>2135</v>
      </c>
      <c r="G149" t="s">
        <v>1179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ISNUMBER(MATCH(CONTROL[[#This Row],[VEHIDCODE]],TRACK_TYPES[VEHIDCODE],0))</f>
        <v>1</v>
      </c>
      <c r="K149" t="b">
        <f>ISNUMBER(MATCH(CONTROL[[#This Row],[VEHIDCODE]],PROPERTIES[VEHIDCODE],0))</f>
        <v>1</v>
      </c>
      <c r="L149" t="b">
        <f>ISNUMBER(MATCH(CONTROL[[#This Row],[VEHIDCODE]],GRAPHICS_PROPERTIES[VEHIDCODE],0))</f>
        <v>1</v>
      </c>
      <c r="M149" s="21" t="str">
        <f>"item_"&amp;CONTROL[[#This Row],[VEHIDCODE]]</f>
        <v>item_steam_Putilov_4_6_0_U</v>
      </c>
      <c r="N149" s="21" t="str">
        <f>"str_"&amp;CONTROL[[#This Row],[VEHIDCODE]]</f>
        <v>str_steam_Putilov_4_6_0_U</v>
      </c>
      <c r="O149" s="7" t="b">
        <f>INDEX(PROPERTIES[IS_CONCEPT],MATCH(CONTROL[[#This Row],[VEHIDCODE]],PROPERTIES[VEHIDCODE],0))="IS_CONCEPT"</f>
        <v>0</v>
      </c>
      <c r="P149" s="7" t="b">
        <f>INDEX(PROPERTIES[EXCLUDE],MATCH(CONTROL[[#This Row],[VEHIDCODE]],PROPERTIES[VEHIDCODE],0))</f>
        <v>0</v>
      </c>
      <c r="Q1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0" spans="1:17" x14ac:dyDescent="0.35">
      <c r="A150" s="2" t="s">
        <v>2782</v>
      </c>
      <c r="B150" s="21" t="str">
        <f>MID(CONTROL[[#This Row],[VEHIDCODE]],FIND("_",CONTROL[[#This Row],[VEHIDCODE]])+1,LEN(CONTROL[[#This Row],[VEHIDCODE]]))</f>
        <v>Baldwin_12_44_F_2_10_0_Ye</v>
      </c>
      <c r="C1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0">
        <v>4085</v>
      </c>
      <c r="F150" s="30" t="s">
        <v>2136</v>
      </c>
      <c r="G150" t="s">
        <v>1178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ISNUMBER(MATCH(CONTROL[[#This Row],[VEHIDCODE]],TRACK_TYPES[VEHIDCODE],0))</f>
        <v>1</v>
      </c>
      <c r="K150" t="b">
        <f>ISNUMBER(MATCH(CONTROL[[#This Row],[VEHIDCODE]],PROPERTIES[VEHIDCODE],0))</f>
        <v>1</v>
      </c>
      <c r="L150" t="b">
        <f>ISNUMBER(MATCH(CONTROL[[#This Row],[VEHIDCODE]],GRAPHICS_PROPERTIES[VEHIDCODE],0))</f>
        <v>1</v>
      </c>
      <c r="M150" s="21" t="str">
        <f>"item_"&amp;CONTROL[[#This Row],[VEHIDCODE]]</f>
        <v>item_steam_Baldwin_12_44_F_2_10_0_Ye</v>
      </c>
      <c r="N150" s="21" t="str">
        <f>"str_"&amp;CONTROL[[#This Row],[VEHIDCODE]]</f>
        <v>str_steam_Baldwin_12_44_F_2_10_0_Ye</v>
      </c>
      <c r="O150" s="7" t="b">
        <f>INDEX(PROPERTIES[IS_CONCEPT],MATCH(CONTROL[[#This Row],[VEHIDCODE]],PROPERTIES[VEHIDCODE],0))="IS_CONCEPT"</f>
        <v>0</v>
      </c>
      <c r="P150" s="7" t="b">
        <f>INDEX(PROPERTIES[EXCLUDE],MATCH(CONTROL[[#This Row],[VEHIDCODE]],PROPERTIES[VEHIDCODE],0))</f>
        <v>0</v>
      </c>
      <c r="Q1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1" spans="1:17" x14ac:dyDescent="0.35">
      <c r="A151" s="2" t="s">
        <v>2783</v>
      </c>
      <c r="B151" s="21" t="str">
        <f>MID(CONTROL[[#This Row],[VEHIDCODE]],FIND("_",CONTROL[[#This Row],[VEHIDCODE]])+1,LEN(CONTROL[[#This Row],[VEHIDCODE]]))</f>
        <v>Baldwin_4_6_0_50201</v>
      </c>
      <c r="C1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1">
        <v>4087</v>
      </c>
      <c r="F151" s="30" t="s">
        <v>2137</v>
      </c>
      <c r="G151" t="s">
        <v>1180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ISNUMBER(MATCH(CONTROL[[#This Row],[VEHIDCODE]],TRACK_TYPES[VEHIDCODE],0))</f>
        <v>1</v>
      </c>
      <c r="K151" t="b">
        <f>ISNUMBER(MATCH(CONTROL[[#This Row],[VEHIDCODE]],PROPERTIES[VEHIDCODE],0))</f>
        <v>1</v>
      </c>
      <c r="L151" t="b">
        <f>ISNUMBER(MATCH(CONTROL[[#This Row],[VEHIDCODE]],GRAPHICS_PROPERTIES[VEHIDCODE],0))</f>
        <v>1</v>
      </c>
      <c r="M151" s="21" t="str">
        <f>"item_"&amp;CONTROL[[#This Row],[VEHIDCODE]]</f>
        <v>item_steam_Baldwin_4_6_0_50201</v>
      </c>
      <c r="N151" s="21" t="str">
        <f>"str_"&amp;CONTROL[[#This Row],[VEHIDCODE]]</f>
        <v>str_steam_Baldwin_4_6_0_50201</v>
      </c>
      <c r="O151" s="7" t="b">
        <f>INDEX(PROPERTIES[IS_CONCEPT],MATCH(CONTROL[[#This Row],[VEHIDCODE]],PROPERTIES[VEHIDCODE],0))="IS_CONCEPT"</f>
        <v>0</v>
      </c>
      <c r="P151" s="7" t="b">
        <f>INDEX(PROPERTIES[EXCLUDE],MATCH(CONTROL[[#This Row],[VEHIDCODE]],PROPERTIES[VEHIDCODE],0))</f>
        <v>0</v>
      </c>
      <c r="Q1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2" spans="1:17" x14ac:dyDescent="0.35">
      <c r="A152" s="2" t="s">
        <v>2784</v>
      </c>
      <c r="B152" s="21" t="str">
        <f>MID(CONTROL[[#This Row],[VEHIDCODE]],FIND("_",CONTROL[[#This Row],[VEHIDCODE]])+1,LEN(CONTROL[[#This Row],[VEHIDCODE]]))</f>
        <v>FS_480</v>
      </c>
      <c r="C1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2">
        <v>4089</v>
      </c>
      <c r="F152" s="30" t="s">
        <v>368</v>
      </c>
      <c r="G152" t="s">
        <v>1181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ISNUMBER(MATCH(CONTROL[[#This Row],[VEHIDCODE]],TRACK_TYPES[VEHIDCODE],0))</f>
        <v>1</v>
      </c>
      <c r="K152" t="b">
        <f>ISNUMBER(MATCH(CONTROL[[#This Row],[VEHIDCODE]],PROPERTIES[VEHIDCODE],0))</f>
        <v>1</v>
      </c>
      <c r="L152" t="b">
        <f>ISNUMBER(MATCH(CONTROL[[#This Row],[VEHIDCODE]],GRAPHICS_PROPERTIES[VEHIDCODE],0))</f>
        <v>1</v>
      </c>
      <c r="M152" s="21" t="str">
        <f>"item_"&amp;CONTROL[[#This Row],[VEHIDCODE]]</f>
        <v>item_steam_FS_480</v>
      </c>
      <c r="N152" s="21" t="str">
        <f>"str_"&amp;CONTROL[[#This Row],[VEHIDCODE]]</f>
        <v>str_steam_FS_480</v>
      </c>
      <c r="O152" s="7" t="b">
        <f>INDEX(PROPERTIES[IS_CONCEPT],MATCH(CONTROL[[#This Row],[VEHIDCODE]],PROPERTIES[VEHIDCODE],0))="IS_CONCEPT"</f>
        <v>0</v>
      </c>
      <c r="P152" s="7" t="b">
        <f>INDEX(PROPERTIES[EXCLUDE],MATCH(CONTROL[[#This Row],[VEHIDCODE]],PROPERTIES[VEHIDCODE],0))</f>
        <v>0</v>
      </c>
      <c r="Q1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3" spans="1:17" x14ac:dyDescent="0.35">
      <c r="A153" s="2" t="s">
        <v>2785</v>
      </c>
      <c r="B153" s="21" t="str">
        <f>MID(CONTROL[[#This Row],[VEHIDCODE]],FIND("_",CONTROL[[#This Row],[VEHIDCODE]])+1,LEN(CONTROL[[#This Row],[VEHIDCODE]]))</f>
        <v>FS_691</v>
      </c>
      <c r="C1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3">
        <v>4094</v>
      </c>
      <c r="F153" s="30" t="s">
        <v>369</v>
      </c>
      <c r="G153" t="s">
        <v>1182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ISNUMBER(MATCH(CONTROL[[#This Row],[VEHIDCODE]],TRACK_TYPES[VEHIDCODE],0))</f>
        <v>1</v>
      </c>
      <c r="K153" t="b">
        <f>ISNUMBER(MATCH(CONTROL[[#This Row],[VEHIDCODE]],PROPERTIES[VEHIDCODE],0))</f>
        <v>1</v>
      </c>
      <c r="L153" t="b">
        <f>ISNUMBER(MATCH(CONTROL[[#This Row],[VEHIDCODE]],GRAPHICS_PROPERTIES[VEHIDCODE],0))</f>
        <v>1</v>
      </c>
      <c r="M153" s="21" t="str">
        <f>"item_"&amp;CONTROL[[#This Row],[VEHIDCODE]]</f>
        <v>item_steam_FS_691</v>
      </c>
      <c r="N153" s="21" t="str">
        <f>"str_"&amp;CONTROL[[#This Row],[VEHIDCODE]]</f>
        <v>str_steam_FS_691</v>
      </c>
      <c r="O153" s="7" t="b">
        <f>INDEX(PROPERTIES[IS_CONCEPT],MATCH(CONTROL[[#This Row],[VEHIDCODE]],PROPERTIES[VEHIDCODE],0))="IS_CONCEPT"</f>
        <v>0</v>
      </c>
      <c r="P153" s="7" t="b">
        <f>INDEX(PROPERTIES[EXCLUDE],MATCH(CONTROL[[#This Row],[VEHIDCODE]],PROPERTIES[VEHIDCODE],0))</f>
        <v>0</v>
      </c>
      <c r="Q1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4" spans="1:17" x14ac:dyDescent="0.35">
      <c r="A154" s="2" t="s">
        <v>2786</v>
      </c>
      <c r="B154" s="21" t="str">
        <f>MID(CONTROL[[#This Row],[VEHIDCODE]],FIND("_",CONTROL[[#This Row],[VEHIDCODE]])+1,LEN(CONTROL[[#This Row],[VEHIDCODE]]))</f>
        <v>North_British_Lb_2_10_0</v>
      </c>
      <c r="C1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4">
        <v>4100</v>
      </c>
      <c r="F154" s="30" t="s">
        <v>2138</v>
      </c>
      <c r="G154" t="s">
        <v>1183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ISNUMBER(MATCH(CONTROL[[#This Row],[VEHIDCODE]],TRACK_TYPES[VEHIDCODE],0))</f>
        <v>1</v>
      </c>
      <c r="K154" t="b">
        <f>ISNUMBER(MATCH(CONTROL[[#This Row],[VEHIDCODE]],PROPERTIES[VEHIDCODE],0))</f>
        <v>1</v>
      </c>
      <c r="L154" t="b">
        <f>ISNUMBER(MATCH(CONTROL[[#This Row],[VEHIDCODE]],GRAPHICS_PROPERTIES[VEHIDCODE],0))</f>
        <v>1</v>
      </c>
      <c r="M154" s="21" t="str">
        <f>"item_"&amp;CONTROL[[#This Row],[VEHIDCODE]]</f>
        <v>item_steam_North_British_Lb_2_10_0</v>
      </c>
      <c r="N154" s="21" t="str">
        <f>"str_"&amp;CONTROL[[#This Row],[VEHIDCODE]]</f>
        <v>str_steam_North_British_Lb_2_10_0</v>
      </c>
      <c r="O154" s="7" t="b">
        <f>INDEX(PROPERTIES[IS_CONCEPT],MATCH(CONTROL[[#This Row],[VEHIDCODE]],PROPERTIES[VEHIDCODE],0))="IS_CONCEPT"</f>
        <v>0</v>
      </c>
      <c r="P154" s="7" t="b">
        <f>INDEX(PROPERTIES[EXCLUDE],MATCH(CONTROL[[#This Row],[VEHIDCODE]],PROPERTIES[VEHIDCODE],0))</f>
        <v>0</v>
      </c>
      <c r="Q1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5" spans="1:17" x14ac:dyDescent="0.35">
      <c r="A155" s="2" t="s">
        <v>2787</v>
      </c>
      <c r="B155" s="21" t="str">
        <f>MID(CONTROL[[#This Row],[VEHIDCODE]],FIND("_",CONTROL[[#This Row],[VEHIDCODE]])+1,LEN(CONTROL[[#This Row],[VEHIDCODE]]))</f>
        <v>ALCO_Baldwin_2_8_0_USATC_S160</v>
      </c>
      <c r="C1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5">
        <v>4103</v>
      </c>
      <c r="F155" s="30" t="s">
        <v>2139</v>
      </c>
      <c r="G155" t="s">
        <v>1184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ISNUMBER(MATCH(CONTROL[[#This Row],[VEHIDCODE]],TRACK_TYPES[VEHIDCODE],0))</f>
        <v>1</v>
      </c>
      <c r="K155" t="b">
        <f>ISNUMBER(MATCH(CONTROL[[#This Row],[VEHIDCODE]],PROPERTIES[VEHIDCODE],0))</f>
        <v>1</v>
      </c>
      <c r="L155" t="b">
        <f>ISNUMBER(MATCH(CONTROL[[#This Row],[VEHIDCODE]],GRAPHICS_PROPERTIES[VEHIDCODE],0))</f>
        <v>1</v>
      </c>
      <c r="M155" s="21" t="str">
        <f>"item_"&amp;CONTROL[[#This Row],[VEHIDCODE]]</f>
        <v>item_steam_ALCO_Baldwin_2_8_0_USATC_S160</v>
      </c>
      <c r="N155" s="21" t="str">
        <f>"str_"&amp;CONTROL[[#This Row],[VEHIDCODE]]</f>
        <v>str_steam_ALCO_Baldwin_2_8_0_USATC_S160</v>
      </c>
      <c r="O155" s="7" t="b">
        <f>INDEX(PROPERTIES[IS_CONCEPT],MATCH(CONTROL[[#This Row],[VEHIDCODE]],PROPERTIES[VEHIDCODE],0))="IS_CONCEPT"</f>
        <v>0</v>
      </c>
      <c r="P155" s="7" t="b">
        <f>INDEX(PROPERTIES[EXCLUDE],MATCH(CONTROL[[#This Row],[VEHIDCODE]],PROPERTIES[VEHIDCODE],0))</f>
        <v>0</v>
      </c>
      <c r="Q1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56" spans="1:17" x14ac:dyDescent="0.35">
      <c r="A156" s="2" t="s">
        <v>3466</v>
      </c>
      <c r="B156" s="21" t="str">
        <f>MID(CONTROL[[#This Row],[VEHIDCODE]],FIND("_",CONTROL[[#This Row],[VEHIDCODE]])+1,LEN(CONTROL[[#This Row],[VEHIDCODE]]))</f>
        <v>RENFE_4_8_4_242F_Confederacion</v>
      </c>
      <c r="C1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6">
        <v>4108</v>
      </c>
      <c r="F156" s="30" t="s">
        <v>3467</v>
      </c>
      <c r="G156" t="s">
        <v>1185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ISNUMBER(MATCH(CONTROL[[#This Row],[VEHIDCODE]],TRACK_TYPES[VEHIDCODE],0))</f>
        <v>1</v>
      </c>
      <c r="K156" t="b">
        <f>ISNUMBER(MATCH(CONTROL[[#This Row],[VEHIDCODE]],PROPERTIES[VEHIDCODE],0))</f>
        <v>1</v>
      </c>
      <c r="L156" t="b">
        <f>ISNUMBER(MATCH(CONTROL[[#This Row],[VEHIDCODE]],GRAPHICS_PROPERTIES[VEHIDCODE],0))</f>
        <v>1</v>
      </c>
      <c r="M156" s="21" t="str">
        <f>"item_"&amp;CONTROL[[#This Row],[VEHIDCODE]]</f>
        <v>item_steam_RENFE_4_8_4_242F_Confederacion</v>
      </c>
      <c r="N156" s="21" t="str">
        <f>"str_"&amp;CONTROL[[#This Row],[VEHIDCODE]]</f>
        <v>str_steam_RENFE_4_8_4_242F_Confederacion</v>
      </c>
      <c r="O156" s="7" t="b">
        <f>INDEX(PROPERTIES[IS_CONCEPT],MATCH(CONTROL[[#This Row],[VEHIDCODE]],PROPERTIES[VEHIDCODE],0))="IS_CONCEPT"</f>
        <v>0</v>
      </c>
      <c r="P156" s="7" t="b">
        <f>INDEX(PROPERTIES[EXCLUDE],MATCH(CONTROL[[#This Row],[VEHIDCODE]],PROPERTIES[VEHIDCODE],0))</f>
        <v>0</v>
      </c>
      <c r="Q1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7" spans="1:17" x14ac:dyDescent="0.35">
      <c r="A157" s="2" t="s">
        <v>2788</v>
      </c>
      <c r="B157" s="21" t="str">
        <f>MID(CONTROL[[#This Row],[VEHIDCODE]],FIND("_",CONTROL[[#This Row],[VEHIDCODE]])+1,LEN(CONTROL[[#This Row],[VEHIDCODE]]))</f>
        <v>Skoda_6Lo</v>
      </c>
      <c r="C1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7">
        <v>4082</v>
      </c>
      <c r="F157" s="30" t="s">
        <v>2567</v>
      </c>
      <c r="G157" t="s">
        <v>1186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ISNUMBER(MATCH(CONTROL[[#This Row],[VEHIDCODE]],TRACK_TYPES[VEHIDCODE],0))</f>
        <v>1</v>
      </c>
      <c r="K157" t="b">
        <f>ISNUMBER(MATCH(CONTROL[[#This Row],[VEHIDCODE]],PROPERTIES[VEHIDCODE],0))</f>
        <v>1</v>
      </c>
      <c r="L157" t="b">
        <f>ISNUMBER(MATCH(CONTROL[[#This Row],[VEHIDCODE]],GRAPHICS_PROPERTIES[VEHIDCODE],0))</f>
        <v>1</v>
      </c>
      <c r="M157" s="21" t="str">
        <f>"item_"&amp;CONTROL[[#This Row],[VEHIDCODE]]</f>
        <v>item_steam_Skoda_6Lo</v>
      </c>
      <c r="N157" s="21" t="str">
        <f>"str_"&amp;CONTROL[[#This Row],[VEHIDCODE]]</f>
        <v>str_steam_Skoda_6Lo</v>
      </c>
      <c r="O157" s="7" t="b">
        <f>INDEX(PROPERTIES[IS_CONCEPT],MATCH(CONTROL[[#This Row],[VEHIDCODE]],PROPERTIES[VEHIDCODE],0))="IS_CONCEPT"</f>
        <v>0</v>
      </c>
      <c r="P157" s="7" t="b">
        <f>INDEX(PROPERTIES[EXCLUDE],MATCH(CONTROL[[#This Row],[VEHIDCODE]],PROPERTIES[VEHIDCODE],0))</f>
        <v>0</v>
      </c>
      <c r="Q1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8" spans="1:17" x14ac:dyDescent="0.35">
      <c r="A158" s="2" t="s">
        <v>2789</v>
      </c>
      <c r="B158" s="21" t="str">
        <f>MID(CONTROL[[#This Row],[VEHIDCODE]],FIND("_",CONTROL[[#This Row],[VEHIDCODE]])+1,LEN(CONTROL[[#This Row],[VEHIDCODE]]))</f>
        <v>Hanomag_Fablok_4_6_0_Ok22</v>
      </c>
      <c r="C1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8">
        <v>4091</v>
      </c>
      <c r="F158" s="30" t="s">
        <v>2140</v>
      </c>
      <c r="G158" t="s">
        <v>1187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ISNUMBER(MATCH(CONTROL[[#This Row],[VEHIDCODE]],TRACK_TYPES[VEHIDCODE],0))</f>
        <v>1</v>
      </c>
      <c r="K158" t="b">
        <f>ISNUMBER(MATCH(CONTROL[[#This Row],[VEHIDCODE]],PROPERTIES[VEHIDCODE],0))</f>
        <v>1</v>
      </c>
      <c r="L158" t="b">
        <f>ISNUMBER(MATCH(CONTROL[[#This Row],[VEHIDCODE]],GRAPHICS_PROPERTIES[VEHIDCODE],0))</f>
        <v>1</v>
      </c>
      <c r="M158" s="21" t="str">
        <f>"item_"&amp;CONTROL[[#This Row],[VEHIDCODE]]</f>
        <v>item_steam_Hanomag_Fablok_4_6_0_Ok22</v>
      </c>
      <c r="N158" s="21" t="str">
        <f>"str_"&amp;CONTROL[[#This Row],[VEHIDCODE]]</f>
        <v>str_steam_Hanomag_Fablok_4_6_0_Ok22</v>
      </c>
      <c r="O158" s="7" t="b">
        <f>INDEX(PROPERTIES[IS_CONCEPT],MATCH(CONTROL[[#This Row],[VEHIDCODE]],PROPERTIES[VEHIDCODE],0))="IS_CONCEPT"</f>
        <v>0</v>
      </c>
      <c r="P158" s="7" t="b">
        <f>INDEX(PROPERTIES[EXCLUDE],MATCH(CONTROL[[#This Row],[VEHIDCODE]],PROPERTIES[VEHIDCODE],0))</f>
        <v>0</v>
      </c>
      <c r="Q1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59" spans="1:17" x14ac:dyDescent="0.35">
      <c r="A159" s="2" t="s">
        <v>2790</v>
      </c>
      <c r="B159" s="21" t="str">
        <f>MID(CONTROL[[#This Row],[VEHIDCODE]],FIND("_",CONTROL[[#This Row],[VEHIDCODE]])+1,LEN(CONTROL[[#This Row],[VEHIDCODE]]))</f>
        <v>MAVAG_4_8_0_424</v>
      </c>
      <c r="C1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59">
        <v>4092</v>
      </c>
      <c r="F159" s="30" t="s">
        <v>2141</v>
      </c>
      <c r="G159" t="s">
        <v>1188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ISNUMBER(MATCH(CONTROL[[#This Row],[VEHIDCODE]],TRACK_TYPES[VEHIDCODE],0))</f>
        <v>1</v>
      </c>
      <c r="K159" t="b">
        <f>ISNUMBER(MATCH(CONTROL[[#This Row],[VEHIDCODE]],PROPERTIES[VEHIDCODE],0))</f>
        <v>1</v>
      </c>
      <c r="L159" t="b">
        <f>ISNUMBER(MATCH(CONTROL[[#This Row],[VEHIDCODE]],GRAPHICS_PROPERTIES[VEHIDCODE],0))</f>
        <v>1</v>
      </c>
      <c r="M159" s="21" t="str">
        <f>"item_"&amp;CONTROL[[#This Row],[VEHIDCODE]]</f>
        <v>item_steam_MAVAG_4_8_0_424</v>
      </c>
      <c r="N159" s="21" t="str">
        <f>"str_"&amp;CONTROL[[#This Row],[VEHIDCODE]]</f>
        <v>str_steam_MAVAG_4_8_0_424</v>
      </c>
      <c r="O159" s="7" t="b">
        <f>INDEX(PROPERTIES[IS_CONCEPT],MATCH(CONTROL[[#This Row],[VEHIDCODE]],PROPERTIES[VEHIDCODE],0))="IS_CONCEPT"</f>
        <v>0</v>
      </c>
      <c r="P159" s="7" t="b">
        <f>INDEX(PROPERTIES[EXCLUDE],MATCH(CONTROL[[#This Row],[VEHIDCODE]],PROPERTIES[VEHIDCODE],0))</f>
        <v>0</v>
      </c>
      <c r="Q1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0" spans="1:17" x14ac:dyDescent="0.35">
      <c r="A160" s="2" t="s">
        <v>2791</v>
      </c>
      <c r="B160" s="21" t="str">
        <f>MID(CONTROL[[#This Row],[VEHIDCODE]],FIND("_",CONTROL[[#This Row],[VEHIDCODE]])+1,LEN(CONTROL[[#This Row],[VEHIDCODE]]))</f>
        <v>MAVAG_4_4_4T_242</v>
      </c>
      <c r="C1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0">
        <v>4097</v>
      </c>
      <c r="F160" s="30" t="s">
        <v>2142</v>
      </c>
      <c r="G160" t="s">
        <v>1189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ISNUMBER(MATCH(CONTROL[[#This Row],[VEHIDCODE]],TRACK_TYPES[VEHIDCODE],0))</f>
        <v>1</v>
      </c>
      <c r="K160" t="b">
        <f>ISNUMBER(MATCH(CONTROL[[#This Row],[VEHIDCODE]],PROPERTIES[VEHIDCODE],0))</f>
        <v>1</v>
      </c>
      <c r="L160" t="b">
        <f>ISNUMBER(MATCH(CONTROL[[#This Row],[VEHIDCODE]],GRAPHICS_PROPERTIES[VEHIDCODE],0))</f>
        <v>1</v>
      </c>
      <c r="M160" s="21" t="str">
        <f>"item_"&amp;CONTROL[[#This Row],[VEHIDCODE]]</f>
        <v>item_steam_MAVAG_4_4_4T_242</v>
      </c>
      <c r="N160" s="21" t="str">
        <f>"str_"&amp;CONTROL[[#This Row],[VEHIDCODE]]</f>
        <v>str_steam_MAVAG_4_4_4T_242</v>
      </c>
      <c r="O160" s="7" t="b">
        <f>INDEX(PROPERTIES[IS_CONCEPT],MATCH(CONTROL[[#This Row],[VEHIDCODE]],PROPERTIES[VEHIDCODE],0))="IS_CONCEPT"</f>
        <v>0</v>
      </c>
      <c r="P160" s="7" t="b">
        <f>INDEX(PROPERTIES[EXCLUDE],MATCH(CONTROL[[#This Row],[VEHIDCODE]],PROPERTIES[VEHIDCODE],0))</f>
        <v>0</v>
      </c>
      <c r="Q1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61" spans="1:17" x14ac:dyDescent="0.35">
      <c r="A161" s="2" t="s">
        <v>2792</v>
      </c>
      <c r="B161" s="21" t="str">
        <f>MID(CONTROL[[#This Row],[VEHIDCODE]],FIND("_",CONTROL[[#This Row],[VEHIDCODE]])+1,LEN(CONTROL[[#This Row],[VEHIDCODE]]))</f>
        <v>Vulcan_Foundry_2_8_0_Liberation</v>
      </c>
      <c r="C1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1">
        <v>4102</v>
      </c>
      <c r="F161" s="30" t="s">
        <v>2143</v>
      </c>
      <c r="G161" t="s">
        <v>1654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ISNUMBER(MATCH(CONTROL[[#This Row],[VEHIDCODE]],TRACK_TYPES[VEHIDCODE],0))</f>
        <v>1</v>
      </c>
      <c r="K161" t="b">
        <f>ISNUMBER(MATCH(CONTROL[[#This Row],[VEHIDCODE]],PROPERTIES[VEHIDCODE],0))</f>
        <v>1</v>
      </c>
      <c r="L161" t="b">
        <f>ISNUMBER(MATCH(CONTROL[[#This Row],[VEHIDCODE]],GRAPHICS_PROPERTIES[VEHIDCODE],0))</f>
        <v>1</v>
      </c>
      <c r="M161" s="21" t="str">
        <f>"item_"&amp;CONTROL[[#This Row],[VEHIDCODE]]</f>
        <v>item_steam_Vulcan_Foundry_2_8_0_Liberation</v>
      </c>
      <c r="N161" s="21" t="str">
        <f>"str_"&amp;CONTROL[[#This Row],[VEHIDCODE]]</f>
        <v>str_steam_Vulcan_Foundry_2_8_0_Liberation</v>
      </c>
      <c r="O161" s="7" t="b">
        <f>INDEX(PROPERTIES[IS_CONCEPT],MATCH(CONTROL[[#This Row],[VEHIDCODE]],PROPERTIES[VEHIDCODE],0))="IS_CONCEPT"</f>
        <v>0</v>
      </c>
      <c r="P161" s="7" t="b">
        <f>INDEX(PROPERTIES[EXCLUDE],MATCH(CONTROL[[#This Row],[VEHIDCODE]],PROPERTIES[VEHIDCODE],0))</f>
        <v>0</v>
      </c>
      <c r="Q1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2" spans="1:17" x14ac:dyDescent="0.35">
      <c r="A162" s="2" t="s">
        <v>2793</v>
      </c>
      <c r="B162" s="21" t="str">
        <f>MID(CONTROL[[#This Row],[VEHIDCODE]],FIND("_",CONTROL[[#This Row],[VEHIDCODE]])+1,LEN(CONTROL[[#This Row],[VEHIDCODE]]))</f>
        <v>Fablok_2_6_2_OI49</v>
      </c>
      <c r="C1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2">
        <v>4104</v>
      </c>
      <c r="F162" s="30" t="s">
        <v>2144</v>
      </c>
      <c r="G162" t="s">
        <v>1190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ISNUMBER(MATCH(CONTROL[[#This Row],[VEHIDCODE]],TRACK_TYPES[VEHIDCODE],0))</f>
        <v>1</v>
      </c>
      <c r="K162" t="b">
        <f>ISNUMBER(MATCH(CONTROL[[#This Row],[VEHIDCODE]],PROPERTIES[VEHIDCODE],0))</f>
        <v>1</v>
      </c>
      <c r="L162" t="b">
        <f>ISNUMBER(MATCH(CONTROL[[#This Row],[VEHIDCODE]],GRAPHICS_PROPERTIES[VEHIDCODE],0))</f>
        <v>1</v>
      </c>
      <c r="M162" s="21" t="str">
        <f>"item_"&amp;CONTROL[[#This Row],[VEHIDCODE]]</f>
        <v>item_steam_Fablok_2_6_2_OI49</v>
      </c>
      <c r="N162" s="21" t="str">
        <f>"str_"&amp;CONTROL[[#This Row],[VEHIDCODE]]</f>
        <v>str_steam_Fablok_2_6_2_OI49</v>
      </c>
      <c r="O162" s="7" t="b">
        <f>INDEX(PROPERTIES[IS_CONCEPT],MATCH(CONTROL[[#This Row],[VEHIDCODE]],PROPERTIES[VEHIDCODE],0))="IS_CONCEPT"</f>
        <v>0</v>
      </c>
      <c r="P162" s="7" t="b">
        <f>INDEX(PROPERTIES[EXCLUDE],MATCH(CONTROL[[#This Row],[VEHIDCODE]],PROPERTIES[VEHIDCODE],0))</f>
        <v>0</v>
      </c>
      <c r="Q1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3" spans="1:17" x14ac:dyDescent="0.35">
      <c r="A163" s="2" t="s">
        <v>2794</v>
      </c>
      <c r="B163" s="21" t="str">
        <f>MID(CONTROL[[#This Row],[VEHIDCODE]],FIND("_",CONTROL[[#This Row],[VEHIDCODE]])+1,LEN(CONTROL[[#This Row],[VEHIDCODE]]))</f>
        <v>Floridsdorf_2_6_2_KkStB_310</v>
      </c>
      <c r="C1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3">
        <v>4084</v>
      </c>
      <c r="F163" s="30" t="s">
        <v>2145</v>
      </c>
      <c r="G163" t="s">
        <v>1191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ISNUMBER(MATCH(CONTROL[[#This Row],[VEHIDCODE]],TRACK_TYPES[VEHIDCODE],0))</f>
        <v>1</v>
      </c>
      <c r="K163" t="b">
        <f>ISNUMBER(MATCH(CONTROL[[#This Row],[VEHIDCODE]],PROPERTIES[VEHIDCODE],0))</f>
        <v>1</v>
      </c>
      <c r="L163" t="b">
        <f>ISNUMBER(MATCH(CONTROL[[#This Row],[VEHIDCODE]],GRAPHICS_PROPERTIES[VEHIDCODE],0))</f>
        <v>1</v>
      </c>
      <c r="M163" s="21" t="str">
        <f>"item_"&amp;CONTROL[[#This Row],[VEHIDCODE]]</f>
        <v>item_steam_Floridsdorf_2_6_2_KkStB_310</v>
      </c>
      <c r="N163" s="21" t="str">
        <f>"str_"&amp;CONTROL[[#This Row],[VEHIDCODE]]</f>
        <v>str_steam_Floridsdorf_2_6_2_KkStB_310</v>
      </c>
      <c r="O163" s="7" t="b">
        <f>INDEX(PROPERTIES[IS_CONCEPT],MATCH(CONTROL[[#This Row],[VEHIDCODE]],PROPERTIES[VEHIDCODE],0))="IS_CONCEPT"</f>
        <v>0</v>
      </c>
      <c r="P163" s="7" t="b">
        <f>INDEX(PROPERTIES[EXCLUDE],MATCH(CONTROL[[#This Row],[VEHIDCODE]],PROPERTIES[VEHIDCODE],0))</f>
        <v>0</v>
      </c>
      <c r="Q1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4" spans="1:17" x14ac:dyDescent="0.35">
      <c r="A164" s="2" t="s">
        <v>2795</v>
      </c>
      <c r="B164" s="21" t="str">
        <f>MID(CONTROL[[#This Row],[VEHIDCODE]],FIND("_",CONTROL[[#This Row],[VEHIDCODE]])+1,LEN(CONTROL[[#This Row],[VEHIDCODE]]))</f>
        <v>Lima__4_8_4_7798_7817_Daylight</v>
      </c>
      <c r="C1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4">
        <v>4099</v>
      </c>
      <c r="F164" s="30" t="s">
        <v>2271</v>
      </c>
      <c r="G164" t="s">
        <v>1192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ISNUMBER(MATCH(CONTROL[[#This Row],[VEHIDCODE]],TRACK_TYPES[VEHIDCODE],0))</f>
        <v>1</v>
      </c>
      <c r="K164" t="b">
        <f>ISNUMBER(MATCH(CONTROL[[#This Row],[VEHIDCODE]],PROPERTIES[VEHIDCODE],0))</f>
        <v>1</v>
      </c>
      <c r="L164" t="b">
        <f>ISNUMBER(MATCH(CONTROL[[#This Row],[VEHIDCODE]],GRAPHICS_PROPERTIES[VEHIDCODE],0))</f>
        <v>1</v>
      </c>
      <c r="M164" s="21" t="str">
        <f>"item_"&amp;CONTROL[[#This Row],[VEHIDCODE]]</f>
        <v>item_steam_Lima__4_8_4_7798_7817_Daylight</v>
      </c>
      <c r="N164" s="21" t="str">
        <f>"str_"&amp;CONTROL[[#This Row],[VEHIDCODE]]</f>
        <v>str_steam_Lima__4_8_4_7798_7817_Daylight</v>
      </c>
      <c r="O164" s="7" t="b">
        <f>INDEX(PROPERTIES[IS_CONCEPT],MATCH(CONTROL[[#This Row],[VEHIDCODE]],PROPERTIES[VEHIDCODE],0))="IS_CONCEPT"</f>
        <v>0</v>
      </c>
      <c r="P164" s="7" t="b">
        <f>INDEX(PROPERTIES[EXCLUDE],MATCH(CONTROL[[#This Row],[VEHIDCODE]],PROPERTIES[VEHIDCODE],0))</f>
        <v>0</v>
      </c>
      <c r="Q1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5" spans="1:17" x14ac:dyDescent="0.35">
      <c r="A165" s="2" t="s">
        <v>2796</v>
      </c>
      <c r="B165" s="21" t="str">
        <f>MID(CONTROL[[#This Row],[VEHIDCODE]],FIND("_",CONTROL[[#This Row],[VEHIDCODE]])+1,LEN(CONTROL[[#This Row],[VEHIDCODE]]))</f>
        <v>GS_WR_0_6_0_101</v>
      </c>
      <c r="C1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5">
        <v>4109</v>
      </c>
      <c r="F165" s="30" t="s">
        <v>2146</v>
      </c>
      <c r="G165" t="s">
        <v>1193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ISNUMBER(MATCH(CONTROL[[#This Row],[VEHIDCODE]],TRACK_TYPES[VEHIDCODE],0))</f>
        <v>1</v>
      </c>
      <c r="K165" t="b">
        <f>ISNUMBER(MATCH(CONTROL[[#This Row],[VEHIDCODE]],PROPERTIES[VEHIDCODE],0))</f>
        <v>1</v>
      </c>
      <c r="L165" t="b">
        <f>ISNUMBER(MATCH(CONTROL[[#This Row],[VEHIDCODE]],GRAPHICS_PROPERTIES[VEHIDCODE],0))</f>
        <v>1</v>
      </c>
      <c r="M165" s="21" t="str">
        <f>"item_"&amp;CONTROL[[#This Row],[VEHIDCODE]]</f>
        <v>item_steam_GS_WR_0_6_0_101</v>
      </c>
      <c r="N165" s="21" t="str">
        <f>"str_"&amp;CONTROL[[#This Row],[VEHIDCODE]]</f>
        <v>str_steam_GS_WR_0_6_0_101</v>
      </c>
      <c r="O165" s="7" t="b">
        <f>INDEX(PROPERTIES[IS_CONCEPT],MATCH(CONTROL[[#This Row],[VEHIDCODE]],PROPERTIES[VEHIDCODE],0))="IS_CONCEPT"</f>
        <v>0</v>
      </c>
      <c r="P165" s="7" t="b">
        <f>INDEX(PROPERTIES[EXCLUDE],MATCH(CONTROL[[#This Row],[VEHIDCODE]],PROPERTIES[VEHIDCODE],0))</f>
        <v>0</v>
      </c>
      <c r="Q1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6" spans="1:17" x14ac:dyDescent="0.35">
      <c r="A166" s="2" t="s">
        <v>2797</v>
      </c>
      <c r="B166" s="21" t="str">
        <f>MID(CONTROL[[#This Row],[VEHIDCODE]],FIND("_",CONTROL[[#This Row],[VEHIDCODE]])+1,LEN(CONTROL[[#This Row],[VEHIDCODE]]))</f>
        <v>ALCO_2_8_2_5100_5194_Light_Mikado</v>
      </c>
      <c r="C1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6">
        <v>4110</v>
      </c>
      <c r="F166" s="30" t="s">
        <v>2272</v>
      </c>
      <c r="G166" t="s">
        <v>1194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ISNUMBER(MATCH(CONTROL[[#This Row],[VEHIDCODE]],TRACK_TYPES[VEHIDCODE],0))</f>
        <v>1</v>
      </c>
      <c r="K166" t="b">
        <f>ISNUMBER(MATCH(CONTROL[[#This Row],[VEHIDCODE]],PROPERTIES[VEHIDCODE],0))</f>
        <v>1</v>
      </c>
      <c r="L166" t="b">
        <f>ISNUMBER(MATCH(CONTROL[[#This Row],[VEHIDCODE]],GRAPHICS_PROPERTIES[VEHIDCODE],0))</f>
        <v>1</v>
      </c>
      <c r="M166" s="21" t="str">
        <f>"item_"&amp;CONTROL[[#This Row],[VEHIDCODE]]</f>
        <v>item_steam_ALCO_2_8_2_5100_5194_Light_Mikado</v>
      </c>
      <c r="N166" s="21" t="str">
        <f>"str_"&amp;CONTROL[[#This Row],[VEHIDCODE]]</f>
        <v>str_steam_ALCO_2_8_2_5100_5194_Light_Mikado</v>
      </c>
      <c r="O166" s="7" t="b">
        <f>INDEX(PROPERTIES[IS_CONCEPT],MATCH(CONTROL[[#This Row],[VEHIDCODE]],PROPERTIES[VEHIDCODE],0))="IS_CONCEPT"</f>
        <v>0</v>
      </c>
      <c r="P166" s="7" t="b">
        <f>INDEX(PROPERTIES[EXCLUDE],MATCH(CONTROL[[#This Row],[VEHIDCODE]],PROPERTIES[VEHIDCODE],0))</f>
        <v>0</v>
      </c>
      <c r="Q1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7" spans="1:17" x14ac:dyDescent="0.35">
      <c r="A167" s="2" t="s">
        <v>2798</v>
      </c>
      <c r="B167" s="21" t="str">
        <f>MID(CONTROL[[#This Row],[VEHIDCODE]],FIND("_",CONTROL[[#This Row],[VEHIDCODE]])+1,LEN(CONTROL[[#This Row],[VEHIDCODE]]))</f>
        <v>FCGR__BAGS__No__315_2_4_0T</v>
      </c>
      <c r="C1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7">
        <v>4112</v>
      </c>
      <c r="F167" s="30" t="s">
        <v>1695</v>
      </c>
      <c r="G167" t="s">
        <v>1195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ISNUMBER(MATCH(CONTROL[[#This Row],[VEHIDCODE]],TRACK_TYPES[VEHIDCODE],0))</f>
        <v>1</v>
      </c>
      <c r="K167" t="b">
        <f>ISNUMBER(MATCH(CONTROL[[#This Row],[VEHIDCODE]],PROPERTIES[VEHIDCODE],0))</f>
        <v>1</v>
      </c>
      <c r="L167" t="b">
        <f>ISNUMBER(MATCH(CONTROL[[#This Row],[VEHIDCODE]],GRAPHICS_PROPERTIES[VEHIDCODE],0))</f>
        <v>1</v>
      </c>
      <c r="M167" s="21" t="str">
        <f>"item_"&amp;CONTROL[[#This Row],[VEHIDCODE]]</f>
        <v>item_steam_FCGR__BAGS__No__315_2_4_0T</v>
      </c>
      <c r="N167" s="21" t="str">
        <f>"str_"&amp;CONTROL[[#This Row],[VEHIDCODE]]</f>
        <v>str_steam_FCGR__BAGS__No__315_2_4_0T</v>
      </c>
      <c r="O167" s="7" t="b">
        <f>INDEX(PROPERTIES[IS_CONCEPT],MATCH(CONTROL[[#This Row],[VEHIDCODE]],PROPERTIES[VEHIDCODE],0))="IS_CONCEPT"</f>
        <v>0</v>
      </c>
      <c r="P167" s="7" t="b">
        <f>INDEX(PROPERTIES[EXCLUDE],MATCH(CONTROL[[#This Row],[VEHIDCODE]],PROPERTIES[VEHIDCODE],0))</f>
        <v>0</v>
      </c>
      <c r="Q1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68" spans="1:17" x14ac:dyDescent="0.35">
      <c r="A168" s="2" t="s">
        <v>2799</v>
      </c>
      <c r="B168" s="21" t="str">
        <f>MID(CONTROL[[#This Row],[VEHIDCODE]],FIND("_",CONTROL[[#This Row],[VEHIDCODE]])+1,LEN(CONTROL[[#This Row],[VEHIDCODE]]))</f>
        <v>Eveleigh_4_6_0_C35</v>
      </c>
      <c r="C1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8">
        <v>4113</v>
      </c>
      <c r="F168" s="30" t="s">
        <v>2147</v>
      </c>
      <c r="G168" t="s">
        <v>1196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ISNUMBER(MATCH(CONTROL[[#This Row],[VEHIDCODE]],TRACK_TYPES[VEHIDCODE],0))</f>
        <v>1</v>
      </c>
      <c r="K168" t="b">
        <f>ISNUMBER(MATCH(CONTROL[[#This Row],[VEHIDCODE]],PROPERTIES[VEHIDCODE],0))</f>
        <v>1</v>
      </c>
      <c r="L168" t="b">
        <f>ISNUMBER(MATCH(CONTROL[[#This Row],[VEHIDCODE]],GRAPHICS_PROPERTIES[VEHIDCODE],0))</f>
        <v>1</v>
      </c>
      <c r="M168" s="21" t="str">
        <f>"item_"&amp;CONTROL[[#This Row],[VEHIDCODE]]</f>
        <v>item_steam_Eveleigh_4_6_0_C35</v>
      </c>
      <c r="N168" s="21" t="str">
        <f>"str_"&amp;CONTROL[[#This Row],[VEHIDCODE]]</f>
        <v>str_steam_Eveleigh_4_6_0_C35</v>
      </c>
      <c r="O168" s="7" t="b">
        <f>INDEX(PROPERTIES[IS_CONCEPT],MATCH(CONTROL[[#This Row],[VEHIDCODE]],PROPERTIES[VEHIDCODE],0))="IS_CONCEPT"</f>
        <v>0</v>
      </c>
      <c r="P168" s="7" t="b">
        <f>INDEX(PROPERTIES[EXCLUDE],MATCH(CONTROL[[#This Row],[VEHIDCODE]],PROPERTIES[VEHIDCODE],0))</f>
        <v>0</v>
      </c>
      <c r="Q1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69" spans="1:17" x14ac:dyDescent="0.35">
      <c r="A169" s="2" t="s">
        <v>2800</v>
      </c>
      <c r="B169" s="21" t="str">
        <f>MID(CONTROL[[#This Row],[VEHIDCODE]],FIND("_",CONTROL[[#This Row],[VEHIDCODE]])+1,LEN(CONTROL[[#This Row],[VEHIDCODE]]))</f>
        <v>ALCO_2_8_0_74707_74785_Type_29</v>
      </c>
      <c r="C1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69">
        <v>4114</v>
      </c>
      <c r="F169" s="30" t="s">
        <v>2273</v>
      </c>
      <c r="G169" t="s">
        <v>1197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ISNUMBER(MATCH(CONTROL[[#This Row],[VEHIDCODE]],TRACK_TYPES[VEHIDCODE],0))</f>
        <v>1</v>
      </c>
      <c r="K169" t="b">
        <f>ISNUMBER(MATCH(CONTROL[[#This Row],[VEHIDCODE]],PROPERTIES[VEHIDCODE],0))</f>
        <v>1</v>
      </c>
      <c r="L169" t="b">
        <f>ISNUMBER(MATCH(CONTROL[[#This Row],[VEHIDCODE]],GRAPHICS_PROPERTIES[VEHIDCODE],0))</f>
        <v>1</v>
      </c>
      <c r="M169" s="21" t="str">
        <f>"item_"&amp;CONTROL[[#This Row],[VEHIDCODE]]</f>
        <v>item_steam_ALCO_2_8_0_74707_74785_Type_29</v>
      </c>
      <c r="N169" s="21" t="str">
        <f>"str_"&amp;CONTROL[[#This Row],[VEHIDCODE]]</f>
        <v>str_steam_ALCO_2_8_0_74707_74785_Type_29</v>
      </c>
      <c r="O169" s="7" t="b">
        <f>INDEX(PROPERTIES[IS_CONCEPT],MATCH(CONTROL[[#This Row],[VEHIDCODE]],PROPERTIES[VEHIDCODE],0))="IS_CONCEPT"</f>
        <v>0</v>
      </c>
      <c r="P169" s="7" t="b">
        <f>INDEX(PROPERTIES[EXCLUDE],MATCH(CONTROL[[#This Row],[VEHIDCODE]],PROPERTIES[VEHIDCODE],0))</f>
        <v>0</v>
      </c>
      <c r="Q1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70" spans="1:17" x14ac:dyDescent="0.35">
      <c r="A170" s="2" t="s">
        <v>2801</v>
      </c>
      <c r="B170" s="21" t="str">
        <f>MID(CONTROL[[#This Row],[VEHIDCODE]],FIND("_",CONTROL[[#This Row],[VEHIDCODE]])+1,LEN(CONTROL[[#This Row],[VEHIDCODE]]))</f>
        <v>FCAB_4_8_2_Vulcan_Mountain</v>
      </c>
      <c r="C1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70">
        <v>4115</v>
      </c>
      <c r="F170" s="30" t="s">
        <v>1198</v>
      </c>
      <c r="G170" t="s">
        <v>1199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ISNUMBER(MATCH(CONTROL[[#This Row],[VEHIDCODE]],TRACK_TYPES[VEHIDCODE],0))</f>
        <v>1</v>
      </c>
      <c r="K170" t="b">
        <f>ISNUMBER(MATCH(CONTROL[[#This Row],[VEHIDCODE]],PROPERTIES[VEHIDCODE],0))</f>
        <v>1</v>
      </c>
      <c r="L170" t="b">
        <f>ISNUMBER(MATCH(CONTROL[[#This Row],[VEHIDCODE]],GRAPHICS_PROPERTIES[VEHIDCODE],0))</f>
        <v>1</v>
      </c>
      <c r="M170" s="21" t="str">
        <f>"item_"&amp;CONTROL[[#This Row],[VEHIDCODE]]</f>
        <v>item_steam_FCAB_4_8_2_Vulcan_Mountain</v>
      </c>
      <c r="N170" s="21" t="str">
        <f>"str_"&amp;CONTROL[[#This Row],[VEHIDCODE]]</f>
        <v>str_steam_FCAB_4_8_2_Vulcan_Mountain</v>
      </c>
      <c r="O170" s="7" t="b">
        <f>INDEX(PROPERTIES[IS_CONCEPT],MATCH(CONTROL[[#This Row],[VEHIDCODE]],PROPERTIES[VEHIDCODE],0))="IS_CONCEPT"</f>
        <v>0</v>
      </c>
      <c r="P170" s="7" t="b">
        <f>INDEX(PROPERTIES[EXCLUDE],MATCH(CONTROL[[#This Row],[VEHIDCODE]],PROPERTIES[VEHIDCODE],0))</f>
        <v>1</v>
      </c>
      <c r="Q1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71" spans="1:17" x14ac:dyDescent="0.35">
      <c r="A171" s="2" t="s">
        <v>2802</v>
      </c>
      <c r="B171" s="21" t="str">
        <f>MID(CONTROL[[#This Row],[VEHIDCODE]],FIND("_",CONTROL[[#This Row],[VEHIDCODE]])+1,LEN(CONTROL[[#This Row],[VEHIDCODE]]))</f>
        <v>Datong_QJ_2_10_2_101_3602</v>
      </c>
      <c r="C1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71">
        <v>4116</v>
      </c>
      <c r="F171" s="30" t="s">
        <v>2274</v>
      </c>
      <c r="G171" t="s">
        <v>1200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ISNUMBER(MATCH(CONTROL[[#This Row],[VEHIDCODE]],TRACK_TYPES[VEHIDCODE],0))</f>
        <v>1</v>
      </c>
      <c r="K171" t="b">
        <f>ISNUMBER(MATCH(CONTROL[[#This Row],[VEHIDCODE]],PROPERTIES[VEHIDCODE],0))</f>
        <v>1</v>
      </c>
      <c r="L171" t="b">
        <f>ISNUMBER(MATCH(CONTROL[[#This Row],[VEHIDCODE]],GRAPHICS_PROPERTIES[VEHIDCODE],0))</f>
        <v>1</v>
      </c>
      <c r="M171" s="21" t="str">
        <f>"item_"&amp;CONTROL[[#This Row],[VEHIDCODE]]</f>
        <v>item_steam_Datong_QJ_2_10_2_101_3602</v>
      </c>
      <c r="N171" s="21" t="str">
        <f>"str_"&amp;CONTROL[[#This Row],[VEHIDCODE]]</f>
        <v>str_steam_Datong_QJ_2_10_2_101_3602</v>
      </c>
      <c r="O171" s="7" t="b">
        <f>INDEX(PROPERTIES[IS_CONCEPT],MATCH(CONTROL[[#This Row],[VEHIDCODE]],PROPERTIES[VEHIDCODE],0))="IS_CONCEPT"</f>
        <v>0</v>
      </c>
      <c r="P171" s="7" t="b">
        <f>INDEX(PROPERTIES[EXCLUDE],MATCH(CONTROL[[#This Row],[VEHIDCODE]],PROPERTIES[VEHIDCODE],0))</f>
        <v>0</v>
      </c>
      <c r="Q1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172" spans="1:17" x14ac:dyDescent="0.35">
      <c r="A172" s="2" t="s">
        <v>2803</v>
      </c>
      <c r="B172" s="21" t="str">
        <f>MID(CONTROL[[#This Row],[VEHIDCODE]],FIND("_",CONTROL[[#This Row],[VEHIDCODE]])+1,LEN(CONTROL[[#This Row],[VEHIDCODE]]))</f>
        <v>DB_Kof_II___DB_322</v>
      </c>
      <c r="C1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2">
        <v>5000</v>
      </c>
      <c r="F172" s="30" t="s">
        <v>3522</v>
      </c>
      <c r="G172" t="s">
        <v>1201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ISNUMBER(MATCH(CONTROL[[#This Row],[VEHIDCODE]],TRACK_TYPES[VEHIDCODE],0))</f>
        <v>1</v>
      </c>
      <c r="K172" t="b">
        <f>ISNUMBER(MATCH(CONTROL[[#This Row],[VEHIDCODE]],PROPERTIES[VEHIDCODE],0))</f>
        <v>1</v>
      </c>
      <c r="L172" t="b">
        <f>ISNUMBER(MATCH(CONTROL[[#This Row],[VEHIDCODE]],GRAPHICS_PROPERTIES[VEHIDCODE],0))</f>
        <v>1</v>
      </c>
      <c r="M172" s="21" t="str">
        <f>"item_"&amp;CONTROL[[#This Row],[VEHIDCODE]]</f>
        <v>item_diesel_DB_Kof_II___DB_322</v>
      </c>
      <c r="N172" s="21" t="str">
        <f>"str_"&amp;CONTROL[[#This Row],[VEHIDCODE]]</f>
        <v>str_diesel_DB_Kof_II___DB_322</v>
      </c>
      <c r="O172" s="7" t="b">
        <f>INDEX(PROPERTIES[IS_CONCEPT],MATCH(CONTROL[[#This Row],[VEHIDCODE]],PROPERTIES[VEHIDCODE],0))="IS_CONCEPT"</f>
        <v>0</v>
      </c>
      <c r="P172" s="7" t="b">
        <f>INDEX(PROPERTIES[EXCLUDE],MATCH(CONTROL[[#This Row],[VEHIDCODE]],PROPERTIES[VEHIDCODE],0))</f>
        <v>0</v>
      </c>
      <c r="Q1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3" spans="1:17" x14ac:dyDescent="0.35">
      <c r="A173" s="2" t="s">
        <v>2804</v>
      </c>
      <c r="B173" s="21" t="str">
        <f>MID(CONTROL[[#This Row],[VEHIDCODE]],FIND("_",CONTROL[[#This Row],[VEHIDCODE]])+1,LEN(CONTROL[[#This Row],[VEHIDCODE]]))</f>
        <v>CNJ_ALCo_GE_IR_Boxcab_100T</v>
      </c>
      <c r="C1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3">
        <v>5001</v>
      </c>
      <c r="F173" s="30" t="s">
        <v>1202</v>
      </c>
      <c r="G173" t="s">
        <v>1204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ISNUMBER(MATCH(CONTROL[[#This Row],[VEHIDCODE]],TRACK_TYPES[VEHIDCODE],0))</f>
        <v>1</v>
      </c>
      <c r="K173" t="b">
        <f>ISNUMBER(MATCH(CONTROL[[#This Row],[VEHIDCODE]],PROPERTIES[VEHIDCODE],0))</f>
        <v>1</v>
      </c>
      <c r="L173" t="b">
        <f>ISNUMBER(MATCH(CONTROL[[#This Row],[VEHIDCODE]],GRAPHICS_PROPERTIES[VEHIDCODE],0))</f>
        <v>1</v>
      </c>
      <c r="M173" s="21" t="str">
        <f>"item_"&amp;CONTROL[[#This Row],[VEHIDCODE]]</f>
        <v>item_diesel_CNJ_ALCo_GE_IR_Boxcab_100T</v>
      </c>
      <c r="N173" s="21" t="str">
        <f>"str_"&amp;CONTROL[[#This Row],[VEHIDCODE]]</f>
        <v>str_diesel_CNJ_ALCo_GE_IR_Boxcab_100T</v>
      </c>
      <c r="O173" s="7" t="b">
        <f>INDEX(PROPERTIES[IS_CONCEPT],MATCH(CONTROL[[#This Row],[VEHIDCODE]],PROPERTIES[VEHIDCODE],0))="IS_CONCEPT"</f>
        <v>0</v>
      </c>
      <c r="P173" s="7" t="b">
        <f>INDEX(PROPERTIES[EXCLUDE],MATCH(CONTROL[[#This Row],[VEHIDCODE]],PROPERTIES[VEHIDCODE],0))</f>
        <v>0</v>
      </c>
      <c r="Q1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4" spans="1:17" x14ac:dyDescent="0.35">
      <c r="A174" s="2" t="s">
        <v>2805</v>
      </c>
      <c r="B174" s="21" t="str">
        <f>MID(CONTROL[[#This Row],[VEHIDCODE]],FIND("_",CONTROL[[#This Row],[VEHIDCODE]])+1,LEN(CONTROL[[#This Row],[VEHIDCODE]]))</f>
        <v>Werkspoor_200_Sik</v>
      </c>
      <c r="C1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4">
        <v>5002</v>
      </c>
      <c r="F174" s="30" t="s">
        <v>2148</v>
      </c>
      <c r="G174" t="s">
        <v>1203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ISNUMBER(MATCH(CONTROL[[#This Row],[VEHIDCODE]],TRACK_TYPES[VEHIDCODE],0))</f>
        <v>1</v>
      </c>
      <c r="K174" t="b">
        <f>ISNUMBER(MATCH(CONTROL[[#This Row],[VEHIDCODE]],PROPERTIES[VEHIDCODE],0))</f>
        <v>1</v>
      </c>
      <c r="L174" t="b">
        <f>ISNUMBER(MATCH(CONTROL[[#This Row],[VEHIDCODE]],GRAPHICS_PROPERTIES[VEHIDCODE],0))</f>
        <v>1</v>
      </c>
      <c r="M174" s="21" t="str">
        <f>"item_"&amp;CONTROL[[#This Row],[VEHIDCODE]]</f>
        <v>item_diesel_Werkspoor_200_Sik</v>
      </c>
      <c r="N174" s="21" t="str">
        <f>"str_"&amp;CONTROL[[#This Row],[VEHIDCODE]]</f>
        <v>str_diesel_Werkspoor_200_Sik</v>
      </c>
      <c r="O174" s="7" t="b">
        <f>INDEX(PROPERTIES[IS_CONCEPT],MATCH(CONTROL[[#This Row],[VEHIDCODE]],PROPERTIES[VEHIDCODE],0))="IS_CONCEPT"</f>
        <v>0</v>
      </c>
      <c r="P174" s="7" t="b">
        <f>INDEX(PROPERTIES[EXCLUDE],MATCH(CONTROL[[#This Row],[VEHIDCODE]],PROPERTIES[VEHIDCODE],0))</f>
        <v>0</v>
      </c>
      <c r="Q1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5" spans="1:17" x14ac:dyDescent="0.35">
      <c r="A175" s="2" t="s">
        <v>2806</v>
      </c>
      <c r="B175" s="21" t="str">
        <f>MID(CONTROL[[#This Row],[VEHIDCODE]],FIND("_",CONTROL[[#This Row],[VEHIDCODE]])+1,LEN(CONTROL[[#This Row],[VEHIDCODE]]))</f>
        <v>BMAG_WR_200_B_14</v>
      </c>
      <c r="C1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5">
        <v>5003</v>
      </c>
      <c r="F175" s="30" t="s">
        <v>2149</v>
      </c>
      <c r="G175" t="s">
        <v>1205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ISNUMBER(MATCH(CONTROL[[#This Row],[VEHIDCODE]],TRACK_TYPES[VEHIDCODE],0))</f>
        <v>1</v>
      </c>
      <c r="K175" t="b">
        <f>ISNUMBER(MATCH(CONTROL[[#This Row],[VEHIDCODE]],PROPERTIES[VEHIDCODE],0))</f>
        <v>1</v>
      </c>
      <c r="L175" t="b">
        <f>ISNUMBER(MATCH(CONTROL[[#This Row],[VEHIDCODE]],GRAPHICS_PROPERTIES[VEHIDCODE],0))</f>
        <v>1</v>
      </c>
      <c r="M175" s="21" t="str">
        <f>"item_"&amp;CONTROL[[#This Row],[VEHIDCODE]]</f>
        <v>item_diesel_BMAG_WR_200_B_14</v>
      </c>
      <c r="N175" s="21" t="str">
        <f>"str_"&amp;CONTROL[[#This Row],[VEHIDCODE]]</f>
        <v>str_diesel_BMAG_WR_200_B_14</v>
      </c>
      <c r="O175" s="7" t="b">
        <f>INDEX(PROPERTIES[IS_CONCEPT],MATCH(CONTROL[[#This Row],[VEHIDCODE]],PROPERTIES[VEHIDCODE],0))="IS_CONCEPT"</f>
        <v>0</v>
      </c>
      <c r="P175" s="7" t="b">
        <f>INDEX(PROPERTIES[EXCLUDE],MATCH(CONTROL[[#This Row],[VEHIDCODE]],PROPERTIES[VEHIDCODE],0))</f>
        <v>0</v>
      </c>
      <c r="Q1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76" spans="1:17" x14ac:dyDescent="0.35">
      <c r="A176" s="2" t="s">
        <v>2807</v>
      </c>
      <c r="B176" s="21" t="str">
        <f>MID(CONTROL[[#This Row],[VEHIDCODE]],FIND("_",CONTROL[[#This Row],[VEHIDCODE]])+1,LEN(CONTROL[[#This Row],[VEHIDCODE]]))</f>
        <v>BBC_SLM_Am_4_6</v>
      </c>
      <c r="C1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6">
        <v>5004</v>
      </c>
      <c r="F176" s="30" t="s">
        <v>1971</v>
      </c>
      <c r="G176" t="s">
        <v>1206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ISNUMBER(MATCH(CONTROL[[#This Row],[VEHIDCODE]],TRACK_TYPES[VEHIDCODE],0))</f>
        <v>1</v>
      </c>
      <c r="K176" t="b">
        <f>ISNUMBER(MATCH(CONTROL[[#This Row],[VEHIDCODE]],PROPERTIES[VEHIDCODE],0))</f>
        <v>1</v>
      </c>
      <c r="L176" t="b">
        <f>ISNUMBER(MATCH(CONTROL[[#This Row],[VEHIDCODE]],GRAPHICS_PROPERTIES[VEHIDCODE],0))</f>
        <v>1</v>
      </c>
      <c r="M176" s="21" t="str">
        <f>"item_"&amp;CONTROL[[#This Row],[VEHIDCODE]]</f>
        <v>item_diesel_BBC_SLM_Am_4_6</v>
      </c>
      <c r="N176" s="21" t="str">
        <f>"str_"&amp;CONTROL[[#This Row],[VEHIDCODE]]</f>
        <v>str_diesel_BBC_SLM_Am_4_6</v>
      </c>
      <c r="O176" s="7" t="b">
        <f>INDEX(PROPERTIES[IS_CONCEPT],MATCH(CONTROL[[#This Row],[VEHIDCODE]],PROPERTIES[VEHIDCODE],0))="IS_CONCEPT"</f>
        <v>0</v>
      </c>
      <c r="P176" s="7" t="b">
        <f>INDEX(PROPERTIES[EXCLUDE],MATCH(CONTROL[[#This Row],[VEHIDCODE]],PROPERTIES[VEHIDCODE],0))</f>
        <v>0</v>
      </c>
      <c r="Q1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7" spans="1:17" x14ac:dyDescent="0.35">
      <c r="A177" s="2" t="s">
        <v>2808</v>
      </c>
      <c r="B177" s="21" t="str">
        <f>MID(CONTROL[[#This Row],[VEHIDCODE]],FIND("_",CONTROL[[#This Row],[VEHIDCODE]])+1,LEN(CONTROL[[#This Row],[VEHIDCODE]]))</f>
        <v>GE_44_ton_switcher</v>
      </c>
      <c r="C1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7">
        <v>5005</v>
      </c>
      <c r="F177" s="30" t="s">
        <v>2592</v>
      </c>
      <c r="G177" t="s">
        <v>1207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ISNUMBER(MATCH(CONTROL[[#This Row],[VEHIDCODE]],TRACK_TYPES[VEHIDCODE],0))</f>
        <v>1</v>
      </c>
      <c r="K177" t="b">
        <f>ISNUMBER(MATCH(CONTROL[[#This Row],[VEHIDCODE]],PROPERTIES[VEHIDCODE],0))</f>
        <v>1</v>
      </c>
      <c r="L177" t="b">
        <f>ISNUMBER(MATCH(CONTROL[[#This Row],[VEHIDCODE]],GRAPHICS_PROPERTIES[VEHIDCODE],0))</f>
        <v>1</v>
      </c>
      <c r="M177" s="21" t="str">
        <f>"item_"&amp;CONTROL[[#This Row],[VEHIDCODE]]</f>
        <v>item_diesel_GE_44_ton_switcher</v>
      </c>
      <c r="N177" s="21" t="str">
        <f>"str_"&amp;CONTROL[[#This Row],[VEHIDCODE]]</f>
        <v>str_diesel_GE_44_ton_switcher</v>
      </c>
      <c r="O177" s="7" t="b">
        <f>INDEX(PROPERTIES[IS_CONCEPT],MATCH(CONTROL[[#This Row],[VEHIDCODE]],PROPERTIES[VEHIDCODE],0))="IS_CONCEPT"</f>
        <v>0</v>
      </c>
      <c r="P177" s="7" t="b">
        <f>INDEX(PROPERTIES[EXCLUDE],MATCH(CONTROL[[#This Row],[VEHIDCODE]],PROPERTIES[VEHIDCODE],0))</f>
        <v>0</v>
      </c>
      <c r="Q1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8" spans="1:17" x14ac:dyDescent="0.35">
      <c r="A178" s="2" t="s">
        <v>2809</v>
      </c>
      <c r="B178" s="21" t="str">
        <f>MID(CONTROL[[#This Row],[VEHIDCODE]],FIND("_",CONTROL[[#This Row],[VEHIDCODE]])+1,LEN(CONTROL[[#This Row],[VEHIDCODE]]))</f>
        <v>ALCO_S_2</v>
      </c>
      <c r="C1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8">
        <v>5006</v>
      </c>
      <c r="F178" s="30" t="s">
        <v>1972</v>
      </c>
      <c r="G178" t="s">
        <v>1209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ISNUMBER(MATCH(CONTROL[[#This Row],[VEHIDCODE]],TRACK_TYPES[VEHIDCODE],0))</f>
        <v>1</v>
      </c>
      <c r="K178" t="b">
        <f>ISNUMBER(MATCH(CONTROL[[#This Row],[VEHIDCODE]],PROPERTIES[VEHIDCODE],0))</f>
        <v>1</v>
      </c>
      <c r="L178" t="b">
        <f>ISNUMBER(MATCH(CONTROL[[#This Row],[VEHIDCODE]],GRAPHICS_PROPERTIES[VEHIDCODE],0))</f>
        <v>1</v>
      </c>
      <c r="M178" s="21" t="str">
        <f>"item_"&amp;CONTROL[[#This Row],[VEHIDCODE]]</f>
        <v>item_diesel_ALCO_S_2</v>
      </c>
      <c r="N178" s="21" t="str">
        <f>"str_"&amp;CONTROL[[#This Row],[VEHIDCODE]]</f>
        <v>str_diesel_ALCO_S_2</v>
      </c>
      <c r="O178" s="7" t="b">
        <f>INDEX(PROPERTIES[IS_CONCEPT],MATCH(CONTROL[[#This Row],[VEHIDCODE]],PROPERTIES[VEHIDCODE],0))="IS_CONCEPT"</f>
        <v>0</v>
      </c>
      <c r="P178" s="7" t="b">
        <f>INDEX(PROPERTIES[EXCLUDE],MATCH(CONTROL[[#This Row],[VEHIDCODE]],PROPERTIES[VEHIDCODE],0))</f>
        <v>0</v>
      </c>
      <c r="Q1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79" spans="1:17" x14ac:dyDescent="0.35">
      <c r="A179" s="2" t="s">
        <v>2810</v>
      </c>
      <c r="B179" s="21" t="str">
        <f>MID(CONTROL[[#This Row],[VEHIDCODE]],FIND("_",CONTROL[[#This Row],[VEHIDCODE]])+1,LEN(CONTROL[[#This Row],[VEHIDCODE]]))</f>
        <v>EMD_F3</v>
      </c>
      <c r="C1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79">
        <v>5007</v>
      </c>
      <c r="F179" s="30" t="s">
        <v>1973</v>
      </c>
      <c r="G179" t="s">
        <v>1208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ISNUMBER(MATCH(CONTROL[[#This Row],[VEHIDCODE]],TRACK_TYPES[VEHIDCODE],0))</f>
        <v>1</v>
      </c>
      <c r="K179" t="b">
        <f>ISNUMBER(MATCH(CONTROL[[#This Row],[VEHIDCODE]],PROPERTIES[VEHIDCODE],0))</f>
        <v>1</v>
      </c>
      <c r="L179" t="b">
        <f>ISNUMBER(MATCH(CONTROL[[#This Row],[VEHIDCODE]],GRAPHICS_PROPERTIES[VEHIDCODE],0))</f>
        <v>1</v>
      </c>
      <c r="M179" s="21" t="str">
        <f>"item_"&amp;CONTROL[[#This Row],[VEHIDCODE]]</f>
        <v>item_diesel_EMD_F3</v>
      </c>
      <c r="N179" s="21" t="str">
        <f>"str_"&amp;CONTROL[[#This Row],[VEHIDCODE]]</f>
        <v>str_diesel_EMD_F3</v>
      </c>
      <c r="O179" s="7" t="b">
        <f>INDEX(PROPERTIES[IS_CONCEPT],MATCH(CONTROL[[#This Row],[VEHIDCODE]],PROPERTIES[VEHIDCODE],0))="IS_CONCEPT"</f>
        <v>0</v>
      </c>
      <c r="P179" s="7" t="b">
        <f>INDEX(PROPERTIES[EXCLUDE],MATCH(CONTROL[[#This Row],[VEHIDCODE]],PROPERTIES[VEHIDCODE],0))</f>
        <v>0</v>
      </c>
      <c r="Q1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80" spans="1:17" x14ac:dyDescent="0.35">
      <c r="A180" s="2" t="s">
        <v>2811</v>
      </c>
      <c r="B180" s="21" t="str">
        <f>MID(CONTROL[[#This Row],[VEHIDCODE]],FIND("_",CONTROL[[#This Row],[VEHIDCODE]])+1,LEN(CONTROL[[#This Row],[VEHIDCODE]]))</f>
        <v>EMD_E8</v>
      </c>
      <c r="C1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0">
        <v>5008</v>
      </c>
      <c r="F180" s="30" t="s">
        <v>1974</v>
      </c>
      <c r="G180" t="s">
        <v>1211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ISNUMBER(MATCH(CONTROL[[#This Row],[VEHIDCODE]],TRACK_TYPES[VEHIDCODE],0))</f>
        <v>1</v>
      </c>
      <c r="K180" t="b">
        <f>ISNUMBER(MATCH(CONTROL[[#This Row],[VEHIDCODE]],PROPERTIES[VEHIDCODE],0))</f>
        <v>1</v>
      </c>
      <c r="L180" t="b">
        <f>ISNUMBER(MATCH(CONTROL[[#This Row],[VEHIDCODE]],GRAPHICS_PROPERTIES[VEHIDCODE],0))</f>
        <v>1</v>
      </c>
      <c r="M180" s="21" t="str">
        <f>"item_"&amp;CONTROL[[#This Row],[VEHIDCODE]]</f>
        <v>item_diesel_EMD_E8</v>
      </c>
      <c r="N180" s="21" t="str">
        <f>"str_"&amp;CONTROL[[#This Row],[VEHIDCODE]]</f>
        <v>str_diesel_EMD_E8</v>
      </c>
      <c r="O180" s="7" t="b">
        <f>INDEX(PROPERTIES[IS_CONCEPT],MATCH(CONTROL[[#This Row],[VEHIDCODE]],PROPERTIES[VEHIDCODE],0))="IS_CONCEPT"</f>
        <v>0</v>
      </c>
      <c r="P180" s="7" t="b">
        <f>INDEX(PROPERTIES[EXCLUDE],MATCH(CONTROL[[#This Row],[VEHIDCODE]],PROPERTIES[VEHIDCODE],0))</f>
        <v>0</v>
      </c>
      <c r="Q1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81" spans="1:17" x14ac:dyDescent="0.35">
      <c r="A181" s="2" t="s">
        <v>2812</v>
      </c>
      <c r="B181" s="21" t="str">
        <f>MID(CONTROL[[#This Row],[VEHIDCODE]],FIND("_",CONTROL[[#This Row],[VEHIDCODE]])+1,LEN(CONTROL[[#This Row],[VEHIDCODE]]))</f>
        <v>EFCB_ALCO_RS_3</v>
      </c>
      <c r="C1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1">
        <v>5009</v>
      </c>
      <c r="F181" s="30" t="s">
        <v>3505</v>
      </c>
      <c r="G181" t="s">
        <v>1213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ISNUMBER(MATCH(CONTROL[[#This Row],[VEHIDCODE]],TRACK_TYPES[VEHIDCODE],0))</f>
        <v>1</v>
      </c>
      <c r="K181" t="b">
        <f>ISNUMBER(MATCH(CONTROL[[#This Row],[VEHIDCODE]],PROPERTIES[VEHIDCODE],0))</f>
        <v>1</v>
      </c>
      <c r="L181" t="b">
        <f>ISNUMBER(MATCH(CONTROL[[#This Row],[VEHIDCODE]],GRAPHICS_PROPERTIES[VEHIDCODE],0))</f>
        <v>1</v>
      </c>
      <c r="M181" s="21" t="str">
        <f>"item_"&amp;CONTROL[[#This Row],[VEHIDCODE]]</f>
        <v>item_diesel_EFCB_ALCO_RS_3</v>
      </c>
      <c r="N181" s="21" t="str">
        <f>"str_"&amp;CONTROL[[#This Row],[VEHIDCODE]]</f>
        <v>str_diesel_EFCB_ALCO_RS_3</v>
      </c>
      <c r="O181" s="7" t="b">
        <f>INDEX(PROPERTIES[IS_CONCEPT],MATCH(CONTROL[[#This Row],[VEHIDCODE]],PROPERTIES[VEHIDCODE],0))="IS_CONCEPT"</f>
        <v>0</v>
      </c>
      <c r="P181" s="7" t="b">
        <f>INDEX(PROPERTIES[EXCLUDE],MATCH(CONTROL[[#This Row],[VEHIDCODE]],PROPERTIES[VEHIDCODE],0))</f>
        <v>0</v>
      </c>
      <c r="Q1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2" spans="1:17" x14ac:dyDescent="0.35">
      <c r="A182" s="2" t="s">
        <v>2813</v>
      </c>
      <c r="B182" s="21" t="str">
        <f>MID(CONTROL[[#This Row],[VEHIDCODE]],FIND("_",CONTROL[[#This Row],[VEHIDCODE]])+1,LEN(CONTROL[[#This Row],[VEHIDCODE]]))</f>
        <v>English_Electric_Bakkie</v>
      </c>
      <c r="C1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2">
        <v>5010</v>
      </c>
      <c r="F182" s="30" t="s">
        <v>2150</v>
      </c>
      <c r="G182" t="s">
        <v>1214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ISNUMBER(MATCH(CONTROL[[#This Row],[VEHIDCODE]],TRACK_TYPES[VEHIDCODE],0))</f>
        <v>1</v>
      </c>
      <c r="K182" t="b">
        <f>ISNUMBER(MATCH(CONTROL[[#This Row],[VEHIDCODE]],PROPERTIES[VEHIDCODE],0))</f>
        <v>1</v>
      </c>
      <c r="L182" t="b">
        <f>ISNUMBER(MATCH(CONTROL[[#This Row],[VEHIDCODE]],GRAPHICS_PROPERTIES[VEHIDCODE],0))</f>
        <v>1</v>
      </c>
      <c r="M182" s="21" t="str">
        <f>"item_"&amp;CONTROL[[#This Row],[VEHIDCODE]]</f>
        <v>item_diesel_English_Electric_Bakkie</v>
      </c>
      <c r="N182" s="21" t="str">
        <f>"str_"&amp;CONTROL[[#This Row],[VEHIDCODE]]</f>
        <v>str_diesel_English_Electric_Bakkie</v>
      </c>
      <c r="O182" s="7" t="b">
        <f>INDEX(PROPERTIES[IS_CONCEPT],MATCH(CONTROL[[#This Row],[VEHIDCODE]],PROPERTIES[VEHIDCODE],0))="IS_CONCEPT"</f>
        <v>0</v>
      </c>
      <c r="P182" s="7" t="b">
        <f>INDEX(PROPERTIES[EXCLUDE],MATCH(CONTROL[[#This Row],[VEHIDCODE]],PROPERTIES[VEHIDCODE],0))</f>
        <v>0</v>
      </c>
      <c r="Q1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83" spans="1:17" x14ac:dyDescent="0.35">
      <c r="A183" s="2" t="s">
        <v>2814</v>
      </c>
      <c r="B183" s="21" t="str">
        <f>MID(CONTROL[[#This Row],[VEHIDCODE]],FIND("_",CONTROL[[#This Row],[VEHIDCODE]])+1,LEN(CONTROL[[#This Row],[VEHIDCODE]]))</f>
        <v>Baldwin_RF_16_Sharknose</v>
      </c>
      <c r="C1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3">
        <v>5100</v>
      </c>
      <c r="F183" s="30" t="s">
        <v>1975</v>
      </c>
      <c r="G183" t="s">
        <v>1215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ISNUMBER(MATCH(CONTROL[[#This Row],[VEHIDCODE]],TRACK_TYPES[VEHIDCODE],0))</f>
        <v>1</v>
      </c>
      <c r="K183" t="b">
        <f>ISNUMBER(MATCH(CONTROL[[#This Row],[VEHIDCODE]],PROPERTIES[VEHIDCODE],0))</f>
        <v>1</v>
      </c>
      <c r="L183" t="b">
        <f>ISNUMBER(MATCH(CONTROL[[#This Row],[VEHIDCODE]],GRAPHICS_PROPERTIES[VEHIDCODE],0))</f>
        <v>1</v>
      </c>
      <c r="M183" s="21" t="str">
        <f>"item_"&amp;CONTROL[[#This Row],[VEHIDCODE]]</f>
        <v>item_diesel_Baldwin_RF_16_Sharknose</v>
      </c>
      <c r="N183" s="21" t="str">
        <f>"str_"&amp;CONTROL[[#This Row],[VEHIDCODE]]</f>
        <v>str_diesel_Baldwin_RF_16_Sharknose</v>
      </c>
      <c r="O183" s="7" t="b">
        <f>INDEX(PROPERTIES[IS_CONCEPT],MATCH(CONTROL[[#This Row],[VEHIDCODE]],PROPERTIES[VEHIDCODE],0))="IS_CONCEPT"</f>
        <v>0</v>
      </c>
      <c r="P183" s="7" t="b">
        <f>INDEX(PROPERTIES[EXCLUDE],MATCH(CONTROL[[#This Row],[VEHIDCODE]],PROPERTIES[VEHIDCODE],0))</f>
        <v>0</v>
      </c>
      <c r="Q1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84" spans="1:17" x14ac:dyDescent="0.35">
      <c r="A184" s="2" t="s">
        <v>2815</v>
      </c>
      <c r="B184" s="21" t="str">
        <f>MID(CONTROL[[#This Row],[VEHIDCODE]],FIND("_",CONTROL[[#This Row],[VEHIDCODE]])+1,LEN(CONTROL[[#This Row],[VEHIDCODE]]))</f>
        <v>AFE_1500</v>
      </c>
      <c r="C1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4">
        <v>5012</v>
      </c>
      <c r="F184" s="30" t="s">
        <v>370</v>
      </c>
      <c r="G184" t="s">
        <v>1165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ISNUMBER(MATCH(CONTROL[[#This Row],[VEHIDCODE]],TRACK_TYPES[VEHIDCODE],0))</f>
        <v>1</v>
      </c>
      <c r="K184" t="b">
        <f>ISNUMBER(MATCH(CONTROL[[#This Row],[VEHIDCODE]],PROPERTIES[VEHIDCODE],0))</f>
        <v>1</v>
      </c>
      <c r="L184" t="b">
        <f>ISNUMBER(MATCH(CONTROL[[#This Row],[VEHIDCODE]],GRAPHICS_PROPERTIES[VEHIDCODE],0))</f>
        <v>1</v>
      </c>
      <c r="M184" s="21" t="str">
        <f>"item_"&amp;CONTROL[[#This Row],[VEHIDCODE]]</f>
        <v>item_diesel_AFE_1500</v>
      </c>
      <c r="N184" s="21" t="str">
        <f>"str_"&amp;CONTROL[[#This Row],[VEHIDCODE]]</f>
        <v>str_diesel_AFE_1500</v>
      </c>
      <c r="O184" s="7" t="b">
        <f>INDEX(PROPERTIES[IS_CONCEPT],MATCH(CONTROL[[#This Row],[VEHIDCODE]],PROPERTIES[VEHIDCODE],0))="IS_CONCEPT"</f>
        <v>0</v>
      </c>
      <c r="P184" s="7" t="b">
        <f>INDEX(PROPERTIES[EXCLUDE],MATCH(CONTROL[[#This Row],[VEHIDCODE]],PROPERTIES[VEHIDCODE],0))</f>
        <v>0</v>
      </c>
      <c r="Q1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5" spans="1:17" x14ac:dyDescent="0.35">
      <c r="A185" s="2" t="s">
        <v>2816</v>
      </c>
      <c r="B185" s="21" t="str">
        <f>MID(CONTROL[[#This Row],[VEHIDCODE]],FIND("_",CONTROL[[#This Row],[VEHIDCODE]])+1,LEN(CONTROL[[#This Row],[VEHIDCODE]]))</f>
        <v>FM_H_24_66_Trainmaster</v>
      </c>
      <c r="C1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5">
        <v>5013</v>
      </c>
      <c r="F185" s="30" t="s">
        <v>1976</v>
      </c>
      <c r="G185" t="s">
        <v>1216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ISNUMBER(MATCH(CONTROL[[#This Row],[VEHIDCODE]],TRACK_TYPES[VEHIDCODE],0))</f>
        <v>1</v>
      </c>
      <c r="K185" t="b">
        <f>ISNUMBER(MATCH(CONTROL[[#This Row],[VEHIDCODE]],PROPERTIES[VEHIDCODE],0))</f>
        <v>1</v>
      </c>
      <c r="L185" t="b">
        <f>ISNUMBER(MATCH(CONTROL[[#This Row],[VEHIDCODE]],GRAPHICS_PROPERTIES[VEHIDCODE],0))</f>
        <v>1</v>
      </c>
      <c r="M185" s="21" t="str">
        <f>"item_"&amp;CONTROL[[#This Row],[VEHIDCODE]]</f>
        <v>item_diesel_FM_H_24_66_Trainmaster</v>
      </c>
      <c r="N185" s="21" t="str">
        <f>"str_"&amp;CONTROL[[#This Row],[VEHIDCODE]]</f>
        <v>str_diesel_FM_H_24_66_Trainmaster</v>
      </c>
      <c r="O185" s="7" t="b">
        <f>INDEX(PROPERTIES[IS_CONCEPT],MATCH(CONTROL[[#This Row],[VEHIDCODE]],PROPERTIES[VEHIDCODE],0))="IS_CONCEPT"</f>
        <v>0</v>
      </c>
      <c r="P185" s="7" t="b">
        <f>INDEX(PROPERTIES[EXCLUDE],MATCH(CONTROL[[#This Row],[VEHIDCODE]],PROPERTIES[VEHIDCODE],0))</f>
        <v>0</v>
      </c>
      <c r="Q1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6" spans="1:17" x14ac:dyDescent="0.35">
      <c r="A186" s="2" t="s">
        <v>2817</v>
      </c>
      <c r="B186" s="21" t="str">
        <f>MID(CONTROL[[#This Row],[VEHIDCODE]],FIND("_",CONTROL[[#This Row],[VEHIDCODE]])+1,LEN(CONTROL[[#This Row],[VEHIDCODE]]))</f>
        <v>BR_Class_08_0_6_0DE</v>
      </c>
      <c r="C1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6">
        <v>5014</v>
      </c>
      <c r="F186" s="30" t="s">
        <v>2151</v>
      </c>
      <c r="G186" t="s">
        <v>1217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ISNUMBER(MATCH(CONTROL[[#This Row],[VEHIDCODE]],TRACK_TYPES[VEHIDCODE],0))</f>
        <v>1</v>
      </c>
      <c r="K186" t="b">
        <f>ISNUMBER(MATCH(CONTROL[[#This Row],[VEHIDCODE]],PROPERTIES[VEHIDCODE],0))</f>
        <v>1</v>
      </c>
      <c r="L186" t="b">
        <f>ISNUMBER(MATCH(CONTROL[[#This Row],[VEHIDCODE]],GRAPHICS_PROPERTIES[VEHIDCODE],0))</f>
        <v>1</v>
      </c>
      <c r="M186" s="21" t="str">
        <f>"item_"&amp;CONTROL[[#This Row],[VEHIDCODE]]</f>
        <v>item_diesel_BR_Class_08_0_6_0DE</v>
      </c>
      <c r="N186" s="21" t="str">
        <f>"str_"&amp;CONTROL[[#This Row],[VEHIDCODE]]</f>
        <v>str_diesel_BR_Class_08_0_6_0DE</v>
      </c>
      <c r="O186" s="7" t="b">
        <f>INDEX(PROPERTIES[IS_CONCEPT],MATCH(CONTROL[[#This Row],[VEHIDCODE]],PROPERTIES[VEHIDCODE],0))="IS_CONCEPT"</f>
        <v>0</v>
      </c>
      <c r="P186" s="7" t="b">
        <f>INDEX(PROPERTIES[EXCLUDE],MATCH(CONTROL[[#This Row],[VEHIDCODE]],PROPERTIES[VEHIDCODE],0))</f>
        <v>0</v>
      </c>
      <c r="Q1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87" spans="1:17" x14ac:dyDescent="0.35">
      <c r="A187" s="2" t="s">
        <v>2818</v>
      </c>
      <c r="B187" s="21" t="str">
        <f>MID(CONTROL[[#This Row],[VEHIDCODE]],FIND("_",CONTROL[[#This Row],[VEHIDCODE]])+1,LEN(CONTROL[[#This Row],[VEHIDCODE]]))</f>
        <v>Jenbacher_Werke_2060</v>
      </c>
      <c r="C1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7">
        <v>5015</v>
      </c>
      <c r="F187" s="30" t="s">
        <v>2152</v>
      </c>
      <c r="G187" t="s">
        <v>1218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ISNUMBER(MATCH(CONTROL[[#This Row],[VEHIDCODE]],TRACK_TYPES[VEHIDCODE],0))</f>
        <v>1</v>
      </c>
      <c r="K187" t="b">
        <f>ISNUMBER(MATCH(CONTROL[[#This Row],[VEHIDCODE]],PROPERTIES[VEHIDCODE],0))</f>
        <v>1</v>
      </c>
      <c r="L187" t="b">
        <f>ISNUMBER(MATCH(CONTROL[[#This Row],[VEHIDCODE]],GRAPHICS_PROPERTIES[VEHIDCODE],0))</f>
        <v>1</v>
      </c>
      <c r="M187" s="21" t="str">
        <f>"item_"&amp;CONTROL[[#This Row],[VEHIDCODE]]</f>
        <v>item_diesel_Jenbacher_Werke_2060</v>
      </c>
      <c r="N187" s="21" t="str">
        <f>"str_"&amp;CONTROL[[#This Row],[VEHIDCODE]]</f>
        <v>str_diesel_Jenbacher_Werke_2060</v>
      </c>
      <c r="O187" s="7" t="b">
        <f>INDEX(PROPERTIES[IS_CONCEPT],MATCH(CONTROL[[#This Row],[VEHIDCODE]],PROPERTIES[VEHIDCODE],0))="IS_CONCEPT"</f>
        <v>0</v>
      </c>
      <c r="P187" s="7" t="b">
        <f>INDEX(PROPERTIES[EXCLUDE],MATCH(CONTROL[[#This Row],[VEHIDCODE]],PROPERTIES[VEHIDCODE],0))</f>
        <v>0</v>
      </c>
      <c r="Q1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8" spans="1:17" x14ac:dyDescent="0.35">
      <c r="A188" s="2" t="s">
        <v>2819</v>
      </c>
      <c r="B188" s="21" t="str">
        <f>MID(CONTROL[[#This Row],[VEHIDCODE]],FIND("_",CONTROL[[#This Row],[VEHIDCODE]])+1,LEN(CONTROL[[#This Row],[VEHIDCODE]]))</f>
        <v>EMD_SW1200</v>
      </c>
      <c r="C1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8">
        <v>5016</v>
      </c>
      <c r="F188" s="30" t="s">
        <v>1977</v>
      </c>
      <c r="G188" t="s">
        <v>1219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ISNUMBER(MATCH(CONTROL[[#This Row],[VEHIDCODE]],TRACK_TYPES[VEHIDCODE],0))</f>
        <v>1</v>
      </c>
      <c r="K188" t="b">
        <f>ISNUMBER(MATCH(CONTROL[[#This Row],[VEHIDCODE]],PROPERTIES[VEHIDCODE],0))</f>
        <v>1</v>
      </c>
      <c r="L188" t="b">
        <f>ISNUMBER(MATCH(CONTROL[[#This Row],[VEHIDCODE]],GRAPHICS_PROPERTIES[VEHIDCODE],0))</f>
        <v>1</v>
      </c>
      <c r="M188" s="21" t="str">
        <f>"item_"&amp;CONTROL[[#This Row],[VEHIDCODE]]</f>
        <v>item_diesel_EMD_SW1200</v>
      </c>
      <c r="N188" s="21" t="str">
        <f>"str_"&amp;CONTROL[[#This Row],[VEHIDCODE]]</f>
        <v>str_diesel_EMD_SW1200</v>
      </c>
      <c r="O188" s="7" t="b">
        <f>INDEX(PROPERTIES[IS_CONCEPT],MATCH(CONTROL[[#This Row],[VEHIDCODE]],PROPERTIES[VEHIDCODE],0))="IS_CONCEPT"</f>
        <v>0</v>
      </c>
      <c r="P188" s="7" t="b">
        <f>INDEX(PROPERTIES[EXCLUDE],MATCH(CONTROL[[#This Row],[VEHIDCODE]],PROPERTIES[VEHIDCODE],0))</f>
        <v>0</v>
      </c>
      <c r="Q1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89" spans="1:17" x14ac:dyDescent="0.35">
      <c r="A189" s="2" t="s">
        <v>2820</v>
      </c>
      <c r="B189" s="21" t="str">
        <f>MID(CONTROL[[#This Row],[VEHIDCODE]],FIND("_",CONTROL[[#This Row],[VEHIDCODE]])+1,LEN(CONTROL[[#This Row],[VEHIDCODE]]))</f>
        <v>EMD_FP9</v>
      </c>
      <c r="C1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89">
        <v>5017</v>
      </c>
      <c r="F189" s="30" t="s">
        <v>1978</v>
      </c>
      <c r="G189" t="s">
        <v>1220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ISNUMBER(MATCH(CONTROL[[#This Row],[VEHIDCODE]],TRACK_TYPES[VEHIDCODE],0))</f>
        <v>1</v>
      </c>
      <c r="K189" t="b">
        <f>ISNUMBER(MATCH(CONTROL[[#This Row],[VEHIDCODE]],PROPERTIES[VEHIDCODE],0))</f>
        <v>1</v>
      </c>
      <c r="L189" t="b">
        <f>ISNUMBER(MATCH(CONTROL[[#This Row],[VEHIDCODE]],GRAPHICS_PROPERTIES[VEHIDCODE],0))</f>
        <v>1</v>
      </c>
      <c r="M189" s="21" t="str">
        <f>"item_"&amp;CONTROL[[#This Row],[VEHIDCODE]]</f>
        <v>item_diesel_EMD_FP9</v>
      </c>
      <c r="N189" s="21" t="str">
        <f>"str_"&amp;CONTROL[[#This Row],[VEHIDCODE]]</f>
        <v>str_diesel_EMD_FP9</v>
      </c>
      <c r="O189" s="7" t="b">
        <f>INDEX(PROPERTIES[IS_CONCEPT],MATCH(CONTROL[[#This Row],[VEHIDCODE]],PROPERTIES[VEHIDCODE],0))="IS_CONCEPT"</f>
        <v>0</v>
      </c>
      <c r="P189" s="7" t="b">
        <f>INDEX(PROPERTIES[EXCLUDE],MATCH(CONTROL[[#This Row],[VEHIDCODE]],PROPERTIES[VEHIDCODE],0))</f>
        <v>0</v>
      </c>
      <c r="Q1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190" spans="1:17" x14ac:dyDescent="0.35">
      <c r="A190" s="2" t="s">
        <v>2821</v>
      </c>
      <c r="B190" s="21" t="str">
        <f>MID(CONTROL[[#This Row],[VEHIDCODE]],FIND("_",CONTROL[[#This Row],[VEHIDCODE]])+1,LEN(CONTROL[[#This Row],[VEHIDCODE]]))</f>
        <v>Ganz_MAVAG_DVM2_M44</v>
      </c>
      <c r="C1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0">
        <v>5018</v>
      </c>
      <c r="F190" s="30" t="s">
        <v>2578</v>
      </c>
      <c r="G190" t="s">
        <v>1210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ISNUMBER(MATCH(CONTROL[[#This Row],[VEHIDCODE]],TRACK_TYPES[VEHIDCODE],0))</f>
        <v>1</v>
      </c>
      <c r="K190" t="b">
        <f>ISNUMBER(MATCH(CONTROL[[#This Row],[VEHIDCODE]],PROPERTIES[VEHIDCODE],0))</f>
        <v>1</v>
      </c>
      <c r="L190" t="b">
        <f>ISNUMBER(MATCH(CONTROL[[#This Row],[VEHIDCODE]],GRAPHICS_PROPERTIES[VEHIDCODE],0))</f>
        <v>1</v>
      </c>
      <c r="M190" s="21" t="str">
        <f>"item_"&amp;CONTROL[[#This Row],[VEHIDCODE]]</f>
        <v>item_diesel_Ganz_MAVAG_DVM2_M44</v>
      </c>
      <c r="N190" s="21" t="str">
        <f>"str_"&amp;CONTROL[[#This Row],[VEHIDCODE]]</f>
        <v>str_diesel_Ganz_MAVAG_DVM2_M44</v>
      </c>
      <c r="O190" s="7" t="b">
        <f>INDEX(PROPERTIES[IS_CONCEPT],MATCH(CONTROL[[#This Row],[VEHIDCODE]],PROPERTIES[VEHIDCODE],0))="IS_CONCEPT"</f>
        <v>0</v>
      </c>
      <c r="P190" s="7" t="b">
        <f>INDEX(PROPERTIES[EXCLUDE],MATCH(CONTROL[[#This Row],[VEHIDCODE]],PROPERTIES[VEHIDCODE],0))</f>
        <v>0</v>
      </c>
      <c r="Q1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1" spans="1:17" x14ac:dyDescent="0.35">
      <c r="A191" s="2" t="s">
        <v>3431</v>
      </c>
      <c r="B191" s="21" t="str">
        <f>MID(CONTROL[[#This Row],[VEHIDCODE]],FIND("_",CONTROL[[#This Row],[VEHIDCODE]])+1,LEN(CONTROL[[#This Row],[VEHIDCODE]]))</f>
        <v>Raba_M_030_M28</v>
      </c>
      <c r="C1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1">
        <v>5019</v>
      </c>
      <c r="F191" s="30" t="s">
        <v>2611</v>
      </c>
      <c r="G191" t="s">
        <v>1221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ISNUMBER(MATCH(CONTROL[[#This Row],[VEHIDCODE]],TRACK_TYPES[VEHIDCODE],0))</f>
        <v>1</v>
      </c>
      <c r="K191" t="b">
        <f>ISNUMBER(MATCH(CONTROL[[#This Row],[VEHIDCODE]],PROPERTIES[VEHIDCODE],0))</f>
        <v>1</v>
      </c>
      <c r="L191" t="b">
        <f>ISNUMBER(MATCH(CONTROL[[#This Row],[VEHIDCODE]],GRAPHICS_PROPERTIES[VEHIDCODE],0))</f>
        <v>1</v>
      </c>
      <c r="M191" s="21" t="str">
        <f>"item_"&amp;CONTROL[[#This Row],[VEHIDCODE]]</f>
        <v>item_diesel_Raba_M_030_M28</v>
      </c>
      <c r="N191" s="21" t="str">
        <f>"str_"&amp;CONTROL[[#This Row],[VEHIDCODE]]</f>
        <v>str_diesel_Raba_M_030_M28</v>
      </c>
      <c r="O191" s="7" t="b">
        <f>INDEX(PROPERTIES[IS_CONCEPT],MATCH(CONTROL[[#This Row],[VEHIDCODE]],PROPERTIES[VEHIDCODE],0))="IS_CONCEPT"</f>
        <v>0</v>
      </c>
      <c r="P191" s="7" t="b">
        <f>INDEX(PROPERTIES[EXCLUDE],MATCH(CONTROL[[#This Row],[VEHIDCODE]],PROPERTIES[VEHIDCODE],0))</f>
        <v>0</v>
      </c>
      <c r="Q1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2" spans="1:17" x14ac:dyDescent="0.35">
      <c r="A192" s="2" t="s">
        <v>3432</v>
      </c>
      <c r="B192" s="21" t="str">
        <f>MID(CONTROL[[#This Row],[VEHIDCODE]],FIND("_",CONTROL[[#This Row],[VEHIDCODE]])+1,LEN(CONTROL[[#This Row],[VEHIDCODE]]))</f>
        <v>Cockerill_Sambre_HLD_serie_83</v>
      </c>
      <c r="C1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2">
        <v>5020</v>
      </c>
      <c r="F192" s="30" t="s">
        <v>3433</v>
      </c>
      <c r="G192" t="s">
        <v>1222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ISNUMBER(MATCH(CONTROL[[#This Row],[VEHIDCODE]],TRACK_TYPES[VEHIDCODE],0))</f>
        <v>1</v>
      </c>
      <c r="K192" t="b">
        <f>ISNUMBER(MATCH(CONTROL[[#This Row],[VEHIDCODE]],PROPERTIES[VEHIDCODE],0))</f>
        <v>1</v>
      </c>
      <c r="L192" t="b">
        <f>ISNUMBER(MATCH(CONTROL[[#This Row],[VEHIDCODE]],GRAPHICS_PROPERTIES[VEHIDCODE],0))</f>
        <v>1</v>
      </c>
      <c r="M192" s="21" t="str">
        <f>"item_"&amp;CONTROL[[#This Row],[VEHIDCODE]]</f>
        <v>item_diesel_Cockerill_Sambre_HLD_serie_83</v>
      </c>
      <c r="N192" s="21" t="str">
        <f>"str_"&amp;CONTROL[[#This Row],[VEHIDCODE]]</f>
        <v>str_diesel_Cockerill_Sambre_HLD_serie_83</v>
      </c>
      <c r="O192" s="7" t="b">
        <f>INDEX(PROPERTIES[IS_CONCEPT],MATCH(CONTROL[[#This Row],[VEHIDCODE]],PROPERTIES[VEHIDCODE],0))="IS_CONCEPT"</f>
        <v>0</v>
      </c>
      <c r="P192" s="7" t="b">
        <f>INDEX(PROPERTIES[EXCLUDE],MATCH(CONTROL[[#This Row],[VEHIDCODE]],PROPERTIES[VEHIDCODE],0))</f>
        <v>0</v>
      </c>
      <c r="Q1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93" spans="1:17" x14ac:dyDescent="0.35">
      <c r="A193" s="2" t="s">
        <v>2822</v>
      </c>
      <c r="B193" s="21" t="str">
        <f>MID(CONTROL[[#This Row],[VEHIDCODE]],FIND("_",CONTROL[[#This Row],[VEHIDCODE]])+1,LEN(CONTROL[[#This Row],[VEHIDCODE]]))</f>
        <v>Krauss_Maffei_V200</v>
      </c>
      <c r="C1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3">
        <v>5021</v>
      </c>
      <c r="F193" s="30" t="s">
        <v>2153</v>
      </c>
      <c r="G193" t="s">
        <v>1223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ISNUMBER(MATCH(CONTROL[[#This Row],[VEHIDCODE]],TRACK_TYPES[VEHIDCODE],0))</f>
        <v>1</v>
      </c>
      <c r="K193" t="b">
        <f>ISNUMBER(MATCH(CONTROL[[#This Row],[VEHIDCODE]],PROPERTIES[VEHIDCODE],0))</f>
        <v>1</v>
      </c>
      <c r="L193" t="b">
        <f>ISNUMBER(MATCH(CONTROL[[#This Row],[VEHIDCODE]],GRAPHICS_PROPERTIES[VEHIDCODE],0))</f>
        <v>1</v>
      </c>
      <c r="M193" s="21" t="str">
        <f>"item_"&amp;CONTROL[[#This Row],[VEHIDCODE]]</f>
        <v>item_diesel_Krauss_Maffei_V200</v>
      </c>
      <c r="N193" s="21" t="str">
        <f>"str_"&amp;CONTROL[[#This Row],[VEHIDCODE]]</f>
        <v>str_diesel_Krauss_Maffei_V200</v>
      </c>
      <c r="O193" s="7" t="b">
        <f>INDEX(PROPERTIES[IS_CONCEPT],MATCH(CONTROL[[#This Row],[VEHIDCODE]],PROPERTIES[VEHIDCODE],0))="IS_CONCEPT"</f>
        <v>0</v>
      </c>
      <c r="P193" s="7" t="b">
        <f>INDEX(PROPERTIES[EXCLUDE],MATCH(CONTROL[[#This Row],[VEHIDCODE]],PROPERTIES[VEHIDCODE],0))</f>
        <v>0</v>
      </c>
      <c r="Q1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4" spans="1:17" x14ac:dyDescent="0.35">
      <c r="A194" s="2" t="s">
        <v>2823</v>
      </c>
      <c r="B194" s="21" t="str">
        <f>MID(CONTROL[[#This Row],[VEHIDCODE]],FIND("_",CONTROL[[#This Row],[VEHIDCODE]])+1,LEN(CONTROL[[#This Row],[VEHIDCODE]]))</f>
        <v>EMD_FL9</v>
      </c>
      <c r="C1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4">
        <v>5022</v>
      </c>
      <c r="F194" s="30" t="s">
        <v>1979</v>
      </c>
      <c r="G194" t="s">
        <v>1224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ISNUMBER(MATCH(CONTROL[[#This Row],[VEHIDCODE]],TRACK_TYPES[VEHIDCODE],0))</f>
        <v>1</v>
      </c>
      <c r="K194" t="b">
        <f>ISNUMBER(MATCH(CONTROL[[#This Row],[VEHIDCODE]],PROPERTIES[VEHIDCODE],0))</f>
        <v>1</v>
      </c>
      <c r="L194" t="b">
        <f>ISNUMBER(MATCH(CONTROL[[#This Row],[VEHIDCODE]],GRAPHICS_PROPERTIES[VEHIDCODE],0))</f>
        <v>1</v>
      </c>
      <c r="M194" s="21" t="str">
        <f>"item_"&amp;CONTROL[[#This Row],[VEHIDCODE]]</f>
        <v>item_diesel_EMD_FL9</v>
      </c>
      <c r="N194" s="21" t="str">
        <f>"str_"&amp;CONTROL[[#This Row],[VEHIDCODE]]</f>
        <v>str_diesel_EMD_FL9</v>
      </c>
      <c r="O194" s="7" t="b">
        <f>INDEX(PROPERTIES[IS_CONCEPT],MATCH(CONTROL[[#This Row],[VEHIDCODE]],PROPERTIES[VEHIDCODE],0))="IS_CONCEPT"</f>
        <v>0</v>
      </c>
      <c r="P194" s="7" t="b">
        <f>INDEX(PROPERTIES[EXCLUDE],MATCH(CONTROL[[#This Row],[VEHIDCODE]],PROPERTIES[VEHIDCODE],0))</f>
        <v>0</v>
      </c>
      <c r="Q1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5" spans="1:17" x14ac:dyDescent="0.35">
      <c r="A195" s="2" t="s">
        <v>2824</v>
      </c>
      <c r="B195" s="21" t="str">
        <f>MID(CONTROL[[#This Row],[VEHIDCODE]],FIND("_",CONTROL[[#This Row],[VEHIDCODE]])+1,LEN(CONTROL[[#This Row],[VEHIDCODE]]))</f>
        <v>CKD_T_435_0</v>
      </c>
      <c r="C1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5">
        <v>5023</v>
      </c>
      <c r="F195" s="30" t="s">
        <v>1958</v>
      </c>
      <c r="G195" t="s">
        <v>1225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ISNUMBER(MATCH(CONTROL[[#This Row],[VEHIDCODE]],TRACK_TYPES[VEHIDCODE],0))</f>
        <v>1</v>
      </c>
      <c r="K195" t="b">
        <f>ISNUMBER(MATCH(CONTROL[[#This Row],[VEHIDCODE]],PROPERTIES[VEHIDCODE],0))</f>
        <v>1</v>
      </c>
      <c r="L195" t="b">
        <f>ISNUMBER(MATCH(CONTROL[[#This Row],[VEHIDCODE]],GRAPHICS_PROPERTIES[VEHIDCODE],0))</f>
        <v>1</v>
      </c>
      <c r="M195" s="21" t="str">
        <f>"item_"&amp;CONTROL[[#This Row],[VEHIDCODE]]</f>
        <v>item_diesel_CKD_T_435_0</v>
      </c>
      <c r="N195" s="21" t="str">
        <f>"str_"&amp;CONTROL[[#This Row],[VEHIDCODE]]</f>
        <v>str_diesel_CKD_T_435_0</v>
      </c>
      <c r="O195" s="7" t="b">
        <f>INDEX(PROPERTIES[IS_CONCEPT],MATCH(CONTROL[[#This Row],[VEHIDCODE]],PROPERTIES[VEHIDCODE],0))="IS_CONCEPT"</f>
        <v>0</v>
      </c>
      <c r="P195" s="7" t="b">
        <f>INDEX(PROPERTIES[EXCLUDE],MATCH(CONTROL[[#This Row],[VEHIDCODE]],PROPERTIES[VEHIDCODE],0))</f>
        <v>0</v>
      </c>
      <c r="Q1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6" spans="1:17" x14ac:dyDescent="0.35">
      <c r="A196" s="2" t="s">
        <v>2825</v>
      </c>
      <c r="B196" s="21" t="str">
        <f>MID(CONTROL[[#This Row],[VEHIDCODE]],FIND("_",CONTROL[[#This Row],[VEHIDCODE]])+1,LEN(CONTROL[[#This Row],[VEHIDCODE]]))</f>
        <v>Valmet_Lokomo_Dr12</v>
      </c>
      <c r="C1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6">
        <v>5024</v>
      </c>
      <c r="F196" s="30" t="s">
        <v>2593</v>
      </c>
      <c r="G196" t="s">
        <v>1226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ISNUMBER(MATCH(CONTROL[[#This Row],[VEHIDCODE]],TRACK_TYPES[VEHIDCODE],0))</f>
        <v>1</v>
      </c>
      <c r="K196" t="b">
        <f>ISNUMBER(MATCH(CONTROL[[#This Row],[VEHIDCODE]],PROPERTIES[VEHIDCODE],0))</f>
        <v>1</v>
      </c>
      <c r="L196" t="b">
        <f>ISNUMBER(MATCH(CONTROL[[#This Row],[VEHIDCODE]],GRAPHICS_PROPERTIES[VEHIDCODE],0))</f>
        <v>1</v>
      </c>
      <c r="M196" s="21" t="str">
        <f>"item_"&amp;CONTROL[[#This Row],[VEHIDCODE]]</f>
        <v>item_diesel_Valmet_Lokomo_Dr12</v>
      </c>
      <c r="N196" s="21" t="str">
        <f>"str_"&amp;CONTROL[[#This Row],[VEHIDCODE]]</f>
        <v>str_diesel_Valmet_Lokomo_Dr12</v>
      </c>
      <c r="O196" s="7" t="b">
        <f>INDEX(PROPERTIES[IS_CONCEPT],MATCH(CONTROL[[#This Row],[VEHIDCODE]],PROPERTIES[VEHIDCODE],0))="IS_CONCEPT"</f>
        <v>0</v>
      </c>
      <c r="P196" s="7" t="b">
        <f>INDEX(PROPERTIES[EXCLUDE],MATCH(CONTROL[[#This Row],[VEHIDCODE]],PROPERTIES[VEHIDCODE],0))</f>
        <v>0</v>
      </c>
      <c r="Q1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7" spans="1:17" x14ac:dyDescent="0.35">
      <c r="A197" s="2" t="s">
        <v>2826</v>
      </c>
      <c r="B197" s="21" t="str">
        <f>MID(CONTROL[[#This Row],[VEHIDCODE]],FIND("_",CONTROL[[#This Row],[VEHIDCODE]])+1,LEN(CONTROL[[#This Row],[VEHIDCODE]]))</f>
        <v>Electroputre_060_DA</v>
      </c>
      <c r="C1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7">
        <v>5025</v>
      </c>
      <c r="F197" s="30" t="s">
        <v>1980</v>
      </c>
      <c r="G197" t="s">
        <v>1227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ISNUMBER(MATCH(CONTROL[[#This Row],[VEHIDCODE]],TRACK_TYPES[VEHIDCODE],0))</f>
        <v>1</v>
      </c>
      <c r="K197" t="b">
        <f>ISNUMBER(MATCH(CONTROL[[#This Row],[VEHIDCODE]],PROPERTIES[VEHIDCODE],0))</f>
        <v>1</v>
      </c>
      <c r="L197" t="b">
        <f>ISNUMBER(MATCH(CONTROL[[#This Row],[VEHIDCODE]],GRAPHICS_PROPERTIES[VEHIDCODE],0))</f>
        <v>1</v>
      </c>
      <c r="M197" s="21" t="str">
        <f>"item_"&amp;CONTROL[[#This Row],[VEHIDCODE]]</f>
        <v>item_diesel_Electroputre_060_DA</v>
      </c>
      <c r="N197" s="21" t="str">
        <f>"str_"&amp;CONTROL[[#This Row],[VEHIDCODE]]</f>
        <v>str_diesel_Electroputre_060_DA</v>
      </c>
      <c r="O197" s="7" t="b">
        <f>INDEX(PROPERTIES[IS_CONCEPT],MATCH(CONTROL[[#This Row],[VEHIDCODE]],PROPERTIES[VEHIDCODE],0))="IS_CONCEPT"</f>
        <v>0</v>
      </c>
      <c r="P197" s="7" t="b">
        <f>INDEX(PROPERTIES[EXCLUDE],MATCH(CONTROL[[#This Row],[VEHIDCODE]],PROPERTIES[VEHIDCODE],0))</f>
        <v>0</v>
      </c>
      <c r="Q1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98" spans="1:17" x14ac:dyDescent="0.35">
      <c r="A198" s="2" t="s">
        <v>2827</v>
      </c>
      <c r="B198" s="21" t="str">
        <f>MID(CONTROL[[#This Row],[VEHIDCODE]],FIND("_",CONTROL[[#This Row],[VEHIDCODE]])+1,LEN(CONTROL[[#This Row],[VEHIDCODE]]))</f>
        <v>EMD_GL8</v>
      </c>
      <c r="C1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8">
        <v>5026</v>
      </c>
      <c r="F198" s="30" t="s">
        <v>1981</v>
      </c>
      <c r="G198" t="s">
        <v>1228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ISNUMBER(MATCH(CONTROL[[#This Row],[VEHIDCODE]],TRACK_TYPES[VEHIDCODE],0))</f>
        <v>1</v>
      </c>
      <c r="K198" t="b">
        <f>ISNUMBER(MATCH(CONTROL[[#This Row],[VEHIDCODE]],PROPERTIES[VEHIDCODE],0))</f>
        <v>1</v>
      </c>
      <c r="L198" t="b">
        <f>ISNUMBER(MATCH(CONTROL[[#This Row],[VEHIDCODE]],GRAPHICS_PROPERTIES[VEHIDCODE],0))</f>
        <v>1</v>
      </c>
      <c r="M198" s="21" t="str">
        <f>"item_"&amp;CONTROL[[#This Row],[VEHIDCODE]]</f>
        <v>item_diesel_EMD_GL8</v>
      </c>
      <c r="N198" s="21" t="str">
        <f>"str_"&amp;CONTROL[[#This Row],[VEHIDCODE]]</f>
        <v>str_diesel_EMD_GL8</v>
      </c>
      <c r="O198" s="7" t="b">
        <f>INDEX(PROPERTIES[IS_CONCEPT],MATCH(CONTROL[[#This Row],[VEHIDCODE]],PROPERTIES[VEHIDCODE],0))="IS_CONCEPT"</f>
        <v>0</v>
      </c>
      <c r="P198" s="7" t="b">
        <f>INDEX(PROPERTIES[EXCLUDE],MATCH(CONTROL[[#This Row],[VEHIDCODE]],PROPERTIES[VEHIDCODE],0))</f>
        <v>0</v>
      </c>
      <c r="Q1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99" spans="1:17" x14ac:dyDescent="0.35">
      <c r="A199" s="2" t="s">
        <v>2828</v>
      </c>
      <c r="B199" s="21" t="str">
        <f>MID(CONTROL[[#This Row],[VEHIDCODE]],FIND("_",CONTROL[[#This Row],[VEHIDCODE]])+1,LEN(CONTROL[[#This Row],[VEHIDCODE]]))</f>
        <v>Krauss_Maffei_ML_4000</v>
      </c>
      <c r="C1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99">
        <v>5027</v>
      </c>
      <c r="F199" s="30" t="s">
        <v>2006</v>
      </c>
      <c r="G199" t="s">
        <v>1229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ISNUMBER(MATCH(CONTROL[[#This Row],[VEHIDCODE]],TRACK_TYPES[VEHIDCODE],0))</f>
        <v>1</v>
      </c>
      <c r="K199" t="b">
        <f>ISNUMBER(MATCH(CONTROL[[#This Row],[VEHIDCODE]],PROPERTIES[VEHIDCODE],0))</f>
        <v>1</v>
      </c>
      <c r="L199" t="b">
        <f>ISNUMBER(MATCH(CONTROL[[#This Row],[VEHIDCODE]],GRAPHICS_PROPERTIES[VEHIDCODE],0))</f>
        <v>1</v>
      </c>
      <c r="M199" s="21" t="str">
        <f>"item_"&amp;CONTROL[[#This Row],[VEHIDCODE]]</f>
        <v>item_diesel_Krauss_Maffei_ML_4000</v>
      </c>
      <c r="N199" s="21" t="str">
        <f>"str_"&amp;CONTROL[[#This Row],[VEHIDCODE]]</f>
        <v>str_diesel_Krauss_Maffei_ML_4000</v>
      </c>
      <c r="O199" s="7" t="b">
        <f>INDEX(PROPERTIES[IS_CONCEPT],MATCH(CONTROL[[#This Row],[VEHIDCODE]],PROPERTIES[VEHIDCODE],0))="IS_CONCEPT"</f>
        <v>0</v>
      </c>
      <c r="P199" s="7" t="b">
        <f>INDEX(PROPERTIES[EXCLUDE],MATCH(CONTROL[[#This Row],[VEHIDCODE]],PROPERTIES[VEHIDCODE],0))</f>
        <v>0</v>
      </c>
      <c r="Q1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0" spans="1:17" x14ac:dyDescent="0.35">
      <c r="A200" s="2" t="s">
        <v>2829</v>
      </c>
      <c r="B200" s="21" t="str">
        <f>MID(CONTROL[[#This Row],[VEHIDCODE]],FIND("_",CONTROL[[#This Row],[VEHIDCODE]])+1,LEN(CONTROL[[#This Row],[VEHIDCODE]]))</f>
        <v>Kolomna_TEP60</v>
      </c>
      <c r="C2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0">
        <v>5028</v>
      </c>
      <c r="F200" s="30" t="s">
        <v>1982</v>
      </c>
      <c r="G200" t="s">
        <v>1230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ISNUMBER(MATCH(CONTROL[[#This Row],[VEHIDCODE]],TRACK_TYPES[VEHIDCODE],0))</f>
        <v>1</v>
      </c>
      <c r="K200" t="b">
        <f>ISNUMBER(MATCH(CONTROL[[#This Row],[VEHIDCODE]],PROPERTIES[VEHIDCODE],0))</f>
        <v>1</v>
      </c>
      <c r="L200" t="b">
        <f>ISNUMBER(MATCH(CONTROL[[#This Row],[VEHIDCODE]],GRAPHICS_PROPERTIES[VEHIDCODE],0))</f>
        <v>1</v>
      </c>
      <c r="M200" s="21" t="str">
        <f>"item_"&amp;CONTROL[[#This Row],[VEHIDCODE]]</f>
        <v>item_diesel_Kolomna_TEP60</v>
      </c>
      <c r="N200" s="21" t="str">
        <f>"str_"&amp;CONTROL[[#This Row],[VEHIDCODE]]</f>
        <v>str_diesel_Kolomna_TEP60</v>
      </c>
      <c r="O200" s="7" t="b">
        <f>INDEX(PROPERTIES[IS_CONCEPT],MATCH(CONTROL[[#This Row],[VEHIDCODE]],PROPERTIES[VEHIDCODE],0))="IS_CONCEPT"</f>
        <v>0</v>
      </c>
      <c r="P200" s="7" t="b">
        <f>INDEX(PROPERTIES[EXCLUDE],MATCH(CONTROL[[#This Row],[VEHIDCODE]],PROPERTIES[VEHIDCODE],0))</f>
        <v>0</v>
      </c>
      <c r="Q2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1" spans="1:17" x14ac:dyDescent="0.35">
      <c r="A201" s="2" t="s">
        <v>2830</v>
      </c>
      <c r="B201" s="21" t="str">
        <f>MID(CONTROL[[#This Row],[VEHIDCODE]],FIND("_",CONTROL[[#This Row],[VEHIDCODE]])+1,LEN(CONTROL[[#This Row],[VEHIDCODE]]))</f>
        <v>BN_ACEC_62</v>
      </c>
      <c r="C2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1">
        <v>5029</v>
      </c>
      <c r="F201" s="30" t="s">
        <v>2154</v>
      </c>
      <c r="G201" t="s">
        <v>1231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ISNUMBER(MATCH(CONTROL[[#This Row],[VEHIDCODE]],TRACK_TYPES[VEHIDCODE],0))</f>
        <v>1</v>
      </c>
      <c r="K201" t="b">
        <f>ISNUMBER(MATCH(CONTROL[[#This Row],[VEHIDCODE]],PROPERTIES[VEHIDCODE],0))</f>
        <v>1</v>
      </c>
      <c r="L201" t="b">
        <f>ISNUMBER(MATCH(CONTROL[[#This Row],[VEHIDCODE]],GRAPHICS_PROPERTIES[VEHIDCODE],0))</f>
        <v>1</v>
      </c>
      <c r="M201" s="21" t="str">
        <f>"item_"&amp;CONTROL[[#This Row],[VEHIDCODE]]</f>
        <v>item_diesel_BN_ACEC_62</v>
      </c>
      <c r="N201" s="21" t="str">
        <f>"str_"&amp;CONTROL[[#This Row],[VEHIDCODE]]</f>
        <v>str_diesel_BN_ACEC_62</v>
      </c>
      <c r="O201" s="7" t="b">
        <f>INDEX(PROPERTIES[IS_CONCEPT],MATCH(CONTROL[[#This Row],[VEHIDCODE]],PROPERTIES[VEHIDCODE],0))="IS_CONCEPT"</f>
        <v>0</v>
      </c>
      <c r="P201" s="7" t="b">
        <f>INDEX(PROPERTIES[EXCLUDE],MATCH(CONTROL[[#This Row],[VEHIDCODE]],PROPERTIES[VEHIDCODE],0))</f>
        <v>0</v>
      </c>
      <c r="Q2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2" spans="1:17" x14ac:dyDescent="0.35">
      <c r="A202" s="2" t="s">
        <v>2831</v>
      </c>
      <c r="B202" s="21" t="str">
        <f>MID(CONTROL[[#This Row],[VEHIDCODE]],FIND("_",CONTROL[[#This Row],[VEHIDCODE]])+1,LEN(CONTROL[[#This Row],[VEHIDCODE]]))</f>
        <v>MaK_100</v>
      </c>
      <c r="C2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2">
        <v>5030</v>
      </c>
      <c r="F202" s="30" t="s">
        <v>1983</v>
      </c>
      <c r="G202" t="s">
        <v>1232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ISNUMBER(MATCH(CONTROL[[#This Row],[VEHIDCODE]],TRACK_TYPES[VEHIDCODE],0))</f>
        <v>1</v>
      </c>
      <c r="K202" t="b">
        <f>ISNUMBER(MATCH(CONTROL[[#This Row],[VEHIDCODE]],PROPERTIES[VEHIDCODE],0))</f>
        <v>1</v>
      </c>
      <c r="L202" t="b">
        <f>ISNUMBER(MATCH(CONTROL[[#This Row],[VEHIDCODE]],GRAPHICS_PROPERTIES[VEHIDCODE],0))</f>
        <v>1</v>
      </c>
      <c r="M202" s="21" t="str">
        <f>"item_"&amp;CONTROL[[#This Row],[VEHIDCODE]]</f>
        <v>item_diesel_MaK_100</v>
      </c>
      <c r="N202" s="21" t="str">
        <f>"str_"&amp;CONTROL[[#This Row],[VEHIDCODE]]</f>
        <v>str_diesel_MaK_100</v>
      </c>
      <c r="O202" s="7" t="b">
        <f>INDEX(PROPERTIES[IS_CONCEPT],MATCH(CONTROL[[#This Row],[VEHIDCODE]],PROPERTIES[VEHIDCODE],0))="IS_CONCEPT"</f>
        <v>0</v>
      </c>
      <c r="P202" s="7" t="b">
        <f>INDEX(PROPERTIES[EXCLUDE],MATCH(CONTROL[[#This Row],[VEHIDCODE]],PROPERTIES[VEHIDCODE],0))</f>
        <v>0</v>
      </c>
      <c r="Q2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3" spans="1:17" x14ac:dyDescent="0.35">
      <c r="A203" s="2" t="s">
        <v>2832</v>
      </c>
      <c r="B203" s="21" t="str">
        <f>MID(CONTROL[[#This Row],[VEHIDCODE]],FIND("_",CONTROL[[#This Row],[VEHIDCODE]])+1,LEN(CONTROL[[#This Row],[VEHIDCODE]]))</f>
        <v>ALCO_DL560C_WDM_2</v>
      </c>
      <c r="C2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3">
        <v>5031</v>
      </c>
      <c r="F203" s="30" t="s">
        <v>2155</v>
      </c>
      <c r="G203" t="s">
        <v>1233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ISNUMBER(MATCH(CONTROL[[#This Row],[VEHIDCODE]],TRACK_TYPES[VEHIDCODE],0))</f>
        <v>1</v>
      </c>
      <c r="K203" t="b">
        <f>ISNUMBER(MATCH(CONTROL[[#This Row],[VEHIDCODE]],PROPERTIES[VEHIDCODE],0))</f>
        <v>1</v>
      </c>
      <c r="L203" t="b">
        <f>ISNUMBER(MATCH(CONTROL[[#This Row],[VEHIDCODE]],GRAPHICS_PROPERTIES[VEHIDCODE],0))</f>
        <v>1</v>
      </c>
      <c r="M203" s="21" t="str">
        <f>"item_"&amp;CONTROL[[#This Row],[VEHIDCODE]]</f>
        <v>item_diesel_ALCO_DL560C_WDM_2</v>
      </c>
      <c r="N203" s="21" t="str">
        <f>"str_"&amp;CONTROL[[#This Row],[VEHIDCODE]]</f>
        <v>str_diesel_ALCO_DL560C_WDM_2</v>
      </c>
      <c r="O203" s="7" t="b">
        <f>INDEX(PROPERTIES[IS_CONCEPT],MATCH(CONTROL[[#This Row],[VEHIDCODE]],PROPERTIES[VEHIDCODE],0))="IS_CONCEPT"</f>
        <v>0</v>
      </c>
      <c r="P203" s="7" t="b">
        <f>INDEX(PROPERTIES[EXCLUDE],MATCH(CONTROL[[#This Row],[VEHIDCODE]],PROPERTIES[VEHIDCODE],0))</f>
        <v>0</v>
      </c>
      <c r="Q2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4" spans="1:17" x14ac:dyDescent="0.35">
      <c r="A204" s="2" t="s">
        <v>2833</v>
      </c>
      <c r="B204" s="21" t="str">
        <f>MID(CONTROL[[#This Row],[VEHIDCODE]],FIND("_",CONTROL[[#This Row],[VEHIDCODE]])+1,LEN(CONTROL[[#This Row],[VEHIDCODE]]))</f>
        <v>BR_14_0_6_0DH</v>
      </c>
      <c r="C2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4">
        <v>5032</v>
      </c>
      <c r="F204" s="30" t="s">
        <v>2156</v>
      </c>
      <c r="G204" t="s">
        <v>1234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ISNUMBER(MATCH(CONTROL[[#This Row],[VEHIDCODE]],TRACK_TYPES[VEHIDCODE],0))</f>
        <v>1</v>
      </c>
      <c r="K204" t="b">
        <f>ISNUMBER(MATCH(CONTROL[[#This Row],[VEHIDCODE]],PROPERTIES[VEHIDCODE],0))</f>
        <v>1</v>
      </c>
      <c r="L204" t="b">
        <f>ISNUMBER(MATCH(CONTROL[[#This Row],[VEHIDCODE]],GRAPHICS_PROPERTIES[VEHIDCODE],0))</f>
        <v>1</v>
      </c>
      <c r="M204" s="21" t="str">
        <f>"item_"&amp;CONTROL[[#This Row],[VEHIDCODE]]</f>
        <v>item_diesel_BR_14_0_6_0DH</v>
      </c>
      <c r="N204" s="21" t="str">
        <f>"str_"&amp;CONTROL[[#This Row],[VEHIDCODE]]</f>
        <v>str_diesel_BR_14_0_6_0DH</v>
      </c>
      <c r="O204" s="7" t="b">
        <f>INDEX(PROPERTIES[IS_CONCEPT],MATCH(CONTROL[[#This Row],[VEHIDCODE]],PROPERTIES[VEHIDCODE],0))="IS_CONCEPT"</f>
        <v>0</v>
      </c>
      <c r="P204" s="7" t="b">
        <f>INDEX(PROPERTIES[EXCLUDE],MATCH(CONTROL[[#This Row],[VEHIDCODE]],PROPERTIES[VEHIDCODE],0))</f>
        <v>0</v>
      </c>
      <c r="Q2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05" spans="1:17" x14ac:dyDescent="0.35">
      <c r="A205" s="2" t="s">
        <v>2834</v>
      </c>
      <c r="B205" s="21" t="str">
        <f>MID(CONTROL[[#This Row],[VEHIDCODE]],FIND("_",CONTROL[[#This Row],[VEHIDCODE]])+1,LEN(CONTROL[[#This Row],[VEHIDCODE]]))</f>
        <v>CKD_T_669</v>
      </c>
      <c r="C2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5">
        <v>5033</v>
      </c>
      <c r="F205" s="30" t="s">
        <v>2162</v>
      </c>
      <c r="G205" t="s">
        <v>1235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ISNUMBER(MATCH(CONTROL[[#This Row],[VEHIDCODE]],TRACK_TYPES[VEHIDCODE],0))</f>
        <v>1</v>
      </c>
      <c r="K205" t="b">
        <f>ISNUMBER(MATCH(CONTROL[[#This Row],[VEHIDCODE]],PROPERTIES[VEHIDCODE],0))</f>
        <v>1</v>
      </c>
      <c r="L205" t="b">
        <f>ISNUMBER(MATCH(CONTROL[[#This Row],[VEHIDCODE]],GRAPHICS_PROPERTIES[VEHIDCODE],0))</f>
        <v>1</v>
      </c>
      <c r="M205" s="21" t="str">
        <f>"item_"&amp;CONTROL[[#This Row],[VEHIDCODE]]</f>
        <v>item_diesel_CKD_T_669</v>
      </c>
      <c r="N205" s="21" t="str">
        <f>"str_"&amp;CONTROL[[#This Row],[VEHIDCODE]]</f>
        <v>str_diesel_CKD_T_669</v>
      </c>
      <c r="O205" s="7" t="b">
        <f>INDEX(PROPERTIES[IS_CONCEPT],MATCH(CONTROL[[#This Row],[VEHIDCODE]],PROPERTIES[VEHIDCODE],0))="IS_CONCEPT"</f>
        <v>0</v>
      </c>
      <c r="P205" s="7" t="b">
        <f>INDEX(PROPERTIES[EXCLUDE],MATCH(CONTROL[[#This Row],[VEHIDCODE]],PROPERTIES[VEHIDCODE],0))</f>
        <v>0</v>
      </c>
      <c r="Q2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6" spans="1:17" x14ac:dyDescent="0.35">
      <c r="A206" s="2" t="s">
        <v>2835</v>
      </c>
      <c r="B206" s="21" t="str">
        <f>MID(CONTROL[[#This Row],[VEHIDCODE]],FIND("_",CONTROL[[#This Row],[VEHIDCODE]])+1,LEN(CONTROL[[#This Row],[VEHIDCODE]]))</f>
        <v>UGOFE_GM_EMD_J16CW_AC</v>
      </c>
      <c r="C2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6">
        <v>5034</v>
      </c>
      <c r="F206" s="30" t="s">
        <v>1720</v>
      </c>
      <c r="G206" t="s">
        <v>1236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ISNUMBER(MATCH(CONTROL[[#This Row],[VEHIDCODE]],TRACK_TYPES[VEHIDCODE],0))</f>
        <v>1</v>
      </c>
      <c r="K206" t="b">
        <f>ISNUMBER(MATCH(CONTROL[[#This Row],[VEHIDCODE]],PROPERTIES[VEHIDCODE],0))</f>
        <v>1</v>
      </c>
      <c r="L206" t="b">
        <f>ISNUMBER(MATCH(CONTROL[[#This Row],[VEHIDCODE]],GRAPHICS_PROPERTIES[VEHIDCODE],0))</f>
        <v>1</v>
      </c>
      <c r="M206" s="21" t="str">
        <f>"item_"&amp;CONTROL[[#This Row],[VEHIDCODE]]</f>
        <v>item_diesel_UGOFE_GM_EMD_J16CW_AC</v>
      </c>
      <c r="N206" s="21" t="str">
        <f>"str_"&amp;CONTROL[[#This Row],[VEHIDCODE]]</f>
        <v>str_diesel_UGOFE_GM_EMD_J16CW_AC</v>
      </c>
      <c r="O206" s="7" t="b">
        <f>INDEX(PROPERTIES[IS_CONCEPT],MATCH(CONTROL[[#This Row],[VEHIDCODE]],PROPERTIES[VEHIDCODE],0))="IS_CONCEPT"</f>
        <v>0</v>
      </c>
      <c r="P206" s="7" t="b">
        <f>INDEX(PROPERTIES[EXCLUDE],MATCH(CONTROL[[#This Row],[VEHIDCODE]],PROPERTIES[VEHIDCODE],0))</f>
        <v>0</v>
      </c>
      <c r="Q2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7" spans="1:17" x14ac:dyDescent="0.35">
      <c r="A207" s="2" t="s">
        <v>2836</v>
      </c>
      <c r="B207" s="21" t="str">
        <f>MID(CONTROL[[#This Row],[VEHIDCODE]],FIND("_",CONTROL[[#This Row],[VEHIDCODE]])+1,LEN(CONTROL[[#This Row],[VEHIDCODE]]))</f>
        <v>LTZ_M62</v>
      </c>
      <c r="C2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7">
        <v>5035</v>
      </c>
      <c r="F207" s="30" t="s">
        <v>1984</v>
      </c>
      <c r="G207" t="s">
        <v>1237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ISNUMBER(MATCH(CONTROL[[#This Row],[VEHIDCODE]],TRACK_TYPES[VEHIDCODE],0))</f>
        <v>1</v>
      </c>
      <c r="K207" t="b">
        <f>ISNUMBER(MATCH(CONTROL[[#This Row],[VEHIDCODE]],PROPERTIES[VEHIDCODE],0))</f>
        <v>1</v>
      </c>
      <c r="L207" t="b">
        <f>ISNUMBER(MATCH(CONTROL[[#This Row],[VEHIDCODE]],GRAPHICS_PROPERTIES[VEHIDCODE],0))</f>
        <v>1</v>
      </c>
      <c r="M207" s="21" t="str">
        <f>"item_"&amp;CONTROL[[#This Row],[VEHIDCODE]]</f>
        <v>item_diesel_LTZ_M62</v>
      </c>
      <c r="N207" s="21" t="str">
        <f>"str_"&amp;CONTROL[[#This Row],[VEHIDCODE]]</f>
        <v>str_diesel_LTZ_M62</v>
      </c>
      <c r="O207" s="7" t="b">
        <f>INDEX(PROPERTIES[IS_CONCEPT],MATCH(CONTROL[[#This Row],[VEHIDCODE]],PROPERTIES[VEHIDCODE],0))="IS_CONCEPT"</f>
        <v>0</v>
      </c>
      <c r="P207" s="7" t="b">
        <f>INDEX(PROPERTIES[EXCLUDE],MATCH(CONTROL[[#This Row],[VEHIDCODE]],PROPERTIES[VEHIDCODE],0))</f>
        <v>0</v>
      </c>
      <c r="Q2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8" spans="1:17" x14ac:dyDescent="0.35">
      <c r="A208" s="2" t="s">
        <v>2837</v>
      </c>
      <c r="B208" s="21" t="str">
        <f>MID(CONTROL[[#This Row],[VEHIDCODE]],FIND("_",CONTROL[[#This Row],[VEHIDCODE]])+1,LEN(CONTROL[[#This Row],[VEHIDCODE]]))</f>
        <v>EMD_Clyde_J26C</v>
      </c>
      <c r="C2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8">
        <v>5036</v>
      </c>
      <c r="F208" s="30" t="s">
        <v>2598</v>
      </c>
      <c r="G208" t="s">
        <v>1238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ISNUMBER(MATCH(CONTROL[[#This Row],[VEHIDCODE]],TRACK_TYPES[VEHIDCODE],0))</f>
        <v>1</v>
      </c>
      <c r="K208" t="b">
        <f>ISNUMBER(MATCH(CONTROL[[#This Row],[VEHIDCODE]],PROPERTIES[VEHIDCODE],0))</f>
        <v>1</v>
      </c>
      <c r="L208" t="b">
        <f>ISNUMBER(MATCH(CONTROL[[#This Row],[VEHIDCODE]],GRAPHICS_PROPERTIES[VEHIDCODE],0))</f>
        <v>1</v>
      </c>
      <c r="M208" s="21" t="str">
        <f>"item_"&amp;CONTROL[[#This Row],[VEHIDCODE]]</f>
        <v>item_diesel_EMD_Clyde_J26C</v>
      </c>
      <c r="N208" s="21" t="str">
        <f>"str_"&amp;CONTROL[[#This Row],[VEHIDCODE]]</f>
        <v>str_diesel_EMD_Clyde_J26C</v>
      </c>
      <c r="O208" s="7" t="b">
        <f>INDEX(PROPERTIES[IS_CONCEPT],MATCH(CONTROL[[#This Row],[VEHIDCODE]],PROPERTIES[VEHIDCODE],0))="IS_CONCEPT"</f>
        <v>0</v>
      </c>
      <c r="P208" s="7" t="b">
        <f>INDEX(PROPERTIES[EXCLUDE],MATCH(CONTROL[[#This Row],[VEHIDCODE]],PROPERTIES[VEHIDCODE],0))</f>
        <v>0</v>
      </c>
      <c r="Q2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09" spans="1:17" x14ac:dyDescent="0.35">
      <c r="A209" s="2" t="s">
        <v>2838</v>
      </c>
      <c r="B209" s="21" t="str">
        <f>MID(CONTROL[[#This Row],[VEHIDCODE]],FIND("_",CONTROL[[#This Row],[VEHIDCODE]])+1,LEN(CONTROL[[#This Row],[VEHIDCODE]]))</f>
        <v>GE_G22W</v>
      </c>
      <c r="C2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09">
        <v>5037</v>
      </c>
      <c r="F209" s="30" t="s">
        <v>3510</v>
      </c>
      <c r="G209" t="s">
        <v>1239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ISNUMBER(MATCH(CONTROL[[#This Row],[VEHIDCODE]],TRACK_TYPES[VEHIDCODE],0))</f>
        <v>1</v>
      </c>
      <c r="K209" t="b">
        <f>ISNUMBER(MATCH(CONTROL[[#This Row],[VEHIDCODE]],PROPERTIES[VEHIDCODE],0))</f>
        <v>1</v>
      </c>
      <c r="L209" t="b">
        <f>ISNUMBER(MATCH(CONTROL[[#This Row],[VEHIDCODE]],GRAPHICS_PROPERTIES[VEHIDCODE],0))</f>
        <v>1</v>
      </c>
      <c r="M209" s="21" t="str">
        <f>"item_"&amp;CONTROL[[#This Row],[VEHIDCODE]]</f>
        <v>item_diesel_GE_G22W</v>
      </c>
      <c r="N209" s="21" t="str">
        <f>"str_"&amp;CONTROL[[#This Row],[VEHIDCODE]]</f>
        <v>str_diesel_GE_G22W</v>
      </c>
      <c r="O209" s="7" t="b">
        <f>INDEX(PROPERTIES[IS_CONCEPT],MATCH(CONTROL[[#This Row],[VEHIDCODE]],PROPERTIES[VEHIDCODE],0))="IS_CONCEPT"</f>
        <v>0</v>
      </c>
      <c r="P209" s="7" t="b">
        <f>INDEX(PROPERTIES[EXCLUDE],MATCH(CONTROL[[#This Row],[VEHIDCODE]],PROPERTIES[VEHIDCODE],0))</f>
        <v>0</v>
      </c>
      <c r="Q2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0" spans="1:17" x14ac:dyDescent="0.35">
      <c r="A210" s="2" t="s">
        <v>2839</v>
      </c>
      <c r="B210" s="21" t="str">
        <f>MID(CONTROL[[#This Row],[VEHIDCODE]],FIND("_",CONTROL[[#This Row],[VEHIDCODE]])+1,LEN(CONTROL[[#This Row],[VEHIDCODE]]))</f>
        <v>EMD_DDA40X</v>
      </c>
      <c r="C2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0">
        <v>5065</v>
      </c>
      <c r="F210" s="30" t="s">
        <v>1985</v>
      </c>
      <c r="G210" t="s">
        <v>1240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ISNUMBER(MATCH(CONTROL[[#This Row],[VEHIDCODE]],TRACK_TYPES[VEHIDCODE],0))</f>
        <v>1</v>
      </c>
      <c r="K210" t="b">
        <f>ISNUMBER(MATCH(CONTROL[[#This Row],[VEHIDCODE]],PROPERTIES[VEHIDCODE],0))</f>
        <v>1</v>
      </c>
      <c r="L210" t="b">
        <f>ISNUMBER(MATCH(CONTROL[[#This Row],[VEHIDCODE]],GRAPHICS_PROPERTIES[VEHIDCODE],0))</f>
        <v>1</v>
      </c>
      <c r="M210" s="21" t="str">
        <f>"item_"&amp;CONTROL[[#This Row],[VEHIDCODE]]</f>
        <v>item_diesel_EMD_DDA40X</v>
      </c>
      <c r="N210" s="21" t="str">
        <f>"str_"&amp;CONTROL[[#This Row],[VEHIDCODE]]</f>
        <v>str_diesel_EMD_DDA40X</v>
      </c>
      <c r="O210" s="7" t="b">
        <f>INDEX(PROPERTIES[IS_CONCEPT],MATCH(CONTROL[[#This Row],[VEHIDCODE]],PROPERTIES[VEHIDCODE],0))="IS_CONCEPT"</f>
        <v>0</v>
      </c>
      <c r="P210" s="7" t="b">
        <f>INDEX(PROPERTIES[EXCLUDE],MATCH(CONTROL[[#This Row],[VEHIDCODE]],PROPERTIES[VEHIDCODE],0))</f>
        <v>0</v>
      </c>
      <c r="Q2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211" spans="1:17" x14ac:dyDescent="0.35">
      <c r="A211" s="2" t="s">
        <v>2840</v>
      </c>
      <c r="B211" s="21" t="str">
        <f>MID(CONTROL[[#This Row],[VEHIDCODE]],FIND("_",CONTROL[[#This Row],[VEHIDCODE]])+1,LEN(CONTROL[[#This Row],[VEHIDCODE]]))</f>
        <v>EMD_Clyde_GL26C</v>
      </c>
      <c r="C2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1">
        <v>5039</v>
      </c>
      <c r="F211" s="30" t="s">
        <v>2597</v>
      </c>
      <c r="G211" t="s">
        <v>1241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ISNUMBER(MATCH(CONTROL[[#This Row],[VEHIDCODE]],TRACK_TYPES[VEHIDCODE],0))</f>
        <v>1</v>
      </c>
      <c r="K211" t="b">
        <f>ISNUMBER(MATCH(CONTROL[[#This Row],[VEHIDCODE]],PROPERTIES[VEHIDCODE],0))</f>
        <v>1</v>
      </c>
      <c r="L211" t="b">
        <f>ISNUMBER(MATCH(CONTROL[[#This Row],[VEHIDCODE]],GRAPHICS_PROPERTIES[VEHIDCODE],0))</f>
        <v>1</v>
      </c>
      <c r="M211" s="21" t="str">
        <f>"item_"&amp;CONTROL[[#This Row],[VEHIDCODE]]</f>
        <v>item_diesel_EMD_Clyde_GL26C</v>
      </c>
      <c r="N211" s="21" t="str">
        <f>"str_"&amp;CONTROL[[#This Row],[VEHIDCODE]]</f>
        <v>str_diesel_EMD_Clyde_GL26C</v>
      </c>
      <c r="O211" s="7" t="b">
        <f>INDEX(PROPERTIES[IS_CONCEPT],MATCH(CONTROL[[#This Row],[VEHIDCODE]],PROPERTIES[VEHIDCODE],0))="IS_CONCEPT"</f>
        <v>0</v>
      </c>
      <c r="P211" s="7" t="b">
        <f>INDEX(PROPERTIES[EXCLUDE],MATCH(CONTROL[[#This Row],[VEHIDCODE]],PROPERTIES[VEHIDCODE],0))</f>
        <v>0</v>
      </c>
      <c r="Q2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2" spans="1:17" x14ac:dyDescent="0.35">
      <c r="A212" s="2" t="s">
        <v>2841</v>
      </c>
      <c r="B212" s="21" t="str">
        <f>MID(CONTROL[[#This Row],[VEHIDCODE]],FIND("_",CONTROL[[#This Row],[VEHIDCODE]])+1,LEN(CONTROL[[#This Row],[VEHIDCODE]]))</f>
        <v>EMD_G26</v>
      </c>
      <c r="C2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2">
        <v>5040</v>
      </c>
      <c r="F212" s="30" t="s">
        <v>1986</v>
      </c>
      <c r="G212" t="s">
        <v>1242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ISNUMBER(MATCH(CONTROL[[#This Row],[VEHIDCODE]],TRACK_TYPES[VEHIDCODE],0))</f>
        <v>1</v>
      </c>
      <c r="K212" t="b">
        <f>ISNUMBER(MATCH(CONTROL[[#This Row],[VEHIDCODE]],PROPERTIES[VEHIDCODE],0))</f>
        <v>1</v>
      </c>
      <c r="L212" t="b">
        <f>ISNUMBER(MATCH(CONTROL[[#This Row],[VEHIDCODE]],GRAPHICS_PROPERTIES[VEHIDCODE],0))</f>
        <v>1</v>
      </c>
      <c r="M212" s="21" t="str">
        <f>"item_"&amp;CONTROL[[#This Row],[VEHIDCODE]]</f>
        <v>item_diesel_EMD_G26</v>
      </c>
      <c r="N212" s="21" t="str">
        <f>"str_"&amp;CONTROL[[#This Row],[VEHIDCODE]]</f>
        <v>str_diesel_EMD_G26</v>
      </c>
      <c r="O212" s="7" t="b">
        <f>INDEX(PROPERTIES[IS_CONCEPT],MATCH(CONTROL[[#This Row],[VEHIDCODE]],PROPERTIES[VEHIDCODE],0))="IS_CONCEPT"</f>
        <v>0</v>
      </c>
      <c r="P212" s="7" t="b">
        <f>INDEX(PROPERTIES[EXCLUDE],MATCH(CONTROL[[#This Row],[VEHIDCODE]],PROPERTIES[VEHIDCODE],0))</f>
        <v>0</v>
      </c>
      <c r="Q2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3" spans="1:17" x14ac:dyDescent="0.35">
      <c r="A213" s="2" t="s">
        <v>2842</v>
      </c>
      <c r="B213" s="21" t="str">
        <f>MID(CONTROL[[#This Row],[VEHIDCODE]],FIND("_",CONTROL[[#This Row],[VEHIDCODE]])+1,LEN(CONTROL[[#This Row],[VEHIDCODE]]))</f>
        <v>Henschel_TGOJ_V4</v>
      </c>
      <c r="C2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3">
        <v>5041</v>
      </c>
      <c r="F213" s="30" t="s">
        <v>2157</v>
      </c>
      <c r="G213" t="s">
        <v>1243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ISNUMBER(MATCH(CONTROL[[#This Row],[VEHIDCODE]],TRACK_TYPES[VEHIDCODE],0))</f>
        <v>1</v>
      </c>
      <c r="K213" t="b">
        <f>ISNUMBER(MATCH(CONTROL[[#This Row],[VEHIDCODE]],PROPERTIES[VEHIDCODE],0))</f>
        <v>1</v>
      </c>
      <c r="L213" t="b">
        <f>ISNUMBER(MATCH(CONTROL[[#This Row],[VEHIDCODE]],GRAPHICS_PROPERTIES[VEHIDCODE],0))</f>
        <v>1</v>
      </c>
      <c r="M213" s="21" t="str">
        <f>"item_"&amp;CONTROL[[#This Row],[VEHIDCODE]]</f>
        <v>item_diesel_Henschel_TGOJ_V4</v>
      </c>
      <c r="N213" s="21" t="str">
        <f>"str_"&amp;CONTROL[[#This Row],[VEHIDCODE]]</f>
        <v>str_diesel_Henschel_TGOJ_V4</v>
      </c>
      <c r="O213" s="7" t="b">
        <f>INDEX(PROPERTIES[IS_CONCEPT],MATCH(CONTROL[[#This Row],[VEHIDCODE]],PROPERTIES[VEHIDCODE],0))="IS_CONCEPT"</f>
        <v>0</v>
      </c>
      <c r="P213" s="7" t="b">
        <f>INDEX(PROPERTIES[EXCLUDE],MATCH(CONTROL[[#This Row],[VEHIDCODE]],PROPERTIES[VEHIDCODE],0))</f>
        <v>0</v>
      </c>
      <c r="Q2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4" spans="1:17" x14ac:dyDescent="0.35">
      <c r="A214" s="2" t="s">
        <v>2843</v>
      </c>
      <c r="B214" s="21" t="str">
        <f>MID(CONTROL[[#This Row],[VEHIDCODE]],FIND("_",CONTROL[[#This Row],[VEHIDCODE]])+1,LEN(CONTROL[[#This Row],[VEHIDCODE]]))</f>
        <v>MLW_M420W</v>
      </c>
      <c r="C2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4">
        <v>5042</v>
      </c>
      <c r="F214" s="30" t="s">
        <v>1987</v>
      </c>
      <c r="G214" t="s">
        <v>1244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ISNUMBER(MATCH(CONTROL[[#This Row],[VEHIDCODE]],TRACK_TYPES[VEHIDCODE],0))</f>
        <v>1</v>
      </c>
      <c r="K214" t="b">
        <f>ISNUMBER(MATCH(CONTROL[[#This Row],[VEHIDCODE]],PROPERTIES[VEHIDCODE],0))</f>
        <v>1</v>
      </c>
      <c r="L214" t="b">
        <f>ISNUMBER(MATCH(CONTROL[[#This Row],[VEHIDCODE]],GRAPHICS_PROPERTIES[VEHIDCODE],0))</f>
        <v>1</v>
      </c>
      <c r="M214" s="21" t="str">
        <f>"item_"&amp;CONTROL[[#This Row],[VEHIDCODE]]</f>
        <v>item_diesel_MLW_M420W</v>
      </c>
      <c r="N214" s="21" t="str">
        <f>"str_"&amp;CONTROL[[#This Row],[VEHIDCODE]]</f>
        <v>str_diesel_MLW_M420W</v>
      </c>
      <c r="O214" s="7" t="b">
        <f>INDEX(PROPERTIES[IS_CONCEPT],MATCH(CONTROL[[#This Row],[VEHIDCODE]],PROPERTIES[VEHIDCODE],0))="IS_CONCEPT"</f>
        <v>0</v>
      </c>
      <c r="P214" s="7" t="b">
        <f>INDEX(PROPERTIES[EXCLUDE],MATCH(CONTROL[[#This Row],[VEHIDCODE]],PROPERTIES[VEHIDCODE],0))</f>
        <v>0</v>
      </c>
      <c r="Q2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5" spans="1:17" x14ac:dyDescent="0.35">
      <c r="A215" s="2" t="s">
        <v>2844</v>
      </c>
      <c r="B215" s="21" t="str">
        <f>MID(CONTROL[[#This Row],[VEHIDCODE]],FIND("_",CONTROL[[#This Row],[VEHIDCODE]])+1,LEN(CONTROL[[#This Row],[VEHIDCODE]]))</f>
        <v>EMD_SDP_40F</v>
      </c>
      <c r="C2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5">
        <v>5043</v>
      </c>
      <c r="F215" s="30" t="s">
        <v>1988</v>
      </c>
      <c r="G215" t="s">
        <v>1245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ISNUMBER(MATCH(CONTROL[[#This Row],[VEHIDCODE]],TRACK_TYPES[VEHIDCODE],0))</f>
        <v>1</v>
      </c>
      <c r="K215" t="b">
        <f>ISNUMBER(MATCH(CONTROL[[#This Row],[VEHIDCODE]],PROPERTIES[VEHIDCODE],0))</f>
        <v>1</v>
      </c>
      <c r="L215" t="b">
        <f>ISNUMBER(MATCH(CONTROL[[#This Row],[VEHIDCODE]],GRAPHICS_PROPERTIES[VEHIDCODE],0))</f>
        <v>1</v>
      </c>
      <c r="M215" s="21" t="str">
        <f>"item_"&amp;CONTROL[[#This Row],[VEHIDCODE]]</f>
        <v>item_diesel_EMD_SDP_40F</v>
      </c>
      <c r="N215" s="21" t="str">
        <f>"str_"&amp;CONTROL[[#This Row],[VEHIDCODE]]</f>
        <v>str_diesel_EMD_SDP_40F</v>
      </c>
      <c r="O215" s="7" t="b">
        <f>INDEX(PROPERTIES[IS_CONCEPT],MATCH(CONTROL[[#This Row],[VEHIDCODE]],PROPERTIES[VEHIDCODE],0))="IS_CONCEPT"</f>
        <v>0</v>
      </c>
      <c r="P215" s="7" t="b">
        <f>INDEX(PROPERTIES[EXCLUDE],MATCH(CONTROL[[#This Row],[VEHIDCODE]],PROPERTIES[VEHIDCODE],0))</f>
        <v>0</v>
      </c>
      <c r="Q2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216" spans="1:17" x14ac:dyDescent="0.35">
      <c r="A216" s="2" t="s">
        <v>2845</v>
      </c>
      <c r="B216" s="21" t="str">
        <f>MID(CONTROL[[#This Row],[VEHIDCODE]],FIND("_",CONTROL[[#This Row],[VEHIDCODE]])+1,LEN(CONTROL[[#This Row],[VEHIDCODE]]))</f>
        <v>Sifang_DFH3</v>
      </c>
      <c r="C2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6">
        <v>5044</v>
      </c>
      <c r="F216" s="30" t="s">
        <v>2158</v>
      </c>
      <c r="G216" t="s">
        <v>1246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ISNUMBER(MATCH(CONTROL[[#This Row],[VEHIDCODE]],TRACK_TYPES[VEHIDCODE],0))</f>
        <v>1</v>
      </c>
      <c r="K216" t="b">
        <f>ISNUMBER(MATCH(CONTROL[[#This Row],[VEHIDCODE]],PROPERTIES[VEHIDCODE],0))</f>
        <v>1</v>
      </c>
      <c r="L216" t="b">
        <f>ISNUMBER(MATCH(CONTROL[[#This Row],[VEHIDCODE]],GRAPHICS_PROPERTIES[VEHIDCODE],0))</f>
        <v>1</v>
      </c>
      <c r="M216" s="21" t="str">
        <f>"item_"&amp;CONTROL[[#This Row],[VEHIDCODE]]</f>
        <v>item_diesel_Sifang_DFH3</v>
      </c>
      <c r="N216" s="21" t="str">
        <f>"str_"&amp;CONTROL[[#This Row],[VEHIDCODE]]</f>
        <v>str_diesel_Sifang_DFH3</v>
      </c>
      <c r="O216" s="7" t="b">
        <f>INDEX(PROPERTIES[IS_CONCEPT],MATCH(CONTROL[[#This Row],[VEHIDCODE]],PROPERTIES[VEHIDCODE],0))="IS_CONCEPT"</f>
        <v>0</v>
      </c>
      <c r="P216" s="7" t="b">
        <f>INDEX(PROPERTIES[EXCLUDE],MATCH(CONTROL[[#This Row],[VEHIDCODE]],PROPERTIES[VEHIDCODE],0))</f>
        <v>0</v>
      </c>
      <c r="Q2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7" spans="1:17" x14ac:dyDescent="0.35">
      <c r="A217" s="2" t="s">
        <v>2846</v>
      </c>
      <c r="B217" s="21" t="str">
        <f>MID(CONTROL[[#This Row],[VEHIDCODE]],FIND("_",CONTROL[[#This Row],[VEHIDCODE]])+1,LEN(CONTROL[[#This Row],[VEHIDCODE]]))</f>
        <v>EMD_F40PH</v>
      </c>
      <c r="C2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7">
        <v>5045</v>
      </c>
      <c r="F217" s="30" t="s">
        <v>2014</v>
      </c>
      <c r="G217" t="s">
        <v>1247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ISNUMBER(MATCH(CONTROL[[#This Row],[VEHIDCODE]],TRACK_TYPES[VEHIDCODE],0))</f>
        <v>1</v>
      </c>
      <c r="K217" t="b">
        <f>ISNUMBER(MATCH(CONTROL[[#This Row],[VEHIDCODE]],PROPERTIES[VEHIDCODE],0))</f>
        <v>1</v>
      </c>
      <c r="L217" t="b">
        <f>ISNUMBER(MATCH(CONTROL[[#This Row],[VEHIDCODE]],GRAPHICS_PROPERTIES[VEHIDCODE],0))</f>
        <v>1</v>
      </c>
      <c r="M217" s="21" t="str">
        <f>"item_"&amp;CONTROL[[#This Row],[VEHIDCODE]]</f>
        <v>item_diesel_EMD_F40PH</v>
      </c>
      <c r="N217" s="21" t="str">
        <f>"str_"&amp;CONTROL[[#This Row],[VEHIDCODE]]</f>
        <v>str_diesel_EMD_F40PH</v>
      </c>
      <c r="O217" s="7" t="b">
        <f>INDEX(PROPERTIES[IS_CONCEPT],MATCH(CONTROL[[#This Row],[VEHIDCODE]],PROPERTIES[VEHIDCODE],0))="IS_CONCEPT"</f>
        <v>0</v>
      </c>
      <c r="P217" s="7" t="b">
        <f>INDEX(PROPERTIES[EXCLUDE],MATCH(CONTROL[[#This Row],[VEHIDCODE]],PROPERTIES[VEHIDCODE],0))</f>
        <v>0</v>
      </c>
      <c r="Q2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218" spans="1:17" x14ac:dyDescent="0.35">
      <c r="A218" s="2" t="s">
        <v>2847</v>
      </c>
      <c r="B218" s="21" t="str">
        <f>MID(CONTROL[[#This Row],[VEHIDCODE]],FIND("_",CONTROL[[#This Row],[VEHIDCODE]])+1,LEN(CONTROL[[#This Row],[VEHIDCODE]]))</f>
        <v>Sorefame_Alsthom_1900</v>
      </c>
      <c r="C2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8">
        <v>5046</v>
      </c>
      <c r="F218" s="30" t="s">
        <v>2159</v>
      </c>
      <c r="G218" t="s">
        <v>1248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ISNUMBER(MATCH(CONTROL[[#This Row],[VEHIDCODE]],TRACK_TYPES[VEHIDCODE],0))</f>
        <v>1</v>
      </c>
      <c r="K218" t="b">
        <f>ISNUMBER(MATCH(CONTROL[[#This Row],[VEHIDCODE]],PROPERTIES[VEHIDCODE],0))</f>
        <v>1</v>
      </c>
      <c r="L218" t="b">
        <f>ISNUMBER(MATCH(CONTROL[[#This Row],[VEHIDCODE]],GRAPHICS_PROPERTIES[VEHIDCODE],0))</f>
        <v>1</v>
      </c>
      <c r="M218" s="21" t="str">
        <f>"item_"&amp;CONTROL[[#This Row],[VEHIDCODE]]</f>
        <v>item_diesel_Sorefame_Alsthom_1900</v>
      </c>
      <c r="N218" s="21" t="str">
        <f>"str_"&amp;CONTROL[[#This Row],[VEHIDCODE]]</f>
        <v>str_diesel_Sorefame_Alsthom_1900</v>
      </c>
      <c r="O218" s="7" t="b">
        <f>INDEX(PROPERTIES[IS_CONCEPT],MATCH(CONTROL[[#This Row],[VEHIDCODE]],PROPERTIES[VEHIDCODE],0))="IS_CONCEPT"</f>
        <v>0</v>
      </c>
      <c r="P218" s="7" t="b">
        <f>INDEX(PROPERTIES[EXCLUDE],MATCH(CONTROL[[#This Row],[VEHIDCODE]],PROPERTIES[VEHIDCODE],0))</f>
        <v>0</v>
      </c>
      <c r="Q2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19" spans="1:17" x14ac:dyDescent="0.35">
      <c r="A219" s="2" t="s">
        <v>2848</v>
      </c>
      <c r="B219" s="21" t="str">
        <f>MID(CONTROL[[#This Row],[VEHIDCODE]],FIND("_",CONTROL[[#This Row],[VEHIDCODE]])+1,LEN(CONTROL[[#This Row],[VEHIDCODE]]))</f>
        <v>Valmet_Oy_Dr16</v>
      </c>
      <c r="C2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19">
        <v>5047</v>
      </c>
      <c r="F219" s="30" t="s">
        <v>2160</v>
      </c>
      <c r="G219" t="s">
        <v>1249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ISNUMBER(MATCH(CONTROL[[#This Row],[VEHIDCODE]],TRACK_TYPES[VEHIDCODE],0))</f>
        <v>1</v>
      </c>
      <c r="K219" t="b">
        <f>ISNUMBER(MATCH(CONTROL[[#This Row],[VEHIDCODE]],PROPERTIES[VEHIDCODE],0))</f>
        <v>1</v>
      </c>
      <c r="L219" t="b">
        <f>ISNUMBER(MATCH(CONTROL[[#This Row],[VEHIDCODE]],GRAPHICS_PROPERTIES[VEHIDCODE],0))</f>
        <v>1</v>
      </c>
      <c r="M219" s="21" t="str">
        <f>"item_"&amp;CONTROL[[#This Row],[VEHIDCODE]]</f>
        <v>item_diesel_Valmet_Oy_Dr16</v>
      </c>
      <c r="N219" s="21" t="str">
        <f>"str_"&amp;CONTROL[[#This Row],[VEHIDCODE]]</f>
        <v>str_diesel_Valmet_Oy_Dr16</v>
      </c>
      <c r="O219" s="7" t="b">
        <f>INDEX(PROPERTIES[IS_CONCEPT],MATCH(CONTROL[[#This Row],[VEHIDCODE]],PROPERTIES[VEHIDCODE],0))="IS_CONCEPT"</f>
        <v>0</v>
      </c>
      <c r="P219" s="7" t="b">
        <f>INDEX(PROPERTIES[EXCLUDE],MATCH(CONTROL[[#This Row],[VEHIDCODE]],PROPERTIES[VEHIDCODE],0))</f>
        <v>0</v>
      </c>
      <c r="Q2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0" spans="1:17" x14ac:dyDescent="0.35">
      <c r="A220" s="2" t="s">
        <v>2849</v>
      </c>
      <c r="B220" s="21" t="str">
        <f>MID(CONTROL[[#This Row],[VEHIDCODE]],FIND("_",CONTROL[[#This Row],[VEHIDCODE]])+1,LEN(CONTROL[[#This Row],[VEHIDCODE]]))</f>
        <v>Kolomena_TEP80</v>
      </c>
      <c r="C2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0">
        <v>5048</v>
      </c>
      <c r="F220" s="30" t="s">
        <v>3499</v>
      </c>
      <c r="G220" t="s">
        <v>1250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ISNUMBER(MATCH(CONTROL[[#This Row],[VEHIDCODE]],TRACK_TYPES[VEHIDCODE],0))</f>
        <v>1</v>
      </c>
      <c r="K220" t="b">
        <f>ISNUMBER(MATCH(CONTROL[[#This Row],[VEHIDCODE]],PROPERTIES[VEHIDCODE],0))</f>
        <v>1</v>
      </c>
      <c r="L220" t="b">
        <f>ISNUMBER(MATCH(CONTROL[[#This Row],[VEHIDCODE]],GRAPHICS_PROPERTIES[VEHIDCODE],0))</f>
        <v>1</v>
      </c>
      <c r="M220" s="21" t="str">
        <f>"item_"&amp;CONTROL[[#This Row],[VEHIDCODE]]</f>
        <v>item_diesel_Kolomena_TEP80</v>
      </c>
      <c r="N220" s="21" t="str">
        <f>"str_"&amp;CONTROL[[#This Row],[VEHIDCODE]]</f>
        <v>str_diesel_Kolomena_TEP80</v>
      </c>
      <c r="O220" s="7" t="b">
        <f>INDEX(PROPERTIES[IS_CONCEPT],MATCH(CONTROL[[#This Row],[VEHIDCODE]],PROPERTIES[VEHIDCODE],0))="IS_CONCEPT"</f>
        <v>0</v>
      </c>
      <c r="P220" s="7" t="b">
        <f>INDEX(PROPERTIES[EXCLUDE],MATCH(CONTROL[[#This Row],[VEHIDCODE]],PROPERTIES[VEHIDCODE],0))</f>
        <v>0</v>
      </c>
      <c r="Q2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1" spans="1:17" x14ac:dyDescent="0.35">
      <c r="A221" s="2" t="s">
        <v>2850</v>
      </c>
      <c r="B221" s="21" t="str">
        <f>MID(CONTROL[[#This Row],[VEHIDCODE]],FIND("_",CONTROL[[#This Row],[VEHIDCODE]])+1,LEN(CONTROL[[#This Row],[VEHIDCODE]]))</f>
        <v>EMD_Clyde_JT46C</v>
      </c>
      <c r="C2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1">
        <v>5049</v>
      </c>
      <c r="F221" s="30" t="s">
        <v>2599</v>
      </c>
      <c r="G221" t="s">
        <v>1251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ISNUMBER(MATCH(CONTROL[[#This Row],[VEHIDCODE]],TRACK_TYPES[VEHIDCODE],0))</f>
        <v>1</v>
      </c>
      <c r="K221" t="b">
        <f>ISNUMBER(MATCH(CONTROL[[#This Row],[VEHIDCODE]],PROPERTIES[VEHIDCODE],0))</f>
        <v>1</v>
      </c>
      <c r="L221" t="b">
        <f>ISNUMBER(MATCH(CONTROL[[#This Row],[VEHIDCODE]],GRAPHICS_PROPERTIES[VEHIDCODE],0))</f>
        <v>1</v>
      </c>
      <c r="M221" s="21" t="str">
        <f>"item_"&amp;CONTROL[[#This Row],[VEHIDCODE]]</f>
        <v>item_diesel_EMD_Clyde_JT46C</v>
      </c>
      <c r="N221" s="21" t="str">
        <f>"str_"&amp;CONTROL[[#This Row],[VEHIDCODE]]</f>
        <v>str_diesel_EMD_Clyde_JT46C</v>
      </c>
      <c r="O221" s="7" t="b">
        <f>INDEX(PROPERTIES[IS_CONCEPT],MATCH(CONTROL[[#This Row],[VEHIDCODE]],PROPERTIES[VEHIDCODE],0))="IS_CONCEPT"</f>
        <v>0</v>
      </c>
      <c r="P221" s="7" t="b">
        <f>INDEX(PROPERTIES[EXCLUDE],MATCH(CONTROL[[#This Row],[VEHIDCODE]],PROPERTIES[VEHIDCODE],0))</f>
        <v>0</v>
      </c>
      <c r="Q2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2" spans="1:17" x14ac:dyDescent="0.35">
      <c r="A222" s="2" t="s">
        <v>2851</v>
      </c>
      <c r="B222" s="21" t="str">
        <f>MID(CONTROL[[#This Row],[VEHIDCODE]],FIND("_",CONTROL[[#This Row],[VEHIDCODE]])+1,LEN(CONTROL[[#This Row],[VEHIDCODE]]))</f>
        <v>GE_P42DC_Genesis</v>
      </c>
      <c r="C2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2">
        <v>5050</v>
      </c>
      <c r="F222" s="30" t="s">
        <v>1989</v>
      </c>
      <c r="G222" t="s">
        <v>1252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ISNUMBER(MATCH(CONTROL[[#This Row],[VEHIDCODE]],TRACK_TYPES[VEHIDCODE],0))</f>
        <v>1</v>
      </c>
      <c r="K222" t="b">
        <f>ISNUMBER(MATCH(CONTROL[[#This Row],[VEHIDCODE]],PROPERTIES[VEHIDCODE],0))</f>
        <v>1</v>
      </c>
      <c r="L222" t="b">
        <f>ISNUMBER(MATCH(CONTROL[[#This Row],[VEHIDCODE]],GRAPHICS_PROPERTIES[VEHIDCODE],0))</f>
        <v>1</v>
      </c>
      <c r="M222" s="21" t="str">
        <f>"item_"&amp;CONTROL[[#This Row],[VEHIDCODE]]</f>
        <v>item_diesel_GE_P42DC_Genesis</v>
      </c>
      <c r="N222" s="21" t="str">
        <f>"str_"&amp;CONTROL[[#This Row],[VEHIDCODE]]</f>
        <v>str_diesel_GE_P42DC_Genesis</v>
      </c>
      <c r="O222" s="7" t="b">
        <f>INDEX(PROPERTIES[IS_CONCEPT],MATCH(CONTROL[[#This Row],[VEHIDCODE]],PROPERTIES[VEHIDCODE],0))="IS_CONCEPT"</f>
        <v>0</v>
      </c>
      <c r="P222" s="7" t="b">
        <f>INDEX(PROPERTIES[EXCLUDE],MATCH(CONTROL[[#This Row],[VEHIDCODE]],PROPERTIES[VEHIDCODE],0))</f>
        <v>0</v>
      </c>
      <c r="Q2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223" spans="1:17" x14ac:dyDescent="0.35">
      <c r="A223" s="2" t="s">
        <v>2852</v>
      </c>
      <c r="B223" s="21" t="str">
        <f>MID(CONTROL[[#This Row],[VEHIDCODE]],FIND("_",CONTROL[[#This Row],[VEHIDCODE]])+1,LEN(CONTROL[[#This Row],[VEHIDCODE]]))</f>
        <v>Tulomsas_TCDD_DH7000</v>
      </c>
      <c r="C2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3">
        <v>5051</v>
      </c>
      <c r="F223" s="30" t="s">
        <v>2161</v>
      </c>
      <c r="G223" t="s">
        <v>1253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ISNUMBER(MATCH(CONTROL[[#This Row],[VEHIDCODE]],TRACK_TYPES[VEHIDCODE],0))</f>
        <v>1</v>
      </c>
      <c r="K223" t="b">
        <f>ISNUMBER(MATCH(CONTROL[[#This Row],[VEHIDCODE]],PROPERTIES[VEHIDCODE],0))</f>
        <v>1</v>
      </c>
      <c r="L223" t="b">
        <f>ISNUMBER(MATCH(CONTROL[[#This Row],[VEHIDCODE]],GRAPHICS_PROPERTIES[VEHIDCODE],0))</f>
        <v>1</v>
      </c>
      <c r="M223" s="21" t="str">
        <f>"item_"&amp;CONTROL[[#This Row],[VEHIDCODE]]</f>
        <v>item_diesel_Tulomsas_TCDD_DH7000</v>
      </c>
      <c r="N223" s="21" t="str">
        <f>"str_"&amp;CONTROL[[#This Row],[VEHIDCODE]]</f>
        <v>str_diesel_Tulomsas_TCDD_DH7000</v>
      </c>
      <c r="O223" s="7" t="b">
        <f>INDEX(PROPERTIES[IS_CONCEPT],MATCH(CONTROL[[#This Row],[VEHIDCODE]],PROPERTIES[VEHIDCODE],0))="IS_CONCEPT"</f>
        <v>0</v>
      </c>
      <c r="P223" s="7" t="b">
        <f>INDEX(PROPERTIES[EXCLUDE],MATCH(CONTROL[[#This Row],[VEHIDCODE]],PROPERTIES[VEHIDCODE],0))</f>
        <v>0</v>
      </c>
      <c r="Q2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4" spans="1:17" x14ac:dyDescent="0.35">
      <c r="A224" s="2" t="s">
        <v>2853</v>
      </c>
      <c r="B224" s="21" t="str">
        <f>MID(CONTROL[[#This Row],[VEHIDCODE]],FIND("_",CONTROL[[#This Row],[VEHIDCODE]])+1,LEN(CONTROL[[#This Row],[VEHIDCODE]]))</f>
        <v>GE_U20C</v>
      </c>
      <c r="C2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4">
        <v>5052</v>
      </c>
      <c r="F224" s="30" t="s">
        <v>2008</v>
      </c>
      <c r="G224" t="s">
        <v>1656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ISNUMBER(MATCH(CONTROL[[#This Row],[VEHIDCODE]],TRACK_TYPES[VEHIDCODE],0))</f>
        <v>1</v>
      </c>
      <c r="K224" t="b">
        <f>ISNUMBER(MATCH(CONTROL[[#This Row],[VEHIDCODE]],PROPERTIES[VEHIDCODE],0))</f>
        <v>1</v>
      </c>
      <c r="L224" t="b">
        <f>ISNUMBER(MATCH(CONTROL[[#This Row],[VEHIDCODE]],GRAPHICS_PROPERTIES[VEHIDCODE],0))</f>
        <v>1</v>
      </c>
      <c r="M224" s="21" t="str">
        <f>"item_"&amp;CONTROL[[#This Row],[VEHIDCODE]]</f>
        <v>item_diesel_GE_U20C</v>
      </c>
      <c r="N224" s="21" t="str">
        <f>"str_"&amp;CONTROL[[#This Row],[VEHIDCODE]]</f>
        <v>str_diesel_GE_U20C</v>
      </c>
      <c r="O224" s="7" t="b">
        <f>INDEX(PROPERTIES[IS_CONCEPT],MATCH(CONTROL[[#This Row],[VEHIDCODE]],PROPERTIES[VEHIDCODE],0))="IS_CONCEPT"</f>
        <v>0</v>
      </c>
      <c r="P224" s="7" t="b">
        <f>INDEX(PROPERTIES[EXCLUDE],MATCH(CONTROL[[#This Row],[VEHIDCODE]],PROPERTIES[VEHIDCODE],0))</f>
        <v>0</v>
      </c>
      <c r="Q2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5" spans="1:17" x14ac:dyDescent="0.35">
      <c r="A225" s="2" t="s">
        <v>3434</v>
      </c>
      <c r="B225" s="21" t="str">
        <f>MID(CONTROL[[#This Row],[VEHIDCODE]],FIND("_",CONTROL[[#This Row],[VEHIDCODE]])+1,LEN(CONTROL[[#This Row],[VEHIDCODE]]))</f>
        <v>Vossloh_Siemens_serie_77_78</v>
      </c>
      <c r="C2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5">
        <v>5053</v>
      </c>
      <c r="F225" s="30" t="s">
        <v>3435</v>
      </c>
      <c r="G225" t="s">
        <v>1254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ISNUMBER(MATCH(CONTROL[[#This Row],[VEHIDCODE]],TRACK_TYPES[VEHIDCODE],0))</f>
        <v>1</v>
      </c>
      <c r="K225" t="b">
        <f>ISNUMBER(MATCH(CONTROL[[#This Row],[VEHIDCODE]],PROPERTIES[VEHIDCODE],0))</f>
        <v>1</v>
      </c>
      <c r="L225" t="b">
        <f>ISNUMBER(MATCH(CONTROL[[#This Row],[VEHIDCODE]],GRAPHICS_PROPERTIES[VEHIDCODE],0))</f>
        <v>1</v>
      </c>
      <c r="M225" s="21" t="str">
        <f>"item_"&amp;CONTROL[[#This Row],[VEHIDCODE]]</f>
        <v>item_diesel_Vossloh_Siemens_serie_77_78</v>
      </c>
      <c r="N225" s="21" t="str">
        <f>"str_"&amp;CONTROL[[#This Row],[VEHIDCODE]]</f>
        <v>str_diesel_Vossloh_Siemens_serie_77_78</v>
      </c>
      <c r="O225" s="7" t="b">
        <f>INDEX(PROPERTIES[IS_CONCEPT],MATCH(CONTROL[[#This Row],[VEHIDCODE]],PROPERTIES[VEHIDCODE],0))="IS_CONCEPT"</f>
        <v>0</v>
      </c>
      <c r="P225" s="7" t="b">
        <f>INDEX(PROPERTIES[EXCLUDE],MATCH(CONTROL[[#This Row],[VEHIDCODE]],PROPERTIES[VEHIDCODE],0))</f>
        <v>0</v>
      </c>
      <c r="Q2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6" spans="1:17" x14ac:dyDescent="0.35">
      <c r="A226" s="2" t="s">
        <v>2854</v>
      </c>
      <c r="B226" s="21" t="str">
        <f>MID(CONTROL[[#This Row],[VEHIDCODE]],FIND("_",CONTROL[[#This Row],[VEHIDCODE]])+1,LEN(CONTROL[[#This Row],[VEHIDCODE]]))</f>
        <v>EMD_JT42CWRM</v>
      </c>
      <c r="C2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6">
        <v>5054</v>
      </c>
      <c r="F226" s="30" t="s">
        <v>1963</v>
      </c>
      <c r="G226" t="s">
        <v>1255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ISNUMBER(MATCH(CONTROL[[#This Row],[VEHIDCODE]],TRACK_TYPES[VEHIDCODE],0))</f>
        <v>1</v>
      </c>
      <c r="K226" t="b">
        <f>ISNUMBER(MATCH(CONTROL[[#This Row],[VEHIDCODE]],PROPERTIES[VEHIDCODE],0))</f>
        <v>1</v>
      </c>
      <c r="L226" t="b">
        <f>ISNUMBER(MATCH(CONTROL[[#This Row],[VEHIDCODE]],GRAPHICS_PROPERTIES[VEHIDCODE],0))</f>
        <v>1</v>
      </c>
      <c r="M226" s="21" t="str">
        <f>"item_"&amp;CONTROL[[#This Row],[VEHIDCODE]]</f>
        <v>item_diesel_EMD_JT42CWRM</v>
      </c>
      <c r="N226" s="21" t="str">
        <f>"str_"&amp;CONTROL[[#This Row],[VEHIDCODE]]</f>
        <v>str_diesel_EMD_JT42CWRM</v>
      </c>
      <c r="O226" s="7" t="b">
        <f>INDEX(PROPERTIES[IS_CONCEPT],MATCH(CONTROL[[#This Row],[VEHIDCODE]],PROPERTIES[VEHIDCODE],0))="IS_CONCEPT"</f>
        <v>0</v>
      </c>
      <c r="P226" s="7" t="b">
        <f>INDEX(PROPERTIES[EXCLUDE],MATCH(CONTROL[[#This Row],[VEHIDCODE]],PROPERTIES[VEHIDCODE],0))</f>
        <v>0</v>
      </c>
      <c r="Q2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7" spans="1:17" x14ac:dyDescent="0.35">
      <c r="A227" s="2" t="s">
        <v>2855</v>
      </c>
      <c r="B227" s="21" t="str">
        <f>MID(CONTROL[[#This Row],[VEHIDCODE]],FIND("_",CONTROL[[#This Row],[VEHIDCODE]])+1,LEN(CONTROL[[#This Row],[VEHIDCODE]]))</f>
        <v>EMD_JT42HW_HS</v>
      </c>
      <c r="C2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7">
        <v>5055</v>
      </c>
      <c r="F227" s="30" t="s">
        <v>1964</v>
      </c>
      <c r="G227" t="s">
        <v>1256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ISNUMBER(MATCH(CONTROL[[#This Row],[VEHIDCODE]],TRACK_TYPES[VEHIDCODE],0))</f>
        <v>1</v>
      </c>
      <c r="K227" t="b">
        <f>ISNUMBER(MATCH(CONTROL[[#This Row],[VEHIDCODE]],PROPERTIES[VEHIDCODE],0))</f>
        <v>1</v>
      </c>
      <c r="L227" t="b">
        <f>ISNUMBER(MATCH(CONTROL[[#This Row],[VEHIDCODE]],GRAPHICS_PROPERTIES[VEHIDCODE],0))</f>
        <v>1</v>
      </c>
      <c r="M227" s="21" t="str">
        <f>"item_"&amp;CONTROL[[#This Row],[VEHIDCODE]]</f>
        <v>item_diesel_EMD_JT42HW_HS</v>
      </c>
      <c r="N227" s="21" t="str">
        <f>"str_"&amp;CONTROL[[#This Row],[VEHIDCODE]]</f>
        <v>str_diesel_EMD_JT42HW_HS</v>
      </c>
      <c r="O227" s="7" t="b">
        <f>INDEX(PROPERTIES[IS_CONCEPT],MATCH(CONTROL[[#This Row],[VEHIDCODE]],PROPERTIES[VEHIDCODE],0))="IS_CONCEPT"</f>
        <v>0</v>
      </c>
      <c r="P227" s="7" t="b">
        <f>INDEX(PROPERTIES[EXCLUDE],MATCH(CONTROL[[#This Row],[VEHIDCODE]],PROPERTIES[VEHIDCODE],0))</f>
        <v>0</v>
      </c>
      <c r="Q2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8" spans="1:17" x14ac:dyDescent="0.35">
      <c r="A228" s="2" t="s">
        <v>2856</v>
      </c>
      <c r="B228" s="21" t="str">
        <f>MID(CONTROL[[#This Row],[VEHIDCODE]],FIND("_",CONTROL[[#This Row],[VEHIDCODE]])+1,LEN(CONTROL[[#This Row],[VEHIDCODE]]))</f>
        <v>Alstom_DE43CA_Prima</v>
      </c>
      <c r="C2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8">
        <v>5056</v>
      </c>
      <c r="F228" s="30" t="s">
        <v>2015</v>
      </c>
      <c r="G228" t="s">
        <v>1257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ISNUMBER(MATCH(CONTROL[[#This Row],[VEHIDCODE]],TRACK_TYPES[VEHIDCODE],0))</f>
        <v>1</v>
      </c>
      <c r="K228" t="b">
        <f>ISNUMBER(MATCH(CONTROL[[#This Row],[VEHIDCODE]],PROPERTIES[VEHIDCODE],0))</f>
        <v>1</v>
      </c>
      <c r="L228" t="b">
        <f>ISNUMBER(MATCH(CONTROL[[#This Row],[VEHIDCODE]],GRAPHICS_PROPERTIES[VEHIDCODE],0))</f>
        <v>1</v>
      </c>
      <c r="M228" s="21" t="str">
        <f>"item_"&amp;CONTROL[[#This Row],[VEHIDCODE]]</f>
        <v>item_diesel_Alstom_DE43CA_Prima</v>
      </c>
      <c r="N228" s="21" t="str">
        <f>"str_"&amp;CONTROL[[#This Row],[VEHIDCODE]]</f>
        <v>str_diesel_Alstom_DE43CA_Prima</v>
      </c>
      <c r="O228" s="7" t="b">
        <f>INDEX(PROPERTIES[IS_CONCEPT],MATCH(CONTROL[[#This Row],[VEHIDCODE]],PROPERTIES[VEHIDCODE],0))="IS_CONCEPT"</f>
        <v>0</v>
      </c>
      <c r="P228" s="7" t="b">
        <f>INDEX(PROPERTIES[EXCLUDE],MATCH(CONTROL[[#This Row],[VEHIDCODE]],PROPERTIES[VEHIDCODE],0))</f>
        <v>0</v>
      </c>
      <c r="Q2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29" spans="1:17" x14ac:dyDescent="0.35">
      <c r="A229" s="2" t="s">
        <v>2857</v>
      </c>
      <c r="B229" s="21" t="str">
        <f>MID(CONTROL[[#This Row],[VEHIDCODE]],FIND("_",CONTROL[[#This Row],[VEHIDCODE]])+1,LEN(CONTROL[[#This Row],[VEHIDCODE]]))</f>
        <v>LTZ_TEP150</v>
      </c>
      <c r="C2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29">
        <v>5059</v>
      </c>
      <c r="F229" s="30" t="s">
        <v>2016</v>
      </c>
      <c r="G229" t="s">
        <v>1258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ISNUMBER(MATCH(CONTROL[[#This Row],[VEHIDCODE]],TRACK_TYPES[VEHIDCODE],0))</f>
        <v>1</v>
      </c>
      <c r="K229" t="b">
        <f>ISNUMBER(MATCH(CONTROL[[#This Row],[VEHIDCODE]],PROPERTIES[VEHIDCODE],0))</f>
        <v>1</v>
      </c>
      <c r="L229" t="b">
        <f>ISNUMBER(MATCH(CONTROL[[#This Row],[VEHIDCODE]],GRAPHICS_PROPERTIES[VEHIDCODE],0))</f>
        <v>1</v>
      </c>
      <c r="M229" s="21" t="str">
        <f>"item_"&amp;CONTROL[[#This Row],[VEHIDCODE]]</f>
        <v>item_diesel_LTZ_TEP150</v>
      </c>
      <c r="N229" s="21" t="str">
        <f>"str_"&amp;CONTROL[[#This Row],[VEHIDCODE]]</f>
        <v>str_diesel_LTZ_TEP150</v>
      </c>
      <c r="O229" s="7" t="b">
        <f>INDEX(PROPERTIES[IS_CONCEPT],MATCH(CONTROL[[#This Row],[VEHIDCODE]],PROPERTIES[VEHIDCODE],0))="IS_CONCEPT"</f>
        <v>0</v>
      </c>
      <c r="P229" s="7" t="b">
        <f>INDEX(PROPERTIES[EXCLUDE],MATCH(CONTROL[[#This Row],[VEHIDCODE]],PROPERTIES[VEHIDCODE],0))</f>
        <v>0</v>
      </c>
      <c r="Q2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0" spans="1:17" x14ac:dyDescent="0.35">
      <c r="A230" s="2" t="s">
        <v>2858</v>
      </c>
      <c r="B230" s="21" t="str">
        <f>MID(CONTROL[[#This Row],[VEHIDCODE]],FIND("_",CONTROL[[#This Row],[VEHIDCODE]])+1,LEN(CONTROL[[#This Row],[VEHIDCODE]]))</f>
        <v>GE_CRRC_Qishuyan_ES59ACi</v>
      </c>
      <c r="C2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0">
        <v>5060</v>
      </c>
      <c r="F230" s="30" t="s">
        <v>2163</v>
      </c>
      <c r="G230" t="s">
        <v>1259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ISNUMBER(MATCH(CONTROL[[#This Row],[VEHIDCODE]],TRACK_TYPES[VEHIDCODE],0))</f>
        <v>1</v>
      </c>
      <c r="K230" t="b">
        <f>ISNUMBER(MATCH(CONTROL[[#This Row],[VEHIDCODE]],PROPERTIES[VEHIDCODE],0))</f>
        <v>1</v>
      </c>
      <c r="L230" t="b">
        <f>ISNUMBER(MATCH(CONTROL[[#This Row],[VEHIDCODE]],GRAPHICS_PROPERTIES[VEHIDCODE],0))</f>
        <v>1</v>
      </c>
      <c r="M230" s="21" t="str">
        <f>"item_"&amp;CONTROL[[#This Row],[VEHIDCODE]]</f>
        <v>item_diesel_GE_CRRC_Qishuyan_ES59ACi</v>
      </c>
      <c r="N230" s="21" t="str">
        <f>"str_"&amp;CONTROL[[#This Row],[VEHIDCODE]]</f>
        <v>str_diesel_GE_CRRC_Qishuyan_ES59ACi</v>
      </c>
      <c r="O230" s="7" t="b">
        <f>INDEX(PROPERTIES[IS_CONCEPT],MATCH(CONTROL[[#This Row],[VEHIDCODE]],PROPERTIES[VEHIDCODE],0))="IS_CONCEPT"</f>
        <v>0</v>
      </c>
      <c r="P230" s="7" t="b">
        <f>INDEX(PROPERTIES[EXCLUDE],MATCH(CONTROL[[#This Row],[VEHIDCODE]],PROPERTIES[VEHIDCODE],0))</f>
        <v>0</v>
      </c>
      <c r="Q2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1" spans="1:17" x14ac:dyDescent="0.35">
      <c r="A231" s="2" t="s">
        <v>2859</v>
      </c>
      <c r="B231" s="21" t="str">
        <f>MID(CONTROL[[#This Row],[VEHIDCODE]],FIND("_",CONTROL[[#This Row],[VEHIDCODE]])+1,LEN(CONTROL[[#This Row],[VEHIDCODE]]))</f>
        <v>Voith_Gravita_10_BB</v>
      </c>
      <c r="C2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1">
        <v>5061</v>
      </c>
      <c r="F231" s="30" t="s">
        <v>2017</v>
      </c>
      <c r="G231" t="s">
        <v>1260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ISNUMBER(MATCH(CONTROL[[#This Row],[VEHIDCODE]],TRACK_TYPES[VEHIDCODE],0))</f>
        <v>1</v>
      </c>
      <c r="K231" t="b">
        <f>ISNUMBER(MATCH(CONTROL[[#This Row],[VEHIDCODE]],PROPERTIES[VEHIDCODE],0))</f>
        <v>1</v>
      </c>
      <c r="L231" t="b">
        <f>ISNUMBER(MATCH(CONTROL[[#This Row],[VEHIDCODE]],GRAPHICS_PROPERTIES[VEHIDCODE],0))</f>
        <v>1</v>
      </c>
      <c r="M231" s="21" t="str">
        <f>"item_"&amp;CONTROL[[#This Row],[VEHIDCODE]]</f>
        <v>item_diesel_Voith_Gravita_10_BB</v>
      </c>
      <c r="N231" s="21" t="str">
        <f>"str_"&amp;CONTROL[[#This Row],[VEHIDCODE]]</f>
        <v>str_diesel_Voith_Gravita_10_BB</v>
      </c>
      <c r="O231" s="7" t="b">
        <f>INDEX(PROPERTIES[IS_CONCEPT],MATCH(CONTROL[[#This Row],[VEHIDCODE]],PROPERTIES[VEHIDCODE],0))="IS_CONCEPT"</f>
        <v>0</v>
      </c>
      <c r="P231" s="7" t="b">
        <f>INDEX(PROPERTIES[EXCLUDE],MATCH(CONTROL[[#This Row],[VEHIDCODE]],PROPERTIES[VEHIDCODE],0))</f>
        <v>0</v>
      </c>
      <c r="Q2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2" spans="1:17" x14ac:dyDescent="0.35">
      <c r="A232" s="2" t="s">
        <v>2860</v>
      </c>
      <c r="B232" s="21" t="str">
        <f>MID(CONTROL[[#This Row],[VEHIDCODE]],FIND("_",CONTROL[[#This Row],[VEHIDCODE]])+1,LEN(CONTROL[[#This Row],[VEHIDCODE]]))</f>
        <v>Voronezh_VNIIZHT_GT1</v>
      </c>
      <c r="C2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2">
        <v>5063</v>
      </c>
      <c r="F232" s="30" t="s">
        <v>2164</v>
      </c>
      <c r="G232" t="s">
        <v>1261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ISNUMBER(MATCH(CONTROL[[#This Row],[VEHIDCODE]],TRACK_TYPES[VEHIDCODE],0))</f>
        <v>1</v>
      </c>
      <c r="K232" t="b">
        <f>ISNUMBER(MATCH(CONTROL[[#This Row],[VEHIDCODE]],PROPERTIES[VEHIDCODE],0))</f>
        <v>1</v>
      </c>
      <c r="L232" t="b">
        <f>ISNUMBER(MATCH(CONTROL[[#This Row],[VEHIDCODE]],GRAPHICS_PROPERTIES[VEHIDCODE],0))</f>
        <v>1</v>
      </c>
      <c r="M232" s="21" t="str">
        <f>"item_"&amp;CONTROL[[#This Row],[VEHIDCODE]]</f>
        <v>item_diesel_Voronezh_VNIIZHT_GT1</v>
      </c>
      <c r="N232" s="21" t="str">
        <f>"str_"&amp;CONTROL[[#This Row],[VEHIDCODE]]</f>
        <v>str_diesel_Voronezh_VNIIZHT_GT1</v>
      </c>
      <c r="O232" s="7" t="b">
        <f>INDEX(PROPERTIES[IS_CONCEPT],MATCH(CONTROL[[#This Row],[VEHIDCODE]],PROPERTIES[VEHIDCODE],0))="IS_CONCEPT"</f>
        <v>0</v>
      </c>
      <c r="P232" s="7" t="b">
        <f>INDEX(PROPERTIES[EXCLUDE],MATCH(CONTROL[[#This Row],[VEHIDCODE]],PROPERTIES[VEHIDCODE],0))</f>
        <v>0</v>
      </c>
      <c r="Q2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33" spans="1:17" x14ac:dyDescent="0.35">
      <c r="A233" s="2" t="s">
        <v>2861</v>
      </c>
      <c r="B233" s="21" t="str">
        <f>MID(CONTROL[[#This Row],[VEHIDCODE]],FIND("_",CONTROL[[#This Row],[VEHIDCODE]])+1,LEN(CONTROL[[#This Row],[VEHIDCODE]]))</f>
        <v>Siemens_ER20_Eurorunner</v>
      </c>
      <c r="C2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3">
        <v>5058</v>
      </c>
      <c r="F233" s="30" t="s">
        <v>2018</v>
      </c>
      <c r="G233" t="s">
        <v>1262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ISNUMBER(MATCH(CONTROL[[#This Row],[VEHIDCODE]],TRACK_TYPES[VEHIDCODE],0))</f>
        <v>1</v>
      </c>
      <c r="K233" t="b">
        <f>ISNUMBER(MATCH(CONTROL[[#This Row],[VEHIDCODE]],PROPERTIES[VEHIDCODE],0))</f>
        <v>1</v>
      </c>
      <c r="L233" t="b">
        <f>ISNUMBER(MATCH(CONTROL[[#This Row],[VEHIDCODE]],GRAPHICS_PROPERTIES[VEHIDCODE],0))</f>
        <v>1</v>
      </c>
      <c r="M233" s="21" t="str">
        <f>"item_"&amp;CONTROL[[#This Row],[VEHIDCODE]]</f>
        <v>item_diesel_Siemens_ER20_Eurorunner</v>
      </c>
      <c r="N233" s="21" t="str">
        <f>"str_"&amp;CONTROL[[#This Row],[VEHIDCODE]]</f>
        <v>str_diesel_Siemens_ER20_Eurorunner</v>
      </c>
      <c r="O233" s="7" t="b">
        <f>INDEX(PROPERTIES[IS_CONCEPT],MATCH(CONTROL[[#This Row],[VEHIDCODE]],PROPERTIES[VEHIDCODE],0))="IS_CONCEPT"</f>
        <v>0</v>
      </c>
      <c r="P233" s="7" t="b">
        <f>INDEX(PROPERTIES[EXCLUDE],MATCH(CONTROL[[#This Row],[VEHIDCODE]],PROPERTIES[VEHIDCODE],0))</f>
        <v>0</v>
      </c>
      <c r="Q2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4" spans="1:17" x14ac:dyDescent="0.35">
      <c r="A234" s="2" t="s">
        <v>2862</v>
      </c>
      <c r="B234" s="21" t="str">
        <f>MID(CONTROL[[#This Row],[VEHIDCODE]],FIND("_",CONTROL[[#This Row],[VEHIDCODE]])+1,LEN(CONTROL[[#This Row],[VEHIDCODE]]))</f>
        <v>Voith_Maxima_40_CC</v>
      </c>
      <c r="C2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4">
        <v>5062</v>
      </c>
      <c r="F234" s="30" t="s">
        <v>2019</v>
      </c>
      <c r="G234" t="s">
        <v>1263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ISNUMBER(MATCH(CONTROL[[#This Row],[VEHIDCODE]],TRACK_TYPES[VEHIDCODE],0))</f>
        <v>1</v>
      </c>
      <c r="K234" t="b">
        <f>ISNUMBER(MATCH(CONTROL[[#This Row],[VEHIDCODE]],PROPERTIES[VEHIDCODE],0))</f>
        <v>1</v>
      </c>
      <c r="L234" t="b">
        <f>ISNUMBER(MATCH(CONTROL[[#This Row],[VEHIDCODE]],GRAPHICS_PROPERTIES[VEHIDCODE],0))</f>
        <v>1</v>
      </c>
      <c r="M234" s="21" t="str">
        <f>"item_"&amp;CONTROL[[#This Row],[VEHIDCODE]]</f>
        <v>item_diesel_Voith_Maxima_40_CC</v>
      </c>
      <c r="N234" s="21" t="str">
        <f>"str_"&amp;CONTROL[[#This Row],[VEHIDCODE]]</f>
        <v>str_diesel_Voith_Maxima_40_CC</v>
      </c>
      <c r="O234" s="7" t="b">
        <f>INDEX(PROPERTIES[IS_CONCEPT],MATCH(CONTROL[[#This Row],[VEHIDCODE]],PROPERTIES[VEHIDCODE],0))="IS_CONCEPT"</f>
        <v>0</v>
      </c>
      <c r="P234" s="7" t="b">
        <f>INDEX(PROPERTIES[EXCLUDE],MATCH(CONTROL[[#This Row],[VEHIDCODE]],PROPERTIES[VEHIDCODE],0))</f>
        <v>0</v>
      </c>
      <c r="Q2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5" spans="1:17" x14ac:dyDescent="0.35">
      <c r="A235" s="2" t="s">
        <v>2863</v>
      </c>
      <c r="B235" s="21" t="str">
        <f>MID(CONTROL[[#This Row],[VEHIDCODE]],FIND("_",CONTROL[[#This Row],[VEHIDCODE]])+1,LEN(CONTROL[[#This Row],[VEHIDCODE]]))</f>
        <v>Hohenzollern_Emch3</v>
      </c>
      <c r="C2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5">
        <v>5066</v>
      </c>
      <c r="F235" s="30" t="s">
        <v>2165</v>
      </c>
      <c r="G235" t="s">
        <v>2166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ISNUMBER(MATCH(CONTROL[[#This Row],[VEHIDCODE]],TRACK_TYPES[VEHIDCODE],0))</f>
        <v>1</v>
      </c>
      <c r="K235" t="b">
        <f>ISNUMBER(MATCH(CONTROL[[#This Row],[VEHIDCODE]],PROPERTIES[VEHIDCODE],0))</f>
        <v>1</v>
      </c>
      <c r="L235" t="b">
        <f>ISNUMBER(MATCH(CONTROL[[#This Row],[VEHIDCODE]],GRAPHICS_PROPERTIES[VEHIDCODE],0))</f>
        <v>1</v>
      </c>
      <c r="M235" s="21" t="str">
        <f>"item_"&amp;CONTROL[[#This Row],[VEHIDCODE]]</f>
        <v>item_diesel_Hohenzollern_Emch3</v>
      </c>
      <c r="N235" s="21" t="str">
        <f>"str_"&amp;CONTROL[[#This Row],[VEHIDCODE]]</f>
        <v>str_diesel_Hohenzollern_Emch3</v>
      </c>
      <c r="O235" s="7" t="b">
        <f>INDEX(PROPERTIES[IS_CONCEPT],MATCH(CONTROL[[#This Row],[VEHIDCODE]],PROPERTIES[VEHIDCODE],0))="IS_CONCEPT"</f>
        <v>0</v>
      </c>
      <c r="P235" s="7" t="b">
        <f>INDEX(PROPERTIES[EXCLUDE],MATCH(CONTROL[[#This Row],[VEHIDCODE]],PROPERTIES[VEHIDCODE],0))</f>
        <v>0</v>
      </c>
      <c r="Q2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36" spans="1:17" x14ac:dyDescent="0.35">
      <c r="A236" s="2" t="s">
        <v>2864</v>
      </c>
      <c r="B236" s="21" t="str">
        <f>MID(CONTROL[[#This Row],[VEHIDCODE]],FIND("_",CONTROL[[#This Row],[VEHIDCODE]])+1,LEN(CONTROL[[#This Row],[VEHIDCODE]]))</f>
        <v>Canadian_Locomotive_Company_V_1</v>
      </c>
      <c r="C2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6">
        <v>5067</v>
      </c>
      <c r="F236" s="30" t="s">
        <v>2007</v>
      </c>
      <c r="G236" t="s">
        <v>1264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ISNUMBER(MATCH(CONTROL[[#This Row],[VEHIDCODE]],TRACK_TYPES[VEHIDCODE],0))</f>
        <v>1</v>
      </c>
      <c r="K236" t="b">
        <f>ISNUMBER(MATCH(CONTROL[[#This Row],[VEHIDCODE]],PROPERTIES[VEHIDCODE],0))</f>
        <v>1</v>
      </c>
      <c r="L236" t="b">
        <f>ISNUMBER(MATCH(CONTROL[[#This Row],[VEHIDCODE]],GRAPHICS_PROPERTIES[VEHIDCODE],0))</f>
        <v>1</v>
      </c>
      <c r="M236" s="21" t="str">
        <f>"item_"&amp;CONTROL[[#This Row],[VEHIDCODE]]</f>
        <v>item_diesel_Canadian_Locomotive_Company_V_1</v>
      </c>
      <c r="N236" s="21" t="str">
        <f>"str_"&amp;CONTROL[[#This Row],[VEHIDCODE]]</f>
        <v>str_diesel_Canadian_Locomotive_Company_V_1</v>
      </c>
      <c r="O236" s="7" t="b">
        <f>INDEX(PROPERTIES[IS_CONCEPT],MATCH(CONTROL[[#This Row],[VEHIDCODE]],PROPERTIES[VEHIDCODE],0))="IS_CONCEPT"</f>
        <v>0</v>
      </c>
      <c r="P236" s="7" t="b">
        <f>INDEX(PROPERTIES[EXCLUDE],MATCH(CONTROL[[#This Row],[VEHIDCODE]],PROPERTIES[VEHIDCODE],0))</f>
        <v>0</v>
      </c>
      <c r="Q2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37" spans="1:17" x14ac:dyDescent="0.35">
      <c r="A237" s="2" t="s">
        <v>2865</v>
      </c>
      <c r="B237" s="21" t="str">
        <f>MID(CONTROL[[#This Row],[VEHIDCODE]],FIND("_",CONTROL[[#This Row],[VEHIDCODE]])+1,LEN(CONTROL[[#This Row],[VEHIDCODE]]))</f>
        <v>LMS_7051_Diesel_Shunter</v>
      </c>
      <c r="C2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7">
        <v>5068</v>
      </c>
      <c r="F237" s="30" t="s">
        <v>371</v>
      </c>
      <c r="G237" t="s">
        <v>1265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ISNUMBER(MATCH(CONTROL[[#This Row],[VEHIDCODE]],TRACK_TYPES[VEHIDCODE],0))</f>
        <v>1</v>
      </c>
      <c r="K237" t="b">
        <f>ISNUMBER(MATCH(CONTROL[[#This Row],[VEHIDCODE]],PROPERTIES[VEHIDCODE],0))</f>
        <v>1</v>
      </c>
      <c r="L237" t="b">
        <f>ISNUMBER(MATCH(CONTROL[[#This Row],[VEHIDCODE]],GRAPHICS_PROPERTIES[VEHIDCODE],0))</f>
        <v>1</v>
      </c>
      <c r="M237" s="21" t="str">
        <f>"item_"&amp;CONTROL[[#This Row],[VEHIDCODE]]</f>
        <v>item_diesel_LMS_7051_Diesel_Shunter</v>
      </c>
      <c r="N237" s="21" t="str">
        <f>"str_"&amp;CONTROL[[#This Row],[VEHIDCODE]]</f>
        <v>str_diesel_LMS_7051_Diesel_Shunter</v>
      </c>
      <c r="O237" s="7" t="b">
        <f>INDEX(PROPERTIES[IS_CONCEPT],MATCH(CONTROL[[#This Row],[VEHIDCODE]],PROPERTIES[VEHIDCODE],0))="IS_CONCEPT"</f>
        <v>0</v>
      </c>
      <c r="P237" s="7" t="b">
        <f>INDEX(PROPERTIES[EXCLUDE],MATCH(CONTROL[[#This Row],[VEHIDCODE]],PROPERTIES[VEHIDCODE],0))</f>
        <v>0</v>
      </c>
      <c r="Q2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38" spans="1:17" x14ac:dyDescent="0.35">
      <c r="A238" s="2" t="s">
        <v>2866</v>
      </c>
      <c r="B238" s="21" t="str">
        <f>MID(CONTROL[[#This Row],[VEHIDCODE]],FIND("_",CONTROL[[#This Row],[VEHIDCODE]])+1,LEN(CONTROL[[#This Row],[VEHIDCODE]]))</f>
        <v>EMC_TA</v>
      </c>
      <c r="C2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8">
        <v>5069</v>
      </c>
      <c r="F238" s="30" t="s">
        <v>1990</v>
      </c>
      <c r="G238" t="s">
        <v>1266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ISNUMBER(MATCH(CONTROL[[#This Row],[VEHIDCODE]],TRACK_TYPES[VEHIDCODE],0))</f>
        <v>1</v>
      </c>
      <c r="K238" t="b">
        <f>ISNUMBER(MATCH(CONTROL[[#This Row],[VEHIDCODE]],PROPERTIES[VEHIDCODE],0))</f>
        <v>1</v>
      </c>
      <c r="L238" t="b">
        <f>ISNUMBER(MATCH(CONTROL[[#This Row],[VEHIDCODE]],GRAPHICS_PROPERTIES[VEHIDCODE],0))</f>
        <v>1</v>
      </c>
      <c r="M238" s="21" t="str">
        <f>"item_"&amp;CONTROL[[#This Row],[VEHIDCODE]]</f>
        <v>item_diesel_EMC_TA</v>
      </c>
      <c r="N238" s="21" t="str">
        <f>"str_"&amp;CONTROL[[#This Row],[VEHIDCODE]]</f>
        <v>str_diesel_EMC_TA</v>
      </c>
      <c r="O238" s="7" t="b">
        <f>INDEX(PROPERTIES[IS_CONCEPT],MATCH(CONTROL[[#This Row],[VEHIDCODE]],PROPERTIES[VEHIDCODE],0))="IS_CONCEPT"</f>
        <v>0</v>
      </c>
      <c r="P238" s="7" t="b">
        <f>INDEX(PROPERTIES[EXCLUDE],MATCH(CONTROL[[#This Row],[VEHIDCODE]],PROPERTIES[VEHIDCODE],0))</f>
        <v>0</v>
      </c>
      <c r="Q2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39" spans="1:17" x14ac:dyDescent="0.35">
      <c r="A239" s="2" t="s">
        <v>2867</v>
      </c>
      <c r="B239" s="21" t="str">
        <f>MID(CONTROL[[#This Row],[VEHIDCODE]],FIND("_",CONTROL[[#This Row],[VEHIDCODE]])+1,LEN(CONTROL[[#This Row],[VEHIDCODE]]))</f>
        <v>Baldwin_VO_660</v>
      </c>
      <c r="C2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39">
        <v>5070</v>
      </c>
      <c r="F239" s="30" t="s">
        <v>1991</v>
      </c>
      <c r="G239" t="s">
        <v>1267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ISNUMBER(MATCH(CONTROL[[#This Row],[VEHIDCODE]],TRACK_TYPES[VEHIDCODE],0))</f>
        <v>1</v>
      </c>
      <c r="K239" t="b">
        <f>ISNUMBER(MATCH(CONTROL[[#This Row],[VEHIDCODE]],PROPERTIES[VEHIDCODE],0))</f>
        <v>1</v>
      </c>
      <c r="L239" t="b">
        <f>ISNUMBER(MATCH(CONTROL[[#This Row],[VEHIDCODE]],GRAPHICS_PROPERTIES[VEHIDCODE],0))</f>
        <v>1</v>
      </c>
      <c r="M239" s="21" t="str">
        <f>"item_"&amp;CONTROL[[#This Row],[VEHIDCODE]]</f>
        <v>item_diesel_Baldwin_VO_660</v>
      </c>
      <c r="N239" s="21" t="str">
        <f>"str_"&amp;CONTROL[[#This Row],[VEHIDCODE]]</f>
        <v>str_diesel_Baldwin_VO_660</v>
      </c>
      <c r="O239" s="7" t="b">
        <f>INDEX(PROPERTIES[IS_CONCEPT],MATCH(CONTROL[[#This Row],[VEHIDCODE]],PROPERTIES[VEHIDCODE],0))="IS_CONCEPT"</f>
        <v>0</v>
      </c>
      <c r="P239" s="7" t="b">
        <f>INDEX(PROPERTIES[EXCLUDE],MATCH(CONTROL[[#This Row],[VEHIDCODE]],PROPERTIES[VEHIDCODE],0))</f>
        <v>0</v>
      </c>
      <c r="Q2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0" spans="1:17" x14ac:dyDescent="0.35">
      <c r="A240" s="2" t="s">
        <v>2868</v>
      </c>
      <c r="B240" s="21" t="str">
        <f>MID(CONTROL[[#This Row],[VEHIDCODE]],FIND("_",CONTROL[[#This Row],[VEHIDCODE]])+1,LEN(CONTROL[[#This Row],[VEHIDCODE]]))</f>
        <v>LMS_No__7080_D3_7</v>
      </c>
      <c r="C2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0">
        <v>5071</v>
      </c>
      <c r="F240" s="30" t="s">
        <v>2167</v>
      </c>
      <c r="G240" t="s">
        <v>1268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ISNUMBER(MATCH(CONTROL[[#This Row],[VEHIDCODE]],TRACK_TYPES[VEHIDCODE],0))</f>
        <v>1</v>
      </c>
      <c r="K240" t="b">
        <f>ISNUMBER(MATCH(CONTROL[[#This Row],[VEHIDCODE]],PROPERTIES[VEHIDCODE],0))</f>
        <v>1</v>
      </c>
      <c r="L240" t="b">
        <f>ISNUMBER(MATCH(CONTROL[[#This Row],[VEHIDCODE]],GRAPHICS_PROPERTIES[VEHIDCODE],0))</f>
        <v>1</v>
      </c>
      <c r="M240" s="21" t="str">
        <f>"item_"&amp;CONTROL[[#This Row],[VEHIDCODE]]</f>
        <v>item_diesel_LMS_No__7080_D3_7</v>
      </c>
      <c r="N240" s="21" t="str">
        <f>"str_"&amp;CONTROL[[#This Row],[VEHIDCODE]]</f>
        <v>str_diesel_LMS_No__7080_D3_7</v>
      </c>
      <c r="O240" s="7" t="b">
        <f>INDEX(PROPERTIES[IS_CONCEPT],MATCH(CONTROL[[#This Row],[VEHIDCODE]],PROPERTIES[VEHIDCODE],0))="IS_CONCEPT"</f>
        <v>0</v>
      </c>
      <c r="P240" s="7" t="b">
        <f>INDEX(PROPERTIES[EXCLUDE],MATCH(CONTROL[[#This Row],[VEHIDCODE]],PROPERTIES[VEHIDCODE],0))</f>
        <v>0</v>
      </c>
      <c r="Q2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41" spans="1:17" x14ac:dyDescent="0.35">
      <c r="A241" s="2" t="s">
        <v>2869</v>
      </c>
      <c r="B241" s="21" t="str">
        <f>MID(CONTROL[[#This Row],[VEHIDCODE]],FIND("_",CONTROL[[#This Row],[VEHIDCODE]])+1,LEN(CONTROL[[#This Row],[VEHIDCODE]]))</f>
        <v>Queensland_Railways_DL</v>
      </c>
      <c r="C2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1">
        <v>5072</v>
      </c>
      <c r="F241" s="30" t="s">
        <v>372</v>
      </c>
      <c r="G241" t="s">
        <v>1269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ISNUMBER(MATCH(CONTROL[[#This Row],[VEHIDCODE]],TRACK_TYPES[VEHIDCODE],0))</f>
        <v>1</v>
      </c>
      <c r="K241" t="b">
        <f>ISNUMBER(MATCH(CONTROL[[#This Row],[VEHIDCODE]],PROPERTIES[VEHIDCODE],0))</f>
        <v>1</v>
      </c>
      <c r="L241" t="b">
        <f>ISNUMBER(MATCH(CONTROL[[#This Row],[VEHIDCODE]],GRAPHICS_PROPERTIES[VEHIDCODE],0))</f>
        <v>1</v>
      </c>
      <c r="M241" s="21" t="str">
        <f>"item_"&amp;CONTROL[[#This Row],[VEHIDCODE]]</f>
        <v>item_diesel_Queensland_Railways_DL</v>
      </c>
      <c r="N241" s="21" t="str">
        <f>"str_"&amp;CONTROL[[#This Row],[VEHIDCODE]]</f>
        <v>str_diesel_Queensland_Railways_DL</v>
      </c>
      <c r="O241" s="7" t="b">
        <f>INDEX(PROPERTIES[IS_CONCEPT],MATCH(CONTROL[[#This Row],[VEHIDCODE]],PROPERTIES[VEHIDCODE],0))="IS_CONCEPT"</f>
        <v>0</v>
      </c>
      <c r="P241" s="7" t="b">
        <f>INDEX(PROPERTIES[EXCLUDE],MATCH(CONTROL[[#This Row],[VEHIDCODE]],PROPERTIES[VEHIDCODE],0))</f>
        <v>0</v>
      </c>
      <c r="Q2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42" spans="1:17" x14ac:dyDescent="0.35">
      <c r="A242" s="2" t="s">
        <v>2870</v>
      </c>
      <c r="B242" s="21" t="str">
        <f>MID(CONTROL[[#This Row],[VEHIDCODE]],FIND("_",CONTROL[[#This Row],[VEHIDCODE]])+1,LEN(CONTROL[[#This Row],[VEHIDCODE]]))</f>
        <v>FM_H_10_44</v>
      </c>
      <c r="C2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2">
        <v>5073</v>
      </c>
      <c r="F242" s="30" t="s">
        <v>1992</v>
      </c>
      <c r="G242" t="s">
        <v>1270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ISNUMBER(MATCH(CONTROL[[#This Row],[VEHIDCODE]],TRACK_TYPES[VEHIDCODE],0))</f>
        <v>1</v>
      </c>
      <c r="K242" t="b">
        <f>ISNUMBER(MATCH(CONTROL[[#This Row],[VEHIDCODE]],PROPERTIES[VEHIDCODE],0))</f>
        <v>1</v>
      </c>
      <c r="L242" t="b">
        <f>ISNUMBER(MATCH(CONTROL[[#This Row],[VEHIDCODE]],GRAPHICS_PROPERTIES[VEHIDCODE],0))</f>
        <v>1</v>
      </c>
      <c r="M242" s="21" t="str">
        <f>"item_"&amp;CONTROL[[#This Row],[VEHIDCODE]]</f>
        <v>item_diesel_FM_H_10_44</v>
      </c>
      <c r="N242" s="21" t="str">
        <f>"str_"&amp;CONTROL[[#This Row],[VEHIDCODE]]</f>
        <v>str_diesel_FM_H_10_44</v>
      </c>
      <c r="O242" s="7" t="b">
        <f>INDEX(PROPERTIES[IS_CONCEPT],MATCH(CONTROL[[#This Row],[VEHIDCODE]],PROPERTIES[VEHIDCODE],0))="IS_CONCEPT"</f>
        <v>0</v>
      </c>
      <c r="P242" s="7" t="b">
        <f>INDEX(PROPERTIES[EXCLUDE],MATCH(CONTROL[[#This Row],[VEHIDCODE]],PROPERTIES[VEHIDCODE],0))</f>
        <v>0</v>
      </c>
      <c r="Q2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3" spans="1:17" x14ac:dyDescent="0.35">
      <c r="A243" s="2" t="s">
        <v>2871</v>
      </c>
      <c r="B243" s="21" t="str">
        <f>MID(CONTROL[[#This Row],[VEHIDCODE]],FIND("_",CONTROL[[#This Row],[VEHIDCODE]])+1,LEN(CONTROL[[#This Row],[VEHIDCODE]]))</f>
        <v>Baldwin_DRS6_4_1000</v>
      </c>
      <c r="C2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3">
        <v>5074</v>
      </c>
      <c r="F243" s="30" t="s">
        <v>1993</v>
      </c>
      <c r="G243" t="s">
        <v>1271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ISNUMBER(MATCH(CONTROL[[#This Row],[VEHIDCODE]],TRACK_TYPES[VEHIDCODE],0))</f>
        <v>1</v>
      </c>
      <c r="K243" t="b">
        <f>ISNUMBER(MATCH(CONTROL[[#This Row],[VEHIDCODE]],PROPERTIES[VEHIDCODE],0))</f>
        <v>1</v>
      </c>
      <c r="L243" t="b">
        <f>ISNUMBER(MATCH(CONTROL[[#This Row],[VEHIDCODE]],GRAPHICS_PROPERTIES[VEHIDCODE],0))</f>
        <v>1</v>
      </c>
      <c r="M243" s="21" t="str">
        <f>"item_"&amp;CONTROL[[#This Row],[VEHIDCODE]]</f>
        <v>item_diesel_Baldwin_DRS6_4_1000</v>
      </c>
      <c r="N243" s="21" t="str">
        <f>"str_"&amp;CONTROL[[#This Row],[VEHIDCODE]]</f>
        <v>str_diesel_Baldwin_DRS6_4_1000</v>
      </c>
      <c r="O243" s="7" t="b">
        <f>INDEX(PROPERTIES[IS_CONCEPT],MATCH(CONTROL[[#This Row],[VEHIDCODE]],PROPERTIES[VEHIDCODE],0))="IS_CONCEPT"</f>
        <v>0</v>
      </c>
      <c r="P243" s="7" t="b">
        <f>INDEX(PROPERTIES[EXCLUDE],MATCH(CONTROL[[#This Row],[VEHIDCODE]],PROPERTIES[VEHIDCODE],0))</f>
        <v>0</v>
      </c>
      <c r="Q2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4" spans="1:17" x14ac:dyDescent="0.35">
      <c r="A244" s="2" t="s">
        <v>2872</v>
      </c>
      <c r="B244" s="21" t="str">
        <f>MID(CONTROL[[#This Row],[VEHIDCODE]],FIND("_",CONTROL[[#This Row],[VEHIDCODE]])+1,LEN(CONTROL[[#This Row],[VEHIDCODE]]))</f>
        <v>CIE_113</v>
      </c>
      <c r="C2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4">
        <v>5075</v>
      </c>
      <c r="F244" s="30" t="s">
        <v>1697</v>
      </c>
      <c r="G244" t="s">
        <v>1272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ISNUMBER(MATCH(CONTROL[[#This Row],[VEHIDCODE]],TRACK_TYPES[VEHIDCODE],0))</f>
        <v>1</v>
      </c>
      <c r="K244" t="b">
        <f>ISNUMBER(MATCH(CONTROL[[#This Row],[VEHIDCODE]],PROPERTIES[VEHIDCODE],0))</f>
        <v>1</v>
      </c>
      <c r="L244" t="b">
        <f>ISNUMBER(MATCH(CONTROL[[#This Row],[VEHIDCODE]],GRAPHICS_PROPERTIES[VEHIDCODE],0))</f>
        <v>1</v>
      </c>
      <c r="M244" s="21" t="str">
        <f>"item_"&amp;CONTROL[[#This Row],[VEHIDCODE]]</f>
        <v>item_diesel_CIE_113</v>
      </c>
      <c r="N244" s="21" t="str">
        <f>"str_"&amp;CONTROL[[#This Row],[VEHIDCODE]]</f>
        <v>str_diesel_CIE_113</v>
      </c>
      <c r="O244" s="7" t="b">
        <f>INDEX(PROPERTIES[IS_CONCEPT],MATCH(CONTROL[[#This Row],[VEHIDCODE]],PROPERTIES[VEHIDCODE],0))="IS_CONCEPT"</f>
        <v>0</v>
      </c>
      <c r="P244" s="7" t="b">
        <f>INDEX(PROPERTIES[EXCLUDE],MATCH(CONTROL[[#This Row],[VEHIDCODE]],PROPERTIES[VEHIDCODE],0))</f>
        <v>0</v>
      </c>
      <c r="Q2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5" spans="1:17" x14ac:dyDescent="0.35">
      <c r="A245" s="2" t="s">
        <v>2873</v>
      </c>
      <c r="B245" s="21" t="str">
        <f>MID(CONTROL[[#This Row],[VEHIDCODE]],FIND("_",CONTROL[[#This Row],[VEHIDCODE]])+1,LEN(CONTROL[[#This Row],[VEHIDCODE]]))</f>
        <v>Baldwin_AS_616</v>
      </c>
      <c r="C2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5">
        <v>5076</v>
      </c>
      <c r="F245" s="30" t="s">
        <v>1994</v>
      </c>
      <c r="G245" t="s">
        <v>1273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ISNUMBER(MATCH(CONTROL[[#This Row],[VEHIDCODE]],TRACK_TYPES[VEHIDCODE],0))</f>
        <v>1</v>
      </c>
      <c r="K245" t="b">
        <f>ISNUMBER(MATCH(CONTROL[[#This Row],[VEHIDCODE]],PROPERTIES[VEHIDCODE],0))</f>
        <v>1</v>
      </c>
      <c r="L245" t="b">
        <f>ISNUMBER(MATCH(CONTROL[[#This Row],[VEHIDCODE]],GRAPHICS_PROPERTIES[VEHIDCODE],0))</f>
        <v>1</v>
      </c>
      <c r="M245" s="21" t="str">
        <f>"item_"&amp;CONTROL[[#This Row],[VEHIDCODE]]</f>
        <v>item_diesel_Baldwin_AS_616</v>
      </c>
      <c r="N245" s="21" t="str">
        <f>"str_"&amp;CONTROL[[#This Row],[VEHIDCODE]]</f>
        <v>str_diesel_Baldwin_AS_616</v>
      </c>
      <c r="O245" s="7" t="b">
        <f>INDEX(PROPERTIES[IS_CONCEPT],MATCH(CONTROL[[#This Row],[VEHIDCODE]],PROPERTIES[VEHIDCODE],0))="IS_CONCEPT"</f>
        <v>0</v>
      </c>
      <c r="P245" s="7" t="b">
        <f>INDEX(PROPERTIES[EXCLUDE],MATCH(CONTROL[[#This Row],[VEHIDCODE]],PROPERTIES[VEHIDCODE],0))</f>
        <v>0</v>
      </c>
      <c r="Q2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6" spans="1:17" x14ac:dyDescent="0.35">
      <c r="A246" s="2" t="s">
        <v>2874</v>
      </c>
      <c r="B246" s="21" t="str">
        <f>MID(CONTROL[[#This Row],[VEHIDCODE]],FIND("_",CONTROL[[#This Row],[VEHIDCODE]])+1,LEN(CONTROL[[#This Row],[VEHIDCODE]]))</f>
        <v>FM_H_16_44</v>
      </c>
      <c r="C2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6">
        <v>5077</v>
      </c>
      <c r="F246" s="30" t="s">
        <v>1995</v>
      </c>
      <c r="G246" t="s">
        <v>1274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ISNUMBER(MATCH(CONTROL[[#This Row],[VEHIDCODE]],TRACK_TYPES[VEHIDCODE],0))</f>
        <v>1</v>
      </c>
      <c r="K246" t="b">
        <f>ISNUMBER(MATCH(CONTROL[[#This Row],[VEHIDCODE]],PROPERTIES[VEHIDCODE],0))</f>
        <v>1</v>
      </c>
      <c r="L246" t="b">
        <f>ISNUMBER(MATCH(CONTROL[[#This Row],[VEHIDCODE]],GRAPHICS_PROPERTIES[VEHIDCODE],0))</f>
        <v>1</v>
      </c>
      <c r="M246" s="21" t="str">
        <f>"item_"&amp;CONTROL[[#This Row],[VEHIDCODE]]</f>
        <v>item_diesel_FM_H_16_44</v>
      </c>
      <c r="N246" s="21" t="str">
        <f>"str_"&amp;CONTROL[[#This Row],[VEHIDCODE]]</f>
        <v>str_diesel_FM_H_16_44</v>
      </c>
      <c r="O246" s="7" t="b">
        <f>INDEX(PROPERTIES[IS_CONCEPT],MATCH(CONTROL[[#This Row],[VEHIDCODE]],PROPERTIES[VEHIDCODE],0))="IS_CONCEPT"</f>
        <v>0</v>
      </c>
      <c r="P246" s="7" t="b">
        <f>INDEX(PROPERTIES[EXCLUDE],MATCH(CONTROL[[#This Row],[VEHIDCODE]],PROPERTIES[VEHIDCODE],0))</f>
        <v>0</v>
      </c>
      <c r="Q2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7" spans="1:17" x14ac:dyDescent="0.35">
      <c r="A247" s="2" t="s">
        <v>2875</v>
      </c>
      <c r="B247" s="21" t="str">
        <f>MID(CONTROL[[#This Row],[VEHIDCODE]],FIND("_",CONTROL[[#This Row],[VEHIDCODE]])+1,LEN(CONTROL[[#This Row],[VEHIDCODE]]))</f>
        <v>Islington_Railway_Workshops_SAR_900</v>
      </c>
      <c r="C2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7">
        <v>5078</v>
      </c>
      <c r="F247" s="30" t="s">
        <v>2168</v>
      </c>
      <c r="G247" t="s">
        <v>1276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ISNUMBER(MATCH(CONTROL[[#This Row],[VEHIDCODE]],TRACK_TYPES[VEHIDCODE],0))</f>
        <v>1</v>
      </c>
      <c r="K247" t="b">
        <f>ISNUMBER(MATCH(CONTROL[[#This Row],[VEHIDCODE]],PROPERTIES[VEHIDCODE],0))</f>
        <v>1</v>
      </c>
      <c r="L247" t="b">
        <f>ISNUMBER(MATCH(CONTROL[[#This Row],[VEHIDCODE]],GRAPHICS_PROPERTIES[VEHIDCODE],0))</f>
        <v>1</v>
      </c>
      <c r="M247" s="21" t="str">
        <f>"item_"&amp;CONTROL[[#This Row],[VEHIDCODE]]</f>
        <v>item_diesel_Islington_Railway_Workshops_SAR_900</v>
      </c>
      <c r="N247" s="21" t="str">
        <f>"str_"&amp;CONTROL[[#This Row],[VEHIDCODE]]</f>
        <v>str_diesel_Islington_Railway_Workshops_SAR_900</v>
      </c>
      <c r="O247" s="7" t="b">
        <f>INDEX(PROPERTIES[IS_CONCEPT],MATCH(CONTROL[[#This Row],[VEHIDCODE]],PROPERTIES[VEHIDCODE],0))="IS_CONCEPT"</f>
        <v>0</v>
      </c>
      <c r="P247" s="7" t="b">
        <f>INDEX(PROPERTIES[EXCLUDE],MATCH(CONTROL[[#This Row],[VEHIDCODE]],PROPERTIES[VEHIDCODE],0))</f>
        <v>0</v>
      </c>
      <c r="Q2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8" spans="1:17" x14ac:dyDescent="0.35">
      <c r="A248" s="2" t="s">
        <v>2876</v>
      </c>
      <c r="B248" s="21" t="str">
        <f>MID(CONTROL[[#This Row],[VEHIDCODE]],FIND("_",CONTROL[[#This Row],[VEHIDCODE]])+1,LEN(CONTROL[[#This Row],[VEHIDCODE]]))</f>
        <v>EMD_G12_A608_M2</v>
      </c>
      <c r="C2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8">
        <v>5079</v>
      </c>
      <c r="F248" s="30" t="s">
        <v>3508</v>
      </c>
      <c r="G248" t="s">
        <v>1275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ISNUMBER(MATCH(CONTROL[[#This Row],[VEHIDCODE]],TRACK_TYPES[VEHIDCODE],0))</f>
        <v>1</v>
      </c>
      <c r="K248" t="b">
        <f>ISNUMBER(MATCH(CONTROL[[#This Row],[VEHIDCODE]],PROPERTIES[VEHIDCODE],0))</f>
        <v>1</v>
      </c>
      <c r="L248" t="b">
        <f>ISNUMBER(MATCH(CONTROL[[#This Row],[VEHIDCODE]],GRAPHICS_PROPERTIES[VEHIDCODE],0))</f>
        <v>1</v>
      </c>
      <c r="M248" s="21" t="str">
        <f>"item_"&amp;CONTROL[[#This Row],[VEHIDCODE]]</f>
        <v>item_diesel_EMD_G12_A608_M2</v>
      </c>
      <c r="N248" s="21" t="str">
        <f>"str_"&amp;CONTROL[[#This Row],[VEHIDCODE]]</f>
        <v>str_diesel_EMD_G12_A608_M2</v>
      </c>
      <c r="O248" s="7" t="b">
        <f>INDEX(PROPERTIES[IS_CONCEPT],MATCH(CONTROL[[#This Row],[VEHIDCODE]],PROPERTIES[VEHIDCODE],0))="IS_CONCEPT"</f>
        <v>0</v>
      </c>
      <c r="P248" s="7" t="b">
        <f>INDEX(PROPERTIES[EXCLUDE],MATCH(CONTROL[[#This Row],[VEHIDCODE]],PROPERTIES[VEHIDCODE],0))</f>
        <v>0</v>
      </c>
      <c r="Q2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49" spans="1:17" x14ac:dyDescent="0.35">
      <c r="A249" s="2" t="s">
        <v>2877</v>
      </c>
      <c r="B249" s="21" t="str">
        <f>MID(CONTROL[[#This Row],[VEHIDCODE]],FIND("_",CONTROL[[#This Row],[VEHIDCODE]])+1,LEN(CONTROL[[#This Row],[VEHIDCODE]]))</f>
        <v>Metropolitan_Vickers_CIE_001</v>
      </c>
      <c r="C2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49">
        <v>5080</v>
      </c>
      <c r="F249" s="30" t="s">
        <v>2169</v>
      </c>
      <c r="G249" t="s">
        <v>1277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ISNUMBER(MATCH(CONTROL[[#This Row],[VEHIDCODE]],TRACK_TYPES[VEHIDCODE],0))</f>
        <v>1</v>
      </c>
      <c r="K249" t="b">
        <f>ISNUMBER(MATCH(CONTROL[[#This Row],[VEHIDCODE]],PROPERTIES[VEHIDCODE],0))</f>
        <v>1</v>
      </c>
      <c r="L249" t="b">
        <f>ISNUMBER(MATCH(CONTROL[[#This Row],[VEHIDCODE]],GRAPHICS_PROPERTIES[VEHIDCODE],0))</f>
        <v>1</v>
      </c>
      <c r="M249" s="21" t="str">
        <f>"item_"&amp;CONTROL[[#This Row],[VEHIDCODE]]</f>
        <v>item_diesel_Metropolitan_Vickers_CIE_001</v>
      </c>
      <c r="N249" s="21" t="str">
        <f>"str_"&amp;CONTROL[[#This Row],[VEHIDCODE]]</f>
        <v>str_diesel_Metropolitan_Vickers_CIE_001</v>
      </c>
      <c r="O249" s="7" t="b">
        <f>INDEX(PROPERTIES[IS_CONCEPT],MATCH(CONTROL[[#This Row],[VEHIDCODE]],PROPERTIES[VEHIDCODE],0))="IS_CONCEPT"</f>
        <v>0</v>
      </c>
      <c r="P249" s="7" t="b">
        <f>INDEX(PROPERTIES[EXCLUDE],MATCH(CONTROL[[#This Row],[VEHIDCODE]],PROPERTIES[VEHIDCODE],0))</f>
        <v>0</v>
      </c>
      <c r="Q2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0" spans="1:17" x14ac:dyDescent="0.35">
      <c r="A250" s="2" t="s">
        <v>2878</v>
      </c>
      <c r="B250" s="21" t="str">
        <f>MID(CONTROL[[#This Row],[VEHIDCODE]],FIND("_",CONTROL[[#This Row],[VEHIDCODE]])+1,LEN(CONTROL[[#This Row],[VEHIDCODE]]))</f>
        <v>Fiat_Grandi_Motori_D_341</v>
      </c>
      <c r="C2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0">
        <v>5081</v>
      </c>
      <c r="F250" s="30" t="s">
        <v>2564</v>
      </c>
      <c r="G250" t="s">
        <v>1278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ISNUMBER(MATCH(CONTROL[[#This Row],[VEHIDCODE]],TRACK_TYPES[VEHIDCODE],0))</f>
        <v>1</v>
      </c>
      <c r="K250" t="b">
        <f>ISNUMBER(MATCH(CONTROL[[#This Row],[VEHIDCODE]],PROPERTIES[VEHIDCODE],0))</f>
        <v>1</v>
      </c>
      <c r="L250" t="b">
        <f>ISNUMBER(MATCH(CONTROL[[#This Row],[VEHIDCODE]],GRAPHICS_PROPERTIES[VEHIDCODE],0))</f>
        <v>1</v>
      </c>
      <c r="M250" s="21" t="str">
        <f>"item_"&amp;CONTROL[[#This Row],[VEHIDCODE]]</f>
        <v>item_diesel_Fiat_Grandi_Motori_D_341</v>
      </c>
      <c r="N250" s="21" t="str">
        <f>"str_"&amp;CONTROL[[#This Row],[VEHIDCODE]]</f>
        <v>str_diesel_Fiat_Grandi_Motori_D_341</v>
      </c>
      <c r="O250" s="7" t="b">
        <f>INDEX(PROPERTIES[IS_CONCEPT],MATCH(CONTROL[[#This Row],[VEHIDCODE]],PROPERTIES[VEHIDCODE],0))="IS_CONCEPT"</f>
        <v>0</v>
      </c>
      <c r="P250" s="7" t="b">
        <f>INDEX(PROPERTIES[EXCLUDE],MATCH(CONTROL[[#This Row],[VEHIDCODE]],PROPERTIES[VEHIDCODE],0))</f>
        <v>0</v>
      </c>
      <c r="Q2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1" spans="1:17" x14ac:dyDescent="0.35">
      <c r="A251" s="2" t="s">
        <v>2879</v>
      </c>
      <c r="B251" s="21" t="str">
        <f>MID(CONTROL[[#This Row],[VEHIDCODE]],FIND("_",CONTROL[[#This Row],[VEHIDCODE]])+1,LEN(CONTROL[[#This Row],[VEHIDCODE]]))</f>
        <v>ALCO_AE_Goodwin_DL_500B</v>
      </c>
      <c r="C2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1">
        <v>5083</v>
      </c>
      <c r="F251" s="30" t="s">
        <v>2600</v>
      </c>
      <c r="G251" t="s">
        <v>1279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ISNUMBER(MATCH(CONTROL[[#This Row],[VEHIDCODE]],TRACK_TYPES[VEHIDCODE],0))</f>
        <v>1</v>
      </c>
      <c r="K251" t="b">
        <f>ISNUMBER(MATCH(CONTROL[[#This Row],[VEHIDCODE]],PROPERTIES[VEHIDCODE],0))</f>
        <v>1</v>
      </c>
      <c r="L251" t="b">
        <f>ISNUMBER(MATCH(CONTROL[[#This Row],[VEHIDCODE]],GRAPHICS_PROPERTIES[VEHIDCODE],0))</f>
        <v>1</v>
      </c>
      <c r="M251" s="21" t="str">
        <f>"item_"&amp;CONTROL[[#This Row],[VEHIDCODE]]</f>
        <v>item_diesel_ALCO_AE_Goodwin_DL_500B</v>
      </c>
      <c r="N251" s="21" t="str">
        <f>"str_"&amp;CONTROL[[#This Row],[VEHIDCODE]]</f>
        <v>str_diesel_ALCO_AE_Goodwin_DL_500B</v>
      </c>
      <c r="O251" s="7" t="b">
        <f>INDEX(PROPERTIES[IS_CONCEPT],MATCH(CONTROL[[#This Row],[VEHIDCODE]],PROPERTIES[VEHIDCODE],0))="IS_CONCEPT"</f>
        <v>0</v>
      </c>
      <c r="P251" s="7" t="b">
        <f>INDEX(PROPERTIES[EXCLUDE],MATCH(CONTROL[[#This Row],[VEHIDCODE]],PROPERTIES[VEHIDCODE],0))</f>
        <v>1</v>
      </c>
      <c r="Q2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2" spans="1:17" x14ac:dyDescent="0.35">
      <c r="A252" s="2" t="s">
        <v>2880</v>
      </c>
      <c r="B252" s="21" t="str">
        <f>MID(CONTROL[[#This Row],[VEHIDCODE]],FIND("_",CONTROL[[#This Row],[VEHIDCODE]])+1,LEN(CONTROL[[#This Row],[VEHIDCODE]]))</f>
        <v>Henschel_DH_1420</v>
      </c>
      <c r="C2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2">
        <v>5084</v>
      </c>
      <c r="F252" s="30" t="s">
        <v>2601</v>
      </c>
      <c r="G252" t="s">
        <v>1280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ISNUMBER(MATCH(CONTROL[[#This Row],[VEHIDCODE]],TRACK_TYPES[VEHIDCODE],0))</f>
        <v>1</v>
      </c>
      <c r="K252" t="b">
        <f>ISNUMBER(MATCH(CONTROL[[#This Row],[VEHIDCODE]],PROPERTIES[VEHIDCODE],0))</f>
        <v>1</v>
      </c>
      <c r="L252" t="b">
        <f>ISNUMBER(MATCH(CONTROL[[#This Row],[VEHIDCODE]],GRAPHICS_PROPERTIES[VEHIDCODE],0))</f>
        <v>1</v>
      </c>
      <c r="M252" s="21" t="str">
        <f>"item_"&amp;CONTROL[[#This Row],[VEHIDCODE]]</f>
        <v>item_diesel_Henschel_DH_1420</v>
      </c>
      <c r="N252" s="21" t="str">
        <f>"str_"&amp;CONTROL[[#This Row],[VEHIDCODE]]</f>
        <v>str_diesel_Henschel_DH_1420</v>
      </c>
      <c r="O252" s="7" t="b">
        <f>INDEX(PROPERTIES[IS_CONCEPT],MATCH(CONTROL[[#This Row],[VEHIDCODE]],PROPERTIES[VEHIDCODE],0))="IS_CONCEPT"</f>
        <v>0</v>
      </c>
      <c r="P252" s="7" t="b">
        <f>INDEX(PROPERTIES[EXCLUDE],MATCH(CONTROL[[#This Row],[VEHIDCODE]],PROPERTIES[VEHIDCODE],0))</f>
        <v>0</v>
      </c>
      <c r="Q2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3" spans="1:17" x14ac:dyDescent="0.35">
      <c r="A253" s="2" t="s">
        <v>2881</v>
      </c>
      <c r="B253" s="21" t="str">
        <f>MID(CONTROL[[#This Row],[VEHIDCODE]],FIND("_",CONTROL[[#This Row],[VEHIDCODE]])+1,LEN(CONTROL[[#This Row],[VEHIDCODE]]))</f>
        <v>EMD_SD18</v>
      </c>
      <c r="C2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3">
        <v>5085</v>
      </c>
      <c r="F253" s="30" t="s">
        <v>1996</v>
      </c>
      <c r="G253" t="s">
        <v>1281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ISNUMBER(MATCH(CONTROL[[#This Row],[VEHIDCODE]],TRACK_TYPES[VEHIDCODE],0))</f>
        <v>1</v>
      </c>
      <c r="K253" t="b">
        <f>ISNUMBER(MATCH(CONTROL[[#This Row],[VEHIDCODE]],PROPERTIES[VEHIDCODE],0))</f>
        <v>1</v>
      </c>
      <c r="L253" t="b">
        <f>ISNUMBER(MATCH(CONTROL[[#This Row],[VEHIDCODE]],GRAPHICS_PROPERTIES[VEHIDCODE],0))</f>
        <v>1</v>
      </c>
      <c r="M253" s="21" t="str">
        <f>"item_"&amp;CONTROL[[#This Row],[VEHIDCODE]]</f>
        <v>item_diesel_EMD_SD18</v>
      </c>
      <c r="N253" s="21" t="str">
        <f>"str_"&amp;CONTROL[[#This Row],[VEHIDCODE]]</f>
        <v>str_diesel_EMD_SD18</v>
      </c>
      <c r="O253" s="7" t="b">
        <f>INDEX(PROPERTIES[IS_CONCEPT],MATCH(CONTROL[[#This Row],[VEHIDCODE]],PROPERTIES[VEHIDCODE],0))="IS_CONCEPT"</f>
        <v>0</v>
      </c>
      <c r="P253" s="7" t="b">
        <f>INDEX(PROPERTIES[EXCLUDE],MATCH(CONTROL[[#This Row],[VEHIDCODE]],PROPERTIES[VEHIDCODE],0))</f>
        <v>0</v>
      </c>
      <c r="Q2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4" spans="1:17" x14ac:dyDescent="0.35">
      <c r="A254" s="2" t="s">
        <v>2882</v>
      </c>
      <c r="B254" s="21" t="str">
        <f>MID(CONTROL[[#This Row],[VEHIDCODE]],FIND("_",CONTROL[[#This Row],[VEHIDCODE]])+1,LEN(CONTROL[[#This Row],[VEHIDCODE]]))</f>
        <v>Fiat_Grandi_Motori_D_345</v>
      </c>
      <c r="C2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4">
        <v>5086</v>
      </c>
      <c r="F254" s="30" t="s">
        <v>2565</v>
      </c>
      <c r="G254" t="s">
        <v>1282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ISNUMBER(MATCH(CONTROL[[#This Row],[VEHIDCODE]],TRACK_TYPES[VEHIDCODE],0))</f>
        <v>1</v>
      </c>
      <c r="K254" t="b">
        <f>ISNUMBER(MATCH(CONTROL[[#This Row],[VEHIDCODE]],PROPERTIES[VEHIDCODE],0))</f>
        <v>1</v>
      </c>
      <c r="L254" t="b">
        <f>ISNUMBER(MATCH(CONTROL[[#This Row],[VEHIDCODE]],GRAPHICS_PROPERTIES[VEHIDCODE],0))</f>
        <v>1</v>
      </c>
      <c r="M254" s="21" t="str">
        <f>"item_"&amp;CONTROL[[#This Row],[VEHIDCODE]]</f>
        <v>item_diesel_Fiat_Grandi_Motori_D_345</v>
      </c>
      <c r="N254" s="21" t="str">
        <f>"str_"&amp;CONTROL[[#This Row],[VEHIDCODE]]</f>
        <v>str_diesel_Fiat_Grandi_Motori_D_345</v>
      </c>
      <c r="O254" s="7" t="b">
        <f>INDEX(PROPERTIES[IS_CONCEPT],MATCH(CONTROL[[#This Row],[VEHIDCODE]],PROPERTIES[VEHIDCODE],0))="IS_CONCEPT"</f>
        <v>0</v>
      </c>
      <c r="P254" s="7" t="b">
        <f>INDEX(PROPERTIES[EXCLUDE],MATCH(CONTROL[[#This Row],[VEHIDCODE]],PROPERTIES[VEHIDCODE],0))</f>
        <v>0</v>
      </c>
      <c r="Q2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5" spans="1:17" x14ac:dyDescent="0.35">
      <c r="A255" s="2" t="s">
        <v>2883</v>
      </c>
      <c r="B255" s="21" t="str">
        <f>MID(CONTROL[[#This Row],[VEHIDCODE]],FIND("_",CONTROL[[#This Row],[VEHIDCODE]])+1,LEN(CONTROL[[#This Row],[VEHIDCODE]]))</f>
        <v>Henschel_Di4</v>
      </c>
      <c r="C2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5">
        <v>5087</v>
      </c>
      <c r="F255" s="30" t="s">
        <v>2170</v>
      </c>
      <c r="G255" t="s">
        <v>1283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ISNUMBER(MATCH(CONTROL[[#This Row],[VEHIDCODE]],TRACK_TYPES[VEHIDCODE],0))</f>
        <v>1</v>
      </c>
      <c r="K255" t="b">
        <f>ISNUMBER(MATCH(CONTROL[[#This Row],[VEHIDCODE]],PROPERTIES[VEHIDCODE],0))</f>
        <v>1</v>
      </c>
      <c r="L255" t="b">
        <f>ISNUMBER(MATCH(CONTROL[[#This Row],[VEHIDCODE]],GRAPHICS_PROPERTIES[VEHIDCODE],0))</f>
        <v>1</v>
      </c>
      <c r="M255" s="21" t="str">
        <f>"item_"&amp;CONTROL[[#This Row],[VEHIDCODE]]</f>
        <v>item_diesel_Henschel_Di4</v>
      </c>
      <c r="N255" s="21" t="str">
        <f>"str_"&amp;CONTROL[[#This Row],[VEHIDCODE]]</f>
        <v>str_diesel_Henschel_Di4</v>
      </c>
      <c r="O255" s="7" t="b">
        <f>INDEX(PROPERTIES[IS_CONCEPT],MATCH(CONTROL[[#This Row],[VEHIDCODE]],PROPERTIES[VEHIDCODE],0))="IS_CONCEPT"</f>
        <v>0</v>
      </c>
      <c r="P255" s="7" t="b">
        <f>INDEX(PROPERTIES[EXCLUDE],MATCH(CONTROL[[#This Row],[VEHIDCODE]],PROPERTIES[VEHIDCODE],0))</f>
        <v>0</v>
      </c>
      <c r="Q2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6" spans="1:17" x14ac:dyDescent="0.35">
      <c r="A256" s="2" t="s">
        <v>2884</v>
      </c>
      <c r="B256" s="21" t="str">
        <f>MID(CONTROL[[#This Row],[VEHIDCODE]],FIND("_",CONTROL[[#This Row],[VEHIDCODE]])+1,LEN(CONTROL[[#This Row],[VEHIDCODE]]))</f>
        <v>Qishuyan_DF8</v>
      </c>
      <c r="C2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6">
        <v>5088</v>
      </c>
      <c r="F256" s="30" t="s">
        <v>2171</v>
      </c>
      <c r="G256" t="s">
        <v>1284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ISNUMBER(MATCH(CONTROL[[#This Row],[VEHIDCODE]],TRACK_TYPES[VEHIDCODE],0))</f>
        <v>1</v>
      </c>
      <c r="K256" t="b">
        <f>ISNUMBER(MATCH(CONTROL[[#This Row],[VEHIDCODE]],PROPERTIES[VEHIDCODE],0))</f>
        <v>1</v>
      </c>
      <c r="L256" t="b">
        <f>ISNUMBER(MATCH(CONTROL[[#This Row],[VEHIDCODE]],GRAPHICS_PROPERTIES[VEHIDCODE],0))</f>
        <v>1</v>
      </c>
      <c r="M256" s="21" t="str">
        <f>"item_"&amp;CONTROL[[#This Row],[VEHIDCODE]]</f>
        <v>item_diesel_Qishuyan_DF8</v>
      </c>
      <c r="N256" s="21" t="str">
        <f>"str_"&amp;CONTROL[[#This Row],[VEHIDCODE]]</f>
        <v>str_diesel_Qishuyan_DF8</v>
      </c>
      <c r="O256" s="7" t="b">
        <f>INDEX(PROPERTIES[IS_CONCEPT],MATCH(CONTROL[[#This Row],[VEHIDCODE]],PROPERTIES[VEHIDCODE],0))="IS_CONCEPT"</f>
        <v>0</v>
      </c>
      <c r="P256" s="7" t="b">
        <f>INDEX(PROPERTIES[EXCLUDE],MATCH(CONTROL[[#This Row],[VEHIDCODE]],PROPERTIES[VEHIDCODE],0))</f>
        <v>0</v>
      </c>
      <c r="Q2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7" spans="1:17" x14ac:dyDescent="0.35">
      <c r="A257" s="2" t="s">
        <v>3443</v>
      </c>
      <c r="B257" s="21" t="str">
        <f>MID(CONTROL[[#This Row],[VEHIDCODE]],FIND("_",CONTROL[[#This Row],[VEHIDCODE]])+1,LEN(CONTROL[[#This Row],[VEHIDCODE]]))</f>
        <v>EMD_Clyde_JT26C_2SS</v>
      </c>
      <c r="C2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7">
        <v>5089</v>
      </c>
      <c r="F257" s="30" t="s">
        <v>3455</v>
      </c>
      <c r="G257" t="s">
        <v>1285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ISNUMBER(MATCH(CONTROL[[#This Row],[VEHIDCODE]],TRACK_TYPES[VEHIDCODE],0))</f>
        <v>1</v>
      </c>
      <c r="K257" t="b">
        <f>ISNUMBER(MATCH(CONTROL[[#This Row],[VEHIDCODE]],PROPERTIES[VEHIDCODE],0))</f>
        <v>1</v>
      </c>
      <c r="L257" t="b">
        <f>ISNUMBER(MATCH(CONTROL[[#This Row],[VEHIDCODE]],GRAPHICS_PROPERTIES[VEHIDCODE],0))</f>
        <v>1</v>
      </c>
      <c r="M257" s="21" t="str">
        <f>"item_"&amp;CONTROL[[#This Row],[VEHIDCODE]]</f>
        <v>item_diesel_EMD_Clyde_JT26C_2SS</v>
      </c>
      <c r="N257" s="21" t="str">
        <f>"str_"&amp;CONTROL[[#This Row],[VEHIDCODE]]</f>
        <v>str_diesel_EMD_Clyde_JT26C_2SS</v>
      </c>
      <c r="O257" s="7" t="b">
        <f>INDEX(PROPERTIES[IS_CONCEPT],MATCH(CONTROL[[#This Row],[VEHIDCODE]],PROPERTIES[VEHIDCODE],0))="IS_CONCEPT"</f>
        <v>0</v>
      </c>
      <c r="P257" s="7" t="b">
        <f>INDEX(PROPERTIES[EXCLUDE],MATCH(CONTROL[[#This Row],[VEHIDCODE]],PROPERTIES[VEHIDCODE],0))</f>
        <v>1</v>
      </c>
      <c r="Q2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8" spans="1:17" x14ac:dyDescent="0.35">
      <c r="A258" s="2" t="s">
        <v>2885</v>
      </c>
      <c r="B258" s="21" t="str">
        <f>MID(CONTROL[[#This Row],[VEHIDCODE]],FIND("_",CONTROL[[#This Row],[VEHIDCODE]])+1,LEN(CONTROL[[#This Row],[VEHIDCODE]]))</f>
        <v>Brush_Class_60</v>
      </c>
      <c r="C2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8">
        <v>5090</v>
      </c>
      <c r="F258" s="30" t="s">
        <v>2172</v>
      </c>
      <c r="G258" t="s">
        <v>1286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ISNUMBER(MATCH(CONTROL[[#This Row],[VEHIDCODE]],TRACK_TYPES[VEHIDCODE],0))</f>
        <v>1</v>
      </c>
      <c r="K258" t="b">
        <f>ISNUMBER(MATCH(CONTROL[[#This Row],[VEHIDCODE]],PROPERTIES[VEHIDCODE],0))</f>
        <v>1</v>
      </c>
      <c r="L258" t="b">
        <f>ISNUMBER(MATCH(CONTROL[[#This Row],[VEHIDCODE]],GRAPHICS_PROPERTIES[VEHIDCODE],0))</f>
        <v>1</v>
      </c>
      <c r="M258" s="21" t="str">
        <f>"item_"&amp;CONTROL[[#This Row],[VEHIDCODE]]</f>
        <v>item_diesel_Brush_Class_60</v>
      </c>
      <c r="N258" s="21" t="str">
        <f>"str_"&amp;CONTROL[[#This Row],[VEHIDCODE]]</f>
        <v>str_diesel_Brush_Class_60</v>
      </c>
      <c r="O258" s="7" t="b">
        <f>INDEX(PROPERTIES[IS_CONCEPT],MATCH(CONTROL[[#This Row],[VEHIDCODE]],PROPERTIES[VEHIDCODE],0))="IS_CONCEPT"</f>
        <v>0</v>
      </c>
      <c r="P258" s="7" t="b">
        <f>INDEX(PROPERTIES[EXCLUDE],MATCH(CONTROL[[#This Row],[VEHIDCODE]],PROPERTIES[VEHIDCODE],0))</f>
        <v>0</v>
      </c>
      <c r="Q2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59" spans="1:17" x14ac:dyDescent="0.35">
      <c r="A259" s="2" t="s">
        <v>2886</v>
      </c>
      <c r="B259" s="21" t="str">
        <f>MID(CONTROL[[#This Row],[VEHIDCODE]],FIND("_",CONTROL[[#This Row],[VEHIDCODE]])+1,LEN(CONTROL[[#This Row],[VEHIDCODE]]))</f>
        <v>GE_Goninan_CM25_8</v>
      </c>
      <c r="C2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59">
        <v>5091</v>
      </c>
      <c r="F259" s="30" t="s">
        <v>2173</v>
      </c>
      <c r="G259" t="s">
        <v>1287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ISNUMBER(MATCH(CONTROL[[#This Row],[VEHIDCODE]],TRACK_TYPES[VEHIDCODE],0))</f>
        <v>1</v>
      </c>
      <c r="K259" t="b">
        <f>ISNUMBER(MATCH(CONTROL[[#This Row],[VEHIDCODE]],PROPERTIES[VEHIDCODE],0))</f>
        <v>1</v>
      </c>
      <c r="L259" t="b">
        <f>ISNUMBER(MATCH(CONTROL[[#This Row],[VEHIDCODE]],GRAPHICS_PROPERTIES[VEHIDCODE],0))</f>
        <v>1</v>
      </c>
      <c r="M259" s="21" t="str">
        <f>"item_"&amp;CONTROL[[#This Row],[VEHIDCODE]]</f>
        <v>item_diesel_GE_Goninan_CM25_8</v>
      </c>
      <c r="N259" s="21" t="str">
        <f>"str_"&amp;CONTROL[[#This Row],[VEHIDCODE]]</f>
        <v>str_diesel_GE_Goninan_CM25_8</v>
      </c>
      <c r="O259" s="7" t="b">
        <f>INDEX(PROPERTIES[IS_CONCEPT],MATCH(CONTROL[[#This Row],[VEHIDCODE]],PROPERTIES[VEHIDCODE],0))="IS_CONCEPT"</f>
        <v>0</v>
      </c>
      <c r="P259" s="7" t="b">
        <f>INDEX(PROPERTIES[EXCLUDE],MATCH(CONTROL[[#This Row],[VEHIDCODE]],PROPERTIES[VEHIDCODE],0))</f>
        <v>0</v>
      </c>
      <c r="Q2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0" spans="1:17" x14ac:dyDescent="0.35">
      <c r="A260" s="2" t="s">
        <v>2887</v>
      </c>
      <c r="B260" s="21" t="str">
        <f>MID(CONTROL[[#This Row],[VEHIDCODE]],FIND("_",CONTROL[[#This Row],[VEHIDCODE]])+1,LEN(CONTROL[[#This Row],[VEHIDCODE]]))</f>
        <v>EMD_SD70ACS</v>
      </c>
      <c r="C2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0">
        <v>5092</v>
      </c>
      <c r="F260" s="30" t="s">
        <v>2174</v>
      </c>
      <c r="G260" t="s">
        <v>1288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ISNUMBER(MATCH(CONTROL[[#This Row],[VEHIDCODE]],TRACK_TYPES[VEHIDCODE],0))</f>
        <v>1</v>
      </c>
      <c r="K260" t="b">
        <f>ISNUMBER(MATCH(CONTROL[[#This Row],[VEHIDCODE]],PROPERTIES[VEHIDCODE],0))</f>
        <v>1</v>
      </c>
      <c r="L260" t="b">
        <f>ISNUMBER(MATCH(CONTROL[[#This Row],[VEHIDCODE]],GRAPHICS_PROPERTIES[VEHIDCODE],0))</f>
        <v>1</v>
      </c>
      <c r="M260" s="21" t="str">
        <f>"item_"&amp;CONTROL[[#This Row],[VEHIDCODE]]</f>
        <v>item_diesel_EMD_SD70ACS</v>
      </c>
      <c r="N260" s="21" t="str">
        <f>"str_"&amp;CONTROL[[#This Row],[VEHIDCODE]]</f>
        <v>str_diesel_EMD_SD70ACS</v>
      </c>
      <c r="O260" s="7" t="b">
        <f>INDEX(PROPERTIES[IS_CONCEPT],MATCH(CONTROL[[#This Row],[VEHIDCODE]],PROPERTIES[VEHIDCODE],0))="IS_CONCEPT"</f>
        <v>0</v>
      </c>
      <c r="P260" s="7" t="b">
        <f>INDEX(PROPERTIES[EXCLUDE],MATCH(CONTROL[[#This Row],[VEHIDCODE]],PROPERTIES[VEHIDCODE],0))</f>
        <v>1</v>
      </c>
      <c r="Q2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1" spans="1:17" x14ac:dyDescent="0.35">
      <c r="A261" s="2" t="s">
        <v>2888</v>
      </c>
      <c r="B261" s="21" t="str">
        <f>MID(CONTROL[[#This Row],[VEHIDCODE]],FIND("_",CONTROL[[#This Row],[VEHIDCODE]])+1,LEN(CONTROL[[#This Row],[VEHIDCODE]]))</f>
        <v>GMD_JT42HCW</v>
      </c>
      <c r="C2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1">
        <v>5093</v>
      </c>
      <c r="F261" s="30" t="s">
        <v>1997</v>
      </c>
      <c r="G261" t="s">
        <v>1289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ISNUMBER(MATCH(CONTROL[[#This Row],[VEHIDCODE]],TRACK_TYPES[VEHIDCODE],0))</f>
        <v>1</v>
      </c>
      <c r="K261" t="b">
        <f>ISNUMBER(MATCH(CONTROL[[#This Row],[VEHIDCODE]],PROPERTIES[VEHIDCODE],0))</f>
        <v>1</v>
      </c>
      <c r="L261" t="b">
        <f>ISNUMBER(MATCH(CONTROL[[#This Row],[VEHIDCODE]],GRAPHICS_PROPERTIES[VEHIDCODE],0))</f>
        <v>1</v>
      </c>
      <c r="M261" s="21" t="str">
        <f>"item_"&amp;CONTROL[[#This Row],[VEHIDCODE]]</f>
        <v>item_diesel_GMD_JT42HCW</v>
      </c>
      <c r="N261" s="21" t="str">
        <f>"str_"&amp;CONTROL[[#This Row],[VEHIDCODE]]</f>
        <v>str_diesel_GMD_JT42HCW</v>
      </c>
      <c r="O261" s="7" t="b">
        <f>INDEX(PROPERTIES[IS_CONCEPT],MATCH(CONTROL[[#This Row],[VEHIDCODE]],PROPERTIES[VEHIDCODE],0))="IS_CONCEPT"</f>
        <v>0</v>
      </c>
      <c r="P261" s="7" t="b">
        <f>INDEX(PROPERTIES[EXCLUDE],MATCH(CONTROL[[#This Row],[VEHIDCODE]],PROPERTIES[VEHIDCODE],0))</f>
        <v>0</v>
      </c>
      <c r="Q2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2" spans="1:17" x14ac:dyDescent="0.35">
      <c r="A262" s="2" t="s">
        <v>2889</v>
      </c>
      <c r="B262" s="21" t="str">
        <f>MID(CONTROL[[#This Row],[VEHIDCODE]],FIND("_",CONTROL[[#This Row],[VEHIDCODE]])+1,LEN(CONTROL[[#This Row],[VEHIDCODE]]))</f>
        <v>EMD_F59PH</v>
      </c>
      <c r="C2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2">
        <v>5094</v>
      </c>
      <c r="F262" s="30" t="s">
        <v>1998</v>
      </c>
      <c r="G262" t="s">
        <v>1290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ISNUMBER(MATCH(CONTROL[[#This Row],[VEHIDCODE]],TRACK_TYPES[VEHIDCODE],0))</f>
        <v>1</v>
      </c>
      <c r="K262" t="b">
        <f>ISNUMBER(MATCH(CONTROL[[#This Row],[VEHIDCODE]],PROPERTIES[VEHIDCODE],0))</f>
        <v>1</v>
      </c>
      <c r="L262" t="b">
        <f>ISNUMBER(MATCH(CONTROL[[#This Row],[VEHIDCODE]],GRAPHICS_PROPERTIES[VEHIDCODE],0))</f>
        <v>1</v>
      </c>
      <c r="M262" s="21" t="str">
        <f>"item_"&amp;CONTROL[[#This Row],[VEHIDCODE]]</f>
        <v>item_diesel_EMD_F59PH</v>
      </c>
      <c r="N262" s="21" t="str">
        <f>"str_"&amp;CONTROL[[#This Row],[VEHIDCODE]]</f>
        <v>str_diesel_EMD_F59PH</v>
      </c>
      <c r="O262" s="7" t="b">
        <f>INDEX(PROPERTIES[IS_CONCEPT],MATCH(CONTROL[[#This Row],[VEHIDCODE]],PROPERTIES[VEHIDCODE],0))="IS_CONCEPT"</f>
        <v>0</v>
      </c>
      <c r="P262" s="7" t="b">
        <f>INDEX(PROPERTIES[EXCLUDE],MATCH(CONTROL[[#This Row],[VEHIDCODE]],PROPERTIES[VEHIDCODE],0))</f>
        <v>0</v>
      </c>
      <c r="Q2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3" spans="1:17" x14ac:dyDescent="0.35">
      <c r="A263" s="2" t="s">
        <v>2890</v>
      </c>
      <c r="B263" s="21" t="str">
        <f>MID(CONTROL[[#This Row],[VEHIDCODE]],FIND("_",CONTROL[[#This Row],[VEHIDCODE]])+1,LEN(CONTROL[[#This Row],[VEHIDCODE]]))</f>
        <v>MaK___Vossloh_G1206</v>
      </c>
      <c r="C2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3">
        <v>5095</v>
      </c>
      <c r="F263" s="30" t="s">
        <v>3523</v>
      </c>
      <c r="G263" t="s">
        <v>1291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ISNUMBER(MATCH(CONTROL[[#This Row],[VEHIDCODE]],TRACK_TYPES[VEHIDCODE],0))</f>
        <v>1</v>
      </c>
      <c r="K263" t="b">
        <f>ISNUMBER(MATCH(CONTROL[[#This Row],[VEHIDCODE]],PROPERTIES[VEHIDCODE],0))</f>
        <v>1</v>
      </c>
      <c r="L263" t="b">
        <f>ISNUMBER(MATCH(CONTROL[[#This Row],[VEHIDCODE]],GRAPHICS_PROPERTIES[VEHIDCODE],0))</f>
        <v>1</v>
      </c>
      <c r="M263" s="21" t="str">
        <f>"item_"&amp;CONTROL[[#This Row],[VEHIDCODE]]</f>
        <v>item_diesel_MaK___Vossloh_G1206</v>
      </c>
      <c r="N263" s="21" t="str">
        <f>"str_"&amp;CONTROL[[#This Row],[VEHIDCODE]]</f>
        <v>str_diesel_MaK___Vossloh_G1206</v>
      </c>
      <c r="O263" s="7" t="b">
        <f>INDEX(PROPERTIES[IS_CONCEPT],MATCH(CONTROL[[#This Row],[VEHIDCODE]],PROPERTIES[VEHIDCODE],0))="IS_CONCEPT"</f>
        <v>0</v>
      </c>
      <c r="P263" s="7" t="b">
        <f>INDEX(PROPERTIES[EXCLUDE],MATCH(CONTROL[[#This Row],[VEHIDCODE]],PROPERTIES[VEHIDCODE],0))</f>
        <v>0</v>
      </c>
      <c r="Q2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4" spans="1:17" x14ac:dyDescent="0.35">
      <c r="A264" s="2" t="s">
        <v>2891</v>
      </c>
      <c r="B264" s="21" t="str">
        <f>MID(CONTROL[[#This Row],[VEHIDCODE]],FIND("_",CONTROL[[#This Row],[VEHIDCODE]])+1,LEN(CONTROL[[#This Row],[VEHIDCODE]]))</f>
        <v>Vossloh_G_2000_BB</v>
      </c>
      <c r="C2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4">
        <v>5096</v>
      </c>
      <c r="F264" s="30" t="s">
        <v>2043</v>
      </c>
      <c r="G264" t="s">
        <v>1292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ISNUMBER(MATCH(CONTROL[[#This Row],[VEHIDCODE]],TRACK_TYPES[VEHIDCODE],0))</f>
        <v>1</v>
      </c>
      <c r="K264" t="b">
        <f>ISNUMBER(MATCH(CONTROL[[#This Row],[VEHIDCODE]],PROPERTIES[VEHIDCODE],0))</f>
        <v>1</v>
      </c>
      <c r="L264" t="b">
        <f>ISNUMBER(MATCH(CONTROL[[#This Row],[VEHIDCODE]],GRAPHICS_PROPERTIES[VEHIDCODE],0))</f>
        <v>1</v>
      </c>
      <c r="M264" s="21" t="str">
        <f>"item_"&amp;CONTROL[[#This Row],[VEHIDCODE]]</f>
        <v>item_diesel_Vossloh_G_2000_BB</v>
      </c>
      <c r="N264" s="21" t="str">
        <f>"str_"&amp;CONTROL[[#This Row],[VEHIDCODE]]</f>
        <v>str_diesel_Vossloh_G_2000_BB</v>
      </c>
      <c r="O264" s="7" t="b">
        <f>INDEX(PROPERTIES[IS_CONCEPT],MATCH(CONTROL[[#This Row],[VEHIDCODE]],PROPERTIES[VEHIDCODE],0))="IS_CONCEPT"</f>
        <v>0</v>
      </c>
      <c r="P264" s="7" t="b">
        <f>INDEX(PROPERTIES[EXCLUDE],MATCH(CONTROL[[#This Row],[VEHIDCODE]],PROPERTIES[VEHIDCODE],0))</f>
        <v>0</v>
      </c>
      <c r="Q2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5" spans="1:17" x14ac:dyDescent="0.35">
      <c r="A265" s="2" t="s">
        <v>2892</v>
      </c>
      <c r="B265" s="21" t="str">
        <f>MID(CONTROL[[#This Row],[VEHIDCODE]],FIND("_",CONTROL[[#This Row],[VEHIDCODE]])+1,LEN(CONTROL[[#This Row],[VEHIDCODE]]))</f>
        <v>MPI_MP40PH_3C</v>
      </c>
      <c r="C2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5">
        <v>5097</v>
      </c>
      <c r="F265" s="30" t="s">
        <v>2020</v>
      </c>
      <c r="G265" t="s">
        <v>1293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ISNUMBER(MATCH(CONTROL[[#This Row],[VEHIDCODE]],TRACK_TYPES[VEHIDCODE],0))</f>
        <v>1</v>
      </c>
      <c r="K265" t="b">
        <f>ISNUMBER(MATCH(CONTROL[[#This Row],[VEHIDCODE]],PROPERTIES[VEHIDCODE],0))</f>
        <v>1</v>
      </c>
      <c r="L265" t="b">
        <f>ISNUMBER(MATCH(CONTROL[[#This Row],[VEHIDCODE]],GRAPHICS_PROPERTIES[VEHIDCODE],0))</f>
        <v>1</v>
      </c>
      <c r="M265" s="21" t="str">
        <f>"item_"&amp;CONTROL[[#This Row],[VEHIDCODE]]</f>
        <v>item_diesel_MPI_MP40PH_3C</v>
      </c>
      <c r="N265" s="21" t="str">
        <f>"str_"&amp;CONTROL[[#This Row],[VEHIDCODE]]</f>
        <v>str_diesel_MPI_MP40PH_3C</v>
      </c>
      <c r="O265" s="7" t="b">
        <f>INDEX(PROPERTIES[IS_CONCEPT],MATCH(CONTROL[[#This Row],[VEHIDCODE]],PROPERTIES[VEHIDCODE],0))="IS_CONCEPT"</f>
        <v>0</v>
      </c>
      <c r="P265" s="7" t="b">
        <f>INDEX(PROPERTIES[EXCLUDE],MATCH(CONTROL[[#This Row],[VEHIDCODE]],PROPERTIES[VEHIDCODE],0))</f>
        <v>0</v>
      </c>
      <c r="Q2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6" spans="1:17" x14ac:dyDescent="0.35">
      <c r="A266" s="2" t="s">
        <v>3462</v>
      </c>
      <c r="B266" s="21" t="str">
        <f>MID(CONTROL[[#This Row],[VEHIDCODE]],FIND("_",CONTROL[[#This Row],[VEHIDCODE]])+1,LEN(CONTROL[[#This Row],[VEHIDCODE]]))</f>
        <v>Vossloh_Espana___EMD_334</v>
      </c>
      <c r="C2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6">
        <v>5098</v>
      </c>
      <c r="F266" s="30" t="s">
        <v>3524</v>
      </c>
      <c r="G266" t="s">
        <v>1294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ISNUMBER(MATCH(CONTROL[[#This Row],[VEHIDCODE]],TRACK_TYPES[VEHIDCODE],0))</f>
        <v>1</v>
      </c>
      <c r="K266" t="b">
        <f>ISNUMBER(MATCH(CONTROL[[#This Row],[VEHIDCODE]],PROPERTIES[VEHIDCODE],0))</f>
        <v>1</v>
      </c>
      <c r="L266" t="b">
        <f>ISNUMBER(MATCH(CONTROL[[#This Row],[VEHIDCODE]],GRAPHICS_PROPERTIES[VEHIDCODE],0))</f>
        <v>1</v>
      </c>
      <c r="M266" s="21" t="str">
        <f>"item_"&amp;CONTROL[[#This Row],[VEHIDCODE]]</f>
        <v>item_diesel_Vossloh_Espana___EMD_334</v>
      </c>
      <c r="N266" s="21" t="str">
        <f>"str_"&amp;CONTROL[[#This Row],[VEHIDCODE]]</f>
        <v>str_diesel_Vossloh_Espana___EMD_334</v>
      </c>
      <c r="O266" s="7" t="b">
        <f>INDEX(PROPERTIES[IS_CONCEPT],MATCH(CONTROL[[#This Row],[VEHIDCODE]],PROPERTIES[VEHIDCODE],0))="IS_CONCEPT"</f>
        <v>0</v>
      </c>
      <c r="P266" s="7" t="b">
        <f>INDEX(PROPERTIES[EXCLUDE],MATCH(CONTROL[[#This Row],[VEHIDCODE]],PROPERTIES[VEHIDCODE],0))</f>
        <v>0</v>
      </c>
      <c r="Q2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7" spans="1:17" x14ac:dyDescent="0.35">
      <c r="A267" s="2" t="s">
        <v>2893</v>
      </c>
      <c r="B267" s="21" t="str">
        <f>MID(CONTROL[[#This Row],[VEHIDCODE]],FIND("_",CONTROL[[#This Row],[VEHIDCODE]])+1,LEN(CONTROL[[#This Row],[VEHIDCODE]]))</f>
        <v>INKA_CC300</v>
      </c>
      <c r="C2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7">
        <v>5099</v>
      </c>
      <c r="F267" s="30" t="s">
        <v>2374</v>
      </c>
      <c r="G267" t="s">
        <v>1295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ISNUMBER(MATCH(CONTROL[[#This Row],[VEHIDCODE]],TRACK_TYPES[VEHIDCODE],0))</f>
        <v>1</v>
      </c>
      <c r="K267" t="b">
        <f>ISNUMBER(MATCH(CONTROL[[#This Row],[VEHIDCODE]],PROPERTIES[VEHIDCODE],0))</f>
        <v>1</v>
      </c>
      <c r="L267" t="b">
        <f>ISNUMBER(MATCH(CONTROL[[#This Row],[VEHIDCODE]],GRAPHICS_PROPERTIES[VEHIDCODE],0))</f>
        <v>1</v>
      </c>
      <c r="M267" s="21" t="str">
        <f>"item_"&amp;CONTROL[[#This Row],[VEHIDCODE]]</f>
        <v>item_diesel_INKA_CC300</v>
      </c>
      <c r="N267" s="21" t="str">
        <f>"str_"&amp;CONTROL[[#This Row],[VEHIDCODE]]</f>
        <v>str_diesel_INKA_CC300</v>
      </c>
      <c r="O267" s="7" t="b">
        <f>INDEX(PROPERTIES[IS_CONCEPT],MATCH(CONTROL[[#This Row],[VEHIDCODE]],PROPERTIES[VEHIDCODE],0))="IS_CONCEPT"</f>
        <v>0</v>
      </c>
      <c r="P267" s="7" t="b">
        <f>INDEX(PROPERTIES[EXCLUDE],MATCH(CONTROL[[#This Row],[VEHIDCODE]],PROPERTIES[VEHIDCODE],0))</f>
        <v>0</v>
      </c>
      <c r="Q2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68" spans="1:17" x14ac:dyDescent="0.35">
      <c r="A268" s="2" t="s">
        <v>2894</v>
      </c>
      <c r="B268" s="21" t="str">
        <f>MID(CONTROL[[#This Row],[VEHIDCODE]],FIND("_",CONTROL[[#This Row],[VEHIDCODE]])+1,LEN(CONTROL[[#This Row],[VEHIDCODE]]))</f>
        <v>Great_Southern_Railway_DH501</v>
      </c>
      <c r="C2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8">
        <v>5101</v>
      </c>
      <c r="F268" s="30" t="s">
        <v>373</v>
      </c>
      <c r="G268" t="s">
        <v>1195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ISNUMBER(MATCH(CONTROL[[#This Row],[VEHIDCODE]],TRACK_TYPES[VEHIDCODE],0))</f>
        <v>1</v>
      </c>
      <c r="K268" t="b">
        <f>ISNUMBER(MATCH(CONTROL[[#This Row],[VEHIDCODE]],PROPERTIES[VEHIDCODE],0))</f>
        <v>1</v>
      </c>
      <c r="L268" t="b">
        <f>ISNUMBER(MATCH(CONTROL[[#This Row],[VEHIDCODE]],GRAPHICS_PROPERTIES[VEHIDCODE],0))</f>
        <v>1</v>
      </c>
      <c r="M268" s="21" t="str">
        <f>"item_"&amp;CONTROL[[#This Row],[VEHIDCODE]]</f>
        <v>item_diesel_Great_Southern_Railway_DH501</v>
      </c>
      <c r="N268" s="21" t="str">
        <f>"str_"&amp;CONTROL[[#This Row],[VEHIDCODE]]</f>
        <v>str_diesel_Great_Southern_Railway_DH501</v>
      </c>
      <c r="O268" s="7" t="b">
        <f>INDEX(PROPERTIES[IS_CONCEPT],MATCH(CONTROL[[#This Row],[VEHIDCODE]],PROPERTIES[VEHIDCODE],0))="IS_CONCEPT"</f>
        <v>0</v>
      </c>
      <c r="P268" s="7" t="b">
        <f>INDEX(PROPERTIES[EXCLUDE],MATCH(CONTROL[[#This Row],[VEHIDCODE]],PROPERTIES[VEHIDCODE],0))</f>
        <v>0</v>
      </c>
      <c r="Q2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269" spans="1:17" x14ac:dyDescent="0.35">
      <c r="A269" s="2" t="s">
        <v>2895</v>
      </c>
      <c r="B269" s="21" t="str">
        <f>MID(CONTROL[[#This Row],[VEHIDCODE]],FIND("_",CONTROL[[#This Row],[VEHIDCODE]])+1,LEN(CONTROL[[#This Row],[VEHIDCODE]]))</f>
        <v>EE_VFFLB</v>
      </c>
      <c r="C2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69">
        <v>5102</v>
      </c>
      <c r="F269" s="30" t="s">
        <v>374</v>
      </c>
      <c r="G269" t="s">
        <v>1296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ISNUMBER(MATCH(CONTROL[[#This Row],[VEHIDCODE]],TRACK_TYPES[VEHIDCODE],0))</f>
        <v>1</v>
      </c>
      <c r="K269" t="b">
        <f>ISNUMBER(MATCH(CONTROL[[#This Row],[VEHIDCODE]],PROPERTIES[VEHIDCODE],0))</f>
        <v>1</v>
      </c>
      <c r="L269" t="b">
        <f>ISNUMBER(MATCH(CONTROL[[#This Row],[VEHIDCODE]],GRAPHICS_PROPERTIES[VEHIDCODE],0))</f>
        <v>1</v>
      </c>
      <c r="M269" s="21" t="str">
        <f>"item_"&amp;CONTROL[[#This Row],[VEHIDCODE]]</f>
        <v>item_diesel_EE_VFFLB</v>
      </c>
      <c r="N269" s="21" t="str">
        <f>"str_"&amp;CONTROL[[#This Row],[VEHIDCODE]]</f>
        <v>str_diesel_EE_VFFLB</v>
      </c>
      <c r="O269" s="7" t="b">
        <f>INDEX(PROPERTIES[IS_CONCEPT],MATCH(CONTROL[[#This Row],[VEHIDCODE]],PROPERTIES[VEHIDCODE],0))="IS_CONCEPT"</f>
        <v>0</v>
      </c>
      <c r="P269" s="7" t="b">
        <f>INDEX(PROPERTIES[EXCLUDE],MATCH(CONTROL[[#This Row],[VEHIDCODE]],PROPERTIES[VEHIDCODE],0))</f>
        <v>0</v>
      </c>
      <c r="Q2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0" spans="1:17" x14ac:dyDescent="0.35">
      <c r="A270" s="2" t="s">
        <v>2896</v>
      </c>
      <c r="B270" s="21" t="str">
        <f>MID(CONTROL[[#This Row],[VEHIDCODE]],FIND("_",CONTROL[[#This Row],[VEHIDCODE]])+1,LEN(CONTROL[[#This Row],[VEHIDCODE]]))</f>
        <v>GE_U5B</v>
      </c>
      <c r="C2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0">
        <v>5106</v>
      </c>
      <c r="F270" s="30" t="s">
        <v>1999</v>
      </c>
      <c r="G270" t="s">
        <v>1297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ISNUMBER(MATCH(CONTROL[[#This Row],[VEHIDCODE]],TRACK_TYPES[VEHIDCODE],0))</f>
        <v>1</v>
      </c>
      <c r="K270" t="b">
        <f>ISNUMBER(MATCH(CONTROL[[#This Row],[VEHIDCODE]],PROPERTIES[VEHIDCODE],0))</f>
        <v>1</v>
      </c>
      <c r="L270" t="b">
        <f>ISNUMBER(MATCH(CONTROL[[#This Row],[VEHIDCODE]],GRAPHICS_PROPERTIES[VEHIDCODE],0))</f>
        <v>1</v>
      </c>
      <c r="M270" s="21" t="str">
        <f>"item_"&amp;CONTROL[[#This Row],[VEHIDCODE]]</f>
        <v>item_diesel_GE_U5B</v>
      </c>
      <c r="N270" s="21" t="str">
        <f>"str_"&amp;CONTROL[[#This Row],[VEHIDCODE]]</f>
        <v>str_diesel_GE_U5B</v>
      </c>
      <c r="O270" s="7" t="b">
        <f>INDEX(PROPERTIES[IS_CONCEPT],MATCH(CONTROL[[#This Row],[VEHIDCODE]],PROPERTIES[VEHIDCODE],0))="IS_CONCEPT"</f>
        <v>0</v>
      </c>
      <c r="P270" s="7" t="b">
        <f>INDEX(PROPERTIES[EXCLUDE],MATCH(CONTROL[[#This Row],[VEHIDCODE]],PROPERTIES[VEHIDCODE],0))</f>
        <v>0</v>
      </c>
      <c r="Q2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1" spans="1:17" x14ac:dyDescent="0.35">
      <c r="A271" s="2" t="s">
        <v>2897</v>
      </c>
      <c r="B271" s="21" t="str">
        <f>MID(CONTROL[[#This Row],[VEHIDCODE]],FIND("_",CONTROL[[#This Row],[VEHIDCODE]])+1,LEN(CONTROL[[#This Row],[VEHIDCODE]]))</f>
        <v>ALCO_RSD_39</v>
      </c>
      <c r="C2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1">
        <v>5108</v>
      </c>
      <c r="F271" s="30" t="s">
        <v>2175</v>
      </c>
      <c r="G271" t="s">
        <v>1298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ISNUMBER(MATCH(CONTROL[[#This Row],[VEHIDCODE]],TRACK_TYPES[VEHIDCODE],0))</f>
        <v>1</v>
      </c>
      <c r="K271" t="b">
        <f>ISNUMBER(MATCH(CONTROL[[#This Row],[VEHIDCODE]],PROPERTIES[VEHIDCODE],0))</f>
        <v>1</v>
      </c>
      <c r="L271" t="b">
        <f>ISNUMBER(MATCH(CONTROL[[#This Row],[VEHIDCODE]],GRAPHICS_PROPERTIES[VEHIDCODE],0))</f>
        <v>1</v>
      </c>
      <c r="M271" s="21" t="str">
        <f>"item_"&amp;CONTROL[[#This Row],[VEHIDCODE]]</f>
        <v>item_diesel_ALCO_RSD_39</v>
      </c>
      <c r="N271" s="21" t="str">
        <f>"str_"&amp;CONTROL[[#This Row],[VEHIDCODE]]</f>
        <v>str_diesel_ALCO_RSD_39</v>
      </c>
      <c r="O271" s="7" t="b">
        <f>INDEX(PROPERTIES[IS_CONCEPT],MATCH(CONTROL[[#This Row],[VEHIDCODE]],PROPERTIES[VEHIDCODE],0))="IS_CONCEPT"</f>
        <v>0</v>
      </c>
      <c r="P271" s="7" t="b">
        <f>INDEX(PROPERTIES[EXCLUDE],MATCH(CONTROL[[#This Row],[VEHIDCODE]],PROPERTIES[VEHIDCODE],0))</f>
        <v>0</v>
      </c>
      <c r="Q2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2" spans="1:17" x14ac:dyDescent="0.35">
      <c r="A272" s="2" t="s">
        <v>2898</v>
      </c>
      <c r="B272" s="21" t="str">
        <f>MID(CONTROL[[#This Row],[VEHIDCODE]],FIND("_",CONTROL[[#This Row],[VEHIDCODE]])+1,LEN(CONTROL[[#This Row],[VEHIDCODE]]))</f>
        <v>EMD_DDM45</v>
      </c>
      <c r="C2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2">
        <v>5109</v>
      </c>
      <c r="F272" s="30" t="s">
        <v>2000</v>
      </c>
      <c r="G272" t="s">
        <v>1299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ISNUMBER(MATCH(CONTROL[[#This Row],[VEHIDCODE]],TRACK_TYPES[VEHIDCODE],0))</f>
        <v>1</v>
      </c>
      <c r="K272" t="b">
        <f>ISNUMBER(MATCH(CONTROL[[#This Row],[VEHIDCODE]],PROPERTIES[VEHIDCODE],0))</f>
        <v>1</v>
      </c>
      <c r="L272" t="b">
        <f>ISNUMBER(MATCH(CONTROL[[#This Row],[VEHIDCODE]],GRAPHICS_PROPERTIES[VEHIDCODE],0))</f>
        <v>1</v>
      </c>
      <c r="M272" s="21" t="str">
        <f>"item_"&amp;CONTROL[[#This Row],[VEHIDCODE]]</f>
        <v>item_diesel_EMD_DDM45</v>
      </c>
      <c r="N272" s="21" t="str">
        <f>"str_"&amp;CONTROL[[#This Row],[VEHIDCODE]]</f>
        <v>str_diesel_EMD_DDM45</v>
      </c>
      <c r="O272" s="7" t="b">
        <f>INDEX(PROPERTIES[IS_CONCEPT],MATCH(CONTROL[[#This Row],[VEHIDCODE]],PROPERTIES[VEHIDCODE],0))="IS_CONCEPT"</f>
        <v>0</v>
      </c>
      <c r="P272" s="7" t="b">
        <f>INDEX(PROPERTIES[EXCLUDE],MATCH(CONTROL[[#This Row],[VEHIDCODE]],PROPERTIES[VEHIDCODE],0))</f>
        <v>0</v>
      </c>
      <c r="Q2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3" spans="1:17" x14ac:dyDescent="0.35">
      <c r="A273" s="2" t="s">
        <v>2899</v>
      </c>
      <c r="B273" s="21" t="str">
        <f>MID(CONTROL[[#This Row],[VEHIDCODE]],FIND("_",CONTROL[[#This Row],[VEHIDCODE]])+1,LEN(CONTROL[[#This Row],[VEHIDCODE]]))</f>
        <v>GE_C39_8__FCCA_</v>
      </c>
      <c r="C2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3">
        <v>5113</v>
      </c>
      <c r="F273" s="30" t="s">
        <v>3513</v>
      </c>
      <c r="G273" t="s">
        <v>1300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ISNUMBER(MATCH(CONTROL[[#This Row],[VEHIDCODE]],TRACK_TYPES[VEHIDCODE],0))</f>
        <v>1</v>
      </c>
      <c r="K273" t="b">
        <f>ISNUMBER(MATCH(CONTROL[[#This Row],[VEHIDCODE]],PROPERTIES[VEHIDCODE],0))</f>
        <v>1</v>
      </c>
      <c r="L273" t="b">
        <f>ISNUMBER(MATCH(CONTROL[[#This Row],[VEHIDCODE]],GRAPHICS_PROPERTIES[VEHIDCODE],0))</f>
        <v>1</v>
      </c>
      <c r="M273" s="21" t="str">
        <f>"item_"&amp;CONTROL[[#This Row],[VEHIDCODE]]</f>
        <v>item_diesel_GE_C39_8__FCCA_</v>
      </c>
      <c r="N273" s="21" t="str">
        <f>"str_"&amp;CONTROL[[#This Row],[VEHIDCODE]]</f>
        <v>str_diesel_GE_C39_8__FCCA_</v>
      </c>
      <c r="O273" s="7" t="b">
        <f>INDEX(PROPERTIES[IS_CONCEPT],MATCH(CONTROL[[#This Row],[VEHIDCODE]],PROPERTIES[VEHIDCODE],0))="IS_CONCEPT"</f>
        <v>0</v>
      </c>
      <c r="P273" s="7" t="b">
        <f>INDEX(PROPERTIES[EXCLUDE],MATCH(CONTROL[[#This Row],[VEHIDCODE]],PROPERTIES[VEHIDCODE],0))</f>
        <v>0</v>
      </c>
      <c r="Q2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4" spans="1:17" x14ac:dyDescent="0.35">
      <c r="A274" s="2" t="s">
        <v>2900</v>
      </c>
      <c r="B274" s="21" t="str">
        <f>MID(CONTROL[[#This Row],[VEHIDCODE]],FIND("_",CONTROL[[#This Row],[VEHIDCODE]])+1,LEN(CONTROL[[#This Row],[VEHIDCODE]]))</f>
        <v>SOFSE_319_3</v>
      </c>
      <c r="C2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4">
        <v>5118</v>
      </c>
      <c r="F274" s="30" t="s">
        <v>3602</v>
      </c>
      <c r="G274" t="s">
        <v>1301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ISNUMBER(MATCH(CONTROL[[#This Row],[VEHIDCODE]],TRACK_TYPES[VEHIDCODE],0))</f>
        <v>1</v>
      </c>
      <c r="K274" t="b">
        <f>ISNUMBER(MATCH(CONTROL[[#This Row],[VEHIDCODE]],PROPERTIES[VEHIDCODE],0))</f>
        <v>1</v>
      </c>
      <c r="L274" t="b">
        <f>ISNUMBER(MATCH(CONTROL[[#This Row],[VEHIDCODE]],GRAPHICS_PROPERTIES[VEHIDCODE],0))</f>
        <v>1</v>
      </c>
      <c r="M274" s="21" t="str">
        <f>"item_"&amp;CONTROL[[#This Row],[VEHIDCODE]]</f>
        <v>item_diesel_SOFSE_319_3</v>
      </c>
      <c r="N274" s="21" t="str">
        <f>"str_"&amp;CONTROL[[#This Row],[VEHIDCODE]]</f>
        <v>str_diesel_SOFSE_319_3</v>
      </c>
      <c r="O274" s="7" t="b">
        <f>INDEX(PROPERTIES[IS_CONCEPT],MATCH(CONTROL[[#This Row],[VEHIDCODE]],PROPERTIES[VEHIDCODE],0))="IS_CONCEPT"</f>
        <v>0</v>
      </c>
      <c r="P274" s="7" t="b">
        <f>INDEX(PROPERTIES[EXCLUDE],MATCH(CONTROL[[#This Row],[VEHIDCODE]],PROPERTIES[VEHIDCODE],0))</f>
        <v>0</v>
      </c>
      <c r="Q2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5" spans="1:17" x14ac:dyDescent="0.35">
      <c r="A275" s="2" t="s">
        <v>2901</v>
      </c>
      <c r="B275" s="21" t="str">
        <f>MID(CONTROL[[#This Row],[VEHIDCODE]],FIND("_",CONTROL[[#This Row],[VEHIDCODE]])+1,LEN(CONTROL[[#This Row],[VEHIDCODE]]))</f>
        <v>CNR_CKD8G</v>
      </c>
      <c r="C2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5">
        <v>5120</v>
      </c>
      <c r="F275" s="30" t="s">
        <v>2021</v>
      </c>
      <c r="G275" t="s">
        <v>1302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ISNUMBER(MATCH(CONTROL[[#This Row],[VEHIDCODE]],TRACK_TYPES[VEHIDCODE],0))</f>
        <v>1</v>
      </c>
      <c r="K275" t="b">
        <f>ISNUMBER(MATCH(CONTROL[[#This Row],[VEHIDCODE]],PROPERTIES[VEHIDCODE],0))</f>
        <v>1</v>
      </c>
      <c r="L275" t="b">
        <f>ISNUMBER(MATCH(CONTROL[[#This Row],[VEHIDCODE]],GRAPHICS_PROPERTIES[VEHIDCODE],0))</f>
        <v>1</v>
      </c>
      <c r="M275" s="21" t="str">
        <f>"item_"&amp;CONTROL[[#This Row],[VEHIDCODE]]</f>
        <v>item_diesel_CNR_CKD8G</v>
      </c>
      <c r="N275" s="21" t="str">
        <f>"str_"&amp;CONTROL[[#This Row],[VEHIDCODE]]</f>
        <v>str_diesel_CNR_CKD8G</v>
      </c>
      <c r="O275" s="7" t="b">
        <f>INDEX(PROPERTIES[IS_CONCEPT],MATCH(CONTROL[[#This Row],[VEHIDCODE]],PROPERTIES[VEHIDCODE],0))="IS_CONCEPT"</f>
        <v>0</v>
      </c>
      <c r="P275" s="7" t="b">
        <f>INDEX(PROPERTIES[EXCLUDE],MATCH(CONTROL[[#This Row],[VEHIDCODE]],PROPERTIES[VEHIDCODE],0))</f>
        <v>0</v>
      </c>
      <c r="Q2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6" spans="1:17" x14ac:dyDescent="0.35">
      <c r="A276" s="2" t="s">
        <v>2902</v>
      </c>
      <c r="B276" s="21" t="str">
        <f>MID(CONTROL[[#This Row],[VEHIDCODE]],FIND("_",CONTROL[[#This Row],[VEHIDCODE]])+1,LEN(CONTROL[[#This Row],[VEHIDCODE]]))</f>
        <v>AEG_SAR_DS</v>
      </c>
      <c r="C2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6">
        <v>5103</v>
      </c>
      <c r="F276" s="30" t="s">
        <v>2176</v>
      </c>
      <c r="G276" t="s">
        <v>1303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ISNUMBER(MATCH(CONTROL[[#This Row],[VEHIDCODE]],TRACK_TYPES[VEHIDCODE],0))</f>
        <v>1</v>
      </c>
      <c r="K276" t="b">
        <f>ISNUMBER(MATCH(CONTROL[[#This Row],[VEHIDCODE]],PROPERTIES[VEHIDCODE],0))</f>
        <v>1</v>
      </c>
      <c r="L276" t="b">
        <f>ISNUMBER(MATCH(CONTROL[[#This Row],[VEHIDCODE]],GRAPHICS_PROPERTIES[VEHIDCODE],0))</f>
        <v>1</v>
      </c>
      <c r="M276" s="21" t="str">
        <f>"item_"&amp;CONTROL[[#This Row],[VEHIDCODE]]</f>
        <v>item_diesel_AEG_SAR_DS</v>
      </c>
      <c r="N276" s="21" t="str">
        <f>"str_"&amp;CONTROL[[#This Row],[VEHIDCODE]]</f>
        <v>str_diesel_AEG_SAR_DS</v>
      </c>
      <c r="O276" s="7" t="b">
        <f>INDEX(PROPERTIES[IS_CONCEPT],MATCH(CONTROL[[#This Row],[VEHIDCODE]],PROPERTIES[VEHIDCODE],0))="IS_CONCEPT"</f>
        <v>0</v>
      </c>
      <c r="P276" s="7" t="b">
        <f>INDEX(PROPERTIES[EXCLUDE],MATCH(CONTROL[[#This Row],[VEHIDCODE]],PROPERTIES[VEHIDCODE],0))</f>
        <v>0</v>
      </c>
      <c r="Q2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7" spans="1:17" x14ac:dyDescent="0.35">
      <c r="A277" s="2" t="s">
        <v>2903</v>
      </c>
      <c r="B277" s="21" t="str">
        <f>MID(CONTROL[[#This Row],[VEHIDCODE]],FIND("_",CONTROL[[#This Row],[VEHIDCODE]])+1,LEN(CONTROL[[#This Row],[VEHIDCODE]]))</f>
        <v>GM_GT_26_W__040DG_</v>
      </c>
      <c r="C2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7">
        <v>5104</v>
      </c>
      <c r="F277" s="30" t="s">
        <v>3507</v>
      </c>
      <c r="G277" t="s">
        <v>3506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ISNUMBER(MATCH(CONTROL[[#This Row],[VEHIDCODE]],TRACK_TYPES[VEHIDCODE],0))</f>
        <v>1</v>
      </c>
      <c r="K277" t="b">
        <f>ISNUMBER(MATCH(CONTROL[[#This Row],[VEHIDCODE]],PROPERTIES[VEHIDCODE],0))</f>
        <v>1</v>
      </c>
      <c r="L277" t="b">
        <f>ISNUMBER(MATCH(CONTROL[[#This Row],[VEHIDCODE]],GRAPHICS_PROPERTIES[VEHIDCODE],0))</f>
        <v>1</v>
      </c>
      <c r="M277" s="21" t="str">
        <f>"item_"&amp;CONTROL[[#This Row],[VEHIDCODE]]</f>
        <v>item_diesel_GM_GT_26_W__040DG_</v>
      </c>
      <c r="N277" s="21" t="str">
        <f>"str_"&amp;CONTROL[[#This Row],[VEHIDCODE]]</f>
        <v>str_diesel_GM_GT_26_W__040DG_</v>
      </c>
      <c r="O277" s="7" t="b">
        <f>INDEX(PROPERTIES[IS_CONCEPT],MATCH(CONTROL[[#This Row],[VEHIDCODE]],PROPERTIES[VEHIDCODE],0))="IS_CONCEPT"</f>
        <v>0</v>
      </c>
      <c r="P277" s="7" t="b">
        <f>INDEX(PROPERTIES[EXCLUDE],MATCH(CONTROL[[#This Row],[VEHIDCODE]],PROPERTIES[VEHIDCODE],0))</f>
        <v>0</v>
      </c>
      <c r="Q2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8" spans="1:17" x14ac:dyDescent="0.35">
      <c r="A278" s="2" t="s">
        <v>2904</v>
      </c>
      <c r="B278" s="21" t="str">
        <f>MID(CONTROL[[#This Row],[VEHIDCODE]],FIND("_",CONTROL[[#This Row],[VEHIDCODE]])+1,LEN(CONTROL[[#This Row],[VEHIDCODE]]))</f>
        <v>EMD_GL8__040DF_</v>
      </c>
      <c r="C2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8">
        <v>5105</v>
      </c>
      <c r="F278" s="30" t="s">
        <v>2177</v>
      </c>
      <c r="G278" t="s">
        <v>1305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ISNUMBER(MATCH(CONTROL[[#This Row],[VEHIDCODE]],TRACK_TYPES[VEHIDCODE],0))</f>
        <v>1</v>
      </c>
      <c r="K278" t="b">
        <f>ISNUMBER(MATCH(CONTROL[[#This Row],[VEHIDCODE]],PROPERTIES[VEHIDCODE],0))</f>
        <v>1</v>
      </c>
      <c r="L278" t="b">
        <f>ISNUMBER(MATCH(CONTROL[[#This Row],[VEHIDCODE]],GRAPHICS_PROPERTIES[VEHIDCODE],0))</f>
        <v>1</v>
      </c>
      <c r="M278" s="21" t="str">
        <f>"item_"&amp;CONTROL[[#This Row],[VEHIDCODE]]</f>
        <v>item_diesel_EMD_GL8__040DF_</v>
      </c>
      <c r="N278" s="21" t="str">
        <f>"str_"&amp;CONTROL[[#This Row],[VEHIDCODE]]</f>
        <v>str_diesel_EMD_GL8__040DF_</v>
      </c>
      <c r="O278" s="7" t="b">
        <f>INDEX(PROPERTIES[IS_CONCEPT],MATCH(CONTROL[[#This Row],[VEHIDCODE]],PROPERTIES[VEHIDCODE],0))="IS_CONCEPT"</f>
        <v>0</v>
      </c>
      <c r="P278" s="7" t="b">
        <f>INDEX(PROPERTIES[EXCLUDE],MATCH(CONTROL[[#This Row],[VEHIDCODE]],PROPERTIES[VEHIDCODE],0))</f>
        <v>1</v>
      </c>
      <c r="Q2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79" spans="1:17" x14ac:dyDescent="0.35">
      <c r="A279" s="2" t="s">
        <v>2905</v>
      </c>
      <c r="B279" s="21" t="str">
        <f>MID(CONTROL[[#This Row],[VEHIDCODE]],FIND("_",CONTROL[[#This Row],[VEHIDCODE]])+1,LEN(CONTROL[[#This Row],[VEHIDCODE]]))</f>
        <v>LTZ_TE114E</v>
      </c>
      <c r="C2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79">
        <v>5110</v>
      </c>
      <c r="F279" s="30" t="s">
        <v>2001</v>
      </c>
      <c r="G279" t="s">
        <v>1306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ISNUMBER(MATCH(CONTROL[[#This Row],[VEHIDCODE]],TRACK_TYPES[VEHIDCODE],0))</f>
        <v>1</v>
      </c>
      <c r="K279" t="b">
        <f>ISNUMBER(MATCH(CONTROL[[#This Row],[VEHIDCODE]],PROPERTIES[VEHIDCODE],0))</f>
        <v>1</v>
      </c>
      <c r="L279" t="b">
        <f>ISNUMBER(MATCH(CONTROL[[#This Row],[VEHIDCODE]],GRAPHICS_PROPERTIES[VEHIDCODE],0))</f>
        <v>1</v>
      </c>
      <c r="M279" s="21" t="str">
        <f>"item_"&amp;CONTROL[[#This Row],[VEHIDCODE]]</f>
        <v>item_diesel_LTZ_TE114E</v>
      </c>
      <c r="N279" s="21" t="str">
        <f>"str_"&amp;CONTROL[[#This Row],[VEHIDCODE]]</f>
        <v>str_diesel_LTZ_TE114E</v>
      </c>
      <c r="O279" s="7" t="b">
        <f>INDEX(PROPERTIES[IS_CONCEPT],MATCH(CONTROL[[#This Row],[VEHIDCODE]],PROPERTIES[VEHIDCODE],0))="IS_CONCEPT"</f>
        <v>0</v>
      </c>
      <c r="P279" s="7" t="b">
        <f>INDEX(PROPERTIES[EXCLUDE],MATCH(CONTROL[[#This Row],[VEHIDCODE]],PROPERTIES[VEHIDCODE],0))</f>
        <v>0</v>
      </c>
      <c r="Q2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0" spans="1:17" x14ac:dyDescent="0.35">
      <c r="A280" s="2" t="s">
        <v>2906</v>
      </c>
      <c r="B280" s="21" t="str">
        <f>MID(CONTROL[[#This Row],[VEHIDCODE]],FIND("_",CONTROL[[#This Row],[VEHIDCODE]])+1,LEN(CONTROL[[#This Row],[VEHIDCODE]]))</f>
        <v>GM_GL_18_B__040DJ_</v>
      </c>
      <c r="C2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0">
        <v>5111</v>
      </c>
      <c r="F280" s="30" t="s">
        <v>3512</v>
      </c>
      <c r="G280" t="s">
        <v>3511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ISNUMBER(MATCH(CONTROL[[#This Row],[VEHIDCODE]],TRACK_TYPES[VEHIDCODE],0))</f>
        <v>1</v>
      </c>
      <c r="K280" t="b">
        <f>ISNUMBER(MATCH(CONTROL[[#This Row],[VEHIDCODE]],PROPERTIES[VEHIDCODE],0))</f>
        <v>1</v>
      </c>
      <c r="L280" t="b">
        <f>ISNUMBER(MATCH(CONTROL[[#This Row],[VEHIDCODE]],GRAPHICS_PROPERTIES[VEHIDCODE],0))</f>
        <v>1</v>
      </c>
      <c r="M280" s="21" t="str">
        <f>"item_"&amp;CONTROL[[#This Row],[VEHIDCODE]]</f>
        <v>item_diesel_GM_GL_18_B__040DJ_</v>
      </c>
      <c r="N280" s="21" t="str">
        <f>"str_"&amp;CONTROL[[#This Row],[VEHIDCODE]]</f>
        <v>str_diesel_GM_GL_18_B__040DJ_</v>
      </c>
      <c r="O280" s="7" t="b">
        <f>INDEX(PROPERTIES[IS_CONCEPT],MATCH(CONTROL[[#This Row],[VEHIDCODE]],PROPERTIES[VEHIDCODE],0))="IS_CONCEPT"</f>
        <v>0</v>
      </c>
      <c r="P280" s="7" t="b">
        <f>INDEX(PROPERTIES[EXCLUDE],MATCH(CONTROL[[#This Row],[VEHIDCODE]],PROPERTIES[VEHIDCODE],0))</f>
        <v>0</v>
      </c>
      <c r="Q2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1" spans="1:17" x14ac:dyDescent="0.35">
      <c r="A281" s="2" t="s">
        <v>2907</v>
      </c>
      <c r="B281" s="21" t="str">
        <f>MID(CONTROL[[#This Row],[VEHIDCODE]],FIND("_",CONTROL[[#This Row],[VEHIDCODE]])+1,LEN(CONTROL[[#This Row],[VEHIDCODE]]))</f>
        <v>Alsthom_CC_72000</v>
      </c>
      <c r="C2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1">
        <v>5116</v>
      </c>
      <c r="F281" s="30" t="s">
        <v>2538</v>
      </c>
      <c r="G281" t="s">
        <v>1307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ISNUMBER(MATCH(CONTROL[[#This Row],[VEHIDCODE]],TRACK_TYPES[VEHIDCODE],0))</f>
        <v>1</v>
      </c>
      <c r="K281" t="b">
        <f>ISNUMBER(MATCH(CONTROL[[#This Row],[VEHIDCODE]],PROPERTIES[VEHIDCODE],0))</f>
        <v>1</v>
      </c>
      <c r="L281" t="b">
        <f>ISNUMBER(MATCH(CONTROL[[#This Row],[VEHIDCODE]],GRAPHICS_PROPERTIES[VEHIDCODE],0))</f>
        <v>1</v>
      </c>
      <c r="M281" s="21" t="str">
        <f>"item_"&amp;CONTROL[[#This Row],[VEHIDCODE]]</f>
        <v>item_diesel_Alsthom_CC_72000</v>
      </c>
      <c r="N281" s="21" t="str">
        <f>"str_"&amp;CONTROL[[#This Row],[VEHIDCODE]]</f>
        <v>str_diesel_Alsthom_CC_72000</v>
      </c>
      <c r="O281" s="7" t="b">
        <f>INDEX(PROPERTIES[IS_CONCEPT],MATCH(CONTROL[[#This Row],[VEHIDCODE]],PROPERTIES[VEHIDCODE],0))="IS_CONCEPT"</f>
        <v>0</v>
      </c>
      <c r="P281" s="7" t="b">
        <f>INDEX(PROPERTIES[EXCLUDE],MATCH(CONTROL[[#This Row],[VEHIDCODE]],PROPERTIES[VEHIDCODE],0))</f>
        <v>0</v>
      </c>
      <c r="Q2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2" spans="1:17" x14ac:dyDescent="0.35">
      <c r="A282" s="2" t="s">
        <v>2908</v>
      </c>
      <c r="B282" s="21" t="str">
        <f>MID(CONTROL[[#This Row],[VEHIDCODE]],FIND("_",CONTROL[[#This Row],[VEHIDCODE]])+1,LEN(CONTROL[[#This Row],[VEHIDCODE]]))</f>
        <v>LTZ_TEP10L</v>
      </c>
      <c r="C2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2">
        <v>5107</v>
      </c>
      <c r="F282" s="30" t="s">
        <v>2002</v>
      </c>
      <c r="G282" t="s">
        <v>1308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ISNUMBER(MATCH(CONTROL[[#This Row],[VEHIDCODE]],TRACK_TYPES[VEHIDCODE],0))</f>
        <v>1</v>
      </c>
      <c r="K282" t="b">
        <f>ISNUMBER(MATCH(CONTROL[[#This Row],[VEHIDCODE]],PROPERTIES[VEHIDCODE],0))</f>
        <v>1</v>
      </c>
      <c r="L282" t="b">
        <f>ISNUMBER(MATCH(CONTROL[[#This Row],[VEHIDCODE]],GRAPHICS_PROPERTIES[VEHIDCODE],0))</f>
        <v>1</v>
      </c>
      <c r="M282" s="21" t="str">
        <f>"item_"&amp;CONTROL[[#This Row],[VEHIDCODE]]</f>
        <v>item_diesel_LTZ_TEP10L</v>
      </c>
      <c r="N282" s="21" t="str">
        <f>"str_"&amp;CONTROL[[#This Row],[VEHIDCODE]]</f>
        <v>str_diesel_LTZ_TEP10L</v>
      </c>
      <c r="O282" s="7" t="b">
        <f>INDEX(PROPERTIES[IS_CONCEPT],MATCH(CONTROL[[#This Row],[VEHIDCODE]],PROPERTIES[VEHIDCODE],0))="IS_CONCEPT"</f>
        <v>0</v>
      </c>
      <c r="P282" s="7" t="b">
        <f>INDEX(PROPERTIES[EXCLUDE],MATCH(CONTROL[[#This Row],[VEHIDCODE]],PROPERTIES[VEHIDCODE],0))</f>
        <v>0</v>
      </c>
      <c r="Q2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3" spans="1:17" x14ac:dyDescent="0.35">
      <c r="A283" s="2" t="s">
        <v>2909</v>
      </c>
      <c r="B283" s="21" t="str">
        <f>MID(CONTROL[[#This Row],[VEHIDCODE]],FIND("_",CONTROL[[#This Row],[VEHIDCODE]])+1,LEN(CONTROL[[#This Row],[VEHIDCODE]]))</f>
        <v>LTZ_2TE10M</v>
      </c>
      <c r="C2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3">
        <v>5112</v>
      </c>
      <c r="F283" s="30" t="s">
        <v>2003</v>
      </c>
      <c r="G283" t="s">
        <v>1309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ISNUMBER(MATCH(CONTROL[[#This Row],[VEHIDCODE]],TRACK_TYPES[VEHIDCODE],0))</f>
        <v>1</v>
      </c>
      <c r="K283" t="b">
        <f>ISNUMBER(MATCH(CONTROL[[#This Row],[VEHIDCODE]],PROPERTIES[VEHIDCODE],0))</f>
        <v>1</v>
      </c>
      <c r="L283" t="b">
        <f>ISNUMBER(MATCH(CONTROL[[#This Row],[VEHIDCODE]],GRAPHICS_PROPERTIES[VEHIDCODE],0))</f>
        <v>1</v>
      </c>
      <c r="M283" s="21" t="str">
        <f>"item_"&amp;CONTROL[[#This Row],[VEHIDCODE]]</f>
        <v>item_diesel_LTZ_2TE10M</v>
      </c>
      <c r="N283" s="21" t="str">
        <f>"str_"&amp;CONTROL[[#This Row],[VEHIDCODE]]</f>
        <v>str_diesel_LTZ_2TE10M</v>
      </c>
      <c r="O283" s="7" t="b">
        <f>INDEX(PROPERTIES[IS_CONCEPT],MATCH(CONTROL[[#This Row],[VEHIDCODE]],PROPERTIES[VEHIDCODE],0))="IS_CONCEPT"</f>
        <v>0</v>
      </c>
      <c r="P283" s="7" t="b">
        <f>INDEX(PROPERTIES[EXCLUDE],MATCH(CONTROL[[#This Row],[VEHIDCODE]],PROPERTIES[VEHIDCODE],0))</f>
        <v>1</v>
      </c>
      <c r="Q2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84" spans="1:17" x14ac:dyDescent="0.35">
      <c r="A284" s="2" t="s">
        <v>2910</v>
      </c>
      <c r="B284" s="21" t="str">
        <f>MID(CONTROL[[#This Row],[VEHIDCODE]],FIND("_",CONTROL[[#This Row],[VEHIDCODE]])+1,LEN(CONTROL[[#This Row],[VEHIDCODE]]))</f>
        <v>FAUR_LDE1300</v>
      </c>
      <c r="C2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4">
        <v>5114</v>
      </c>
      <c r="F284" s="30" t="s">
        <v>1961</v>
      </c>
      <c r="G284" t="s">
        <v>1310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ISNUMBER(MATCH(CONTROL[[#This Row],[VEHIDCODE]],TRACK_TYPES[VEHIDCODE],0))</f>
        <v>1</v>
      </c>
      <c r="K284" t="b">
        <f>ISNUMBER(MATCH(CONTROL[[#This Row],[VEHIDCODE]],PROPERTIES[VEHIDCODE],0))</f>
        <v>1</v>
      </c>
      <c r="L284" t="b">
        <f>ISNUMBER(MATCH(CONTROL[[#This Row],[VEHIDCODE]],GRAPHICS_PROPERTIES[VEHIDCODE],0))</f>
        <v>1</v>
      </c>
      <c r="M284" s="21" t="str">
        <f>"item_"&amp;CONTROL[[#This Row],[VEHIDCODE]]</f>
        <v>item_diesel_FAUR_LDE1300</v>
      </c>
      <c r="N284" s="21" t="str">
        <f>"str_"&amp;CONTROL[[#This Row],[VEHIDCODE]]</f>
        <v>str_diesel_FAUR_LDE1300</v>
      </c>
      <c r="O284" s="7" t="b">
        <f>INDEX(PROPERTIES[IS_CONCEPT],MATCH(CONTROL[[#This Row],[VEHIDCODE]],PROPERTIES[VEHIDCODE],0))="IS_CONCEPT"</f>
        <v>0</v>
      </c>
      <c r="P284" s="7" t="b">
        <f>INDEX(PROPERTIES[EXCLUDE],MATCH(CONTROL[[#This Row],[VEHIDCODE]],PROPERTIES[VEHIDCODE],0))</f>
        <v>0</v>
      </c>
      <c r="Q2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5" spans="1:17" x14ac:dyDescent="0.35">
      <c r="A285" s="2" t="s">
        <v>2911</v>
      </c>
      <c r="B285" s="21" t="str">
        <f>MID(CONTROL[[#This Row],[VEHIDCODE]],FIND("_",CONTROL[[#This Row],[VEHIDCODE]])+1,LEN(CONTROL[[#This Row],[VEHIDCODE]]))</f>
        <v>LTZ_2TE126</v>
      </c>
      <c r="C2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5">
        <v>5115</v>
      </c>
      <c r="F285" s="30" t="s">
        <v>2004</v>
      </c>
      <c r="G285" t="s">
        <v>1311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ISNUMBER(MATCH(CONTROL[[#This Row],[VEHIDCODE]],TRACK_TYPES[VEHIDCODE],0))</f>
        <v>1</v>
      </c>
      <c r="K285" t="b">
        <f>ISNUMBER(MATCH(CONTROL[[#This Row],[VEHIDCODE]],PROPERTIES[VEHIDCODE],0))</f>
        <v>1</v>
      </c>
      <c r="L285" t="b">
        <f>ISNUMBER(MATCH(CONTROL[[#This Row],[VEHIDCODE]],GRAPHICS_PROPERTIES[VEHIDCODE],0))</f>
        <v>1</v>
      </c>
      <c r="M285" s="21" t="str">
        <f>"item_"&amp;CONTROL[[#This Row],[VEHIDCODE]]</f>
        <v>item_diesel_LTZ_2TE126</v>
      </c>
      <c r="N285" s="21" t="str">
        <f>"str_"&amp;CONTROL[[#This Row],[VEHIDCODE]]</f>
        <v>str_diesel_LTZ_2TE126</v>
      </c>
      <c r="O285" s="7" t="b">
        <f>INDEX(PROPERTIES[IS_CONCEPT],MATCH(CONTROL[[#This Row],[VEHIDCODE]],PROPERTIES[VEHIDCODE],0))="IS_CONCEPT"</f>
        <v>0</v>
      </c>
      <c r="P285" s="7" t="b">
        <f>INDEX(PROPERTIES[EXCLUDE],MATCH(CONTROL[[#This Row],[VEHIDCODE]],PROPERTIES[VEHIDCODE],0))</f>
        <v>1</v>
      </c>
      <c r="Q2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TPL_32A</v>
      </c>
    </row>
    <row r="286" spans="1:17" x14ac:dyDescent="0.35">
      <c r="A286" s="2" t="s">
        <v>2912</v>
      </c>
      <c r="B286" s="21" t="str">
        <f>MID(CONTROL[[#This Row],[VEHIDCODE]],FIND("_",CONTROL[[#This Row],[VEHIDCODE]])+1,LEN(CONTROL[[#This Row],[VEHIDCODE]]))</f>
        <v>LTZ_2TE10Ut</v>
      </c>
      <c r="C2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6">
        <v>5117</v>
      </c>
      <c r="F286" s="30" t="s">
        <v>2005</v>
      </c>
      <c r="G286" t="s">
        <v>1312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ISNUMBER(MATCH(CONTROL[[#This Row],[VEHIDCODE]],TRACK_TYPES[VEHIDCODE],0))</f>
        <v>1</v>
      </c>
      <c r="K286" t="b">
        <f>ISNUMBER(MATCH(CONTROL[[#This Row],[VEHIDCODE]],PROPERTIES[VEHIDCODE],0))</f>
        <v>1</v>
      </c>
      <c r="L286" t="b">
        <f>ISNUMBER(MATCH(CONTROL[[#This Row],[VEHIDCODE]],GRAPHICS_PROPERTIES[VEHIDCODE],0))</f>
        <v>1</v>
      </c>
      <c r="M286" s="21" t="str">
        <f>"item_"&amp;CONTROL[[#This Row],[VEHIDCODE]]</f>
        <v>item_diesel_LTZ_2TE10Ut</v>
      </c>
      <c r="N286" s="21" t="str">
        <f>"str_"&amp;CONTROL[[#This Row],[VEHIDCODE]]</f>
        <v>str_diesel_LTZ_2TE10Ut</v>
      </c>
      <c r="O286" s="7" t="b">
        <f>INDEX(PROPERTIES[IS_CONCEPT],MATCH(CONTROL[[#This Row],[VEHIDCODE]],PROPERTIES[VEHIDCODE],0))="IS_CONCEPT"</f>
        <v>0</v>
      </c>
      <c r="P286" s="7" t="b">
        <f>INDEX(PROPERTIES[EXCLUDE],MATCH(CONTROL[[#This Row],[VEHIDCODE]],PROPERTIES[VEHIDCODE],0))</f>
        <v>1</v>
      </c>
      <c r="Q2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287" spans="1:17" x14ac:dyDescent="0.35">
      <c r="A287" s="2" t="s">
        <v>2913</v>
      </c>
      <c r="B287" s="21" t="str">
        <f>MID(CONTROL[[#This Row],[VEHIDCODE]],FIND("_",CONTROL[[#This Row],[VEHIDCODE]])+1,LEN(CONTROL[[#This Row],[VEHIDCODE]]))</f>
        <v>CMKS_709_0_4_0DE</v>
      </c>
      <c r="C2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7">
        <v>5119</v>
      </c>
      <c r="F287" s="30" t="s">
        <v>2178</v>
      </c>
      <c r="G287" t="s">
        <v>1313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ISNUMBER(MATCH(CONTROL[[#This Row],[VEHIDCODE]],TRACK_TYPES[VEHIDCODE],0))</f>
        <v>1</v>
      </c>
      <c r="K287" t="b">
        <f>ISNUMBER(MATCH(CONTROL[[#This Row],[VEHIDCODE]],PROPERTIES[VEHIDCODE],0))</f>
        <v>1</v>
      </c>
      <c r="L287" t="b">
        <f>ISNUMBER(MATCH(CONTROL[[#This Row],[VEHIDCODE]],GRAPHICS_PROPERTIES[VEHIDCODE],0))</f>
        <v>1</v>
      </c>
      <c r="M287" s="21" t="str">
        <f>"item_"&amp;CONTROL[[#This Row],[VEHIDCODE]]</f>
        <v>item_diesel_CMKS_709_0_4_0DE</v>
      </c>
      <c r="N287" s="21" t="str">
        <f>"str_"&amp;CONTROL[[#This Row],[VEHIDCODE]]</f>
        <v>str_diesel_CMKS_709_0_4_0DE</v>
      </c>
      <c r="O287" s="7" t="b">
        <f>INDEX(PROPERTIES[IS_CONCEPT],MATCH(CONTROL[[#This Row],[VEHIDCODE]],PROPERTIES[VEHIDCODE],0))="IS_CONCEPT"</f>
        <v>0</v>
      </c>
      <c r="P287" s="7" t="b">
        <f>INDEX(PROPERTIES[EXCLUDE],MATCH(CONTROL[[#This Row],[VEHIDCODE]],PROPERTIES[VEHIDCODE],0))</f>
        <v>0</v>
      </c>
      <c r="Q2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8" spans="1:17" x14ac:dyDescent="0.35">
      <c r="A288" s="2" t="s">
        <v>2914</v>
      </c>
      <c r="B288" s="21" t="str">
        <f>MID(CONTROL[[#This Row],[VEHIDCODE]],FIND("_",CONTROL[[#This Row],[VEHIDCODE]])+1,LEN(CONTROL[[#This Row],[VEHIDCODE]]))</f>
        <v>Antonio_Badoni_Lecco_Sogliole_207</v>
      </c>
      <c r="C2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8">
        <v>5121</v>
      </c>
      <c r="F288" s="30" t="s">
        <v>2179</v>
      </c>
      <c r="G288" t="s">
        <v>1314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ISNUMBER(MATCH(CONTROL[[#This Row],[VEHIDCODE]],TRACK_TYPES[VEHIDCODE],0))</f>
        <v>1</v>
      </c>
      <c r="K288" t="b">
        <f>ISNUMBER(MATCH(CONTROL[[#This Row],[VEHIDCODE]],PROPERTIES[VEHIDCODE],0))</f>
        <v>1</v>
      </c>
      <c r="L288" t="b">
        <f>ISNUMBER(MATCH(CONTROL[[#This Row],[VEHIDCODE]],GRAPHICS_PROPERTIES[VEHIDCODE],0))</f>
        <v>1</v>
      </c>
      <c r="M288" s="21" t="str">
        <f>"item_"&amp;CONTROL[[#This Row],[VEHIDCODE]]</f>
        <v>item_diesel_Antonio_Badoni_Lecco_Sogliole_207</v>
      </c>
      <c r="N288" s="21" t="str">
        <f>"str_"&amp;CONTROL[[#This Row],[VEHIDCODE]]</f>
        <v>str_diesel_Antonio_Badoni_Lecco_Sogliole_207</v>
      </c>
      <c r="O288" s="7" t="b">
        <f>INDEX(PROPERTIES[IS_CONCEPT],MATCH(CONTROL[[#This Row],[VEHIDCODE]],PROPERTIES[VEHIDCODE],0))="IS_CONCEPT"</f>
        <v>0</v>
      </c>
      <c r="P288" s="7" t="b">
        <f>INDEX(PROPERTIES[EXCLUDE],MATCH(CONTROL[[#This Row],[VEHIDCODE]],PROPERTIES[VEHIDCODE],0))</f>
        <v>0</v>
      </c>
      <c r="Q2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89" spans="1:17" x14ac:dyDescent="0.35">
      <c r="A289" s="2" t="s">
        <v>2915</v>
      </c>
      <c r="B289" s="21" t="str">
        <f>MID(CONTROL[[#This Row],[VEHIDCODE]],FIND("_",CONTROL[[#This Row],[VEHIDCODE]])+1,LEN(CONTROL[[#This Row],[VEHIDCODE]]))</f>
        <v>Baldwin_0_6_6_0_1000</v>
      </c>
      <c r="C2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89">
        <v>5122</v>
      </c>
      <c r="F289" s="30" t="s">
        <v>2009</v>
      </c>
      <c r="G289" t="s">
        <v>1315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ISNUMBER(MATCH(CONTROL[[#This Row],[VEHIDCODE]],TRACK_TYPES[VEHIDCODE],0))</f>
        <v>1</v>
      </c>
      <c r="K289" t="b">
        <f>ISNUMBER(MATCH(CONTROL[[#This Row],[VEHIDCODE]],PROPERTIES[VEHIDCODE],0))</f>
        <v>1</v>
      </c>
      <c r="L289" t="b">
        <f>ISNUMBER(MATCH(CONTROL[[#This Row],[VEHIDCODE]],GRAPHICS_PROPERTIES[VEHIDCODE],0))</f>
        <v>1</v>
      </c>
      <c r="M289" s="21" t="str">
        <f>"item_"&amp;CONTROL[[#This Row],[VEHIDCODE]]</f>
        <v>item_diesel_Baldwin_0_6_6_0_1000</v>
      </c>
      <c r="N289" s="21" t="str">
        <f>"str_"&amp;CONTROL[[#This Row],[VEHIDCODE]]</f>
        <v>str_diesel_Baldwin_0_6_6_0_1000</v>
      </c>
      <c r="O289" s="7" t="b">
        <f>INDEX(PROPERTIES[IS_CONCEPT],MATCH(CONTROL[[#This Row],[VEHIDCODE]],PROPERTIES[VEHIDCODE],0))="IS_CONCEPT"</f>
        <v>0</v>
      </c>
      <c r="P289" s="7" t="b">
        <f>INDEX(PROPERTIES[EXCLUDE],MATCH(CONTROL[[#This Row],[VEHIDCODE]],PROPERTIES[VEHIDCODE],0))</f>
        <v>0</v>
      </c>
      <c r="Q2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0" spans="1:17" x14ac:dyDescent="0.35">
      <c r="A290" s="2" t="s">
        <v>2916</v>
      </c>
      <c r="B290" s="21" t="str">
        <f>MID(CONTROL[[#This Row],[VEHIDCODE]],FIND("_",CONTROL[[#This Row],[VEHIDCODE]])+1,LEN(CONTROL[[#This Row],[VEHIDCODE]]))</f>
        <v>ALCO_RSC_2</v>
      </c>
      <c r="C2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0">
        <v>5123</v>
      </c>
      <c r="F290" s="30" t="s">
        <v>2010</v>
      </c>
      <c r="G290" t="s">
        <v>1316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ISNUMBER(MATCH(CONTROL[[#This Row],[VEHIDCODE]],TRACK_TYPES[VEHIDCODE],0))</f>
        <v>1</v>
      </c>
      <c r="K290" t="b">
        <f>ISNUMBER(MATCH(CONTROL[[#This Row],[VEHIDCODE]],PROPERTIES[VEHIDCODE],0))</f>
        <v>1</v>
      </c>
      <c r="L290" t="b">
        <f>ISNUMBER(MATCH(CONTROL[[#This Row],[VEHIDCODE]],GRAPHICS_PROPERTIES[VEHIDCODE],0))</f>
        <v>1</v>
      </c>
      <c r="M290" s="21" t="str">
        <f>"item_"&amp;CONTROL[[#This Row],[VEHIDCODE]]</f>
        <v>item_diesel_ALCO_RSC_2</v>
      </c>
      <c r="N290" s="21" t="str">
        <f>"str_"&amp;CONTROL[[#This Row],[VEHIDCODE]]</f>
        <v>str_diesel_ALCO_RSC_2</v>
      </c>
      <c r="O290" s="7" t="b">
        <f>INDEX(PROPERTIES[IS_CONCEPT],MATCH(CONTROL[[#This Row],[VEHIDCODE]],PROPERTIES[VEHIDCODE],0))="IS_CONCEPT"</f>
        <v>0</v>
      </c>
      <c r="P290" s="7" t="b">
        <f>INDEX(PROPERTIES[EXCLUDE],MATCH(CONTROL[[#This Row],[VEHIDCODE]],PROPERTIES[VEHIDCODE],0))</f>
        <v>0</v>
      </c>
      <c r="Q2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1" spans="1:17" x14ac:dyDescent="0.35">
      <c r="A291" s="2" t="s">
        <v>2917</v>
      </c>
      <c r="B291" s="21" t="str">
        <f>MID(CONTROL[[#This Row],[VEHIDCODE]],FIND("_",CONTROL[[#This Row],[VEHIDCODE]])+1,LEN(CONTROL[[#This Row],[VEHIDCODE]]))</f>
        <v>Brissonneau_and_Lotz_BB_67400</v>
      </c>
      <c r="C2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1">
        <v>5125</v>
      </c>
      <c r="F291" s="30" t="s">
        <v>2180</v>
      </c>
      <c r="G291" t="s">
        <v>1317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ISNUMBER(MATCH(CONTROL[[#This Row],[VEHIDCODE]],TRACK_TYPES[VEHIDCODE],0))</f>
        <v>1</v>
      </c>
      <c r="K291" t="b">
        <f>ISNUMBER(MATCH(CONTROL[[#This Row],[VEHIDCODE]],PROPERTIES[VEHIDCODE],0))</f>
        <v>1</v>
      </c>
      <c r="L291" t="b">
        <f>ISNUMBER(MATCH(CONTROL[[#This Row],[VEHIDCODE]],GRAPHICS_PROPERTIES[VEHIDCODE],0))</f>
        <v>1</v>
      </c>
      <c r="M291" s="21" t="str">
        <f>"item_"&amp;CONTROL[[#This Row],[VEHIDCODE]]</f>
        <v>item_diesel_Brissonneau_and_Lotz_BB_67400</v>
      </c>
      <c r="N291" s="21" t="str">
        <f>"str_"&amp;CONTROL[[#This Row],[VEHIDCODE]]</f>
        <v>str_diesel_Brissonneau_and_Lotz_BB_67400</v>
      </c>
      <c r="O291" s="7" t="b">
        <f>INDEX(PROPERTIES[IS_CONCEPT],MATCH(CONTROL[[#This Row],[VEHIDCODE]],PROPERTIES[VEHIDCODE],0))="IS_CONCEPT"</f>
        <v>0</v>
      </c>
      <c r="P291" s="7" t="b">
        <f>INDEX(PROPERTIES[EXCLUDE],MATCH(CONTROL[[#This Row],[VEHIDCODE]],PROPERTIES[VEHIDCODE],0))</f>
        <v>0</v>
      </c>
      <c r="Q2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2" spans="1:17" x14ac:dyDescent="0.35">
      <c r="A292" s="2" t="s">
        <v>2918</v>
      </c>
      <c r="B292" s="21" t="str">
        <f>MID(CONTROL[[#This Row],[VEHIDCODE]],FIND("_",CONTROL[[#This Row],[VEHIDCODE]])+1,LEN(CONTROL[[#This Row],[VEHIDCODE]]))</f>
        <v>MaK_DE_6400</v>
      </c>
      <c r="C2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2">
        <v>5126</v>
      </c>
      <c r="F292" s="30" t="s">
        <v>1962</v>
      </c>
      <c r="G292" t="s">
        <v>1318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ISNUMBER(MATCH(CONTROL[[#This Row],[VEHIDCODE]],TRACK_TYPES[VEHIDCODE],0))</f>
        <v>1</v>
      </c>
      <c r="K292" t="b">
        <f>ISNUMBER(MATCH(CONTROL[[#This Row],[VEHIDCODE]],PROPERTIES[VEHIDCODE],0))</f>
        <v>1</v>
      </c>
      <c r="L292" t="b">
        <f>ISNUMBER(MATCH(CONTROL[[#This Row],[VEHIDCODE]],GRAPHICS_PROPERTIES[VEHIDCODE],0))</f>
        <v>1</v>
      </c>
      <c r="M292" s="21" t="str">
        <f>"item_"&amp;CONTROL[[#This Row],[VEHIDCODE]]</f>
        <v>item_diesel_MaK_DE_6400</v>
      </c>
      <c r="N292" s="21" t="str">
        <f>"str_"&amp;CONTROL[[#This Row],[VEHIDCODE]]</f>
        <v>str_diesel_MaK_DE_6400</v>
      </c>
      <c r="O292" s="7" t="b">
        <f>INDEX(PROPERTIES[IS_CONCEPT],MATCH(CONTROL[[#This Row],[VEHIDCODE]],PROPERTIES[VEHIDCODE],0))="IS_CONCEPT"</f>
        <v>0</v>
      </c>
      <c r="P292" s="7" t="b">
        <f>INDEX(PROPERTIES[EXCLUDE],MATCH(CONTROL[[#This Row],[VEHIDCODE]],PROPERTIES[VEHIDCODE],0))</f>
        <v>0</v>
      </c>
      <c r="Q2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3" spans="1:17" x14ac:dyDescent="0.35">
      <c r="A293" s="2" t="s">
        <v>2919</v>
      </c>
      <c r="B293" s="21" t="str">
        <f>MID(CONTROL[[#This Row],[VEHIDCODE]],FIND("_",CONTROL[[#This Row],[VEHIDCODE]])+1,LEN(CONTROL[[#This Row],[VEHIDCODE]]))</f>
        <v>GE_ES40ACi</v>
      </c>
      <c r="C2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3">
        <v>5130</v>
      </c>
      <c r="F293" s="30" t="s">
        <v>2022</v>
      </c>
      <c r="G293" t="s">
        <v>1319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ISNUMBER(MATCH(CONTROL[[#This Row],[VEHIDCODE]],TRACK_TYPES[VEHIDCODE],0))</f>
        <v>1</v>
      </c>
      <c r="K293" t="b">
        <f>ISNUMBER(MATCH(CONTROL[[#This Row],[VEHIDCODE]],PROPERTIES[VEHIDCODE],0))</f>
        <v>1</v>
      </c>
      <c r="L293" t="b">
        <f>ISNUMBER(MATCH(CONTROL[[#This Row],[VEHIDCODE]],GRAPHICS_PROPERTIES[VEHIDCODE],0))</f>
        <v>1</v>
      </c>
      <c r="M293" s="21" t="str">
        <f>"item_"&amp;CONTROL[[#This Row],[VEHIDCODE]]</f>
        <v>item_diesel_GE_ES40ACi</v>
      </c>
      <c r="N293" s="21" t="str">
        <f>"str_"&amp;CONTROL[[#This Row],[VEHIDCODE]]</f>
        <v>str_diesel_GE_ES40ACi</v>
      </c>
      <c r="O293" s="7" t="b">
        <f>INDEX(PROPERTIES[IS_CONCEPT],MATCH(CONTROL[[#This Row],[VEHIDCODE]],PROPERTIES[VEHIDCODE],0))="IS_CONCEPT"</f>
        <v>0</v>
      </c>
      <c r="P293" s="7" t="b">
        <f>INDEX(PROPERTIES[EXCLUDE],MATCH(CONTROL[[#This Row],[VEHIDCODE]],PROPERTIES[VEHIDCODE],0))</f>
        <v>0</v>
      </c>
      <c r="Q2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4" spans="1:17" x14ac:dyDescent="0.35">
      <c r="A294" s="2" t="s">
        <v>2920</v>
      </c>
      <c r="B294" s="21" t="str">
        <f>MID(CONTROL[[#This Row],[VEHIDCODE]],FIND("_",CONTROL[[#This Row],[VEHIDCODE]])+1,LEN(CONTROL[[#This Row],[VEHIDCODE]]))</f>
        <v>Vossloh_Afro_4000</v>
      </c>
      <c r="C2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4">
        <v>5132</v>
      </c>
      <c r="F294" s="30" t="s">
        <v>2181</v>
      </c>
      <c r="G294" t="s">
        <v>1320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ISNUMBER(MATCH(CONTROL[[#This Row],[VEHIDCODE]],TRACK_TYPES[VEHIDCODE],0))</f>
        <v>1</v>
      </c>
      <c r="K294" t="b">
        <f>ISNUMBER(MATCH(CONTROL[[#This Row],[VEHIDCODE]],PROPERTIES[VEHIDCODE],0))</f>
        <v>1</v>
      </c>
      <c r="L294" t="b">
        <f>ISNUMBER(MATCH(CONTROL[[#This Row],[VEHIDCODE]],GRAPHICS_PROPERTIES[VEHIDCODE],0))</f>
        <v>1</v>
      </c>
      <c r="M294" s="21" t="str">
        <f>"item_"&amp;CONTROL[[#This Row],[VEHIDCODE]]</f>
        <v>item_diesel_Vossloh_Afro_4000</v>
      </c>
      <c r="N294" s="21" t="str">
        <f>"str_"&amp;CONTROL[[#This Row],[VEHIDCODE]]</f>
        <v>str_diesel_Vossloh_Afro_4000</v>
      </c>
      <c r="O294" s="7" t="b">
        <f>INDEX(PROPERTIES[IS_CONCEPT],MATCH(CONTROL[[#This Row],[VEHIDCODE]],PROPERTIES[VEHIDCODE],0))="IS_CONCEPT"</f>
        <v>0</v>
      </c>
      <c r="P294" s="7" t="b">
        <f>INDEX(PROPERTIES[EXCLUDE],MATCH(CONTROL[[#This Row],[VEHIDCODE]],PROPERTIES[VEHIDCODE],0))</f>
        <v>0</v>
      </c>
      <c r="Q2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5" spans="1:17" x14ac:dyDescent="0.35">
      <c r="A295" s="2" t="s">
        <v>2921</v>
      </c>
      <c r="B295" s="21" t="str">
        <f>MID(CONTROL[[#This Row],[VEHIDCODE]],FIND("_",CONTROL[[#This Row],[VEHIDCODE]])+1,LEN(CONTROL[[#This Row],[VEHIDCODE]]))</f>
        <v>GE_U10B</v>
      </c>
      <c r="C2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5">
        <v>5124</v>
      </c>
      <c r="F295" s="30" t="s">
        <v>2182</v>
      </c>
      <c r="G295" t="s">
        <v>1321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ISNUMBER(MATCH(CONTROL[[#This Row],[VEHIDCODE]],TRACK_TYPES[VEHIDCODE],0))</f>
        <v>1</v>
      </c>
      <c r="K295" t="b">
        <f>ISNUMBER(MATCH(CONTROL[[#This Row],[VEHIDCODE]],PROPERTIES[VEHIDCODE],0))</f>
        <v>1</v>
      </c>
      <c r="L295" t="b">
        <f>ISNUMBER(MATCH(CONTROL[[#This Row],[VEHIDCODE]],GRAPHICS_PROPERTIES[VEHIDCODE],0))</f>
        <v>1</v>
      </c>
      <c r="M295" s="21" t="str">
        <f>"item_"&amp;CONTROL[[#This Row],[VEHIDCODE]]</f>
        <v>item_diesel_GE_U10B</v>
      </c>
      <c r="N295" s="21" t="str">
        <f>"str_"&amp;CONTROL[[#This Row],[VEHIDCODE]]</f>
        <v>str_diesel_GE_U10B</v>
      </c>
      <c r="O295" s="7" t="b">
        <f>INDEX(PROPERTIES[IS_CONCEPT],MATCH(CONTROL[[#This Row],[VEHIDCODE]],PROPERTIES[VEHIDCODE],0))="IS_CONCEPT"</f>
        <v>0</v>
      </c>
      <c r="P295" s="7" t="b">
        <f>INDEX(PROPERTIES[EXCLUDE],MATCH(CONTROL[[#This Row],[VEHIDCODE]],PROPERTIES[VEHIDCODE],0))</f>
        <v>0</v>
      </c>
      <c r="Q2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6" spans="1:17" x14ac:dyDescent="0.35">
      <c r="A296" s="2" t="s">
        <v>2922</v>
      </c>
      <c r="B296" s="21" t="str">
        <f>MID(CONTROL[[#This Row],[VEHIDCODE]],FIND("_",CONTROL[[#This Row],[VEHIDCODE]])+1,LEN(CONTROL[[#This Row],[VEHIDCODE]]))</f>
        <v>EMD_Pacific_GT26C_3</v>
      </c>
      <c r="C2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6">
        <v>5127</v>
      </c>
      <c r="F296" s="30" t="s">
        <v>2183</v>
      </c>
      <c r="G296" t="s">
        <v>1322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ISNUMBER(MATCH(CONTROL[[#This Row],[VEHIDCODE]],TRACK_TYPES[VEHIDCODE],0))</f>
        <v>1</v>
      </c>
      <c r="K296" t="b">
        <f>ISNUMBER(MATCH(CONTROL[[#This Row],[VEHIDCODE]],PROPERTIES[VEHIDCODE],0))</f>
        <v>1</v>
      </c>
      <c r="L296" t="b">
        <f>ISNUMBER(MATCH(CONTROL[[#This Row],[VEHIDCODE]],GRAPHICS_PROPERTIES[VEHIDCODE],0))</f>
        <v>1</v>
      </c>
      <c r="M296" s="21" t="str">
        <f>"item_"&amp;CONTROL[[#This Row],[VEHIDCODE]]</f>
        <v>item_diesel_EMD_Pacific_GT26C_3</v>
      </c>
      <c r="N296" s="21" t="str">
        <f>"str_"&amp;CONTROL[[#This Row],[VEHIDCODE]]</f>
        <v>str_diesel_EMD_Pacific_GT26C_3</v>
      </c>
      <c r="O296" s="7" t="b">
        <f>INDEX(PROPERTIES[IS_CONCEPT],MATCH(CONTROL[[#This Row],[VEHIDCODE]],PROPERTIES[VEHIDCODE],0))="IS_CONCEPT"</f>
        <v>0</v>
      </c>
      <c r="P296" s="7" t="b">
        <f>INDEX(PROPERTIES[EXCLUDE],MATCH(CONTROL[[#This Row],[VEHIDCODE]],PROPERTIES[VEHIDCODE],0))</f>
        <v>0</v>
      </c>
      <c r="Q2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TPL_17B</v>
      </c>
    </row>
    <row r="297" spans="1:17" x14ac:dyDescent="0.35">
      <c r="A297" s="2" t="s">
        <v>2923</v>
      </c>
      <c r="B297" s="21" t="str">
        <f>MID(CONTROL[[#This Row],[VEHIDCODE]],FIND("_",CONTROL[[#This Row],[VEHIDCODE]])+1,LEN(CONTROL[[#This Row],[VEHIDCODE]]))</f>
        <v>CargoNet_312</v>
      </c>
      <c r="C2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7">
        <v>5128</v>
      </c>
      <c r="F297" s="30" t="s">
        <v>375</v>
      </c>
      <c r="G297" t="s">
        <v>1323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ISNUMBER(MATCH(CONTROL[[#This Row],[VEHIDCODE]],TRACK_TYPES[VEHIDCODE],0))</f>
        <v>1</v>
      </c>
      <c r="K297" t="b">
        <f>ISNUMBER(MATCH(CONTROL[[#This Row],[VEHIDCODE]],PROPERTIES[VEHIDCODE],0))</f>
        <v>1</v>
      </c>
      <c r="L297" t="b">
        <f>ISNUMBER(MATCH(CONTROL[[#This Row],[VEHIDCODE]],GRAPHICS_PROPERTIES[VEHIDCODE],0))</f>
        <v>1</v>
      </c>
      <c r="M297" s="21" t="str">
        <f>"item_"&amp;CONTROL[[#This Row],[VEHIDCODE]]</f>
        <v>item_diesel_CargoNet_312</v>
      </c>
      <c r="N297" s="21" t="str">
        <f>"str_"&amp;CONTROL[[#This Row],[VEHIDCODE]]</f>
        <v>str_diesel_CargoNet_312</v>
      </c>
      <c r="O297" s="7" t="b">
        <f>INDEX(PROPERTIES[IS_CONCEPT],MATCH(CONTROL[[#This Row],[VEHIDCODE]],PROPERTIES[VEHIDCODE],0))="IS_CONCEPT"</f>
        <v>0</v>
      </c>
      <c r="P297" s="7" t="b">
        <f>INDEX(PROPERTIES[EXCLUDE],MATCH(CONTROL[[#This Row],[VEHIDCODE]],PROPERTIES[VEHIDCODE],0))</f>
        <v>0</v>
      </c>
      <c r="Q2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8" spans="1:17" x14ac:dyDescent="0.35">
      <c r="A298" s="2" t="s">
        <v>2924</v>
      </c>
      <c r="B298" s="21" t="str">
        <f>MID(CONTROL[[#This Row],[VEHIDCODE]],FIND("_",CONTROL[[#This Row],[VEHIDCODE]])+1,LEN(CONTROL[[#This Row],[VEHIDCODE]]))</f>
        <v>GE_Pacific_C44ESACi</v>
      </c>
      <c r="C2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8">
        <v>5129</v>
      </c>
      <c r="F298" s="30" t="s">
        <v>2184</v>
      </c>
      <c r="G298" t="s">
        <v>1324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ISNUMBER(MATCH(CONTROL[[#This Row],[VEHIDCODE]],TRACK_TYPES[VEHIDCODE],0))</f>
        <v>1</v>
      </c>
      <c r="K298" t="b">
        <f>ISNUMBER(MATCH(CONTROL[[#This Row],[VEHIDCODE]],PROPERTIES[VEHIDCODE],0))</f>
        <v>1</v>
      </c>
      <c r="L298" t="b">
        <f>ISNUMBER(MATCH(CONTROL[[#This Row],[VEHIDCODE]],GRAPHICS_PROPERTIES[VEHIDCODE],0))</f>
        <v>1</v>
      </c>
      <c r="M298" s="21" t="str">
        <f>"item_"&amp;CONTROL[[#This Row],[VEHIDCODE]]</f>
        <v>item_diesel_GE_Pacific_C44ESACi</v>
      </c>
      <c r="N298" s="21" t="str">
        <f>"str_"&amp;CONTROL[[#This Row],[VEHIDCODE]]</f>
        <v>str_diesel_GE_Pacific_C44ESACi</v>
      </c>
      <c r="O298" s="7" t="b">
        <f>INDEX(PROPERTIES[IS_CONCEPT],MATCH(CONTROL[[#This Row],[VEHIDCODE]],PROPERTIES[VEHIDCODE],0))="IS_CONCEPT"</f>
        <v>0</v>
      </c>
      <c r="P298" s="7" t="b">
        <f>INDEX(PROPERTIES[EXCLUDE],MATCH(CONTROL[[#This Row],[VEHIDCODE]],PROPERTIES[VEHIDCODE],0))</f>
        <v>0</v>
      </c>
      <c r="Q2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299" spans="1:17" x14ac:dyDescent="0.35">
      <c r="A299" s="2" t="s">
        <v>2925</v>
      </c>
      <c r="B299" s="21" t="str">
        <f>MID(CONTROL[[#This Row],[VEHIDCODE]],FIND("_",CONTROL[[#This Row],[VEHIDCODE]])+1,LEN(CONTROL[[#This Row],[VEHIDCODE]]))</f>
        <v>Stadler_UKLight</v>
      </c>
      <c r="C2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2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299">
        <v>5131</v>
      </c>
      <c r="F299" s="30" t="s">
        <v>1965</v>
      </c>
      <c r="G299" t="s">
        <v>1325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ISNUMBER(MATCH(CONTROL[[#This Row],[VEHIDCODE]],TRACK_TYPES[VEHIDCODE],0))</f>
        <v>1</v>
      </c>
      <c r="K299" t="b">
        <f>ISNUMBER(MATCH(CONTROL[[#This Row],[VEHIDCODE]],PROPERTIES[VEHIDCODE],0))</f>
        <v>1</v>
      </c>
      <c r="L299" t="b">
        <f>ISNUMBER(MATCH(CONTROL[[#This Row],[VEHIDCODE]],GRAPHICS_PROPERTIES[VEHIDCODE],0))</f>
        <v>1</v>
      </c>
      <c r="M299" s="21" t="str">
        <f>"item_"&amp;CONTROL[[#This Row],[VEHIDCODE]]</f>
        <v>item_diesel_Stadler_UKLight</v>
      </c>
      <c r="N299" s="21" t="str">
        <f>"str_"&amp;CONTROL[[#This Row],[VEHIDCODE]]</f>
        <v>str_diesel_Stadler_UKLight</v>
      </c>
      <c r="O299" s="7" t="b">
        <f>INDEX(PROPERTIES[IS_CONCEPT],MATCH(CONTROL[[#This Row],[VEHIDCODE]],PROPERTIES[VEHIDCODE],0))="IS_CONCEPT"</f>
        <v>0</v>
      </c>
      <c r="P299" s="7" t="b">
        <f>INDEX(PROPERTIES[EXCLUDE],MATCH(CONTROL[[#This Row],[VEHIDCODE]],PROPERTIES[VEHIDCODE],0))</f>
        <v>0</v>
      </c>
      <c r="Q2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00" spans="1:17" x14ac:dyDescent="0.35">
      <c r="A300" s="2" t="s">
        <v>2926</v>
      </c>
      <c r="B300" s="21" t="str">
        <f>MID(CONTROL[[#This Row],[VEHIDCODE]],FIND("_",CONTROL[[#This Row],[VEHIDCODE]])+1,LEN(CONTROL[[#This Row],[VEHIDCODE]]))</f>
        <v>Siemens_Charger_ALC_42</v>
      </c>
      <c r="C3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3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300">
        <v>5133</v>
      </c>
      <c r="F300" s="30" t="s">
        <v>2023</v>
      </c>
      <c r="G300" t="s">
        <v>1326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ISNUMBER(MATCH(CONTROL[[#This Row],[VEHIDCODE]],TRACK_TYPES[VEHIDCODE],0))</f>
        <v>1</v>
      </c>
      <c r="K300" t="b">
        <f>ISNUMBER(MATCH(CONTROL[[#This Row],[VEHIDCODE]],PROPERTIES[VEHIDCODE],0))</f>
        <v>1</v>
      </c>
      <c r="L300" t="b">
        <f>ISNUMBER(MATCH(CONTROL[[#This Row],[VEHIDCODE]],GRAPHICS_PROPERTIES[VEHIDCODE],0))</f>
        <v>1</v>
      </c>
      <c r="M300" s="21" t="str">
        <f>"item_"&amp;CONTROL[[#This Row],[VEHIDCODE]]</f>
        <v>item_diesel_Siemens_Charger_ALC_42</v>
      </c>
      <c r="N300" s="21" t="str">
        <f>"str_"&amp;CONTROL[[#This Row],[VEHIDCODE]]</f>
        <v>str_diesel_Siemens_Charger_ALC_42</v>
      </c>
      <c r="O300" s="7" t="b">
        <f>INDEX(PROPERTIES[IS_CONCEPT],MATCH(CONTROL[[#This Row],[VEHIDCODE]],PROPERTIES[VEHIDCODE],0))="IS_CONCEPT"</f>
        <v>0</v>
      </c>
      <c r="P300" s="7" t="b">
        <f>INDEX(PROPERTIES[EXCLUDE],MATCH(CONTROL[[#This Row],[VEHIDCODE]],PROPERTIES[VEHIDCODE],0))</f>
        <v>0</v>
      </c>
      <c r="Q3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01" spans="1:17" x14ac:dyDescent="0.35">
      <c r="A301" s="2" t="s">
        <v>2927</v>
      </c>
      <c r="B301" s="21" t="str">
        <f>MID(CONTROL[[#This Row],[VEHIDCODE]],FIND("_",CONTROL[[#This Row],[VEHIDCODE]])+1,LEN(CONTROL[[#This Row],[VEHIDCODE]]))</f>
        <v>Buenos_Aires_Le_Brugeoise</v>
      </c>
      <c r="C3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1">
        <v>9004</v>
      </c>
      <c r="F301" s="30" t="s">
        <v>376</v>
      </c>
      <c r="G301" t="s">
        <v>1328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ISNUMBER(MATCH(CONTROL[[#This Row],[VEHIDCODE]],TRACK_TYPES[VEHIDCODE],0))</f>
        <v>1</v>
      </c>
      <c r="K301" t="b">
        <f>ISNUMBER(MATCH(CONTROL[[#This Row],[VEHIDCODE]],PROPERTIES[VEHIDCODE],0))</f>
        <v>1</v>
      </c>
      <c r="L301" t="b">
        <f>ISNUMBER(MATCH(CONTROL[[#This Row],[VEHIDCODE]],GRAPHICS_PROPERTIES[VEHIDCODE],0))</f>
        <v>1</v>
      </c>
      <c r="M301" s="21" t="str">
        <f>"item_"&amp;CONTROL[[#This Row],[VEHIDCODE]]</f>
        <v>item_mtro_Buenos_Aires_Le_Brugeoise</v>
      </c>
      <c r="N301" s="21" t="str">
        <f>"str_"&amp;CONTROL[[#This Row],[VEHIDCODE]]</f>
        <v>str_mtro_Buenos_Aires_Le_Brugeoise</v>
      </c>
      <c r="O301" s="7" t="b">
        <f>INDEX(PROPERTIES[IS_CONCEPT],MATCH(CONTROL[[#This Row],[VEHIDCODE]],PROPERTIES[VEHIDCODE],0))="IS_CONCEPT"</f>
        <v>0</v>
      </c>
      <c r="P301" s="7" t="b">
        <f>INDEX(PROPERTIES[EXCLUDE],MATCH(CONTROL[[#This Row],[VEHIDCODE]],PROPERTIES[VEHIDCODE],0))</f>
        <v>0</v>
      </c>
      <c r="Q3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2" spans="1:17" x14ac:dyDescent="0.35">
      <c r="A302" s="2" t="s">
        <v>2928</v>
      </c>
      <c r="B302" s="21" t="str">
        <f>MID(CONTROL[[#This Row],[VEHIDCODE]],FIND("_",CONTROL[[#This Row],[VEHIDCODE]])+1,LEN(CONTROL[[#This Row],[VEHIDCODE]]))</f>
        <v>ACF_New_York_R1</v>
      </c>
      <c r="C3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2">
        <v>9006</v>
      </c>
      <c r="F302" s="30" t="s">
        <v>2187</v>
      </c>
      <c r="G302" t="s">
        <v>1329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ISNUMBER(MATCH(CONTROL[[#This Row],[VEHIDCODE]],TRACK_TYPES[VEHIDCODE],0))</f>
        <v>1</v>
      </c>
      <c r="K302" t="b">
        <f>ISNUMBER(MATCH(CONTROL[[#This Row],[VEHIDCODE]],PROPERTIES[VEHIDCODE],0))</f>
        <v>1</v>
      </c>
      <c r="L302" t="b">
        <f>ISNUMBER(MATCH(CONTROL[[#This Row],[VEHIDCODE]],GRAPHICS_PROPERTIES[VEHIDCODE],0))</f>
        <v>1</v>
      </c>
      <c r="M302" s="21" t="str">
        <f>"item_"&amp;CONTROL[[#This Row],[VEHIDCODE]]</f>
        <v>item_mtro_ACF_New_York_R1</v>
      </c>
      <c r="N302" s="21" t="str">
        <f>"str_"&amp;CONTROL[[#This Row],[VEHIDCODE]]</f>
        <v>str_mtro_ACF_New_York_R1</v>
      </c>
      <c r="O302" s="7" t="b">
        <f>INDEX(PROPERTIES[IS_CONCEPT],MATCH(CONTROL[[#This Row],[VEHIDCODE]],PROPERTIES[VEHIDCODE],0))="IS_CONCEPT"</f>
        <v>0</v>
      </c>
      <c r="P302" s="7" t="b">
        <f>INDEX(PROPERTIES[EXCLUDE],MATCH(CONTROL[[#This Row],[VEHIDCODE]],PROPERTIES[VEHIDCODE],0))</f>
        <v>0</v>
      </c>
      <c r="Q3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3" spans="1:17" x14ac:dyDescent="0.35">
      <c r="A303" s="2" t="s">
        <v>2929</v>
      </c>
      <c r="B303" s="21" t="str">
        <f>MID(CONTROL[[#This Row],[VEHIDCODE]],FIND("_",CONTROL[[#This Row],[VEHIDCODE]])+1,LEN(CONTROL[[#This Row],[VEHIDCODE]]))</f>
        <v>LHB_ET_171</v>
      </c>
      <c r="C3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3">
        <v>9008</v>
      </c>
      <c r="F303" s="30" t="s">
        <v>2185</v>
      </c>
      <c r="G303" t="s">
        <v>1330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ISNUMBER(MATCH(CONTROL[[#This Row],[VEHIDCODE]],TRACK_TYPES[VEHIDCODE],0))</f>
        <v>1</v>
      </c>
      <c r="K303" t="b">
        <f>ISNUMBER(MATCH(CONTROL[[#This Row],[VEHIDCODE]],PROPERTIES[VEHIDCODE],0))</f>
        <v>1</v>
      </c>
      <c r="L303" t="b">
        <f>ISNUMBER(MATCH(CONTROL[[#This Row],[VEHIDCODE]],GRAPHICS_PROPERTIES[VEHIDCODE],0))</f>
        <v>1</v>
      </c>
      <c r="M303" s="21" t="str">
        <f>"item_"&amp;CONTROL[[#This Row],[VEHIDCODE]]</f>
        <v>item_mtro_LHB_ET_171</v>
      </c>
      <c r="N303" s="21" t="str">
        <f>"str_"&amp;CONTROL[[#This Row],[VEHIDCODE]]</f>
        <v>str_mtro_LHB_ET_171</v>
      </c>
      <c r="O303" s="7" t="b">
        <f>INDEX(PROPERTIES[IS_CONCEPT],MATCH(CONTROL[[#This Row],[VEHIDCODE]],PROPERTIES[VEHIDCODE],0))="IS_CONCEPT"</f>
        <v>0</v>
      </c>
      <c r="P303" s="7" t="b">
        <f>INDEX(PROPERTIES[EXCLUDE],MATCH(CONTROL[[#This Row],[VEHIDCODE]],PROPERTIES[VEHIDCODE],0))</f>
        <v>0</v>
      </c>
      <c r="Q3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4" spans="1:17" x14ac:dyDescent="0.35">
      <c r="A304" s="2" t="s">
        <v>2930</v>
      </c>
      <c r="B304" s="21" t="str">
        <f>MID(CONTROL[[#This Row],[VEHIDCODE]],FIND("_",CONTROL[[#This Row],[VEHIDCODE]])+1,LEN(CONTROL[[#This Row],[VEHIDCODE]]))</f>
        <v>GEC_Alsthom_Paris_MP55</v>
      </c>
      <c r="C3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4">
        <v>9009</v>
      </c>
      <c r="F304" s="30" t="s">
        <v>2217</v>
      </c>
      <c r="G304" t="s">
        <v>2186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ISNUMBER(MATCH(CONTROL[[#This Row],[VEHIDCODE]],TRACK_TYPES[VEHIDCODE],0))</f>
        <v>1</v>
      </c>
      <c r="K304" t="b">
        <f>ISNUMBER(MATCH(CONTROL[[#This Row],[VEHIDCODE]],PROPERTIES[VEHIDCODE],0))</f>
        <v>1</v>
      </c>
      <c r="L304" t="b">
        <f>ISNUMBER(MATCH(CONTROL[[#This Row],[VEHIDCODE]],GRAPHICS_PROPERTIES[VEHIDCODE],0))</f>
        <v>1</v>
      </c>
      <c r="M304" s="21" t="str">
        <f>"item_"&amp;CONTROL[[#This Row],[VEHIDCODE]]</f>
        <v>item_mtro_GEC_Alsthom_Paris_MP55</v>
      </c>
      <c r="N304" s="21" t="str">
        <f>"str_"&amp;CONTROL[[#This Row],[VEHIDCODE]]</f>
        <v>str_mtro_GEC_Alsthom_Paris_MP55</v>
      </c>
      <c r="O304" s="7" t="b">
        <f>INDEX(PROPERTIES[IS_CONCEPT],MATCH(CONTROL[[#This Row],[VEHIDCODE]],PROPERTIES[VEHIDCODE],0))="IS_CONCEPT"</f>
        <v>0</v>
      </c>
      <c r="P304" s="7" t="b">
        <f>INDEX(PROPERTIES[EXCLUDE],MATCH(CONTROL[[#This Row],[VEHIDCODE]],PROPERTIES[VEHIDCODE],0))</f>
        <v>0</v>
      </c>
      <c r="Q3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5" spans="1:17" x14ac:dyDescent="0.35">
      <c r="A305" s="2" t="s">
        <v>2931</v>
      </c>
      <c r="B305" s="21" t="str">
        <f>MID(CONTROL[[#This Row],[VEHIDCODE]],FIND("_",CONTROL[[#This Row],[VEHIDCODE]])+1,LEN(CONTROL[[#This Row],[VEHIDCODE]]))</f>
        <v>LHB_Lisbon_ML7</v>
      </c>
      <c r="C3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5">
        <v>9010</v>
      </c>
      <c r="F305" s="30" t="s">
        <v>2188</v>
      </c>
      <c r="G305" t="s">
        <v>1331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ISNUMBER(MATCH(CONTROL[[#This Row],[VEHIDCODE]],TRACK_TYPES[VEHIDCODE],0))</f>
        <v>1</v>
      </c>
      <c r="K305" t="b">
        <f>ISNUMBER(MATCH(CONTROL[[#This Row],[VEHIDCODE]],PROPERTIES[VEHIDCODE],0))</f>
        <v>1</v>
      </c>
      <c r="L305" t="b">
        <f>ISNUMBER(MATCH(CONTROL[[#This Row],[VEHIDCODE]],GRAPHICS_PROPERTIES[VEHIDCODE],0))</f>
        <v>1</v>
      </c>
      <c r="M305" s="21" t="str">
        <f>"item_"&amp;CONTROL[[#This Row],[VEHIDCODE]]</f>
        <v>item_mtro_LHB_Lisbon_ML7</v>
      </c>
      <c r="N305" s="21" t="str">
        <f>"str_"&amp;CONTROL[[#This Row],[VEHIDCODE]]</f>
        <v>str_mtro_LHB_Lisbon_ML7</v>
      </c>
      <c r="O305" s="7" t="b">
        <f>INDEX(PROPERTIES[IS_CONCEPT],MATCH(CONTROL[[#This Row],[VEHIDCODE]],PROPERTIES[VEHIDCODE],0))="IS_CONCEPT"</f>
        <v>0</v>
      </c>
      <c r="P305" s="7" t="b">
        <f>INDEX(PROPERTIES[EXCLUDE],MATCH(CONTROL[[#This Row],[VEHIDCODE]],PROPERTIES[VEHIDCODE],0))</f>
        <v>0</v>
      </c>
      <c r="Q3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6" spans="1:17" x14ac:dyDescent="0.35">
      <c r="A306" s="2" t="s">
        <v>2932</v>
      </c>
      <c r="B306" s="21" t="str">
        <f>MID(CONTROL[[#This Row],[VEHIDCODE]],FIND("_",CONTROL[[#This Row],[VEHIDCODE]])+1,LEN(CONTROL[[#This Row],[VEHIDCODE]]))</f>
        <v>MMZ_Budapest_Ev3</v>
      </c>
      <c r="C3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6">
        <v>9011</v>
      </c>
      <c r="F306" s="30" t="s">
        <v>3546</v>
      </c>
      <c r="G306" t="s">
        <v>3547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ISNUMBER(MATCH(CONTROL[[#This Row],[VEHIDCODE]],TRACK_TYPES[VEHIDCODE],0))</f>
        <v>1</v>
      </c>
      <c r="K306" t="b">
        <f>ISNUMBER(MATCH(CONTROL[[#This Row],[VEHIDCODE]],PROPERTIES[VEHIDCODE],0))</f>
        <v>1</v>
      </c>
      <c r="L306" t="b">
        <f>ISNUMBER(MATCH(CONTROL[[#This Row],[VEHIDCODE]],GRAPHICS_PROPERTIES[VEHIDCODE],0))</f>
        <v>1</v>
      </c>
      <c r="M306" s="21" t="str">
        <f>"item_"&amp;CONTROL[[#This Row],[VEHIDCODE]]</f>
        <v>item_mtro_MMZ_Budapest_Ev3</v>
      </c>
      <c r="N306" s="21" t="str">
        <f>"str_"&amp;CONTROL[[#This Row],[VEHIDCODE]]</f>
        <v>str_mtro_MMZ_Budapest_Ev3</v>
      </c>
      <c r="O306" s="7" t="b">
        <f>INDEX(PROPERTIES[IS_CONCEPT],MATCH(CONTROL[[#This Row],[VEHIDCODE]],PROPERTIES[VEHIDCODE],0))="IS_CONCEPT"</f>
        <v>0</v>
      </c>
      <c r="P306" s="7" t="b">
        <f>INDEX(PROPERTIES[EXCLUDE],MATCH(CONTROL[[#This Row],[VEHIDCODE]],PROPERTIES[VEHIDCODE],0))</f>
        <v>0</v>
      </c>
      <c r="Q3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7" spans="1:17" x14ac:dyDescent="0.35">
      <c r="A307" s="2" t="s">
        <v>2933</v>
      </c>
      <c r="B307" s="21" t="str">
        <f>MID(CONTROL[[#This Row],[VEHIDCODE]],FIND("_",CONTROL[[#This Row],[VEHIDCODE]])+1,LEN(CONTROL[[#This Row],[VEHIDCODE]]))</f>
        <v>Strommens_Oslo_T1000</v>
      </c>
      <c r="C3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7">
        <v>9012</v>
      </c>
      <c r="F307" s="30" t="s">
        <v>2189</v>
      </c>
      <c r="G307" t="s">
        <v>1332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ISNUMBER(MATCH(CONTROL[[#This Row],[VEHIDCODE]],TRACK_TYPES[VEHIDCODE],0))</f>
        <v>1</v>
      </c>
      <c r="K307" t="b">
        <f>ISNUMBER(MATCH(CONTROL[[#This Row],[VEHIDCODE]],PROPERTIES[VEHIDCODE],0))</f>
        <v>1</v>
      </c>
      <c r="L307" t="b">
        <f>ISNUMBER(MATCH(CONTROL[[#This Row],[VEHIDCODE]],GRAPHICS_PROPERTIES[VEHIDCODE],0))</f>
        <v>1</v>
      </c>
      <c r="M307" s="21" t="str">
        <f>"item_"&amp;CONTROL[[#This Row],[VEHIDCODE]]</f>
        <v>item_mtro_Strommens_Oslo_T1000</v>
      </c>
      <c r="N307" s="21" t="str">
        <f>"str_"&amp;CONTROL[[#This Row],[VEHIDCODE]]</f>
        <v>str_mtro_Strommens_Oslo_T1000</v>
      </c>
      <c r="O307" s="7" t="b">
        <f>INDEX(PROPERTIES[IS_CONCEPT],MATCH(CONTROL[[#This Row],[VEHIDCODE]],PROPERTIES[VEHIDCODE],0))="IS_CONCEPT"</f>
        <v>0</v>
      </c>
      <c r="P307" s="7" t="b">
        <f>INDEX(PROPERTIES[EXCLUDE],MATCH(CONTROL[[#This Row],[VEHIDCODE]],PROPERTIES[VEHIDCODE],0))</f>
        <v>0</v>
      </c>
      <c r="Q3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8" spans="1:17" x14ac:dyDescent="0.35">
      <c r="A308" s="2" t="s">
        <v>2934</v>
      </c>
      <c r="B308" s="21" t="str">
        <f>MID(CONTROL[[#This Row],[VEHIDCODE]],FIND("_",CONTROL[[#This Row],[VEHIDCODE]])+1,LEN(CONTROL[[#This Row],[VEHIDCODE]]))</f>
        <v>Hawker_Siddeley_Toronto_H1</v>
      </c>
      <c r="C3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8">
        <v>9013</v>
      </c>
      <c r="F308" s="30" t="s">
        <v>2190</v>
      </c>
      <c r="G308" t="s">
        <v>1333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ISNUMBER(MATCH(CONTROL[[#This Row],[VEHIDCODE]],TRACK_TYPES[VEHIDCODE],0))</f>
        <v>1</v>
      </c>
      <c r="K308" t="b">
        <f>ISNUMBER(MATCH(CONTROL[[#This Row],[VEHIDCODE]],PROPERTIES[VEHIDCODE],0))</f>
        <v>1</v>
      </c>
      <c r="L308" t="b">
        <f>ISNUMBER(MATCH(CONTROL[[#This Row],[VEHIDCODE]],GRAPHICS_PROPERTIES[VEHIDCODE],0))</f>
        <v>1</v>
      </c>
      <c r="M308" s="21" t="str">
        <f>"item_"&amp;CONTROL[[#This Row],[VEHIDCODE]]</f>
        <v>item_mtro_Hawker_Siddeley_Toronto_H1</v>
      </c>
      <c r="N308" s="21" t="str">
        <f>"str_"&amp;CONTROL[[#This Row],[VEHIDCODE]]</f>
        <v>str_mtro_Hawker_Siddeley_Toronto_H1</v>
      </c>
      <c r="O308" s="7" t="b">
        <f>INDEX(PROPERTIES[IS_CONCEPT],MATCH(CONTROL[[#This Row],[VEHIDCODE]],PROPERTIES[VEHIDCODE],0))="IS_CONCEPT"</f>
        <v>0</v>
      </c>
      <c r="P308" s="7" t="b">
        <f>INDEX(PROPERTIES[EXCLUDE],MATCH(CONTROL[[#This Row],[VEHIDCODE]],PROPERTIES[VEHIDCODE],0))</f>
        <v>0</v>
      </c>
      <c r="Q3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09" spans="1:17" x14ac:dyDescent="0.35">
      <c r="A309" s="2" t="s">
        <v>2935</v>
      </c>
      <c r="B309" s="21" t="str">
        <f>MID(CONTROL[[#This Row],[VEHIDCODE]],FIND("_",CONTROL[[#This Row],[VEHIDCODE]])+1,LEN(CONTROL[[#This Row],[VEHIDCODE]]))</f>
        <v>MAN_Munchen_MVG_A2</v>
      </c>
      <c r="C3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09">
        <v>9014</v>
      </c>
      <c r="F309" s="30" t="s">
        <v>2191</v>
      </c>
      <c r="G309" t="s">
        <v>1334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ISNUMBER(MATCH(CONTROL[[#This Row],[VEHIDCODE]],TRACK_TYPES[VEHIDCODE],0))</f>
        <v>1</v>
      </c>
      <c r="K309" t="b">
        <f>ISNUMBER(MATCH(CONTROL[[#This Row],[VEHIDCODE]],PROPERTIES[VEHIDCODE],0))</f>
        <v>1</v>
      </c>
      <c r="L309" t="b">
        <f>ISNUMBER(MATCH(CONTROL[[#This Row],[VEHIDCODE]],GRAPHICS_PROPERTIES[VEHIDCODE],0))</f>
        <v>1</v>
      </c>
      <c r="M309" s="21" t="str">
        <f>"item_"&amp;CONTROL[[#This Row],[VEHIDCODE]]</f>
        <v>item_mtro_MAN_Munchen_MVG_A2</v>
      </c>
      <c r="N309" s="21" t="str">
        <f>"str_"&amp;CONTROL[[#This Row],[VEHIDCODE]]</f>
        <v>str_mtro_MAN_Munchen_MVG_A2</v>
      </c>
      <c r="O309" s="7" t="b">
        <f>INDEX(PROPERTIES[IS_CONCEPT],MATCH(CONTROL[[#This Row],[VEHIDCODE]],PROPERTIES[VEHIDCODE],0))="IS_CONCEPT"</f>
        <v>0</v>
      </c>
      <c r="P309" s="7" t="b">
        <f>INDEX(PROPERTIES[EXCLUDE],MATCH(CONTROL[[#This Row],[VEHIDCODE]],PROPERTIES[VEHIDCODE],0))</f>
        <v>0</v>
      </c>
      <c r="Q3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0" spans="1:17" x14ac:dyDescent="0.35">
      <c r="A310" s="2" t="s">
        <v>2936</v>
      </c>
      <c r="B310" s="21" t="str">
        <f>MID(CONTROL[[#This Row],[VEHIDCODE]],FIND("_",CONTROL[[#This Row],[VEHIDCODE]])+1,LEN(CONTROL[[#This Row],[VEHIDCODE]]))</f>
        <v>St__Louis_Car_Co_New_York_R44</v>
      </c>
      <c r="C3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0">
        <v>9015</v>
      </c>
      <c r="F310" s="30" t="s">
        <v>2192</v>
      </c>
      <c r="G310" t="s">
        <v>1335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ISNUMBER(MATCH(CONTROL[[#This Row],[VEHIDCODE]],TRACK_TYPES[VEHIDCODE],0))</f>
        <v>1</v>
      </c>
      <c r="K310" t="b">
        <f>ISNUMBER(MATCH(CONTROL[[#This Row],[VEHIDCODE]],PROPERTIES[VEHIDCODE],0))</f>
        <v>1</v>
      </c>
      <c r="L310" t="b">
        <f>ISNUMBER(MATCH(CONTROL[[#This Row],[VEHIDCODE]],GRAPHICS_PROPERTIES[VEHIDCODE],0))</f>
        <v>1</v>
      </c>
      <c r="M310" s="21" t="str">
        <f>"item_"&amp;CONTROL[[#This Row],[VEHIDCODE]]</f>
        <v>item_mtro_St__Louis_Car_Co_New_York_R44</v>
      </c>
      <c r="N310" s="21" t="str">
        <f>"str_"&amp;CONTROL[[#This Row],[VEHIDCODE]]</f>
        <v>str_mtro_St__Louis_Car_Co_New_York_R44</v>
      </c>
      <c r="O310" s="7" t="b">
        <f>INDEX(PROPERTIES[IS_CONCEPT],MATCH(CONTROL[[#This Row],[VEHIDCODE]],PROPERTIES[VEHIDCODE],0))="IS_CONCEPT"</f>
        <v>0</v>
      </c>
      <c r="P310" s="7" t="b">
        <f>INDEX(PROPERTIES[EXCLUDE],MATCH(CONTROL[[#This Row],[VEHIDCODE]],PROPERTIES[VEHIDCODE],0))</f>
        <v>0</v>
      </c>
      <c r="Q3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1" spans="1:17" x14ac:dyDescent="0.35">
      <c r="A311" s="2" t="s">
        <v>2937</v>
      </c>
      <c r="B311" s="21" t="str">
        <f>MID(CONTROL[[#This Row],[VEHIDCODE]],FIND("_",CONTROL[[#This Row],[VEHIDCODE]])+1,LEN(CONTROL[[#This Row],[VEHIDCODE]]))</f>
        <v>LHB_Amsterdam_M1</v>
      </c>
      <c r="C3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1">
        <v>9016</v>
      </c>
      <c r="F311" s="30" t="s">
        <v>2193</v>
      </c>
      <c r="G311" t="s">
        <v>1336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ISNUMBER(MATCH(CONTROL[[#This Row],[VEHIDCODE]],TRACK_TYPES[VEHIDCODE],0))</f>
        <v>1</v>
      </c>
      <c r="K311" t="b">
        <f>ISNUMBER(MATCH(CONTROL[[#This Row],[VEHIDCODE]],PROPERTIES[VEHIDCODE],0))</f>
        <v>1</v>
      </c>
      <c r="L311" t="b">
        <f>ISNUMBER(MATCH(CONTROL[[#This Row],[VEHIDCODE]],GRAPHICS_PROPERTIES[VEHIDCODE],0))</f>
        <v>1</v>
      </c>
      <c r="M311" s="21" t="str">
        <f>"item_"&amp;CONTROL[[#This Row],[VEHIDCODE]]</f>
        <v>item_mtro_LHB_Amsterdam_M1</v>
      </c>
      <c r="N311" s="21" t="str">
        <f>"str_"&amp;CONTROL[[#This Row],[VEHIDCODE]]</f>
        <v>str_mtro_LHB_Amsterdam_M1</v>
      </c>
      <c r="O311" s="7" t="b">
        <f>INDEX(PROPERTIES[IS_CONCEPT],MATCH(CONTROL[[#This Row],[VEHIDCODE]],PROPERTIES[VEHIDCODE],0))="IS_CONCEPT"</f>
        <v>0</v>
      </c>
      <c r="P311" s="7" t="b">
        <f>INDEX(PROPERTIES[EXCLUDE],MATCH(CONTROL[[#This Row],[VEHIDCODE]],PROPERTIES[VEHIDCODE],0))</f>
        <v>0</v>
      </c>
      <c r="Q3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2" spans="1:17" x14ac:dyDescent="0.35">
      <c r="A312" s="2" t="s">
        <v>2938</v>
      </c>
      <c r="B312" s="21" t="str">
        <f>MID(CONTROL[[#This Row],[VEHIDCODE]],FIND("_",CONTROL[[#This Row],[VEHIDCODE]])+1,LEN(CONTROL[[#This Row],[VEHIDCODE]]))</f>
        <v>ASEA_Stockholm_C8</v>
      </c>
      <c r="C3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2">
        <v>9017</v>
      </c>
      <c r="F312" s="30" t="s">
        <v>2561</v>
      </c>
      <c r="G312" t="s">
        <v>1337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ISNUMBER(MATCH(CONTROL[[#This Row],[VEHIDCODE]],TRACK_TYPES[VEHIDCODE],0))</f>
        <v>1</v>
      </c>
      <c r="K312" t="b">
        <f>ISNUMBER(MATCH(CONTROL[[#This Row],[VEHIDCODE]],PROPERTIES[VEHIDCODE],0))</f>
        <v>1</v>
      </c>
      <c r="L312" t="b">
        <f>ISNUMBER(MATCH(CONTROL[[#This Row],[VEHIDCODE]],GRAPHICS_PROPERTIES[VEHIDCODE],0))</f>
        <v>1</v>
      </c>
      <c r="M312" s="21" t="str">
        <f>"item_"&amp;CONTROL[[#This Row],[VEHIDCODE]]</f>
        <v>item_mtro_ASEA_Stockholm_C8</v>
      </c>
      <c r="N312" s="21" t="str">
        <f>"str_"&amp;CONTROL[[#This Row],[VEHIDCODE]]</f>
        <v>str_mtro_ASEA_Stockholm_C8</v>
      </c>
      <c r="O312" s="7" t="b">
        <f>INDEX(PROPERTIES[IS_CONCEPT],MATCH(CONTROL[[#This Row],[VEHIDCODE]],PROPERTIES[VEHIDCODE],0))="IS_CONCEPT"</f>
        <v>0</v>
      </c>
      <c r="P312" s="7" t="b">
        <f>INDEX(PROPERTIES[EXCLUDE],MATCH(CONTROL[[#This Row],[VEHIDCODE]],PROPERTIES[VEHIDCODE],0))</f>
        <v>0</v>
      </c>
      <c r="Q3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3" spans="1:17" x14ac:dyDescent="0.35">
      <c r="A313" s="2" t="s">
        <v>2939</v>
      </c>
      <c r="B313" s="21" t="str">
        <f>MID(CONTROL[[#This Row],[VEHIDCODE]],FIND("_",CONTROL[[#This Row],[VEHIDCODE]])+1,LEN(CONTROL[[#This Row],[VEHIDCODE]]))</f>
        <v>AEG_Pyongyang_D</v>
      </c>
      <c r="C3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3">
        <v>9018</v>
      </c>
      <c r="F313" s="30" t="s">
        <v>3545</v>
      </c>
      <c r="G313" t="s">
        <v>1338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ISNUMBER(MATCH(CONTROL[[#This Row],[VEHIDCODE]],TRACK_TYPES[VEHIDCODE],0))</f>
        <v>1</v>
      </c>
      <c r="K313" t="b">
        <f>ISNUMBER(MATCH(CONTROL[[#This Row],[VEHIDCODE]],PROPERTIES[VEHIDCODE],0))</f>
        <v>1</v>
      </c>
      <c r="L313" t="b">
        <f>ISNUMBER(MATCH(CONTROL[[#This Row],[VEHIDCODE]],GRAPHICS_PROPERTIES[VEHIDCODE],0))</f>
        <v>1</v>
      </c>
      <c r="M313" s="21" t="str">
        <f>"item_"&amp;CONTROL[[#This Row],[VEHIDCODE]]</f>
        <v>item_mtro_AEG_Pyongyang_D</v>
      </c>
      <c r="N313" s="21" t="str">
        <f>"str_"&amp;CONTROL[[#This Row],[VEHIDCODE]]</f>
        <v>str_mtro_AEG_Pyongyang_D</v>
      </c>
      <c r="O313" s="7" t="b">
        <f>INDEX(PROPERTIES[IS_CONCEPT],MATCH(CONTROL[[#This Row],[VEHIDCODE]],PROPERTIES[VEHIDCODE],0))="IS_CONCEPT"</f>
        <v>0</v>
      </c>
      <c r="P313" s="7" t="b">
        <f>INDEX(PROPERTIES[EXCLUDE],MATCH(CONTROL[[#This Row],[VEHIDCODE]],PROPERTIES[VEHIDCODE],0))</f>
        <v>0</v>
      </c>
      <c r="Q3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4" spans="1:17" x14ac:dyDescent="0.35">
      <c r="A314" s="2" t="s">
        <v>2940</v>
      </c>
      <c r="B314" s="21" t="str">
        <f>MID(CONTROL[[#This Row],[VEHIDCODE]],FIND("_",CONTROL[[#This Row],[VEHIDCODE]])+1,LEN(CONTROL[[#This Row],[VEHIDCODE]]))</f>
        <v>Valmet_Helsinki_M100</v>
      </c>
      <c r="C3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4">
        <v>9019</v>
      </c>
      <c r="F314" s="30" t="s">
        <v>2194</v>
      </c>
      <c r="G314" t="s">
        <v>1339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ISNUMBER(MATCH(CONTROL[[#This Row],[VEHIDCODE]],TRACK_TYPES[VEHIDCODE],0))</f>
        <v>1</v>
      </c>
      <c r="K314" t="b">
        <f>ISNUMBER(MATCH(CONTROL[[#This Row],[VEHIDCODE]],PROPERTIES[VEHIDCODE],0))</f>
        <v>1</v>
      </c>
      <c r="L314" t="b">
        <f>ISNUMBER(MATCH(CONTROL[[#This Row],[VEHIDCODE]],GRAPHICS_PROPERTIES[VEHIDCODE],0))</f>
        <v>1</v>
      </c>
      <c r="M314" s="21" t="str">
        <f>"item_"&amp;CONTROL[[#This Row],[VEHIDCODE]]</f>
        <v>item_mtro_Valmet_Helsinki_M100</v>
      </c>
      <c r="N314" s="21" t="str">
        <f>"str_"&amp;CONTROL[[#This Row],[VEHIDCODE]]</f>
        <v>str_mtro_Valmet_Helsinki_M100</v>
      </c>
      <c r="O314" s="7" t="b">
        <f>INDEX(PROPERTIES[IS_CONCEPT],MATCH(CONTROL[[#This Row],[VEHIDCODE]],PROPERTIES[VEHIDCODE],0))="IS_CONCEPT"</f>
        <v>0</v>
      </c>
      <c r="P314" s="7" t="b">
        <f>INDEX(PROPERTIES[EXCLUDE],MATCH(CONTROL[[#This Row],[VEHIDCODE]],PROPERTIES[VEHIDCODE],0))</f>
        <v>0</v>
      </c>
      <c r="Q3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5" spans="1:17" x14ac:dyDescent="0.35">
      <c r="A315" s="2" t="s">
        <v>2941</v>
      </c>
      <c r="B315" s="21" t="str">
        <f>MID(CONTROL[[#This Row],[VEHIDCODE]],FIND("_",CONTROL[[#This Row],[VEHIDCODE]])+1,LEN(CONTROL[[#This Row],[VEHIDCODE]]))</f>
        <v>Sorefame_Sao_Paulo_Serie_5500</v>
      </c>
      <c r="C3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5">
        <v>9020</v>
      </c>
      <c r="F315" s="30" t="s">
        <v>2195</v>
      </c>
      <c r="G315" t="s">
        <v>1340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ISNUMBER(MATCH(CONTROL[[#This Row],[VEHIDCODE]],TRACK_TYPES[VEHIDCODE],0))</f>
        <v>1</v>
      </c>
      <c r="K315" t="b">
        <f>ISNUMBER(MATCH(CONTROL[[#This Row],[VEHIDCODE]],PROPERTIES[VEHIDCODE],0))</f>
        <v>1</v>
      </c>
      <c r="L315" t="b">
        <f>ISNUMBER(MATCH(CONTROL[[#This Row],[VEHIDCODE]],GRAPHICS_PROPERTIES[VEHIDCODE],0))</f>
        <v>1</v>
      </c>
      <c r="M315" s="21" t="str">
        <f>"item_"&amp;CONTROL[[#This Row],[VEHIDCODE]]</f>
        <v>item_mtro_Sorefame_Sao_Paulo_Serie_5500</v>
      </c>
      <c r="N315" s="21" t="str">
        <f>"str_"&amp;CONTROL[[#This Row],[VEHIDCODE]]</f>
        <v>str_mtro_Sorefame_Sao_Paulo_Serie_5500</v>
      </c>
      <c r="O315" s="7" t="b">
        <f>INDEX(PROPERTIES[IS_CONCEPT],MATCH(CONTROL[[#This Row],[VEHIDCODE]],PROPERTIES[VEHIDCODE],0))="IS_CONCEPT"</f>
        <v>0</v>
      </c>
      <c r="P315" s="7" t="b">
        <f>INDEX(PROPERTIES[EXCLUDE],MATCH(CONTROL[[#This Row],[VEHIDCODE]],PROPERTIES[VEHIDCODE],0))</f>
        <v>0</v>
      </c>
      <c r="Q3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6" spans="1:17" x14ac:dyDescent="0.35">
      <c r="A316" s="2" t="s">
        <v>2942</v>
      </c>
      <c r="B316" s="21" t="str">
        <f>MID(CONTROL[[#This Row],[VEHIDCODE]],FIND("_",CONTROL[[#This Row],[VEHIDCODE]])+1,LEN(CONTROL[[#This Row],[VEHIDCODE]]))</f>
        <v>MMZ_Moscow_81_720</v>
      </c>
      <c r="C3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6">
        <v>9021</v>
      </c>
      <c r="F316" s="30" t="s">
        <v>3541</v>
      </c>
      <c r="G316" t="s">
        <v>1327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ISNUMBER(MATCH(CONTROL[[#This Row],[VEHIDCODE]],TRACK_TYPES[VEHIDCODE],0))</f>
        <v>1</v>
      </c>
      <c r="K316" t="b">
        <f>ISNUMBER(MATCH(CONTROL[[#This Row],[VEHIDCODE]],PROPERTIES[VEHIDCODE],0))</f>
        <v>1</v>
      </c>
      <c r="L316" t="b">
        <f>ISNUMBER(MATCH(CONTROL[[#This Row],[VEHIDCODE]],GRAPHICS_PROPERTIES[VEHIDCODE],0))</f>
        <v>1</v>
      </c>
      <c r="M316" s="21" t="str">
        <f>"item_"&amp;CONTROL[[#This Row],[VEHIDCODE]]</f>
        <v>item_mtro_MMZ_Moscow_81_720</v>
      </c>
      <c r="N316" s="21" t="str">
        <f>"str_"&amp;CONTROL[[#This Row],[VEHIDCODE]]</f>
        <v>str_mtro_MMZ_Moscow_81_720</v>
      </c>
      <c r="O316" s="7" t="b">
        <f>INDEX(PROPERTIES[IS_CONCEPT],MATCH(CONTROL[[#This Row],[VEHIDCODE]],PROPERTIES[VEHIDCODE],0))="IS_CONCEPT"</f>
        <v>0</v>
      </c>
      <c r="P316" s="7" t="b">
        <f>INDEX(PROPERTIES[EXCLUDE],MATCH(CONTROL[[#This Row],[VEHIDCODE]],PROPERTIES[VEHIDCODE],0))</f>
        <v>0</v>
      </c>
      <c r="Q3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7" spans="1:17" x14ac:dyDescent="0.35">
      <c r="A317" s="2" t="s">
        <v>2943</v>
      </c>
      <c r="B317" s="21" t="str">
        <f>MID(CONTROL[[#This Row],[VEHIDCODE]],FIND("_",CONTROL[[#This Row],[VEHIDCODE]])+1,LEN(CONTROL[[#This Row],[VEHIDCODE]]))</f>
        <v>Kawasaki_Tokyo_S01</v>
      </c>
      <c r="C3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7">
        <v>9022</v>
      </c>
      <c r="F317" s="30" t="s">
        <v>2204</v>
      </c>
      <c r="G317" t="s">
        <v>1341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ISNUMBER(MATCH(CONTROL[[#This Row],[VEHIDCODE]],TRACK_TYPES[VEHIDCODE],0))</f>
        <v>1</v>
      </c>
      <c r="K317" t="b">
        <f>ISNUMBER(MATCH(CONTROL[[#This Row],[VEHIDCODE]],PROPERTIES[VEHIDCODE],0))</f>
        <v>1</v>
      </c>
      <c r="L317" t="b">
        <f>ISNUMBER(MATCH(CONTROL[[#This Row],[VEHIDCODE]],GRAPHICS_PROPERTIES[VEHIDCODE],0))</f>
        <v>1</v>
      </c>
      <c r="M317" s="21" t="str">
        <f>"item_"&amp;CONTROL[[#This Row],[VEHIDCODE]]</f>
        <v>item_mtro_Kawasaki_Tokyo_S01</v>
      </c>
      <c r="N317" s="21" t="str">
        <f>"str_"&amp;CONTROL[[#This Row],[VEHIDCODE]]</f>
        <v>str_mtro_Kawasaki_Tokyo_S01</v>
      </c>
      <c r="O317" s="7" t="b">
        <f>INDEX(PROPERTIES[IS_CONCEPT],MATCH(CONTROL[[#This Row],[VEHIDCODE]],PROPERTIES[VEHIDCODE],0))="IS_CONCEPT"</f>
        <v>0</v>
      </c>
      <c r="P317" s="7" t="b">
        <f>INDEX(PROPERTIES[EXCLUDE],MATCH(CONTROL[[#This Row],[VEHIDCODE]],PROPERTIES[VEHIDCODE],0))</f>
        <v>0</v>
      </c>
      <c r="Q3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8" spans="1:17" x14ac:dyDescent="0.35">
      <c r="A318" s="2" t="s">
        <v>2944</v>
      </c>
      <c r="B318" s="21" t="str">
        <f>MID(CONTROL[[#This Row],[VEHIDCODE]],FIND("_",CONTROL[[#This Row],[VEHIDCODE]])+1,LEN(CONTROL[[#This Row],[VEHIDCODE]]))</f>
        <v>Kinki_Sharyo_Vcairo</v>
      </c>
      <c r="C3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8">
        <v>9023</v>
      </c>
      <c r="F318" s="30" t="s">
        <v>2196</v>
      </c>
      <c r="G318" t="s">
        <v>1342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ISNUMBER(MATCH(CONTROL[[#This Row],[VEHIDCODE]],TRACK_TYPES[VEHIDCODE],0))</f>
        <v>1</v>
      </c>
      <c r="K318" t="b">
        <f>ISNUMBER(MATCH(CONTROL[[#This Row],[VEHIDCODE]],PROPERTIES[VEHIDCODE],0))</f>
        <v>1</v>
      </c>
      <c r="L318" t="b">
        <f>ISNUMBER(MATCH(CONTROL[[#This Row],[VEHIDCODE]],GRAPHICS_PROPERTIES[VEHIDCODE],0))</f>
        <v>1</v>
      </c>
      <c r="M318" s="21" t="str">
        <f>"item_"&amp;CONTROL[[#This Row],[VEHIDCODE]]</f>
        <v>item_mtro_Kinki_Sharyo_Vcairo</v>
      </c>
      <c r="N318" s="21" t="str">
        <f>"str_"&amp;CONTROL[[#This Row],[VEHIDCODE]]</f>
        <v>str_mtro_Kinki_Sharyo_Vcairo</v>
      </c>
      <c r="O318" s="7" t="b">
        <f>INDEX(PROPERTIES[IS_CONCEPT],MATCH(CONTROL[[#This Row],[VEHIDCODE]],PROPERTIES[VEHIDCODE],0))="IS_CONCEPT"</f>
        <v>0</v>
      </c>
      <c r="P318" s="7" t="b">
        <f>INDEX(PROPERTIES[EXCLUDE],MATCH(CONTROL[[#This Row],[VEHIDCODE]],PROPERTIES[VEHIDCODE],0))</f>
        <v>0</v>
      </c>
      <c r="Q3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19" spans="1:17" x14ac:dyDescent="0.35">
      <c r="A319" s="2" t="s">
        <v>2945</v>
      </c>
      <c r="B319" s="21" t="str">
        <f>MID(CONTROL[[#This Row],[VEHIDCODE]],FIND("_",CONTROL[[#This Row],[VEHIDCODE]])+1,LEN(CONTROL[[#This Row],[VEHIDCODE]]))</f>
        <v>LHB_London_DLR_P86</v>
      </c>
      <c r="C3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19">
        <v>9024</v>
      </c>
      <c r="F319" s="30" t="s">
        <v>2197</v>
      </c>
      <c r="G319" t="s">
        <v>1343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ISNUMBER(MATCH(CONTROL[[#This Row],[VEHIDCODE]],TRACK_TYPES[VEHIDCODE],0))</f>
        <v>1</v>
      </c>
      <c r="K319" t="b">
        <f>ISNUMBER(MATCH(CONTROL[[#This Row],[VEHIDCODE]],PROPERTIES[VEHIDCODE],0))</f>
        <v>1</v>
      </c>
      <c r="L319" t="b">
        <f>ISNUMBER(MATCH(CONTROL[[#This Row],[VEHIDCODE]],GRAPHICS_PROPERTIES[VEHIDCODE],0))</f>
        <v>1</v>
      </c>
      <c r="M319" s="21" t="str">
        <f>"item_"&amp;CONTROL[[#This Row],[VEHIDCODE]]</f>
        <v>item_mtro_LHB_London_DLR_P86</v>
      </c>
      <c r="N319" s="21" t="str">
        <f>"str_"&amp;CONTROL[[#This Row],[VEHIDCODE]]</f>
        <v>str_mtro_LHB_London_DLR_P86</v>
      </c>
      <c r="O319" s="7" t="b">
        <f>INDEX(PROPERTIES[IS_CONCEPT],MATCH(CONTROL[[#This Row],[VEHIDCODE]],PROPERTIES[VEHIDCODE],0))="IS_CONCEPT"</f>
        <v>0</v>
      </c>
      <c r="P319" s="7" t="b">
        <f>INDEX(PROPERTIES[EXCLUDE],MATCH(CONTROL[[#This Row],[VEHIDCODE]],PROPERTIES[VEHIDCODE],0))</f>
        <v>0</v>
      </c>
      <c r="Q3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0" spans="1:17" x14ac:dyDescent="0.35">
      <c r="A320" s="2" t="s">
        <v>2946</v>
      </c>
      <c r="B320" s="21" t="str">
        <f>MID(CONTROL[[#This Row],[VEHIDCODE]],FIND("_",CONTROL[[#This Row],[VEHIDCODE]])+1,LEN(CONTROL[[#This Row],[VEHIDCODE]]))</f>
        <v>MMZ_Moscow_81_717_5M</v>
      </c>
      <c r="C3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0">
        <v>9025</v>
      </c>
      <c r="F320" s="30" t="s">
        <v>3542</v>
      </c>
      <c r="G320" t="s">
        <v>1344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ISNUMBER(MATCH(CONTROL[[#This Row],[VEHIDCODE]],TRACK_TYPES[VEHIDCODE],0))</f>
        <v>1</v>
      </c>
      <c r="K320" t="b">
        <f>ISNUMBER(MATCH(CONTROL[[#This Row],[VEHIDCODE]],PROPERTIES[VEHIDCODE],0))</f>
        <v>1</v>
      </c>
      <c r="L320" t="b">
        <f>ISNUMBER(MATCH(CONTROL[[#This Row],[VEHIDCODE]],GRAPHICS_PROPERTIES[VEHIDCODE],0))</f>
        <v>1</v>
      </c>
      <c r="M320" s="21" t="str">
        <f>"item_"&amp;CONTROL[[#This Row],[VEHIDCODE]]</f>
        <v>item_mtro_MMZ_Moscow_81_717_5M</v>
      </c>
      <c r="N320" s="21" t="str">
        <f>"str_"&amp;CONTROL[[#This Row],[VEHIDCODE]]</f>
        <v>str_mtro_MMZ_Moscow_81_717_5M</v>
      </c>
      <c r="O320" s="7" t="b">
        <f>INDEX(PROPERTIES[IS_CONCEPT],MATCH(CONTROL[[#This Row],[VEHIDCODE]],PROPERTIES[VEHIDCODE],0))="IS_CONCEPT"</f>
        <v>0</v>
      </c>
      <c r="P320" s="7" t="b">
        <f>INDEX(PROPERTIES[EXCLUDE],MATCH(CONTROL[[#This Row],[VEHIDCODE]],PROPERTIES[VEHIDCODE],0))</f>
        <v>0</v>
      </c>
      <c r="Q3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1" spans="1:17" x14ac:dyDescent="0.35">
      <c r="A321" s="2" t="s">
        <v>2947</v>
      </c>
      <c r="B321" s="21" t="str">
        <f>MID(CONTROL[[#This Row],[VEHIDCODE]],FIND("_",CONTROL[[#This Row],[VEHIDCODE]])+1,LEN(CONTROL[[#This Row],[VEHIDCODE]]))</f>
        <v>Bombardier_Boston_01800</v>
      </c>
      <c r="C3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1">
        <v>9026</v>
      </c>
      <c r="F321" s="30" t="s">
        <v>2198</v>
      </c>
      <c r="G321" t="s">
        <v>1345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ISNUMBER(MATCH(CONTROL[[#This Row],[VEHIDCODE]],TRACK_TYPES[VEHIDCODE],0))</f>
        <v>1</v>
      </c>
      <c r="K321" t="b">
        <f>ISNUMBER(MATCH(CONTROL[[#This Row],[VEHIDCODE]],PROPERTIES[VEHIDCODE],0))</f>
        <v>1</v>
      </c>
      <c r="L321" t="b">
        <f>ISNUMBER(MATCH(CONTROL[[#This Row],[VEHIDCODE]],GRAPHICS_PROPERTIES[VEHIDCODE],0))</f>
        <v>1</v>
      </c>
      <c r="M321" s="21" t="str">
        <f>"item_"&amp;CONTROL[[#This Row],[VEHIDCODE]]</f>
        <v>item_mtro_Bombardier_Boston_01800</v>
      </c>
      <c r="N321" s="21" t="str">
        <f>"str_"&amp;CONTROL[[#This Row],[VEHIDCODE]]</f>
        <v>str_mtro_Bombardier_Boston_01800</v>
      </c>
      <c r="O321" s="7" t="b">
        <f>INDEX(PROPERTIES[IS_CONCEPT],MATCH(CONTROL[[#This Row],[VEHIDCODE]],PROPERTIES[VEHIDCODE],0))="IS_CONCEPT"</f>
        <v>0</v>
      </c>
      <c r="P321" s="7" t="b">
        <f>INDEX(PROPERTIES[EXCLUDE],MATCH(CONTROL[[#This Row],[VEHIDCODE]],PROPERTIES[VEHIDCODE],0))</f>
        <v>0</v>
      </c>
      <c r="Q3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2" spans="1:17" x14ac:dyDescent="0.35">
      <c r="A322" s="2" t="s">
        <v>2948</v>
      </c>
      <c r="B322" s="21" t="str">
        <f>MID(CONTROL[[#This Row],[VEHIDCODE]],FIND("_",CONTROL[[#This Row],[VEHIDCODE]])+1,LEN(CONTROL[[#This Row],[VEHIDCODE]]))</f>
        <v>Breda_LA_A650</v>
      </c>
      <c r="C3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2">
        <v>9027</v>
      </c>
      <c r="F322" s="30" t="s">
        <v>2199</v>
      </c>
      <c r="G322" t="s">
        <v>1346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ISNUMBER(MATCH(CONTROL[[#This Row],[VEHIDCODE]],TRACK_TYPES[VEHIDCODE],0))</f>
        <v>1</v>
      </c>
      <c r="K322" t="b">
        <f>ISNUMBER(MATCH(CONTROL[[#This Row],[VEHIDCODE]],PROPERTIES[VEHIDCODE],0))</f>
        <v>1</v>
      </c>
      <c r="L322" t="b">
        <f>ISNUMBER(MATCH(CONTROL[[#This Row],[VEHIDCODE]],GRAPHICS_PROPERTIES[VEHIDCODE],0))</f>
        <v>1</v>
      </c>
      <c r="M322" s="21" t="str">
        <f>"item_"&amp;CONTROL[[#This Row],[VEHIDCODE]]</f>
        <v>item_mtro_Breda_LA_A650</v>
      </c>
      <c r="N322" s="21" t="str">
        <f>"str_"&amp;CONTROL[[#This Row],[VEHIDCODE]]</f>
        <v>str_mtro_Breda_LA_A650</v>
      </c>
      <c r="O322" s="7" t="b">
        <f>INDEX(PROPERTIES[IS_CONCEPT],MATCH(CONTROL[[#This Row],[VEHIDCODE]],PROPERTIES[VEHIDCODE],0))="IS_CONCEPT"</f>
        <v>0</v>
      </c>
      <c r="P322" s="7" t="b">
        <f>INDEX(PROPERTIES[EXCLUDE],MATCH(CONTROL[[#This Row],[VEHIDCODE]],PROPERTIES[VEHIDCODE],0))</f>
        <v>0</v>
      </c>
      <c r="Q3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3" spans="1:17" x14ac:dyDescent="0.35">
      <c r="A323" s="2" t="s">
        <v>2949</v>
      </c>
      <c r="B323" s="21" t="str">
        <f>MID(CONTROL[[#This Row],[VEHIDCODE]],FIND("_",CONTROL[[#This Row],[VEHIDCODE]])+1,LEN(CONTROL[[#This Row],[VEHIDCODE]]))</f>
        <v>Kawasaki_Taipei_C301</v>
      </c>
      <c r="C3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3">
        <v>9028</v>
      </c>
      <c r="F323" s="30" t="s">
        <v>2200</v>
      </c>
      <c r="G323" t="s">
        <v>1347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ISNUMBER(MATCH(CONTROL[[#This Row],[VEHIDCODE]],TRACK_TYPES[VEHIDCODE],0))</f>
        <v>1</v>
      </c>
      <c r="K323" t="b">
        <f>ISNUMBER(MATCH(CONTROL[[#This Row],[VEHIDCODE]],PROPERTIES[VEHIDCODE],0))</f>
        <v>1</v>
      </c>
      <c r="L323" t="b">
        <f>ISNUMBER(MATCH(CONTROL[[#This Row],[VEHIDCODE]],GRAPHICS_PROPERTIES[VEHIDCODE],0))</f>
        <v>1</v>
      </c>
      <c r="M323" s="21" t="str">
        <f>"item_"&amp;CONTROL[[#This Row],[VEHIDCODE]]</f>
        <v>item_mtro_Kawasaki_Taipei_C301</v>
      </c>
      <c r="N323" s="21" t="str">
        <f>"str_"&amp;CONTROL[[#This Row],[VEHIDCODE]]</f>
        <v>str_mtro_Kawasaki_Taipei_C301</v>
      </c>
      <c r="O323" s="7" t="b">
        <f>INDEX(PROPERTIES[IS_CONCEPT],MATCH(CONTROL[[#This Row],[VEHIDCODE]],PROPERTIES[VEHIDCODE],0))="IS_CONCEPT"</f>
        <v>0</v>
      </c>
      <c r="P323" s="7" t="b">
        <f>INDEX(PROPERTIES[EXCLUDE],MATCH(CONTROL[[#This Row],[VEHIDCODE]],PROPERTIES[VEHIDCODE],0))</f>
        <v>0</v>
      </c>
      <c r="Q3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4" spans="1:17" x14ac:dyDescent="0.35">
      <c r="A324" s="2" t="s">
        <v>2950</v>
      </c>
      <c r="B324" s="21" t="str">
        <f>MID(CONTROL[[#This Row],[VEHIDCODE]],FIND("_",CONTROL[[#This Row],[VEHIDCODE]])+1,LEN(CONTROL[[#This Row],[VEHIDCODE]]))</f>
        <v>CAF_Amsterdam_S3_90</v>
      </c>
      <c r="C3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4">
        <v>9030</v>
      </c>
      <c r="F324" s="30" t="s">
        <v>2201</v>
      </c>
      <c r="G324" t="s">
        <v>1348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ISNUMBER(MATCH(CONTROL[[#This Row],[VEHIDCODE]],TRACK_TYPES[VEHIDCODE],0))</f>
        <v>1</v>
      </c>
      <c r="K324" t="b">
        <f>ISNUMBER(MATCH(CONTROL[[#This Row],[VEHIDCODE]],PROPERTIES[VEHIDCODE],0))</f>
        <v>1</v>
      </c>
      <c r="L324" t="b">
        <f>ISNUMBER(MATCH(CONTROL[[#This Row],[VEHIDCODE]],GRAPHICS_PROPERTIES[VEHIDCODE],0))</f>
        <v>1</v>
      </c>
      <c r="M324" s="21" t="str">
        <f>"item_"&amp;CONTROL[[#This Row],[VEHIDCODE]]</f>
        <v>item_mtro_CAF_Amsterdam_S3_90</v>
      </c>
      <c r="N324" s="21" t="str">
        <f>"str_"&amp;CONTROL[[#This Row],[VEHIDCODE]]</f>
        <v>str_mtro_CAF_Amsterdam_S3_90</v>
      </c>
      <c r="O324" s="7" t="b">
        <f>INDEX(PROPERTIES[IS_CONCEPT],MATCH(CONTROL[[#This Row],[VEHIDCODE]],PROPERTIES[VEHIDCODE],0))="IS_CONCEPT"</f>
        <v>0</v>
      </c>
      <c r="P324" s="7" t="b">
        <f>INDEX(PROPERTIES[EXCLUDE],MATCH(CONTROL[[#This Row],[VEHIDCODE]],PROPERTIES[VEHIDCODE],0))</f>
        <v>0</v>
      </c>
      <c r="Q3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5" spans="1:17" x14ac:dyDescent="0.35">
      <c r="A325" s="2" t="s">
        <v>2951</v>
      </c>
      <c r="B325" s="21" t="str">
        <f>MID(CONTROL[[#This Row],[VEHIDCODE]],FIND("_",CONTROL[[#This Row],[VEHIDCODE]])+1,LEN(CONTROL[[#This Row],[VEHIDCODE]]))</f>
        <v>GEC_Alsthom_Paris_MP89</v>
      </c>
      <c r="C3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5">
        <v>9029</v>
      </c>
      <c r="F325" s="30" t="s">
        <v>2218</v>
      </c>
      <c r="G325" t="s">
        <v>1349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ISNUMBER(MATCH(CONTROL[[#This Row],[VEHIDCODE]],TRACK_TYPES[VEHIDCODE],0))</f>
        <v>1</v>
      </c>
      <c r="K325" t="b">
        <f>ISNUMBER(MATCH(CONTROL[[#This Row],[VEHIDCODE]],PROPERTIES[VEHIDCODE],0))</f>
        <v>1</v>
      </c>
      <c r="L325" t="b">
        <f>ISNUMBER(MATCH(CONTROL[[#This Row],[VEHIDCODE]],GRAPHICS_PROPERTIES[VEHIDCODE],0))</f>
        <v>1</v>
      </c>
      <c r="M325" s="21" t="str">
        <f>"item_"&amp;CONTROL[[#This Row],[VEHIDCODE]]</f>
        <v>item_mtro_GEC_Alsthom_Paris_MP89</v>
      </c>
      <c r="N325" s="21" t="str">
        <f>"str_"&amp;CONTROL[[#This Row],[VEHIDCODE]]</f>
        <v>str_mtro_GEC_Alsthom_Paris_MP89</v>
      </c>
      <c r="O325" s="7" t="b">
        <f>INDEX(PROPERTIES[IS_CONCEPT],MATCH(CONTROL[[#This Row],[VEHIDCODE]],PROPERTIES[VEHIDCODE],0))="IS_CONCEPT"</f>
        <v>0</v>
      </c>
      <c r="P325" s="7" t="b">
        <f>INDEX(PROPERTIES[EXCLUDE],MATCH(CONTROL[[#This Row],[VEHIDCODE]],PROPERTIES[VEHIDCODE],0))</f>
        <v>0</v>
      </c>
      <c r="Q3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6" spans="1:17" x14ac:dyDescent="0.35">
      <c r="A326" s="2" t="s">
        <v>2952</v>
      </c>
      <c r="B326" s="21" t="str">
        <f>MID(CONTROL[[#This Row],[VEHIDCODE]],FIND("_",CONTROL[[#This Row],[VEHIDCODE]])+1,LEN(CONTROL[[#This Row],[VEHIDCODE]]))</f>
        <v>MMZ_Moscow_81_740</v>
      </c>
      <c r="C3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6">
        <v>9031</v>
      </c>
      <c r="F326" s="30" t="s">
        <v>3543</v>
      </c>
      <c r="G326" t="s">
        <v>1350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ISNUMBER(MATCH(CONTROL[[#This Row],[VEHIDCODE]],TRACK_TYPES[VEHIDCODE],0))</f>
        <v>1</v>
      </c>
      <c r="K326" t="b">
        <f>ISNUMBER(MATCH(CONTROL[[#This Row],[VEHIDCODE]],PROPERTIES[VEHIDCODE],0))</f>
        <v>1</v>
      </c>
      <c r="L326" t="b">
        <f>ISNUMBER(MATCH(CONTROL[[#This Row],[VEHIDCODE]],GRAPHICS_PROPERTIES[VEHIDCODE],0))</f>
        <v>1</v>
      </c>
      <c r="M326" s="21" t="str">
        <f>"item_"&amp;CONTROL[[#This Row],[VEHIDCODE]]</f>
        <v>item_mtro_MMZ_Moscow_81_740</v>
      </c>
      <c r="N326" s="21" t="str">
        <f>"str_"&amp;CONTROL[[#This Row],[VEHIDCODE]]</f>
        <v>str_mtro_MMZ_Moscow_81_740</v>
      </c>
      <c r="O326" s="7" t="b">
        <f>INDEX(PROPERTIES[IS_CONCEPT],MATCH(CONTROL[[#This Row],[VEHIDCODE]],PROPERTIES[VEHIDCODE],0))="IS_CONCEPT"</f>
        <v>0</v>
      </c>
      <c r="P326" s="7" t="b">
        <f>INDEX(PROPERTIES[EXCLUDE],MATCH(CONTROL[[#This Row],[VEHIDCODE]],PROPERTIES[VEHIDCODE],0))</f>
        <v>0</v>
      </c>
      <c r="Q3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7" spans="1:17" x14ac:dyDescent="0.35">
      <c r="A327" s="2" t="s">
        <v>2953</v>
      </c>
      <c r="B327" s="21" t="str">
        <f>MID(CONTROL[[#This Row],[VEHIDCODE]],FIND("_",CONTROL[[#This Row],[VEHIDCODE]])+1,LEN(CONTROL[[#This Row],[VEHIDCODE]]))</f>
        <v>Alstom_Singapore_C830_Metropolis</v>
      </c>
      <c r="C3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7">
        <v>9032</v>
      </c>
      <c r="F327" s="30" t="s">
        <v>2202</v>
      </c>
      <c r="G327" t="s">
        <v>1351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ISNUMBER(MATCH(CONTROL[[#This Row],[VEHIDCODE]],TRACK_TYPES[VEHIDCODE],0))</f>
        <v>1</v>
      </c>
      <c r="K327" t="b">
        <f>ISNUMBER(MATCH(CONTROL[[#This Row],[VEHIDCODE]],PROPERTIES[VEHIDCODE],0))</f>
        <v>1</v>
      </c>
      <c r="L327" t="b">
        <f>ISNUMBER(MATCH(CONTROL[[#This Row],[VEHIDCODE]],GRAPHICS_PROPERTIES[VEHIDCODE],0))</f>
        <v>1</v>
      </c>
      <c r="M327" s="21" t="str">
        <f>"item_"&amp;CONTROL[[#This Row],[VEHIDCODE]]</f>
        <v>item_mtro_Alstom_Singapore_C830_Metropolis</v>
      </c>
      <c r="N327" s="21" t="str">
        <f>"str_"&amp;CONTROL[[#This Row],[VEHIDCODE]]</f>
        <v>str_mtro_Alstom_Singapore_C830_Metropolis</v>
      </c>
      <c r="O327" s="7" t="b">
        <f>INDEX(PROPERTIES[IS_CONCEPT],MATCH(CONTROL[[#This Row],[VEHIDCODE]],PROPERTIES[VEHIDCODE],0))="IS_CONCEPT"</f>
        <v>0</v>
      </c>
      <c r="P327" s="7" t="b">
        <f>INDEX(PROPERTIES[EXCLUDE],MATCH(CONTROL[[#This Row],[VEHIDCODE]],PROPERTIES[VEHIDCODE],0))</f>
        <v>1</v>
      </c>
      <c r="Q3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8" spans="1:17" x14ac:dyDescent="0.35">
      <c r="A328" s="2" t="s">
        <v>2954</v>
      </c>
      <c r="B328" s="21" t="str">
        <f>MID(CONTROL[[#This Row],[VEHIDCODE]],FIND("_",CONTROL[[#This Row],[VEHIDCODE]])+1,LEN(CONTROL[[#This Row],[VEHIDCODE]]))</f>
        <v>Siemens_Oslo_MX3000</v>
      </c>
      <c r="C3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8">
        <v>9033</v>
      </c>
      <c r="F328" s="30" t="s">
        <v>2203</v>
      </c>
      <c r="G328" t="s">
        <v>1352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ISNUMBER(MATCH(CONTROL[[#This Row],[VEHIDCODE]],TRACK_TYPES[VEHIDCODE],0))</f>
        <v>1</v>
      </c>
      <c r="K328" t="b">
        <f>ISNUMBER(MATCH(CONTROL[[#This Row],[VEHIDCODE]],PROPERTIES[VEHIDCODE],0))</f>
        <v>1</v>
      </c>
      <c r="L328" t="b">
        <f>ISNUMBER(MATCH(CONTROL[[#This Row],[VEHIDCODE]],GRAPHICS_PROPERTIES[VEHIDCODE],0))</f>
        <v>1</v>
      </c>
      <c r="M328" s="21" t="str">
        <f>"item_"&amp;CONTROL[[#This Row],[VEHIDCODE]]</f>
        <v>item_mtro_Siemens_Oslo_MX3000</v>
      </c>
      <c r="N328" s="21" t="str">
        <f>"str_"&amp;CONTROL[[#This Row],[VEHIDCODE]]</f>
        <v>str_mtro_Siemens_Oslo_MX3000</v>
      </c>
      <c r="O328" s="7" t="b">
        <f>INDEX(PROPERTIES[IS_CONCEPT],MATCH(CONTROL[[#This Row],[VEHIDCODE]],PROPERTIES[VEHIDCODE],0))="IS_CONCEPT"</f>
        <v>0</v>
      </c>
      <c r="P328" s="7" t="b">
        <f>INDEX(PROPERTIES[EXCLUDE],MATCH(CONTROL[[#This Row],[VEHIDCODE]],PROPERTIES[VEHIDCODE],0))</f>
        <v>0</v>
      </c>
      <c r="Q3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29" spans="1:17" x14ac:dyDescent="0.35">
      <c r="A329" s="2" t="s">
        <v>2955</v>
      </c>
      <c r="B329" s="21" t="str">
        <f>MID(CONTROL[[#This Row],[VEHIDCODE]],FIND("_",CONTROL[[#This Row],[VEHIDCODE]])+1,LEN(CONTROL[[#This Row],[VEHIDCODE]]))</f>
        <v>Kawasaki_Osaka_30000</v>
      </c>
      <c r="C3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29">
        <v>9034</v>
      </c>
      <c r="F329" s="30" t="s">
        <v>2205</v>
      </c>
      <c r="G329" t="s">
        <v>1353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ISNUMBER(MATCH(CONTROL[[#This Row],[VEHIDCODE]],TRACK_TYPES[VEHIDCODE],0))</f>
        <v>1</v>
      </c>
      <c r="K329" t="b">
        <f>ISNUMBER(MATCH(CONTROL[[#This Row],[VEHIDCODE]],PROPERTIES[VEHIDCODE],0))</f>
        <v>1</v>
      </c>
      <c r="L329" t="b">
        <f>ISNUMBER(MATCH(CONTROL[[#This Row],[VEHIDCODE]],GRAPHICS_PROPERTIES[VEHIDCODE],0))</f>
        <v>1</v>
      </c>
      <c r="M329" s="21" t="str">
        <f>"item_"&amp;CONTROL[[#This Row],[VEHIDCODE]]</f>
        <v>item_mtro_Kawasaki_Osaka_30000</v>
      </c>
      <c r="N329" s="21" t="str">
        <f>"str_"&amp;CONTROL[[#This Row],[VEHIDCODE]]</f>
        <v>str_mtro_Kawasaki_Osaka_30000</v>
      </c>
      <c r="O329" s="7" t="b">
        <f>INDEX(PROPERTIES[IS_CONCEPT],MATCH(CONTROL[[#This Row],[VEHIDCODE]],PROPERTIES[VEHIDCODE],0))="IS_CONCEPT"</f>
        <v>0</v>
      </c>
      <c r="P329" s="7" t="b">
        <f>INDEX(PROPERTIES[EXCLUDE],MATCH(CONTROL[[#This Row],[VEHIDCODE]],PROPERTIES[VEHIDCODE],0))</f>
        <v>0</v>
      </c>
      <c r="Q3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0" spans="1:17" x14ac:dyDescent="0.35">
      <c r="A330" s="2" t="s">
        <v>2956</v>
      </c>
      <c r="B330" s="21" t="str">
        <f>MID(CONTROL[[#This Row],[VEHIDCODE]],FIND("_",CONTROL[[#This Row],[VEHIDCODE]])+1,LEN(CONTROL[[#This Row],[VEHIDCODE]]))</f>
        <v>Kawasaki_Singapore_C151A</v>
      </c>
      <c r="C3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0">
        <v>9035</v>
      </c>
      <c r="F330" s="30" t="s">
        <v>2206</v>
      </c>
      <c r="G330" t="s">
        <v>1354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ISNUMBER(MATCH(CONTROL[[#This Row],[VEHIDCODE]],TRACK_TYPES[VEHIDCODE],0))</f>
        <v>1</v>
      </c>
      <c r="K330" t="b">
        <f>ISNUMBER(MATCH(CONTROL[[#This Row],[VEHIDCODE]],PROPERTIES[VEHIDCODE],0))</f>
        <v>1</v>
      </c>
      <c r="L330" t="b">
        <f>ISNUMBER(MATCH(CONTROL[[#This Row],[VEHIDCODE]],GRAPHICS_PROPERTIES[VEHIDCODE],0))</f>
        <v>1</v>
      </c>
      <c r="M330" s="21" t="str">
        <f>"item_"&amp;CONTROL[[#This Row],[VEHIDCODE]]</f>
        <v>item_mtro_Kawasaki_Singapore_C151A</v>
      </c>
      <c r="N330" s="21" t="str">
        <f>"str_"&amp;CONTROL[[#This Row],[VEHIDCODE]]</f>
        <v>str_mtro_Kawasaki_Singapore_C151A</v>
      </c>
      <c r="O330" s="7" t="b">
        <f>INDEX(PROPERTIES[IS_CONCEPT],MATCH(CONTROL[[#This Row],[VEHIDCODE]],PROPERTIES[VEHIDCODE],0))="IS_CONCEPT"</f>
        <v>0</v>
      </c>
      <c r="P330" s="7" t="b">
        <f>INDEX(PROPERTIES[EXCLUDE],MATCH(CONTROL[[#This Row],[VEHIDCODE]],PROPERTIES[VEHIDCODE],0))</f>
        <v>0</v>
      </c>
      <c r="Q3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1" spans="1:17" x14ac:dyDescent="0.35">
      <c r="A331" s="2" t="s">
        <v>2957</v>
      </c>
      <c r="B331" s="21" t="str">
        <f>MID(CONTROL[[#This Row],[VEHIDCODE]],FIND("_",CONTROL[[#This Row],[VEHIDCODE]])+1,LEN(CONTROL[[#This Row],[VEHIDCODE]]))</f>
        <v>Kawasaki_Washington_7000</v>
      </c>
      <c r="C3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1">
        <v>9036</v>
      </c>
      <c r="F331" s="30" t="s">
        <v>2207</v>
      </c>
      <c r="G331" t="s">
        <v>1355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ISNUMBER(MATCH(CONTROL[[#This Row],[VEHIDCODE]],TRACK_TYPES[VEHIDCODE],0))</f>
        <v>1</v>
      </c>
      <c r="K331" t="b">
        <f>ISNUMBER(MATCH(CONTROL[[#This Row],[VEHIDCODE]],PROPERTIES[VEHIDCODE],0))</f>
        <v>1</v>
      </c>
      <c r="L331" t="b">
        <f>ISNUMBER(MATCH(CONTROL[[#This Row],[VEHIDCODE]],GRAPHICS_PROPERTIES[VEHIDCODE],0))</f>
        <v>1</v>
      </c>
      <c r="M331" s="21" t="str">
        <f>"item_"&amp;CONTROL[[#This Row],[VEHIDCODE]]</f>
        <v>item_mtro_Kawasaki_Washington_7000</v>
      </c>
      <c r="N331" s="21" t="str">
        <f>"str_"&amp;CONTROL[[#This Row],[VEHIDCODE]]</f>
        <v>str_mtro_Kawasaki_Washington_7000</v>
      </c>
      <c r="O331" s="7" t="b">
        <f>INDEX(PROPERTIES[IS_CONCEPT],MATCH(CONTROL[[#This Row],[VEHIDCODE]],PROPERTIES[VEHIDCODE],0))="IS_CONCEPT"</f>
        <v>0</v>
      </c>
      <c r="P331" s="7" t="b">
        <f>INDEX(PROPERTIES[EXCLUDE],MATCH(CONTROL[[#This Row],[VEHIDCODE]],PROPERTIES[VEHIDCODE],0))</f>
        <v>0</v>
      </c>
      <c r="Q3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2" spans="1:17" x14ac:dyDescent="0.35">
      <c r="A332" s="2" t="s">
        <v>2958</v>
      </c>
      <c r="B332" s="21" t="str">
        <f>MID(CONTROL[[#This Row],[VEHIDCODE]],FIND("_",CONTROL[[#This Row],[VEHIDCODE]])+1,LEN(CONTROL[[#This Row],[VEHIDCODE]]))</f>
        <v>Hitachi_Thessaloniki_2014</v>
      </c>
      <c r="C3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2">
        <v>9037</v>
      </c>
      <c r="F332" s="30" t="s">
        <v>2208</v>
      </c>
      <c r="G332" t="s">
        <v>1356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ISNUMBER(MATCH(CONTROL[[#This Row],[VEHIDCODE]],TRACK_TYPES[VEHIDCODE],0))</f>
        <v>1</v>
      </c>
      <c r="K332" t="b">
        <f>ISNUMBER(MATCH(CONTROL[[#This Row],[VEHIDCODE]],PROPERTIES[VEHIDCODE],0))</f>
        <v>1</v>
      </c>
      <c r="L332" t="b">
        <f>ISNUMBER(MATCH(CONTROL[[#This Row],[VEHIDCODE]],GRAPHICS_PROPERTIES[VEHIDCODE],0))</f>
        <v>1</v>
      </c>
      <c r="M332" s="21" t="str">
        <f>"item_"&amp;CONTROL[[#This Row],[VEHIDCODE]]</f>
        <v>item_mtro_Hitachi_Thessaloniki_2014</v>
      </c>
      <c r="N332" s="21" t="str">
        <f>"str_"&amp;CONTROL[[#This Row],[VEHIDCODE]]</f>
        <v>str_mtro_Hitachi_Thessaloniki_2014</v>
      </c>
      <c r="O332" s="7" t="b">
        <f>INDEX(PROPERTIES[IS_CONCEPT],MATCH(CONTROL[[#This Row],[VEHIDCODE]],PROPERTIES[VEHIDCODE],0))="IS_CONCEPT"</f>
        <v>0</v>
      </c>
      <c r="P332" s="7" t="b">
        <f>INDEX(PROPERTIES[EXCLUDE],MATCH(CONTROL[[#This Row],[VEHIDCODE]],PROPERTIES[VEHIDCODE],0))</f>
        <v>0</v>
      </c>
      <c r="Q3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3" spans="1:17" x14ac:dyDescent="0.35">
      <c r="A333" s="2" t="s">
        <v>2959</v>
      </c>
      <c r="B333" s="21" t="str">
        <f>MID(CONTROL[[#This Row],[VEHIDCODE]],FIND("_",CONTROL[[#This Row],[VEHIDCODE]])+1,LEN(CONTROL[[#This Row],[VEHIDCODE]]))</f>
        <v>AEG_Berlin_U_Bahn_A_I</v>
      </c>
      <c r="C3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3">
        <v>9038</v>
      </c>
      <c r="F333" s="30" t="s">
        <v>2209</v>
      </c>
      <c r="G333" t="s">
        <v>1357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ISNUMBER(MATCH(CONTROL[[#This Row],[VEHIDCODE]],TRACK_TYPES[VEHIDCODE],0))</f>
        <v>1</v>
      </c>
      <c r="K333" t="b">
        <f>ISNUMBER(MATCH(CONTROL[[#This Row],[VEHIDCODE]],PROPERTIES[VEHIDCODE],0))</f>
        <v>1</v>
      </c>
      <c r="L333" t="b">
        <f>ISNUMBER(MATCH(CONTROL[[#This Row],[VEHIDCODE]],GRAPHICS_PROPERTIES[VEHIDCODE],0))</f>
        <v>1</v>
      </c>
      <c r="M333" s="21" t="str">
        <f>"item_"&amp;CONTROL[[#This Row],[VEHIDCODE]]</f>
        <v>item_mtro_AEG_Berlin_U_Bahn_A_I</v>
      </c>
      <c r="N333" s="21" t="str">
        <f>"str_"&amp;CONTROL[[#This Row],[VEHIDCODE]]</f>
        <v>str_mtro_AEG_Berlin_U_Bahn_A_I</v>
      </c>
      <c r="O333" s="7" t="b">
        <f>INDEX(PROPERTIES[IS_CONCEPT],MATCH(CONTROL[[#This Row],[VEHIDCODE]],PROPERTIES[VEHIDCODE],0))="IS_CONCEPT"</f>
        <v>0</v>
      </c>
      <c r="P333" s="7" t="b">
        <f>INDEX(PROPERTIES[EXCLUDE],MATCH(CONTROL[[#This Row],[VEHIDCODE]],PROPERTIES[VEHIDCODE],0))</f>
        <v>0</v>
      </c>
      <c r="Q3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4" spans="1:17" x14ac:dyDescent="0.35">
      <c r="A334" s="2" t="s">
        <v>2960</v>
      </c>
      <c r="B334" s="21" t="str">
        <f>MID(CONTROL[[#This Row],[VEHIDCODE]],FIND("_",CONTROL[[#This Row],[VEHIDCODE]])+1,LEN(CONTROL[[#This Row],[VEHIDCODE]]))</f>
        <v>ACF_New_York_Hedley_Hi_V</v>
      </c>
      <c r="C3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4">
        <v>9039</v>
      </c>
      <c r="F334" s="30" t="s">
        <v>2210</v>
      </c>
      <c r="G334" t="s">
        <v>1358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ISNUMBER(MATCH(CONTROL[[#This Row],[VEHIDCODE]],TRACK_TYPES[VEHIDCODE],0))</f>
        <v>1</v>
      </c>
      <c r="K334" t="b">
        <f>ISNUMBER(MATCH(CONTROL[[#This Row],[VEHIDCODE]],PROPERTIES[VEHIDCODE],0))</f>
        <v>1</v>
      </c>
      <c r="L334" t="b">
        <f>ISNUMBER(MATCH(CONTROL[[#This Row],[VEHIDCODE]],GRAPHICS_PROPERTIES[VEHIDCODE],0))</f>
        <v>1</v>
      </c>
      <c r="M334" s="21" t="str">
        <f>"item_"&amp;CONTROL[[#This Row],[VEHIDCODE]]</f>
        <v>item_mtro_ACF_New_York_Hedley_Hi_V</v>
      </c>
      <c r="N334" s="21" t="str">
        <f>"str_"&amp;CONTROL[[#This Row],[VEHIDCODE]]</f>
        <v>str_mtro_ACF_New_York_Hedley_Hi_V</v>
      </c>
      <c r="O334" s="7" t="b">
        <f>INDEX(PROPERTIES[IS_CONCEPT],MATCH(CONTROL[[#This Row],[VEHIDCODE]],PROPERTIES[VEHIDCODE],0))="IS_CONCEPT"</f>
        <v>0</v>
      </c>
      <c r="P334" s="7" t="b">
        <f>INDEX(PROPERTIES[EXCLUDE],MATCH(CONTROL[[#This Row],[VEHIDCODE]],PROPERTIES[VEHIDCODE],0))</f>
        <v>0</v>
      </c>
      <c r="Q3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5" spans="1:17" x14ac:dyDescent="0.35">
      <c r="A335" s="2" t="s">
        <v>2961</v>
      </c>
      <c r="B335" s="21" t="str">
        <f>MID(CONTROL[[#This Row],[VEHIDCODE]],FIND("_",CONTROL[[#This Row],[VEHIDCODE]])+1,LEN(CONTROL[[#This Row],[VEHIDCODE]]))</f>
        <v>Kawasaki_Osaka_1000</v>
      </c>
      <c r="C3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5">
        <v>9040</v>
      </c>
      <c r="F335" s="30" t="s">
        <v>2211</v>
      </c>
      <c r="G335" t="s">
        <v>1359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ISNUMBER(MATCH(CONTROL[[#This Row],[VEHIDCODE]],TRACK_TYPES[VEHIDCODE],0))</f>
        <v>1</v>
      </c>
      <c r="K335" t="b">
        <f>ISNUMBER(MATCH(CONTROL[[#This Row],[VEHIDCODE]],PROPERTIES[VEHIDCODE],0))</f>
        <v>1</v>
      </c>
      <c r="L335" t="b">
        <f>ISNUMBER(MATCH(CONTROL[[#This Row],[VEHIDCODE]],GRAPHICS_PROPERTIES[VEHIDCODE],0))</f>
        <v>1</v>
      </c>
      <c r="M335" s="21" t="str">
        <f>"item_"&amp;CONTROL[[#This Row],[VEHIDCODE]]</f>
        <v>item_mtro_Kawasaki_Osaka_1000</v>
      </c>
      <c r="N335" s="21" t="str">
        <f>"str_"&amp;CONTROL[[#This Row],[VEHIDCODE]]</f>
        <v>str_mtro_Kawasaki_Osaka_1000</v>
      </c>
      <c r="O335" s="7" t="b">
        <f>INDEX(PROPERTIES[IS_CONCEPT],MATCH(CONTROL[[#This Row],[VEHIDCODE]],PROPERTIES[VEHIDCODE],0))="IS_CONCEPT"</f>
        <v>0</v>
      </c>
      <c r="P335" s="7" t="b">
        <f>INDEX(PROPERTIES[EXCLUDE],MATCH(CONTROL[[#This Row],[VEHIDCODE]],PROPERTIES[VEHIDCODE],0))</f>
        <v>0</v>
      </c>
      <c r="Q3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6" spans="1:17" x14ac:dyDescent="0.35">
      <c r="A336" s="2" t="s">
        <v>2962</v>
      </c>
      <c r="B336" s="21" t="str">
        <f>MID(CONTROL[[#This Row],[VEHIDCODE]],FIND("_",CONTROL[[#This Row],[VEHIDCODE]])+1,LEN(CONTROL[[#This Row],[VEHIDCODE]]))</f>
        <v>MMZ_Moscow_Type_A</v>
      </c>
      <c r="C3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6">
        <v>9041</v>
      </c>
      <c r="F336" s="30" t="s">
        <v>3544</v>
      </c>
      <c r="G336" t="s">
        <v>1360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ISNUMBER(MATCH(CONTROL[[#This Row],[VEHIDCODE]],TRACK_TYPES[VEHIDCODE],0))</f>
        <v>1</v>
      </c>
      <c r="K336" t="b">
        <f>ISNUMBER(MATCH(CONTROL[[#This Row],[VEHIDCODE]],PROPERTIES[VEHIDCODE],0))</f>
        <v>1</v>
      </c>
      <c r="L336" t="b">
        <f>ISNUMBER(MATCH(CONTROL[[#This Row],[VEHIDCODE]],GRAPHICS_PROPERTIES[VEHIDCODE],0))</f>
        <v>1</v>
      </c>
      <c r="M336" s="21" t="str">
        <f>"item_"&amp;CONTROL[[#This Row],[VEHIDCODE]]</f>
        <v>item_mtro_MMZ_Moscow_Type_A</v>
      </c>
      <c r="N336" s="21" t="str">
        <f>"str_"&amp;CONTROL[[#This Row],[VEHIDCODE]]</f>
        <v>str_mtro_MMZ_Moscow_Type_A</v>
      </c>
      <c r="O336" s="7" t="b">
        <f>INDEX(PROPERTIES[IS_CONCEPT],MATCH(CONTROL[[#This Row],[VEHIDCODE]],PROPERTIES[VEHIDCODE],0))="IS_CONCEPT"</f>
        <v>0</v>
      </c>
      <c r="P336" s="7" t="b">
        <f>INDEX(PROPERTIES[EXCLUDE],MATCH(CONTROL[[#This Row],[VEHIDCODE]],PROPERTIES[VEHIDCODE],0))</f>
        <v>0</v>
      </c>
      <c r="Q3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7" spans="1:17" x14ac:dyDescent="0.35">
      <c r="A337" s="2" t="s">
        <v>2963</v>
      </c>
      <c r="B337" s="21" t="str">
        <f>MID(CONTROL[[#This Row],[VEHIDCODE]],FIND("_",CONTROL[[#This Row],[VEHIDCODE]])+1,LEN(CONTROL[[#This Row],[VEHIDCODE]]))</f>
        <v>ACF_New_York_R10</v>
      </c>
      <c r="C3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7">
        <v>9042</v>
      </c>
      <c r="F337" s="30" t="s">
        <v>2212</v>
      </c>
      <c r="G337" t="s">
        <v>1361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ISNUMBER(MATCH(CONTROL[[#This Row],[VEHIDCODE]],TRACK_TYPES[VEHIDCODE],0))</f>
        <v>1</v>
      </c>
      <c r="K337" t="b">
        <f>ISNUMBER(MATCH(CONTROL[[#This Row],[VEHIDCODE]],PROPERTIES[VEHIDCODE],0))</f>
        <v>1</v>
      </c>
      <c r="L337" t="b">
        <f>ISNUMBER(MATCH(CONTROL[[#This Row],[VEHIDCODE]],GRAPHICS_PROPERTIES[VEHIDCODE],0))</f>
        <v>1</v>
      </c>
      <c r="M337" s="21" t="str">
        <f>"item_"&amp;CONTROL[[#This Row],[VEHIDCODE]]</f>
        <v>item_mtro_ACF_New_York_R10</v>
      </c>
      <c r="N337" s="21" t="str">
        <f>"str_"&amp;CONTROL[[#This Row],[VEHIDCODE]]</f>
        <v>str_mtro_ACF_New_York_R10</v>
      </c>
      <c r="O337" s="7" t="b">
        <f>INDEX(PROPERTIES[IS_CONCEPT],MATCH(CONTROL[[#This Row],[VEHIDCODE]],PROPERTIES[VEHIDCODE],0))="IS_CONCEPT"</f>
        <v>0</v>
      </c>
      <c r="P337" s="7" t="b">
        <f>INDEX(PROPERTIES[EXCLUDE],MATCH(CONTROL[[#This Row],[VEHIDCODE]],PROPERTIES[VEHIDCODE],0))</f>
        <v>0</v>
      </c>
      <c r="Q3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8" spans="1:17" x14ac:dyDescent="0.35">
      <c r="A338" s="2" t="s">
        <v>2964</v>
      </c>
      <c r="B338" s="21" t="str">
        <f>MID(CONTROL[[#This Row],[VEHIDCODE]],FIND("_",CONTROL[[#This Row],[VEHIDCODE]])+1,LEN(CONTROL[[#This Row],[VEHIDCODE]]))</f>
        <v>Stanga_Rome_MR_100</v>
      </c>
      <c r="C3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8">
        <v>9043</v>
      </c>
      <c r="F338" s="30" t="s">
        <v>2213</v>
      </c>
      <c r="G338" t="s">
        <v>1362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ISNUMBER(MATCH(CONTROL[[#This Row],[VEHIDCODE]],TRACK_TYPES[VEHIDCODE],0))</f>
        <v>1</v>
      </c>
      <c r="K338" t="b">
        <f>ISNUMBER(MATCH(CONTROL[[#This Row],[VEHIDCODE]],PROPERTIES[VEHIDCODE],0))</f>
        <v>1</v>
      </c>
      <c r="L338" t="b">
        <f>ISNUMBER(MATCH(CONTROL[[#This Row],[VEHIDCODE]],GRAPHICS_PROPERTIES[VEHIDCODE],0))</f>
        <v>1</v>
      </c>
      <c r="M338" s="21" t="str">
        <f>"item_"&amp;CONTROL[[#This Row],[VEHIDCODE]]</f>
        <v>item_mtro_Stanga_Rome_MR_100</v>
      </c>
      <c r="N338" s="21" t="str">
        <f>"str_"&amp;CONTROL[[#This Row],[VEHIDCODE]]</f>
        <v>str_mtro_Stanga_Rome_MR_100</v>
      </c>
      <c r="O338" s="7" t="b">
        <f>INDEX(PROPERTIES[IS_CONCEPT],MATCH(CONTROL[[#This Row],[VEHIDCODE]],PROPERTIES[VEHIDCODE],0))="IS_CONCEPT"</f>
        <v>0</v>
      </c>
      <c r="P338" s="7" t="b">
        <f>INDEX(PROPERTIES[EXCLUDE],MATCH(CONTROL[[#This Row],[VEHIDCODE]],PROPERTIES[VEHIDCODE],0))</f>
        <v>0</v>
      </c>
      <c r="Q3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39" spans="1:17" x14ac:dyDescent="0.35">
      <c r="A339" s="2" t="s">
        <v>2965</v>
      </c>
      <c r="B339" s="21" t="str">
        <f>MID(CONTROL[[#This Row],[VEHIDCODE]],FIND("_",CONTROL[[#This Row],[VEHIDCODE]])+1,LEN(CONTROL[[#This Row],[VEHIDCODE]]))</f>
        <v>MMZ_Moscow_Type_D</v>
      </c>
      <c r="C3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39">
        <v>9044</v>
      </c>
      <c r="F339" s="30" t="s">
        <v>3548</v>
      </c>
      <c r="G339" t="s">
        <v>1363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ISNUMBER(MATCH(CONTROL[[#This Row],[VEHIDCODE]],TRACK_TYPES[VEHIDCODE],0))</f>
        <v>1</v>
      </c>
      <c r="K339" t="b">
        <f>ISNUMBER(MATCH(CONTROL[[#This Row],[VEHIDCODE]],PROPERTIES[VEHIDCODE],0))</f>
        <v>1</v>
      </c>
      <c r="L339" t="b">
        <f>ISNUMBER(MATCH(CONTROL[[#This Row],[VEHIDCODE]],GRAPHICS_PROPERTIES[VEHIDCODE],0))</f>
        <v>1</v>
      </c>
      <c r="M339" s="21" t="str">
        <f>"item_"&amp;CONTROL[[#This Row],[VEHIDCODE]]</f>
        <v>item_mtro_MMZ_Moscow_Type_D</v>
      </c>
      <c r="N339" s="21" t="str">
        <f>"str_"&amp;CONTROL[[#This Row],[VEHIDCODE]]</f>
        <v>str_mtro_MMZ_Moscow_Type_D</v>
      </c>
      <c r="O339" s="7" t="b">
        <f>INDEX(PROPERTIES[IS_CONCEPT],MATCH(CONTROL[[#This Row],[VEHIDCODE]],PROPERTIES[VEHIDCODE],0))="IS_CONCEPT"</f>
        <v>0</v>
      </c>
      <c r="P339" s="7" t="b">
        <f>INDEX(PROPERTIES[EXCLUDE],MATCH(CONTROL[[#This Row],[VEHIDCODE]],PROPERTIES[VEHIDCODE],0))</f>
        <v>0</v>
      </c>
      <c r="Q3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0" spans="1:17" x14ac:dyDescent="0.35">
      <c r="A340" s="2" t="s">
        <v>2966</v>
      </c>
      <c r="B340" s="21" t="str">
        <f>MID(CONTROL[[#This Row],[VEHIDCODE]],FIND("_",CONTROL[[#This Row],[VEHIDCODE]])+1,LEN(CONTROL[[#This Row],[VEHIDCODE]]))</f>
        <v>Werkspoor_Rotterdam_MG2_Type_M</v>
      </c>
      <c r="C3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0">
        <v>9045</v>
      </c>
      <c r="F340" s="30" t="s">
        <v>2214</v>
      </c>
      <c r="G340" t="s">
        <v>1364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ISNUMBER(MATCH(CONTROL[[#This Row],[VEHIDCODE]],TRACK_TYPES[VEHIDCODE],0))</f>
        <v>1</v>
      </c>
      <c r="K340" t="b">
        <f>ISNUMBER(MATCH(CONTROL[[#This Row],[VEHIDCODE]],PROPERTIES[VEHIDCODE],0))</f>
        <v>1</v>
      </c>
      <c r="L340" t="b">
        <f>ISNUMBER(MATCH(CONTROL[[#This Row],[VEHIDCODE]],GRAPHICS_PROPERTIES[VEHIDCODE],0))</f>
        <v>1</v>
      </c>
      <c r="M340" s="21" t="str">
        <f>"item_"&amp;CONTROL[[#This Row],[VEHIDCODE]]</f>
        <v>item_mtro_Werkspoor_Rotterdam_MG2_Type_M</v>
      </c>
      <c r="N340" s="21" t="str">
        <f>"str_"&amp;CONTROL[[#This Row],[VEHIDCODE]]</f>
        <v>str_mtro_Werkspoor_Rotterdam_MG2_Type_M</v>
      </c>
      <c r="O340" s="7" t="b">
        <f>INDEX(PROPERTIES[IS_CONCEPT],MATCH(CONTROL[[#This Row],[VEHIDCODE]],PROPERTIES[VEHIDCODE],0))="IS_CONCEPT"</f>
        <v>0</v>
      </c>
      <c r="P340" s="7" t="b">
        <f>INDEX(PROPERTIES[EXCLUDE],MATCH(CONTROL[[#This Row],[VEHIDCODE]],PROPERTIES[VEHIDCODE],0))</f>
        <v>0</v>
      </c>
      <c r="Q3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1" spans="1:17" x14ac:dyDescent="0.35">
      <c r="A341" s="2" t="s">
        <v>2967</v>
      </c>
      <c r="B341" s="21" t="str">
        <f>MID(CONTROL[[#This Row],[VEHIDCODE]],FIND("_",CONTROL[[#This Row],[VEHIDCODE]])+1,LEN(CONTROL[[#This Row],[VEHIDCODE]]))</f>
        <v>MMZ_Prague_ECS_Set</v>
      </c>
      <c r="C3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1">
        <v>9046</v>
      </c>
      <c r="F341" s="30" t="s">
        <v>3549</v>
      </c>
      <c r="G341" t="s">
        <v>1365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ISNUMBER(MATCH(CONTROL[[#This Row],[VEHIDCODE]],TRACK_TYPES[VEHIDCODE],0))</f>
        <v>1</v>
      </c>
      <c r="K341" t="b">
        <f>ISNUMBER(MATCH(CONTROL[[#This Row],[VEHIDCODE]],PROPERTIES[VEHIDCODE],0))</f>
        <v>1</v>
      </c>
      <c r="L341" t="b">
        <f>ISNUMBER(MATCH(CONTROL[[#This Row],[VEHIDCODE]],GRAPHICS_PROPERTIES[VEHIDCODE],0))</f>
        <v>1</v>
      </c>
      <c r="M341" s="21" t="str">
        <f>"item_"&amp;CONTROL[[#This Row],[VEHIDCODE]]</f>
        <v>item_mtro_MMZ_Prague_ECS_Set</v>
      </c>
      <c r="N341" s="21" t="str">
        <f>"str_"&amp;CONTROL[[#This Row],[VEHIDCODE]]</f>
        <v>str_mtro_MMZ_Prague_ECS_Set</v>
      </c>
      <c r="O341" s="7" t="b">
        <f>INDEX(PROPERTIES[IS_CONCEPT],MATCH(CONTROL[[#This Row],[VEHIDCODE]],PROPERTIES[VEHIDCODE],0))="IS_CONCEPT"</f>
        <v>0</v>
      </c>
      <c r="P341" s="7" t="b">
        <f>INDEX(PROPERTIES[EXCLUDE],MATCH(CONTROL[[#This Row],[VEHIDCODE]],PROPERTIES[VEHIDCODE],0))</f>
        <v>1</v>
      </c>
      <c r="Q3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2" spans="1:17" x14ac:dyDescent="0.35">
      <c r="A342" s="2" t="s">
        <v>2968</v>
      </c>
      <c r="B342" s="21" t="str">
        <f>MID(CONTROL[[#This Row],[VEHIDCODE]],FIND("_",CONTROL[[#This Row],[VEHIDCODE]])+1,LEN(CONTROL[[#This Row],[VEHIDCODE]]))</f>
        <v>Hitachi_Buenos_Aires_Serie_1200</v>
      </c>
      <c r="C3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2">
        <v>9047</v>
      </c>
      <c r="F342" s="30" t="s">
        <v>2215</v>
      </c>
      <c r="G342" t="s">
        <v>1366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ISNUMBER(MATCH(CONTROL[[#This Row],[VEHIDCODE]],TRACK_TYPES[VEHIDCODE],0))</f>
        <v>1</v>
      </c>
      <c r="K342" t="b">
        <f>ISNUMBER(MATCH(CONTROL[[#This Row],[VEHIDCODE]],PROPERTIES[VEHIDCODE],0))</f>
        <v>1</v>
      </c>
      <c r="L342" t="b">
        <f>ISNUMBER(MATCH(CONTROL[[#This Row],[VEHIDCODE]],GRAPHICS_PROPERTIES[VEHIDCODE],0))</f>
        <v>1</v>
      </c>
      <c r="M342" s="21" t="str">
        <f>"item_"&amp;CONTROL[[#This Row],[VEHIDCODE]]</f>
        <v>item_mtro_Hitachi_Buenos_Aires_Serie_1200</v>
      </c>
      <c r="N342" s="21" t="str">
        <f>"str_"&amp;CONTROL[[#This Row],[VEHIDCODE]]</f>
        <v>str_mtro_Hitachi_Buenos_Aires_Serie_1200</v>
      </c>
      <c r="O342" s="7" t="b">
        <f>INDEX(PROPERTIES[IS_CONCEPT],MATCH(CONTROL[[#This Row],[VEHIDCODE]],PROPERTIES[VEHIDCODE],0))="IS_CONCEPT"</f>
        <v>0</v>
      </c>
      <c r="P342" s="7" t="b">
        <f>INDEX(PROPERTIES[EXCLUDE],MATCH(CONTROL[[#This Row],[VEHIDCODE]],PROPERTIES[VEHIDCODE],0))</f>
        <v>0</v>
      </c>
      <c r="Q3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3" spans="1:17" x14ac:dyDescent="0.35">
      <c r="A343" s="2" t="s">
        <v>2969</v>
      </c>
      <c r="B343" s="21" t="str">
        <f>MID(CONTROL[[#This Row],[VEHIDCODE]],FIND("_",CONTROL[[#This Row],[VEHIDCODE]])+1,LEN(CONTROL[[#This Row],[VEHIDCODE]]))</f>
        <v>GEC_Alsthom_Santiago_NS_93</v>
      </c>
      <c r="C3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3">
        <v>9048</v>
      </c>
      <c r="F343" s="30" t="s">
        <v>2216</v>
      </c>
      <c r="G343" t="s">
        <v>1367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ISNUMBER(MATCH(CONTROL[[#This Row],[VEHIDCODE]],TRACK_TYPES[VEHIDCODE],0))</f>
        <v>1</v>
      </c>
      <c r="K343" t="b">
        <f>ISNUMBER(MATCH(CONTROL[[#This Row],[VEHIDCODE]],PROPERTIES[VEHIDCODE],0))</f>
        <v>1</v>
      </c>
      <c r="L343" t="b">
        <f>ISNUMBER(MATCH(CONTROL[[#This Row],[VEHIDCODE]],GRAPHICS_PROPERTIES[VEHIDCODE],0))</f>
        <v>1</v>
      </c>
      <c r="M343" s="21" t="str">
        <f>"item_"&amp;CONTROL[[#This Row],[VEHIDCODE]]</f>
        <v>item_mtro_GEC_Alsthom_Santiago_NS_93</v>
      </c>
      <c r="N343" s="21" t="str">
        <f>"str_"&amp;CONTROL[[#This Row],[VEHIDCODE]]</f>
        <v>str_mtro_GEC_Alsthom_Santiago_NS_93</v>
      </c>
      <c r="O343" s="7" t="b">
        <f>INDEX(PROPERTIES[IS_CONCEPT],MATCH(CONTROL[[#This Row],[VEHIDCODE]],PROPERTIES[VEHIDCODE],0))="IS_CONCEPT"</f>
        <v>0</v>
      </c>
      <c r="P343" s="7" t="b">
        <f>INDEX(PROPERTIES[EXCLUDE],MATCH(CONTROL[[#This Row],[VEHIDCODE]],PROPERTIES[VEHIDCODE],0))</f>
        <v>0</v>
      </c>
      <c r="Q3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4" spans="1:17" x14ac:dyDescent="0.35">
      <c r="A344" s="2" t="s">
        <v>2970</v>
      </c>
      <c r="B344" s="21" t="str">
        <f>MID(CONTROL[[#This Row],[VEHIDCODE]],FIND("_",CONTROL[[#This Row],[VEHIDCODE]])+1,LEN(CONTROL[[#This Row],[VEHIDCODE]]))</f>
        <v>Alstom_Brasil_Santiago_AS_2002</v>
      </c>
      <c r="C3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4">
        <v>9049</v>
      </c>
      <c r="F344" s="30" t="s">
        <v>2219</v>
      </c>
      <c r="G344" t="s">
        <v>1368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ISNUMBER(MATCH(CONTROL[[#This Row],[VEHIDCODE]],TRACK_TYPES[VEHIDCODE],0))</f>
        <v>1</v>
      </c>
      <c r="K344" t="b">
        <f>ISNUMBER(MATCH(CONTROL[[#This Row],[VEHIDCODE]],PROPERTIES[VEHIDCODE],0))</f>
        <v>1</v>
      </c>
      <c r="L344" t="b">
        <f>ISNUMBER(MATCH(CONTROL[[#This Row],[VEHIDCODE]],GRAPHICS_PROPERTIES[VEHIDCODE],0))</f>
        <v>1</v>
      </c>
      <c r="M344" s="21" t="str">
        <f>"item_"&amp;CONTROL[[#This Row],[VEHIDCODE]]</f>
        <v>item_mtro_Alstom_Brasil_Santiago_AS_2002</v>
      </c>
      <c r="N344" s="21" t="str">
        <f>"str_"&amp;CONTROL[[#This Row],[VEHIDCODE]]</f>
        <v>str_mtro_Alstom_Brasil_Santiago_AS_2002</v>
      </c>
      <c r="O344" s="7" t="b">
        <f>INDEX(PROPERTIES[IS_CONCEPT],MATCH(CONTROL[[#This Row],[VEHIDCODE]],PROPERTIES[VEHIDCODE],0))="IS_CONCEPT"</f>
        <v>0</v>
      </c>
      <c r="P344" s="7" t="b">
        <f>INDEX(PROPERTIES[EXCLUDE],MATCH(CONTROL[[#This Row],[VEHIDCODE]],PROPERTIES[VEHIDCODE],0))</f>
        <v>1</v>
      </c>
      <c r="Q3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5" spans="1:17" x14ac:dyDescent="0.35">
      <c r="A345" s="2" t="s">
        <v>2971</v>
      </c>
      <c r="B345" s="21" t="str">
        <f>MID(CONTROL[[#This Row],[VEHIDCODE]],FIND("_",CONTROL[[#This Row],[VEHIDCODE]])+1,LEN(CONTROL[[#This Row],[VEHIDCODE]]))</f>
        <v>TUDH_Recife_VLT_Mobile_3</v>
      </c>
      <c r="C3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5">
        <v>9050</v>
      </c>
      <c r="F345" s="30" t="s">
        <v>2220</v>
      </c>
      <c r="G345" t="s">
        <v>1369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ISNUMBER(MATCH(CONTROL[[#This Row],[VEHIDCODE]],TRACK_TYPES[VEHIDCODE],0))</f>
        <v>1</v>
      </c>
      <c r="K345" t="b">
        <f>ISNUMBER(MATCH(CONTROL[[#This Row],[VEHIDCODE]],PROPERTIES[VEHIDCODE],0))</f>
        <v>1</v>
      </c>
      <c r="L345" t="b">
        <f>ISNUMBER(MATCH(CONTROL[[#This Row],[VEHIDCODE]],GRAPHICS_PROPERTIES[VEHIDCODE],0))</f>
        <v>1</v>
      </c>
      <c r="M345" s="21" t="str">
        <f>"item_"&amp;CONTROL[[#This Row],[VEHIDCODE]]</f>
        <v>item_mtro_TUDH_Recife_VLT_Mobile_3</v>
      </c>
      <c r="N345" s="21" t="str">
        <f>"str_"&amp;CONTROL[[#This Row],[VEHIDCODE]]</f>
        <v>str_mtro_TUDH_Recife_VLT_Mobile_3</v>
      </c>
      <c r="O345" s="7" t="b">
        <f>INDEX(PROPERTIES[IS_CONCEPT],MATCH(CONTROL[[#This Row],[VEHIDCODE]],PROPERTIES[VEHIDCODE],0))="IS_CONCEPT"</f>
        <v>0</v>
      </c>
      <c r="P345" s="7" t="b">
        <f>INDEX(PROPERTIES[EXCLUDE],MATCH(CONTROL[[#This Row],[VEHIDCODE]],PROPERTIES[VEHIDCODE],0))</f>
        <v>0</v>
      </c>
      <c r="Q3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6" spans="1:17" x14ac:dyDescent="0.35">
      <c r="A346" s="2" t="s">
        <v>2972</v>
      </c>
      <c r="B346" s="21" t="str">
        <f>MID(CONTROL[[#This Row],[VEHIDCODE]],FIND("_",CONTROL[[#This Row],[VEHIDCODE]])+1,LEN(CONTROL[[#This Row],[VEHIDCODE]]))</f>
        <v>CAF_Madrid_Series_5000</v>
      </c>
      <c r="C3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6">
        <v>9051</v>
      </c>
      <c r="F346" s="30" t="s">
        <v>2221</v>
      </c>
      <c r="G346" t="s">
        <v>1370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ISNUMBER(MATCH(CONTROL[[#This Row],[VEHIDCODE]],TRACK_TYPES[VEHIDCODE],0))</f>
        <v>1</v>
      </c>
      <c r="K346" t="b">
        <f>ISNUMBER(MATCH(CONTROL[[#This Row],[VEHIDCODE]],PROPERTIES[VEHIDCODE],0))</f>
        <v>1</v>
      </c>
      <c r="L346" t="b">
        <f>ISNUMBER(MATCH(CONTROL[[#This Row],[VEHIDCODE]],GRAPHICS_PROPERTIES[VEHIDCODE],0))</f>
        <v>1</v>
      </c>
      <c r="M346" s="21" t="str">
        <f>"item_"&amp;CONTROL[[#This Row],[VEHIDCODE]]</f>
        <v>item_mtro_CAF_Madrid_Series_5000</v>
      </c>
      <c r="N346" s="21" t="str">
        <f>"str_"&amp;CONTROL[[#This Row],[VEHIDCODE]]</f>
        <v>str_mtro_CAF_Madrid_Series_5000</v>
      </c>
      <c r="O346" s="7" t="b">
        <f>INDEX(PROPERTIES[IS_CONCEPT],MATCH(CONTROL[[#This Row],[VEHIDCODE]],PROPERTIES[VEHIDCODE],0))="IS_CONCEPT"</f>
        <v>0</v>
      </c>
      <c r="P346" s="7" t="b">
        <f>INDEX(PROPERTIES[EXCLUDE],MATCH(CONTROL[[#This Row],[VEHIDCODE]],PROPERTIES[VEHIDCODE],0))</f>
        <v>0</v>
      </c>
      <c r="Q3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7" spans="1:17" x14ac:dyDescent="0.35">
      <c r="A347" s="2" t="s">
        <v>2973</v>
      </c>
      <c r="B347" s="21" t="str">
        <f>MID(CONTROL[[#This Row],[VEHIDCODE]],FIND("_",CONTROL[[#This Row],[VEHIDCODE]])+1,LEN(CONTROL[[#This Row],[VEHIDCODE]]))</f>
        <v>CAF_Rome_S_300</v>
      </c>
      <c r="C3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7">
        <v>9052</v>
      </c>
      <c r="F347" s="30" t="s">
        <v>2222</v>
      </c>
      <c r="G347" t="s">
        <v>1371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ISNUMBER(MATCH(CONTROL[[#This Row],[VEHIDCODE]],TRACK_TYPES[VEHIDCODE],0))</f>
        <v>1</v>
      </c>
      <c r="K347" t="b">
        <f>ISNUMBER(MATCH(CONTROL[[#This Row],[VEHIDCODE]],PROPERTIES[VEHIDCODE],0))</f>
        <v>1</v>
      </c>
      <c r="L347" t="b">
        <f>ISNUMBER(MATCH(CONTROL[[#This Row],[VEHIDCODE]],GRAPHICS_PROPERTIES[VEHIDCODE],0))</f>
        <v>1</v>
      </c>
      <c r="M347" s="21" t="str">
        <f>"item_"&amp;CONTROL[[#This Row],[VEHIDCODE]]</f>
        <v>item_mtro_CAF_Rome_S_300</v>
      </c>
      <c r="N347" s="21" t="str">
        <f>"str_"&amp;CONTROL[[#This Row],[VEHIDCODE]]</f>
        <v>str_mtro_CAF_Rome_S_300</v>
      </c>
      <c r="O347" s="7" t="b">
        <f>INDEX(PROPERTIES[IS_CONCEPT],MATCH(CONTROL[[#This Row],[VEHIDCODE]],PROPERTIES[VEHIDCODE],0))="IS_CONCEPT"</f>
        <v>0</v>
      </c>
      <c r="P347" s="7" t="b">
        <f>INDEX(PROPERTIES[EXCLUDE],MATCH(CONTROL[[#This Row],[VEHIDCODE]],PROPERTIES[VEHIDCODE],0))</f>
        <v>0</v>
      </c>
      <c r="Q3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8" spans="1:17" x14ac:dyDescent="0.35">
      <c r="A348" s="2" t="s">
        <v>2974</v>
      </c>
      <c r="B348" s="21" t="str">
        <f>MID(CONTROL[[#This Row],[VEHIDCODE]],FIND("_",CONTROL[[#This Row],[VEHIDCODE]])+1,LEN(CONTROL[[#This Row],[VEHIDCODE]]))</f>
        <v>CAF_Algiers_2011_Stock</v>
      </c>
      <c r="C3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8">
        <v>9053</v>
      </c>
      <c r="F348" s="30" t="s">
        <v>2223</v>
      </c>
      <c r="G348" t="s">
        <v>1372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ISNUMBER(MATCH(CONTROL[[#This Row],[VEHIDCODE]],TRACK_TYPES[VEHIDCODE],0))</f>
        <v>1</v>
      </c>
      <c r="K348" t="b">
        <f>ISNUMBER(MATCH(CONTROL[[#This Row],[VEHIDCODE]],PROPERTIES[VEHIDCODE],0))</f>
        <v>1</v>
      </c>
      <c r="L348" t="b">
        <f>ISNUMBER(MATCH(CONTROL[[#This Row],[VEHIDCODE]],GRAPHICS_PROPERTIES[VEHIDCODE],0))</f>
        <v>1</v>
      </c>
      <c r="M348" s="21" t="str">
        <f>"item_"&amp;CONTROL[[#This Row],[VEHIDCODE]]</f>
        <v>item_mtro_CAF_Algiers_2011_Stock</v>
      </c>
      <c r="N348" s="21" t="str">
        <f>"str_"&amp;CONTROL[[#This Row],[VEHIDCODE]]</f>
        <v>str_mtro_CAF_Algiers_2011_Stock</v>
      </c>
      <c r="O348" s="7" t="b">
        <f>INDEX(PROPERTIES[IS_CONCEPT],MATCH(CONTROL[[#This Row],[VEHIDCODE]],PROPERTIES[VEHIDCODE],0))="IS_CONCEPT"</f>
        <v>0</v>
      </c>
      <c r="P348" s="7" t="b">
        <f>INDEX(PROPERTIES[EXCLUDE],MATCH(CONTROL[[#This Row],[VEHIDCODE]],PROPERTIES[VEHIDCODE],0))</f>
        <v>0</v>
      </c>
      <c r="Q3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49" spans="1:17" x14ac:dyDescent="0.35">
      <c r="A349" s="2" t="s">
        <v>2975</v>
      </c>
      <c r="B349" s="21" t="str">
        <f>MID(CONTROL[[#This Row],[VEHIDCODE]],FIND("_",CONTROL[[#This Row],[VEHIDCODE]])+1,LEN(CONTROL[[#This Row],[VEHIDCODE]]))</f>
        <v>Stadler_Berlin_U_Bahn_IK</v>
      </c>
      <c r="C3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49">
        <v>9054</v>
      </c>
      <c r="F349" s="30" t="s">
        <v>2224</v>
      </c>
      <c r="G349" t="s">
        <v>1373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ISNUMBER(MATCH(CONTROL[[#This Row],[VEHIDCODE]],TRACK_TYPES[VEHIDCODE],0))</f>
        <v>1</v>
      </c>
      <c r="K349" t="b">
        <f>ISNUMBER(MATCH(CONTROL[[#This Row],[VEHIDCODE]],PROPERTIES[VEHIDCODE],0))</f>
        <v>1</v>
      </c>
      <c r="L349" t="b">
        <f>ISNUMBER(MATCH(CONTROL[[#This Row],[VEHIDCODE]],GRAPHICS_PROPERTIES[VEHIDCODE],0))</f>
        <v>1</v>
      </c>
      <c r="M349" s="21" t="str">
        <f>"item_"&amp;CONTROL[[#This Row],[VEHIDCODE]]</f>
        <v>item_mtro_Stadler_Berlin_U_Bahn_IK</v>
      </c>
      <c r="N349" s="21" t="str">
        <f>"str_"&amp;CONTROL[[#This Row],[VEHIDCODE]]</f>
        <v>str_mtro_Stadler_Berlin_U_Bahn_IK</v>
      </c>
      <c r="O349" s="7" t="b">
        <f>INDEX(PROPERTIES[IS_CONCEPT],MATCH(CONTROL[[#This Row],[VEHIDCODE]],PROPERTIES[VEHIDCODE],0))="IS_CONCEPT"</f>
        <v>0</v>
      </c>
      <c r="P349" s="7" t="b">
        <f>INDEX(PROPERTIES[EXCLUDE],MATCH(CONTROL[[#This Row],[VEHIDCODE]],PROPERTIES[VEHIDCODE],0))</f>
        <v>0</v>
      </c>
      <c r="Q3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0" spans="1:17" x14ac:dyDescent="0.35">
      <c r="A350" s="2" t="s">
        <v>2976</v>
      </c>
      <c r="B350" s="21" t="str">
        <f>MID(CONTROL[[#This Row],[VEHIDCODE]],FIND("_",CONTROL[[#This Row],[VEHIDCODE]])+1,LEN(CONTROL[[#This Row],[VEHIDCODE]]))</f>
        <v>St__Louis_Car_Company_Chicago_L_6000_Series</v>
      </c>
      <c r="C3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50">
        <v>9055</v>
      </c>
      <c r="F350" s="30" t="s">
        <v>2225</v>
      </c>
      <c r="G350" t="s">
        <v>1374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ISNUMBER(MATCH(CONTROL[[#This Row],[VEHIDCODE]],TRACK_TYPES[VEHIDCODE],0))</f>
        <v>1</v>
      </c>
      <c r="K350" t="b">
        <f>ISNUMBER(MATCH(CONTROL[[#This Row],[VEHIDCODE]],PROPERTIES[VEHIDCODE],0))</f>
        <v>1</v>
      </c>
      <c r="L350" t="b">
        <f>ISNUMBER(MATCH(CONTROL[[#This Row],[VEHIDCODE]],GRAPHICS_PROPERTIES[VEHIDCODE],0))</f>
        <v>1</v>
      </c>
      <c r="M350" s="21" t="str">
        <f>"item_"&amp;CONTROL[[#This Row],[VEHIDCODE]]</f>
        <v>item_mtro_St__Louis_Car_Company_Chicago_L_6000_Series</v>
      </c>
      <c r="N350" s="21" t="str">
        <f>"str_"&amp;CONTROL[[#This Row],[VEHIDCODE]]</f>
        <v>str_mtro_St__Louis_Car_Company_Chicago_L_6000_Series</v>
      </c>
      <c r="O350" s="7" t="b">
        <f>INDEX(PROPERTIES[IS_CONCEPT],MATCH(CONTROL[[#This Row],[VEHIDCODE]],PROPERTIES[VEHIDCODE],0))="IS_CONCEPT"</f>
        <v>0</v>
      </c>
      <c r="P350" s="7" t="b">
        <f>INDEX(PROPERTIES[EXCLUDE],MATCH(CONTROL[[#This Row],[VEHIDCODE]],PROPERTIES[VEHIDCODE],0))</f>
        <v>0</v>
      </c>
      <c r="Q3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1" spans="1:17" x14ac:dyDescent="0.35">
      <c r="A351" s="2" t="s">
        <v>2977</v>
      </c>
      <c r="B351" s="21" t="str">
        <f>MID(CONTROL[[#This Row],[VEHIDCODE]],FIND("_",CONTROL[[#This Row],[VEHIDCODE]])+1,LEN(CONTROL[[#This Row],[VEHIDCODE]]))</f>
        <v>BRC_W_London_1903_Stock</v>
      </c>
      <c r="C3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51">
        <v>9002</v>
      </c>
      <c r="F351" s="30" t="s">
        <v>2226</v>
      </c>
      <c r="G351" t="s">
        <v>1375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ISNUMBER(MATCH(CONTROL[[#This Row],[VEHIDCODE]],TRACK_TYPES[VEHIDCODE],0))</f>
        <v>1</v>
      </c>
      <c r="K351" t="b">
        <f>ISNUMBER(MATCH(CONTROL[[#This Row],[VEHIDCODE]],PROPERTIES[VEHIDCODE],0))</f>
        <v>1</v>
      </c>
      <c r="L351" t="b">
        <f>ISNUMBER(MATCH(CONTROL[[#This Row],[VEHIDCODE]],GRAPHICS_PROPERTIES[VEHIDCODE],0))</f>
        <v>1</v>
      </c>
      <c r="M351" s="21" t="str">
        <f>"item_"&amp;CONTROL[[#This Row],[VEHIDCODE]]</f>
        <v>item_mtro_BRC_W_London_1903_Stock</v>
      </c>
      <c r="N351" s="21" t="str">
        <f>"str_"&amp;CONTROL[[#This Row],[VEHIDCODE]]</f>
        <v>str_mtro_BRC_W_London_1903_Stock</v>
      </c>
      <c r="O351" s="7" t="b">
        <f>INDEX(PROPERTIES[IS_CONCEPT],MATCH(CONTROL[[#This Row],[VEHIDCODE]],PROPERTIES[VEHIDCODE],0))="IS_CONCEPT"</f>
        <v>0</v>
      </c>
      <c r="P351" s="7" t="b">
        <f>INDEX(PROPERTIES[EXCLUDE],MATCH(CONTROL[[#This Row],[VEHIDCODE]],PROPERTIES[VEHIDCODE],0))</f>
        <v>0</v>
      </c>
      <c r="Q3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2" spans="1:17" x14ac:dyDescent="0.35">
      <c r="A352" s="2" t="s">
        <v>2978</v>
      </c>
      <c r="B352" s="21" t="str">
        <f>MID(CONTROL[[#This Row],[VEHIDCODE]],FIND("_",CONTROL[[#This Row],[VEHIDCODE]])+1,LEN(CONTROL[[#This Row],[VEHIDCODE]]))</f>
        <v>London_1938_Stock</v>
      </c>
      <c r="C3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352">
        <v>9007</v>
      </c>
      <c r="F352" s="30" t="s">
        <v>3647</v>
      </c>
      <c r="G352" t="s">
        <v>1376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ISNUMBER(MATCH(CONTROL[[#This Row],[VEHIDCODE]],TRACK_TYPES[VEHIDCODE],0))</f>
        <v>1</v>
      </c>
      <c r="K352" t="b">
        <f>ISNUMBER(MATCH(CONTROL[[#This Row],[VEHIDCODE]],PROPERTIES[VEHIDCODE],0))</f>
        <v>1</v>
      </c>
      <c r="L352" t="b">
        <f>ISNUMBER(MATCH(CONTROL[[#This Row],[VEHIDCODE]],GRAPHICS_PROPERTIES[VEHIDCODE],0))</f>
        <v>1</v>
      </c>
      <c r="M352" s="21" t="str">
        <f>"item_"&amp;CONTROL[[#This Row],[VEHIDCODE]]</f>
        <v>item_mtro_London_1938_Stock</v>
      </c>
      <c r="N352" s="21" t="str">
        <f>"str_"&amp;CONTROL[[#This Row],[VEHIDCODE]]</f>
        <v>str_mtro_London_1938_Stock</v>
      </c>
      <c r="O352" s="7" t="b">
        <f>INDEX(PROPERTIES[IS_CONCEPT],MATCH(CONTROL[[#This Row],[VEHIDCODE]],PROPERTIES[VEHIDCODE],0))="IS_CONCEPT"</f>
        <v>0</v>
      </c>
      <c r="P352" s="7" t="b">
        <f>INDEX(PROPERTIES[EXCLUDE],MATCH(CONTROL[[#This Row],[VEHIDCODE]],PROPERTIES[VEHIDCODE],0))</f>
        <v>0</v>
      </c>
      <c r="Q3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353" spans="1:17" x14ac:dyDescent="0.35">
      <c r="A353" s="2" t="s">
        <v>2979</v>
      </c>
      <c r="B353" s="21" t="str">
        <f>MID(CONTROL[[#This Row],[VEHIDCODE]],FIND("_",CONTROL[[#This Row],[VEHIDCODE]])+1,LEN(CONTROL[[#This Row],[VEHIDCODE]]))</f>
        <v>NER_EF1</v>
      </c>
      <c r="C3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3">
        <v>6002</v>
      </c>
      <c r="F353" s="30" t="s">
        <v>377</v>
      </c>
      <c r="G353" t="s">
        <v>1377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ISNUMBER(MATCH(CONTROL[[#This Row],[VEHIDCODE]],TRACK_TYPES[VEHIDCODE],0))</f>
        <v>1</v>
      </c>
      <c r="K353" t="b">
        <f>ISNUMBER(MATCH(CONTROL[[#This Row],[VEHIDCODE]],PROPERTIES[VEHIDCODE],0))</f>
        <v>1</v>
      </c>
      <c r="L353" t="b">
        <f>ISNUMBER(MATCH(CONTROL[[#This Row],[VEHIDCODE]],GRAPHICS_PROPERTIES[VEHIDCODE],0))</f>
        <v>1</v>
      </c>
      <c r="M353" s="21" t="str">
        <f>"item_"&amp;CONTROL[[#This Row],[VEHIDCODE]]</f>
        <v>item_electric_NER_EF1</v>
      </c>
      <c r="N353" s="21" t="str">
        <f>"str_"&amp;CONTROL[[#This Row],[VEHIDCODE]]</f>
        <v>str_electric_NER_EF1</v>
      </c>
      <c r="O353" s="7" t="b">
        <f>INDEX(PROPERTIES[IS_CONCEPT],MATCH(CONTROL[[#This Row],[VEHIDCODE]],PROPERTIES[VEHIDCODE],0))="IS_CONCEPT"</f>
        <v>0</v>
      </c>
      <c r="P353" s="7" t="b">
        <f>INDEX(PROPERTIES[EXCLUDE],MATCH(CONTROL[[#This Row],[VEHIDCODE]],PROPERTIES[VEHIDCODE],0))</f>
        <v>0</v>
      </c>
      <c r="Q3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4" spans="1:17" x14ac:dyDescent="0.35">
      <c r="A354" s="2" t="s">
        <v>2980</v>
      </c>
      <c r="B354" s="21" t="str">
        <f>MID(CONTROL[[#This Row],[VEHIDCODE]],FIND("_",CONTROL[[#This Row],[VEHIDCODE]])+1,LEN(CONTROL[[#This Row],[VEHIDCODE]]))</f>
        <v>JNR_EB10</v>
      </c>
      <c r="C3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4">
        <v>6010</v>
      </c>
      <c r="F354" s="30" t="s">
        <v>378</v>
      </c>
      <c r="G354" t="s">
        <v>1378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ISNUMBER(MATCH(CONTROL[[#This Row],[VEHIDCODE]],TRACK_TYPES[VEHIDCODE],0))</f>
        <v>1</v>
      </c>
      <c r="K354" t="b">
        <f>ISNUMBER(MATCH(CONTROL[[#This Row],[VEHIDCODE]],PROPERTIES[VEHIDCODE],0))</f>
        <v>1</v>
      </c>
      <c r="L354" t="b">
        <f>ISNUMBER(MATCH(CONTROL[[#This Row],[VEHIDCODE]],GRAPHICS_PROPERTIES[VEHIDCODE],0))</f>
        <v>1</v>
      </c>
      <c r="M354" s="21" t="str">
        <f>"item_"&amp;CONTROL[[#This Row],[VEHIDCODE]]</f>
        <v>item_electric_JNR_EB10</v>
      </c>
      <c r="N354" s="21" t="str">
        <f>"str_"&amp;CONTROL[[#This Row],[VEHIDCODE]]</f>
        <v>str_electric_JNR_EB10</v>
      </c>
      <c r="O354" s="7" t="b">
        <f>INDEX(PROPERTIES[IS_CONCEPT],MATCH(CONTROL[[#This Row],[VEHIDCODE]],PROPERTIES[VEHIDCODE],0))="IS_CONCEPT"</f>
        <v>0</v>
      </c>
      <c r="P354" s="7" t="b">
        <f>INDEX(PROPERTIES[EXCLUDE],MATCH(CONTROL[[#This Row],[VEHIDCODE]],PROPERTIES[VEHIDCODE],0))</f>
        <v>0</v>
      </c>
      <c r="Q3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5" spans="1:17" x14ac:dyDescent="0.35">
      <c r="A355" s="2" t="s">
        <v>2981</v>
      </c>
      <c r="B355" s="21" t="str">
        <f>MID(CONTROL[[#This Row],[VEHIDCODE]],FIND("_",CONTROL[[#This Row],[VEHIDCODE]])+1,LEN(CONTROL[[#This Row],[VEHIDCODE]]))</f>
        <v>Hitachi_Kawasaki_EF55</v>
      </c>
      <c r="C3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5">
        <v>6015</v>
      </c>
      <c r="F355" s="30" t="s">
        <v>2227</v>
      </c>
      <c r="G355" t="s">
        <v>1379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ISNUMBER(MATCH(CONTROL[[#This Row],[VEHIDCODE]],TRACK_TYPES[VEHIDCODE],0))</f>
        <v>1</v>
      </c>
      <c r="K355" t="b">
        <f>ISNUMBER(MATCH(CONTROL[[#This Row],[VEHIDCODE]],PROPERTIES[VEHIDCODE],0))</f>
        <v>1</v>
      </c>
      <c r="L355" t="b">
        <f>ISNUMBER(MATCH(CONTROL[[#This Row],[VEHIDCODE]],GRAPHICS_PROPERTIES[VEHIDCODE],0))</f>
        <v>1</v>
      </c>
      <c r="M355" s="21" t="str">
        <f>"item_"&amp;CONTROL[[#This Row],[VEHIDCODE]]</f>
        <v>item_electric_Hitachi_Kawasaki_EF55</v>
      </c>
      <c r="N355" s="21" t="str">
        <f>"str_"&amp;CONTROL[[#This Row],[VEHIDCODE]]</f>
        <v>str_electric_Hitachi_Kawasaki_EF55</v>
      </c>
      <c r="O355" s="7" t="b">
        <f>INDEX(PROPERTIES[IS_CONCEPT],MATCH(CONTROL[[#This Row],[VEHIDCODE]],PROPERTIES[VEHIDCODE],0))="IS_CONCEPT"</f>
        <v>0</v>
      </c>
      <c r="P355" s="7" t="b">
        <f>INDEX(PROPERTIES[EXCLUDE],MATCH(CONTROL[[#This Row],[VEHIDCODE]],PROPERTIES[VEHIDCODE],0))</f>
        <v>0</v>
      </c>
      <c r="Q3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356" spans="1:17" x14ac:dyDescent="0.35">
      <c r="A356" s="2" t="s">
        <v>2982</v>
      </c>
      <c r="B356" s="21" t="str">
        <f>MID(CONTROL[[#This Row],[VEHIDCODE]],FIND("_",CONTROL[[#This Row],[VEHIDCODE]])+1,LEN(CONTROL[[#This Row],[VEHIDCODE]]))</f>
        <v>SLM_NS_1000</v>
      </c>
      <c r="C3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6">
        <v>6019</v>
      </c>
      <c r="F356" s="30" t="s">
        <v>2228</v>
      </c>
      <c r="G356" t="s">
        <v>1380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ISNUMBER(MATCH(CONTROL[[#This Row],[VEHIDCODE]],TRACK_TYPES[VEHIDCODE],0))</f>
        <v>1</v>
      </c>
      <c r="K356" t="b">
        <f>ISNUMBER(MATCH(CONTROL[[#This Row],[VEHIDCODE]],PROPERTIES[VEHIDCODE],0))</f>
        <v>1</v>
      </c>
      <c r="L356" t="b">
        <f>ISNUMBER(MATCH(CONTROL[[#This Row],[VEHIDCODE]],GRAPHICS_PROPERTIES[VEHIDCODE],0))</f>
        <v>1</v>
      </c>
      <c r="M356" s="21" t="str">
        <f>"item_"&amp;CONTROL[[#This Row],[VEHIDCODE]]</f>
        <v>item_electric_SLM_NS_1000</v>
      </c>
      <c r="N356" s="21" t="str">
        <f>"str_"&amp;CONTROL[[#This Row],[VEHIDCODE]]</f>
        <v>str_electric_SLM_NS_1000</v>
      </c>
      <c r="O356" s="7" t="b">
        <f>INDEX(PROPERTIES[IS_CONCEPT],MATCH(CONTROL[[#This Row],[VEHIDCODE]],PROPERTIES[VEHIDCODE],0))="IS_CONCEPT"</f>
        <v>0</v>
      </c>
      <c r="P356" s="7" t="b">
        <f>INDEX(PROPERTIES[EXCLUDE],MATCH(CONTROL[[#This Row],[VEHIDCODE]],PROPERTIES[VEHIDCODE],0))</f>
        <v>0</v>
      </c>
      <c r="Q3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7" spans="1:17" x14ac:dyDescent="0.35">
      <c r="A357" s="2" t="s">
        <v>2983</v>
      </c>
      <c r="B357" s="21" t="str">
        <f>MID(CONTROL[[#This Row],[VEHIDCODE]],FIND("_",CONTROL[[#This Row],[VEHIDCODE]])+1,LEN(CONTROL[[#This Row],[VEHIDCODE]]))</f>
        <v>Alsthom_BB_7200_NS_1600</v>
      </c>
      <c r="C3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7">
        <v>6038</v>
      </c>
      <c r="F357" s="30" t="s">
        <v>2539</v>
      </c>
      <c r="G357" t="s">
        <v>1381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ISNUMBER(MATCH(CONTROL[[#This Row],[VEHIDCODE]],TRACK_TYPES[VEHIDCODE],0))</f>
        <v>1</v>
      </c>
      <c r="K357" t="b">
        <f>ISNUMBER(MATCH(CONTROL[[#This Row],[VEHIDCODE]],PROPERTIES[VEHIDCODE],0))</f>
        <v>1</v>
      </c>
      <c r="L357" t="b">
        <f>ISNUMBER(MATCH(CONTROL[[#This Row],[VEHIDCODE]],GRAPHICS_PROPERTIES[VEHIDCODE],0))</f>
        <v>1</v>
      </c>
      <c r="M357" s="21" t="str">
        <f>"item_"&amp;CONTROL[[#This Row],[VEHIDCODE]]</f>
        <v>item_electric_Alsthom_BB_7200_NS_1600</v>
      </c>
      <c r="N357" s="21" t="str">
        <f>"str_"&amp;CONTROL[[#This Row],[VEHIDCODE]]</f>
        <v>str_electric_Alsthom_BB_7200_NS_1600</v>
      </c>
      <c r="O357" s="7" t="b">
        <f>INDEX(PROPERTIES[IS_CONCEPT],MATCH(CONTROL[[#This Row],[VEHIDCODE]],PROPERTIES[VEHIDCODE],0))="IS_CONCEPT"</f>
        <v>0</v>
      </c>
      <c r="P357" s="7" t="b">
        <f>INDEX(PROPERTIES[EXCLUDE],MATCH(CONTROL[[#This Row],[VEHIDCODE]],PROPERTIES[VEHIDCODE],0))</f>
        <v>0</v>
      </c>
      <c r="Q3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8" spans="1:17" x14ac:dyDescent="0.35">
      <c r="A358" s="2" t="s">
        <v>2984</v>
      </c>
      <c r="B358" s="21" t="str">
        <f>MID(CONTROL[[#This Row],[VEHIDCODE]],FIND("_",CONTROL[[#This Row],[VEHIDCODE]])+1,LEN(CONTROL[[#This Row],[VEHIDCODE]]))</f>
        <v>Victorian_Railways_E</v>
      </c>
      <c r="C3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8">
        <v>6072</v>
      </c>
      <c r="F358" s="30" t="s">
        <v>379</v>
      </c>
      <c r="G358" t="s">
        <v>1382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ISNUMBER(MATCH(CONTROL[[#This Row],[VEHIDCODE]],TRACK_TYPES[VEHIDCODE],0))</f>
        <v>1</v>
      </c>
      <c r="K358" t="b">
        <f>ISNUMBER(MATCH(CONTROL[[#This Row],[VEHIDCODE]],PROPERTIES[VEHIDCODE],0))</f>
        <v>1</v>
      </c>
      <c r="L358" t="b">
        <f>ISNUMBER(MATCH(CONTROL[[#This Row],[VEHIDCODE]],GRAPHICS_PROPERTIES[VEHIDCODE],0))</f>
        <v>1</v>
      </c>
      <c r="M358" s="21" t="str">
        <f>"item_"&amp;CONTROL[[#This Row],[VEHIDCODE]]</f>
        <v>item_electric_Victorian_Railways_E</v>
      </c>
      <c r="N358" s="21" t="str">
        <f>"str_"&amp;CONTROL[[#This Row],[VEHIDCODE]]</f>
        <v>str_electric_Victorian_Railways_E</v>
      </c>
      <c r="O358" s="7" t="b">
        <f>INDEX(PROPERTIES[IS_CONCEPT],MATCH(CONTROL[[#This Row],[VEHIDCODE]],PROPERTIES[VEHIDCODE],0))="IS_CONCEPT"</f>
        <v>0</v>
      </c>
      <c r="P358" s="7" t="b">
        <f>INDEX(PROPERTIES[EXCLUDE],MATCH(CONTROL[[#This Row],[VEHIDCODE]],PROPERTIES[VEHIDCODE],0))</f>
        <v>0</v>
      </c>
      <c r="Q3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59" spans="1:17" x14ac:dyDescent="0.35">
      <c r="A359" s="2" t="s">
        <v>2985</v>
      </c>
      <c r="B359" s="21" t="str">
        <f>MID(CONTROL[[#This Row],[VEHIDCODE]],FIND("_",CONTROL[[#This Row],[VEHIDCODE]])+1,LEN(CONTROL[[#This Row],[VEHIDCODE]]))</f>
        <v>British_Thomson_Houston_ES1</v>
      </c>
      <c r="C3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59">
        <v>6067</v>
      </c>
      <c r="F359" s="30" t="s">
        <v>2229</v>
      </c>
      <c r="G359" t="s">
        <v>1383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ISNUMBER(MATCH(CONTROL[[#This Row],[VEHIDCODE]],TRACK_TYPES[VEHIDCODE],0))</f>
        <v>1</v>
      </c>
      <c r="K359" t="b">
        <f>ISNUMBER(MATCH(CONTROL[[#This Row],[VEHIDCODE]],PROPERTIES[VEHIDCODE],0))</f>
        <v>1</v>
      </c>
      <c r="L359" t="b">
        <f>ISNUMBER(MATCH(CONTROL[[#This Row],[VEHIDCODE]],GRAPHICS_PROPERTIES[VEHIDCODE],0))</f>
        <v>1</v>
      </c>
      <c r="M359" s="21" t="str">
        <f>"item_"&amp;CONTROL[[#This Row],[VEHIDCODE]]</f>
        <v>item_electric_British_Thomson_Houston_ES1</v>
      </c>
      <c r="N359" s="21" t="str">
        <f>"str_"&amp;CONTROL[[#This Row],[VEHIDCODE]]</f>
        <v>str_electric_British_Thomson_Houston_ES1</v>
      </c>
      <c r="O359" s="7" t="b">
        <f>INDEX(PROPERTIES[IS_CONCEPT],MATCH(CONTROL[[#This Row],[VEHIDCODE]],PROPERTIES[VEHIDCODE],0))="IS_CONCEPT"</f>
        <v>0</v>
      </c>
      <c r="P359" s="7" t="b">
        <f>INDEX(PROPERTIES[EXCLUDE],MATCH(CONTROL[[#This Row],[VEHIDCODE]],PROPERTIES[VEHIDCODE],0))</f>
        <v>0</v>
      </c>
      <c r="Q3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0" spans="1:17" x14ac:dyDescent="0.35">
      <c r="A360" s="2" t="s">
        <v>2986</v>
      </c>
      <c r="B360" s="21" t="str">
        <f>MID(CONTROL[[#This Row],[VEHIDCODE]],FIND("_",CONTROL[[#This Row],[VEHIDCODE]])+1,LEN(CONTROL[[#This Row],[VEHIDCODE]]))</f>
        <v>ALCO_GE_NYC_S_Motor_S1</v>
      </c>
      <c r="C3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0">
        <v>6066</v>
      </c>
      <c r="F360" s="30" t="s">
        <v>2230</v>
      </c>
      <c r="G360" t="s">
        <v>1384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ISNUMBER(MATCH(CONTROL[[#This Row],[VEHIDCODE]],TRACK_TYPES[VEHIDCODE],0))</f>
        <v>1</v>
      </c>
      <c r="K360" t="b">
        <f>ISNUMBER(MATCH(CONTROL[[#This Row],[VEHIDCODE]],PROPERTIES[VEHIDCODE],0))</f>
        <v>1</v>
      </c>
      <c r="L360" t="b">
        <f>ISNUMBER(MATCH(CONTROL[[#This Row],[VEHIDCODE]],GRAPHICS_PROPERTIES[VEHIDCODE],0))</f>
        <v>1</v>
      </c>
      <c r="M360" s="21" t="str">
        <f>"item_"&amp;CONTROL[[#This Row],[VEHIDCODE]]</f>
        <v>item_electric_ALCO_GE_NYC_S_Motor_S1</v>
      </c>
      <c r="N360" s="21" t="str">
        <f>"str_"&amp;CONTROL[[#This Row],[VEHIDCODE]]</f>
        <v>str_electric_ALCO_GE_NYC_S_Motor_S1</v>
      </c>
      <c r="O360" s="7" t="b">
        <f>INDEX(PROPERTIES[IS_CONCEPT],MATCH(CONTROL[[#This Row],[VEHIDCODE]],PROPERTIES[VEHIDCODE],0))="IS_CONCEPT"</f>
        <v>0</v>
      </c>
      <c r="P360" s="7" t="b">
        <f>INDEX(PROPERTIES[EXCLUDE],MATCH(CONTROL[[#This Row],[VEHIDCODE]],PROPERTIES[VEHIDCODE],0))</f>
        <v>0</v>
      </c>
      <c r="Q3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1" spans="1:17" x14ac:dyDescent="0.35">
      <c r="A361" s="2" t="s">
        <v>2987</v>
      </c>
      <c r="B361" s="21" t="str">
        <f>MID(CONTROL[[#This Row],[VEHIDCODE]],FIND("_",CONTROL[[#This Row],[VEHIDCODE]])+1,LEN(CONTROL[[#This Row],[VEHIDCODE]]))</f>
        <v>Nippon_Sharyo_DeKi_400</v>
      </c>
      <c r="C3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1">
        <v>6075</v>
      </c>
      <c r="F361" s="30" t="s">
        <v>2231</v>
      </c>
      <c r="G361" t="s">
        <v>1385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ISNUMBER(MATCH(CONTROL[[#This Row],[VEHIDCODE]],TRACK_TYPES[VEHIDCODE],0))</f>
        <v>1</v>
      </c>
      <c r="K361" t="b">
        <f>ISNUMBER(MATCH(CONTROL[[#This Row],[VEHIDCODE]],PROPERTIES[VEHIDCODE],0))</f>
        <v>1</v>
      </c>
      <c r="L361" t="b">
        <f>ISNUMBER(MATCH(CONTROL[[#This Row],[VEHIDCODE]],GRAPHICS_PROPERTIES[VEHIDCODE],0))</f>
        <v>1</v>
      </c>
      <c r="M361" s="21" t="str">
        <f>"item_"&amp;CONTROL[[#This Row],[VEHIDCODE]]</f>
        <v>item_electric_Nippon_Sharyo_DeKi_400</v>
      </c>
      <c r="N361" s="21" t="str">
        <f>"str_"&amp;CONTROL[[#This Row],[VEHIDCODE]]</f>
        <v>str_electric_Nippon_Sharyo_DeKi_400</v>
      </c>
      <c r="O361" s="7" t="b">
        <f>INDEX(PROPERTIES[IS_CONCEPT],MATCH(CONTROL[[#This Row],[VEHIDCODE]],PROPERTIES[VEHIDCODE],0))="IS_CONCEPT"</f>
        <v>0</v>
      </c>
      <c r="P361" s="7" t="b">
        <f>INDEX(PROPERTIES[EXCLUDE],MATCH(CONTROL[[#This Row],[VEHIDCODE]],PROPERTIES[VEHIDCODE],0))</f>
        <v>0</v>
      </c>
      <c r="Q3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2" spans="1:17" x14ac:dyDescent="0.35">
      <c r="A362" s="2" t="s">
        <v>2988</v>
      </c>
      <c r="B362" s="21" t="str">
        <f>MID(CONTROL[[#This Row],[VEHIDCODE]],FIND("_",CONTROL[[#This Row],[VEHIDCODE]])+1,LEN(CONTROL[[#This Row],[VEHIDCODE]]))</f>
        <v>Vulcan_Foundry_SLM_EF_1</v>
      </c>
      <c r="C3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2">
        <v>6008</v>
      </c>
      <c r="F362" s="30" t="s">
        <v>2245</v>
      </c>
      <c r="G362" t="s">
        <v>1386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ISNUMBER(MATCH(CONTROL[[#This Row],[VEHIDCODE]],TRACK_TYPES[VEHIDCODE],0))</f>
        <v>1</v>
      </c>
      <c r="K362" t="b">
        <f>ISNUMBER(MATCH(CONTROL[[#This Row],[VEHIDCODE]],PROPERTIES[VEHIDCODE],0))</f>
        <v>1</v>
      </c>
      <c r="L362" t="b">
        <f>ISNUMBER(MATCH(CONTROL[[#This Row],[VEHIDCODE]],GRAPHICS_PROPERTIES[VEHIDCODE],0))</f>
        <v>1</v>
      </c>
      <c r="M362" s="21" t="str">
        <f>"item_"&amp;CONTROL[[#This Row],[VEHIDCODE]]</f>
        <v>item_electric_Vulcan_Foundry_SLM_EF_1</v>
      </c>
      <c r="N362" s="21" t="str">
        <f>"str_"&amp;CONTROL[[#This Row],[VEHIDCODE]]</f>
        <v>str_electric_Vulcan_Foundry_SLM_EF_1</v>
      </c>
      <c r="O362" s="7" t="b">
        <f>INDEX(PROPERTIES[IS_CONCEPT],MATCH(CONTROL[[#This Row],[VEHIDCODE]],PROPERTIES[VEHIDCODE],0))="IS_CONCEPT"</f>
        <v>0</v>
      </c>
      <c r="P362" s="7" t="b">
        <f>INDEX(PROPERTIES[EXCLUDE],MATCH(CONTROL[[#This Row],[VEHIDCODE]],PROPERTIES[VEHIDCODE],0))</f>
        <v>0</v>
      </c>
      <c r="Q3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363" spans="1:17" x14ac:dyDescent="0.35">
      <c r="A363" s="2" t="s">
        <v>2989</v>
      </c>
      <c r="B363" s="21" t="str">
        <f>MID(CONTROL[[#This Row],[VEHIDCODE]],FIND("_",CONTROL[[#This Row],[VEHIDCODE]])+1,LEN(CONTROL[[#This Row],[VEHIDCODE]]))</f>
        <v>Jeumont_Schneider_BB_9004</v>
      </c>
      <c r="C3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3">
        <v>6022</v>
      </c>
      <c r="F363" s="30" t="s">
        <v>2232</v>
      </c>
      <c r="G363" t="s">
        <v>1387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ISNUMBER(MATCH(CONTROL[[#This Row],[VEHIDCODE]],TRACK_TYPES[VEHIDCODE],0))</f>
        <v>1</v>
      </c>
      <c r="K363" t="b">
        <f>ISNUMBER(MATCH(CONTROL[[#This Row],[VEHIDCODE]],PROPERTIES[VEHIDCODE],0))</f>
        <v>1</v>
      </c>
      <c r="L363" t="b">
        <f>ISNUMBER(MATCH(CONTROL[[#This Row],[VEHIDCODE]],GRAPHICS_PROPERTIES[VEHIDCODE],0))</f>
        <v>1</v>
      </c>
      <c r="M363" s="21" t="str">
        <f>"item_"&amp;CONTROL[[#This Row],[VEHIDCODE]]</f>
        <v>item_electric_Jeumont_Schneider_BB_9004</v>
      </c>
      <c r="N363" s="21" t="str">
        <f>"str_"&amp;CONTROL[[#This Row],[VEHIDCODE]]</f>
        <v>str_electric_Jeumont_Schneider_BB_9004</v>
      </c>
      <c r="O363" s="7" t="b">
        <f>INDEX(PROPERTIES[IS_CONCEPT],MATCH(CONTROL[[#This Row],[VEHIDCODE]],PROPERTIES[VEHIDCODE],0))="IS_CONCEPT"</f>
        <v>0</v>
      </c>
      <c r="P363" s="7" t="b">
        <f>INDEX(PROPERTIES[EXCLUDE],MATCH(CONTROL[[#This Row],[VEHIDCODE]],PROPERTIES[VEHIDCODE],0))</f>
        <v>0</v>
      </c>
      <c r="Q3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4" spans="1:17" x14ac:dyDescent="0.35">
      <c r="A364" s="2" t="s">
        <v>2990</v>
      </c>
      <c r="B364" s="21" t="str">
        <f>MID(CONTROL[[#This Row],[VEHIDCODE]],FIND("_",CONTROL[[#This Row],[VEHIDCODE]])+1,LEN(CONTROL[[#This Row],[VEHIDCODE]]))</f>
        <v>Werkspoor_ESS_3200</v>
      </c>
      <c r="C3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4">
        <v>6096</v>
      </c>
      <c r="F364" s="30" t="s">
        <v>2233</v>
      </c>
      <c r="G364" t="s">
        <v>1388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ISNUMBER(MATCH(CONTROL[[#This Row],[VEHIDCODE]],TRACK_TYPES[VEHIDCODE],0))</f>
        <v>1</v>
      </c>
      <c r="K364" t="b">
        <f>ISNUMBER(MATCH(CONTROL[[#This Row],[VEHIDCODE]],PROPERTIES[VEHIDCODE],0))</f>
        <v>1</v>
      </c>
      <c r="L364" t="b">
        <f>ISNUMBER(MATCH(CONTROL[[#This Row],[VEHIDCODE]],GRAPHICS_PROPERTIES[VEHIDCODE],0))</f>
        <v>1</v>
      </c>
      <c r="M364" s="21" t="str">
        <f>"item_"&amp;CONTROL[[#This Row],[VEHIDCODE]]</f>
        <v>item_electric_Werkspoor_ESS_3200</v>
      </c>
      <c r="N364" s="21" t="str">
        <f>"str_"&amp;CONTROL[[#This Row],[VEHIDCODE]]</f>
        <v>str_electric_Werkspoor_ESS_3200</v>
      </c>
      <c r="O364" s="7" t="b">
        <f>INDEX(PROPERTIES[IS_CONCEPT],MATCH(CONTROL[[#This Row],[VEHIDCODE]],PROPERTIES[VEHIDCODE],0))="IS_CONCEPT"</f>
        <v>0</v>
      </c>
      <c r="P364" s="7" t="b">
        <f>INDEX(PROPERTIES[EXCLUDE],MATCH(CONTROL[[#This Row],[VEHIDCODE]],PROPERTIES[VEHIDCODE],0))</f>
        <v>0</v>
      </c>
      <c r="Q3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5" spans="1:17" x14ac:dyDescent="0.35">
      <c r="A365" s="2" t="s">
        <v>2991</v>
      </c>
      <c r="B365" s="21" t="str">
        <f>MID(CONTROL[[#This Row],[VEHIDCODE]],FIND("_",CONTROL[[#This Row],[VEHIDCODE]])+1,LEN(CONTROL[[#This Row],[VEHIDCODE]]))</f>
        <v>Metropolitan_Vicerks_EM2</v>
      </c>
      <c r="C3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5">
        <v>6021</v>
      </c>
      <c r="F365" s="30" t="s">
        <v>3496</v>
      </c>
      <c r="G365" t="s">
        <v>1389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ISNUMBER(MATCH(CONTROL[[#This Row],[VEHIDCODE]],TRACK_TYPES[VEHIDCODE],0))</f>
        <v>1</v>
      </c>
      <c r="K365" t="b">
        <f>ISNUMBER(MATCH(CONTROL[[#This Row],[VEHIDCODE]],PROPERTIES[VEHIDCODE],0))</f>
        <v>1</v>
      </c>
      <c r="L365" t="b">
        <f>ISNUMBER(MATCH(CONTROL[[#This Row],[VEHIDCODE]],GRAPHICS_PROPERTIES[VEHIDCODE],0))</f>
        <v>1</v>
      </c>
      <c r="M365" s="21" t="str">
        <f>"item_"&amp;CONTROL[[#This Row],[VEHIDCODE]]</f>
        <v>item_electric_Metropolitan_Vicerks_EM2</v>
      </c>
      <c r="N365" s="21" t="str">
        <f>"str_"&amp;CONTROL[[#This Row],[VEHIDCODE]]</f>
        <v>str_electric_Metropolitan_Vicerks_EM2</v>
      </c>
      <c r="O365" s="7" t="b">
        <f>INDEX(PROPERTIES[IS_CONCEPT],MATCH(CONTROL[[#This Row],[VEHIDCODE]],PROPERTIES[VEHIDCODE],0))="IS_CONCEPT"</f>
        <v>0</v>
      </c>
      <c r="P365" s="7" t="b">
        <f>INDEX(PROPERTIES[EXCLUDE],MATCH(CONTROL[[#This Row],[VEHIDCODE]],PROPERTIES[VEHIDCODE],0))</f>
        <v>0</v>
      </c>
      <c r="Q3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6" spans="1:17" x14ac:dyDescent="0.35">
      <c r="A366" s="2" t="s">
        <v>2992</v>
      </c>
      <c r="B366" s="21" t="str">
        <f>MID(CONTROL[[#This Row],[VEHIDCODE]],FIND("_",CONTROL[[#This Row],[VEHIDCODE]])+1,LEN(CONTROL[[#This Row],[VEHIDCODE]]))</f>
        <v>NER_EE1</v>
      </c>
      <c r="C3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6">
        <v>6071</v>
      </c>
      <c r="F366" s="30" t="s">
        <v>380</v>
      </c>
      <c r="G366" t="s">
        <v>1390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ISNUMBER(MATCH(CONTROL[[#This Row],[VEHIDCODE]],TRACK_TYPES[VEHIDCODE],0))</f>
        <v>1</v>
      </c>
      <c r="K366" t="b">
        <f>ISNUMBER(MATCH(CONTROL[[#This Row],[VEHIDCODE]],PROPERTIES[VEHIDCODE],0))</f>
        <v>1</v>
      </c>
      <c r="L366" t="b">
        <f>ISNUMBER(MATCH(CONTROL[[#This Row],[VEHIDCODE]],GRAPHICS_PROPERTIES[VEHIDCODE],0))</f>
        <v>1</v>
      </c>
      <c r="M366" s="21" t="str">
        <f>"item_"&amp;CONTROL[[#This Row],[VEHIDCODE]]</f>
        <v>item_electric_NER_EE1</v>
      </c>
      <c r="N366" s="21" t="str">
        <f>"str_"&amp;CONTROL[[#This Row],[VEHIDCODE]]</f>
        <v>str_electric_NER_EE1</v>
      </c>
      <c r="O366" s="7" t="b">
        <f>INDEX(PROPERTIES[IS_CONCEPT],MATCH(CONTROL[[#This Row],[VEHIDCODE]],PROPERTIES[VEHIDCODE],0))="IS_CONCEPT"</f>
        <v>0</v>
      </c>
      <c r="P366" s="7" t="b">
        <f>INDEX(PROPERTIES[EXCLUDE],MATCH(CONTROL[[#This Row],[VEHIDCODE]],PROPERTIES[VEHIDCODE],0))</f>
        <v>0</v>
      </c>
      <c r="Q3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7" spans="1:17" x14ac:dyDescent="0.35">
      <c r="A367" s="2" t="s">
        <v>2993</v>
      </c>
      <c r="B367" s="21" t="str">
        <f>MID(CONTROL[[#This Row],[VEHIDCODE]],FIND("_",CONTROL[[#This Row],[VEHIDCODE]])+1,LEN(CONTROL[[#This Row],[VEHIDCODE]]))</f>
        <v>GE_ES_2</v>
      </c>
      <c r="C3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7">
        <v>6003</v>
      </c>
      <c r="F367" s="30" t="s">
        <v>2234</v>
      </c>
      <c r="G367" t="s">
        <v>1391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ISNUMBER(MATCH(CONTROL[[#This Row],[VEHIDCODE]],TRACK_TYPES[VEHIDCODE],0))</f>
        <v>1</v>
      </c>
      <c r="K367" t="b">
        <f>ISNUMBER(MATCH(CONTROL[[#This Row],[VEHIDCODE]],PROPERTIES[VEHIDCODE],0))</f>
        <v>1</v>
      </c>
      <c r="L367" t="b">
        <f>ISNUMBER(MATCH(CONTROL[[#This Row],[VEHIDCODE]],GRAPHICS_PROPERTIES[VEHIDCODE],0))</f>
        <v>1</v>
      </c>
      <c r="M367" s="21" t="str">
        <f>"item_"&amp;CONTROL[[#This Row],[VEHIDCODE]]</f>
        <v>item_electric_GE_ES_2</v>
      </c>
      <c r="N367" s="21" t="str">
        <f>"str_"&amp;CONTROL[[#This Row],[VEHIDCODE]]</f>
        <v>str_electric_GE_ES_2</v>
      </c>
      <c r="O367" s="7" t="b">
        <f>INDEX(PROPERTIES[IS_CONCEPT],MATCH(CONTROL[[#This Row],[VEHIDCODE]],PROPERTIES[VEHIDCODE],0))="IS_CONCEPT"</f>
        <v>0</v>
      </c>
      <c r="P367" s="7" t="b">
        <f>INDEX(PROPERTIES[EXCLUDE],MATCH(CONTROL[[#This Row],[VEHIDCODE]],PROPERTIES[VEHIDCODE],0))</f>
        <v>0</v>
      </c>
      <c r="Q3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68" spans="1:17" x14ac:dyDescent="0.35">
      <c r="A368" s="2" t="s">
        <v>2994</v>
      </c>
      <c r="B368" s="21" t="str">
        <f>MID(CONTROL[[#This Row],[VEHIDCODE]],FIND("_",CONTROL[[#This Row],[VEHIDCODE]])+1,LEN(CONTROL[[#This Row],[VEHIDCODE]]))</f>
        <v>GE_2_4_8_0_0_8_4_2_EP2</v>
      </c>
      <c r="C3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8">
        <v>6064</v>
      </c>
      <c r="F368" s="30" t="s">
        <v>2235</v>
      </c>
      <c r="G368" t="s">
        <v>1392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ISNUMBER(MATCH(CONTROL[[#This Row],[VEHIDCODE]],TRACK_TYPES[VEHIDCODE],0))</f>
        <v>1</v>
      </c>
      <c r="K368" t="b">
        <f>ISNUMBER(MATCH(CONTROL[[#This Row],[VEHIDCODE]],PROPERTIES[VEHIDCODE],0))</f>
        <v>1</v>
      </c>
      <c r="L368" t="b">
        <f>ISNUMBER(MATCH(CONTROL[[#This Row],[VEHIDCODE]],GRAPHICS_PROPERTIES[VEHIDCODE],0))</f>
        <v>1</v>
      </c>
      <c r="M368" s="21" t="str">
        <f>"item_"&amp;CONTROL[[#This Row],[VEHIDCODE]]</f>
        <v>item_electric_GE_2_4_8_0_0_8_4_2_EP2</v>
      </c>
      <c r="N368" s="21" t="str">
        <f>"str_"&amp;CONTROL[[#This Row],[VEHIDCODE]]</f>
        <v>str_electric_GE_2_4_8_0_0_8_4_2_EP2</v>
      </c>
      <c r="O368" s="7" t="b">
        <f>INDEX(PROPERTIES[IS_CONCEPT],MATCH(CONTROL[[#This Row],[VEHIDCODE]],PROPERTIES[VEHIDCODE],0))="IS_CONCEPT"</f>
        <v>0</v>
      </c>
      <c r="P368" s="7" t="b">
        <f>INDEX(PROPERTIES[EXCLUDE],MATCH(CONTROL[[#This Row],[VEHIDCODE]],PROPERTIES[VEHIDCODE],0))</f>
        <v>0</v>
      </c>
      <c r="Q3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69" spans="1:17" x14ac:dyDescent="0.35">
      <c r="A369" s="2" t="s">
        <v>2995</v>
      </c>
      <c r="B369" s="21" t="str">
        <f>MID(CONTROL[[#This Row],[VEHIDCODE]],FIND("_",CONTROL[[#This Row],[VEHIDCODE]])+1,LEN(CONTROL[[#This Row],[VEHIDCODE]]))</f>
        <v>EFE_E_28</v>
      </c>
      <c r="C3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69">
        <v>6006</v>
      </c>
      <c r="F369" s="30" t="s">
        <v>3533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ISNUMBER(MATCH(CONTROL[[#This Row],[VEHIDCODE]],TRACK_TYPES[VEHIDCODE],0))</f>
        <v>1</v>
      </c>
      <c r="K369" t="b">
        <f>ISNUMBER(MATCH(CONTROL[[#This Row],[VEHIDCODE]],PROPERTIES[VEHIDCODE],0))</f>
        <v>1</v>
      </c>
      <c r="L369" t="b">
        <f>ISNUMBER(MATCH(CONTROL[[#This Row],[VEHIDCODE]],GRAPHICS_PROPERTIES[VEHIDCODE],0))</f>
        <v>1</v>
      </c>
      <c r="M369" s="21" t="str">
        <f>"item_"&amp;CONTROL[[#This Row],[VEHIDCODE]]</f>
        <v>item_electric_EFE_E_28</v>
      </c>
      <c r="N369" s="21" t="str">
        <f>"str_"&amp;CONTROL[[#This Row],[VEHIDCODE]]</f>
        <v>str_electric_EFE_E_28</v>
      </c>
      <c r="O369" s="7" t="b">
        <f>INDEX(PROPERTIES[IS_CONCEPT],MATCH(CONTROL[[#This Row],[VEHIDCODE]],PROPERTIES[VEHIDCODE],0))="IS_CONCEPT"</f>
        <v>0</v>
      </c>
      <c r="P369" s="7" t="b">
        <f>INDEX(PROPERTIES[EXCLUDE],MATCH(CONTROL[[#This Row],[VEHIDCODE]],PROPERTIES[VEHIDCODE],0))</f>
        <v>0</v>
      </c>
      <c r="Q3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0" spans="1:17" x14ac:dyDescent="0.35">
      <c r="A370" s="2" t="s">
        <v>2996</v>
      </c>
      <c r="B370" s="21" t="str">
        <f>MID(CONTROL[[#This Row],[VEHIDCODE]],FIND("_",CONTROL[[#This Row],[VEHIDCODE]])+1,LEN(CONTROL[[#This Row],[VEHIDCODE]]))</f>
        <v>Breda_E_428</v>
      </c>
      <c r="C3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0">
        <v>6013</v>
      </c>
      <c r="F370" s="30" t="s">
        <v>2236</v>
      </c>
      <c r="G370" t="s">
        <v>1393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ISNUMBER(MATCH(CONTROL[[#This Row],[VEHIDCODE]],TRACK_TYPES[VEHIDCODE],0))</f>
        <v>1</v>
      </c>
      <c r="K370" t="b">
        <f>ISNUMBER(MATCH(CONTROL[[#This Row],[VEHIDCODE]],PROPERTIES[VEHIDCODE],0))</f>
        <v>1</v>
      </c>
      <c r="L370" t="b">
        <f>ISNUMBER(MATCH(CONTROL[[#This Row],[VEHIDCODE]],GRAPHICS_PROPERTIES[VEHIDCODE],0))</f>
        <v>1</v>
      </c>
      <c r="M370" s="21" t="str">
        <f>"item_"&amp;CONTROL[[#This Row],[VEHIDCODE]]</f>
        <v>item_electric_Breda_E_428</v>
      </c>
      <c r="N370" s="21" t="str">
        <f>"str_"&amp;CONTROL[[#This Row],[VEHIDCODE]]</f>
        <v>str_electric_Breda_E_428</v>
      </c>
      <c r="O370" s="7" t="b">
        <f>INDEX(PROPERTIES[IS_CONCEPT],MATCH(CONTROL[[#This Row],[VEHIDCODE]],PROPERTIES[VEHIDCODE],0))="IS_CONCEPT"</f>
        <v>0</v>
      </c>
      <c r="P370" s="7" t="b">
        <f>INDEX(PROPERTIES[EXCLUDE],MATCH(CONTROL[[#This Row],[VEHIDCODE]],PROPERTIES[VEHIDCODE],0))</f>
        <v>0</v>
      </c>
      <c r="Q3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1" spans="1:17" x14ac:dyDescent="0.35">
      <c r="A371" s="2" t="s">
        <v>2997</v>
      </c>
      <c r="B371" s="21" t="str">
        <f>MID(CONTROL[[#This Row],[VEHIDCODE]],FIND("_",CONTROL[[#This Row],[VEHIDCODE]])+1,LEN(CONTROL[[#This Row],[VEHIDCODE]]))</f>
        <v>Werkspoor_SAR_ES</v>
      </c>
      <c r="C3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1">
        <v>6016</v>
      </c>
      <c r="F371" s="30" t="s">
        <v>2237</v>
      </c>
      <c r="G371" t="s">
        <v>1394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ISNUMBER(MATCH(CONTROL[[#This Row],[VEHIDCODE]],TRACK_TYPES[VEHIDCODE],0))</f>
        <v>1</v>
      </c>
      <c r="K371" t="b">
        <f>ISNUMBER(MATCH(CONTROL[[#This Row],[VEHIDCODE]],PROPERTIES[VEHIDCODE],0))</f>
        <v>1</v>
      </c>
      <c r="L371" t="b">
        <f>ISNUMBER(MATCH(CONTROL[[#This Row],[VEHIDCODE]],GRAPHICS_PROPERTIES[VEHIDCODE],0))</f>
        <v>1</v>
      </c>
      <c r="M371" s="21" t="str">
        <f>"item_"&amp;CONTROL[[#This Row],[VEHIDCODE]]</f>
        <v>item_electric_Werkspoor_SAR_ES</v>
      </c>
      <c r="N371" s="21" t="str">
        <f>"str_"&amp;CONTROL[[#This Row],[VEHIDCODE]]</f>
        <v>str_electric_Werkspoor_SAR_ES</v>
      </c>
      <c r="O371" s="7" t="b">
        <f>INDEX(PROPERTIES[IS_CONCEPT],MATCH(CONTROL[[#This Row],[VEHIDCODE]],PROPERTIES[VEHIDCODE],0))="IS_CONCEPT"</f>
        <v>0</v>
      </c>
      <c r="P371" s="7" t="b">
        <f>INDEX(PROPERTIES[EXCLUDE],MATCH(CONTROL[[#This Row],[VEHIDCODE]],PROPERTIES[VEHIDCODE],0))</f>
        <v>0</v>
      </c>
      <c r="Q3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2" spans="1:17" x14ac:dyDescent="0.35">
      <c r="A372" s="2" t="s">
        <v>2998</v>
      </c>
      <c r="B372" s="21" t="str">
        <f>MID(CONTROL[[#This Row],[VEHIDCODE]],FIND("_",CONTROL[[#This Row],[VEHIDCODE]])+1,LEN(CONTROL[[#This Row],[VEHIDCODE]]))</f>
        <v>English_Electric_E__AEI_E_</v>
      </c>
      <c r="C3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2">
        <v>6084</v>
      </c>
      <c r="F372" s="30" t="s">
        <v>1945</v>
      </c>
      <c r="G372" t="s">
        <v>1395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ISNUMBER(MATCH(CONTROL[[#This Row],[VEHIDCODE]],TRACK_TYPES[VEHIDCODE],0))</f>
        <v>1</v>
      </c>
      <c r="K372" t="b">
        <f>ISNUMBER(MATCH(CONTROL[[#This Row],[VEHIDCODE]],PROPERTIES[VEHIDCODE],0))</f>
        <v>1</v>
      </c>
      <c r="L372" t="b">
        <f>ISNUMBER(MATCH(CONTROL[[#This Row],[VEHIDCODE]],GRAPHICS_PROPERTIES[VEHIDCODE],0))</f>
        <v>1</v>
      </c>
      <c r="M372" s="21" t="str">
        <f>"item_"&amp;CONTROL[[#This Row],[VEHIDCODE]]</f>
        <v>item_electric_English_Electric_E__AEI_E_</v>
      </c>
      <c r="N372" s="21" t="str">
        <f>"str_"&amp;CONTROL[[#This Row],[VEHIDCODE]]</f>
        <v>str_electric_English_Electric_E__AEI_E_</v>
      </c>
      <c r="O372" s="7" t="b">
        <f>INDEX(PROPERTIES[IS_CONCEPT],MATCH(CONTROL[[#This Row],[VEHIDCODE]],PROPERTIES[VEHIDCODE],0))="IS_CONCEPT"</f>
        <v>0</v>
      </c>
      <c r="P372" s="7" t="b">
        <f>INDEX(PROPERTIES[EXCLUDE],MATCH(CONTROL[[#This Row],[VEHIDCODE]],PROPERTIES[VEHIDCODE],0))</f>
        <v>0</v>
      </c>
      <c r="Q3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3" spans="1:17" x14ac:dyDescent="0.35">
      <c r="A373" s="2" t="s">
        <v>2999</v>
      </c>
      <c r="B373" s="21" t="str">
        <f>MID(CONTROL[[#This Row],[VEHIDCODE]],FIND("_",CONTROL[[#This Row],[VEHIDCODE]])+1,LEN(CONTROL[[#This Row],[VEHIDCODE]]))</f>
        <v>HCP_203E</v>
      </c>
      <c r="C3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3">
        <v>6037</v>
      </c>
      <c r="F373" s="30" t="s">
        <v>1948</v>
      </c>
      <c r="G373" t="s">
        <v>1396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ISNUMBER(MATCH(CONTROL[[#This Row],[VEHIDCODE]],TRACK_TYPES[VEHIDCODE],0))</f>
        <v>1</v>
      </c>
      <c r="K373" t="b">
        <f>ISNUMBER(MATCH(CONTROL[[#This Row],[VEHIDCODE]],PROPERTIES[VEHIDCODE],0))</f>
        <v>1</v>
      </c>
      <c r="L373" t="b">
        <f>ISNUMBER(MATCH(CONTROL[[#This Row],[VEHIDCODE]],GRAPHICS_PROPERTIES[VEHIDCODE],0))</f>
        <v>1</v>
      </c>
      <c r="M373" s="21" t="str">
        <f>"item_"&amp;CONTROL[[#This Row],[VEHIDCODE]]</f>
        <v>item_electric_HCP_203E</v>
      </c>
      <c r="N373" s="21" t="str">
        <f>"str_"&amp;CONTROL[[#This Row],[VEHIDCODE]]</f>
        <v>str_electric_HCP_203E</v>
      </c>
      <c r="O373" s="7" t="b">
        <f>INDEX(PROPERTIES[IS_CONCEPT],MATCH(CONTROL[[#This Row],[VEHIDCODE]],PROPERTIES[VEHIDCODE],0))="IS_CONCEPT"</f>
        <v>0</v>
      </c>
      <c r="P373" s="7" t="b">
        <f>INDEX(PROPERTIES[EXCLUDE],MATCH(CONTROL[[#This Row],[VEHIDCODE]],PROPERTIES[VEHIDCODE],0))</f>
        <v>0</v>
      </c>
      <c r="Q3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374" spans="1:17" x14ac:dyDescent="0.35">
      <c r="A374" s="2" t="s">
        <v>3000</v>
      </c>
      <c r="B374" s="21" t="str">
        <f>MID(CONTROL[[#This Row],[VEHIDCODE]],FIND("_",CONTROL[[#This Row],[VEHIDCODE]])+1,LEN(CONTROL[[#This Row],[VEHIDCODE]]))</f>
        <v>Pafawag_104E</v>
      </c>
      <c r="C3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4">
        <v>6114</v>
      </c>
      <c r="F374" s="30" t="s">
        <v>1950</v>
      </c>
      <c r="G374" t="s">
        <v>1397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ISNUMBER(MATCH(CONTROL[[#This Row],[VEHIDCODE]],TRACK_TYPES[VEHIDCODE],0))</f>
        <v>1</v>
      </c>
      <c r="K374" t="b">
        <f>ISNUMBER(MATCH(CONTROL[[#This Row],[VEHIDCODE]],PROPERTIES[VEHIDCODE],0))</f>
        <v>1</v>
      </c>
      <c r="L374" t="b">
        <f>ISNUMBER(MATCH(CONTROL[[#This Row],[VEHIDCODE]],GRAPHICS_PROPERTIES[VEHIDCODE],0))</f>
        <v>1</v>
      </c>
      <c r="M374" s="21" t="str">
        <f>"item_"&amp;CONTROL[[#This Row],[VEHIDCODE]]</f>
        <v>item_electric_Pafawag_104E</v>
      </c>
      <c r="N374" s="21" t="str">
        <f>"str_"&amp;CONTROL[[#This Row],[VEHIDCODE]]</f>
        <v>str_electric_Pafawag_104E</v>
      </c>
      <c r="O374" s="7" t="b">
        <f>INDEX(PROPERTIES[IS_CONCEPT],MATCH(CONTROL[[#This Row],[VEHIDCODE]],PROPERTIES[VEHIDCODE],0))="IS_CONCEPT"</f>
        <v>0</v>
      </c>
      <c r="P374" s="7" t="b">
        <f>INDEX(PROPERTIES[EXCLUDE],MATCH(CONTROL[[#This Row],[VEHIDCODE]],PROPERTIES[VEHIDCODE],0))</f>
        <v>0</v>
      </c>
      <c r="Q3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5" spans="1:17" x14ac:dyDescent="0.35">
      <c r="A375" s="2" t="s">
        <v>3001</v>
      </c>
      <c r="B375" s="21" t="str">
        <f>MID(CONTROL[[#This Row],[VEHIDCODE]],FIND("_",CONTROL[[#This Row],[VEHIDCODE]])+1,LEN(CONTROL[[#This Row],[VEHIDCODE]]))</f>
        <v>Skoda_98E</v>
      </c>
      <c r="C3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5">
        <v>6116</v>
      </c>
      <c r="F375" s="30" t="s">
        <v>1952</v>
      </c>
      <c r="G375" t="s">
        <v>1398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ISNUMBER(MATCH(CONTROL[[#This Row],[VEHIDCODE]],TRACK_TYPES[VEHIDCODE],0))</f>
        <v>1</v>
      </c>
      <c r="K375" t="b">
        <f>ISNUMBER(MATCH(CONTROL[[#This Row],[VEHIDCODE]],PROPERTIES[VEHIDCODE],0))</f>
        <v>1</v>
      </c>
      <c r="L375" t="b">
        <f>ISNUMBER(MATCH(CONTROL[[#This Row],[VEHIDCODE]],GRAPHICS_PROPERTIES[VEHIDCODE],0))</f>
        <v>1</v>
      </c>
      <c r="M375" s="21" t="str">
        <f>"item_"&amp;CONTROL[[#This Row],[VEHIDCODE]]</f>
        <v>item_electric_Skoda_98E</v>
      </c>
      <c r="N375" s="21" t="str">
        <f>"str_"&amp;CONTROL[[#This Row],[VEHIDCODE]]</f>
        <v>str_electric_Skoda_98E</v>
      </c>
      <c r="O375" s="7" t="b">
        <f>INDEX(PROPERTIES[IS_CONCEPT],MATCH(CONTROL[[#This Row],[VEHIDCODE]],PROPERTIES[VEHIDCODE],0))="IS_CONCEPT"</f>
        <v>0</v>
      </c>
      <c r="P375" s="7" t="b">
        <f>INDEX(PROPERTIES[EXCLUDE],MATCH(CONTROL[[#This Row],[VEHIDCODE]],PROPERTIES[VEHIDCODE],0))</f>
        <v>0</v>
      </c>
      <c r="Q3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6" spans="1:17" x14ac:dyDescent="0.35">
      <c r="A376" s="2" t="s">
        <v>3002</v>
      </c>
      <c r="B376" s="21" t="str">
        <f>MID(CONTROL[[#This Row],[VEHIDCODE]],FIND("_",CONTROL[[#This Row],[VEHIDCODE]])+1,LEN(CONTROL[[#This Row],[VEHIDCODE]]))</f>
        <v>TIBB_E_646</v>
      </c>
      <c r="C3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6">
        <v>6027</v>
      </c>
      <c r="F376" s="30" t="s">
        <v>2238</v>
      </c>
      <c r="G376" t="s">
        <v>1399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ISNUMBER(MATCH(CONTROL[[#This Row],[VEHIDCODE]],TRACK_TYPES[VEHIDCODE],0))</f>
        <v>1</v>
      </c>
      <c r="K376" t="b">
        <f>ISNUMBER(MATCH(CONTROL[[#This Row],[VEHIDCODE]],PROPERTIES[VEHIDCODE],0))</f>
        <v>1</v>
      </c>
      <c r="L376" t="b">
        <f>ISNUMBER(MATCH(CONTROL[[#This Row],[VEHIDCODE]],GRAPHICS_PROPERTIES[VEHIDCODE],0))</f>
        <v>1</v>
      </c>
      <c r="M376" s="21" t="str">
        <f>"item_"&amp;CONTROL[[#This Row],[VEHIDCODE]]</f>
        <v>item_electric_TIBB_E_646</v>
      </c>
      <c r="N376" s="21" t="str">
        <f>"str_"&amp;CONTROL[[#This Row],[VEHIDCODE]]</f>
        <v>str_electric_TIBB_E_646</v>
      </c>
      <c r="O376" s="7" t="b">
        <f>INDEX(PROPERTIES[IS_CONCEPT],MATCH(CONTROL[[#This Row],[VEHIDCODE]],PROPERTIES[VEHIDCODE],0))="IS_CONCEPT"</f>
        <v>0</v>
      </c>
      <c r="P376" s="7" t="b">
        <f>INDEX(PROPERTIES[EXCLUDE],MATCH(CONTROL[[#This Row],[VEHIDCODE]],PROPERTIES[VEHIDCODE],0))</f>
        <v>0</v>
      </c>
      <c r="Q3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377" spans="1:17" x14ac:dyDescent="0.35">
      <c r="A377" s="2" t="s">
        <v>3003</v>
      </c>
      <c r="B377" s="21" t="str">
        <f>MID(CONTROL[[#This Row],[VEHIDCODE]],FIND("_",CONTROL[[#This Row],[VEHIDCODE]])+1,LEN(CONTROL[[#This Row],[VEHIDCODE]]))</f>
        <v>Breda_E_424</v>
      </c>
      <c r="C3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7">
        <v>6077</v>
      </c>
      <c r="F377" s="30" t="s">
        <v>2239</v>
      </c>
      <c r="G377" t="s">
        <v>1400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ISNUMBER(MATCH(CONTROL[[#This Row],[VEHIDCODE]],TRACK_TYPES[VEHIDCODE],0))</f>
        <v>1</v>
      </c>
      <c r="K377" t="b">
        <f>ISNUMBER(MATCH(CONTROL[[#This Row],[VEHIDCODE]],PROPERTIES[VEHIDCODE],0))</f>
        <v>1</v>
      </c>
      <c r="L377" t="b">
        <f>ISNUMBER(MATCH(CONTROL[[#This Row],[VEHIDCODE]],GRAPHICS_PROPERTIES[VEHIDCODE],0))</f>
        <v>1</v>
      </c>
      <c r="M377" s="21" t="str">
        <f>"item_"&amp;CONTROL[[#This Row],[VEHIDCODE]]</f>
        <v>item_electric_Breda_E_424</v>
      </c>
      <c r="N377" s="21" t="str">
        <f>"str_"&amp;CONTROL[[#This Row],[VEHIDCODE]]</f>
        <v>str_electric_Breda_E_424</v>
      </c>
      <c r="O377" s="7" t="b">
        <f>INDEX(PROPERTIES[IS_CONCEPT],MATCH(CONTROL[[#This Row],[VEHIDCODE]],PROPERTIES[VEHIDCODE],0))="IS_CONCEPT"</f>
        <v>0</v>
      </c>
      <c r="P377" s="7" t="b">
        <f>INDEX(PROPERTIES[EXCLUDE],MATCH(CONTROL[[#This Row],[VEHIDCODE]],PROPERTIES[VEHIDCODE],0))</f>
        <v>0</v>
      </c>
      <c r="Q3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8" spans="1:17" x14ac:dyDescent="0.35">
      <c r="A378" s="2" t="s">
        <v>3004</v>
      </c>
      <c r="B378" s="21" t="str">
        <f>MID(CONTROL[[#This Row],[VEHIDCODE]],FIND("_",CONTROL[[#This Row],[VEHIDCODE]])+1,LEN(CONTROL[[#This Row],[VEHIDCODE]]))</f>
        <v>Savigliano_E_444</v>
      </c>
      <c r="C3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8">
        <v>6090</v>
      </c>
      <c r="F378" s="30" t="s">
        <v>2240</v>
      </c>
      <c r="G378" t="s">
        <v>1401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ISNUMBER(MATCH(CONTROL[[#This Row],[VEHIDCODE]],TRACK_TYPES[VEHIDCODE],0))</f>
        <v>1</v>
      </c>
      <c r="K378" t="b">
        <f>ISNUMBER(MATCH(CONTROL[[#This Row],[VEHIDCODE]],PROPERTIES[VEHIDCODE],0))</f>
        <v>1</v>
      </c>
      <c r="L378" t="b">
        <f>ISNUMBER(MATCH(CONTROL[[#This Row],[VEHIDCODE]],GRAPHICS_PROPERTIES[VEHIDCODE],0))</f>
        <v>1</v>
      </c>
      <c r="M378" s="21" t="str">
        <f>"item_"&amp;CONTROL[[#This Row],[VEHIDCODE]]</f>
        <v>item_electric_Savigliano_E_444</v>
      </c>
      <c r="N378" s="21" t="str">
        <f>"str_"&amp;CONTROL[[#This Row],[VEHIDCODE]]</f>
        <v>str_electric_Savigliano_E_444</v>
      </c>
      <c r="O378" s="7" t="b">
        <f>INDEX(PROPERTIES[IS_CONCEPT],MATCH(CONTROL[[#This Row],[VEHIDCODE]],PROPERTIES[VEHIDCODE],0))="IS_CONCEPT"</f>
        <v>0</v>
      </c>
      <c r="P378" s="7" t="b">
        <f>INDEX(PROPERTIES[EXCLUDE],MATCH(CONTROL[[#This Row],[VEHIDCODE]],PROPERTIES[VEHIDCODE],0))</f>
        <v>0</v>
      </c>
      <c r="Q3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79" spans="1:17" x14ac:dyDescent="0.35">
      <c r="A379" s="2" t="s">
        <v>3005</v>
      </c>
      <c r="B379" s="21" t="str">
        <f>MID(CONTROL[[#This Row],[VEHIDCODE]],FIND("_",CONTROL[[#This Row],[VEHIDCODE]])+1,LEN(CONTROL[[#This Row],[VEHIDCODE]]))</f>
        <v>Fiat_E_633</v>
      </c>
      <c r="C3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79">
        <v>6106</v>
      </c>
      <c r="F379" s="30" t="s">
        <v>2241</v>
      </c>
      <c r="G379" t="s">
        <v>1402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ISNUMBER(MATCH(CONTROL[[#This Row],[VEHIDCODE]],TRACK_TYPES[VEHIDCODE],0))</f>
        <v>1</v>
      </c>
      <c r="K379" t="b">
        <f>ISNUMBER(MATCH(CONTROL[[#This Row],[VEHIDCODE]],PROPERTIES[VEHIDCODE],0))</f>
        <v>1</v>
      </c>
      <c r="L379" t="b">
        <f>ISNUMBER(MATCH(CONTROL[[#This Row],[VEHIDCODE]],GRAPHICS_PROPERTIES[VEHIDCODE],0))</f>
        <v>1</v>
      </c>
      <c r="M379" s="21" t="str">
        <f>"item_"&amp;CONTROL[[#This Row],[VEHIDCODE]]</f>
        <v>item_electric_Fiat_E_633</v>
      </c>
      <c r="N379" s="21" t="str">
        <f>"str_"&amp;CONTROL[[#This Row],[VEHIDCODE]]</f>
        <v>str_electric_Fiat_E_633</v>
      </c>
      <c r="O379" s="7" t="b">
        <f>INDEX(PROPERTIES[IS_CONCEPT],MATCH(CONTROL[[#This Row],[VEHIDCODE]],PROPERTIES[VEHIDCODE],0))="IS_CONCEPT"</f>
        <v>0</v>
      </c>
      <c r="P379" s="7" t="b">
        <f>INDEX(PROPERTIES[EXCLUDE],MATCH(CONTROL[[#This Row],[VEHIDCODE]],PROPERTIES[VEHIDCODE],0))</f>
        <v>0</v>
      </c>
      <c r="Q3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0" spans="1:17" x14ac:dyDescent="0.35">
      <c r="A380" s="2" t="s">
        <v>3006</v>
      </c>
      <c r="B380" s="21" t="str">
        <f>MID(CONTROL[[#This Row],[VEHIDCODE]],FIND("_",CONTROL[[#This Row],[VEHIDCODE]])+1,LEN(CONTROL[[#This Row],[VEHIDCODE]]))</f>
        <v>BN_ACEC_25_5</v>
      </c>
      <c r="C3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0">
        <v>6082</v>
      </c>
      <c r="F380" s="30" t="s">
        <v>2242</v>
      </c>
      <c r="G380" t="s">
        <v>1403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ISNUMBER(MATCH(CONTROL[[#This Row],[VEHIDCODE]],TRACK_TYPES[VEHIDCODE],0))</f>
        <v>1</v>
      </c>
      <c r="K380" t="b">
        <f>ISNUMBER(MATCH(CONTROL[[#This Row],[VEHIDCODE]],PROPERTIES[VEHIDCODE],0))</f>
        <v>1</v>
      </c>
      <c r="L380" t="b">
        <f>ISNUMBER(MATCH(CONTROL[[#This Row],[VEHIDCODE]],GRAPHICS_PROPERTIES[VEHIDCODE],0))</f>
        <v>1</v>
      </c>
      <c r="M380" s="21" t="str">
        <f>"item_"&amp;CONTROL[[#This Row],[VEHIDCODE]]</f>
        <v>item_electric_BN_ACEC_25_5</v>
      </c>
      <c r="N380" s="21" t="str">
        <f>"str_"&amp;CONTROL[[#This Row],[VEHIDCODE]]</f>
        <v>str_electric_BN_ACEC_25_5</v>
      </c>
      <c r="O380" s="7" t="b">
        <f>INDEX(PROPERTIES[IS_CONCEPT],MATCH(CONTROL[[#This Row],[VEHIDCODE]],PROPERTIES[VEHIDCODE],0))="IS_CONCEPT"</f>
        <v>0</v>
      </c>
      <c r="P380" s="7" t="b">
        <f>INDEX(PROPERTIES[EXCLUDE],MATCH(CONTROL[[#This Row],[VEHIDCODE]],PROPERTIES[VEHIDCODE],0))</f>
        <v>0</v>
      </c>
      <c r="Q3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1" spans="1:17" x14ac:dyDescent="0.35">
      <c r="A381" s="2" t="s">
        <v>3007</v>
      </c>
      <c r="B381" s="21" t="str">
        <f>MID(CONTROL[[#This Row],[VEHIDCODE]],FIND("_",CONTROL[[#This Row],[VEHIDCODE]])+1,LEN(CONTROL[[#This Row],[VEHIDCODE]]))</f>
        <v>Krauss_Maffei_CAF_250</v>
      </c>
      <c r="C3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1">
        <v>6110</v>
      </c>
      <c r="F381" s="30" t="s">
        <v>2243</v>
      </c>
      <c r="G381" t="s">
        <v>1404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ISNUMBER(MATCH(CONTROL[[#This Row],[VEHIDCODE]],TRACK_TYPES[VEHIDCODE],0))</f>
        <v>1</v>
      </c>
      <c r="K381" t="b">
        <f>ISNUMBER(MATCH(CONTROL[[#This Row],[VEHIDCODE]],PROPERTIES[VEHIDCODE],0))</f>
        <v>1</v>
      </c>
      <c r="L381" t="b">
        <f>ISNUMBER(MATCH(CONTROL[[#This Row],[VEHIDCODE]],GRAPHICS_PROPERTIES[VEHIDCODE],0))</f>
        <v>1</v>
      </c>
      <c r="M381" s="21" t="str">
        <f>"item_"&amp;CONTROL[[#This Row],[VEHIDCODE]]</f>
        <v>item_electric_Krauss_Maffei_CAF_250</v>
      </c>
      <c r="N381" s="21" t="str">
        <f>"str_"&amp;CONTROL[[#This Row],[VEHIDCODE]]</f>
        <v>str_electric_Krauss_Maffei_CAF_250</v>
      </c>
      <c r="O381" s="7" t="b">
        <f>INDEX(PROPERTIES[IS_CONCEPT],MATCH(CONTROL[[#This Row],[VEHIDCODE]],PROPERTIES[VEHIDCODE],0))="IS_CONCEPT"</f>
        <v>0</v>
      </c>
      <c r="P381" s="7" t="b">
        <f>INDEX(PROPERTIES[EXCLUDE],MATCH(CONTROL[[#This Row],[VEHIDCODE]],PROPERTIES[VEHIDCODE],0))</f>
        <v>0</v>
      </c>
      <c r="Q3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2" spans="1:17" x14ac:dyDescent="0.35">
      <c r="A382" s="2" t="s">
        <v>3008</v>
      </c>
      <c r="B382" s="21" t="str">
        <f>MID(CONTROL[[#This Row],[VEHIDCODE]],FIND("_",CONTROL[[#This Row],[VEHIDCODE]])+1,LEN(CONTROL[[#This Row],[VEHIDCODE]]))</f>
        <v>EFE_E_29</v>
      </c>
      <c r="C3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2">
        <v>6100</v>
      </c>
      <c r="F382" s="30" t="s">
        <v>3532</v>
      </c>
      <c r="G382" t="s">
        <v>1796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ISNUMBER(MATCH(CONTROL[[#This Row],[VEHIDCODE]],TRACK_TYPES[VEHIDCODE],0))</f>
        <v>1</v>
      </c>
      <c r="K382" t="b">
        <f>ISNUMBER(MATCH(CONTROL[[#This Row],[VEHIDCODE]],PROPERTIES[VEHIDCODE],0))</f>
        <v>1</v>
      </c>
      <c r="L382" t="b">
        <f>ISNUMBER(MATCH(CONTROL[[#This Row],[VEHIDCODE]],GRAPHICS_PROPERTIES[VEHIDCODE],0))</f>
        <v>1</v>
      </c>
      <c r="M382" s="21" t="str">
        <f>"item_"&amp;CONTROL[[#This Row],[VEHIDCODE]]</f>
        <v>item_electric_EFE_E_29</v>
      </c>
      <c r="N382" s="21" t="str">
        <f>"str_"&amp;CONTROL[[#This Row],[VEHIDCODE]]</f>
        <v>str_electric_EFE_E_29</v>
      </c>
      <c r="O382" s="7" t="b">
        <f>INDEX(PROPERTIES[IS_CONCEPT],MATCH(CONTROL[[#This Row],[VEHIDCODE]],PROPERTIES[VEHIDCODE],0))="IS_CONCEPT"</f>
        <v>0</v>
      </c>
      <c r="P382" s="7" t="b">
        <f>INDEX(PROPERTIES[EXCLUDE],MATCH(CONTROL[[#This Row],[VEHIDCODE]],PROPERTIES[VEHIDCODE],0))</f>
        <v>1</v>
      </c>
      <c r="Q3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83" spans="1:17" x14ac:dyDescent="0.35">
      <c r="A383" s="2" t="s">
        <v>3009</v>
      </c>
      <c r="B383" s="21" t="str">
        <f>MID(CONTROL[[#This Row],[VEHIDCODE]],FIND("_",CONTROL[[#This Row],[VEHIDCODE]])+1,LEN(CONTROL[[#This Row],[VEHIDCODE]]))</f>
        <v>EFE_E_17</v>
      </c>
      <c r="C3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3">
        <v>6126</v>
      </c>
      <c r="F383" s="30" t="s">
        <v>3530</v>
      </c>
      <c r="G383" t="s">
        <v>3531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ISNUMBER(MATCH(CONTROL[[#This Row],[VEHIDCODE]],TRACK_TYPES[VEHIDCODE],0))</f>
        <v>1</v>
      </c>
      <c r="K383" t="b">
        <f>ISNUMBER(MATCH(CONTROL[[#This Row],[VEHIDCODE]],PROPERTIES[VEHIDCODE],0))</f>
        <v>1</v>
      </c>
      <c r="L383" t="b">
        <f>ISNUMBER(MATCH(CONTROL[[#This Row],[VEHIDCODE]],GRAPHICS_PROPERTIES[VEHIDCODE],0))</f>
        <v>1</v>
      </c>
      <c r="M383" s="21" t="str">
        <f>"item_"&amp;CONTROL[[#This Row],[VEHIDCODE]]</f>
        <v>item_electric_EFE_E_17</v>
      </c>
      <c r="N383" s="21" t="str">
        <f>"str_"&amp;CONTROL[[#This Row],[VEHIDCODE]]</f>
        <v>str_electric_EFE_E_17</v>
      </c>
      <c r="O383" s="7" t="b">
        <f>INDEX(PROPERTIES[IS_CONCEPT],MATCH(CONTROL[[#This Row],[VEHIDCODE]],PROPERTIES[VEHIDCODE],0))="IS_CONCEPT"</f>
        <v>0</v>
      </c>
      <c r="P383" s="7" t="b">
        <f>INDEX(PROPERTIES[EXCLUDE],MATCH(CONTROL[[#This Row],[VEHIDCODE]],PROPERTIES[VEHIDCODE],0))</f>
        <v>0</v>
      </c>
      <c r="Q3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4" spans="1:17" x14ac:dyDescent="0.35">
      <c r="A384" s="2" t="s">
        <v>3010</v>
      </c>
      <c r="B384" s="21" t="str">
        <f>MID(CONTROL[[#This Row],[VEHIDCODE]],FIND("_",CONTROL[[#This Row],[VEHIDCODE]])+1,LEN(CONTROL[[#This Row],[VEHIDCODE]]))</f>
        <v>Alsthom_E_700</v>
      </c>
      <c r="C3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4">
        <v>6099</v>
      </c>
      <c r="F384" s="30" t="s">
        <v>3515</v>
      </c>
      <c r="G384" t="s">
        <v>3516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ISNUMBER(MATCH(CONTROL[[#This Row],[VEHIDCODE]],TRACK_TYPES[VEHIDCODE],0))</f>
        <v>1</v>
      </c>
      <c r="K384" t="b">
        <f>ISNUMBER(MATCH(CONTROL[[#This Row],[VEHIDCODE]],PROPERTIES[VEHIDCODE],0))</f>
        <v>1</v>
      </c>
      <c r="L384" t="b">
        <f>ISNUMBER(MATCH(CONTROL[[#This Row],[VEHIDCODE]],GRAPHICS_PROPERTIES[VEHIDCODE],0))</f>
        <v>1</v>
      </c>
      <c r="M384" s="21" t="str">
        <f>"item_"&amp;CONTROL[[#This Row],[VEHIDCODE]]</f>
        <v>item_electric_Alsthom_E_700</v>
      </c>
      <c r="N384" s="21" t="str">
        <f>"str_"&amp;CONTROL[[#This Row],[VEHIDCODE]]</f>
        <v>str_electric_Alsthom_E_700</v>
      </c>
      <c r="O384" s="7" t="b">
        <f>INDEX(PROPERTIES[IS_CONCEPT],MATCH(CONTROL[[#This Row],[VEHIDCODE]],PROPERTIES[VEHIDCODE],0))="IS_CONCEPT"</f>
        <v>0</v>
      </c>
      <c r="P384" s="7" t="b">
        <f>INDEX(PROPERTIES[EXCLUDE],MATCH(CONTROL[[#This Row],[VEHIDCODE]],PROPERTIES[VEHIDCODE],0))</f>
        <v>0</v>
      </c>
      <c r="Q3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5" spans="1:17" x14ac:dyDescent="0.35">
      <c r="A385" s="2" t="s">
        <v>3011</v>
      </c>
      <c r="B385" s="21" t="str">
        <f>MID(CONTROL[[#This Row],[VEHIDCODE]],FIND("_",CONTROL[[#This Row],[VEHIDCODE]])+1,LEN(CONTROL[[#This Row],[VEHIDCODE]]))</f>
        <v>Vulcan_Foundry_EE_EM_1</v>
      </c>
      <c r="C3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5">
        <v>6026</v>
      </c>
      <c r="F385" s="30" t="s">
        <v>2244</v>
      </c>
      <c r="G385" t="s">
        <v>1405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ISNUMBER(MATCH(CONTROL[[#This Row],[VEHIDCODE]],TRACK_TYPES[VEHIDCODE],0))</f>
        <v>1</v>
      </c>
      <c r="K385" t="b">
        <f>ISNUMBER(MATCH(CONTROL[[#This Row],[VEHIDCODE]],PROPERTIES[VEHIDCODE],0))</f>
        <v>1</v>
      </c>
      <c r="L385" t="b">
        <f>ISNUMBER(MATCH(CONTROL[[#This Row],[VEHIDCODE]],GRAPHICS_PROPERTIES[VEHIDCODE],0))</f>
        <v>1</v>
      </c>
      <c r="M385" s="21" t="str">
        <f>"item_"&amp;CONTROL[[#This Row],[VEHIDCODE]]</f>
        <v>item_electric_Vulcan_Foundry_EE_EM_1</v>
      </c>
      <c r="N385" s="21" t="str">
        <f>"str_"&amp;CONTROL[[#This Row],[VEHIDCODE]]</f>
        <v>str_electric_Vulcan_Foundry_EE_EM_1</v>
      </c>
      <c r="O385" s="7" t="b">
        <f>INDEX(PROPERTIES[IS_CONCEPT],MATCH(CONTROL[[#This Row],[VEHIDCODE]],PROPERTIES[VEHIDCODE],0))="IS_CONCEPT"</f>
        <v>0</v>
      </c>
      <c r="P385" s="7" t="b">
        <f>INDEX(PROPERTIES[EXCLUDE],MATCH(CONTROL[[#This Row],[VEHIDCODE]],PROPERTIES[VEHIDCODE],0))</f>
        <v>0</v>
      </c>
      <c r="Q3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6" spans="1:17" x14ac:dyDescent="0.35">
      <c r="A386" s="2" t="s">
        <v>3012</v>
      </c>
      <c r="B386" s="21" t="str">
        <f>MID(CONTROL[[#This Row],[VEHIDCODE]],FIND("_",CONTROL[[#This Row],[VEHIDCODE]])+1,LEN(CONTROL[[#This Row],[VEHIDCODE]]))</f>
        <v>Union_Carriage___Wagon_E38</v>
      </c>
      <c r="C3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6">
        <v>6131</v>
      </c>
      <c r="F386" s="30" t="s">
        <v>2246</v>
      </c>
      <c r="G386" t="s">
        <v>1406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ISNUMBER(MATCH(CONTROL[[#This Row],[VEHIDCODE]],TRACK_TYPES[VEHIDCODE],0))</f>
        <v>1</v>
      </c>
      <c r="K386" t="b">
        <f>ISNUMBER(MATCH(CONTROL[[#This Row],[VEHIDCODE]],PROPERTIES[VEHIDCODE],0))</f>
        <v>1</v>
      </c>
      <c r="L386" t="b">
        <f>ISNUMBER(MATCH(CONTROL[[#This Row],[VEHIDCODE]],GRAPHICS_PROPERTIES[VEHIDCODE],0))</f>
        <v>1</v>
      </c>
      <c r="M386" s="21" t="str">
        <f>"item_"&amp;CONTROL[[#This Row],[VEHIDCODE]]</f>
        <v>item_electric_Union_Carriage___Wagon_E38</v>
      </c>
      <c r="N386" s="21" t="str">
        <f>"str_"&amp;CONTROL[[#This Row],[VEHIDCODE]]</f>
        <v>str_electric_Union_Carriage___Wagon_E38</v>
      </c>
      <c r="O386" s="7" t="b">
        <f>INDEX(PROPERTIES[IS_CONCEPT],MATCH(CONTROL[[#This Row],[VEHIDCODE]],PROPERTIES[VEHIDCODE],0))="IS_CONCEPT"</f>
        <v>0</v>
      </c>
      <c r="P386" s="7" t="b">
        <f>INDEX(PROPERTIES[EXCLUDE],MATCH(CONTROL[[#This Row],[VEHIDCODE]],PROPERTIES[VEHIDCODE],0))</f>
        <v>0</v>
      </c>
      <c r="Q3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7" spans="1:17" x14ac:dyDescent="0.35">
      <c r="A387" s="2" t="s">
        <v>3013</v>
      </c>
      <c r="B387" s="21" t="str">
        <f>MID(CONTROL[[#This Row],[VEHIDCODE]],FIND("_",CONTROL[[#This Row],[VEHIDCODE]])+1,LEN(CONTROL[[#This Row],[VEHIDCODE]]))</f>
        <v>Mitsubishi_series_269</v>
      </c>
      <c r="C3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7">
        <v>6107</v>
      </c>
      <c r="F387" s="30" t="s">
        <v>2030</v>
      </c>
      <c r="G387" t="s">
        <v>1407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ISNUMBER(MATCH(CONTROL[[#This Row],[VEHIDCODE]],TRACK_TYPES[VEHIDCODE],0))</f>
        <v>1</v>
      </c>
      <c r="K387" t="b">
        <f>ISNUMBER(MATCH(CONTROL[[#This Row],[VEHIDCODE]],PROPERTIES[VEHIDCODE],0))</f>
        <v>1</v>
      </c>
      <c r="L387" t="b">
        <f>ISNUMBER(MATCH(CONTROL[[#This Row],[VEHIDCODE]],GRAPHICS_PROPERTIES[VEHIDCODE],0))</f>
        <v>1</v>
      </c>
      <c r="M387" s="21" t="str">
        <f>"item_"&amp;CONTROL[[#This Row],[VEHIDCODE]]</f>
        <v>item_electric_Mitsubishi_series_269</v>
      </c>
      <c r="N387" s="21" t="str">
        <f>"str_"&amp;CONTROL[[#This Row],[VEHIDCODE]]</f>
        <v>str_electric_Mitsubishi_series_269</v>
      </c>
      <c r="O387" s="7" t="b">
        <f>INDEX(PROPERTIES[IS_CONCEPT],MATCH(CONTROL[[#This Row],[VEHIDCODE]],PROPERTIES[VEHIDCODE],0))="IS_CONCEPT"</f>
        <v>0</v>
      </c>
      <c r="P387" s="7" t="b">
        <f>INDEX(PROPERTIES[EXCLUDE],MATCH(CONTROL[[#This Row],[VEHIDCODE]],PROPERTIES[VEHIDCODE],0))</f>
        <v>0</v>
      </c>
      <c r="Q3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8" spans="1:17" x14ac:dyDescent="0.35">
      <c r="A388" s="2" t="s">
        <v>3014</v>
      </c>
      <c r="B388" s="21" t="str">
        <f>MID(CONTROL[[#This Row],[VEHIDCODE]],FIND("_",CONTROL[[#This Row],[VEHIDCODE]])+1,LEN(CONTROL[[#This Row],[VEHIDCODE]]))</f>
        <v>Skoda_69E</v>
      </c>
      <c r="C3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8">
        <v>6108</v>
      </c>
      <c r="F388" s="30" t="s">
        <v>1949</v>
      </c>
      <c r="G388" t="s">
        <v>1408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ISNUMBER(MATCH(CONTROL[[#This Row],[VEHIDCODE]],TRACK_TYPES[VEHIDCODE],0))</f>
        <v>1</v>
      </c>
      <c r="K388" t="b">
        <f>ISNUMBER(MATCH(CONTROL[[#This Row],[VEHIDCODE]],PROPERTIES[VEHIDCODE],0))</f>
        <v>1</v>
      </c>
      <c r="L388" t="b">
        <f>ISNUMBER(MATCH(CONTROL[[#This Row],[VEHIDCODE]],GRAPHICS_PROPERTIES[VEHIDCODE],0))</f>
        <v>1</v>
      </c>
      <c r="M388" s="21" t="str">
        <f>"item_"&amp;CONTROL[[#This Row],[VEHIDCODE]]</f>
        <v>item_electric_Skoda_69E</v>
      </c>
      <c r="N388" s="21" t="str">
        <f>"str_"&amp;CONTROL[[#This Row],[VEHIDCODE]]</f>
        <v>str_electric_Skoda_69E</v>
      </c>
      <c r="O388" s="7" t="b">
        <f>INDEX(PROPERTIES[IS_CONCEPT],MATCH(CONTROL[[#This Row],[VEHIDCODE]],PROPERTIES[VEHIDCODE],0))="IS_CONCEPT"</f>
        <v>0</v>
      </c>
      <c r="P388" s="7" t="b">
        <f>INDEX(PROPERTIES[EXCLUDE],MATCH(CONTROL[[#This Row],[VEHIDCODE]],PROPERTIES[VEHIDCODE],0))</f>
        <v>0</v>
      </c>
      <c r="Q3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89" spans="1:17" x14ac:dyDescent="0.35">
      <c r="A389" s="2" t="s">
        <v>3015</v>
      </c>
      <c r="B389" s="21" t="str">
        <f>MID(CONTROL[[#This Row],[VEHIDCODE]],FIND("_",CONTROL[[#This Row],[VEHIDCODE]])+1,LEN(CONTROL[[#This Row],[VEHIDCODE]]))</f>
        <v>AEG_Skabo_EL7</v>
      </c>
      <c r="C3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89">
        <v>6001</v>
      </c>
      <c r="F389" s="30" t="s">
        <v>2247</v>
      </c>
      <c r="G389" t="s">
        <v>1409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ISNUMBER(MATCH(CONTROL[[#This Row],[VEHIDCODE]],TRACK_TYPES[VEHIDCODE],0))</f>
        <v>1</v>
      </c>
      <c r="K389" t="b">
        <f>ISNUMBER(MATCH(CONTROL[[#This Row],[VEHIDCODE]],PROPERTIES[VEHIDCODE],0))</f>
        <v>1</v>
      </c>
      <c r="L389" t="b">
        <f>ISNUMBER(MATCH(CONTROL[[#This Row],[VEHIDCODE]],GRAPHICS_PROPERTIES[VEHIDCODE],0))</f>
        <v>1</v>
      </c>
      <c r="M389" s="21" t="str">
        <f>"item_"&amp;CONTROL[[#This Row],[VEHIDCODE]]</f>
        <v>item_electric_AEG_Skabo_EL7</v>
      </c>
      <c r="N389" s="21" t="str">
        <f>"str_"&amp;CONTROL[[#This Row],[VEHIDCODE]]</f>
        <v>str_electric_AEG_Skabo_EL7</v>
      </c>
      <c r="O389" s="7" t="b">
        <f>INDEX(PROPERTIES[IS_CONCEPT],MATCH(CONTROL[[#This Row],[VEHIDCODE]],PROPERTIES[VEHIDCODE],0))="IS_CONCEPT"</f>
        <v>0</v>
      </c>
      <c r="P389" s="7" t="b">
        <f>INDEX(PROPERTIES[EXCLUDE],MATCH(CONTROL[[#This Row],[VEHIDCODE]],PROPERTIES[VEHIDCODE],0))</f>
        <v>0</v>
      </c>
      <c r="Q3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0" spans="1:17" x14ac:dyDescent="0.35">
      <c r="A390" s="2" t="s">
        <v>3016</v>
      </c>
      <c r="B390" s="21" t="str">
        <f>MID(CONTROL[[#This Row],[VEHIDCODE]],FIND("_",CONTROL[[#This Row],[VEHIDCODE]])+1,LEN(CONTROL[[#This Row],[VEHIDCODE]]))</f>
        <v>Westinghouse_FF_1_Big_Liz_</v>
      </c>
      <c r="C3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0">
        <v>6063</v>
      </c>
      <c r="F390" s="30" t="s">
        <v>2248</v>
      </c>
      <c r="G390" t="s">
        <v>1410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ISNUMBER(MATCH(CONTROL[[#This Row],[VEHIDCODE]],TRACK_TYPES[VEHIDCODE],0))</f>
        <v>1</v>
      </c>
      <c r="K390" t="b">
        <f>ISNUMBER(MATCH(CONTROL[[#This Row],[VEHIDCODE]],PROPERTIES[VEHIDCODE],0))</f>
        <v>1</v>
      </c>
      <c r="L390" t="b">
        <f>ISNUMBER(MATCH(CONTROL[[#This Row],[VEHIDCODE]],GRAPHICS_PROPERTIES[VEHIDCODE],0))</f>
        <v>1</v>
      </c>
      <c r="M390" s="21" t="str">
        <f>"item_"&amp;CONTROL[[#This Row],[VEHIDCODE]]</f>
        <v>item_electric_Westinghouse_FF_1_Big_Liz_</v>
      </c>
      <c r="N390" s="21" t="str">
        <f>"str_"&amp;CONTROL[[#This Row],[VEHIDCODE]]</f>
        <v>str_electric_Westinghouse_FF_1_Big_Liz_</v>
      </c>
      <c r="O390" s="7" t="b">
        <f>INDEX(PROPERTIES[IS_CONCEPT],MATCH(CONTROL[[#This Row],[VEHIDCODE]],PROPERTIES[VEHIDCODE],0))="IS_CONCEPT"</f>
        <v>0</v>
      </c>
      <c r="P390" s="7" t="b">
        <f>INDEX(PROPERTIES[EXCLUDE],MATCH(CONTROL[[#This Row],[VEHIDCODE]],PROPERTIES[VEHIDCODE],0))</f>
        <v>0</v>
      </c>
      <c r="Q3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TPL_32C</v>
      </c>
    </row>
    <row r="391" spans="1:17" x14ac:dyDescent="0.35">
      <c r="A391" s="2" t="s">
        <v>3017</v>
      </c>
      <c r="B391" s="21" t="str">
        <f>MID(CONTROL[[#This Row],[VEHIDCODE]],FIND("_",CONTROL[[#This Row],[VEHIDCODE]])+1,LEN(CONTROL[[#This Row],[VEHIDCODE]]))</f>
        <v>ELIN_Floridsdorf_1161</v>
      </c>
      <c r="C3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1">
        <v>6007</v>
      </c>
      <c r="F391" s="30" t="s">
        <v>2249</v>
      </c>
      <c r="G391" t="s">
        <v>1411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ISNUMBER(MATCH(CONTROL[[#This Row],[VEHIDCODE]],TRACK_TYPES[VEHIDCODE],0))</f>
        <v>1</v>
      </c>
      <c r="K391" t="b">
        <f>ISNUMBER(MATCH(CONTROL[[#This Row],[VEHIDCODE]],PROPERTIES[VEHIDCODE],0))</f>
        <v>1</v>
      </c>
      <c r="L391" t="b">
        <f>ISNUMBER(MATCH(CONTROL[[#This Row],[VEHIDCODE]],GRAPHICS_PROPERTIES[VEHIDCODE],0))</f>
        <v>1</v>
      </c>
      <c r="M391" s="21" t="str">
        <f>"item_"&amp;CONTROL[[#This Row],[VEHIDCODE]]</f>
        <v>item_electric_ELIN_Floridsdorf_1161</v>
      </c>
      <c r="N391" s="21" t="str">
        <f>"str_"&amp;CONTROL[[#This Row],[VEHIDCODE]]</f>
        <v>str_electric_ELIN_Floridsdorf_1161</v>
      </c>
      <c r="O391" s="7" t="b">
        <f>INDEX(PROPERTIES[IS_CONCEPT],MATCH(CONTROL[[#This Row],[VEHIDCODE]],PROPERTIES[VEHIDCODE],0))="IS_CONCEPT"</f>
        <v>0</v>
      </c>
      <c r="P391" s="7" t="b">
        <f>INDEX(PROPERTIES[EXCLUDE],MATCH(CONTROL[[#This Row],[VEHIDCODE]],PROPERTIES[VEHIDCODE],0))</f>
        <v>0</v>
      </c>
      <c r="Q3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392" spans="1:17" x14ac:dyDescent="0.35">
      <c r="A392" s="2" t="s">
        <v>3018</v>
      </c>
      <c r="B392" s="21" t="str">
        <f>MID(CONTROL[[#This Row],[VEHIDCODE]],FIND("_",CONTROL[[#This Row],[VEHIDCODE]])+1,LEN(CONTROL[[#This Row],[VEHIDCODE]]))</f>
        <v>Maffei_SSW_Lok_5_Adolphine</v>
      </c>
      <c r="C3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2">
        <v>6009</v>
      </c>
      <c r="F392" s="30" t="s">
        <v>2250</v>
      </c>
      <c r="G392" t="s">
        <v>1412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ISNUMBER(MATCH(CONTROL[[#This Row],[VEHIDCODE]],TRACK_TYPES[VEHIDCODE],0))</f>
        <v>1</v>
      </c>
      <c r="K392" t="b">
        <f>ISNUMBER(MATCH(CONTROL[[#This Row],[VEHIDCODE]],PROPERTIES[VEHIDCODE],0))</f>
        <v>1</v>
      </c>
      <c r="L392" t="b">
        <f>ISNUMBER(MATCH(CONTROL[[#This Row],[VEHIDCODE]],GRAPHICS_PROPERTIES[VEHIDCODE],0))</f>
        <v>1</v>
      </c>
      <c r="M392" s="21" t="str">
        <f>"item_"&amp;CONTROL[[#This Row],[VEHIDCODE]]</f>
        <v>item_electric_Maffei_SSW_Lok_5_Adolphine</v>
      </c>
      <c r="N392" s="21" t="str">
        <f>"str_"&amp;CONTROL[[#This Row],[VEHIDCODE]]</f>
        <v>str_electric_Maffei_SSW_Lok_5_Adolphine</v>
      </c>
      <c r="O392" s="7" t="b">
        <f>INDEX(PROPERTIES[IS_CONCEPT],MATCH(CONTROL[[#This Row],[VEHIDCODE]],PROPERTIES[VEHIDCODE],0))="IS_CONCEPT"</f>
        <v>0</v>
      </c>
      <c r="P392" s="7" t="b">
        <f>INDEX(PROPERTIES[EXCLUDE],MATCH(CONTROL[[#This Row],[VEHIDCODE]],PROPERTIES[VEHIDCODE],0))</f>
        <v>0</v>
      </c>
      <c r="Q3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3" spans="1:17" x14ac:dyDescent="0.35">
      <c r="A393" s="2" t="s">
        <v>3019</v>
      </c>
      <c r="B393" s="21" t="str">
        <f>MID(CONTROL[[#This Row],[VEHIDCODE]],FIND("_",CONTROL[[#This Row],[VEHIDCODE]])+1,LEN(CONTROL[[#This Row],[VEHIDCODE]]))</f>
        <v>Thune_ASEA_EL10</v>
      </c>
      <c r="C3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3">
        <v>6011</v>
      </c>
      <c r="F393" s="30" t="s">
        <v>2251</v>
      </c>
      <c r="G393" t="s">
        <v>1413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ISNUMBER(MATCH(CONTROL[[#This Row],[VEHIDCODE]],TRACK_TYPES[VEHIDCODE],0))</f>
        <v>1</v>
      </c>
      <c r="K393" t="b">
        <f>ISNUMBER(MATCH(CONTROL[[#This Row],[VEHIDCODE]],PROPERTIES[VEHIDCODE],0))</f>
        <v>1</v>
      </c>
      <c r="L393" t="b">
        <f>ISNUMBER(MATCH(CONTROL[[#This Row],[VEHIDCODE]],GRAPHICS_PROPERTIES[VEHIDCODE],0))</f>
        <v>1</v>
      </c>
      <c r="M393" s="21" t="str">
        <f>"item_"&amp;CONTROL[[#This Row],[VEHIDCODE]]</f>
        <v>item_electric_Thune_ASEA_EL10</v>
      </c>
      <c r="N393" s="21" t="str">
        <f>"str_"&amp;CONTROL[[#This Row],[VEHIDCODE]]</f>
        <v>str_electric_Thune_ASEA_EL10</v>
      </c>
      <c r="O393" s="7" t="b">
        <f>INDEX(PROPERTIES[IS_CONCEPT],MATCH(CONTROL[[#This Row],[VEHIDCODE]],PROPERTIES[VEHIDCODE],0))="IS_CONCEPT"</f>
        <v>0</v>
      </c>
      <c r="P393" s="7" t="b">
        <f>INDEX(PROPERTIES[EXCLUDE],MATCH(CONTROL[[#This Row],[VEHIDCODE]],PROPERTIES[VEHIDCODE],0))</f>
        <v>0</v>
      </c>
      <c r="Q3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4" spans="1:17" x14ac:dyDescent="0.35">
      <c r="A394" s="2" t="s">
        <v>3020</v>
      </c>
      <c r="B394" s="21" t="str">
        <f>MID(CONTROL[[#This Row],[VEHIDCODE]],FIND("_",CONTROL[[#This Row],[VEHIDCODE]])+1,LEN(CONTROL[[#This Row],[VEHIDCODE]]))</f>
        <v>AEG_E_04</v>
      </c>
      <c r="C3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4">
        <v>6012</v>
      </c>
      <c r="F394" s="30" t="s">
        <v>2252</v>
      </c>
      <c r="G394" t="s">
        <v>1414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ISNUMBER(MATCH(CONTROL[[#This Row],[VEHIDCODE]],TRACK_TYPES[VEHIDCODE],0))</f>
        <v>1</v>
      </c>
      <c r="K394" t="b">
        <f>ISNUMBER(MATCH(CONTROL[[#This Row],[VEHIDCODE]],PROPERTIES[VEHIDCODE],0))</f>
        <v>1</v>
      </c>
      <c r="L394" t="b">
        <f>ISNUMBER(MATCH(CONTROL[[#This Row],[VEHIDCODE]],GRAPHICS_PROPERTIES[VEHIDCODE],0))</f>
        <v>1</v>
      </c>
      <c r="M394" s="21" t="str">
        <f>"item_"&amp;CONTROL[[#This Row],[VEHIDCODE]]</f>
        <v>item_electric_AEG_E_04</v>
      </c>
      <c r="N394" s="21" t="str">
        <f>"str_"&amp;CONTROL[[#This Row],[VEHIDCODE]]</f>
        <v>str_electric_AEG_E_04</v>
      </c>
      <c r="O394" s="7" t="b">
        <f>INDEX(PROPERTIES[IS_CONCEPT],MATCH(CONTROL[[#This Row],[VEHIDCODE]],PROPERTIES[VEHIDCODE],0))="IS_CONCEPT"</f>
        <v>0</v>
      </c>
      <c r="P394" s="7" t="b">
        <f>INDEX(PROPERTIES[EXCLUDE],MATCH(CONTROL[[#This Row],[VEHIDCODE]],PROPERTIES[VEHIDCODE],0))</f>
        <v>0</v>
      </c>
      <c r="Q3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5" spans="1:17" x14ac:dyDescent="0.35">
      <c r="A395" s="2" t="s">
        <v>3021</v>
      </c>
      <c r="B395" s="21" t="str">
        <f>MID(CONTROL[[#This Row],[VEHIDCODE]],FIND("_",CONTROL[[#This Row],[VEHIDCODE]])+1,LEN(CONTROL[[#This Row],[VEHIDCODE]]))</f>
        <v>GE_4_6_0_0_6_4OE_GG_1</v>
      </c>
      <c r="C3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5">
        <v>6065</v>
      </c>
      <c r="F395" s="30" t="s">
        <v>2253</v>
      </c>
      <c r="G395" t="s">
        <v>1415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ISNUMBER(MATCH(CONTROL[[#This Row],[VEHIDCODE]],TRACK_TYPES[VEHIDCODE],0))</f>
        <v>1</v>
      </c>
      <c r="K395" t="b">
        <f>ISNUMBER(MATCH(CONTROL[[#This Row],[VEHIDCODE]],PROPERTIES[VEHIDCODE],0))</f>
        <v>1</v>
      </c>
      <c r="L395" t="b">
        <f>ISNUMBER(MATCH(CONTROL[[#This Row],[VEHIDCODE]],GRAPHICS_PROPERTIES[VEHIDCODE],0))</f>
        <v>1</v>
      </c>
      <c r="M395" s="21" t="str">
        <f>"item_"&amp;CONTROL[[#This Row],[VEHIDCODE]]</f>
        <v>item_electric_GE_4_6_0_0_6_4OE_GG_1</v>
      </c>
      <c r="N395" s="21" t="str">
        <f>"str_"&amp;CONTROL[[#This Row],[VEHIDCODE]]</f>
        <v>str_electric_GE_4_6_0_0_6_4OE_GG_1</v>
      </c>
      <c r="O395" s="7" t="b">
        <f>INDEX(PROPERTIES[IS_CONCEPT],MATCH(CONTROL[[#This Row],[VEHIDCODE]],PROPERTIES[VEHIDCODE],0))="IS_CONCEPT"</f>
        <v>0</v>
      </c>
      <c r="P395" s="7" t="b">
        <f>INDEX(PROPERTIES[EXCLUDE],MATCH(CONTROL[[#This Row],[VEHIDCODE]],PROPERTIES[VEHIDCODE],0))</f>
        <v>0</v>
      </c>
      <c r="Q3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396" spans="1:17" x14ac:dyDescent="0.35">
      <c r="A396" s="2" t="s">
        <v>3022</v>
      </c>
      <c r="B396" s="21" t="str">
        <f>MID(CONTROL[[#This Row],[VEHIDCODE]],FIND("_",CONTROL[[#This Row],[VEHIDCODE]])+1,LEN(CONTROL[[#This Row],[VEHIDCODE]]))</f>
        <v>SLM_1100_Crocodile</v>
      </c>
      <c r="C3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6">
        <v>6017</v>
      </c>
      <c r="F396" s="30" t="s">
        <v>2531</v>
      </c>
      <c r="G396" t="s">
        <v>1416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ISNUMBER(MATCH(CONTROL[[#This Row],[VEHIDCODE]],TRACK_TYPES[VEHIDCODE],0))</f>
        <v>1</v>
      </c>
      <c r="K396" t="b">
        <f>ISNUMBER(MATCH(CONTROL[[#This Row],[VEHIDCODE]],PROPERTIES[VEHIDCODE],0))</f>
        <v>1</v>
      </c>
      <c r="L396" t="b">
        <f>ISNUMBER(MATCH(CONTROL[[#This Row],[VEHIDCODE]],GRAPHICS_PROPERTIES[VEHIDCODE],0))</f>
        <v>1</v>
      </c>
      <c r="M396" s="21" t="str">
        <f>"item_"&amp;CONTROL[[#This Row],[VEHIDCODE]]</f>
        <v>item_electric_SLM_1100_Crocodile</v>
      </c>
      <c r="N396" s="21" t="str">
        <f>"str_"&amp;CONTROL[[#This Row],[VEHIDCODE]]</f>
        <v>str_electric_SLM_1100_Crocodile</v>
      </c>
      <c r="O396" s="7" t="b">
        <f>INDEX(PROPERTIES[IS_CONCEPT],MATCH(CONTROL[[#This Row],[VEHIDCODE]],PROPERTIES[VEHIDCODE],0))="IS_CONCEPT"</f>
        <v>0</v>
      </c>
      <c r="P396" s="7" t="b">
        <f>INDEX(PROPERTIES[EXCLUDE],MATCH(CONTROL[[#This Row],[VEHIDCODE]],PROPERTIES[VEHIDCODE],0))</f>
        <v>0</v>
      </c>
      <c r="Q3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7" spans="1:17" x14ac:dyDescent="0.35">
      <c r="A397" s="2" t="s">
        <v>3023</v>
      </c>
      <c r="B397" s="21" t="str">
        <f>MID(CONTROL[[#This Row],[VEHIDCODE]],FIND("_",CONTROL[[#This Row],[VEHIDCODE]])+1,LEN(CONTROL[[#This Row],[VEHIDCODE]]))</f>
        <v>AEG_BBC_Henschel_Siemens_E03</v>
      </c>
      <c r="C3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7">
        <v>6032</v>
      </c>
      <c r="F397" s="30" t="s">
        <v>2532</v>
      </c>
      <c r="G397" t="s">
        <v>1417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ISNUMBER(MATCH(CONTROL[[#This Row],[VEHIDCODE]],TRACK_TYPES[VEHIDCODE],0))</f>
        <v>1</v>
      </c>
      <c r="K397" t="b">
        <f>ISNUMBER(MATCH(CONTROL[[#This Row],[VEHIDCODE]],PROPERTIES[VEHIDCODE],0))</f>
        <v>1</v>
      </c>
      <c r="L397" t="b">
        <f>ISNUMBER(MATCH(CONTROL[[#This Row],[VEHIDCODE]],GRAPHICS_PROPERTIES[VEHIDCODE],0))</f>
        <v>1</v>
      </c>
      <c r="M397" s="21" t="str">
        <f>"item_"&amp;CONTROL[[#This Row],[VEHIDCODE]]</f>
        <v>item_electric_AEG_BBC_Henschel_Siemens_E03</v>
      </c>
      <c r="N397" s="21" t="str">
        <f>"str_"&amp;CONTROL[[#This Row],[VEHIDCODE]]</f>
        <v>str_electric_AEG_BBC_Henschel_Siemens_E03</v>
      </c>
      <c r="O397" s="7" t="b">
        <f>INDEX(PROPERTIES[IS_CONCEPT],MATCH(CONTROL[[#This Row],[VEHIDCODE]],PROPERTIES[VEHIDCODE],0))="IS_CONCEPT"</f>
        <v>0</v>
      </c>
      <c r="P397" s="7" t="b">
        <f>INDEX(PROPERTIES[EXCLUDE],MATCH(CONTROL[[#This Row],[VEHIDCODE]],PROPERTIES[VEHIDCODE],0))</f>
        <v>0</v>
      </c>
      <c r="Q3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8" spans="1:17" x14ac:dyDescent="0.35">
      <c r="A398" s="2" t="s">
        <v>3024</v>
      </c>
      <c r="B398" s="21" t="str">
        <f>MID(CONTROL[[#This Row],[VEHIDCODE]],FIND("_",CONTROL[[#This Row],[VEHIDCODE]])+1,LEN(CONTROL[[#This Row],[VEHIDCODE]]))</f>
        <v>Krauss_WASSEG_E_91_9</v>
      </c>
      <c r="C3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8">
        <v>6074</v>
      </c>
      <c r="F398" s="30" t="s">
        <v>2254</v>
      </c>
      <c r="G398" t="s">
        <v>1418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ISNUMBER(MATCH(CONTROL[[#This Row],[VEHIDCODE]],TRACK_TYPES[VEHIDCODE],0))</f>
        <v>1</v>
      </c>
      <c r="K398" t="b">
        <f>ISNUMBER(MATCH(CONTROL[[#This Row],[VEHIDCODE]],PROPERTIES[VEHIDCODE],0))</f>
        <v>1</v>
      </c>
      <c r="L398" t="b">
        <f>ISNUMBER(MATCH(CONTROL[[#This Row],[VEHIDCODE]],GRAPHICS_PROPERTIES[VEHIDCODE],0))</f>
        <v>1</v>
      </c>
      <c r="M398" s="21" t="str">
        <f>"item_"&amp;CONTROL[[#This Row],[VEHIDCODE]]</f>
        <v>item_electric_Krauss_WASSEG_E_91_9</v>
      </c>
      <c r="N398" s="21" t="str">
        <f>"str_"&amp;CONTROL[[#This Row],[VEHIDCODE]]</f>
        <v>str_electric_Krauss_WASSEG_E_91_9</v>
      </c>
      <c r="O398" s="7" t="b">
        <f>INDEX(PROPERTIES[IS_CONCEPT],MATCH(CONTROL[[#This Row],[VEHIDCODE]],PROPERTIES[VEHIDCODE],0))="IS_CONCEPT"</f>
        <v>0</v>
      </c>
      <c r="P398" s="7" t="b">
        <f>INDEX(PROPERTIES[EXCLUDE],MATCH(CONTROL[[#This Row],[VEHIDCODE]],PROPERTIES[VEHIDCODE],0))</f>
        <v>0</v>
      </c>
      <c r="Q3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399" spans="1:17" x14ac:dyDescent="0.35">
      <c r="A399" s="2" t="s">
        <v>3025</v>
      </c>
      <c r="B399" s="21" t="str">
        <f>MID(CONTROL[[#This Row],[VEHIDCODE]],FIND("_",CONTROL[[#This Row],[VEHIDCODE]])+1,LEN(CONTROL[[#This Row],[VEHIDCODE]]))</f>
        <v>SLM_Ce_4_4</v>
      </c>
      <c r="C3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3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399">
        <v>6023</v>
      </c>
      <c r="F399" s="30" t="s">
        <v>2255</v>
      </c>
      <c r="G399" t="s">
        <v>1419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ISNUMBER(MATCH(CONTROL[[#This Row],[VEHIDCODE]],TRACK_TYPES[VEHIDCODE],0))</f>
        <v>1</v>
      </c>
      <c r="K399" t="b">
        <f>ISNUMBER(MATCH(CONTROL[[#This Row],[VEHIDCODE]],PROPERTIES[VEHIDCODE],0))</f>
        <v>1</v>
      </c>
      <c r="L399" t="b">
        <f>ISNUMBER(MATCH(CONTROL[[#This Row],[VEHIDCODE]],GRAPHICS_PROPERTIES[VEHIDCODE],0))</f>
        <v>1</v>
      </c>
      <c r="M399" s="21" t="str">
        <f>"item_"&amp;CONTROL[[#This Row],[VEHIDCODE]]</f>
        <v>item_electric_SLM_Ce_4_4</v>
      </c>
      <c r="N399" s="21" t="str">
        <f>"str_"&amp;CONTROL[[#This Row],[VEHIDCODE]]</f>
        <v>str_electric_SLM_Ce_4_4</v>
      </c>
      <c r="O399" s="7" t="b">
        <f>INDEX(PROPERTIES[IS_CONCEPT],MATCH(CONTROL[[#This Row],[VEHIDCODE]],PROPERTIES[VEHIDCODE],0))="IS_CONCEPT"</f>
        <v>0</v>
      </c>
      <c r="P399" s="7" t="b">
        <f>INDEX(PROPERTIES[EXCLUDE],MATCH(CONTROL[[#This Row],[VEHIDCODE]],PROPERTIES[VEHIDCODE],0))</f>
        <v>0</v>
      </c>
      <c r="Q3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0" spans="1:17" x14ac:dyDescent="0.35">
      <c r="A400" s="2" t="s">
        <v>3026</v>
      </c>
      <c r="B400" s="21" t="str">
        <f>MID(CONTROL[[#This Row],[VEHIDCODE]],FIND("_",CONTROL[[#This Row],[VEHIDCODE]])+1,LEN(CONTROL[[#This Row],[VEHIDCODE]]))</f>
        <v>SLM_Ae_6_6</v>
      </c>
      <c r="C4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0">
        <v>6024</v>
      </c>
      <c r="F400" s="30" t="s">
        <v>2256</v>
      </c>
      <c r="G400" t="s">
        <v>1420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ISNUMBER(MATCH(CONTROL[[#This Row],[VEHIDCODE]],TRACK_TYPES[VEHIDCODE],0))</f>
        <v>1</v>
      </c>
      <c r="K400" t="b">
        <f>ISNUMBER(MATCH(CONTROL[[#This Row],[VEHIDCODE]],PROPERTIES[VEHIDCODE],0))</f>
        <v>1</v>
      </c>
      <c r="L400" t="b">
        <f>ISNUMBER(MATCH(CONTROL[[#This Row],[VEHIDCODE]],GRAPHICS_PROPERTIES[VEHIDCODE],0))</f>
        <v>1</v>
      </c>
      <c r="M400" s="21" t="str">
        <f>"item_"&amp;CONTROL[[#This Row],[VEHIDCODE]]</f>
        <v>item_electric_SLM_Ae_6_6</v>
      </c>
      <c r="N400" s="21" t="str">
        <f>"str_"&amp;CONTROL[[#This Row],[VEHIDCODE]]</f>
        <v>str_electric_SLM_Ae_6_6</v>
      </c>
      <c r="O400" s="7" t="b">
        <f>INDEX(PROPERTIES[IS_CONCEPT],MATCH(CONTROL[[#This Row],[VEHIDCODE]],PROPERTIES[VEHIDCODE],0))="IS_CONCEPT"</f>
        <v>0</v>
      </c>
      <c r="P400" s="7" t="b">
        <f>INDEX(PROPERTIES[EXCLUDE],MATCH(CONTROL[[#This Row],[VEHIDCODE]],PROPERTIES[VEHIDCODE],0))</f>
        <v>0</v>
      </c>
      <c r="Q4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1" spans="1:17" x14ac:dyDescent="0.35">
      <c r="A401" s="2" t="s">
        <v>3027</v>
      </c>
      <c r="B401" s="21" t="str">
        <f>MID(CONTROL[[#This Row],[VEHIDCODE]],FIND("_",CONTROL[[#This Row],[VEHIDCODE]])+1,LEN(CONTROL[[#This Row],[VEHIDCODE]]))</f>
        <v>SLM_ABB_Lok_2000</v>
      </c>
      <c r="C4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1">
        <v>6045</v>
      </c>
      <c r="F401" s="30" t="s">
        <v>1951</v>
      </c>
      <c r="G401" t="s">
        <v>1421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ISNUMBER(MATCH(CONTROL[[#This Row],[VEHIDCODE]],TRACK_TYPES[VEHIDCODE],0))</f>
        <v>1</v>
      </c>
      <c r="K401" t="b">
        <f>ISNUMBER(MATCH(CONTROL[[#This Row],[VEHIDCODE]],PROPERTIES[VEHIDCODE],0))</f>
        <v>1</v>
      </c>
      <c r="L401" t="b">
        <f>ISNUMBER(MATCH(CONTROL[[#This Row],[VEHIDCODE]],GRAPHICS_PROPERTIES[VEHIDCODE],0))</f>
        <v>1</v>
      </c>
      <c r="M401" s="21" t="str">
        <f>"item_"&amp;CONTROL[[#This Row],[VEHIDCODE]]</f>
        <v>item_electric_SLM_ABB_Lok_2000</v>
      </c>
      <c r="N401" s="21" t="str">
        <f>"str_"&amp;CONTROL[[#This Row],[VEHIDCODE]]</f>
        <v>str_electric_SLM_ABB_Lok_2000</v>
      </c>
      <c r="O401" s="7" t="b">
        <f>INDEX(PROPERTIES[IS_CONCEPT],MATCH(CONTROL[[#This Row],[VEHIDCODE]],PROPERTIES[VEHIDCODE],0))="IS_CONCEPT"</f>
        <v>0</v>
      </c>
      <c r="P401" s="7" t="b">
        <f>INDEX(PROPERTIES[EXCLUDE],MATCH(CONTROL[[#This Row],[VEHIDCODE]],PROPERTIES[VEHIDCODE],0))</f>
        <v>0</v>
      </c>
      <c r="Q4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2" spans="1:17" x14ac:dyDescent="0.35">
      <c r="A402" s="2" t="s">
        <v>3028</v>
      </c>
      <c r="B402" s="21" t="str">
        <f>MID(CONTROL[[#This Row],[VEHIDCODE]],FIND("_",CONTROL[[#This Row],[VEHIDCODE]])+1,LEN(CONTROL[[#This Row],[VEHIDCODE]]))</f>
        <v>Stadler_Butler_Eem_923</v>
      </c>
      <c r="C4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2">
        <v>6059</v>
      </c>
      <c r="F402" s="30" t="s">
        <v>2258</v>
      </c>
      <c r="G402" t="s">
        <v>1422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ISNUMBER(MATCH(CONTROL[[#This Row],[VEHIDCODE]],TRACK_TYPES[VEHIDCODE],0))</f>
        <v>1</v>
      </c>
      <c r="K402" t="b">
        <f>ISNUMBER(MATCH(CONTROL[[#This Row],[VEHIDCODE]],PROPERTIES[VEHIDCODE],0))</f>
        <v>1</v>
      </c>
      <c r="L402" t="b">
        <f>ISNUMBER(MATCH(CONTROL[[#This Row],[VEHIDCODE]],GRAPHICS_PROPERTIES[VEHIDCODE],0))</f>
        <v>1</v>
      </c>
      <c r="M402" s="21" t="str">
        <f>"item_"&amp;CONTROL[[#This Row],[VEHIDCODE]]</f>
        <v>item_electric_Stadler_Butler_Eem_923</v>
      </c>
      <c r="N402" s="21" t="str">
        <f>"str_"&amp;CONTROL[[#This Row],[VEHIDCODE]]</f>
        <v>str_electric_Stadler_Butler_Eem_923</v>
      </c>
      <c r="O402" s="7" t="b">
        <f>INDEX(PROPERTIES[IS_CONCEPT],MATCH(CONTROL[[#This Row],[VEHIDCODE]],PROPERTIES[VEHIDCODE],0))="IS_CONCEPT"</f>
        <v>0</v>
      </c>
      <c r="P402" s="7" t="b">
        <f>INDEX(PROPERTIES[EXCLUDE],MATCH(CONTROL[[#This Row],[VEHIDCODE]],PROPERTIES[VEHIDCODE],0))</f>
        <v>0</v>
      </c>
      <c r="Q4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3" spans="1:17" x14ac:dyDescent="0.35">
      <c r="A403" s="2" t="s">
        <v>3029</v>
      </c>
      <c r="B403" s="21" t="str">
        <f>MID(CONTROL[[#This Row],[VEHIDCODE]],FIND("_",CONTROL[[#This Row],[VEHIDCODE]])+1,LEN(CONTROL[[#This Row],[VEHIDCODE]]))</f>
        <v>SGP_1044</v>
      </c>
      <c r="C4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3">
        <v>6035</v>
      </c>
      <c r="F403" s="30" t="s">
        <v>2533</v>
      </c>
      <c r="G403" t="s">
        <v>1423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ISNUMBER(MATCH(CONTROL[[#This Row],[VEHIDCODE]],TRACK_TYPES[VEHIDCODE],0))</f>
        <v>1</v>
      </c>
      <c r="K403" t="b">
        <f>ISNUMBER(MATCH(CONTROL[[#This Row],[VEHIDCODE]],PROPERTIES[VEHIDCODE],0))</f>
        <v>1</v>
      </c>
      <c r="L403" t="b">
        <f>ISNUMBER(MATCH(CONTROL[[#This Row],[VEHIDCODE]],GRAPHICS_PROPERTIES[VEHIDCODE],0))</f>
        <v>1</v>
      </c>
      <c r="M403" s="21" t="str">
        <f>"item_"&amp;CONTROL[[#This Row],[VEHIDCODE]]</f>
        <v>item_electric_SGP_1044</v>
      </c>
      <c r="N403" s="21" t="str">
        <f>"str_"&amp;CONTROL[[#This Row],[VEHIDCODE]]</f>
        <v>str_electric_SGP_1044</v>
      </c>
      <c r="O403" s="7" t="b">
        <f>INDEX(PROPERTIES[IS_CONCEPT],MATCH(CONTROL[[#This Row],[VEHIDCODE]],PROPERTIES[VEHIDCODE],0))="IS_CONCEPT"</f>
        <v>0</v>
      </c>
      <c r="P403" s="7" t="b">
        <f>INDEX(PROPERTIES[EXCLUDE],MATCH(CONTROL[[#This Row],[VEHIDCODE]],PROPERTIES[VEHIDCODE],0))</f>
        <v>0</v>
      </c>
      <c r="Q4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4" spans="1:17" x14ac:dyDescent="0.35">
      <c r="A404" s="2" t="s">
        <v>3030</v>
      </c>
      <c r="B404" s="21" t="str">
        <f>MID(CONTROL[[#This Row],[VEHIDCODE]],FIND("_",CONTROL[[#This Row],[VEHIDCODE]])+1,LEN(CONTROL[[#This Row],[VEHIDCODE]]))</f>
        <v>SGP_1063</v>
      </c>
      <c r="C4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4">
        <v>6039</v>
      </c>
      <c r="F404" s="30" t="s">
        <v>2534</v>
      </c>
      <c r="G404" t="s">
        <v>1424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ISNUMBER(MATCH(CONTROL[[#This Row],[VEHIDCODE]],TRACK_TYPES[VEHIDCODE],0))</f>
        <v>1</v>
      </c>
      <c r="K404" t="b">
        <f>ISNUMBER(MATCH(CONTROL[[#This Row],[VEHIDCODE]],PROPERTIES[VEHIDCODE],0))</f>
        <v>1</v>
      </c>
      <c r="L404" t="b">
        <f>ISNUMBER(MATCH(CONTROL[[#This Row],[VEHIDCODE]],GRAPHICS_PROPERTIES[VEHIDCODE],0))</f>
        <v>1</v>
      </c>
      <c r="M404" s="21" t="str">
        <f>"item_"&amp;CONTROL[[#This Row],[VEHIDCODE]]</f>
        <v>item_electric_SGP_1063</v>
      </c>
      <c r="N404" s="21" t="str">
        <f>"str_"&amp;CONTROL[[#This Row],[VEHIDCODE]]</f>
        <v>str_electric_SGP_1063</v>
      </c>
      <c r="O404" s="7" t="b">
        <f>INDEX(PROPERTIES[IS_CONCEPT],MATCH(CONTROL[[#This Row],[VEHIDCODE]],PROPERTIES[VEHIDCODE],0))="IS_CONCEPT"</f>
        <v>0</v>
      </c>
      <c r="P404" s="7" t="b">
        <f>INDEX(PROPERTIES[EXCLUDE],MATCH(CONTROL[[#This Row],[VEHIDCODE]],PROPERTIES[VEHIDCODE],0))</f>
        <v>0</v>
      </c>
      <c r="Q4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5" spans="1:17" x14ac:dyDescent="0.35">
      <c r="A405" s="2" t="s">
        <v>3031</v>
      </c>
      <c r="B405" s="21" t="str">
        <f>MID(CONTROL[[#This Row],[VEHIDCODE]],FIND("_",CONTROL[[#This Row],[VEHIDCODE]])+1,LEN(CONTROL[[#This Row],[VEHIDCODE]]))</f>
        <v>ASEA_Dm3</v>
      </c>
      <c r="C4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5">
        <v>6020</v>
      </c>
      <c r="F405" s="30" t="s">
        <v>2259</v>
      </c>
      <c r="G405" t="s">
        <v>1425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ISNUMBER(MATCH(CONTROL[[#This Row],[VEHIDCODE]],TRACK_TYPES[VEHIDCODE],0))</f>
        <v>1</v>
      </c>
      <c r="K405" t="b">
        <f>ISNUMBER(MATCH(CONTROL[[#This Row],[VEHIDCODE]],PROPERTIES[VEHIDCODE],0))</f>
        <v>1</v>
      </c>
      <c r="L405" t="b">
        <f>ISNUMBER(MATCH(CONTROL[[#This Row],[VEHIDCODE]],GRAPHICS_PROPERTIES[VEHIDCODE],0))</f>
        <v>1</v>
      </c>
      <c r="M405" s="21" t="str">
        <f>"item_"&amp;CONTROL[[#This Row],[VEHIDCODE]]</f>
        <v>item_electric_ASEA_Dm3</v>
      </c>
      <c r="N405" s="21" t="str">
        <f>"str_"&amp;CONTROL[[#This Row],[VEHIDCODE]]</f>
        <v>str_electric_ASEA_Dm3</v>
      </c>
      <c r="O405" s="7" t="b">
        <f>INDEX(PROPERTIES[IS_CONCEPT],MATCH(CONTROL[[#This Row],[VEHIDCODE]],PROPERTIES[VEHIDCODE],0))="IS_CONCEPT"</f>
        <v>0</v>
      </c>
      <c r="P405" s="7" t="b">
        <f>INDEX(PROPERTIES[EXCLUDE],MATCH(CONTROL[[#This Row],[VEHIDCODE]],PROPERTIES[VEHIDCODE],0))</f>
        <v>0</v>
      </c>
      <c r="Q4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TPL_17D</v>
      </c>
    </row>
    <row r="406" spans="1:17" x14ac:dyDescent="0.35">
      <c r="A406" s="2" t="s">
        <v>3032</v>
      </c>
      <c r="B406" s="21" t="str">
        <f>MID(CONTROL[[#This Row],[VEHIDCODE]],FIND("_",CONTROL[[#This Row],[VEHIDCODE]])+1,LEN(CONTROL[[#This Row],[VEHIDCODE]]))</f>
        <v>Bombardier_Traxx_H80_AC</v>
      </c>
      <c r="C4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6">
        <v>6054</v>
      </c>
      <c r="F406" s="30" t="s">
        <v>1953</v>
      </c>
      <c r="G406" t="s">
        <v>1426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ISNUMBER(MATCH(CONTROL[[#This Row],[VEHIDCODE]],TRACK_TYPES[VEHIDCODE],0))</f>
        <v>1</v>
      </c>
      <c r="K406" t="b">
        <f>ISNUMBER(MATCH(CONTROL[[#This Row],[VEHIDCODE]],PROPERTIES[VEHIDCODE],0))</f>
        <v>1</v>
      </c>
      <c r="L406" t="b">
        <f>ISNUMBER(MATCH(CONTROL[[#This Row],[VEHIDCODE]],GRAPHICS_PROPERTIES[VEHIDCODE],0))</f>
        <v>1</v>
      </c>
      <c r="M406" s="21" t="str">
        <f>"item_"&amp;CONTROL[[#This Row],[VEHIDCODE]]</f>
        <v>item_electric_Bombardier_Traxx_H80_AC</v>
      </c>
      <c r="N406" s="21" t="str">
        <f>"str_"&amp;CONTROL[[#This Row],[VEHIDCODE]]</f>
        <v>str_electric_Bombardier_Traxx_H80_AC</v>
      </c>
      <c r="O406" s="7" t="b">
        <f>INDEX(PROPERTIES[IS_CONCEPT],MATCH(CONTROL[[#This Row],[VEHIDCODE]],PROPERTIES[VEHIDCODE],0))="IS_CONCEPT"</f>
        <v>0</v>
      </c>
      <c r="P406" s="7" t="b">
        <f>INDEX(PROPERTIES[EXCLUDE],MATCH(CONTROL[[#This Row],[VEHIDCODE]],PROPERTIES[VEHIDCODE],0))</f>
        <v>0</v>
      </c>
      <c r="Q4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407" spans="1:17" x14ac:dyDescent="0.35">
      <c r="A407" s="2" t="s">
        <v>3033</v>
      </c>
      <c r="B407" s="21" t="str">
        <f>MID(CONTROL[[#This Row],[VEHIDCODE]],FIND("_",CONTROL[[#This Row],[VEHIDCODE]])+1,LEN(CONTROL[[#This Row],[VEHIDCODE]]))</f>
        <v>Siemens_Oa</v>
      </c>
      <c r="C4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7">
        <v>6069</v>
      </c>
      <c r="F407" s="30" t="s">
        <v>2260</v>
      </c>
      <c r="G407" t="s">
        <v>1427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ISNUMBER(MATCH(CONTROL[[#This Row],[VEHIDCODE]],TRACK_TYPES[VEHIDCODE],0))</f>
        <v>1</v>
      </c>
      <c r="K407" t="b">
        <f>ISNUMBER(MATCH(CONTROL[[#This Row],[VEHIDCODE]],PROPERTIES[VEHIDCODE],0))</f>
        <v>1</v>
      </c>
      <c r="L407" t="b">
        <f>ISNUMBER(MATCH(CONTROL[[#This Row],[VEHIDCODE]],GRAPHICS_PROPERTIES[VEHIDCODE],0))</f>
        <v>1</v>
      </c>
      <c r="M407" s="21" t="str">
        <f>"item_"&amp;CONTROL[[#This Row],[VEHIDCODE]]</f>
        <v>item_electric_Siemens_Oa</v>
      </c>
      <c r="N407" s="21" t="str">
        <f>"str_"&amp;CONTROL[[#This Row],[VEHIDCODE]]</f>
        <v>str_electric_Siemens_Oa</v>
      </c>
      <c r="O407" s="7" t="b">
        <f>INDEX(PROPERTIES[IS_CONCEPT],MATCH(CONTROL[[#This Row],[VEHIDCODE]],PROPERTIES[VEHIDCODE],0))="IS_CONCEPT"</f>
        <v>0</v>
      </c>
      <c r="P407" s="7" t="b">
        <f>INDEX(PROPERTIES[EXCLUDE],MATCH(CONTROL[[#This Row],[VEHIDCODE]],PROPERTIES[VEHIDCODE],0))</f>
        <v>0</v>
      </c>
      <c r="Q4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TPL_17E</v>
      </c>
    </row>
    <row r="408" spans="1:17" x14ac:dyDescent="0.35">
      <c r="A408" s="2" t="s">
        <v>3034</v>
      </c>
      <c r="B408" s="21" t="str">
        <f>MID(CONTROL[[#This Row],[VEHIDCODE]],FIND("_",CONTROL[[#This Row],[VEHIDCODE]])+1,LEN(CONTROL[[#This Row],[VEHIDCODE]]))</f>
        <v>ASEA_F</v>
      </c>
      <c r="C4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8">
        <v>6076</v>
      </c>
      <c r="F408" s="30" t="s">
        <v>2562</v>
      </c>
      <c r="G408" t="s">
        <v>1428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ISNUMBER(MATCH(CONTROL[[#This Row],[VEHIDCODE]],TRACK_TYPES[VEHIDCODE],0))</f>
        <v>1</v>
      </c>
      <c r="K408" t="b">
        <f>ISNUMBER(MATCH(CONTROL[[#This Row],[VEHIDCODE]],PROPERTIES[VEHIDCODE],0))</f>
        <v>1</v>
      </c>
      <c r="L408" t="b">
        <f>ISNUMBER(MATCH(CONTROL[[#This Row],[VEHIDCODE]],GRAPHICS_PROPERTIES[VEHIDCODE],0))</f>
        <v>1</v>
      </c>
      <c r="M408" s="21" t="str">
        <f>"item_"&amp;CONTROL[[#This Row],[VEHIDCODE]]</f>
        <v>item_electric_ASEA_F</v>
      </c>
      <c r="N408" s="21" t="str">
        <f>"str_"&amp;CONTROL[[#This Row],[VEHIDCODE]]</f>
        <v>str_electric_ASEA_F</v>
      </c>
      <c r="O408" s="7" t="b">
        <f>INDEX(PROPERTIES[IS_CONCEPT],MATCH(CONTROL[[#This Row],[VEHIDCODE]],PROPERTIES[VEHIDCODE],0))="IS_CONCEPT"</f>
        <v>0</v>
      </c>
      <c r="P408" s="7" t="b">
        <f>INDEX(PROPERTIES[EXCLUDE],MATCH(CONTROL[[#This Row],[VEHIDCODE]],PROPERTIES[VEHIDCODE],0))</f>
        <v>0</v>
      </c>
      <c r="Q4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09" spans="1:17" x14ac:dyDescent="0.35">
      <c r="A409" s="2" t="s">
        <v>3035</v>
      </c>
      <c r="B409" s="21" t="str">
        <f>MID(CONTROL[[#This Row],[VEHIDCODE]],FIND("_",CONTROL[[#This Row],[VEHIDCODE]])+1,LEN(CONTROL[[#This Row],[VEHIDCODE]]))</f>
        <v>Thyssen_Henschel_EL17</v>
      </c>
      <c r="C4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09">
        <v>6129</v>
      </c>
      <c r="F409" s="30" t="s">
        <v>2602</v>
      </c>
      <c r="G409" t="s">
        <v>1429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ISNUMBER(MATCH(CONTROL[[#This Row],[VEHIDCODE]],TRACK_TYPES[VEHIDCODE],0))</f>
        <v>1</v>
      </c>
      <c r="K409" t="b">
        <f>ISNUMBER(MATCH(CONTROL[[#This Row],[VEHIDCODE]],PROPERTIES[VEHIDCODE],0))</f>
        <v>1</v>
      </c>
      <c r="L409" t="b">
        <f>ISNUMBER(MATCH(CONTROL[[#This Row],[VEHIDCODE]],GRAPHICS_PROPERTIES[VEHIDCODE],0))</f>
        <v>1</v>
      </c>
      <c r="M409" s="21" t="str">
        <f>"item_"&amp;CONTROL[[#This Row],[VEHIDCODE]]</f>
        <v>item_electric_Thyssen_Henschel_EL17</v>
      </c>
      <c r="N409" s="21" t="str">
        <f>"str_"&amp;CONTROL[[#This Row],[VEHIDCODE]]</f>
        <v>str_electric_Thyssen_Henschel_EL17</v>
      </c>
      <c r="O409" s="7" t="b">
        <f>INDEX(PROPERTIES[IS_CONCEPT],MATCH(CONTROL[[#This Row],[VEHIDCODE]],PROPERTIES[VEHIDCODE],0))="IS_CONCEPT"</f>
        <v>0</v>
      </c>
      <c r="P409" s="7" t="b">
        <f>INDEX(PROPERTIES[EXCLUDE],MATCH(CONTROL[[#This Row],[VEHIDCODE]],PROPERTIES[VEHIDCODE],0))</f>
        <v>0</v>
      </c>
      <c r="Q4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0" spans="1:17" x14ac:dyDescent="0.35">
      <c r="A410" s="2" t="s">
        <v>3036</v>
      </c>
      <c r="B410" s="21" t="str">
        <f>MID(CONTROL[[#This Row],[VEHIDCODE]],FIND("_",CONTROL[[#This Row],[VEHIDCODE]])+1,LEN(CONTROL[[#This Row],[VEHIDCODE]]))</f>
        <v>Borsig_SSW_ES_6</v>
      </c>
      <c r="C4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0">
        <v>6135</v>
      </c>
      <c r="F410" s="30" t="s">
        <v>2261</v>
      </c>
      <c r="G410" t="s">
        <v>1430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ISNUMBER(MATCH(CONTROL[[#This Row],[VEHIDCODE]],TRACK_TYPES[VEHIDCODE],0))</f>
        <v>1</v>
      </c>
      <c r="K410" t="b">
        <f>ISNUMBER(MATCH(CONTROL[[#This Row],[VEHIDCODE]],PROPERTIES[VEHIDCODE],0))</f>
        <v>1</v>
      </c>
      <c r="L410" t="b">
        <f>ISNUMBER(MATCH(CONTROL[[#This Row],[VEHIDCODE]],GRAPHICS_PROPERTIES[VEHIDCODE],0))</f>
        <v>1</v>
      </c>
      <c r="M410" s="21" t="str">
        <f>"item_"&amp;CONTROL[[#This Row],[VEHIDCODE]]</f>
        <v>item_electric_Borsig_SSW_ES_6</v>
      </c>
      <c r="N410" s="21" t="str">
        <f>"str_"&amp;CONTROL[[#This Row],[VEHIDCODE]]</f>
        <v>str_electric_Borsig_SSW_ES_6</v>
      </c>
      <c r="O410" s="7" t="b">
        <f>INDEX(PROPERTIES[IS_CONCEPT],MATCH(CONTROL[[#This Row],[VEHIDCODE]],PROPERTIES[VEHIDCODE],0))="IS_CONCEPT"</f>
        <v>0</v>
      </c>
      <c r="P410" s="7" t="b">
        <f>INDEX(PROPERTIES[EXCLUDE],MATCH(CONTROL[[#This Row],[VEHIDCODE]],PROPERTIES[VEHIDCODE],0))</f>
        <v>0</v>
      </c>
      <c r="Q4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411" spans="1:17" x14ac:dyDescent="0.35">
      <c r="A411" s="2" t="s">
        <v>3037</v>
      </c>
      <c r="B411" s="21" t="str">
        <f>MID(CONTROL[[#This Row],[VEHIDCODE]],FIND("_",CONTROL[[#This Row],[VEHIDCODE]])+1,LEN(CONTROL[[#This Row],[VEHIDCODE]]))</f>
        <v>GE_EL_2B</v>
      </c>
      <c r="C4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1">
        <v>6098</v>
      </c>
      <c r="F411" s="30" t="s">
        <v>2553</v>
      </c>
      <c r="G411" t="s">
        <v>1431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ISNUMBER(MATCH(CONTROL[[#This Row],[VEHIDCODE]],TRACK_TYPES[VEHIDCODE],0))</f>
        <v>1</v>
      </c>
      <c r="K411" t="b">
        <f>ISNUMBER(MATCH(CONTROL[[#This Row],[VEHIDCODE]],PROPERTIES[VEHIDCODE],0))</f>
        <v>1</v>
      </c>
      <c r="L411" t="b">
        <f>ISNUMBER(MATCH(CONTROL[[#This Row],[VEHIDCODE]],GRAPHICS_PROPERTIES[VEHIDCODE],0))</f>
        <v>1</v>
      </c>
      <c r="M411" s="21" t="str">
        <f>"item_"&amp;CONTROL[[#This Row],[VEHIDCODE]]</f>
        <v>item_electric_GE_EL_2B</v>
      </c>
      <c r="N411" s="21" t="str">
        <f>"str_"&amp;CONTROL[[#This Row],[VEHIDCODE]]</f>
        <v>str_electric_GE_EL_2B</v>
      </c>
      <c r="O411" s="7" t="b">
        <f>INDEX(PROPERTIES[IS_CONCEPT],MATCH(CONTROL[[#This Row],[VEHIDCODE]],PROPERTIES[VEHIDCODE],0))="IS_CONCEPT"</f>
        <v>0</v>
      </c>
      <c r="P411" s="7" t="b">
        <f>INDEX(PROPERTIES[EXCLUDE],MATCH(CONTROL[[#This Row],[VEHIDCODE]],PROPERTIES[VEHIDCODE],0))</f>
        <v>0</v>
      </c>
      <c r="Q4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412" spans="1:17" x14ac:dyDescent="0.35">
      <c r="A412" s="2" t="s">
        <v>3038</v>
      </c>
      <c r="B412" s="21" t="str">
        <f>MID(CONTROL[[#This Row],[VEHIDCODE]],FIND("_",CONTROL[[#This Row],[VEHIDCODE]])+1,LEN(CONTROL[[#This Row],[VEHIDCODE]]))</f>
        <v>GE_W_1</v>
      </c>
      <c r="C4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2">
        <v>6097</v>
      </c>
      <c r="F412" s="30" t="s">
        <v>2552</v>
      </c>
      <c r="G412" t="s">
        <v>1432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ISNUMBER(MATCH(CONTROL[[#This Row],[VEHIDCODE]],TRACK_TYPES[VEHIDCODE],0))</f>
        <v>1</v>
      </c>
      <c r="K412" t="b">
        <f>ISNUMBER(MATCH(CONTROL[[#This Row],[VEHIDCODE]],PROPERTIES[VEHIDCODE],0))</f>
        <v>1</v>
      </c>
      <c r="L412" t="b">
        <f>ISNUMBER(MATCH(CONTROL[[#This Row],[VEHIDCODE]],GRAPHICS_PROPERTIES[VEHIDCODE],0))</f>
        <v>1</v>
      </c>
      <c r="M412" s="21" t="str">
        <f>"item_"&amp;CONTROL[[#This Row],[VEHIDCODE]]</f>
        <v>item_electric_GE_W_1</v>
      </c>
      <c r="N412" s="21" t="str">
        <f>"str_"&amp;CONTROL[[#This Row],[VEHIDCODE]]</f>
        <v>str_electric_GE_W_1</v>
      </c>
      <c r="O412" s="7" t="b">
        <f>INDEX(PROPERTIES[IS_CONCEPT],MATCH(CONTROL[[#This Row],[VEHIDCODE]],PROPERTIES[VEHIDCODE],0))="IS_CONCEPT"</f>
        <v>0</v>
      </c>
      <c r="P412" s="7" t="b">
        <f>INDEX(PROPERTIES[EXCLUDE],MATCH(CONTROL[[#This Row],[VEHIDCODE]],PROPERTIES[VEHIDCODE],0))</f>
        <v>0</v>
      </c>
      <c r="Q4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413" spans="1:17" x14ac:dyDescent="0.35">
      <c r="A413" s="2" t="s">
        <v>3039</v>
      </c>
      <c r="B413" s="21" t="str">
        <f>MID(CONTROL[[#This Row],[VEHIDCODE]],FIND("_",CONTROL[[#This Row],[VEHIDCODE]])+1,LEN(CONTROL[[#This Row],[VEHIDCODE]]))</f>
        <v>Westinghouse_6wOE_B1</v>
      </c>
      <c r="C4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3">
        <v>6121</v>
      </c>
      <c r="F413" s="30" t="s">
        <v>2262</v>
      </c>
      <c r="G413" t="s">
        <v>1433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ISNUMBER(MATCH(CONTROL[[#This Row],[VEHIDCODE]],TRACK_TYPES[VEHIDCODE],0))</f>
        <v>1</v>
      </c>
      <c r="K413" t="b">
        <f>ISNUMBER(MATCH(CONTROL[[#This Row],[VEHIDCODE]],PROPERTIES[VEHIDCODE],0))</f>
        <v>1</v>
      </c>
      <c r="L413" t="b">
        <f>ISNUMBER(MATCH(CONTROL[[#This Row],[VEHIDCODE]],GRAPHICS_PROPERTIES[VEHIDCODE],0))</f>
        <v>1</v>
      </c>
      <c r="M413" s="21" t="str">
        <f>"item_"&amp;CONTROL[[#This Row],[VEHIDCODE]]</f>
        <v>item_electric_Westinghouse_6wOE_B1</v>
      </c>
      <c r="N413" s="21" t="str">
        <f>"str_"&amp;CONTROL[[#This Row],[VEHIDCODE]]</f>
        <v>str_electric_Westinghouse_6wOE_B1</v>
      </c>
      <c r="O413" s="7" t="b">
        <f>INDEX(PROPERTIES[IS_CONCEPT],MATCH(CONTROL[[#This Row],[VEHIDCODE]],PROPERTIES[VEHIDCODE],0))="IS_CONCEPT"</f>
        <v>0</v>
      </c>
      <c r="P413" s="7" t="b">
        <f>INDEX(PROPERTIES[EXCLUDE],MATCH(CONTROL[[#This Row],[VEHIDCODE]],PROPERTIES[VEHIDCODE],0))</f>
        <v>0</v>
      </c>
      <c r="Q4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4" spans="1:17" x14ac:dyDescent="0.35">
      <c r="A414" s="2" t="s">
        <v>3040</v>
      </c>
      <c r="B414" s="21" t="str">
        <f>MID(CONTROL[[#This Row],[VEHIDCODE]],FIND("_",CONTROL[[#This Row],[VEHIDCODE]])+1,LEN(CONTROL[[#This Row],[VEHIDCODE]]))</f>
        <v>Siemens_E40_AG_V1</v>
      </c>
      <c r="C4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4">
        <v>6118</v>
      </c>
      <c r="F414" s="30" t="s">
        <v>2263</v>
      </c>
      <c r="G414" t="s">
        <v>1434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ISNUMBER(MATCH(CONTROL[[#This Row],[VEHIDCODE]],TRACK_TYPES[VEHIDCODE],0))</f>
        <v>1</v>
      </c>
      <c r="K414" t="b">
        <f>ISNUMBER(MATCH(CONTROL[[#This Row],[VEHIDCODE]],PROPERTIES[VEHIDCODE],0))</f>
        <v>1</v>
      </c>
      <c r="L414" t="b">
        <f>ISNUMBER(MATCH(CONTROL[[#This Row],[VEHIDCODE]],GRAPHICS_PROPERTIES[VEHIDCODE],0))</f>
        <v>1</v>
      </c>
      <c r="M414" s="21" t="str">
        <f>"item_"&amp;CONTROL[[#This Row],[VEHIDCODE]]</f>
        <v>item_electric_Siemens_E40_AG_V1</v>
      </c>
      <c r="N414" s="21" t="str">
        <f>"str_"&amp;CONTROL[[#This Row],[VEHIDCODE]]</f>
        <v>str_electric_Siemens_E40_AG_V1</v>
      </c>
      <c r="O414" s="7" t="b">
        <f>INDEX(PROPERTIES[IS_CONCEPT],MATCH(CONTROL[[#This Row],[VEHIDCODE]],PROPERTIES[VEHIDCODE],0))="IS_CONCEPT"</f>
        <v>0</v>
      </c>
      <c r="P414" s="7" t="b">
        <f>INDEX(PROPERTIES[EXCLUDE],MATCH(CONTROL[[#This Row],[VEHIDCODE]],PROPERTIES[VEHIDCODE],0))</f>
        <v>0</v>
      </c>
      <c r="Q4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5" spans="1:17" x14ac:dyDescent="0.35">
      <c r="A415" s="2" t="s">
        <v>3041</v>
      </c>
      <c r="B415" s="21" t="str">
        <f>MID(CONTROL[[#This Row],[VEHIDCODE]],FIND("_",CONTROL[[#This Row],[VEHIDCODE]])+1,LEN(CONTROL[[#This Row],[VEHIDCODE]]))</f>
        <v>Zuzhou_SS6</v>
      </c>
      <c r="C4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5">
        <v>6044</v>
      </c>
      <c r="F415" s="30" t="s">
        <v>2535</v>
      </c>
      <c r="G415" t="s">
        <v>1435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ISNUMBER(MATCH(CONTROL[[#This Row],[VEHIDCODE]],TRACK_TYPES[VEHIDCODE],0))</f>
        <v>1</v>
      </c>
      <c r="K415" t="b">
        <f>ISNUMBER(MATCH(CONTROL[[#This Row],[VEHIDCODE]],PROPERTIES[VEHIDCODE],0))</f>
        <v>1</v>
      </c>
      <c r="L415" t="b">
        <f>ISNUMBER(MATCH(CONTROL[[#This Row],[VEHIDCODE]],GRAPHICS_PROPERTIES[VEHIDCODE],0))</f>
        <v>1</v>
      </c>
      <c r="M415" s="21" t="str">
        <f>"item_"&amp;CONTROL[[#This Row],[VEHIDCODE]]</f>
        <v>item_electric_Zuzhou_SS6</v>
      </c>
      <c r="N415" s="21" t="str">
        <f>"str_"&amp;CONTROL[[#This Row],[VEHIDCODE]]</f>
        <v>str_electric_Zuzhou_SS6</v>
      </c>
      <c r="O415" s="7" t="b">
        <f>INDEX(PROPERTIES[IS_CONCEPT],MATCH(CONTROL[[#This Row],[VEHIDCODE]],PROPERTIES[VEHIDCODE],0))="IS_CONCEPT"</f>
        <v>0</v>
      </c>
      <c r="P415" s="7" t="b">
        <f>INDEX(PROPERTIES[EXCLUDE],MATCH(CONTROL[[#This Row],[VEHIDCODE]],PROPERTIES[VEHIDCODE],0))</f>
        <v>0</v>
      </c>
      <c r="Q4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6" spans="1:17" x14ac:dyDescent="0.35">
      <c r="A416" s="2" t="s">
        <v>3042</v>
      </c>
      <c r="B416" s="21" t="str">
        <f>MID(CONTROL[[#This Row],[VEHIDCODE]],FIND("_",CONTROL[[#This Row],[VEHIDCODE]])+1,LEN(CONTROL[[#This Row],[VEHIDCODE]]))</f>
        <v>Zuzhou_SS3</v>
      </c>
      <c r="C4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6">
        <v>6127</v>
      </c>
      <c r="F416" s="30" t="s">
        <v>2536</v>
      </c>
      <c r="G416" t="s">
        <v>1436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ISNUMBER(MATCH(CONTROL[[#This Row],[VEHIDCODE]],TRACK_TYPES[VEHIDCODE],0))</f>
        <v>1</v>
      </c>
      <c r="K416" t="b">
        <f>ISNUMBER(MATCH(CONTROL[[#This Row],[VEHIDCODE]],PROPERTIES[VEHIDCODE],0))</f>
        <v>1</v>
      </c>
      <c r="L416" t="b">
        <f>ISNUMBER(MATCH(CONTROL[[#This Row],[VEHIDCODE]],GRAPHICS_PROPERTIES[VEHIDCODE],0))</f>
        <v>1</v>
      </c>
      <c r="M416" s="21" t="str">
        <f>"item_"&amp;CONTROL[[#This Row],[VEHIDCODE]]</f>
        <v>item_electric_Zuzhou_SS3</v>
      </c>
      <c r="N416" s="21" t="str">
        <f>"str_"&amp;CONTROL[[#This Row],[VEHIDCODE]]</f>
        <v>str_electric_Zuzhou_SS3</v>
      </c>
      <c r="O416" s="7" t="b">
        <f>INDEX(PROPERTIES[IS_CONCEPT],MATCH(CONTROL[[#This Row],[VEHIDCODE]],PROPERTIES[VEHIDCODE],0))="IS_CONCEPT"</f>
        <v>0</v>
      </c>
      <c r="P416" s="7" t="b">
        <f>INDEX(PROPERTIES[EXCLUDE],MATCH(CONTROL[[#This Row],[VEHIDCODE]],PROPERTIES[VEHIDCODE],0))</f>
        <v>0</v>
      </c>
      <c r="Q4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7" spans="1:17" x14ac:dyDescent="0.35">
      <c r="A417" s="2" t="s">
        <v>3043</v>
      </c>
      <c r="B417" s="21" t="str">
        <f>MID(CONTROL[[#This Row],[VEHIDCODE]],FIND("_",CONTROL[[#This Row],[VEHIDCODE]])+1,LEN(CONTROL[[#This Row],[VEHIDCODE]]))</f>
        <v>Toshiba_CNR_Dalian_HXD3</v>
      </c>
      <c r="C4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7">
        <v>6058</v>
      </c>
      <c r="F417" s="30" t="s">
        <v>2264</v>
      </c>
      <c r="G417" t="s">
        <v>1437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ISNUMBER(MATCH(CONTROL[[#This Row],[VEHIDCODE]],TRACK_TYPES[VEHIDCODE],0))</f>
        <v>1</v>
      </c>
      <c r="K417" t="b">
        <f>ISNUMBER(MATCH(CONTROL[[#This Row],[VEHIDCODE]],PROPERTIES[VEHIDCODE],0))</f>
        <v>1</v>
      </c>
      <c r="L417" t="b">
        <f>ISNUMBER(MATCH(CONTROL[[#This Row],[VEHIDCODE]],GRAPHICS_PROPERTIES[VEHIDCODE],0))</f>
        <v>1</v>
      </c>
      <c r="M417" s="21" t="str">
        <f>"item_"&amp;CONTROL[[#This Row],[VEHIDCODE]]</f>
        <v>item_electric_Toshiba_CNR_Dalian_HXD3</v>
      </c>
      <c r="N417" s="21" t="str">
        <f>"str_"&amp;CONTROL[[#This Row],[VEHIDCODE]]</f>
        <v>str_electric_Toshiba_CNR_Dalian_HXD3</v>
      </c>
      <c r="O417" s="7" t="b">
        <f>INDEX(PROPERTIES[IS_CONCEPT],MATCH(CONTROL[[#This Row],[VEHIDCODE]],PROPERTIES[VEHIDCODE],0))="IS_CONCEPT"</f>
        <v>0</v>
      </c>
      <c r="P417" s="7" t="b">
        <f>INDEX(PROPERTIES[EXCLUDE],MATCH(CONTROL[[#This Row],[VEHIDCODE]],PROPERTIES[VEHIDCODE],0))</f>
        <v>0</v>
      </c>
      <c r="Q4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8" spans="1:17" x14ac:dyDescent="0.35">
      <c r="A418" s="2" t="s">
        <v>3044</v>
      </c>
      <c r="B418" s="21" t="str">
        <f>MID(CONTROL[[#This Row],[VEHIDCODE]],FIND("_",CONTROL[[#This Row],[VEHIDCODE]])+1,LEN(CONTROL[[#This Row],[VEHIDCODE]]))</f>
        <v>Toshiba_CRRC_HXD1D</v>
      </c>
      <c r="C4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8">
        <v>6093</v>
      </c>
      <c r="F418" s="30" t="s">
        <v>2265</v>
      </c>
      <c r="G418" t="s">
        <v>1438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ISNUMBER(MATCH(CONTROL[[#This Row],[VEHIDCODE]],TRACK_TYPES[VEHIDCODE],0))</f>
        <v>1</v>
      </c>
      <c r="K418" t="b">
        <f>ISNUMBER(MATCH(CONTROL[[#This Row],[VEHIDCODE]],PROPERTIES[VEHIDCODE],0))</f>
        <v>1</v>
      </c>
      <c r="L418" t="b">
        <f>ISNUMBER(MATCH(CONTROL[[#This Row],[VEHIDCODE]],GRAPHICS_PROPERTIES[VEHIDCODE],0))</f>
        <v>1</v>
      </c>
      <c r="M418" s="21" t="str">
        <f>"item_"&amp;CONTROL[[#This Row],[VEHIDCODE]]</f>
        <v>item_electric_Toshiba_CRRC_HXD1D</v>
      </c>
      <c r="N418" s="21" t="str">
        <f>"str_"&amp;CONTROL[[#This Row],[VEHIDCODE]]</f>
        <v>str_electric_Toshiba_CRRC_HXD1D</v>
      </c>
      <c r="O418" s="7" t="b">
        <f>INDEX(PROPERTIES[IS_CONCEPT],MATCH(CONTROL[[#This Row],[VEHIDCODE]],PROPERTIES[VEHIDCODE],0))="IS_CONCEPT"</f>
        <v>0</v>
      </c>
      <c r="P418" s="7" t="b">
        <f>INDEX(PROPERTIES[EXCLUDE],MATCH(CONTROL[[#This Row],[VEHIDCODE]],PROPERTIES[VEHIDCODE],0))</f>
        <v>0</v>
      </c>
      <c r="Q4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19" spans="1:17" x14ac:dyDescent="0.35">
      <c r="A419" s="2" t="s">
        <v>3045</v>
      </c>
      <c r="B419" s="21" t="str">
        <f>MID(CONTROL[[#This Row],[VEHIDCODE]],FIND("_",CONTROL[[#This Row],[VEHIDCODE]])+1,LEN(CONTROL[[#This Row],[VEHIDCODE]]))</f>
        <v>Kawasaki_6K</v>
      </c>
      <c r="C4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19">
        <v>6042</v>
      </c>
      <c r="F419" s="30" t="s">
        <v>2266</v>
      </c>
      <c r="G419" t="s">
        <v>1439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ISNUMBER(MATCH(CONTROL[[#This Row],[VEHIDCODE]],TRACK_TYPES[VEHIDCODE],0))</f>
        <v>1</v>
      </c>
      <c r="K419" t="b">
        <f>ISNUMBER(MATCH(CONTROL[[#This Row],[VEHIDCODE]],PROPERTIES[VEHIDCODE],0))</f>
        <v>1</v>
      </c>
      <c r="L419" t="b">
        <f>ISNUMBER(MATCH(CONTROL[[#This Row],[VEHIDCODE]],GRAPHICS_PROPERTIES[VEHIDCODE],0))</f>
        <v>1</v>
      </c>
      <c r="M419" s="21" t="str">
        <f>"item_"&amp;CONTROL[[#This Row],[VEHIDCODE]]</f>
        <v>item_electric_Kawasaki_6K</v>
      </c>
      <c r="N419" s="21" t="str">
        <f>"str_"&amp;CONTROL[[#This Row],[VEHIDCODE]]</f>
        <v>str_electric_Kawasaki_6K</v>
      </c>
      <c r="O419" s="7" t="b">
        <f>INDEX(PROPERTIES[IS_CONCEPT],MATCH(CONTROL[[#This Row],[VEHIDCODE]],PROPERTIES[VEHIDCODE],0))="IS_CONCEPT"</f>
        <v>0</v>
      </c>
      <c r="P419" s="7" t="b">
        <f>INDEX(PROPERTIES[EXCLUDE],MATCH(CONTROL[[#This Row],[VEHIDCODE]],PROPERTIES[VEHIDCODE],0))</f>
        <v>0</v>
      </c>
      <c r="Q4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0" spans="1:17" x14ac:dyDescent="0.35">
      <c r="A420" s="2" t="s">
        <v>3046</v>
      </c>
      <c r="B420" s="21" t="str">
        <f>MID(CONTROL[[#This Row],[VEHIDCODE]],FIND("_",CONTROL[[#This Row],[VEHIDCODE]])+1,LEN(CONTROL[[#This Row],[VEHIDCODE]]))</f>
        <v>GE_E44</v>
      </c>
      <c r="C4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0">
        <v>6101</v>
      </c>
      <c r="F420" s="30" t="s">
        <v>2267</v>
      </c>
      <c r="G420" t="s">
        <v>1440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ISNUMBER(MATCH(CONTROL[[#This Row],[VEHIDCODE]],TRACK_TYPES[VEHIDCODE],0))</f>
        <v>1</v>
      </c>
      <c r="K420" t="b">
        <f>ISNUMBER(MATCH(CONTROL[[#This Row],[VEHIDCODE]],PROPERTIES[VEHIDCODE],0))</f>
        <v>1</v>
      </c>
      <c r="L420" t="b">
        <f>ISNUMBER(MATCH(CONTROL[[#This Row],[VEHIDCODE]],GRAPHICS_PROPERTIES[VEHIDCODE],0))</f>
        <v>1</v>
      </c>
      <c r="M420" s="21" t="str">
        <f>"item_"&amp;CONTROL[[#This Row],[VEHIDCODE]]</f>
        <v>item_electric_GE_E44</v>
      </c>
      <c r="N420" s="21" t="str">
        <f>"str_"&amp;CONTROL[[#This Row],[VEHIDCODE]]</f>
        <v>str_electric_GE_E44</v>
      </c>
      <c r="O420" s="7" t="b">
        <f>INDEX(PROPERTIES[IS_CONCEPT],MATCH(CONTROL[[#This Row],[VEHIDCODE]],PROPERTIES[VEHIDCODE],0))="IS_CONCEPT"</f>
        <v>0</v>
      </c>
      <c r="P420" s="7" t="b">
        <f>INDEX(PROPERTIES[EXCLUDE],MATCH(CONTROL[[#This Row],[VEHIDCODE]],PROPERTIES[VEHIDCODE],0))</f>
        <v>0</v>
      </c>
      <c r="Q4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1" spans="1:17" x14ac:dyDescent="0.35">
      <c r="A421" s="2" t="s">
        <v>3047</v>
      </c>
      <c r="B421" s="21" t="str">
        <f>MID(CONTROL[[#This Row],[VEHIDCODE]],FIND("_",CONTROL[[#This Row],[VEHIDCODE]])+1,LEN(CONTROL[[#This Row],[VEHIDCODE]]))</f>
        <v>ASEA_Koncar_Rb</v>
      </c>
      <c r="C4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1">
        <v>6031</v>
      </c>
      <c r="F421" s="30" t="s">
        <v>2277</v>
      </c>
      <c r="G421" t="s">
        <v>1441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ISNUMBER(MATCH(CONTROL[[#This Row],[VEHIDCODE]],TRACK_TYPES[VEHIDCODE],0))</f>
        <v>1</v>
      </c>
      <c r="K421" t="b">
        <f>ISNUMBER(MATCH(CONTROL[[#This Row],[VEHIDCODE]],PROPERTIES[VEHIDCODE],0))</f>
        <v>1</v>
      </c>
      <c r="L421" t="b">
        <f>ISNUMBER(MATCH(CONTROL[[#This Row],[VEHIDCODE]],GRAPHICS_PROPERTIES[VEHIDCODE],0))</f>
        <v>1</v>
      </c>
      <c r="M421" s="21" t="str">
        <f>"item_"&amp;CONTROL[[#This Row],[VEHIDCODE]]</f>
        <v>item_electric_ASEA_Koncar_Rb</v>
      </c>
      <c r="N421" s="21" t="str">
        <f>"str_"&amp;CONTROL[[#This Row],[VEHIDCODE]]</f>
        <v>str_electric_ASEA_Koncar_Rb</v>
      </c>
      <c r="O421" s="7" t="b">
        <f>INDEX(PROPERTIES[IS_CONCEPT],MATCH(CONTROL[[#This Row],[VEHIDCODE]],PROPERTIES[VEHIDCODE],0))="IS_CONCEPT"</f>
        <v>0</v>
      </c>
      <c r="P421" s="7" t="b">
        <f>INDEX(PROPERTIES[EXCLUDE],MATCH(CONTROL[[#This Row],[VEHIDCODE]],PROPERTIES[VEHIDCODE],0))</f>
        <v>0</v>
      </c>
      <c r="Q4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2" spans="1:17" x14ac:dyDescent="0.35">
      <c r="A422" s="2" t="s">
        <v>3048</v>
      </c>
      <c r="B422" s="21" t="str">
        <f>MID(CONTROL[[#This Row],[VEHIDCODE]],FIND("_",CONTROL[[#This Row],[VEHIDCODE]])+1,LEN(CONTROL[[#This Row],[VEHIDCODE]]))</f>
        <v>Ganz_MAVAG_VM14_V43</v>
      </c>
      <c r="C4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2">
        <v>6085</v>
      </c>
      <c r="F422" s="30" t="s">
        <v>2603</v>
      </c>
      <c r="G422" t="s">
        <v>1442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ISNUMBER(MATCH(CONTROL[[#This Row],[VEHIDCODE]],TRACK_TYPES[VEHIDCODE],0))</f>
        <v>1</v>
      </c>
      <c r="K422" t="b">
        <f>ISNUMBER(MATCH(CONTROL[[#This Row],[VEHIDCODE]],PROPERTIES[VEHIDCODE],0))</f>
        <v>1</v>
      </c>
      <c r="L422" t="b">
        <f>ISNUMBER(MATCH(CONTROL[[#This Row],[VEHIDCODE]],GRAPHICS_PROPERTIES[VEHIDCODE],0))</f>
        <v>1</v>
      </c>
      <c r="M422" s="21" t="str">
        <f>"item_"&amp;CONTROL[[#This Row],[VEHIDCODE]]</f>
        <v>item_electric_Ganz_MAVAG_VM14_V43</v>
      </c>
      <c r="N422" s="21" t="str">
        <f>"str_"&amp;CONTROL[[#This Row],[VEHIDCODE]]</f>
        <v>str_electric_Ganz_MAVAG_VM14_V43</v>
      </c>
      <c r="O422" s="7" t="b">
        <f>INDEX(PROPERTIES[IS_CONCEPT],MATCH(CONTROL[[#This Row],[VEHIDCODE]],PROPERTIES[VEHIDCODE],0))="IS_CONCEPT"</f>
        <v>0</v>
      </c>
      <c r="P422" s="7" t="b">
        <f>INDEX(PROPERTIES[EXCLUDE],MATCH(CONTROL[[#This Row],[VEHIDCODE]],PROPERTIES[VEHIDCODE],0))</f>
        <v>0</v>
      </c>
      <c r="Q4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3" spans="1:17" x14ac:dyDescent="0.35">
      <c r="A423" s="2" t="s">
        <v>3049</v>
      </c>
      <c r="B423" s="21" t="str">
        <f>MID(CONTROL[[#This Row],[VEHIDCODE]],FIND("_",CONTROL[[#This Row],[VEHIDCODE]])+1,LEN(CONTROL[[#This Row],[VEHIDCODE]]))</f>
        <v>Alsthom_CP_2500</v>
      </c>
      <c r="C4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3">
        <v>6025</v>
      </c>
      <c r="F423" s="30" t="s">
        <v>2604</v>
      </c>
      <c r="G423" t="s">
        <v>1443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ISNUMBER(MATCH(CONTROL[[#This Row],[VEHIDCODE]],TRACK_TYPES[VEHIDCODE],0))</f>
        <v>1</v>
      </c>
      <c r="K423" t="b">
        <f>ISNUMBER(MATCH(CONTROL[[#This Row],[VEHIDCODE]],PROPERTIES[VEHIDCODE],0))</f>
        <v>1</v>
      </c>
      <c r="L423" t="b">
        <f>ISNUMBER(MATCH(CONTROL[[#This Row],[VEHIDCODE]],GRAPHICS_PROPERTIES[VEHIDCODE],0))</f>
        <v>1</v>
      </c>
      <c r="M423" s="21" t="str">
        <f>"item_"&amp;CONTROL[[#This Row],[VEHIDCODE]]</f>
        <v>item_electric_Alsthom_CP_2500</v>
      </c>
      <c r="N423" s="21" t="str">
        <f>"str_"&amp;CONTROL[[#This Row],[VEHIDCODE]]</f>
        <v>str_electric_Alsthom_CP_2500</v>
      </c>
      <c r="O423" s="7" t="b">
        <f>INDEX(PROPERTIES[IS_CONCEPT],MATCH(CONTROL[[#This Row],[VEHIDCODE]],PROPERTIES[VEHIDCODE],0))="IS_CONCEPT"</f>
        <v>0</v>
      </c>
      <c r="P423" s="7" t="b">
        <f>INDEX(PROPERTIES[EXCLUDE],MATCH(CONTROL[[#This Row],[VEHIDCODE]],PROPERTIES[VEHIDCODE],0))</f>
        <v>0</v>
      </c>
      <c r="Q4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4" spans="1:17" x14ac:dyDescent="0.35">
      <c r="A424" s="2" t="s">
        <v>3050</v>
      </c>
      <c r="B424" s="21" t="str">
        <f>MID(CONTROL[[#This Row],[VEHIDCODE]],FIND("_",CONTROL[[#This Row],[VEHIDCODE]])+1,LEN(CONTROL[[#This Row],[VEHIDCODE]]))</f>
        <v>Alsthom_CP_2600</v>
      </c>
      <c r="C4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4">
        <v>6103</v>
      </c>
      <c r="F424" s="30" t="s">
        <v>2540</v>
      </c>
      <c r="G424" t="s">
        <v>1444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ISNUMBER(MATCH(CONTROL[[#This Row],[VEHIDCODE]],TRACK_TYPES[VEHIDCODE],0))</f>
        <v>1</v>
      </c>
      <c r="K424" t="b">
        <f>ISNUMBER(MATCH(CONTROL[[#This Row],[VEHIDCODE]],PROPERTIES[VEHIDCODE],0))</f>
        <v>1</v>
      </c>
      <c r="L424" t="b">
        <f>ISNUMBER(MATCH(CONTROL[[#This Row],[VEHIDCODE]],GRAPHICS_PROPERTIES[VEHIDCODE],0))</f>
        <v>1</v>
      </c>
      <c r="M424" s="21" t="str">
        <f>"item_"&amp;CONTROL[[#This Row],[VEHIDCODE]]</f>
        <v>item_electric_Alsthom_CP_2600</v>
      </c>
      <c r="N424" s="21" t="str">
        <f>"str_"&amp;CONTROL[[#This Row],[VEHIDCODE]]</f>
        <v>str_electric_Alsthom_CP_2600</v>
      </c>
      <c r="O424" s="7" t="b">
        <f>INDEX(PROPERTIES[IS_CONCEPT],MATCH(CONTROL[[#This Row],[VEHIDCODE]],PROPERTIES[VEHIDCODE],0))="IS_CONCEPT"</f>
        <v>0</v>
      </c>
      <c r="P424" s="7" t="b">
        <f>INDEX(PROPERTIES[EXCLUDE],MATCH(CONTROL[[#This Row],[VEHIDCODE]],PROPERTIES[VEHIDCODE],0))</f>
        <v>0</v>
      </c>
      <c r="Q4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5" spans="1:17" x14ac:dyDescent="0.35">
      <c r="A425" s="2" t="s">
        <v>3051</v>
      </c>
      <c r="B425" s="21" t="str">
        <f>MID(CONTROL[[#This Row],[VEHIDCODE]],FIND("_",CONTROL[[#This Row],[VEHIDCODE]])+1,LEN(CONTROL[[#This Row],[VEHIDCODE]]))</f>
        <v>ZELC_20E_China_Doll</v>
      </c>
      <c r="C4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5">
        <v>6094</v>
      </c>
      <c r="F425" s="30" t="s">
        <v>2275</v>
      </c>
      <c r="G425" t="s">
        <v>1445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ISNUMBER(MATCH(CONTROL[[#This Row],[VEHIDCODE]],TRACK_TYPES[VEHIDCODE],0))</f>
        <v>1</v>
      </c>
      <c r="K425" t="b">
        <f>ISNUMBER(MATCH(CONTROL[[#This Row],[VEHIDCODE]],PROPERTIES[VEHIDCODE],0))</f>
        <v>1</v>
      </c>
      <c r="L425" t="b">
        <f>ISNUMBER(MATCH(CONTROL[[#This Row],[VEHIDCODE]],GRAPHICS_PROPERTIES[VEHIDCODE],0))</f>
        <v>1</v>
      </c>
      <c r="M425" s="21" t="str">
        <f>"item_"&amp;CONTROL[[#This Row],[VEHIDCODE]]</f>
        <v>item_electric_ZELC_20E_China_Doll</v>
      </c>
      <c r="N425" s="21" t="str">
        <f>"str_"&amp;CONTROL[[#This Row],[VEHIDCODE]]</f>
        <v>str_electric_ZELC_20E_China_Doll</v>
      </c>
      <c r="O425" s="7" t="b">
        <f>INDEX(PROPERTIES[IS_CONCEPT],MATCH(CONTROL[[#This Row],[VEHIDCODE]],PROPERTIES[VEHIDCODE],0))="IS_CONCEPT"</f>
        <v>0</v>
      </c>
      <c r="P425" s="7" t="b">
        <f>INDEX(PROPERTIES[EXCLUDE],MATCH(CONTROL[[#This Row],[VEHIDCODE]],PROPERTIES[VEHIDCODE],0))</f>
        <v>0</v>
      </c>
      <c r="Q4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6" spans="1:17" x14ac:dyDescent="0.35">
      <c r="A426" s="2" t="s">
        <v>3448</v>
      </c>
      <c r="B426" s="21" t="str">
        <f>MID(CONTROL[[#This Row],[VEHIDCODE]],FIND("_",CONTROL[[#This Row],[VEHIDCODE]])+1,LEN(CONTROL[[#This Row],[VEHIDCODE]]))</f>
        <v>Siemens_EuroSprinter_ES64F</v>
      </c>
      <c r="C4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6">
        <v>6055</v>
      </c>
      <c r="F426" s="30" t="s">
        <v>3478</v>
      </c>
      <c r="G426" t="s">
        <v>1446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ISNUMBER(MATCH(CONTROL[[#This Row],[VEHIDCODE]],TRACK_TYPES[VEHIDCODE],0))</f>
        <v>1</v>
      </c>
      <c r="K426" t="b">
        <f>ISNUMBER(MATCH(CONTROL[[#This Row],[VEHIDCODE]],PROPERTIES[VEHIDCODE],0))</f>
        <v>1</v>
      </c>
      <c r="L426" t="b">
        <f>ISNUMBER(MATCH(CONTROL[[#This Row],[VEHIDCODE]],GRAPHICS_PROPERTIES[VEHIDCODE],0))</f>
        <v>1</v>
      </c>
      <c r="M426" s="21" t="str">
        <f>"item_"&amp;CONTROL[[#This Row],[VEHIDCODE]]</f>
        <v>item_electric_Siemens_EuroSprinter_ES64F</v>
      </c>
      <c r="N426" s="21" t="str">
        <f>"str_"&amp;CONTROL[[#This Row],[VEHIDCODE]]</f>
        <v>str_electric_Siemens_EuroSprinter_ES64F</v>
      </c>
      <c r="O426" s="7" t="b">
        <f>INDEX(PROPERTIES[IS_CONCEPT],MATCH(CONTROL[[#This Row],[VEHIDCODE]],PROPERTIES[VEHIDCODE],0))="IS_CONCEPT"</f>
        <v>0</v>
      </c>
      <c r="P426" s="7" t="b">
        <f>INDEX(PROPERTIES[EXCLUDE],MATCH(CONTROL[[#This Row],[VEHIDCODE]],PROPERTIES[VEHIDCODE],0))</f>
        <v>0</v>
      </c>
      <c r="Q4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7" spans="1:17" x14ac:dyDescent="0.35">
      <c r="A427" s="2" t="s">
        <v>3052</v>
      </c>
      <c r="B427" s="21" t="str">
        <f>MID(CONTROL[[#This Row],[VEHIDCODE]],FIND("_",CONTROL[[#This Row],[VEHIDCODE]])+1,LEN(CONTROL[[#This Row],[VEHIDCODE]]))</f>
        <v>DEVZ_DS3</v>
      </c>
      <c r="C4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7">
        <v>6056</v>
      </c>
      <c r="F427" s="30" t="s">
        <v>2031</v>
      </c>
      <c r="G427" t="s">
        <v>1447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ISNUMBER(MATCH(CONTROL[[#This Row],[VEHIDCODE]],TRACK_TYPES[VEHIDCODE],0))</f>
        <v>1</v>
      </c>
      <c r="K427" t="b">
        <f>ISNUMBER(MATCH(CONTROL[[#This Row],[VEHIDCODE]],PROPERTIES[VEHIDCODE],0))</f>
        <v>1</v>
      </c>
      <c r="L427" t="b">
        <f>ISNUMBER(MATCH(CONTROL[[#This Row],[VEHIDCODE]],GRAPHICS_PROPERTIES[VEHIDCODE],0))</f>
        <v>1</v>
      </c>
      <c r="M427" s="21" t="str">
        <f>"item_"&amp;CONTROL[[#This Row],[VEHIDCODE]]</f>
        <v>item_electric_DEVZ_DS3</v>
      </c>
      <c r="N427" s="21" t="str">
        <f>"str_"&amp;CONTROL[[#This Row],[VEHIDCODE]]</f>
        <v>str_electric_DEVZ_DS3</v>
      </c>
      <c r="O427" s="7" t="b">
        <f>INDEX(PROPERTIES[IS_CONCEPT],MATCH(CONTROL[[#This Row],[VEHIDCODE]],PROPERTIES[VEHIDCODE],0))="IS_CONCEPT"</f>
        <v>0</v>
      </c>
      <c r="P427" s="7" t="b">
        <f>INDEX(PROPERTIES[EXCLUDE],MATCH(CONTROL[[#This Row],[VEHIDCODE]],PROPERTIES[VEHIDCODE],0))</f>
        <v>0</v>
      </c>
      <c r="Q4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8" spans="1:17" x14ac:dyDescent="0.35">
      <c r="A428" s="2" t="s">
        <v>3053</v>
      </c>
      <c r="B428" s="21" t="str">
        <f>MID(CONTROL[[#This Row],[VEHIDCODE]],FIND("_",CONTROL[[#This Row],[VEHIDCODE]])+1,LEN(CONTROL[[#This Row],[VEHIDCODE]]))</f>
        <v>Skoda_47E</v>
      </c>
      <c r="C4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8">
        <v>6089</v>
      </c>
      <c r="F428" s="30" t="s">
        <v>1946</v>
      </c>
      <c r="G428" t="s">
        <v>1448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ISNUMBER(MATCH(CONTROL[[#This Row],[VEHIDCODE]],TRACK_TYPES[VEHIDCODE],0))</f>
        <v>1</v>
      </c>
      <c r="K428" t="b">
        <f>ISNUMBER(MATCH(CONTROL[[#This Row],[VEHIDCODE]],PROPERTIES[VEHIDCODE],0))</f>
        <v>1</v>
      </c>
      <c r="L428" t="b">
        <f>ISNUMBER(MATCH(CONTROL[[#This Row],[VEHIDCODE]],GRAPHICS_PROPERTIES[VEHIDCODE],0))</f>
        <v>1</v>
      </c>
      <c r="M428" s="21" t="str">
        <f>"item_"&amp;CONTROL[[#This Row],[VEHIDCODE]]</f>
        <v>item_electric_Skoda_47E</v>
      </c>
      <c r="N428" s="21" t="str">
        <f>"str_"&amp;CONTROL[[#This Row],[VEHIDCODE]]</f>
        <v>str_electric_Skoda_47E</v>
      </c>
      <c r="O428" s="7" t="b">
        <f>INDEX(PROPERTIES[IS_CONCEPT],MATCH(CONTROL[[#This Row],[VEHIDCODE]],PROPERTIES[VEHIDCODE],0))="IS_CONCEPT"</f>
        <v>0</v>
      </c>
      <c r="P428" s="7" t="b">
        <f>INDEX(PROPERTIES[EXCLUDE],MATCH(CONTROL[[#This Row],[VEHIDCODE]],PROPERTIES[VEHIDCODE],0))</f>
        <v>0</v>
      </c>
      <c r="Q4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29" spans="1:17" x14ac:dyDescent="0.35">
      <c r="A429" s="2" t="s">
        <v>3054</v>
      </c>
      <c r="B429" s="21" t="str">
        <f>MID(CONTROL[[#This Row],[VEHIDCODE]],FIND("_",CONTROL[[#This Row],[VEHIDCODE]])+1,LEN(CONTROL[[#This Row],[VEHIDCODE]]))</f>
        <v>Ansaldo___Breda_C_F_E_491</v>
      </c>
      <c r="C4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29">
        <v>6115</v>
      </c>
      <c r="F429" s="30" t="s">
        <v>2276</v>
      </c>
      <c r="G429" t="s">
        <v>1449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ISNUMBER(MATCH(CONTROL[[#This Row],[VEHIDCODE]],TRACK_TYPES[VEHIDCODE],0))</f>
        <v>1</v>
      </c>
      <c r="K429" t="b">
        <f>ISNUMBER(MATCH(CONTROL[[#This Row],[VEHIDCODE]],PROPERTIES[VEHIDCODE],0))</f>
        <v>1</v>
      </c>
      <c r="L429" t="b">
        <f>ISNUMBER(MATCH(CONTROL[[#This Row],[VEHIDCODE]],GRAPHICS_PROPERTIES[VEHIDCODE],0))</f>
        <v>1</v>
      </c>
      <c r="M429" s="21" t="str">
        <f>"item_"&amp;CONTROL[[#This Row],[VEHIDCODE]]</f>
        <v>item_electric_Ansaldo___Breda_C_F_E_491</v>
      </c>
      <c r="N429" s="21" t="str">
        <f>"str_"&amp;CONTROL[[#This Row],[VEHIDCODE]]</f>
        <v>str_electric_Ansaldo___Breda_C_F_E_491</v>
      </c>
      <c r="O429" s="7" t="b">
        <f>INDEX(PROPERTIES[IS_CONCEPT],MATCH(CONTROL[[#This Row],[VEHIDCODE]],PROPERTIES[VEHIDCODE],0))="IS_CONCEPT"</f>
        <v>0</v>
      </c>
      <c r="P429" s="7" t="b">
        <f>INDEX(PROPERTIES[EXCLUDE],MATCH(CONTROL[[#This Row],[VEHIDCODE]],PROPERTIES[VEHIDCODE],0))</f>
        <v>0</v>
      </c>
      <c r="Q4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0" spans="1:17" x14ac:dyDescent="0.35">
      <c r="A430" s="2" t="s">
        <v>3055</v>
      </c>
      <c r="B430" s="21" t="str">
        <f>MID(CONTROL[[#This Row],[VEHIDCODE]],FIND("_",CONTROL[[#This Row],[VEHIDCODE]])+1,LEN(CONTROL[[#This Row],[VEHIDCODE]]))</f>
        <v>ASEA_Electroputere_Rb</v>
      </c>
      <c r="C4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0">
        <v>6105</v>
      </c>
      <c r="F430" s="30" t="s">
        <v>3475</v>
      </c>
      <c r="G430" t="s">
        <v>1450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ISNUMBER(MATCH(CONTROL[[#This Row],[VEHIDCODE]],TRACK_TYPES[VEHIDCODE],0))</f>
        <v>1</v>
      </c>
      <c r="K430" t="b">
        <f>ISNUMBER(MATCH(CONTROL[[#This Row],[VEHIDCODE]],PROPERTIES[VEHIDCODE],0))</f>
        <v>1</v>
      </c>
      <c r="L430" t="b">
        <f>ISNUMBER(MATCH(CONTROL[[#This Row],[VEHIDCODE]],GRAPHICS_PROPERTIES[VEHIDCODE],0))</f>
        <v>1</v>
      </c>
      <c r="M430" s="21" t="str">
        <f>"item_"&amp;CONTROL[[#This Row],[VEHIDCODE]]</f>
        <v>item_electric_ASEA_Electroputere_Rb</v>
      </c>
      <c r="N430" s="21" t="str">
        <f>"str_"&amp;CONTROL[[#This Row],[VEHIDCODE]]</f>
        <v>str_electric_ASEA_Electroputere_Rb</v>
      </c>
      <c r="O430" s="7" t="b">
        <f>INDEX(PROPERTIES[IS_CONCEPT],MATCH(CONTROL[[#This Row],[VEHIDCODE]],PROPERTIES[VEHIDCODE],0))="IS_CONCEPT"</f>
        <v>0</v>
      </c>
      <c r="P430" s="7" t="b">
        <f>INDEX(PROPERTIES[EXCLUDE],MATCH(CONTROL[[#This Row],[VEHIDCODE]],PROPERTIES[VEHIDCODE],0))</f>
        <v>0</v>
      </c>
      <c r="Q4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1" spans="1:17" x14ac:dyDescent="0.35">
      <c r="A431" s="2" t="s">
        <v>3056</v>
      </c>
      <c r="B431" s="21" t="str">
        <f>MID(CONTROL[[#This Row],[VEHIDCODE]],FIND("_",CONTROL[[#This Row],[VEHIDCODE]])+1,LEN(CONTROL[[#This Row],[VEHIDCODE]]))</f>
        <v>CEF_BB_1600</v>
      </c>
      <c r="C4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1">
        <v>6122</v>
      </c>
      <c r="F431" s="30" t="s">
        <v>2278</v>
      </c>
      <c r="G431" t="s">
        <v>1451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ISNUMBER(MATCH(CONTROL[[#This Row],[VEHIDCODE]],TRACK_TYPES[VEHIDCODE],0))</f>
        <v>1</v>
      </c>
      <c r="K431" t="b">
        <f>ISNUMBER(MATCH(CONTROL[[#This Row],[VEHIDCODE]],PROPERTIES[VEHIDCODE],0))</f>
        <v>1</v>
      </c>
      <c r="L431" t="b">
        <f>ISNUMBER(MATCH(CONTROL[[#This Row],[VEHIDCODE]],GRAPHICS_PROPERTIES[VEHIDCODE],0))</f>
        <v>1</v>
      </c>
      <c r="M431" s="21" t="str">
        <f>"item_"&amp;CONTROL[[#This Row],[VEHIDCODE]]</f>
        <v>item_electric_CEF_BB_1600</v>
      </c>
      <c r="N431" s="21" t="str">
        <f>"str_"&amp;CONTROL[[#This Row],[VEHIDCODE]]</f>
        <v>str_electric_CEF_BB_1600</v>
      </c>
      <c r="O431" s="7" t="b">
        <f>INDEX(PROPERTIES[IS_CONCEPT],MATCH(CONTROL[[#This Row],[VEHIDCODE]],PROPERTIES[VEHIDCODE],0))="IS_CONCEPT"</f>
        <v>0</v>
      </c>
      <c r="P431" s="7" t="b">
        <f>INDEX(PROPERTIES[EXCLUDE],MATCH(CONTROL[[#This Row],[VEHIDCODE]],PROPERTIES[VEHIDCODE],0))</f>
        <v>0</v>
      </c>
      <c r="Q4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2" spans="1:17" x14ac:dyDescent="0.35">
      <c r="A432" s="2" t="s">
        <v>3057</v>
      </c>
      <c r="B432" s="21" t="str">
        <f>MID(CONTROL[[#This Row],[VEHIDCODE]],FIND("_",CONTROL[[#This Row],[VEHIDCODE]])+1,LEN(CONTROL[[#This Row],[VEHIDCODE]]))</f>
        <v>BR_85</v>
      </c>
      <c r="C4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2">
        <v>6123</v>
      </c>
      <c r="F432" s="30" t="s">
        <v>3473</v>
      </c>
      <c r="G432" t="s">
        <v>1452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ISNUMBER(MATCH(CONTROL[[#This Row],[VEHIDCODE]],TRACK_TYPES[VEHIDCODE],0))</f>
        <v>1</v>
      </c>
      <c r="K432" t="b">
        <f>ISNUMBER(MATCH(CONTROL[[#This Row],[VEHIDCODE]],PROPERTIES[VEHIDCODE],0))</f>
        <v>1</v>
      </c>
      <c r="L432" t="b">
        <f>ISNUMBER(MATCH(CONTROL[[#This Row],[VEHIDCODE]],GRAPHICS_PROPERTIES[VEHIDCODE],0))</f>
        <v>1</v>
      </c>
      <c r="M432" s="21" t="str">
        <f>"item_"&amp;CONTROL[[#This Row],[VEHIDCODE]]</f>
        <v>item_electric_BR_85</v>
      </c>
      <c r="N432" s="21" t="str">
        <f>"str_"&amp;CONTROL[[#This Row],[VEHIDCODE]]</f>
        <v>str_electric_BR_85</v>
      </c>
      <c r="O432" s="7" t="b">
        <f>INDEX(PROPERTIES[IS_CONCEPT],MATCH(CONTROL[[#This Row],[VEHIDCODE]],PROPERTIES[VEHIDCODE],0))="IS_CONCEPT"</f>
        <v>0</v>
      </c>
      <c r="P432" s="7" t="b">
        <f>INDEX(PROPERTIES[EXCLUDE],MATCH(CONTROL[[#This Row],[VEHIDCODE]],PROPERTIES[VEHIDCODE],0))</f>
        <v>0</v>
      </c>
      <c r="Q4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3" spans="1:17" x14ac:dyDescent="0.35">
      <c r="A433" s="2" t="s">
        <v>3058</v>
      </c>
      <c r="B433" s="21" t="str">
        <f>MID(CONTROL[[#This Row],[VEHIDCODE]],FIND("_",CONTROL[[#This Row],[VEHIDCODE]])+1,LEN(CONTROL[[#This Row],[VEHIDCODE]]))</f>
        <v>GE_E60C_2</v>
      </c>
      <c r="C4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3">
        <v>6109</v>
      </c>
      <c r="F433" s="30" t="s">
        <v>2032</v>
      </c>
      <c r="G433" t="s">
        <v>1453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ISNUMBER(MATCH(CONTROL[[#This Row],[VEHIDCODE]],TRACK_TYPES[VEHIDCODE],0))</f>
        <v>1</v>
      </c>
      <c r="K433" t="b">
        <f>ISNUMBER(MATCH(CONTROL[[#This Row],[VEHIDCODE]],PROPERTIES[VEHIDCODE],0))</f>
        <v>1</v>
      </c>
      <c r="L433" t="b">
        <f>ISNUMBER(MATCH(CONTROL[[#This Row],[VEHIDCODE]],GRAPHICS_PROPERTIES[VEHIDCODE],0))</f>
        <v>1</v>
      </c>
      <c r="M433" s="21" t="str">
        <f>"item_"&amp;CONTROL[[#This Row],[VEHIDCODE]]</f>
        <v>item_electric_GE_E60C_2</v>
      </c>
      <c r="N433" s="21" t="str">
        <f>"str_"&amp;CONTROL[[#This Row],[VEHIDCODE]]</f>
        <v>str_electric_GE_E60C_2</v>
      </c>
      <c r="O433" s="7" t="b">
        <f>INDEX(PROPERTIES[IS_CONCEPT],MATCH(CONTROL[[#This Row],[VEHIDCODE]],PROPERTIES[VEHIDCODE],0))="IS_CONCEPT"</f>
        <v>0</v>
      </c>
      <c r="P433" s="7" t="b">
        <f>INDEX(PROPERTIES[EXCLUDE],MATCH(CONTROL[[#This Row],[VEHIDCODE]],PROPERTIES[VEHIDCODE],0))</f>
        <v>0</v>
      </c>
      <c r="Q4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4" spans="1:17" x14ac:dyDescent="0.35">
      <c r="A434" s="2" t="s">
        <v>3059</v>
      </c>
      <c r="B434" s="21" t="str">
        <f>MID(CONTROL[[#This Row],[VEHIDCODE]],FIND("_",CONTROL[[#This Row],[VEHIDCODE]])+1,LEN(CONTROL[[#This Row],[VEHIDCODE]]))</f>
        <v>Alstom_Prima_II</v>
      </c>
      <c r="C4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4">
        <v>6119</v>
      </c>
      <c r="F434" s="30" t="s">
        <v>3480</v>
      </c>
      <c r="G434" t="s">
        <v>1454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ISNUMBER(MATCH(CONTROL[[#This Row],[VEHIDCODE]],TRACK_TYPES[VEHIDCODE],0))</f>
        <v>1</v>
      </c>
      <c r="K434" t="b">
        <f>ISNUMBER(MATCH(CONTROL[[#This Row],[VEHIDCODE]],PROPERTIES[VEHIDCODE],0))</f>
        <v>1</v>
      </c>
      <c r="L434" t="b">
        <f>ISNUMBER(MATCH(CONTROL[[#This Row],[VEHIDCODE]],GRAPHICS_PROPERTIES[VEHIDCODE],0))</f>
        <v>1</v>
      </c>
      <c r="M434" s="21" t="str">
        <f>"item_"&amp;CONTROL[[#This Row],[VEHIDCODE]]</f>
        <v>item_electric_Alstom_Prima_II</v>
      </c>
      <c r="N434" s="21" t="str">
        <f>"str_"&amp;CONTROL[[#This Row],[VEHIDCODE]]</f>
        <v>str_electric_Alstom_Prima_II</v>
      </c>
      <c r="O434" s="7" t="b">
        <f>INDEX(PROPERTIES[IS_CONCEPT],MATCH(CONTROL[[#This Row],[VEHIDCODE]],PROPERTIES[VEHIDCODE],0))="IS_CONCEPT"</f>
        <v>0</v>
      </c>
      <c r="P434" s="7" t="b">
        <f>INDEX(PROPERTIES[EXCLUDE],MATCH(CONTROL[[#This Row],[VEHIDCODE]],PROPERTIES[VEHIDCODE],0))</f>
        <v>0</v>
      </c>
      <c r="Q4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5" spans="1:17" x14ac:dyDescent="0.35">
      <c r="A435" s="2" t="s">
        <v>3060</v>
      </c>
      <c r="B435" s="21" t="str">
        <f>MID(CONTROL[[#This Row],[VEHIDCODE]],FIND("_",CONTROL[[#This Row],[VEHIDCODE]])+1,LEN(CONTROL[[#This Row],[VEHIDCODE]]))</f>
        <v>Toshiba_EA</v>
      </c>
      <c r="C4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5">
        <v>6102</v>
      </c>
      <c r="F435" s="30" t="s">
        <v>2279</v>
      </c>
      <c r="G435" t="s">
        <v>1455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ISNUMBER(MATCH(CONTROL[[#This Row],[VEHIDCODE]],TRACK_TYPES[VEHIDCODE],0))</f>
        <v>1</v>
      </c>
      <c r="K435" t="b">
        <f>ISNUMBER(MATCH(CONTROL[[#This Row],[VEHIDCODE]],PROPERTIES[VEHIDCODE],0))</f>
        <v>1</v>
      </c>
      <c r="L435" t="b">
        <f>ISNUMBER(MATCH(CONTROL[[#This Row],[VEHIDCODE]],GRAPHICS_PROPERTIES[VEHIDCODE],0))</f>
        <v>1</v>
      </c>
      <c r="M435" s="21" t="str">
        <f>"item_"&amp;CONTROL[[#This Row],[VEHIDCODE]]</f>
        <v>item_electric_Toshiba_EA</v>
      </c>
      <c r="N435" s="21" t="str">
        <f>"str_"&amp;CONTROL[[#This Row],[VEHIDCODE]]</f>
        <v>str_electric_Toshiba_EA</v>
      </c>
      <c r="O435" s="7" t="b">
        <f>INDEX(PROPERTIES[IS_CONCEPT],MATCH(CONTROL[[#This Row],[VEHIDCODE]],PROPERTIES[VEHIDCODE],0))="IS_CONCEPT"</f>
        <v>0</v>
      </c>
      <c r="P435" s="7" t="b">
        <f>INDEX(PROPERTIES[EXCLUDE],MATCH(CONTROL[[#This Row],[VEHIDCODE]],PROPERTIES[VEHIDCODE],0))</f>
        <v>0</v>
      </c>
      <c r="Q4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6" spans="1:17" x14ac:dyDescent="0.35">
      <c r="A436" s="2" t="s">
        <v>3061</v>
      </c>
      <c r="B436" s="21" t="str">
        <f>MID(CONTROL[[#This Row],[VEHIDCODE]],FIND("_",CONTROL[[#This Row],[VEHIDCODE]])+1,LEN(CONTROL[[#This Row],[VEHIDCODE]]))</f>
        <v>ASEA_GMD_GF6C</v>
      </c>
      <c r="C4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6">
        <v>6111</v>
      </c>
      <c r="F436" s="30" t="s">
        <v>2033</v>
      </c>
      <c r="G436" t="s">
        <v>1456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ISNUMBER(MATCH(CONTROL[[#This Row],[VEHIDCODE]],TRACK_TYPES[VEHIDCODE],0))</f>
        <v>1</v>
      </c>
      <c r="K436" t="b">
        <f>ISNUMBER(MATCH(CONTROL[[#This Row],[VEHIDCODE]],PROPERTIES[VEHIDCODE],0))</f>
        <v>1</v>
      </c>
      <c r="L436" t="b">
        <f>ISNUMBER(MATCH(CONTROL[[#This Row],[VEHIDCODE]],GRAPHICS_PROPERTIES[VEHIDCODE],0))</f>
        <v>1</v>
      </c>
      <c r="M436" s="21" t="str">
        <f>"item_"&amp;CONTROL[[#This Row],[VEHIDCODE]]</f>
        <v>item_electric_ASEA_GMD_GF6C</v>
      </c>
      <c r="N436" s="21" t="str">
        <f>"str_"&amp;CONTROL[[#This Row],[VEHIDCODE]]</f>
        <v>str_electric_ASEA_GMD_GF6C</v>
      </c>
      <c r="O436" s="7" t="b">
        <f>INDEX(PROPERTIES[IS_CONCEPT],MATCH(CONTROL[[#This Row],[VEHIDCODE]],PROPERTIES[VEHIDCODE],0))="IS_CONCEPT"</f>
        <v>0</v>
      </c>
      <c r="P436" s="7" t="b">
        <f>INDEX(PROPERTIES[EXCLUDE],MATCH(CONTROL[[#This Row],[VEHIDCODE]],PROPERTIES[VEHIDCODE],0))</f>
        <v>0</v>
      </c>
      <c r="Q4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7" spans="1:17" x14ac:dyDescent="0.35">
      <c r="A437" s="2" t="s">
        <v>3062</v>
      </c>
      <c r="B437" s="21" t="str">
        <f>MID(CONTROL[[#This Row],[VEHIDCODE]],FIND("_",CONTROL[[#This Row],[VEHIDCODE]])+1,LEN(CONTROL[[#This Row],[VEHIDCODE]]))</f>
        <v>Alsthom_BB_22200</v>
      </c>
      <c r="C4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7">
        <v>6036</v>
      </c>
      <c r="F437" s="30" t="s">
        <v>2541</v>
      </c>
      <c r="G437" t="s">
        <v>1458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ISNUMBER(MATCH(CONTROL[[#This Row],[VEHIDCODE]],TRACK_TYPES[VEHIDCODE],0))</f>
        <v>1</v>
      </c>
      <c r="K437" t="b">
        <f>ISNUMBER(MATCH(CONTROL[[#This Row],[VEHIDCODE]],PROPERTIES[VEHIDCODE],0))</f>
        <v>1</v>
      </c>
      <c r="L437" t="b">
        <f>ISNUMBER(MATCH(CONTROL[[#This Row],[VEHIDCODE]],GRAPHICS_PROPERTIES[VEHIDCODE],0))</f>
        <v>1</v>
      </c>
      <c r="M437" s="21" t="str">
        <f>"item_"&amp;CONTROL[[#This Row],[VEHIDCODE]]</f>
        <v>item_electric_Alsthom_BB_22200</v>
      </c>
      <c r="N437" s="21" t="str">
        <f>"str_"&amp;CONTROL[[#This Row],[VEHIDCODE]]</f>
        <v>str_electric_Alsthom_BB_22200</v>
      </c>
      <c r="O437" s="7" t="b">
        <f>INDEX(PROPERTIES[IS_CONCEPT],MATCH(CONTROL[[#This Row],[VEHIDCODE]],PROPERTIES[VEHIDCODE],0))="IS_CONCEPT"</f>
        <v>0</v>
      </c>
      <c r="P437" s="7" t="b">
        <f>INDEX(PROPERTIES[EXCLUDE],MATCH(CONTROL[[#This Row],[VEHIDCODE]],PROPERTIES[VEHIDCODE],0))</f>
        <v>0</v>
      </c>
      <c r="Q4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8" spans="1:17" x14ac:dyDescent="0.35">
      <c r="A438" s="2" t="s">
        <v>3063</v>
      </c>
      <c r="B438" s="21" t="str">
        <f>MID(CONTROL[[#This Row],[VEHIDCODE]],FIND("_",CONTROL[[#This Row],[VEHIDCODE]])+1,LEN(CONTROL[[#This Row],[VEHIDCODE]]))</f>
        <v>GEC_Alsthom_BB_26000</v>
      </c>
      <c r="C4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8">
        <v>6043</v>
      </c>
      <c r="F438" s="30" t="s">
        <v>2280</v>
      </c>
      <c r="G438" t="s">
        <v>1457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ISNUMBER(MATCH(CONTROL[[#This Row],[VEHIDCODE]],TRACK_TYPES[VEHIDCODE],0))</f>
        <v>1</v>
      </c>
      <c r="K438" t="b">
        <f>ISNUMBER(MATCH(CONTROL[[#This Row],[VEHIDCODE]],PROPERTIES[VEHIDCODE],0))</f>
        <v>1</v>
      </c>
      <c r="L438" t="b">
        <f>ISNUMBER(MATCH(CONTROL[[#This Row],[VEHIDCODE]],GRAPHICS_PROPERTIES[VEHIDCODE],0))</f>
        <v>1</v>
      </c>
      <c r="M438" s="21" t="str">
        <f>"item_"&amp;CONTROL[[#This Row],[VEHIDCODE]]</f>
        <v>item_electric_GEC_Alsthom_BB_26000</v>
      </c>
      <c r="N438" s="21" t="str">
        <f>"str_"&amp;CONTROL[[#This Row],[VEHIDCODE]]</f>
        <v>str_electric_GEC_Alsthom_BB_26000</v>
      </c>
      <c r="O438" s="7" t="b">
        <f>INDEX(PROPERTIES[IS_CONCEPT],MATCH(CONTROL[[#This Row],[VEHIDCODE]],PROPERTIES[VEHIDCODE],0))="IS_CONCEPT"</f>
        <v>0</v>
      </c>
      <c r="P438" s="7" t="b">
        <f>INDEX(PROPERTIES[EXCLUDE],MATCH(CONTROL[[#This Row],[VEHIDCODE]],PROPERTIES[VEHIDCODE],0))</f>
        <v>0</v>
      </c>
      <c r="Q4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39" spans="1:17" x14ac:dyDescent="0.35">
      <c r="A439" s="2" t="s">
        <v>3064</v>
      </c>
      <c r="B439" s="21" t="str">
        <f>MID(CONTROL[[#This Row],[VEHIDCODE]],FIND("_",CONTROL[[#This Row],[VEHIDCODE]])+1,LEN(CONTROL[[#This Row],[VEHIDCODE]]))</f>
        <v>Alsthom_BB_25500</v>
      </c>
      <c r="C4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39">
        <v>6087</v>
      </c>
      <c r="F439" s="30" t="s">
        <v>2542</v>
      </c>
      <c r="G439" t="s">
        <v>1459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ISNUMBER(MATCH(CONTROL[[#This Row],[VEHIDCODE]],TRACK_TYPES[VEHIDCODE],0))</f>
        <v>1</v>
      </c>
      <c r="K439" t="b">
        <f>ISNUMBER(MATCH(CONTROL[[#This Row],[VEHIDCODE]],PROPERTIES[VEHIDCODE],0))</f>
        <v>1</v>
      </c>
      <c r="L439" t="b">
        <f>ISNUMBER(MATCH(CONTROL[[#This Row],[VEHIDCODE]],GRAPHICS_PROPERTIES[VEHIDCODE],0))</f>
        <v>1</v>
      </c>
      <c r="M439" s="21" t="str">
        <f>"item_"&amp;CONTROL[[#This Row],[VEHIDCODE]]</f>
        <v>item_electric_Alsthom_BB_25500</v>
      </c>
      <c r="N439" s="21" t="str">
        <f>"str_"&amp;CONTROL[[#This Row],[VEHIDCODE]]</f>
        <v>str_electric_Alsthom_BB_25500</v>
      </c>
      <c r="O439" s="7" t="b">
        <f>INDEX(PROPERTIES[IS_CONCEPT],MATCH(CONTROL[[#This Row],[VEHIDCODE]],PROPERTIES[VEHIDCODE],0))="IS_CONCEPT"</f>
        <v>0</v>
      </c>
      <c r="P439" s="7" t="b">
        <f>INDEX(PROPERTIES[EXCLUDE],MATCH(CONTROL[[#This Row],[VEHIDCODE]],PROPERTIES[VEHIDCODE],0))</f>
        <v>0</v>
      </c>
      <c r="Q4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0" spans="1:17" x14ac:dyDescent="0.35">
      <c r="A440" s="2" t="s">
        <v>3065</v>
      </c>
      <c r="B440" s="21" t="str">
        <f>MID(CONTROL[[#This Row],[VEHIDCODE]],FIND("_",CONTROL[[#This Row],[VEHIDCODE]])+1,LEN(CONTROL[[#This Row],[VEHIDCODE]]))</f>
        <v>Siemens_Eurosprinter_ES64U4</v>
      </c>
      <c r="C4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0">
        <v>6053</v>
      </c>
      <c r="F440" s="30" t="s">
        <v>3476</v>
      </c>
      <c r="G440" t="s">
        <v>1460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ISNUMBER(MATCH(CONTROL[[#This Row],[VEHIDCODE]],TRACK_TYPES[VEHIDCODE],0))</f>
        <v>1</v>
      </c>
      <c r="K440" t="b">
        <f>ISNUMBER(MATCH(CONTROL[[#This Row],[VEHIDCODE]],PROPERTIES[VEHIDCODE],0))</f>
        <v>1</v>
      </c>
      <c r="L440" t="b">
        <f>ISNUMBER(MATCH(CONTROL[[#This Row],[VEHIDCODE]],GRAPHICS_PROPERTIES[VEHIDCODE],0))</f>
        <v>1</v>
      </c>
      <c r="M440" s="21" t="str">
        <f>"item_"&amp;CONTROL[[#This Row],[VEHIDCODE]]</f>
        <v>item_electric_Siemens_Eurosprinter_ES64U4</v>
      </c>
      <c r="N440" s="21" t="str">
        <f>"str_"&amp;CONTROL[[#This Row],[VEHIDCODE]]</f>
        <v>str_electric_Siemens_Eurosprinter_ES64U4</v>
      </c>
      <c r="O440" s="7" t="b">
        <f>INDEX(PROPERTIES[IS_CONCEPT],MATCH(CONTROL[[#This Row],[VEHIDCODE]],PROPERTIES[VEHIDCODE],0))="IS_CONCEPT"</f>
        <v>0</v>
      </c>
      <c r="P440" s="7" t="b">
        <f>INDEX(PROPERTIES[EXCLUDE],MATCH(CONTROL[[#This Row],[VEHIDCODE]],PROPERTIES[VEHIDCODE],0))</f>
        <v>0</v>
      </c>
      <c r="Q4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1" spans="1:17" x14ac:dyDescent="0.35">
      <c r="A441" s="2" t="s">
        <v>3066</v>
      </c>
      <c r="B441" s="21" t="str">
        <f>MID(CONTROL[[#This Row],[VEHIDCODE]],FIND("_",CONTROL[[#This Row],[VEHIDCODE]])+1,LEN(CONTROL[[#This Row],[VEHIDCODE]]))</f>
        <v>Toshiba_EH500</v>
      </c>
      <c r="C4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1">
        <v>6051</v>
      </c>
      <c r="F441" s="30" t="s">
        <v>2281</v>
      </c>
      <c r="G441" t="s">
        <v>1461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ISNUMBER(MATCH(CONTROL[[#This Row],[VEHIDCODE]],TRACK_TYPES[VEHIDCODE],0))</f>
        <v>1</v>
      </c>
      <c r="K441" t="b">
        <f>ISNUMBER(MATCH(CONTROL[[#This Row],[VEHIDCODE]],PROPERTIES[VEHIDCODE],0))</f>
        <v>1</v>
      </c>
      <c r="L441" t="b">
        <f>ISNUMBER(MATCH(CONTROL[[#This Row],[VEHIDCODE]],GRAPHICS_PROPERTIES[VEHIDCODE],0))</f>
        <v>1</v>
      </c>
      <c r="M441" s="21" t="str">
        <f>"item_"&amp;CONTROL[[#This Row],[VEHIDCODE]]</f>
        <v>item_electric_Toshiba_EH500</v>
      </c>
      <c r="N441" s="21" t="str">
        <f>"str_"&amp;CONTROL[[#This Row],[VEHIDCODE]]</f>
        <v>str_electric_Toshiba_EH500</v>
      </c>
      <c r="O441" s="7" t="b">
        <f>INDEX(PROPERTIES[IS_CONCEPT],MATCH(CONTROL[[#This Row],[VEHIDCODE]],PROPERTIES[VEHIDCODE],0))="IS_CONCEPT"</f>
        <v>0</v>
      </c>
      <c r="P441" s="7" t="b">
        <f>INDEX(PROPERTIES[EXCLUDE],MATCH(CONTROL[[#This Row],[VEHIDCODE]],PROPERTIES[VEHIDCODE],0))</f>
        <v>0</v>
      </c>
      <c r="Q4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442" spans="1:17" x14ac:dyDescent="0.35">
      <c r="A442" s="2" t="s">
        <v>3067</v>
      </c>
      <c r="B442" s="21" t="str">
        <f>MID(CONTROL[[#This Row],[VEHIDCODE]],FIND("_",CONTROL[[#This Row],[VEHIDCODE]])+1,LEN(CONTROL[[#This Row],[VEHIDCODE]]))</f>
        <v>ASEA_EMD_AEM_7</v>
      </c>
      <c r="C4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2">
        <v>6104</v>
      </c>
      <c r="F442" s="30" t="s">
        <v>2034</v>
      </c>
      <c r="G442" t="s">
        <v>1462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ISNUMBER(MATCH(CONTROL[[#This Row],[VEHIDCODE]],TRACK_TYPES[VEHIDCODE],0))</f>
        <v>1</v>
      </c>
      <c r="K442" t="b">
        <f>ISNUMBER(MATCH(CONTROL[[#This Row],[VEHIDCODE]],PROPERTIES[VEHIDCODE],0))</f>
        <v>1</v>
      </c>
      <c r="L442" t="b">
        <f>ISNUMBER(MATCH(CONTROL[[#This Row],[VEHIDCODE]],GRAPHICS_PROPERTIES[VEHIDCODE],0))</f>
        <v>1</v>
      </c>
      <c r="M442" s="21" t="str">
        <f>"item_"&amp;CONTROL[[#This Row],[VEHIDCODE]]</f>
        <v>item_electric_ASEA_EMD_AEM_7</v>
      </c>
      <c r="N442" s="21" t="str">
        <f>"str_"&amp;CONTROL[[#This Row],[VEHIDCODE]]</f>
        <v>str_electric_ASEA_EMD_AEM_7</v>
      </c>
      <c r="O442" s="7" t="b">
        <f>INDEX(PROPERTIES[IS_CONCEPT],MATCH(CONTROL[[#This Row],[VEHIDCODE]],PROPERTIES[VEHIDCODE],0))="IS_CONCEPT"</f>
        <v>0</v>
      </c>
      <c r="P442" s="7" t="b">
        <f>INDEX(PROPERTIES[EXCLUDE],MATCH(CONTROL[[#This Row],[VEHIDCODE]],PROPERTIES[VEHIDCODE],0))</f>
        <v>0</v>
      </c>
      <c r="Q4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3" spans="1:17" x14ac:dyDescent="0.35">
      <c r="A443" s="2" t="s">
        <v>3068</v>
      </c>
      <c r="B443" s="21" t="str">
        <f>MID(CONTROL[[#This Row],[VEHIDCODE]],FIND("_",CONTROL[[#This Row],[VEHIDCODE]])+1,LEN(CONTROL[[#This Row],[VEHIDCODE]]))</f>
        <v>Bombardier_Alstom_HHP_8</v>
      </c>
      <c r="C4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3">
        <v>6132</v>
      </c>
      <c r="F443" s="30" t="s">
        <v>2035</v>
      </c>
      <c r="G443" t="s">
        <v>1463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ISNUMBER(MATCH(CONTROL[[#This Row],[VEHIDCODE]],TRACK_TYPES[VEHIDCODE],0))</f>
        <v>1</v>
      </c>
      <c r="K443" t="b">
        <f>ISNUMBER(MATCH(CONTROL[[#This Row],[VEHIDCODE]],PROPERTIES[VEHIDCODE],0))</f>
        <v>1</v>
      </c>
      <c r="L443" t="b">
        <f>ISNUMBER(MATCH(CONTROL[[#This Row],[VEHIDCODE]],GRAPHICS_PROPERTIES[VEHIDCODE],0))</f>
        <v>1</v>
      </c>
      <c r="M443" s="21" t="str">
        <f>"item_"&amp;CONTROL[[#This Row],[VEHIDCODE]]</f>
        <v>item_electric_Bombardier_Alstom_HHP_8</v>
      </c>
      <c r="N443" s="21" t="str">
        <f>"str_"&amp;CONTROL[[#This Row],[VEHIDCODE]]</f>
        <v>str_electric_Bombardier_Alstom_HHP_8</v>
      </c>
      <c r="O443" s="7" t="b">
        <f>INDEX(PROPERTIES[IS_CONCEPT],MATCH(CONTROL[[#This Row],[VEHIDCODE]],PROPERTIES[VEHIDCODE],0))="IS_CONCEPT"</f>
        <v>0</v>
      </c>
      <c r="P443" s="7" t="b">
        <f>INDEX(PROPERTIES[EXCLUDE],MATCH(CONTROL[[#This Row],[VEHIDCODE]],PROPERTIES[VEHIDCODE],0))</f>
        <v>0</v>
      </c>
      <c r="Q4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4" spans="1:17" x14ac:dyDescent="0.35">
      <c r="A444" s="2" t="s">
        <v>3069</v>
      </c>
      <c r="B444" s="21" t="str">
        <f>MID(CONTROL[[#This Row],[VEHIDCODE]],FIND("_",CONTROL[[#This Row],[VEHIDCODE]])+1,LEN(CONTROL[[#This Row],[VEHIDCODE]]))</f>
        <v>Skoda_109E</v>
      </c>
      <c r="C4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4">
        <v>6091</v>
      </c>
      <c r="F444" s="30" t="s">
        <v>1954</v>
      </c>
      <c r="G444" t="s">
        <v>1464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ISNUMBER(MATCH(CONTROL[[#This Row],[VEHIDCODE]],TRACK_TYPES[VEHIDCODE],0))</f>
        <v>1</v>
      </c>
      <c r="K444" t="b">
        <f>ISNUMBER(MATCH(CONTROL[[#This Row],[VEHIDCODE]],PROPERTIES[VEHIDCODE],0))</f>
        <v>1</v>
      </c>
      <c r="L444" t="b">
        <f>ISNUMBER(MATCH(CONTROL[[#This Row],[VEHIDCODE]],GRAPHICS_PROPERTIES[VEHIDCODE],0))</f>
        <v>1</v>
      </c>
      <c r="M444" s="21" t="str">
        <f>"item_"&amp;CONTROL[[#This Row],[VEHIDCODE]]</f>
        <v>item_electric_Skoda_109E</v>
      </c>
      <c r="N444" s="21" t="str">
        <f>"str_"&amp;CONTROL[[#This Row],[VEHIDCODE]]</f>
        <v>str_electric_Skoda_109E</v>
      </c>
      <c r="O444" s="7" t="b">
        <f>INDEX(PROPERTIES[IS_CONCEPT],MATCH(CONTROL[[#This Row],[VEHIDCODE]],PROPERTIES[VEHIDCODE],0))="IS_CONCEPT"</f>
        <v>0</v>
      </c>
      <c r="P444" s="7" t="b">
        <f>INDEX(PROPERTIES[EXCLUDE],MATCH(CONTROL[[#This Row],[VEHIDCODE]],PROPERTIES[VEHIDCODE],0))</f>
        <v>0</v>
      </c>
      <c r="Q4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5" spans="1:17" x14ac:dyDescent="0.35">
      <c r="A445" s="2" t="s">
        <v>3070</v>
      </c>
      <c r="B445" s="21" t="str">
        <f>MID(CONTROL[[#This Row],[VEHIDCODE]],FIND("_",CONTROL[[#This Row],[VEHIDCODE]])+1,LEN(CONTROL[[#This Row],[VEHIDCODE]]))</f>
        <v>CAF_Macosa_252</v>
      </c>
      <c r="C4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5">
        <v>6046</v>
      </c>
      <c r="F445" s="30" t="s">
        <v>2282</v>
      </c>
      <c r="G445" t="s">
        <v>1465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ISNUMBER(MATCH(CONTROL[[#This Row],[VEHIDCODE]],TRACK_TYPES[VEHIDCODE],0))</f>
        <v>1</v>
      </c>
      <c r="K445" t="b">
        <f>ISNUMBER(MATCH(CONTROL[[#This Row],[VEHIDCODE]],PROPERTIES[VEHIDCODE],0))</f>
        <v>1</v>
      </c>
      <c r="L445" t="b">
        <f>ISNUMBER(MATCH(CONTROL[[#This Row],[VEHIDCODE]],GRAPHICS_PROPERTIES[VEHIDCODE],0))</f>
        <v>1</v>
      </c>
      <c r="M445" s="21" t="str">
        <f>"item_"&amp;CONTROL[[#This Row],[VEHIDCODE]]</f>
        <v>item_electric_CAF_Macosa_252</v>
      </c>
      <c r="N445" s="21" t="str">
        <f>"str_"&amp;CONTROL[[#This Row],[VEHIDCODE]]</f>
        <v>str_electric_CAF_Macosa_252</v>
      </c>
      <c r="O445" s="7" t="b">
        <f>INDEX(PROPERTIES[IS_CONCEPT],MATCH(CONTROL[[#This Row],[VEHIDCODE]],PROPERTIES[VEHIDCODE],0))="IS_CONCEPT"</f>
        <v>0</v>
      </c>
      <c r="P445" s="7" t="b">
        <f>INDEX(PROPERTIES[EXCLUDE],MATCH(CONTROL[[#This Row],[VEHIDCODE]],PROPERTIES[VEHIDCODE],0))</f>
        <v>0</v>
      </c>
      <c r="Q4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6" spans="1:17" x14ac:dyDescent="0.35">
      <c r="A446" s="2" t="s">
        <v>3071</v>
      </c>
      <c r="B446" s="21" t="str">
        <f>MID(CONTROL[[#This Row],[VEHIDCODE]],FIND("_",CONTROL[[#This Row],[VEHIDCODE]])+1,LEN(CONTROL[[#This Row],[VEHIDCODE]]))</f>
        <v>Bombardier_Traxx_F140_MS</v>
      </c>
      <c r="C4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6">
        <v>6049</v>
      </c>
      <c r="F446" s="30" t="s">
        <v>2620</v>
      </c>
      <c r="G446" t="s">
        <v>1466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ISNUMBER(MATCH(CONTROL[[#This Row],[VEHIDCODE]],TRACK_TYPES[VEHIDCODE],0))</f>
        <v>1</v>
      </c>
      <c r="K446" t="b">
        <f>ISNUMBER(MATCH(CONTROL[[#This Row],[VEHIDCODE]],PROPERTIES[VEHIDCODE],0))</f>
        <v>1</v>
      </c>
      <c r="L446" t="b">
        <f>ISNUMBER(MATCH(CONTROL[[#This Row],[VEHIDCODE]],GRAPHICS_PROPERTIES[VEHIDCODE],0))</f>
        <v>1</v>
      </c>
      <c r="M446" s="21" t="str">
        <f>"item_"&amp;CONTROL[[#This Row],[VEHIDCODE]]</f>
        <v>item_electric_Bombardier_Traxx_F140_MS</v>
      </c>
      <c r="N446" s="21" t="str">
        <f>"str_"&amp;CONTROL[[#This Row],[VEHIDCODE]]</f>
        <v>str_electric_Bombardier_Traxx_F140_MS</v>
      </c>
      <c r="O446" s="7" t="b">
        <f>INDEX(PROPERTIES[IS_CONCEPT],MATCH(CONTROL[[#This Row],[VEHIDCODE]],PROPERTIES[VEHIDCODE],0))="IS_CONCEPT"</f>
        <v>0</v>
      </c>
      <c r="P446" s="7" t="b">
        <f>INDEX(PROPERTIES[EXCLUDE],MATCH(CONTROL[[#This Row],[VEHIDCODE]],PROPERTIES[VEHIDCODE],0))</f>
        <v>0</v>
      </c>
      <c r="Q4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7" spans="1:17" x14ac:dyDescent="0.35">
      <c r="A447" s="2" t="s">
        <v>3072</v>
      </c>
      <c r="B447" s="21" t="str">
        <f>MID(CONTROL[[#This Row],[VEHIDCODE]],FIND("_",CONTROL[[#This Row],[VEHIDCODE]])+1,LEN(CONTROL[[#This Row],[VEHIDCODE]]))</f>
        <v>TIBB_E_550</v>
      </c>
      <c r="C4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7">
        <v>6068</v>
      </c>
      <c r="F447" s="30" t="s">
        <v>2283</v>
      </c>
      <c r="G447" t="s">
        <v>1467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ISNUMBER(MATCH(CONTROL[[#This Row],[VEHIDCODE]],TRACK_TYPES[VEHIDCODE],0))</f>
        <v>1</v>
      </c>
      <c r="K447" t="b">
        <f>ISNUMBER(MATCH(CONTROL[[#This Row],[VEHIDCODE]],PROPERTIES[VEHIDCODE],0))</f>
        <v>1</v>
      </c>
      <c r="L447" t="b">
        <f>ISNUMBER(MATCH(CONTROL[[#This Row],[VEHIDCODE]],GRAPHICS_PROPERTIES[VEHIDCODE],0))</f>
        <v>1</v>
      </c>
      <c r="M447" s="21" t="str">
        <f>"item_"&amp;CONTROL[[#This Row],[VEHIDCODE]]</f>
        <v>item_electric_TIBB_E_550</v>
      </c>
      <c r="N447" s="21" t="str">
        <f>"str_"&amp;CONTROL[[#This Row],[VEHIDCODE]]</f>
        <v>str_electric_TIBB_E_550</v>
      </c>
      <c r="O447" s="7" t="b">
        <f>INDEX(PROPERTIES[IS_CONCEPT],MATCH(CONTROL[[#This Row],[VEHIDCODE]],PROPERTIES[VEHIDCODE],0))="IS_CONCEPT"</f>
        <v>0</v>
      </c>
      <c r="P447" s="7" t="b">
        <f>INDEX(PROPERTIES[EXCLUDE],MATCH(CONTROL[[#This Row],[VEHIDCODE]],PROPERTIES[VEHIDCODE],0))</f>
        <v>0</v>
      </c>
      <c r="Q4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448" spans="1:17" x14ac:dyDescent="0.35">
      <c r="A448" s="2" t="s">
        <v>3073</v>
      </c>
      <c r="B448" s="21" t="str">
        <f>MID(CONTROL[[#This Row],[VEHIDCODE]],FIND("_",CONTROL[[#This Row],[VEHIDCODE]])+1,LEN(CONTROL[[#This Row],[VEHIDCODE]]))</f>
        <v>Hitachi_EF81</v>
      </c>
      <c r="C4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8">
        <v>6125</v>
      </c>
      <c r="F448" s="30" t="s">
        <v>2284</v>
      </c>
      <c r="G448" t="s">
        <v>1468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ISNUMBER(MATCH(CONTROL[[#This Row],[VEHIDCODE]],TRACK_TYPES[VEHIDCODE],0))</f>
        <v>1</v>
      </c>
      <c r="K448" t="b">
        <f>ISNUMBER(MATCH(CONTROL[[#This Row],[VEHIDCODE]],PROPERTIES[VEHIDCODE],0))</f>
        <v>1</v>
      </c>
      <c r="L448" t="b">
        <f>ISNUMBER(MATCH(CONTROL[[#This Row],[VEHIDCODE]],GRAPHICS_PROPERTIES[VEHIDCODE],0))</f>
        <v>1</v>
      </c>
      <c r="M448" s="21" t="str">
        <f>"item_"&amp;CONTROL[[#This Row],[VEHIDCODE]]</f>
        <v>item_electric_Hitachi_EF81</v>
      </c>
      <c r="N448" s="21" t="str">
        <f>"str_"&amp;CONTROL[[#This Row],[VEHIDCODE]]</f>
        <v>str_electric_Hitachi_EF81</v>
      </c>
      <c r="O448" s="7" t="b">
        <f>INDEX(PROPERTIES[IS_CONCEPT],MATCH(CONTROL[[#This Row],[VEHIDCODE]],PROPERTIES[VEHIDCODE],0))="IS_CONCEPT"</f>
        <v>0</v>
      </c>
      <c r="P448" s="7" t="b">
        <f>INDEX(PROPERTIES[EXCLUDE],MATCH(CONTROL[[#This Row],[VEHIDCODE]],PROPERTIES[VEHIDCODE],0))</f>
        <v>0</v>
      </c>
      <c r="Q4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49" spans="1:17" x14ac:dyDescent="0.35">
      <c r="A449" s="2" t="s">
        <v>3074</v>
      </c>
      <c r="B449" s="21" t="str">
        <f>MID(CONTROL[[#This Row],[VEHIDCODE]],FIND("_",CONTROL[[#This Row],[VEHIDCODE]])+1,LEN(CONTROL[[#This Row],[VEHIDCODE]]))</f>
        <v>ABB_Brush_Class_92</v>
      </c>
      <c r="C4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49">
        <v>6047</v>
      </c>
      <c r="F449" s="30" t="s">
        <v>2285</v>
      </c>
      <c r="G449" t="s">
        <v>1469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ISNUMBER(MATCH(CONTROL[[#This Row],[VEHIDCODE]],TRACK_TYPES[VEHIDCODE],0))</f>
        <v>1</v>
      </c>
      <c r="K449" t="b">
        <f>ISNUMBER(MATCH(CONTROL[[#This Row],[VEHIDCODE]],PROPERTIES[VEHIDCODE],0))</f>
        <v>1</v>
      </c>
      <c r="L449" t="b">
        <f>ISNUMBER(MATCH(CONTROL[[#This Row],[VEHIDCODE]],GRAPHICS_PROPERTIES[VEHIDCODE],0))</f>
        <v>1</v>
      </c>
      <c r="M449" s="21" t="str">
        <f>"item_"&amp;CONTROL[[#This Row],[VEHIDCODE]]</f>
        <v>item_electric_ABB_Brush_Class_92</v>
      </c>
      <c r="N449" s="21" t="str">
        <f>"str_"&amp;CONTROL[[#This Row],[VEHIDCODE]]</f>
        <v>str_electric_ABB_Brush_Class_92</v>
      </c>
      <c r="O449" s="7" t="b">
        <f>INDEX(PROPERTIES[IS_CONCEPT],MATCH(CONTROL[[#This Row],[VEHIDCODE]],PROPERTIES[VEHIDCODE],0))="IS_CONCEPT"</f>
        <v>0</v>
      </c>
      <c r="P449" s="7" t="b">
        <f>INDEX(PROPERTIES[EXCLUDE],MATCH(CONTROL[[#This Row],[VEHIDCODE]],PROPERTIES[VEHIDCODE],0))</f>
        <v>0</v>
      </c>
      <c r="Q4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0" spans="1:17" x14ac:dyDescent="0.35">
      <c r="A450" s="2" t="s">
        <v>3075</v>
      </c>
      <c r="B450" s="21" t="str">
        <f>MID(CONTROL[[#This Row],[VEHIDCODE]],FIND("_",CONTROL[[#This Row],[VEHIDCODE]])+1,LEN(CONTROL[[#This Row],[VEHIDCODE]]))</f>
        <v>Siemens_ACS_64</v>
      </c>
      <c r="C4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50">
        <v>6120</v>
      </c>
      <c r="F450" s="30" t="s">
        <v>2036</v>
      </c>
      <c r="G450" t="s">
        <v>1470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ISNUMBER(MATCH(CONTROL[[#This Row],[VEHIDCODE]],TRACK_TYPES[VEHIDCODE],0))</f>
        <v>1</v>
      </c>
      <c r="K450" t="b">
        <f>ISNUMBER(MATCH(CONTROL[[#This Row],[VEHIDCODE]],PROPERTIES[VEHIDCODE],0))</f>
        <v>1</v>
      </c>
      <c r="L450" t="b">
        <f>ISNUMBER(MATCH(CONTROL[[#This Row],[VEHIDCODE]],GRAPHICS_PROPERTIES[VEHIDCODE],0))</f>
        <v>1</v>
      </c>
      <c r="M450" s="21" t="str">
        <f>"item_"&amp;CONTROL[[#This Row],[VEHIDCODE]]</f>
        <v>item_electric_Siemens_ACS_64</v>
      </c>
      <c r="N450" s="21" t="str">
        <f>"str_"&amp;CONTROL[[#This Row],[VEHIDCODE]]</f>
        <v>str_electric_Siemens_ACS_64</v>
      </c>
      <c r="O450" s="7" t="b">
        <f>INDEX(PROPERTIES[IS_CONCEPT],MATCH(CONTROL[[#This Row],[VEHIDCODE]],PROPERTIES[VEHIDCODE],0))="IS_CONCEPT"</f>
        <v>0</v>
      </c>
      <c r="P450" s="7" t="b">
        <f>INDEX(PROPERTIES[EXCLUDE],MATCH(CONTROL[[#This Row],[VEHIDCODE]],PROPERTIES[VEHIDCODE],0))</f>
        <v>0</v>
      </c>
      <c r="Q4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1" spans="1:17" x14ac:dyDescent="0.35">
      <c r="A451" s="2" t="s">
        <v>3076</v>
      </c>
      <c r="B451" s="21" t="str">
        <f>MID(CONTROL[[#This Row],[VEHIDCODE]],FIND("_",CONTROL[[#This Row],[VEHIDCODE]])+1,LEN(CONTROL[[#This Row],[VEHIDCODE]]))</f>
        <v>Alsthom_CC_40101</v>
      </c>
      <c r="C4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51">
        <v>6030</v>
      </c>
      <c r="F451" s="30" t="s">
        <v>3474</v>
      </c>
      <c r="G451" t="s">
        <v>1471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ISNUMBER(MATCH(CONTROL[[#This Row],[VEHIDCODE]],TRACK_TYPES[VEHIDCODE],0))</f>
        <v>1</v>
      </c>
      <c r="K451" t="b">
        <f>ISNUMBER(MATCH(CONTROL[[#This Row],[VEHIDCODE]],PROPERTIES[VEHIDCODE],0))</f>
        <v>1</v>
      </c>
      <c r="L451" t="b">
        <f>ISNUMBER(MATCH(CONTROL[[#This Row],[VEHIDCODE]],GRAPHICS_PROPERTIES[VEHIDCODE],0))</f>
        <v>1</v>
      </c>
      <c r="M451" s="21" t="str">
        <f>"item_"&amp;CONTROL[[#This Row],[VEHIDCODE]]</f>
        <v>item_electric_Alsthom_CC_40101</v>
      </c>
      <c r="N451" s="21" t="str">
        <f>"str_"&amp;CONTROL[[#This Row],[VEHIDCODE]]</f>
        <v>str_electric_Alsthom_CC_40101</v>
      </c>
      <c r="O451" s="7" t="b">
        <f>INDEX(PROPERTIES[IS_CONCEPT],MATCH(CONTROL[[#This Row],[VEHIDCODE]],PROPERTIES[VEHIDCODE],0))="IS_CONCEPT"</f>
        <v>0</v>
      </c>
      <c r="P451" s="7" t="b">
        <f>INDEX(PROPERTIES[EXCLUDE],MATCH(CONTROL[[#This Row],[VEHIDCODE]],PROPERTIES[VEHIDCODE],0))</f>
        <v>0</v>
      </c>
      <c r="Q4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2" spans="1:17" x14ac:dyDescent="0.35">
      <c r="A452" s="2" t="s">
        <v>3077</v>
      </c>
      <c r="B452" s="21" t="str">
        <f>MID(CONTROL[[#This Row],[VEHIDCODE]],FIND("_",CONTROL[[#This Row],[VEHIDCODE]])+1,LEN(CONTROL[[#This Row],[VEHIDCODE]]))</f>
        <v>Alsthom_Class_13_HLE</v>
      </c>
      <c r="C4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4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452">
        <v>6050</v>
      </c>
      <c r="F452" s="30" t="s">
        <v>2543</v>
      </c>
      <c r="G452" t="s">
        <v>1472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ISNUMBER(MATCH(CONTROL[[#This Row],[VEHIDCODE]],TRACK_TYPES[VEHIDCODE],0))</f>
        <v>1</v>
      </c>
      <c r="K452" t="b">
        <f>ISNUMBER(MATCH(CONTROL[[#This Row],[VEHIDCODE]],PROPERTIES[VEHIDCODE],0))</f>
        <v>1</v>
      </c>
      <c r="L452" t="b">
        <f>ISNUMBER(MATCH(CONTROL[[#This Row],[VEHIDCODE]],GRAPHICS_PROPERTIES[VEHIDCODE],0))</f>
        <v>1</v>
      </c>
      <c r="M452" s="21" t="str">
        <f>"item_"&amp;CONTROL[[#This Row],[VEHIDCODE]]</f>
        <v>item_electric_Alsthom_Class_13_HLE</v>
      </c>
      <c r="N452" s="21" t="str">
        <f>"str_"&amp;CONTROL[[#This Row],[VEHIDCODE]]</f>
        <v>str_electric_Alsthom_Class_13_HLE</v>
      </c>
      <c r="O452" s="7" t="b">
        <f>INDEX(PROPERTIES[IS_CONCEPT],MATCH(CONTROL[[#This Row],[VEHIDCODE]],PROPERTIES[VEHIDCODE],0))="IS_CONCEPT"</f>
        <v>0</v>
      </c>
      <c r="P452" s="7" t="b">
        <f>INDEX(PROPERTIES[EXCLUDE],MATCH(CONTROL[[#This Row],[VEHIDCODE]],PROPERTIES[VEHIDCODE],0))</f>
        <v>0</v>
      </c>
      <c r="Q4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453" spans="1:17" x14ac:dyDescent="0.35">
      <c r="A453" s="2" t="s">
        <v>3078</v>
      </c>
      <c r="B453" s="21" t="str">
        <f>MID(CONTROL[[#This Row],[VEHIDCODE]],FIND("_",CONTROL[[#This Row],[VEHIDCODE]])+1,LEN(CONTROL[[#This Row],[VEHIDCODE]]))</f>
        <v>LHB_VT_04_0_Flying_Hamburger</v>
      </c>
      <c r="C4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3">
        <v>7002</v>
      </c>
      <c r="F453" s="30" t="s">
        <v>2286</v>
      </c>
      <c r="G453" t="s">
        <v>1480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ISNUMBER(MATCH(CONTROL[[#This Row],[VEHIDCODE]],TRACK_TYPES[VEHIDCODE],0))</f>
        <v>1</v>
      </c>
      <c r="K453" t="b">
        <f>ISNUMBER(MATCH(CONTROL[[#This Row],[VEHIDCODE]],PROPERTIES[VEHIDCODE],0))</f>
        <v>1</v>
      </c>
      <c r="L453" t="b">
        <f>ISNUMBER(MATCH(CONTROL[[#This Row],[VEHIDCODE]],GRAPHICS_PROPERTIES[VEHIDCODE],0))</f>
        <v>1</v>
      </c>
      <c r="M453" s="21" t="str">
        <f>"item_"&amp;CONTROL[[#This Row],[VEHIDCODE]]</f>
        <v>item_dmu_LHB_VT_04_0_Flying_Hamburger</v>
      </c>
      <c r="N453" s="21" t="str">
        <f>"str_"&amp;CONTROL[[#This Row],[VEHIDCODE]]</f>
        <v>str_dmu_LHB_VT_04_0_Flying_Hamburger</v>
      </c>
      <c r="O453" s="7" t="b">
        <f>INDEX(PROPERTIES[IS_CONCEPT],MATCH(CONTROL[[#This Row],[VEHIDCODE]],PROPERTIES[VEHIDCODE],0))="IS_CONCEPT"</f>
        <v>0</v>
      </c>
      <c r="P453" s="7" t="b">
        <f>INDEX(PROPERTIES[EXCLUDE],MATCH(CONTROL[[#This Row],[VEHIDCODE]],PROPERTIES[VEHIDCODE],0))</f>
        <v>0</v>
      </c>
      <c r="Q4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4" spans="1:17" x14ac:dyDescent="0.35">
      <c r="A454" s="2" t="s">
        <v>3079</v>
      </c>
      <c r="B454" s="21" t="str">
        <f>MID(CONTROL[[#This Row],[VEHIDCODE]],FIND("_",CONTROL[[#This Row],[VEHIDCODE]])+1,LEN(CONTROL[[#This Row],[VEHIDCODE]]))</f>
        <v>Harland___Wolf_Silver_City_Comet</v>
      </c>
      <c r="C4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4">
        <v>7003</v>
      </c>
      <c r="F454" s="30" t="s">
        <v>2287</v>
      </c>
      <c r="G454" t="s">
        <v>1473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ISNUMBER(MATCH(CONTROL[[#This Row],[VEHIDCODE]],TRACK_TYPES[VEHIDCODE],0))</f>
        <v>1</v>
      </c>
      <c r="K454" t="b">
        <f>ISNUMBER(MATCH(CONTROL[[#This Row],[VEHIDCODE]],PROPERTIES[VEHIDCODE],0))</f>
        <v>1</v>
      </c>
      <c r="L454" t="b">
        <f>ISNUMBER(MATCH(CONTROL[[#This Row],[VEHIDCODE]],GRAPHICS_PROPERTIES[VEHIDCODE],0))</f>
        <v>1</v>
      </c>
      <c r="M454" s="21" t="str">
        <f>"item_"&amp;CONTROL[[#This Row],[VEHIDCODE]]</f>
        <v>item_dmu_Harland___Wolf_Silver_City_Comet</v>
      </c>
      <c r="N454" s="21" t="str">
        <f>"str_"&amp;CONTROL[[#This Row],[VEHIDCODE]]</f>
        <v>str_dmu_Harland___Wolf_Silver_City_Comet</v>
      </c>
      <c r="O454" s="7" t="b">
        <f>INDEX(PROPERTIES[IS_CONCEPT],MATCH(CONTROL[[#This Row],[VEHIDCODE]],PROPERTIES[VEHIDCODE],0))="IS_CONCEPT"</f>
        <v>0</v>
      </c>
      <c r="P454" s="7" t="b">
        <f>INDEX(PROPERTIES[EXCLUDE],MATCH(CONTROL[[#This Row],[VEHIDCODE]],PROPERTIES[VEHIDCODE],0))</f>
        <v>0</v>
      </c>
      <c r="Q4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5" spans="1:17" x14ac:dyDescent="0.35">
      <c r="A455" s="2" t="s">
        <v>3080</v>
      </c>
      <c r="B455" s="21" t="str">
        <f>MID(CONTROL[[#This Row],[VEHIDCODE]],FIND("_",CONTROL[[#This Row],[VEHIDCODE]])+1,LEN(CONTROL[[#This Row],[VEHIDCODE]]))</f>
        <v>Tatra_M131</v>
      </c>
      <c r="C4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5">
        <v>7004</v>
      </c>
      <c r="F455" s="30" t="s">
        <v>2288</v>
      </c>
      <c r="G455" t="s">
        <v>1474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ISNUMBER(MATCH(CONTROL[[#This Row],[VEHIDCODE]],TRACK_TYPES[VEHIDCODE],0))</f>
        <v>1</v>
      </c>
      <c r="K455" t="b">
        <f>ISNUMBER(MATCH(CONTROL[[#This Row],[VEHIDCODE]],PROPERTIES[VEHIDCODE],0))</f>
        <v>1</v>
      </c>
      <c r="L455" t="b">
        <f>ISNUMBER(MATCH(CONTROL[[#This Row],[VEHIDCODE]],GRAPHICS_PROPERTIES[VEHIDCODE],0))</f>
        <v>1</v>
      </c>
      <c r="M455" s="21" t="str">
        <f>"item_"&amp;CONTROL[[#This Row],[VEHIDCODE]]</f>
        <v>item_dmu_Tatra_M131</v>
      </c>
      <c r="N455" s="21" t="str">
        <f>"str_"&amp;CONTROL[[#This Row],[VEHIDCODE]]</f>
        <v>str_dmu_Tatra_M131</v>
      </c>
      <c r="O455" s="7" t="b">
        <f>INDEX(PROPERTIES[IS_CONCEPT],MATCH(CONTROL[[#This Row],[VEHIDCODE]],PROPERTIES[VEHIDCODE],0))="IS_CONCEPT"</f>
        <v>0</v>
      </c>
      <c r="P455" s="7" t="b">
        <f>INDEX(PROPERTIES[EXCLUDE],MATCH(CONTROL[[#This Row],[VEHIDCODE]],PROPERTIES[VEHIDCODE],0))</f>
        <v>0</v>
      </c>
      <c r="Q4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6" spans="1:17" x14ac:dyDescent="0.35">
      <c r="A456" s="2" t="s">
        <v>3081</v>
      </c>
      <c r="B456" s="21" t="str">
        <f>MID(CONTROL[[#This Row],[VEHIDCODE]],FIND("_",CONTROL[[#This Row],[VEHIDCODE]])+1,LEN(CONTROL[[#This Row],[VEHIDCODE]]))</f>
        <v>MAN_VT_08_5</v>
      </c>
      <c r="C4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6">
        <v>7005</v>
      </c>
      <c r="F456" s="30" t="s">
        <v>2289</v>
      </c>
      <c r="G456" t="s">
        <v>1475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ISNUMBER(MATCH(CONTROL[[#This Row],[VEHIDCODE]],TRACK_TYPES[VEHIDCODE],0))</f>
        <v>1</v>
      </c>
      <c r="K456" t="b">
        <f>ISNUMBER(MATCH(CONTROL[[#This Row],[VEHIDCODE]],PROPERTIES[VEHIDCODE],0))</f>
        <v>1</v>
      </c>
      <c r="L456" t="b">
        <f>ISNUMBER(MATCH(CONTROL[[#This Row],[VEHIDCODE]],GRAPHICS_PROPERTIES[VEHIDCODE],0))</f>
        <v>1</v>
      </c>
      <c r="M456" s="21" t="str">
        <f>"item_"&amp;CONTROL[[#This Row],[VEHIDCODE]]</f>
        <v>item_dmu_MAN_VT_08_5</v>
      </c>
      <c r="N456" s="21" t="str">
        <f>"str_"&amp;CONTROL[[#This Row],[VEHIDCODE]]</f>
        <v>str_dmu_MAN_VT_08_5</v>
      </c>
      <c r="O456" s="7" t="b">
        <f>INDEX(PROPERTIES[IS_CONCEPT],MATCH(CONTROL[[#This Row],[VEHIDCODE]],PROPERTIES[VEHIDCODE],0))="IS_CONCEPT"</f>
        <v>0</v>
      </c>
      <c r="P456" s="7" t="b">
        <f>INDEX(PROPERTIES[EXCLUDE],MATCH(CONTROL[[#This Row],[VEHIDCODE]],PROPERTIES[VEHIDCODE],0))</f>
        <v>0</v>
      </c>
      <c r="Q4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7" spans="1:17" x14ac:dyDescent="0.35">
      <c r="A457" s="2" t="s">
        <v>3082</v>
      </c>
      <c r="B457" s="21" t="str">
        <f>MID(CONTROL[[#This Row],[VEHIDCODE]],FIND("_",CONTROL[[#This Row],[VEHIDCODE]])+1,LEN(CONTROL[[#This Row],[VEHIDCODE]]))</f>
        <v>South_Australian_Railways_400_Redhen</v>
      </c>
      <c r="C4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7">
        <v>7006</v>
      </c>
      <c r="F457" s="30" t="s">
        <v>526</v>
      </c>
      <c r="G457" t="s">
        <v>1476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ISNUMBER(MATCH(CONTROL[[#This Row],[VEHIDCODE]],TRACK_TYPES[VEHIDCODE],0))</f>
        <v>1</v>
      </c>
      <c r="K457" t="b">
        <f>ISNUMBER(MATCH(CONTROL[[#This Row],[VEHIDCODE]],PROPERTIES[VEHIDCODE],0))</f>
        <v>1</v>
      </c>
      <c r="L457" t="b">
        <f>ISNUMBER(MATCH(CONTROL[[#This Row],[VEHIDCODE]],GRAPHICS_PROPERTIES[VEHIDCODE],0))</f>
        <v>1</v>
      </c>
      <c r="M457" s="21" t="str">
        <f>"item_"&amp;CONTROL[[#This Row],[VEHIDCODE]]</f>
        <v>item_dmu_South_Australian_Railways_400_Redhen</v>
      </c>
      <c r="N457" s="21" t="str">
        <f>"str_"&amp;CONTROL[[#This Row],[VEHIDCODE]]</f>
        <v>str_dmu_South_Australian_Railways_400_Redhen</v>
      </c>
      <c r="O457" s="7" t="b">
        <f>INDEX(PROPERTIES[IS_CONCEPT],MATCH(CONTROL[[#This Row],[VEHIDCODE]],PROPERTIES[VEHIDCODE],0))="IS_CONCEPT"</f>
        <v>0</v>
      </c>
      <c r="P457" s="7" t="b">
        <f>INDEX(PROPERTIES[EXCLUDE],MATCH(CONTROL[[#This Row],[VEHIDCODE]],PROPERTIES[VEHIDCODE],0))</f>
        <v>0</v>
      </c>
      <c r="Q4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8" spans="1:17" x14ac:dyDescent="0.35">
      <c r="A458" s="2" t="s">
        <v>3083</v>
      </c>
      <c r="B458" s="21" t="str">
        <f>MID(CONTROL[[#This Row],[VEHIDCODE]],FIND("_",CONTROL[[#This Row],[VEHIDCODE]])+1,LEN(CONTROL[[#This Row],[VEHIDCODE]]))</f>
        <v>MAN_LHB_VT11_5___DB_601_TEE</v>
      </c>
      <c r="C4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8">
        <v>7008</v>
      </c>
      <c r="F458" s="30" t="s">
        <v>3525</v>
      </c>
      <c r="G458" t="s">
        <v>1477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ISNUMBER(MATCH(CONTROL[[#This Row],[VEHIDCODE]],TRACK_TYPES[VEHIDCODE],0))</f>
        <v>1</v>
      </c>
      <c r="K458" t="b">
        <f>ISNUMBER(MATCH(CONTROL[[#This Row],[VEHIDCODE]],PROPERTIES[VEHIDCODE],0))</f>
        <v>1</v>
      </c>
      <c r="L458" t="b">
        <f>ISNUMBER(MATCH(CONTROL[[#This Row],[VEHIDCODE]],GRAPHICS_PROPERTIES[VEHIDCODE],0))</f>
        <v>1</v>
      </c>
      <c r="M458" s="21" t="str">
        <f>"item_"&amp;CONTROL[[#This Row],[VEHIDCODE]]</f>
        <v>item_dmu_MAN_LHB_VT11_5___DB_601_TEE</v>
      </c>
      <c r="N458" s="21" t="str">
        <f>"str_"&amp;CONTROL[[#This Row],[VEHIDCODE]]</f>
        <v>str_dmu_MAN_LHB_VT11_5___DB_601_TEE</v>
      </c>
      <c r="O458" s="7" t="b">
        <f>INDEX(PROPERTIES[IS_CONCEPT],MATCH(CONTROL[[#This Row],[VEHIDCODE]],PROPERTIES[VEHIDCODE],0))="IS_CONCEPT"</f>
        <v>0</v>
      </c>
      <c r="P458" s="7" t="b">
        <f>INDEX(PROPERTIES[EXCLUDE],MATCH(CONTROL[[#This Row],[VEHIDCODE]],PROPERTIES[VEHIDCODE],0))</f>
        <v>0</v>
      </c>
      <c r="Q4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59" spans="1:17" x14ac:dyDescent="0.35">
      <c r="A459" s="2" t="s">
        <v>3084</v>
      </c>
      <c r="B459" s="21" t="str">
        <f>MID(CONTROL[[#This Row],[VEHIDCODE]],FIND("_",CONTROL[[#This Row],[VEHIDCODE]])+1,LEN(CONTROL[[#This Row],[VEHIDCODE]]))</f>
        <v>Werkspoor_Plan_U_DE_III</v>
      </c>
      <c r="C4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59">
        <v>7009</v>
      </c>
      <c r="F459" s="30" t="s">
        <v>2290</v>
      </c>
      <c r="G459" t="s">
        <v>1478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ISNUMBER(MATCH(CONTROL[[#This Row],[VEHIDCODE]],TRACK_TYPES[VEHIDCODE],0))</f>
        <v>1</v>
      </c>
      <c r="K459" t="b">
        <f>ISNUMBER(MATCH(CONTROL[[#This Row],[VEHIDCODE]],PROPERTIES[VEHIDCODE],0))</f>
        <v>1</v>
      </c>
      <c r="L459" t="b">
        <f>ISNUMBER(MATCH(CONTROL[[#This Row],[VEHIDCODE]],GRAPHICS_PROPERTIES[VEHIDCODE],0))</f>
        <v>1</v>
      </c>
      <c r="M459" s="21" t="str">
        <f>"item_"&amp;CONTROL[[#This Row],[VEHIDCODE]]</f>
        <v>item_dmu_Werkspoor_Plan_U_DE_III</v>
      </c>
      <c r="N459" s="21" t="str">
        <f>"str_"&amp;CONTROL[[#This Row],[VEHIDCODE]]</f>
        <v>str_dmu_Werkspoor_Plan_U_DE_III</v>
      </c>
      <c r="O459" s="7" t="b">
        <f>INDEX(PROPERTIES[IS_CONCEPT],MATCH(CONTROL[[#This Row],[VEHIDCODE]],PROPERTIES[VEHIDCODE],0))="IS_CONCEPT"</f>
        <v>0</v>
      </c>
      <c r="P459" s="7" t="b">
        <f>INDEX(PROPERTIES[EXCLUDE],MATCH(CONTROL[[#This Row],[VEHIDCODE]],PROPERTIES[VEHIDCODE],0))</f>
        <v>0</v>
      </c>
      <c r="Q4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0" spans="1:17" x14ac:dyDescent="0.35">
      <c r="A460" s="2" t="s">
        <v>3085</v>
      </c>
      <c r="B460" s="21" t="str">
        <f>MID(CONTROL[[#This Row],[VEHIDCODE]],FIND("_",CONTROL[[#This Row],[VEHIDCODE]])+1,LEN(CONTROL[[#This Row],[VEHIDCODE]]))</f>
        <v>UAC_Turbo_Train</v>
      </c>
      <c r="C4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0">
        <v>7010</v>
      </c>
      <c r="F460" s="30" t="s">
        <v>2291</v>
      </c>
      <c r="G460" t="s">
        <v>1479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ISNUMBER(MATCH(CONTROL[[#This Row],[VEHIDCODE]],TRACK_TYPES[VEHIDCODE],0))</f>
        <v>1</v>
      </c>
      <c r="K460" t="b">
        <f>ISNUMBER(MATCH(CONTROL[[#This Row],[VEHIDCODE]],PROPERTIES[VEHIDCODE],0))</f>
        <v>1</v>
      </c>
      <c r="L460" t="b">
        <f>ISNUMBER(MATCH(CONTROL[[#This Row],[VEHIDCODE]],GRAPHICS_PROPERTIES[VEHIDCODE],0))</f>
        <v>1</v>
      </c>
      <c r="M460" s="21" t="str">
        <f>"item_"&amp;CONTROL[[#This Row],[VEHIDCODE]]</f>
        <v>item_dmu_UAC_Turbo_Train</v>
      </c>
      <c r="N460" s="21" t="str">
        <f>"str_"&amp;CONTROL[[#This Row],[VEHIDCODE]]</f>
        <v>str_dmu_UAC_Turbo_Train</v>
      </c>
      <c r="O460" s="7" t="b">
        <f>INDEX(PROPERTIES[IS_CONCEPT],MATCH(CONTROL[[#This Row],[VEHIDCODE]],PROPERTIES[VEHIDCODE],0))="IS_CONCEPT"</f>
        <v>0</v>
      </c>
      <c r="P460" s="7" t="b">
        <f>INDEX(PROPERTIES[EXCLUDE],MATCH(CONTROL[[#This Row],[VEHIDCODE]],PROPERTIES[VEHIDCODE],0))</f>
        <v>0</v>
      </c>
      <c r="Q4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1" spans="1:17" x14ac:dyDescent="0.35">
      <c r="A461" s="2" t="s">
        <v>3086</v>
      </c>
      <c r="B461" s="21" t="str">
        <f>MID(CONTROL[[#This Row],[VEHIDCODE]],FIND("_",CONTROL[[#This Row],[VEHIDCODE]])+1,LEN(CONTROL[[#This Row],[VEHIDCODE]]))</f>
        <v>JZ_811</v>
      </c>
      <c r="C4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1">
        <v>7011</v>
      </c>
      <c r="F461" s="30" t="s">
        <v>3518</v>
      </c>
      <c r="G461" t="s">
        <v>3517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ISNUMBER(MATCH(CONTROL[[#This Row],[VEHIDCODE]],TRACK_TYPES[VEHIDCODE],0))</f>
        <v>1</v>
      </c>
      <c r="K461" t="b">
        <f>ISNUMBER(MATCH(CONTROL[[#This Row],[VEHIDCODE]],PROPERTIES[VEHIDCODE],0))</f>
        <v>1</v>
      </c>
      <c r="L461" t="b">
        <f>ISNUMBER(MATCH(CONTROL[[#This Row],[VEHIDCODE]],GRAPHICS_PROPERTIES[VEHIDCODE],0))</f>
        <v>1</v>
      </c>
      <c r="M461" s="21" t="str">
        <f>"item_"&amp;CONTROL[[#This Row],[VEHIDCODE]]</f>
        <v>item_dmu_JZ_811</v>
      </c>
      <c r="N461" s="21" t="str">
        <f>"str_"&amp;CONTROL[[#This Row],[VEHIDCODE]]</f>
        <v>str_dmu_JZ_811</v>
      </c>
      <c r="O461" s="7" t="b">
        <f>INDEX(PROPERTIES[IS_CONCEPT],MATCH(CONTROL[[#This Row],[VEHIDCODE]],PROPERTIES[VEHIDCODE],0))="IS_CONCEPT"</f>
        <v>0</v>
      </c>
      <c r="P461" s="7" t="b">
        <f>INDEX(PROPERTIES[EXCLUDE],MATCH(CONTROL[[#This Row],[VEHIDCODE]],PROPERTIES[VEHIDCODE],0))</f>
        <v>0</v>
      </c>
      <c r="Q4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2" spans="1:17" x14ac:dyDescent="0.35">
      <c r="A462" s="2" t="s">
        <v>3087</v>
      </c>
      <c r="B462" s="21" t="str">
        <f>MID(CONTROL[[#This Row],[VEHIDCODE]],FIND("_",CONTROL[[#This Row],[VEHIDCODE]])+1,LEN(CONTROL[[#This Row],[VEHIDCODE]]))</f>
        <v>BREL_43_IC125</v>
      </c>
      <c r="C4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2">
        <v>7012</v>
      </c>
      <c r="F462" s="30" t="s">
        <v>2292</v>
      </c>
      <c r="G462" t="s">
        <v>1481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ISNUMBER(MATCH(CONTROL[[#This Row],[VEHIDCODE]],TRACK_TYPES[VEHIDCODE],0))</f>
        <v>1</v>
      </c>
      <c r="K462" t="b">
        <f>ISNUMBER(MATCH(CONTROL[[#This Row],[VEHIDCODE]],PROPERTIES[VEHIDCODE],0))</f>
        <v>1</v>
      </c>
      <c r="L462" t="b">
        <f>ISNUMBER(MATCH(CONTROL[[#This Row],[VEHIDCODE]],GRAPHICS_PROPERTIES[VEHIDCODE],0))</f>
        <v>1</v>
      </c>
      <c r="M462" s="21" t="str">
        <f>"item_"&amp;CONTROL[[#This Row],[VEHIDCODE]]</f>
        <v>item_dmu_BREL_43_IC125</v>
      </c>
      <c r="N462" s="21" t="str">
        <f>"str_"&amp;CONTROL[[#This Row],[VEHIDCODE]]</f>
        <v>str_dmu_BREL_43_IC125</v>
      </c>
      <c r="O462" s="7" t="b">
        <f>INDEX(PROPERTIES[IS_CONCEPT],MATCH(CONTROL[[#This Row],[VEHIDCODE]],PROPERTIES[VEHIDCODE],0))="IS_CONCEPT"</f>
        <v>0</v>
      </c>
      <c r="P462" s="7" t="b">
        <f>INDEX(PROPERTIES[EXCLUDE],MATCH(CONTROL[[#This Row],[VEHIDCODE]],PROPERTIES[VEHIDCODE],0))</f>
        <v>0</v>
      </c>
      <c r="Q4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3" spans="1:17" x14ac:dyDescent="0.35">
      <c r="A463" s="2" t="s">
        <v>3088</v>
      </c>
      <c r="B463" s="21" t="str">
        <f>MID(CONTROL[[#This Row],[VEHIDCODE]],FIND("_",CONTROL[[#This Row],[VEHIDCODE]])+1,LEN(CONTROL[[#This Row],[VEHIDCODE]]))</f>
        <v>Bombardier_M6109</v>
      </c>
      <c r="C4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3">
        <v>7013</v>
      </c>
      <c r="F463" s="30" t="s">
        <v>2293</v>
      </c>
      <c r="G463" t="s">
        <v>1482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ISNUMBER(MATCH(CONTROL[[#This Row],[VEHIDCODE]],TRACK_TYPES[VEHIDCODE],0))</f>
        <v>1</v>
      </c>
      <c r="K463" t="b">
        <f>ISNUMBER(MATCH(CONTROL[[#This Row],[VEHIDCODE]],PROPERTIES[VEHIDCODE],0))</f>
        <v>1</v>
      </c>
      <c r="L463" t="b">
        <f>ISNUMBER(MATCH(CONTROL[[#This Row],[VEHIDCODE]],GRAPHICS_PROPERTIES[VEHIDCODE],0))</f>
        <v>1</v>
      </c>
      <c r="M463" s="21" t="str">
        <f>"item_"&amp;CONTROL[[#This Row],[VEHIDCODE]]</f>
        <v>item_dmu_Bombardier_M6109</v>
      </c>
      <c r="N463" s="21" t="str">
        <f>"str_"&amp;CONTROL[[#This Row],[VEHIDCODE]]</f>
        <v>str_dmu_Bombardier_M6109</v>
      </c>
      <c r="O463" s="7" t="b">
        <f>INDEX(PROPERTIES[IS_CONCEPT],MATCH(CONTROL[[#This Row],[VEHIDCODE]],PROPERTIES[VEHIDCODE],0))="IS_CONCEPT"</f>
        <v>0</v>
      </c>
      <c r="P463" s="7" t="b">
        <f>INDEX(PROPERTIES[EXCLUDE],MATCH(CONTROL[[#This Row],[VEHIDCODE]],PROPERTIES[VEHIDCODE],0))</f>
        <v>0</v>
      </c>
      <c r="Q4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4" spans="1:17" x14ac:dyDescent="0.35">
      <c r="A464" s="2" t="s">
        <v>3089</v>
      </c>
      <c r="B464" s="21" t="str">
        <f>MID(CONTROL[[#This Row],[VEHIDCODE]],FIND("_",CONTROL[[#This Row],[VEHIDCODE]])+1,LEN(CONTROL[[#This Row],[VEHIDCODE]]))</f>
        <v>ABB_IC3_Y2</v>
      </c>
      <c r="C4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4">
        <v>7014</v>
      </c>
      <c r="F464" s="30" t="s">
        <v>2294</v>
      </c>
      <c r="G464" t="s">
        <v>1483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ISNUMBER(MATCH(CONTROL[[#This Row],[VEHIDCODE]],TRACK_TYPES[VEHIDCODE],0))</f>
        <v>1</v>
      </c>
      <c r="K464" t="b">
        <f>ISNUMBER(MATCH(CONTROL[[#This Row],[VEHIDCODE]],PROPERTIES[VEHIDCODE],0))</f>
        <v>1</v>
      </c>
      <c r="L464" t="b">
        <f>ISNUMBER(MATCH(CONTROL[[#This Row],[VEHIDCODE]],GRAPHICS_PROPERTIES[VEHIDCODE],0))</f>
        <v>1</v>
      </c>
      <c r="M464" s="21" t="str">
        <f>"item_"&amp;CONTROL[[#This Row],[VEHIDCODE]]</f>
        <v>item_dmu_ABB_IC3_Y2</v>
      </c>
      <c r="N464" s="21" t="str">
        <f>"str_"&amp;CONTROL[[#This Row],[VEHIDCODE]]</f>
        <v>str_dmu_ABB_IC3_Y2</v>
      </c>
      <c r="O464" s="7" t="b">
        <f>INDEX(PROPERTIES[IS_CONCEPT],MATCH(CONTROL[[#This Row],[VEHIDCODE]],PROPERTIES[VEHIDCODE],0))="IS_CONCEPT"</f>
        <v>0</v>
      </c>
      <c r="P464" s="7" t="b">
        <f>INDEX(PROPERTIES[EXCLUDE],MATCH(CONTROL[[#This Row],[VEHIDCODE]],PROPERTIES[VEHIDCODE],0))</f>
        <v>0</v>
      </c>
      <c r="Q4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5" spans="1:17" x14ac:dyDescent="0.35">
      <c r="A465" s="2" t="s">
        <v>3090</v>
      </c>
      <c r="B465" s="21" t="str">
        <f>MID(CONTROL[[#This Row],[VEHIDCODE]],FIND("_",CONTROL[[#This Row],[VEHIDCODE]])+1,LEN(CONTROL[[#This Row],[VEHIDCODE]]))</f>
        <v>CAF_594_TRD</v>
      </c>
      <c r="C4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5">
        <v>7015</v>
      </c>
      <c r="F465" s="30" t="s">
        <v>2295</v>
      </c>
      <c r="G465" t="s">
        <v>1484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ISNUMBER(MATCH(CONTROL[[#This Row],[VEHIDCODE]],TRACK_TYPES[VEHIDCODE],0))</f>
        <v>1</v>
      </c>
      <c r="K465" t="b">
        <f>ISNUMBER(MATCH(CONTROL[[#This Row],[VEHIDCODE]],PROPERTIES[VEHIDCODE],0))</f>
        <v>1</v>
      </c>
      <c r="L465" t="b">
        <f>ISNUMBER(MATCH(CONTROL[[#This Row],[VEHIDCODE]],GRAPHICS_PROPERTIES[VEHIDCODE],0))</f>
        <v>1</v>
      </c>
      <c r="M465" s="21" t="str">
        <f>"item_"&amp;CONTROL[[#This Row],[VEHIDCODE]]</f>
        <v>item_dmu_CAF_594_TRD</v>
      </c>
      <c r="N465" s="21" t="str">
        <f>"str_"&amp;CONTROL[[#This Row],[VEHIDCODE]]</f>
        <v>str_dmu_CAF_594_TRD</v>
      </c>
      <c r="O465" s="7" t="b">
        <f>INDEX(PROPERTIES[IS_CONCEPT],MATCH(CONTROL[[#This Row],[VEHIDCODE]],PROPERTIES[VEHIDCODE],0))="IS_CONCEPT"</f>
        <v>0</v>
      </c>
      <c r="P465" s="7" t="b">
        <f>INDEX(PROPERTIES[EXCLUDE],MATCH(CONTROL[[#This Row],[VEHIDCODE]],PROPERTIES[VEHIDCODE],0))</f>
        <v>0</v>
      </c>
      <c r="Q4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6" spans="1:17" x14ac:dyDescent="0.35">
      <c r="A466" s="2" t="s">
        <v>3091</v>
      </c>
      <c r="B466" s="21" t="str">
        <f>MID(CONTROL[[#This Row],[VEHIDCODE]],FIND("_",CONTROL[[#This Row],[VEHIDCODE]])+1,LEN(CONTROL[[#This Row],[VEHIDCODE]]))</f>
        <v>Adtranz_Class_168_Clubman</v>
      </c>
      <c r="C4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6">
        <v>7016</v>
      </c>
      <c r="F466" s="30" t="s">
        <v>2296</v>
      </c>
      <c r="G466" t="s">
        <v>1485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ISNUMBER(MATCH(CONTROL[[#This Row],[VEHIDCODE]],TRACK_TYPES[VEHIDCODE],0))</f>
        <v>1</v>
      </c>
      <c r="K466" t="b">
        <f>ISNUMBER(MATCH(CONTROL[[#This Row],[VEHIDCODE]],PROPERTIES[VEHIDCODE],0))</f>
        <v>1</v>
      </c>
      <c r="L466" t="b">
        <f>ISNUMBER(MATCH(CONTROL[[#This Row],[VEHIDCODE]],GRAPHICS_PROPERTIES[VEHIDCODE],0))</f>
        <v>1</v>
      </c>
      <c r="M466" s="21" t="str">
        <f>"item_"&amp;CONTROL[[#This Row],[VEHIDCODE]]</f>
        <v>item_dmu_Adtranz_Class_168_Clubman</v>
      </c>
      <c r="N466" s="21" t="str">
        <f>"str_"&amp;CONTROL[[#This Row],[VEHIDCODE]]</f>
        <v>str_dmu_Adtranz_Class_168_Clubman</v>
      </c>
      <c r="O466" s="7" t="b">
        <f>INDEX(PROPERTIES[IS_CONCEPT],MATCH(CONTROL[[#This Row],[VEHIDCODE]],PROPERTIES[VEHIDCODE],0))="IS_CONCEPT"</f>
        <v>0</v>
      </c>
      <c r="P466" s="7" t="b">
        <f>INDEX(PROPERTIES[EXCLUDE],MATCH(CONTROL[[#This Row],[VEHIDCODE]],PROPERTIES[VEHIDCODE],0))</f>
        <v>0</v>
      </c>
      <c r="Q4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7" spans="1:17" x14ac:dyDescent="0.35">
      <c r="A467" s="2" t="s">
        <v>3092</v>
      </c>
      <c r="B467" s="21" t="str">
        <f>MID(CONTROL[[#This Row],[VEHIDCODE]],FIND("_",CONTROL[[#This Row],[VEHIDCODE]])+1,LEN(CONTROL[[#This Row],[VEHIDCODE]]))</f>
        <v>Adtranz_Class_612_Regio_Swinger</v>
      </c>
      <c r="C4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7">
        <v>7017</v>
      </c>
      <c r="F467" s="30" t="s">
        <v>2297</v>
      </c>
      <c r="G467" t="s">
        <v>1486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ISNUMBER(MATCH(CONTROL[[#This Row],[VEHIDCODE]],TRACK_TYPES[VEHIDCODE],0))</f>
        <v>1</v>
      </c>
      <c r="K467" t="b">
        <f>ISNUMBER(MATCH(CONTROL[[#This Row],[VEHIDCODE]],PROPERTIES[VEHIDCODE],0))</f>
        <v>1</v>
      </c>
      <c r="L467" t="b">
        <f>ISNUMBER(MATCH(CONTROL[[#This Row],[VEHIDCODE]],GRAPHICS_PROPERTIES[VEHIDCODE],0))</f>
        <v>1</v>
      </c>
      <c r="M467" s="21" t="str">
        <f>"item_"&amp;CONTROL[[#This Row],[VEHIDCODE]]</f>
        <v>item_dmu_Adtranz_Class_612_Regio_Swinger</v>
      </c>
      <c r="N467" s="21" t="str">
        <f>"str_"&amp;CONTROL[[#This Row],[VEHIDCODE]]</f>
        <v>str_dmu_Adtranz_Class_612_Regio_Swinger</v>
      </c>
      <c r="O467" s="7" t="b">
        <f>INDEX(PROPERTIES[IS_CONCEPT],MATCH(CONTROL[[#This Row],[VEHIDCODE]],PROPERTIES[VEHIDCODE],0))="IS_CONCEPT"</f>
        <v>0</v>
      </c>
      <c r="P467" s="7" t="b">
        <f>INDEX(PROPERTIES[EXCLUDE],MATCH(CONTROL[[#This Row],[VEHIDCODE]],PROPERTIES[VEHIDCODE],0))</f>
        <v>0</v>
      </c>
      <c r="Q4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8" spans="1:17" x14ac:dyDescent="0.35">
      <c r="A468" s="2" t="s">
        <v>3093</v>
      </c>
      <c r="B468" s="21" t="str">
        <f>MID(CONTROL[[#This Row],[VEHIDCODE]],FIND("_",CONTROL[[#This Row],[VEHIDCODE]])+1,LEN(CONTROL[[#This Row],[VEHIDCODE]]))</f>
        <v>Siemens_Desiro</v>
      </c>
      <c r="C4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8">
        <v>7018</v>
      </c>
      <c r="F468" s="30" t="s">
        <v>2024</v>
      </c>
      <c r="G468" t="s">
        <v>1487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ISNUMBER(MATCH(CONTROL[[#This Row],[VEHIDCODE]],TRACK_TYPES[VEHIDCODE],0))</f>
        <v>1</v>
      </c>
      <c r="K468" t="b">
        <f>ISNUMBER(MATCH(CONTROL[[#This Row],[VEHIDCODE]],PROPERTIES[VEHIDCODE],0))</f>
        <v>1</v>
      </c>
      <c r="L468" t="b">
        <f>ISNUMBER(MATCH(CONTROL[[#This Row],[VEHIDCODE]],GRAPHICS_PROPERTIES[VEHIDCODE],0))</f>
        <v>1</v>
      </c>
      <c r="M468" s="21" t="str">
        <f>"item_"&amp;CONTROL[[#This Row],[VEHIDCODE]]</f>
        <v>item_dmu_Siemens_Desiro</v>
      </c>
      <c r="N468" s="21" t="str">
        <f>"str_"&amp;CONTROL[[#This Row],[VEHIDCODE]]</f>
        <v>str_dmu_Siemens_Desiro</v>
      </c>
      <c r="O468" s="7" t="b">
        <f>INDEX(PROPERTIES[IS_CONCEPT],MATCH(CONTROL[[#This Row],[VEHIDCODE]],PROPERTIES[VEHIDCODE],0))="IS_CONCEPT"</f>
        <v>0</v>
      </c>
      <c r="P468" s="7" t="b">
        <f>INDEX(PROPERTIES[EXCLUDE],MATCH(CONTROL[[#This Row],[VEHIDCODE]],PROPERTIES[VEHIDCODE],0))</f>
        <v>0</v>
      </c>
      <c r="Q4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69" spans="1:17" x14ac:dyDescent="0.35">
      <c r="A469" s="2" t="s">
        <v>3094</v>
      </c>
      <c r="B469" s="21" t="str">
        <f>MID(CONTROL[[#This Row],[VEHIDCODE]],FIND("_",CONTROL[[#This Row],[VEHIDCODE]])+1,LEN(CONTROL[[#This Row],[VEHIDCODE]]))</f>
        <v>Alstom_Coradia_LINT</v>
      </c>
      <c r="C4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69">
        <v>7019</v>
      </c>
      <c r="F469" s="30" t="s">
        <v>2298</v>
      </c>
      <c r="G469" t="s">
        <v>1488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ISNUMBER(MATCH(CONTROL[[#This Row],[VEHIDCODE]],TRACK_TYPES[VEHIDCODE],0))</f>
        <v>1</v>
      </c>
      <c r="K469" t="b">
        <f>ISNUMBER(MATCH(CONTROL[[#This Row],[VEHIDCODE]],PROPERTIES[VEHIDCODE],0))</f>
        <v>1</v>
      </c>
      <c r="L469" t="b">
        <f>ISNUMBER(MATCH(CONTROL[[#This Row],[VEHIDCODE]],GRAPHICS_PROPERTIES[VEHIDCODE],0))</f>
        <v>1</v>
      </c>
      <c r="M469" s="21" t="str">
        <f>"item_"&amp;CONTROL[[#This Row],[VEHIDCODE]]</f>
        <v>item_dmu_Alstom_Coradia_LINT</v>
      </c>
      <c r="N469" s="21" t="str">
        <f>"str_"&amp;CONTROL[[#This Row],[VEHIDCODE]]</f>
        <v>str_dmu_Alstom_Coradia_LINT</v>
      </c>
      <c r="O469" s="7" t="b">
        <f>INDEX(PROPERTIES[IS_CONCEPT],MATCH(CONTROL[[#This Row],[VEHIDCODE]],PROPERTIES[VEHIDCODE],0))="IS_CONCEPT"</f>
        <v>0</v>
      </c>
      <c r="P469" s="7" t="b">
        <f>INDEX(PROPERTIES[EXCLUDE],MATCH(CONTROL[[#This Row],[VEHIDCODE]],PROPERTIES[VEHIDCODE],0))</f>
        <v>0</v>
      </c>
      <c r="Q4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0" spans="1:17" x14ac:dyDescent="0.35">
      <c r="A470" s="2" t="s">
        <v>3095</v>
      </c>
      <c r="B470" s="21" t="str">
        <f>MID(CONTROL[[#This Row],[VEHIDCODE]],FIND("_",CONTROL[[#This Row],[VEHIDCODE]])+1,LEN(CONTROL[[#This Row],[VEHIDCODE]]))</f>
        <v>Bombardier_Talent_NSB_BM_93</v>
      </c>
      <c r="C4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0">
        <v>7020</v>
      </c>
      <c r="F470" s="30" t="s">
        <v>2299</v>
      </c>
      <c r="G470" t="s">
        <v>1489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ISNUMBER(MATCH(CONTROL[[#This Row],[VEHIDCODE]],TRACK_TYPES[VEHIDCODE],0))</f>
        <v>1</v>
      </c>
      <c r="K470" t="b">
        <f>ISNUMBER(MATCH(CONTROL[[#This Row],[VEHIDCODE]],PROPERTIES[VEHIDCODE],0))</f>
        <v>1</v>
      </c>
      <c r="L470" t="b">
        <f>ISNUMBER(MATCH(CONTROL[[#This Row],[VEHIDCODE]],GRAPHICS_PROPERTIES[VEHIDCODE],0))</f>
        <v>1</v>
      </c>
      <c r="M470" s="21" t="str">
        <f>"item_"&amp;CONTROL[[#This Row],[VEHIDCODE]]</f>
        <v>item_dmu_Bombardier_Talent_NSB_BM_93</v>
      </c>
      <c r="N470" s="21" t="str">
        <f>"str_"&amp;CONTROL[[#This Row],[VEHIDCODE]]</f>
        <v>str_dmu_Bombardier_Talent_NSB_BM_93</v>
      </c>
      <c r="O470" s="7" t="b">
        <f>INDEX(PROPERTIES[IS_CONCEPT],MATCH(CONTROL[[#This Row],[VEHIDCODE]],PROPERTIES[VEHIDCODE],0))="IS_CONCEPT"</f>
        <v>0</v>
      </c>
      <c r="P470" s="7" t="b">
        <f>INDEX(PROPERTIES[EXCLUDE],MATCH(CONTROL[[#This Row],[VEHIDCODE]],PROPERTIES[VEHIDCODE],0))</f>
        <v>0</v>
      </c>
      <c r="Q4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1" spans="1:17" x14ac:dyDescent="0.35">
      <c r="A471" s="2" t="s">
        <v>3096</v>
      </c>
      <c r="B471" s="21" t="str">
        <f>MID(CONTROL[[#This Row],[VEHIDCODE]],FIND("_",CONTROL[[#This Row],[VEHIDCODE]])+1,LEN(CONTROL[[#This Row],[VEHIDCODE]]))</f>
        <v>UGL_WD_Prospector</v>
      </c>
      <c r="C4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1">
        <v>7021</v>
      </c>
      <c r="F471" s="30" t="s">
        <v>2300</v>
      </c>
      <c r="G471" t="s">
        <v>1490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ISNUMBER(MATCH(CONTROL[[#This Row],[VEHIDCODE]],TRACK_TYPES[VEHIDCODE],0))</f>
        <v>1</v>
      </c>
      <c r="K471" t="b">
        <f>ISNUMBER(MATCH(CONTROL[[#This Row],[VEHIDCODE]],PROPERTIES[VEHIDCODE],0))</f>
        <v>1</v>
      </c>
      <c r="L471" t="b">
        <f>ISNUMBER(MATCH(CONTROL[[#This Row],[VEHIDCODE]],GRAPHICS_PROPERTIES[VEHIDCODE],0))</f>
        <v>1</v>
      </c>
      <c r="M471" s="21" t="str">
        <f>"item_"&amp;CONTROL[[#This Row],[VEHIDCODE]]</f>
        <v>item_dmu_UGL_WD_Prospector</v>
      </c>
      <c r="N471" s="21" t="str">
        <f>"str_"&amp;CONTROL[[#This Row],[VEHIDCODE]]</f>
        <v>str_dmu_UGL_WD_Prospector</v>
      </c>
      <c r="O471" s="7" t="b">
        <f>INDEX(PROPERTIES[IS_CONCEPT],MATCH(CONTROL[[#This Row],[VEHIDCODE]],PROPERTIES[VEHIDCODE],0))="IS_CONCEPT"</f>
        <v>0</v>
      </c>
      <c r="P471" s="7" t="b">
        <f>INDEX(PROPERTIES[EXCLUDE],MATCH(CONTROL[[#This Row],[VEHIDCODE]],PROPERTIES[VEHIDCODE],0))</f>
        <v>0</v>
      </c>
      <c r="Q4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2" spans="1:17" x14ac:dyDescent="0.35">
      <c r="A472" s="2" t="s">
        <v>3097</v>
      </c>
      <c r="B472" s="21" t="str">
        <f>MID(CONTROL[[#This Row],[VEHIDCODE]],FIND("_",CONTROL[[#This Row],[VEHIDCODE]])+1,LEN(CONTROL[[#This Row],[VEHIDCODE]]))</f>
        <v>UGL_Hunter_Railcar</v>
      </c>
      <c r="C4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2">
        <v>7022</v>
      </c>
      <c r="F472" s="30" t="s">
        <v>2301</v>
      </c>
      <c r="G472" t="s">
        <v>1491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ISNUMBER(MATCH(CONTROL[[#This Row],[VEHIDCODE]],TRACK_TYPES[VEHIDCODE],0))</f>
        <v>1</v>
      </c>
      <c r="K472" t="b">
        <f>ISNUMBER(MATCH(CONTROL[[#This Row],[VEHIDCODE]],PROPERTIES[VEHIDCODE],0))</f>
        <v>1</v>
      </c>
      <c r="L472" t="b">
        <f>ISNUMBER(MATCH(CONTROL[[#This Row],[VEHIDCODE]],GRAPHICS_PROPERTIES[VEHIDCODE],0))</f>
        <v>1</v>
      </c>
      <c r="M472" s="21" t="str">
        <f>"item_"&amp;CONTROL[[#This Row],[VEHIDCODE]]</f>
        <v>item_dmu_UGL_Hunter_Railcar</v>
      </c>
      <c r="N472" s="21" t="str">
        <f>"str_"&amp;CONTROL[[#This Row],[VEHIDCODE]]</f>
        <v>str_dmu_UGL_Hunter_Railcar</v>
      </c>
      <c r="O472" s="7" t="b">
        <f>INDEX(PROPERTIES[IS_CONCEPT],MATCH(CONTROL[[#This Row],[VEHIDCODE]],PROPERTIES[VEHIDCODE],0))="IS_CONCEPT"</f>
        <v>0</v>
      </c>
      <c r="P472" s="7" t="b">
        <f>INDEX(PROPERTIES[EXCLUDE],MATCH(CONTROL[[#This Row],[VEHIDCODE]],PROPERTIES[VEHIDCODE],0))</f>
        <v>0</v>
      </c>
      <c r="Q4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3" spans="1:17" x14ac:dyDescent="0.35">
      <c r="A473" s="2" t="s">
        <v>3098</v>
      </c>
      <c r="B473" s="21" t="str">
        <f>MID(CONTROL[[#This Row],[VEHIDCODE]],FIND("_",CONTROL[[#This Row],[VEHIDCODE]])+1,LEN(CONTROL[[#This Row],[VEHIDCODE]]))</f>
        <v>MVM_RA2</v>
      </c>
      <c r="C4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3">
        <v>7023</v>
      </c>
      <c r="F473" s="30" t="s">
        <v>2025</v>
      </c>
      <c r="G473" t="s">
        <v>1492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ISNUMBER(MATCH(CONTROL[[#This Row],[VEHIDCODE]],TRACK_TYPES[VEHIDCODE],0))</f>
        <v>1</v>
      </c>
      <c r="K473" t="b">
        <f>ISNUMBER(MATCH(CONTROL[[#This Row],[VEHIDCODE]],PROPERTIES[VEHIDCODE],0))</f>
        <v>1</v>
      </c>
      <c r="L473" t="b">
        <f>ISNUMBER(MATCH(CONTROL[[#This Row],[VEHIDCODE]],GRAPHICS_PROPERTIES[VEHIDCODE],0))</f>
        <v>1</v>
      </c>
      <c r="M473" s="21" t="str">
        <f>"item_"&amp;CONTROL[[#This Row],[VEHIDCODE]]</f>
        <v>item_dmu_MVM_RA2</v>
      </c>
      <c r="N473" s="21" t="str">
        <f>"str_"&amp;CONTROL[[#This Row],[VEHIDCODE]]</f>
        <v>str_dmu_MVM_RA2</v>
      </c>
      <c r="O473" s="7" t="b">
        <f>INDEX(PROPERTIES[IS_CONCEPT],MATCH(CONTROL[[#This Row],[VEHIDCODE]],PROPERTIES[VEHIDCODE],0))="IS_CONCEPT"</f>
        <v>0</v>
      </c>
      <c r="P473" s="7" t="b">
        <f>INDEX(PROPERTIES[EXCLUDE],MATCH(CONTROL[[#This Row],[VEHIDCODE]],PROPERTIES[VEHIDCODE],0))</f>
        <v>0</v>
      </c>
      <c r="Q4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4" spans="1:17" x14ac:dyDescent="0.35">
      <c r="A474" s="2" t="s">
        <v>3099</v>
      </c>
      <c r="B474" s="21" t="str">
        <f>MID(CONTROL[[#This Row],[VEHIDCODE]],FIND("_",CONTROL[[#This Row],[VEHIDCODE]])+1,LEN(CONTROL[[#This Row],[VEHIDCODE]]))</f>
        <v>AnsaldoBreda_IC4</v>
      </c>
      <c r="C4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4">
        <v>7000</v>
      </c>
      <c r="F474" s="30" t="s">
        <v>2302</v>
      </c>
      <c r="G474" t="s">
        <v>1493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ISNUMBER(MATCH(CONTROL[[#This Row],[VEHIDCODE]],TRACK_TYPES[VEHIDCODE],0))</f>
        <v>1</v>
      </c>
      <c r="K474" t="b">
        <f>ISNUMBER(MATCH(CONTROL[[#This Row],[VEHIDCODE]],PROPERTIES[VEHIDCODE],0))</f>
        <v>1</v>
      </c>
      <c r="L474" t="b">
        <f>ISNUMBER(MATCH(CONTROL[[#This Row],[VEHIDCODE]],GRAPHICS_PROPERTIES[VEHIDCODE],0))</f>
        <v>1</v>
      </c>
      <c r="M474" s="21" t="str">
        <f>"item_"&amp;CONTROL[[#This Row],[VEHIDCODE]]</f>
        <v>item_dmu_AnsaldoBreda_IC4</v>
      </c>
      <c r="N474" s="21" t="str">
        <f>"str_"&amp;CONTROL[[#This Row],[VEHIDCODE]]</f>
        <v>str_dmu_AnsaldoBreda_IC4</v>
      </c>
      <c r="O474" s="7" t="b">
        <f>INDEX(PROPERTIES[IS_CONCEPT],MATCH(CONTROL[[#This Row],[VEHIDCODE]],PROPERTIES[VEHIDCODE],0))="IS_CONCEPT"</f>
        <v>0</v>
      </c>
      <c r="P474" s="7" t="b">
        <f>INDEX(PROPERTIES[EXCLUDE],MATCH(CONTROL[[#This Row],[VEHIDCODE]],PROPERTIES[VEHIDCODE],0))</f>
        <v>0</v>
      </c>
      <c r="Q4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5" spans="1:17" x14ac:dyDescent="0.35">
      <c r="A475" s="2" t="s">
        <v>3100</v>
      </c>
      <c r="B475" s="21" t="str">
        <f>MID(CONTROL[[#This Row],[VEHIDCODE]],FIND("_",CONTROL[[#This Row],[VEHIDCODE]])+1,LEN(CONTROL[[#This Row],[VEHIDCODE]]))</f>
        <v>TZV_Gredelj_7022</v>
      </c>
      <c r="C4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5">
        <v>7001</v>
      </c>
      <c r="F475" s="30" t="s">
        <v>2303</v>
      </c>
      <c r="G475" t="s">
        <v>1494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ISNUMBER(MATCH(CONTROL[[#This Row],[VEHIDCODE]],TRACK_TYPES[VEHIDCODE],0))</f>
        <v>1</v>
      </c>
      <c r="K475" t="b">
        <f>ISNUMBER(MATCH(CONTROL[[#This Row],[VEHIDCODE]],PROPERTIES[VEHIDCODE],0))</f>
        <v>1</v>
      </c>
      <c r="L475" t="b">
        <f>ISNUMBER(MATCH(CONTROL[[#This Row],[VEHIDCODE]],GRAPHICS_PROPERTIES[VEHIDCODE],0))</f>
        <v>1</v>
      </c>
      <c r="M475" s="21" t="str">
        <f>"item_"&amp;CONTROL[[#This Row],[VEHIDCODE]]</f>
        <v>item_dmu_TZV_Gredelj_7022</v>
      </c>
      <c r="N475" s="21" t="str">
        <f>"str_"&amp;CONTROL[[#This Row],[VEHIDCODE]]</f>
        <v>str_dmu_TZV_Gredelj_7022</v>
      </c>
      <c r="O475" s="7" t="b">
        <f>INDEX(PROPERTIES[IS_CONCEPT],MATCH(CONTROL[[#This Row],[VEHIDCODE]],PROPERTIES[VEHIDCODE],0))="IS_CONCEPT"</f>
        <v>0</v>
      </c>
      <c r="P475" s="7" t="b">
        <f>INDEX(PROPERTIES[EXCLUDE],MATCH(CONTROL[[#This Row],[VEHIDCODE]],PROPERTIES[VEHIDCODE],0))</f>
        <v>0</v>
      </c>
      <c r="Q4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6" spans="1:17" x14ac:dyDescent="0.35">
      <c r="A476" s="2" t="s">
        <v>3101</v>
      </c>
      <c r="B476" s="21" t="str">
        <f>MID(CONTROL[[#This Row],[VEHIDCODE]],FIND("_",CONTROL[[#This Row],[VEHIDCODE]])+1,LEN(CONTROL[[#This Row],[VEHIDCODE]]))</f>
        <v>Fiat_TCDD_MT_5500</v>
      </c>
      <c r="C4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6">
        <v>7024</v>
      </c>
      <c r="F476" s="30" t="s">
        <v>2304</v>
      </c>
      <c r="G476" t="s">
        <v>1495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ISNUMBER(MATCH(CONTROL[[#This Row],[VEHIDCODE]],TRACK_TYPES[VEHIDCODE],0))</f>
        <v>1</v>
      </c>
      <c r="K476" t="b">
        <f>ISNUMBER(MATCH(CONTROL[[#This Row],[VEHIDCODE]],PROPERTIES[VEHIDCODE],0))</f>
        <v>1</v>
      </c>
      <c r="L476" t="b">
        <f>ISNUMBER(MATCH(CONTROL[[#This Row],[VEHIDCODE]],GRAPHICS_PROPERTIES[VEHIDCODE],0))</f>
        <v>1</v>
      </c>
      <c r="M476" s="21" t="str">
        <f>"item_"&amp;CONTROL[[#This Row],[VEHIDCODE]]</f>
        <v>item_dmu_Fiat_TCDD_MT_5500</v>
      </c>
      <c r="N476" s="21" t="str">
        <f>"str_"&amp;CONTROL[[#This Row],[VEHIDCODE]]</f>
        <v>str_dmu_Fiat_TCDD_MT_5500</v>
      </c>
      <c r="O476" s="7" t="b">
        <f>INDEX(PROPERTIES[IS_CONCEPT],MATCH(CONTROL[[#This Row],[VEHIDCODE]],PROPERTIES[VEHIDCODE],0))="IS_CONCEPT"</f>
        <v>0</v>
      </c>
      <c r="P476" s="7" t="b">
        <f>INDEX(PROPERTIES[EXCLUDE],MATCH(CONTROL[[#This Row],[VEHIDCODE]],PROPERTIES[VEHIDCODE],0))</f>
        <v>0</v>
      </c>
      <c r="Q4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7" spans="1:17" x14ac:dyDescent="0.35">
      <c r="A477" s="2" t="s">
        <v>3102</v>
      </c>
      <c r="B477" s="21" t="str">
        <f>MID(CONTROL[[#This Row],[VEHIDCODE]],FIND("_",CONTROL[[#This Row],[VEHIDCODE]])+1,LEN(CONTROL[[#This Row],[VEHIDCODE]]))</f>
        <v>Fuji_KiHa_181</v>
      </c>
      <c r="C4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7">
        <v>7025</v>
      </c>
      <c r="F477" s="30" t="s">
        <v>2306</v>
      </c>
      <c r="G477" t="s">
        <v>2305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ISNUMBER(MATCH(CONTROL[[#This Row],[VEHIDCODE]],TRACK_TYPES[VEHIDCODE],0))</f>
        <v>1</v>
      </c>
      <c r="K477" t="b">
        <f>ISNUMBER(MATCH(CONTROL[[#This Row],[VEHIDCODE]],PROPERTIES[VEHIDCODE],0))</f>
        <v>1</v>
      </c>
      <c r="L477" t="b">
        <f>ISNUMBER(MATCH(CONTROL[[#This Row],[VEHIDCODE]],GRAPHICS_PROPERTIES[VEHIDCODE],0))</f>
        <v>1</v>
      </c>
      <c r="M477" s="21" t="str">
        <f>"item_"&amp;CONTROL[[#This Row],[VEHIDCODE]]</f>
        <v>item_dmu_Fuji_KiHa_181</v>
      </c>
      <c r="N477" s="21" t="str">
        <f>"str_"&amp;CONTROL[[#This Row],[VEHIDCODE]]</f>
        <v>str_dmu_Fuji_KiHa_181</v>
      </c>
      <c r="O477" s="7" t="b">
        <f>INDEX(PROPERTIES[IS_CONCEPT],MATCH(CONTROL[[#This Row],[VEHIDCODE]],PROPERTIES[VEHIDCODE],0))="IS_CONCEPT"</f>
        <v>0</v>
      </c>
      <c r="P477" s="7" t="b">
        <f>INDEX(PROPERTIES[EXCLUDE],MATCH(CONTROL[[#This Row],[VEHIDCODE]],PROPERTIES[VEHIDCODE],0))</f>
        <v>0</v>
      </c>
      <c r="Q4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8" spans="1:17" x14ac:dyDescent="0.35">
      <c r="A478" s="2" t="s">
        <v>3103</v>
      </c>
      <c r="B478" s="21" t="str">
        <f>MID(CONTROL[[#This Row],[VEHIDCODE]],FIND("_",CONTROL[[#This Row],[VEHIDCODE]])+1,LEN(CONTROL[[#This Row],[VEHIDCODE]]))</f>
        <v>Vagonka_Studenka_814</v>
      </c>
      <c r="C4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8">
        <v>7026</v>
      </c>
      <c r="F478" s="30" t="s">
        <v>2307</v>
      </c>
      <c r="G478" t="s">
        <v>1496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ISNUMBER(MATCH(CONTROL[[#This Row],[VEHIDCODE]],TRACK_TYPES[VEHIDCODE],0))</f>
        <v>1</v>
      </c>
      <c r="K478" t="b">
        <f>ISNUMBER(MATCH(CONTROL[[#This Row],[VEHIDCODE]],PROPERTIES[VEHIDCODE],0))</f>
        <v>1</v>
      </c>
      <c r="L478" t="b">
        <f>ISNUMBER(MATCH(CONTROL[[#This Row],[VEHIDCODE]],GRAPHICS_PROPERTIES[VEHIDCODE],0))</f>
        <v>1</v>
      </c>
      <c r="M478" s="21" t="str">
        <f>"item_"&amp;CONTROL[[#This Row],[VEHIDCODE]]</f>
        <v>item_dmu_Vagonka_Studenka_814</v>
      </c>
      <c r="N478" s="21" t="str">
        <f>"str_"&amp;CONTROL[[#This Row],[VEHIDCODE]]</f>
        <v>str_dmu_Vagonka_Studenka_814</v>
      </c>
      <c r="O478" s="7" t="b">
        <f>INDEX(PROPERTIES[IS_CONCEPT],MATCH(CONTROL[[#This Row],[VEHIDCODE]],PROPERTIES[VEHIDCODE],0))="IS_CONCEPT"</f>
        <v>0</v>
      </c>
      <c r="P478" s="7" t="b">
        <f>INDEX(PROPERTIES[EXCLUDE],MATCH(CONTROL[[#This Row],[VEHIDCODE]],PROPERTIES[VEHIDCODE],0))</f>
        <v>0</v>
      </c>
      <c r="Q4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79" spans="1:17" x14ac:dyDescent="0.35">
      <c r="A479" s="2" t="s">
        <v>3104</v>
      </c>
      <c r="B479" s="21" t="str">
        <f>MID(CONTROL[[#This Row],[VEHIDCODE]],FIND("_",CONTROL[[#This Row],[VEHIDCODE]])+1,LEN(CONTROL[[#This Row],[VEHIDCODE]]))</f>
        <v>BR_150_0_Sprinter</v>
      </c>
      <c r="C4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79">
        <v>7027</v>
      </c>
      <c r="F479" s="30" t="s">
        <v>381</v>
      </c>
      <c r="G479" t="s">
        <v>1497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ISNUMBER(MATCH(CONTROL[[#This Row],[VEHIDCODE]],TRACK_TYPES[VEHIDCODE],0))</f>
        <v>1</v>
      </c>
      <c r="K479" t="b">
        <f>ISNUMBER(MATCH(CONTROL[[#This Row],[VEHIDCODE]],PROPERTIES[VEHIDCODE],0))</f>
        <v>1</v>
      </c>
      <c r="L479" t="b">
        <f>ISNUMBER(MATCH(CONTROL[[#This Row],[VEHIDCODE]],GRAPHICS_PROPERTIES[VEHIDCODE],0))</f>
        <v>1</v>
      </c>
      <c r="M479" s="21" t="str">
        <f>"item_"&amp;CONTROL[[#This Row],[VEHIDCODE]]</f>
        <v>item_dmu_BR_150_0_Sprinter</v>
      </c>
      <c r="N479" s="21" t="str">
        <f>"str_"&amp;CONTROL[[#This Row],[VEHIDCODE]]</f>
        <v>str_dmu_BR_150_0_Sprinter</v>
      </c>
      <c r="O479" s="7" t="b">
        <f>INDEX(PROPERTIES[IS_CONCEPT],MATCH(CONTROL[[#This Row],[VEHIDCODE]],PROPERTIES[VEHIDCODE],0))="IS_CONCEPT"</f>
        <v>0</v>
      </c>
      <c r="P479" s="7" t="b">
        <f>INDEX(PROPERTIES[EXCLUDE],MATCH(CONTROL[[#This Row],[VEHIDCODE]],PROPERTIES[VEHIDCODE],0))</f>
        <v>0</v>
      </c>
      <c r="Q4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0" spans="1:17" x14ac:dyDescent="0.35">
      <c r="A480" s="2" t="s">
        <v>3105</v>
      </c>
      <c r="B480" s="21" t="str">
        <f>MID(CONTROL[[#This Row],[VEHIDCODE]],FIND("_",CONTROL[[#This Row],[VEHIDCODE]])+1,LEN(CONTROL[[#This Row],[VEHIDCODE]]))</f>
        <v>BREL_141_Pacer</v>
      </c>
      <c r="C4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0">
        <v>7028</v>
      </c>
      <c r="F480" s="30" t="s">
        <v>2308</v>
      </c>
      <c r="G480" t="s">
        <v>1498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ISNUMBER(MATCH(CONTROL[[#This Row],[VEHIDCODE]],TRACK_TYPES[VEHIDCODE],0))</f>
        <v>1</v>
      </c>
      <c r="K480" t="b">
        <f>ISNUMBER(MATCH(CONTROL[[#This Row],[VEHIDCODE]],PROPERTIES[VEHIDCODE],0))</f>
        <v>1</v>
      </c>
      <c r="L480" t="b">
        <f>ISNUMBER(MATCH(CONTROL[[#This Row],[VEHIDCODE]],GRAPHICS_PROPERTIES[VEHIDCODE],0))</f>
        <v>1</v>
      </c>
      <c r="M480" s="21" t="str">
        <f>"item_"&amp;CONTROL[[#This Row],[VEHIDCODE]]</f>
        <v>item_dmu_BREL_141_Pacer</v>
      </c>
      <c r="N480" s="21" t="str">
        <f>"str_"&amp;CONTROL[[#This Row],[VEHIDCODE]]</f>
        <v>str_dmu_BREL_141_Pacer</v>
      </c>
      <c r="O480" s="7" t="b">
        <f>INDEX(PROPERTIES[IS_CONCEPT],MATCH(CONTROL[[#This Row],[VEHIDCODE]],PROPERTIES[VEHIDCODE],0))="IS_CONCEPT"</f>
        <v>0</v>
      </c>
      <c r="P480" s="7" t="b">
        <f>INDEX(PROPERTIES[EXCLUDE],MATCH(CONTROL[[#This Row],[VEHIDCODE]],PROPERTIES[VEHIDCODE],0))</f>
        <v>0</v>
      </c>
      <c r="Q4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1" spans="1:17" x14ac:dyDescent="0.35">
      <c r="A481" s="2" t="s">
        <v>3106</v>
      </c>
      <c r="B481" s="21" t="str">
        <f>MID(CONTROL[[#This Row],[VEHIDCODE]],FIND("_",CONTROL[[#This Row],[VEHIDCODE]])+1,LEN(CONTROL[[#This Row],[VEHIDCODE]]))</f>
        <v>ABB_IC3__Israel_</v>
      </c>
      <c r="C4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1">
        <v>7029</v>
      </c>
      <c r="F481" s="30" t="s">
        <v>2309</v>
      </c>
      <c r="G481" t="s">
        <v>1499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ISNUMBER(MATCH(CONTROL[[#This Row],[VEHIDCODE]],TRACK_TYPES[VEHIDCODE],0))</f>
        <v>1</v>
      </c>
      <c r="K481" t="b">
        <f>ISNUMBER(MATCH(CONTROL[[#This Row],[VEHIDCODE]],PROPERTIES[VEHIDCODE],0))</f>
        <v>1</v>
      </c>
      <c r="L481" t="b">
        <f>ISNUMBER(MATCH(CONTROL[[#This Row],[VEHIDCODE]],GRAPHICS_PROPERTIES[VEHIDCODE],0))</f>
        <v>1</v>
      </c>
      <c r="M481" s="21" t="str">
        <f>"item_"&amp;CONTROL[[#This Row],[VEHIDCODE]]</f>
        <v>item_dmu_ABB_IC3__Israel_</v>
      </c>
      <c r="N481" s="21" t="str">
        <f>"str_"&amp;CONTROL[[#This Row],[VEHIDCODE]]</f>
        <v>str_dmu_ABB_IC3__Israel_</v>
      </c>
      <c r="O481" s="7" t="b">
        <f>INDEX(PROPERTIES[IS_CONCEPT],MATCH(CONTROL[[#This Row],[VEHIDCODE]],PROPERTIES[VEHIDCODE],0))="IS_CONCEPT"</f>
        <v>0</v>
      </c>
      <c r="P481" s="7" t="b">
        <f>INDEX(PROPERTIES[EXCLUDE],MATCH(CONTROL[[#This Row],[VEHIDCODE]],PROPERTIES[VEHIDCODE],0))</f>
        <v>1</v>
      </c>
      <c r="Q4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2" spans="1:17" x14ac:dyDescent="0.35">
      <c r="A482" s="2" t="s">
        <v>3107</v>
      </c>
      <c r="B482" s="21" t="str">
        <f>MID(CONTROL[[#This Row],[VEHIDCODE]],FIND("_",CONTROL[[#This Row],[VEHIDCODE]])+1,LEN(CONTROL[[#This Row],[VEHIDCODE]]))</f>
        <v>Comeng_3100</v>
      </c>
      <c r="C4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2">
        <v>7030</v>
      </c>
      <c r="F482" s="30" t="s">
        <v>2310</v>
      </c>
      <c r="G482" t="s">
        <v>1500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ISNUMBER(MATCH(CONTROL[[#This Row],[VEHIDCODE]],TRACK_TYPES[VEHIDCODE],0))</f>
        <v>1</v>
      </c>
      <c r="K482" t="b">
        <f>ISNUMBER(MATCH(CONTROL[[#This Row],[VEHIDCODE]],PROPERTIES[VEHIDCODE],0))</f>
        <v>1</v>
      </c>
      <c r="L482" t="b">
        <f>ISNUMBER(MATCH(CONTROL[[#This Row],[VEHIDCODE]],GRAPHICS_PROPERTIES[VEHIDCODE],0))</f>
        <v>1</v>
      </c>
      <c r="M482" s="21" t="str">
        <f>"item_"&amp;CONTROL[[#This Row],[VEHIDCODE]]</f>
        <v>item_dmu_Comeng_3100</v>
      </c>
      <c r="N482" s="21" t="str">
        <f>"str_"&amp;CONTROL[[#This Row],[VEHIDCODE]]</f>
        <v>str_dmu_Comeng_3100</v>
      </c>
      <c r="O482" s="7" t="b">
        <f>INDEX(PROPERTIES[IS_CONCEPT],MATCH(CONTROL[[#This Row],[VEHIDCODE]],PROPERTIES[VEHIDCODE],0))="IS_CONCEPT"</f>
        <v>0</v>
      </c>
      <c r="P482" s="7" t="b">
        <f>INDEX(PROPERTIES[EXCLUDE],MATCH(CONTROL[[#This Row],[VEHIDCODE]],PROPERTIES[VEHIDCODE],0))</f>
        <v>0</v>
      </c>
      <c r="Q4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3" spans="1:17" x14ac:dyDescent="0.35">
      <c r="A483" s="2" t="s">
        <v>3108</v>
      </c>
      <c r="B483" s="21" t="str">
        <f>MID(CONTROL[[#This Row],[VEHIDCODE]],FIND("_",CONTROL[[#This Row],[VEHIDCODE]])+1,LEN(CONTROL[[#This Row],[VEHIDCODE]]))</f>
        <v>ABB_Xplorer</v>
      </c>
      <c r="C4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3">
        <v>7031</v>
      </c>
      <c r="F483" s="30" t="s">
        <v>2311</v>
      </c>
      <c r="G483" t="s">
        <v>1501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ISNUMBER(MATCH(CONTROL[[#This Row],[VEHIDCODE]],TRACK_TYPES[VEHIDCODE],0))</f>
        <v>1</v>
      </c>
      <c r="K483" t="b">
        <f>ISNUMBER(MATCH(CONTROL[[#This Row],[VEHIDCODE]],PROPERTIES[VEHIDCODE],0))</f>
        <v>1</v>
      </c>
      <c r="L483" t="b">
        <f>ISNUMBER(MATCH(CONTROL[[#This Row],[VEHIDCODE]],GRAPHICS_PROPERTIES[VEHIDCODE],0))</f>
        <v>1</v>
      </c>
      <c r="M483" s="21" t="str">
        <f>"item_"&amp;CONTROL[[#This Row],[VEHIDCODE]]</f>
        <v>item_dmu_ABB_Xplorer</v>
      </c>
      <c r="N483" s="21" t="str">
        <f>"str_"&amp;CONTROL[[#This Row],[VEHIDCODE]]</f>
        <v>str_dmu_ABB_Xplorer</v>
      </c>
      <c r="O483" s="7" t="b">
        <f>INDEX(PROPERTIES[IS_CONCEPT],MATCH(CONTROL[[#This Row],[VEHIDCODE]],PROPERTIES[VEHIDCODE],0))="IS_CONCEPT"</f>
        <v>0</v>
      </c>
      <c r="P483" s="7" t="b">
        <f>INDEX(PROPERTIES[EXCLUDE],MATCH(CONTROL[[#This Row],[VEHIDCODE]],PROPERTIES[VEHIDCODE],0))</f>
        <v>0</v>
      </c>
      <c r="Q4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4" spans="1:17" x14ac:dyDescent="0.35">
      <c r="A484" s="2" t="s">
        <v>3109</v>
      </c>
      <c r="B484" s="21" t="str">
        <f>MID(CONTROL[[#This Row],[VEHIDCODE]],FIND("_",CONTROL[[#This Row],[VEHIDCODE]])+1,LEN(CONTROL[[#This Row],[VEHIDCODE]]))</f>
        <v>Niigata_Transys_KiHa_189</v>
      </c>
      <c r="C4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4">
        <v>7032</v>
      </c>
      <c r="F484" s="30" t="s">
        <v>2312</v>
      </c>
      <c r="G484" t="s">
        <v>1502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ISNUMBER(MATCH(CONTROL[[#This Row],[VEHIDCODE]],TRACK_TYPES[VEHIDCODE],0))</f>
        <v>1</v>
      </c>
      <c r="K484" t="b">
        <f>ISNUMBER(MATCH(CONTROL[[#This Row],[VEHIDCODE]],PROPERTIES[VEHIDCODE],0))</f>
        <v>1</v>
      </c>
      <c r="L484" t="b">
        <f>ISNUMBER(MATCH(CONTROL[[#This Row],[VEHIDCODE]],GRAPHICS_PROPERTIES[VEHIDCODE],0))</f>
        <v>1</v>
      </c>
      <c r="M484" s="21" t="str">
        <f>"item_"&amp;CONTROL[[#This Row],[VEHIDCODE]]</f>
        <v>item_dmu_Niigata_Transys_KiHa_189</v>
      </c>
      <c r="N484" s="21" t="str">
        <f>"str_"&amp;CONTROL[[#This Row],[VEHIDCODE]]</f>
        <v>str_dmu_Niigata_Transys_KiHa_189</v>
      </c>
      <c r="O484" s="7" t="b">
        <f>INDEX(PROPERTIES[IS_CONCEPT],MATCH(CONTROL[[#This Row],[VEHIDCODE]],PROPERTIES[VEHIDCODE],0))="IS_CONCEPT"</f>
        <v>0</v>
      </c>
      <c r="P484" s="7" t="b">
        <f>INDEX(PROPERTIES[EXCLUDE],MATCH(CONTROL[[#This Row],[VEHIDCODE]],PROPERTIES[VEHIDCODE],0))</f>
        <v>0</v>
      </c>
      <c r="Q4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5" spans="1:17" x14ac:dyDescent="0.35">
      <c r="A485" s="2" t="s">
        <v>3110</v>
      </c>
      <c r="B485" s="21" t="str">
        <f>MID(CONTROL[[#This Row],[VEHIDCODE]],FIND("_",CONTROL[[#This Row],[VEHIDCODE]])+1,LEN(CONTROL[[#This Row],[VEHIDCODE]]))</f>
        <v>Integral_Coach_Factory_S11</v>
      </c>
      <c r="C4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5">
        <v>7033</v>
      </c>
      <c r="F485" s="30" t="s">
        <v>2313</v>
      </c>
      <c r="G485" t="s">
        <v>1503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ISNUMBER(MATCH(CONTROL[[#This Row],[VEHIDCODE]],TRACK_TYPES[VEHIDCODE],0))</f>
        <v>1</v>
      </c>
      <c r="K485" t="b">
        <f>ISNUMBER(MATCH(CONTROL[[#This Row],[VEHIDCODE]],PROPERTIES[VEHIDCODE],0))</f>
        <v>1</v>
      </c>
      <c r="L485" t="b">
        <f>ISNUMBER(MATCH(CONTROL[[#This Row],[VEHIDCODE]],GRAPHICS_PROPERTIES[VEHIDCODE],0))</f>
        <v>1</v>
      </c>
      <c r="M485" s="21" t="str">
        <f>"item_"&amp;CONTROL[[#This Row],[VEHIDCODE]]</f>
        <v>item_dmu_Integral_Coach_Factory_S11</v>
      </c>
      <c r="N485" s="21" t="str">
        <f>"str_"&amp;CONTROL[[#This Row],[VEHIDCODE]]</f>
        <v>str_dmu_Integral_Coach_Factory_S11</v>
      </c>
      <c r="O485" s="7" t="b">
        <f>INDEX(PROPERTIES[IS_CONCEPT],MATCH(CONTROL[[#This Row],[VEHIDCODE]],PROPERTIES[VEHIDCODE],0))="IS_CONCEPT"</f>
        <v>0</v>
      </c>
      <c r="P485" s="7" t="b">
        <f>INDEX(PROPERTIES[EXCLUDE],MATCH(CONTROL[[#This Row],[VEHIDCODE]],PROPERTIES[VEHIDCODE],0))</f>
        <v>0</v>
      </c>
      <c r="Q4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6" spans="1:17" x14ac:dyDescent="0.35">
      <c r="A486" s="2" t="s">
        <v>3111</v>
      </c>
      <c r="B486" s="21" t="str">
        <f>MID(CONTROL[[#This Row],[VEHIDCODE]],FIND("_",CONTROL[[#This Row],[VEHIDCODE]])+1,LEN(CONTROL[[#This Row],[VEHIDCODE]]))</f>
        <v>ZOS_Vrutky_861</v>
      </c>
      <c r="C4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6">
        <v>7035</v>
      </c>
      <c r="F486" s="30" t="s">
        <v>2314</v>
      </c>
      <c r="G486" t="s">
        <v>1504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ISNUMBER(MATCH(CONTROL[[#This Row],[VEHIDCODE]],TRACK_TYPES[VEHIDCODE],0))</f>
        <v>1</v>
      </c>
      <c r="K486" t="b">
        <f>ISNUMBER(MATCH(CONTROL[[#This Row],[VEHIDCODE]],PROPERTIES[VEHIDCODE],0))</f>
        <v>1</v>
      </c>
      <c r="L486" t="b">
        <f>ISNUMBER(MATCH(CONTROL[[#This Row],[VEHIDCODE]],GRAPHICS_PROPERTIES[VEHIDCODE],0))</f>
        <v>1</v>
      </c>
      <c r="M486" s="21" t="str">
        <f>"item_"&amp;CONTROL[[#This Row],[VEHIDCODE]]</f>
        <v>item_dmu_ZOS_Vrutky_861</v>
      </c>
      <c r="N486" s="21" t="str">
        <f>"str_"&amp;CONTROL[[#This Row],[VEHIDCODE]]</f>
        <v>str_dmu_ZOS_Vrutky_861</v>
      </c>
      <c r="O486" s="7" t="b">
        <f>INDEX(PROPERTIES[IS_CONCEPT],MATCH(CONTROL[[#This Row],[VEHIDCODE]],PROPERTIES[VEHIDCODE],0))="IS_CONCEPT"</f>
        <v>0</v>
      </c>
      <c r="P486" s="7" t="b">
        <f>INDEX(PROPERTIES[EXCLUDE],MATCH(CONTROL[[#This Row],[VEHIDCODE]],PROPERTIES[VEHIDCODE],0))</f>
        <v>0</v>
      </c>
      <c r="Q4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7" spans="1:17" x14ac:dyDescent="0.35">
      <c r="A487" s="2" t="s">
        <v>3112</v>
      </c>
      <c r="B487" s="21" t="str">
        <f>MID(CONTROL[[#This Row],[VEHIDCODE]],FIND("_",CONTROL[[#This Row],[VEHIDCODE]])+1,LEN(CONTROL[[#This Row],[VEHIDCODE]]))</f>
        <v>CAF_TLD_500</v>
      </c>
      <c r="C4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7">
        <v>7036</v>
      </c>
      <c r="F487" s="30" t="s">
        <v>2315</v>
      </c>
      <c r="G487" t="s">
        <v>1505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ISNUMBER(MATCH(CONTROL[[#This Row],[VEHIDCODE]],TRACK_TYPES[VEHIDCODE],0))</f>
        <v>1</v>
      </c>
      <c r="K487" t="b">
        <f>ISNUMBER(MATCH(CONTROL[[#This Row],[VEHIDCODE]],PROPERTIES[VEHIDCODE],0))</f>
        <v>1</v>
      </c>
      <c r="L487" t="b">
        <f>ISNUMBER(MATCH(CONTROL[[#This Row],[VEHIDCODE]],GRAPHICS_PROPERTIES[VEHIDCODE],0))</f>
        <v>1</v>
      </c>
      <c r="M487" s="21" t="str">
        <f>"item_"&amp;CONTROL[[#This Row],[VEHIDCODE]]</f>
        <v>item_dmu_CAF_TLD_500</v>
      </c>
      <c r="N487" s="21" t="str">
        <f>"str_"&amp;CONTROL[[#This Row],[VEHIDCODE]]</f>
        <v>str_dmu_CAF_TLD_500</v>
      </c>
      <c r="O487" s="7" t="b">
        <f>INDEX(PROPERTIES[IS_CONCEPT],MATCH(CONTROL[[#This Row],[VEHIDCODE]],PROPERTIES[VEHIDCODE],0))="IS_CONCEPT"</f>
        <v>0</v>
      </c>
      <c r="P487" s="7" t="b">
        <f>INDEX(PROPERTIES[EXCLUDE],MATCH(CONTROL[[#This Row],[VEHIDCODE]],PROPERTIES[VEHIDCODE],0))</f>
        <v>0</v>
      </c>
      <c r="Q4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8" spans="1:17" x14ac:dyDescent="0.35">
      <c r="A488" s="2" t="s">
        <v>3113</v>
      </c>
      <c r="B488" s="21" t="str">
        <f>MID(CONTROL[[#This Row],[VEHIDCODE]],FIND("_",CONTROL[[#This Row],[VEHIDCODE]])+1,LEN(CONTROL[[#This Row],[VEHIDCODE]]))</f>
        <v>Camrail_ZE_500</v>
      </c>
      <c r="C4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8">
        <v>7037</v>
      </c>
      <c r="F488" s="30" t="s">
        <v>382</v>
      </c>
      <c r="G488" t="s">
        <v>1506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ISNUMBER(MATCH(CONTROL[[#This Row],[VEHIDCODE]],TRACK_TYPES[VEHIDCODE],0))</f>
        <v>1</v>
      </c>
      <c r="K488" t="b">
        <f>ISNUMBER(MATCH(CONTROL[[#This Row],[VEHIDCODE]],PROPERTIES[VEHIDCODE],0))</f>
        <v>1</v>
      </c>
      <c r="L488" t="b">
        <f>ISNUMBER(MATCH(CONTROL[[#This Row],[VEHIDCODE]],GRAPHICS_PROPERTIES[VEHIDCODE],0))</f>
        <v>1</v>
      </c>
      <c r="M488" s="21" t="str">
        <f>"item_"&amp;CONTROL[[#This Row],[VEHIDCODE]]</f>
        <v>item_dmu_Camrail_ZE_500</v>
      </c>
      <c r="N488" s="21" t="str">
        <f>"str_"&amp;CONTROL[[#This Row],[VEHIDCODE]]</f>
        <v>str_dmu_Camrail_ZE_500</v>
      </c>
      <c r="O488" s="7" t="b">
        <f>INDEX(PROPERTIES[IS_CONCEPT],MATCH(CONTROL[[#This Row],[VEHIDCODE]],PROPERTIES[VEHIDCODE],0))="IS_CONCEPT"</f>
        <v>0</v>
      </c>
      <c r="P488" s="7" t="b">
        <f>INDEX(PROPERTIES[EXCLUDE],MATCH(CONTROL[[#This Row],[VEHIDCODE]],PROPERTIES[VEHIDCODE],0))</f>
        <v>0</v>
      </c>
      <c r="Q4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89" spans="1:17" x14ac:dyDescent="0.35">
      <c r="A489" s="2" t="s">
        <v>3114</v>
      </c>
      <c r="B489" s="21" t="str">
        <f>MID(CONTROL[[#This Row],[VEHIDCODE]],FIND("_",CONTROL[[#This Row],[VEHIDCODE]])+1,LEN(CONTROL[[#This Row],[VEHIDCODE]]))</f>
        <v>Metro_Cammell_251_Blue_Pullman</v>
      </c>
      <c r="C4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89">
        <v>7039</v>
      </c>
      <c r="F489" s="30" t="s">
        <v>2316</v>
      </c>
      <c r="G489" t="s">
        <v>1507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ISNUMBER(MATCH(CONTROL[[#This Row],[VEHIDCODE]],TRACK_TYPES[VEHIDCODE],0))</f>
        <v>1</v>
      </c>
      <c r="K489" t="b">
        <f>ISNUMBER(MATCH(CONTROL[[#This Row],[VEHIDCODE]],PROPERTIES[VEHIDCODE],0))</f>
        <v>1</v>
      </c>
      <c r="L489" t="b">
        <f>ISNUMBER(MATCH(CONTROL[[#This Row],[VEHIDCODE]],GRAPHICS_PROPERTIES[VEHIDCODE],0))</f>
        <v>1</v>
      </c>
      <c r="M489" s="21" t="str">
        <f>"item_"&amp;CONTROL[[#This Row],[VEHIDCODE]]</f>
        <v>item_dmu_Metro_Cammell_251_Blue_Pullman</v>
      </c>
      <c r="N489" s="21" t="str">
        <f>"str_"&amp;CONTROL[[#This Row],[VEHIDCODE]]</f>
        <v>str_dmu_Metro_Cammell_251_Blue_Pullman</v>
      </c>
      <c r="O489" s="7" t="b">
        <f>INDEX(PROPERTIES[IS_CONCEPT],MATCH(CONTROL[[#This Row],[VEHIDCODE]],PROPERTIES[VEHIDCODE],0))="IS_CONCEPT"</f>
        <v>0</v>
      </c>
      <c r="P489" s="7" t="b">
        <f>INDEX(PROPERTIES[EXCLUDE],MATCH(CONTROL[[#This Row],[VEHIDCODE]],PROPERTIES[VEHIDCODE],0))</f>
        <v>0</v>
      </c>
      <c r="Q4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0" spans="1:17" x14ac:dyDescent="0.35">
      <c r="A490" s="2" t="s">
        <v>3115</v>
      </c>
      <c r="B490" s="21" t="str">
        <f>MID(CONTROL[[#This Row],[VEHIDCODE]],FIND("_",CONTROL[[#This Row],[VEHIDCODE]])+1,LEN(CONTROL[[#This Row],[VEHIDCODE]]))</f>
        <v>Comeng_ADK</v>
      </c>
      <c r="C4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0">
        <v>7041</v>
      </c>
      <c r="F490" s="30" t="s">
        <v>2317</v>
      </c>
      <c r="G490" t="s">
        <v>1508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ISNUMBER(MATCH(CONTROL[[#This Row],[VEHIDCODE]],TRACK_TYPES[VEHIDCODE],0))</f>
        <v>1</v>
      </c>
      <c r="K490" t="b">
        <f>ISNUMBER(MATCH(CONTROL[[#This Row],[VEHIDCODE]],PROPERTIES[VEHIDCODE],0))</f>
        <v>1</v>
      </c>
      <c r="L490" t="b">
        <f>ISNUMBER(MATCH(CONTROL[[#This Row],[VEHIDCODE]],GRAPHICS_PROPERTIES[VEHIDCODE],0))</f>
        <v>1</v>
      </c>
      <c r="M490" s="21" t="str">
        <f>"item_"&amp;CONTROL[[#This Row],[VEHIDCODE]]</f>
        <v>item_dmu_Comeng_ADK</v>
      </c>
      <c r="N490" s="21" t="str">
        <f>"str_"&amp;CONTROL[[#This Row],[VEHIDCODE]]</f>
        <v>str_dmu_Comeng_ADK</v>
      </c>
      <c r="O490" s="7" t="b">
        <f>INDEX(PROPERTIES[IS_CONCEPT],MATCH(CONTROL[[#This Row],[VEHIDCODE]],PROPERTIES[VEHIDCODE],0))="IS_CONCEPT"</f>
        <v>0</v>
      </c>
      <c r="P490" s="7" t="b">
        <f>INDEX(PROPERTIES[EXCLUDE],MATCH(CONTROL[[#This Row],[VEHIDCODE]],PROPERTIES[VEHIDCODE],0))</f>
        <v>0</v>
      </c>
      <c r="Q4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1" spans="1:17" x14ac:dyDescent="0.35">
      <c r="A491" s="2" t="s">
        <v>3116</v>
      </c>
      <c r="B491" s="21" t="str">
        <f>MID(CONTROL[[#This Row],[VEHIDCODE]],FIND("_",CONTROL[[#This Row],[VEHIDCODE]])+1,LEN(CONTROL[[#This Row],[VEHIDCODE]]))</f>
        <v>ANF_X_4630</v>
      </c>
      <c r="C4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1">
        <v>7042</v>
      </c>
      <c r="F491" s="30" t="s">
        <v>2318</v>
      </c>
      <c r="G491" t="s">
        <v>1509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ISNUMBER(MATCH(CONTROL[[#This Row],[VEHIDCODE]],TRACK_TYPES[VEHIDCODE],0))</f>
        <v>1</v>
      </c>
      <c r="K491" t="b">
        <f>ISNUMBER(MATCH(CONTROL[[#This Row],[VEHIDCODE]],PROPERTIES[VEHIDCODE],0))</f>
        <v>1</v>
      </c>
      <c r="L491" t="b">
        <f>ISNUMBER(MATCH(CONTROL[[#This Row],[VEHIDCODE]],GRAPHICS_PROPERTIES[VEHIDCODE],0))</f>
        <v>1</v>
      </c>
      <c r="M491" s="21" t="str">
        <f>"item_"&amp;CONTROL[[#This Row],[VEHIDCODE]]</f>
        <v>item_dmu_ANF_X_4630</v>
      </c>
      <c r="N491" s="21" t="str">
        <f>"str_"&amp;CONTROL[[#This Row],[VEHIDCODE]]</f>
        <v>str_dmu_ANF_X_4630</v>
      </c>
      <c r="O491" s="7" t="b">
        <f>INDEX(PROPERTIES[IS_CONCEPT],MATCH(CONTROL[[#This Row],[VEHIDCODE]],PROPERTIES[VEHIDCODE],0))="IS_CONCEPT"</f>
        <v>0</v>
      </c>
      <c r="P491" s="7" t="b">
        <f>INDEX(PROPERTIES[EXCLUDE],MATCH(CONTROL[[#This Row],[VEHIDCODE]],PROPERTIES[VEHIDCODE],0))</f>
        <v>0</v>
      </c>
      <c r="Q4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2" spans="1:17" x14ac:dyDescent="0.35">
      <c r="A492" s="2" t="s">
        <v>3117</v>
      </c>
      <c r="B492" s="21" t="str">
        <f>MID(CONTROL[[#This Row],[VEHIDCODE]],FIND("_",CONTROL[[#This Row],[VEHIDCODE]])+1,LEN(CONTROL[[#This Row],[VEHIDCODE]]))</f>
        <v>ANF_T_2000</v>
      </c>
      <c r="C4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2">
        <v>7043</v>
      </c>
      <c r="F492" s="30" t="s">
        <v>2319</v>
      </c>
      <c r="G492" t="s">
        <v>1510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ISNUMBER(MATCH(CONTROL[[#This Row],[VEHIDCODE]],TRACK_TYPES[VEHIDCODE],0))</f>
        <v>1</v>
      </c>
      <c r="K492" t="b">
        <f>ISNUMBER(MATCH(CONTROL[[#This Row],[VEHIDCODE]],PROPERTIES[VEHIDCODE],0))</f>
        <v>1</v>
      </c>
      <c r="L492" t="b">
        <f>ISNUMBER(MATCH(CONTROL[[#This Row],[VEHIDCODE]],GRAPHICS_PROPERTIES[VEHIDCODE],0))</f>
        <v>1</v>
      </c>
      <c r="M492" s="21" t="str">
        <f>"item_"&amp;CONTROL[[#This Row],[VEHIDCODE]]</f>
        <v>item_dmu_ANF_T_2000</v>
      </c>
      <c r="N492" s="21" t="str">
        <f>"str_"&amp;CONTROL[[#This Row],[VEHIDCODE]]</f>
        <v>str_dmu_ANF_T_2000</v>
      </c>
      <c r="O492" s="7" t="b">
        <f>INDEX(PROPERTIES[IS_CONCEPT],MATCH(CONTROL[[#This Row],[VEHIDCODE]],PROPERTIES[VEHIDCODE],0))="IS_CONCEPT"</f>
        <v>0</v>
      </c>
      <c r="P492" s="7" t="b">
        <f>INDEX(PROPERTIES[EXCLUDE],MATCH(CONTROL[[#This Row],[VEHIDCODE]],PROPERTIES[VEHIDCODE],0))</f>
        <v>0</v>
      </c>
      <c r="Q4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3" spans="1:17" x14ac:dyDescent="0.35">
      <c r="A493" s="2" t="s">
        <v>3118</v>
      </c>
      <c r="B493" s="21" t="str">
        <f>MID(CONTROL[[#This Row],[VEHIDCODE]],FIND("_",CONTROL[[#This Row],[VEHIDCODE]])+1,LEN(CONTROL[[#This Row],[VEHIDCODE]]))</f>
        <v>Duwag_Wadloper</v>
      </c>
      <c r="C4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3">
        <v>7045</v>
      </c>
      <c r="F493" s="30" t="s">
        <v>2320</v>
      </c>
      <c r="G493" t="s">
        <v>1511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ISNUMBER(MATCH(CONTROL[[#This Row],[VEHIDCODE]],TRACK_TYPES[VEHIDCODE],0))</f>
        <v>1</v>
      </c>
      <c r="K493" t="b">
        <f>ISNUMBER(MATCH(CONTROL[[#This Row],[VEHIDCODE]],PROPERTIES[VEHIDCODE],0))</f>
        <v>1</v>
      </c>
      <c r="L493" t="b">
        <f>ISNUMBER(MATCH(CONTROL[[#This Row],[VEHIDCODE]],GRAPHICS_PROPERTIES[VEHIDCODE],0))</f>
        <v>1</v>
      </c>
      <c r="M493" s="21" t="str">
        <f>"item_"&amp;CONTROL[[#This Row],[VEHIDCODE]]</f>
        <v>item_dmu_Duwag_Wadloper</v>
      </c>
      <c r="N493" s="21" t="str">
        <f>"str_"&amp;CONTROL[[#This Row],[VEHIDCODE]]</f>
        <v>str_dmu_Duwag_Wadloper</v>
      </c>
      <c r="O493" s="7" t="b">
        <f>INDEX(PROPERTIES[IS_CONCEPT],MATCH(CONTROL[[#This Row],[VEHIDCODE]],PROPERTIES[VEHIDCODE],0))="IS_CONCEPT"</f>
        <v>0</v>
      </c>
      <c r="P493" s="7" t="b">
        <f>INDEX(PROPERTIES[EXCLUDE],MATCH(CONTROL[[#This Row],[VEHIDCODE]],PROPERTIES[VEHIDCODE],0))</f>
        <v>0</v>
      </c>
      <c r="Q4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4" spans="1:17" x14ac:dyDescent="0.35">
      <c r="A494" s="2" t="s">
        <v>3119</v>
      </c>
      <c r="B494" s="21" t="str">
        <f>MID(CONTROL[[#This Row],[VEHIDCODE]],FIND("_",CONTROL[[#This Row],[VEHIDCODE]])+1,LEN(CONTROL[[#This Row],[VEHIDCODE]]))</f>
        <v>Duwag_628_2</v>
      </c>
      <c r="C4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4">
        <v>7047</v>
      </c>
      <c r="F494" s="30" t="s">
        <v>2321</v>
      </c>
      <c r="G494" t="s">
        <v>1512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ISNUMBER(MATCH(CONTROL[[#This Row],[VEHIDCODE]],TRACK_TYPES[VEHIDCODE],0))</f>
        <v>1</v>
      </c>
      <c r="K494" t="b">
        <f>ISNUMBER(MATCH(CONTROL[[#This Row],[VEHIDCODE]],PROPERTIES[VEHIDCODE],0))</f>
        <v>1</v>
      </c>
      <c r="L494" t="b">
        <f>ISNUMBER(MATCH(CONTROL[[#This Row],[VEHIDCODE]],GRAPHICS_PROPERTIES[VEHIDCODE],0))</f>
        <v>1</v>
      </c>
      <c r="M494" s="21" t="str">
        <f>"item_"&amp;CONTROL[[#This Row],[VEHIDCODE]]</f>
        <v>item_dmu_Duwag_628_2</v>
      </c>
      <c r="N494" s="21" t="str">
        <f>"str_"&amp;CONTROL[[#This Row],[VEHIDCODE]]</f>
        <v>str_dmu_Duwag_628_2</v>
      </c>
      <c r="O494" s="7" t="b">
        <f>INDEX(PROPERTIES[IS_CONCEPT],MATCH(CONTROL[[#This Row],[VEHIDCODE]],PROPERTIES[VEHIDCODE],0))="IS_CONCEPT"</f>
        <v>0</v>
      </c>
      <c r="P494" s="7" t="b">
        <f>INDEX(PROPERTIES[EXCLUDE],MATCH(CONTROL[[#This Row],[VEHIDCODE]],PROPERTIES[VEHIDCODE],0))</f>
        <v>0</v>
      </c>
      <c r="Q4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5" spans="1:17" x14ac:dyDescent="0.35">
      <c r="A495" s="2" t="s">
        <v>3120</v>
      </c>
      <c r="B495" s="21" t="str">
        <f>MID(CONTROL[[#This Row],[VEHIDCODE]],FIND("_",CONTROL[[#This Row],[VEHIDCODE]])+1,LEN(CONTROL[[#This Row],[VEHIDCODE]]))</f>
        <v>CAF_ZZ_2200_Autorail</v>
      </c>
      <c r="C4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5">
        <v>7048</v>
      </c>
      <c r="F495" s="30" t="s">
        <v>2322</v>
      </c>
      <c r="G495" t="s">
        <v>1304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ISNUMBER(MATCH(CONTROL[[#This Row],[VEHIDCODE]],TRACK_TYPES[VEHIDCODE],0))</f>
        <v>1</v>
      </c>
      <c r="K495" t="b">
        <f>ISNUMBER(MATCH(CONTROL[[#This Row],[VEHIDCODE]],PROPERTIES[VEHIDCODE],0))</f>
        <v>1</v>
      </c>
      <c r="L495" t="b">
        <f>ISNUMBER(MATCH(CONTROL[[#This Row],[VEHIDCODE]],GRAPHICS_PROPERTIES[VEHIDCODE],0))</f>
        <v>1</v>
      </c>
      <c r="M495" s="21" t="str">
        <f>"item_"&amp;CONTROL[[#This Row],[VEHIDCODE]]</f>
        <v>item_dmu_CAF_ZZ_2200_Autorail</v>
      </c>
      <c r="N495" s="21" t="str">
        <f>"str_"&amp;CONTROL[[#This Row],[VEHIDCODE]]</f>
        <v>str_dmu_CAF_ZZ_2200_Autorail</v>
      </c>
      <c r="O495" s="7" t="b">
        <f>INDEX(PROPERTIES[IS_CONCEPT],MATCH(CONTROL[[#This Row],[VEHIDCODE]],PROPERTIES[VEHIDCODE],0))="IS_CONCEPT"</f>
        <v>0</v>
      </c>
      <c r="P495" s="7" t="b">
        <f>INDEX(PROPERTIES[EXCLUDE],MATCH(CONTROL[[#This Row],[VEHIDCODE]],PROPERTIES[VEHIDCODE],0))</f>
        <v>0</v>
      </c>
      <c r="Q4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6" spans="1:17" x14ac:dyDescent="0.35">
      <c r="A496" s="2" t="s">
        <v>3121</v>
      </c>
      <c r="B496" s="21" t="str">
        <f>MID(CONTROL[[#This Row],[VEHIDCODE]],FIND("_",CONTROL[[#This Row],[VEHIDCODE]])+1,LEN(CONTROL[[#This Row],[VEHIDCODE]]))</f>
        <v>CFD_AMT_800</v>
      </c>
      <c r="C4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6">
        <v>7049</v>
      </c>
      <c r="F496" s="30" t="s">
        <v>2323</v>
      </c>
      <c r="G496" t="s">
        <v>1513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ISNUMBER(MATCH(CONTROL[[#This Row],[VEHIDCODE]],TRACK_TYPES[VEHIDCODE],0))</f>
        <v>1</v>
      </c>
      <c r="K496" t="b">
        <f>ISNUMBER(MATCH(CONTROL[[#This Row],[VEHIDCODE]],PROPERTIES[VEHIDCODE],0))</f>
        <v>1</v>
      </c>
      <c r="L496" t="b">
        <f>ISNUMBER(MATCH(CONTROL[[#This Row],[VEHIDCODE]],GRAPHICS_PROPERTIES[VEHIDCODE],0))</f>
        <v>1</v>
      </c>
      <c r="M496" s="21" t="str">
        <f>"item_"&amp;CONTROL[[#This Row],[VEHIDCODE]]</f>
        <v>item_dmu_CFD_AMT_800</v>
      </c>
      <c r="N496" s="21" t="str">
        <f>"str_"&amp;CONTROL[[#This Row],[VEHIDCODE]]</f>
        <v>str_dmu_CFD_AMT_800</v>
      </c>
      <c r="O496" s="7" t="b">
        <f>INDEX(PROPERTIES[IS_CONCEPT],MATCH(CONTROL[[#This Row],[VEHIDCODE]],PROPERTIES[VEHIDCODE],0))="IS_CONCEPT"</f>
        <v>0</v>
      </c>
      <c r="P496" s="7" t="b">
        <f>INDEX(PROPERTIES[EXCLUDE],MATCH(CONTROL[[#This Row],[VEHIDCODE]],PROPERTIES[VEHIDCODE],0))</f>
        <v>0</v>
      </c>
      <c r="Q4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7" spans="1:17" x14ac:dyDescent="0.35">
      <c r="A497" s="2" t="s">
        <v>3122</v>
      </c>
      <c r="B497" s="21" t="str">
        <f>MID(CONTROL[[#This Row],[VEHIDCODE]],FIND("_",CONTROL[[#This Row],[VEHIDCODE]])+1,LEN(CONTROL[[#This Row],[VEHIDCODE]]))</f>
        <v>CNR_Tangshan_Ghana_DEMU</v>
      </c>
      <c r="C4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7">
        <v>7050</v>
      </c>
      <c r="F497" s="30" t="s">
        <v>2324</v>
      </c>
      <c r="G497" t="s">
        <v>1514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ISNUMBER(MATCH(CONTROL[[#This Row],[VEHIDCODE]],TRACK_TYPES[VEHIDCODE],0))</f>
        <v>1</v>
      </c>
      <c r="K497" t="b">
        <f>ISNUMBER(MATCH(CONTROL[[#This Row],[VEHIDCODE]],PROPERTIES[VEHIDCODE],0))</f>
        <v>1</v>
      </c>
      <c r="L497" t="b">
        <f>ISNUMBER(MATCH(CONTROL[[#This Row],[VEHIDCODE]],GRAPHICS_PROPERTIES[VEHIDCODE],0))</f>
        <v>1</v>
      </c>
      <c r="M497" s="21" t="str">
        <f>"item_"&amp;CONTROL[[#This Row],[VEHIDCODE]]</f>
        <v>item_dmu_CNR_Tangshan_Ghana_DEMU</v>
      </c>
      <c r="N497" s="21" t="str">
        <f>"str_"&amp;CONTROL[[#This Row],[VEHIDCODE]]</f>
        <v>str_dmu_CNR_Tangshan_Ghana_DEMU</v>
      </c>
      <c r="O497" s="7" t="b">
        <f>INDEX(PROPERTIES[IS_CONCEPT],MATCH(CONTROL[[#This Row],[VEHIDCODE]],PROPERTIES[VEHIDCODE],0))="IS_CONCEPT"</f>
        <v>0</v>
      </c>
      <c r="P497" s="7" t="b">
        <f>INDEX(PROPERTIES[EXCLUDE],MATCH(CONTROL[[#This Row],[VEHIDCODE]],PROPERTIES[VEHIDCODE],0))</f>
        <v>0</v>
      </c>
      <c r="Q4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8" spans="1:17" x14ac:dyDescent="0.35">
      <c r="A498" s="2" t="s">
        <v>3123</v>
      </c>
      <c r="B498" s="21" t="str">
        <f>MID(CONTROL[[#This Row],[VEHIDCODE]],FIND("_",CONTROL[[#This Row],[VEHIDCODE]])+1,LEN(CONTROL[[#This Row],[VEHIDCODE]]))</f>
        <v>Downer_EDI_Hitachi_Tilt_Train</v>
      </c>
      <c r="C4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8">
        <v>7051</v>
      </c>
      <c r="F498" s="30" t="s">
        <v>2325</v>
      </c>
      <c r="G498" t="s">
        <v>1515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ISNUMBER(MATCH(CONTROL[[#This Row],[VEHIDCODE]],TRACK_TYPES[VEHIDCODE],0))</f>
        <v>1</v>
      </c>
      <c r="K498" t="b">
        <f>ISNUMBER(MATCH(CONTROL[[#This Row],[VEHIDCODE]],PROPERTIES[VEHIDCODE],0))</f>
        <v>1</v>
      </c>
      <c r="L498" t="b">
        <f>ISNUMBER(MATCH(CONTROL[[#This Row],[VEHIDCODE]],GRAPHICS_PROPERTIES[VEHIDCODE],0))</f>
        <v>1</v>
      </c>
      <c r="M498" s="21" t="str">
        <f>"item_"&amp;CONTROL[[#This Row],[VEHIDCODE]]</f>
        <v>item_dmu_Downer_EDI_Hitachi_Tilt_Train</v>
      </c>
      <c r="N498" s="21" t="str">
        <f>"str_"&amp;CONTROL[[#This Row],[VEHIDCODE]]</f>
        <v>str_dmu_Downer_EDI_Hitachi_Tilt_Train</v>
      </c>
      <c r="O498" s="7" t="b">
        <f>INDEX(PROPERTIES[IS_CONCEPT],MATCH(CONTROL[[#This Row],[VEHIDCODE]],PROPERTIES[VEHIDCODE],0))="IS_CONCEPT"</f>
        <v>0</v>
      </c>
      <c r="P498" s="7" t="b">
        <f>INDEX(PROPERTIES[EXCLUDE],MATCH(CONTROL[[#This Row],[VEHIDCODE]],PROPERTIES[VEHIDCODE],0))</f>
        <v>0</v>
      </c>
      <c r="Q4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499" spans="1:17" x14ac:dyDescent="0.35">
      <c r="A499" s="2" t="s">
        <v>3124</v>
      </c>
      <c r="B499" s="21" t="str">
        <f>MID(CONTROL[[#This Row],[VEHIDCODE]],FIND("_",CONTROL[[#This Row],[VEHIDCODE]])+1,LEN(CONTROL[[#This Row],[VEHIDCODE]]))</f>
        <v>Nippon_Sharyo_1000_Series</v>
      </c>
      <c r="C4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4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499">
        <v>7052</v>
      </c>
      <c r="F499" s="30" t="s">
        <v>3688</v>
      </c>
      <c r="G499" t="s">
        <v>1516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ISNUMBER(MATCH(CONTROL[[#This Row],[VEHIDCODE]],TRACK_TYPES[VEHIDCODE],0))</f>
        <v>1</v>
      </c>
      <c r="K499" t="b">
        <f>ISNUMBER(MATCH(CONTROL[[#This Row],[VEHIDCODE]],PROPERTIES[VEHIDCODE],0))</f>
        <v>1</v>
      </c>
      <c r="L499" t="b">
        <f>ISNUMBER(MATCH(CONTROL[[#This Row],[VEHIDCODE]],GRAPHICS_PROPERTIES[VEHIDCODE],0))</f>
        <v>1</v>
      </c>
      <c r="M499" s="21" t="str">
        <f>"item_"&amp;CONTROL[[#This Row],[VEHIDCODE]]</f>
        <v>item_dmu_Nippon_Sharyo_1000_Series</v>
      </c>
      <c r="N499" s="21" t="str">
        <f>"str_"&amp;CONTROL[[#This Row],[VEHIDCODE]]</f>
        <v>str_dmu_Nippon_Sharyo_1000_Series</v>
      </c>
      <c r="O499" s="7" t="b">
        <f>INDEX(PROPERTIES[IS_CONCEPT],MATCH(CONTROL[[#This Row],[VEHIDCODE]],PROPERTIES[VEHIDCODE],0))="IS_CONCEPT"</f>
        <v>0</v>
      </c>
      <c r="P499" s="7" t="b">
        <f>INDEX(PROPERTIES[EXCLUDE],MATCH(CONTROL[[#This Row],[VEHIDCODE]],PROPERTIES[VEHIDCODE],0))</f>
        <v>0</v>
      </c>
      <c r="Q4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0" spans="1:17" x14ac:dyDescent="0.35">
      <c r="A500" s="2" t="s">
        <v>3125</v>
      </c>
      <c r="B500" s="21" t="str">
        <f>MID(CONTROL[[#This Row],[VEHIDCODE]],FIND("_",CONTROL[[#This Row],[VEHIDCODE]])+1,LEN(CONTROL[[#This Row],[VEHIDCODE]]))</f>
        <v>Materfer_CMM_400_2</v>
      </c>
      <c r="C5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0">
        <v>7053</v>
      </c>
      <c r="F500" s="30" t="s">
        <v>2326</v>
      </c>
      <c r="G500" t="s">
        <v>1517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ISNUMBER(MATCH(CONTROL[[#This Row],[VEHIDCODE]],TRACK_TYPES[VEHIDCODE],0))</f>
        <v>1</v>
      </c>
      <c r="K500" t="b">
        <f>ISNUMBER(MATCH(CONTROL[[#This Row],[VEHIDCODE]],PROPERTIES[VEHIDCODE],0))</f>
        <v>1</v>
      </c>
      <c r="L500" t="b">
        <f>ISNUMBER(MATCH(CONTROL[[#This Row],[VEHIDCODE]],GRAPHICS_PROPERTIES[VEHIDCODE],0))</f>
        <v>1</v>
      </c>
      <c r="M500" s="21" t="str">
        <f>"item_"&amp;CONTROL[[#This Row],[VEHIDCODE]]</f>
        <v>item_dmu_Materfer_CMM_400_2</v>
      </c>
      <c r="N500" s="21" t="str">
        <f>"str_"&amp;CONTROL[[#This Row],[VEHIDCODE]]</f>
        <v>str_dmu_Materfer_CMM_400_2</v>
      </c>
      <c r="O500" s="7" t="b">
        <f>INDEX(PROPERTIES[IS_CONCEPT],MATCH(CONTROL[[#This Row],[VEHIDCODE]],PROPERTIES[VEHIDCODE],0))="IS_CONCEPT"</f>
        <v>0</v>
      </c>
      <c r="P500" s="7" t="b">
        <f>INDEX(PROPERTIES[EXCLUDE],MATCH(CONTROL[[#This Row],[VEHIDCODE]],PROPERTIES[VEHIDCODE],0))</f>
        <v>0</v>
      </c>
      <c r="Q5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1" spans="1:17" x14ac:dyDescent="0.35">
      <c r="A501" s="2" t="s">
        <v>3126</v>
      </c>
      <c r="B501" s="21" t="str">
        <f>MID(CONTROL[[#This Row],[VEHIDCODE]],FIND("_",CONTROL[[#This Row],[VEHIDCODE]])+1,LEN(CONTROL[[#This Row],[VEHIDCODE]]))</f>
        <v>Fiat_ALn_442_448</v>
      </c>
      <c r="C5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1">
        <v>7038</v>
      </c>
      <c r="F501" s="30" t="s">
        <v>2327</v>
      </c>
      <c r="G501" t="s">
        <v>1518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ISNUMBER(MATCH(CONTROL[[#This Row],[VEHIDCODE]],TRACK_TYPES[VEHIDCODE],0))</f>
        <v>1</v>
      </c>
      <c r="K501" t="b">
        <f>ISNUMBER(MATCH(CONTROL[[#This Row],[VEHIDCODE]],PROPERTIES[VEHIDCODE],0))</f>
        <v>1</v>
      </c>
      <c r="L501" t="b">
        <f>ISNUMBER(MATCH(CONTROL[[#This Row],[VEHIDCODE]],GRAPHICS_PROPERTIES[VEHIDCODE],0))</f>
        <v>1</v>
      </c>
      <c r="M501" s="21" t="str">
        <f>"item_"&amp;CONTROL[[#This Row],[VEHIDCODE]]</f>
        <v>item_dmu_Fiat_ALn_442_448</v>
      </c>
      <c r="N501" s="21" t="str">
        <f>"str_"&amp;CONTROL[[#This Row],[VEHIDCODE]]</f>
        <v>str_dmu_Fiat_ALn_442_448</v>
      </c>
      <c r="O501" s="7" t="b">
        <f>INDEX(PROPERTIES[IS_CONCEPT],MATCH(CONTROL[[#This Row],[VEHIDCODE]],PROPERTIES[VEHIDCODE],0))="IS_CONCEPT"</f>
        <v>0</v>
      </c>
      <c r="P501" s="7" t="b">
        <f>INDEX(PROPERTIES[EXCLUDE],MATCH(CONTROL[[#This Row],[VEHIDCODE]],PROPERTIES[VEHIDCODE],0))</f>
        <v>0</v>
      </c>
      <c r="Q5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2" spans="1:17" x14ac:dyDescent="0.35">
      <c r="A502" s="2" t="s">
        <v>3127</v>
      </c>
      <c r="B502" s="21" t="str">
        <f>MID(CONTROL[[#This Row],[VEHIDCODE]],FIND("_",CONTROL[[#This Row],[VEHIDCODE]])+1,LEN(CONTROL[[#This Row],[VEHIDCODE]]))</f>
        <v>Sorefame_CP_0400</v>
      </c>
      <c r="C5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2">
        <v>7040</v>
      </c>
      <c r="F502" s="30" t="s">
        <v>2329</v>
      </c>
      <c r="G502" t="s">
        <v>1519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ISNUMBER(MATCH(CONTROL[[#This Row],[VEHIDCODE]],TRACK_TYPES[VEHIDCODE],0))</f>
        <v>1</v>
      </c>
      <c r="K502" t="b">
        <f>ISNUMBER(MATCH(CONTROL[[#This Row],[VEHIDCODE]],PROPERTIES[VEHIDCODE],0))</f>
        <v>1</v>
      </c>
      <c r="L502" t="b">
        <f>ISNUMBER(MATCH(CONTROL[[#This Row],[VEHIDCODE]],GRAPHICS_PROPERTIES[VEHIDCODE],0))</f>
        <v>1</v>
      </c>
      <c r="M502" s="21" t="str">
        <f>"item_"&amp;CONTROL[[#This Row],[VEHIDCODE]]</f>
        <v>item_dmu_Sorefame_CP_0400</v>
      </c>
      <c r="N502" s="21" t="str">
        <f>"str_"&amp;CONTROL[[#This Row],[VEHIDCODE]]</f>
        <v>str_dmu_Sorefame_CP_0400</v>
      </c>
      <c r="O502" s="7" t="b">
        <f>INDEX(PROPERTIES[IS_CONCEPT],MATCH(CONTROL[[#This Row],[VEHIDCODE]],PROPERTIES[VEHIDCODE],0))="IS_CONCEPT"</f>
        <v>0</v>
      </c>
      <c r="P502" s="7" t="b">
        <f>INDEX(PROPERTIES[EXCLUDE],MATCH(CONTROL[[#This Row],[VEHIDCODE]],PROPERTIES[VEHIDCODE],0))</f>
        <v>0</v>
      </c>
      <c r="Q5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3" spans="1:17" x14ac:dyDescent="0.35">
      <c r="A503" s="2" t="s">
        <v>3128</v>
      </c>
      <c r="B503" s="21" t="str">
        <f>MID(CONTROL[[#This Row],[VEHIDCODE]],FIND("_",CONTROL[[#This Row],[VEHIDCODE]])+1,LEN(CONTROL[[#This Row],[VEHIDCODE]]))</f>
        <v>Sorefame_CP_0600</v>
      </c>
      <c r="C5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3">
        <v>7044</v>
      </c>
      <c r="F503" s="30" t="s">
        <v>2328</v>
      </c>
      <c r="G503" t="s">
        <v>1520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ISNUMBER(MATCH(CONTROL[[#This Row],[VEHIDCODE]],TRACK_TYPES[VEHIDCODE],0))</f>
        <v>1</v>
      </c>
      <c r="K503" t="b">
        <f>ISNUMBER(MATCH(CONTROL[[#This Row],[VEHIDCODE]],PROPERTIES[VEHIDCODE],0))</f>
        <v>1</v>
      </c>
      <c r="L503" t="b">
        <f>ISNUMBER(MATCH(CONTROL[[#This Row],[VEHIDCODE]],GRAPHICS_PROPERTIES[VEHIDCODE],0))</f>
        <v>1</v>
      </c>
      <c r="M503" s="21" t="str">
        <f>"item_"&amp;CONTROL[[#This Row],[VEHIDCODE]]</f>
        <v>item_dmu_Sorefame_CP_0600</v>
      </c>
      <c r="N503" s="21" t="str">
        <f>"str_"&amp;CONTROL[[#This Row],[VEHIDCODE]]</f>
        <v>str_dmu_Sorefame_CP_0600</v>
      </c>
      <c r="O503" s="7" t="b">
        <f>INDEX(PROPERTIES[IS_CONCEPT],MATCH(CONTROL[[#This Row],[VEHIDCODE]],PROPERTIES[VEHIDCODE],0))="IS_CONCEPT"</f>
        <v>0</v>
      </c>
      <c r="P503" s="7" t="b">
        <f>INDEX(PROPERTIES[EXCLUDE],MATCH(CONTROL[[#This Row],[VEHIDCODE]],PROPERTIES[VEHIDCODE],0))</f>
        <v>0</v>
      </c>
      <c r="Q5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4" spans="1:17" x14ac:dyDescent="0.35">
      <c r="A504" s="2" t="s">
        <v>3129</v>
      </c>
      <c r="B504" s="21" t="str">
        <f>MID(CONTROL[[#This Row],[VEHIDCODE]],FIND("_",CONTROL[[#This Row],[VEHIDCODE]])+1,LEN(CONTROL[[#This Row],[VEHIDCODE]]))</f>
        <v>MTM_2400_Apollos</v>
      </c>
      <c r="C5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5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504">
        <v>7046</v>
      </c>
      <c r="F504" s="30" t="s">
        <v>2330</v>
      </c>
      <c r="G504" t="s">
        <v>1523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ISNUMBER(MATCH(CONTROL[[#This Row],[VEHIDCODE]],TRACK_TYPES[VEHIDCODE],0))</f>
        <v>1</v>
      </c>
      <c r="K504" t="b">
        <f>ISNUMBER(MATCH(CONTROL[[#This Row],[VEHIDCODE]],PROPERTIES[VEHIDCODE],0))</f>
        <v>1</v>
      </c>
      <c r="L504" t="b">
        <f>ISNUMBER(MATCH(CONTROL[[#This Row],[VEHIDCODE]],GRAPHICS_PROPERTIES[VEHIDCODE],0))</f>
        <v>1</v>
      </c>
      <c r="M504" s="21" t="str">
        <f>"item_"&amp;CONTROL[[#This Row],[VEHIDCODE]]</f>
        <v>item_dmu_MTM_2400_Apollos</v>
      </c>
      <c r="N504" s="21" t="str">
        <f>"str_"&amp;CONTROL[[#This Row],[VEHIDCODE]]</f>
        <v>str_dmu_MTM_2400_Apollos</v>
      </c>
      <c r="O504" s="7" t="b">
        <f>INDEX(PROPERTIES[IS_CONCEPT],MATCH(CONTROL[[#This Row],[VEHIDCODE]],PROPERTIES[VEHIDCODE],0))="IS_CONCEPT"</f>
        <v>0</v>
      </c>
      <c r="P504" s="7" t="b">
        <f>INDEX(PROPERTIES[EXCLUDE],MATCH(CONTROL[[#This Row],[VEHIDCODE]],PROPERTIES[VEHIDCODE],0))</f>
        <v>0</v>
      </c>
      <c r="Q5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5" spans="1:17" x14ac:dyDescent="0.35">
      <c r="A505" s="2" t="s">
        <v>3130</v>
      </c>
      <c r="B505" s="21" t="str">
        <f>MID(CONTROL[[#This Row],[VEHIDCODE]],FIND("_",CONTROL[[#This Row],[VEHIDCODE]])+1,LEN(CONTROL[[#This Row],[VEHIDCODE]]))</f>
        <v>Windhoff_CargoSprinter</v>
      </c>
      <c r="C5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src\CargoDMU</v>
      </c>
      <c r="D5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ID_RANGE_CARGODMU</v>
      </c>
      <c r="E505">
        <v>15501</v>
      </c>
      <c r="F505" s="30" t="s">
        <v>2331</v>
      </c>
      <c r="G505" t="s">
        <v>1524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ISNUMBER(MATCH(CONTROL[[#This Row],[VEHIDCODE]],TRACK_TYPES[VEHIDCODE],0))</f>
        <v>1</v>
      </c>
      <c r="K505" t="b">
        <f>ISNUMBER(MATCH(CONTROL[[#This Row],[VEHIDCODE]],PROPERTIES[VEHIDCODE],0))</f>
        <v>1</v>
      </c>
      <c r="L505" t="b">
        <f>ISNUMBER(MATCH(CONTROL[[#This Row],[VEHIDCODE]],GRAPHICS_PROPERTIES[VEHIDCODE],0))</f>
        <v>1</v>
      </c>
      <c r="M505" s="21" t="str">
        <f>"item_"&amp;CONTROL[[#This Row],[VEHIDCODE]]</f>
        <v>item_cargodmu_Windhoff_CargoSprinter</v>
      </c>
      <c r="N505" s="21" t="str">
        <f>"str_"&amp;CONTROL[[#This Row],[VEHIDCODE]]</f>
        <v>str_cargodmu_Windhoff_CargoSprinter</v>
      </c>
      <c r="O505" s="7" t="b">
        <f>INDEX(PROPERTIES[IS_CONCEPT],MATCH(CONTROL[[#This Row],[VEHIDCODE]],PROPERTIES[VEHIDCODE],0))="IS_CONCEPT"</f>
        <v>0</v>
      </c>
      <c r="P505" s="7" t="b">
        <f>INDEX(PROPERTIES[EXCLUDE],MATCH(CONTROL[[#This Row],[VEHIDCODE]],PROPERTIES[VEHIDCODE],0))</f>
        <v>0</v>
      </c>
      <c r="Q5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TPL_42A</v>
      </c>
    </row>
    <row r="506" spans="1:17" x14ac:dyDescent="0.35">
      <c r="A506" s="2" t="s">
        <v>3131</v>
      </c>
      <c r="B506" s="21" t="str">
        <f>MID(CONTROL[[#This Row],[VEHIDCODE]],FIND("_",CONTROL[[#This Row],[VEHIDCODE]])+1,LEN(CONTROL[[#This Row],[VEHIDCODE]]))</f>
        <v>Downer_CRRC_Hitachi_Waratah</v>
      </c>
      <c r="C5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6">
        <v>8054</v>
      </c>
      <c r="F506" s="30" t="s">
        <v>2332</v>
      </c>
      <c r="G506" t="s">
        <v>1525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ISNUMBER(MATCH(CONTROL[[#This Row],[VEHIDCODE]],TRACK_TYPES[VEHIDCODE],0))</f>
        <v>1</v>
      </c>
      <c r="K506" t="b">
        <f>ISNUMBER(MATCH(CONTROL[[#This Row],[VEHIDCODE]],PROPERTIES[VEHIDCODE],0))</f>
        <v>1</v>
      </c>
      <c r="L506" t="b">
        <f>ISNUMBER(MATCH(CONTROL[[#This Row],[VEHIDCODE]],GRAPHICS_PROPERTIES[VEHIDCODE],0))</f>
        <v>1</v>
      </c>
      <c r="M506" s="21" t="str">
        <f>"item_"&amp;CONTROL[[#This Row],[VEHIDCODE]]</f>
        <v>item_emu_Downer_CRRC_Hitachi_Waratah</v>
      </c>
      <c r="N506" s="21" t="str">
        <f>"str_"&amp;CONTROL[[#This Row],[VEHIDCODE]]</f>
        <v>str_emu_Downer_CRRC_Hitachi_Waratah</v>
      </c>
      <c r="O506" s="7" t="b">
        <f>INDEX(PROPERTIES[IS_CONCEPT],MATCH(CONTROL[[#This Row],[VEHIDCODE]],PROPERTIES[VEHIDCODE],0))="IS_CONCEPT"</f>
        <v>0</v>
      </c>
      <c r="P506" s="7" t="b">
        <f>INDEX(PROPERTIES[EXCLUDE],MATCH(CONTROL[[#This Row],[VEHIDCODE]],PROPERTIES[VEHIDCODE],0))</f>
        <v>0</v>
      </c>
      <c r="Q5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07" spans="1:17" x14ac:dyDescent="0.35">
      <c r="A507" s="2" t="s">
        <v>3132</v>
      </c>
      <c r="B507" s="21" t="str">
        <f>MID(CONTROL[[#This Row],[VEHIDCODE]],FIND("_",CONTROL[[#This Row],[VEHIDCODE]])+1,LEN(CONTROL[[#This Row],[VEHIDCODE]]))</f>
        <v>Frichs___Scandia_S_Tog_II</v>
      </c>
      <c r="C5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7">
        <v>8013</v>
      </c>
      <c r="F507" s="30" t="s">
        <v>2333</v>
      </c>
      <c r="G507" t="s">
        <v>1526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ISNUMBER(MATCH(CONTROL[[#This Row],[VEHIDCODE]],TRACK_TYPES[VEHIDCODE],0))</f>
        <v>1</v>
      </c>
      <c r="K507" t="b">
        <f>ISNUMBER(MATCH(CONTROL[[#This Row],[VEHIDCODE]],PROPERTIES[VEHIDCODE],0))</f>
        <v>1</v>
      </c>
      <c r="L507" t="b">
        <f>ISNUMBER(MATCH(CONTROL[[#This Row],[VEHIDCODE]],GRAPHICS_PROPERTIES[VEHIDCODE],0))</f>
        <v>1</v>
      </c>
      <c r="M507" s="21" t="str">
        <f>"item_"&amp;CONTROL[[#This Row],[VEHIDCODE]]</f>
        <v>item_emu_Frichs___Scandia_S_Tog_II</v>
      </c>
      <c r="N507" s="21" t="str">
        <f>"str_"&amp;CONTROL[[#This Row],[VEHIDCODE]]</f>
        <v>str_emu_Frichs___Scandia_S_Tog_II</v>
      </c>
      <c r="O507" s="7" t="b">
        <f>INDEX(PROPERTIES[IS_CONCEPT],MATCH(CONTROL[[#This Row],[VEHIDCODE]],PROPERTIES[VEHIDCODE],0))="IS_CONCEPT"</f>
        <v>0</v>
      </c>
      <c r="P507" s="7" t="b">
        <f>INDEX(PROPERTIES[EXCLUDE],MATCH(CONTROL[[#This Row],[VEHIDCODE]],PROPERTIES[VEHIDCODE],0))</f>
        <v>0</v>
      </c>
      <c r="Q5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08" spans="1:17" x14ac:dyDescent="0.35">
      <c r="A508" s="2" t="s">
        <v>3133</v>
      </c>
      <c r="B508" s="21" t="str">
        <f>MID(CONTROL[[#This Row],[VEHIDCODE]],FIND("_",CONTROL[[#This Row],[VEHIDCODE]])+1,LEN(CONTROL[[#This Row],[VEHIDCODE]]))</f>
        <v>Alsthom_S_Tog_IV</v>
      </c>
      <c r="C5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8">
        <v>8028</v>
      </c>
      <c r="F508" s="30" t="s">
        <v>2544</v>
      </c>
      <c r="G508" t="s">
        <v>1527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ISNUMBER(MATCH(CONTROL[[#This Row],[VEHIDCODE]],TRACK_TYPES[VEHIDCODE],0))</f>
        <v>1</v>
      </c>
      <c r="K508" t="b">
        <f>ISNUMBER(MATCH(CONTROL[[#This Row],[VEHIDCODE]],PROPERTIES[VEHIDCODE],0))</f>
        <v>1</v>
      </c>
      <c r="L508" t="b">
        <f>ISNUMBER(MATCH(CONTROL[[#This Row],[VEHIDCODE]],GRAPHICS_PROPERTIES[VEHIDCODE],0))</f>
        <v>1</v>
      </c>
      <c r="M508" s="21" t="str">
        <f>"item_"&amp;CONTROL[[#This Row],[VEHIDCODE]]</f>
        <v>item_emu_Alsthom_S_Tog_IV</v>
      </c>
      <c r="N508" s="21" t="str">
        <f>"str_"&amp;CONTROL[[#This Row],[VEHIDCODE]]</f>
        <v>str_emu_Alsthom_S_Tog_IV</v>
      </c>
      <c r="O508" s="7" t="b">
        <f>INDEX(PROPERTIES[IS_CONCEPT],MATCH(CONTROL[[#This Row],[VEHIDCODE]],PROPERTIES[VEHIDCODE],0))="IS_CONCEPT"</f>
        <v>0</v>
      </c>
      <c r="P508" s="7" t="b">
        <f>INDEX(PROPERTIES[EXCLUDE],MATCH(CONTROL[[#This Row],[VEHIDCODE]],PROPERTIES[VEHIDCODE],0))</f>
        <v>0</v>
      </c>
      <c r="Q5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09" spans="1:17" x14ac:dyDescent="0.35">
      <c r="A509" s="2" t="s">
        <v>3134</v>
      </c>
      <c r="B509" s="21" t="str">
        <f>MID(CONTROL[[#This Row],[VEHIDCODE]],FIND("_",CONTROL[[#This Row],[VEHIDCODE]])+1,LEN(CONTROL[[#This Row],[VEHIDCODE]]))</f>
        <v>TIBB_ECD_21_30</v>
      </c>
      <c r="C5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09">
        <v>8002</v>
      </c>
      <c r="F509" s="30" t="s">
        <v>2334</v>
      </c>
      <c r="G509" t="s">
        <v>1528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ISNUMBER(MATCH(CONTROL[[#This Row],[VEHIDCODE]],TRACK_TYPES[VEHIDCODE],0))</f>
        <v>1</v>
      </c>
      <c r="K509" t="b">
        <f>ISNUMBER(MATCH(CONTROL[[#This Row],[VEHIDCODE]],PROPERTIES[VEHIDCODE],0))</f>
        <v>1</v>
      </c>
      <c r="L509" t="b">
        <f>ISNUMBER(MATCH(CONTROL[[#This Row],[VEHIDCODE]],GRAPHICS_PROPERTIES[VEHIDCODE],0))</f>
        <v>1</v>
      </c>
      <c r="M509" s="21" t="str">
        <f>"item_"&amp;CONTROL[[#This Row],[VEHIDCODE]]</f>
        <v>item_emu_TIBB_ECD_21_30</v>
      </c>
      <c r="N509" s="21" t="str">
        <f>"str_"&amp;CONTROL[[#This Row],[VEHIDCODE]]</f>
        <v>str_emu_TIBB_ECD_21_30</v>
      </c>
      <c r="O509" s="7" t="b">
        <f>INDEX(PROPERTIES[IS_CONCEPT],MATCH(CONTROL[[#This Row],[VEHIDCODE]],PROPERTIES[VEHIDCODE],0))="IS_CONCEPT"</f>
        <v>0</v>
      </c>
      <c r="P509" s="7" t="b">
        <f>INDEX(PROPERTIES[EXCLUDE],MATCH(CONTROL[[#This Row],[VEHIDCODE]],PROPERTIES[VEHIDCODE],0))</f>
        <v>0</v>
      </c>
      <c r="Q5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0" spans="1:17" x14ac:dyDescent="0.35">
      <c r="A510" s="2" t="s">
        <v>3135</v>
      </c>
      <c r="B510" s="21" t="str">
        <f>MID(CONTROL[[#This Row],[VEHIDCODE]],FIND("_",CONTROL[[#This Row],[VEHIDCODE]])+1,LEN(CONTROL[[#This Row],[VEHIDCODE]]))</f>
        <v>Werkspoor_Mat24</v>
      </c>
      <c r="C5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0">
        <v>8000</v>
      </c>
      <c r="F510" s="30" t="s">
        <v>2335</v>
      </c>
      <c r="G510" t="s">
        <v>1529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ISNUMBER(MATCH(CONTROL[[#This Row],[VEHIDCODE]],TRACK_TYPES[VEHIDCODE],0))</f>
        <v>1</v>
      </c>
      <c r="K510" t="b">
        <f>ISNUMBER(MATCH(CONTROL[[#This Row],[VEHIDCODE]],PROPERTIES[VEHIDCODE],0))</f>
        <v>1</v>
      </c>
      <c r="L510" t="b">
        <f>ISNUMBER(MATCH(CONTROL[[#This Row],[VEHIDCODE]],GRAPHICS_PROPERTIES[VEHIDCODE],0))</f>
        <v>1</v>
      </c>
      <c r="M510" s="21" t="str">
        <f>"item_"&amp;CONTROL[[#This Row],[VEHIDCODE]]</f>
        <v>item_emu_Werkspoor_Mat24</v>
      </c>
      <c r="N510" s="21" t="str">
        <f>"str_"&amp;CONTROL[[#This Row],[VEHIDCODE]]</f>
        <v>str_emu_Werkspoor_Mat24</v>
      </c>
      <c r="O510" s="7" t="b">
        <f>INDEX(PROPERTIES[IS_CONCEPT],MATCH(CONTROL[[#This Row],[VEHIDCODE]],PROPERTIES[VEHIDCODE],0))="IS_CONCEPT"</f>
        <v>0</v>
      </c>
      <c r="P510" s="7" t="b">
        <f>INDEX(PROPERTIES[EXCLUDE],MATCH(CONTROL[[#This Row],[VEHIDCODE]],PROPERTIES[VEHIDCODE],0))</f>
        <v>0</v>
      </c>
      <c r="Q5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1" spans="1:17" x14ac:dyDescent="0.35">
      <c r="A511" s="2" t="s">
        <v>3136</v>
      </c>
      <c r="B511" s="21" t="str">
        <f>MID(CONTROL[[#This Row],[VEHIDCODE]],FIND("_",CONTROL[[#This Row],[VEHIDCODE]])+1,LEN(CONTROL[[#This Row],[VEHIDCODE]]))</f>
        <v>Werkspoor_Mat36</v>
      </c>
      <c r="C5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1">
        <v>8003</v>
      </c>
      <c r="F511" s="30" t="s">
        <v>2336</v>
      </c>
      <c r="G511" t="s">
        <v>1530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ISNUMBER(MATCH(CONTROL[[#This Row],[VEHIDCODE]],TRACK_TYPES[VEHIDCODE],0))</f>
        <v>1</v>
      </c>
      <c r="K511" t="b">
        <f>ISNUMBER(MATCH(CONTROL[[#This Row],[VEHIDCODE]],PROPERTIES[VEHIDCODE],0))</f>
        <v>1</v>
      </c>
      <c r="L511" t="b">
        <f>ISNUMBER(MATCH(CONTROL[[#This Row],[VEHIDCODE]],GRAPHICS_PROPERTIES[VEHIDCODE],0))</f>
        <v>1</v>
      </c>
      <c r="M511" s="21" t="str">
        <f>"item_"&amp;CONTROL[[#This Row],[VEHIDCODE]]</f>
        <v>item_emu_Werkspoor_Mat36</v>
      </c>
      <c r="N511" s="21" t="str">
        <f>"str_"&amp;CONTROL[[#This Row],[VEHIDCODE]]</f>
        <v>str_emu_Werkspoor_Mat36</v>
      </c>
      <c r="O511" s="7" t="b">
        <f>INDEX(PROPERTIES[IS_CONCEPT],MATCH(CONTROL[[#This Row],[VEHIDCODE]],PROPERTIES[VEHIDCODE],0))="IS_CONCEPT"</f>
        <v>0</v>
      </c>
      <c r="P511" s="7" t="b">
        <f>INDEX(PROPERTIES[EXCLUDE],MATCH(CONTROL[[#This Row],[VEHIDCODE]],PROPERTIES[VEHIDCODE],0))</f>
        <v>0</v>
      </c>
      <c r="Q5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2" spans="1:17" x14ac:dyDescent="0.35">
      <c r="A512" s="2" t="s">
        <v>3137</v>
      </c>
      <c r="B512" s="21" t="str">
        <f>MID(CONTROL[[#This Row],[VEHIDCODE]],FIND("_",CONTROL[[#This Row],[VEHIDCODE]])+1,LEN(CONTROL[[#This Row],[VEHIDCODE]]))</f>
        <v>Werkspoor_Mat54</v>
      </c>
      <c r="C5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2">
        <v>8007</v>
      </c>
      <c r="F512" s="30" t="s">
        <v>2337</v>
      </c>
      <c r="G512" t="s">
        <v>1531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ISNUMBER(MATCH(CONTROL[[#This Row],[VEHIDCODE]],TRACK_TYPES[VEHIDCODE],0))</f>
        <v>1</v>
      </c>
      <c r="K512" t="b">
        <f>ISNUMBER(MATCH(CONTROL[[#This Row],[VEHIDCODE]],PROPERTIES[VEHIDCODE],0))</f>
        <v>1</v>
      </c>
      <c r="L512" t="b">
        <f>ISNUMBER(MATCH(CONTROL[[#This Row],[VEHIDCODE]],GRAPHICS_PROPERTIES[VEHIDCODE],0))</f>
        <v>1</v>
      </c>
      <c r="M512" s="21" t="str">
        <f>"item_"&amp;CONTROL[[#This Row],[VEHIDCODE]]</f>
        <v>item_emu_Werkspoor_Mat54</v>
      </c>
      <c r="N512" s="21" t="str">
        <f>"str_"&amp;CONTROL[[#This Row],[VEHIDCODE]]</f>
        <v>str_emu_Werkspoor_Mat54</v>
      </c>
      <c r="O512" s="7" t="b">
        <f>INDEX(PROPERTIES[IS_CONCEPT],MATCH(CONTROL[[#This Row],[VEHIDCODE]],PROPERTIES[VEHIDCODE],0))="IS_CONCEPT"</f>
        <v>0</v>
      </c>
      <c r="P512" s="7" t="b">
        <f>INDEX(PROPERTIES[EXCLUDE],MATCH(CONTROL[[#This Row],[VEHIDCODE]],PROPERTIES[VEHIDCODE],0))</f>
        <v>0</v>
      </c>
      <c r="Q5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3" spans="1:17" x14ac:dyDescent="0.35">
      <c r="A513" s="2" t="s">
        <v>3138</v>
      </c>
      <c r="B513" s="21" t="str">
        <f>MID(CONTROL[[#This Row],[VEHIDCODE]],FIND("_",CONTROL[[#This Row],[VEHIDCODE]])+1,LEN(CONTROL[[#This Row],[VEHIDCODE]]))</f>
        <v>Talbot_Plan_Y</v>
      </c>
      <c r="C5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3">
        <v>8017</v>
      </c>
      <c r="F513" s="30" t="s">
        <v>2338</v>
      </c>
      <c r="G513" t="s">
        <v>1532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ISNUMBER(MATCH(CONTROL[[#This Row],[VEHIDCODE]],TRACK_TYPES[VEHIDCODE],0))</f>
        <v>1</v>
      </c>
      <c r="K513" t="b">
        <f>ISNUMBER(MATCH(CONTROL[[#This Row],[VEHIDCODE]],PROPERTIES[VEHIDCODE],0))</f>
        <v>1</v>
      </c>
      <c r="L513" t="b">
        <f>ISNUMBER(MATCH(CONTROL[[#This Row],[VEHIDCODE]],GRAPHICS_PROPERTIES[VEHIDCODE],0))</f>
        <v>1</v>
      </c>
      <c r="M513" s="21" t="str">
        <f>"item_"&amp;CONTROL[[#This Row],[VEHIDCODE]]</f>
        <v>item_emu_Talbot_Plan_Y</v>
      </c>
      <c r="N513" s="21" t="str">
        <f>"str_"&amp;CONTROL[[#This Row],[VEHIDCODE]]</f>
        <v>str_emu_Talbot_Plan_Y</v>
      </c>
      <c r="O513" s="7" t="b">
        <f>INDEX(PROPERTIES[IS_CONCEPT],MATCH(CONTROL[[#This Row],[VEHIDCODE]],PROPERTIES[VEHIDCODE],0))="IS_CONCEPT"</f>
        <v>0</v>
      </c>
      <c r="P513" s="7" t="b">
        <f>INDEX(PROPERTIES[EXCLUDE],MATCH(CONTROL[[#This Row],[VEHIDCODE]],PROPERTIES[VEHIDCODE],0))</f>
        <v>0</v>
      </c>
      <c r="Q5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4" spans="1:17" x14ac:dyDescent="0.35">
      <c r="A514" s="2" t="s">
        <v>3139</v>
      </c>
      <c r="B514" s="21" t="str">
        <f>MID(CONTROL[[#This Row],[VEHIDCODE]],FIND("_",CONTROL[[#This Row],[VEHIDCODE]])+1,LEN(CONTROL[[#This Row],[VEHIDCODE]]))</f>
        <v>Talbot_ICM_4000</v>
      </c>
      <c r="C5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4">
        <v>8018</v>
      </c>
      <c r="F514" s="30" t="s">
        <v>2339</v>
      </c>
      <c r="G514" t="s">
        <v>1533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ISNUMBER(MATCH(CONTROL[[#This Row],[VEHIDCODE]],TRACK_TYPES[VEHIDCODE],0))</f>
        <v>1</v>
      </c>
      <c r="K514" t="b">
        <f>ISNUMBER(MATCH(CONTROL[[#This Row],[VEHIDCODE]],PROPERTIES[VEHIDCODE],0))</f>
        <v>1</v>
      </c>
      <c r="L514" t="b">
        <f>ISNUMBER(MATCH(CONTROL[[#This Row],[VEHIDCODE]],GRAPHICS_PROPERTIES[VEHIDCODE],0))</f>
        <v>1</v>
      </c>
      <c r="M514" s="21" t="str">
        <f>"item_"&amp;CONTROL[[#This Row],[VEHIDCODE]]</f>
        <v>item_emu_Talbot_ICM_4000</v>
      </c>
      <c r="N514" s="21" t="str">
        <f>"str_"&amp;CONTROL[[#This Row],[VEHIDCODE]]</f>
        <v>str_emu_Talbot_ICM_4000</v>
      </c>
      <c r="O514" s="7" t="b">
        <f>INDEX(PROPERTIES[IS_CONCEPT],MATCH(CONTROL[[#This Row],[VEHIDCODE]],PROPERTIES[VEHIDCODE],0))="IS_CONCEPT"</f>
        <v>0</v>
      </c>
      <c r="P514" s="7" t="b">
        <f>INDEX(PROPERTIES[EXCLUDE],MATCH(CONTROL[[#This Row],[VEHIDCODE]],PROPERTIES[VEHIDCODE],0))</f>
        <v>0</v>
      </c>
      <c r="Q5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5" spans="1:17" x14ac:dyDescent="0.35">
      <c r="A515" s="2" t="s">
        <v>3140</v>
      </c>
      <c r="B515" s="21" t="str">
        <f>MID(CONTROL[[#This Row],[VEHIDCODE]],FIND("_",CONTROL[[#This Row],[VEHIDCODE]])+1,LEN(CONTROL[[#This Row],[VEHIDCODE]]))</f>
        <v>Talbot_DD_IRM_VIRM_8000</v>
      </c>
      <c r="C5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5">
        <v>8025</v>
      </c>
      <c r="F515" s="30" t="s">
        <v>2340</v>
      </c>
      <c r="G515" t="s">
        <v>1534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ISNUMBER(MATCH(CONTROL[[#This Row],[VEHIDCODE]],TRACK_TYPES[VEHIDCODE],0))</f>
        <v>1</v>
      </c>
      <c r="K515" t="b">
        <f>ISNUMBER(MATCH(CONTROL[[#This Row],[VEHIDCODE]],PROPERTIES[VEHIDCODE],0))</f>
        <v>1</v>
      </c>
      <c r="L515" t="b">
        <f>ISNUMBER(MATCH(CONTROL[[#This Row],[VEHIDCODE]],GRAPHICS_PROPERTIES[VEHIDCODE],0))</f>
        <v>1</v>
      </c>
      <c r="M515" s="21" t="str">
        <f>"item_"&amp;CONTROL[[#This Row],[VEHIDCODE]]</f>
        <v>item_emu_Talbot_DD_IRM_VIRM_8000</v>
      </c>
      <c r="N515" s="21" t="str">
        <f>"str_"&amp;CONTROL[[#This Row],[VEHIDCODE]]</f>
        <v>str_emu_Talbot_DD_IRM_VIRM_8000</v>
      </c>
      <c r="O515" s="7" t="b">
        <f>INDEX(PROPERTIES[IS_CONCEPT],MATCH(CONTROL[[#This Row],[VEHIDCODE]],PROPERTIES[VEHIDCODE],0))="IS_CONCEPT"</f>
        <v>0</v>
      </c>
      <c r="P515" s="7" t="b">
        <f>INDEX(PROPERTIES[EXCLUDE],MATCH(CONTROL[[#This Row],[VEHIDCODE]],PROPERTIES[VEHIDCODE],0))</f>
        <v>0</v>
      </c>
      <c r="Q5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6" spans="1:17" x14ac:dyDescent="0.35">
      <c r="A516" s="2" t="s">
        <v>3141</v>
      </c>
      <c r="B516" s="21" t="str">
        <f>MID(CONTROL[[#This Row],[VEHIDCODE]],FIND("_",CONTROL[[#This Row],[VEHIDCODE]])+1,LEN(CONTROL[[#This Row],[VEHIDCODE]]))</f>
        <v>De_Dietrich_Adtranz_mDDm_390</v>
      </c>
      <c r="C5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6">
        <v>8031</v>
      </c>
      <c r="F516" s="30" t="s">
        <v>2341</v>
      </c>
      <c r="G516" t="s">
        <v>1537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ISNUMBER(MATCH(CONTROL[[#This Row],[VEHIDCODE]],TRACK_TYPES[VEHIDCODE],0))</f>
        <v>1</v>
      </c>
      <c r="K516" t="b">
        <f>ISNUMBER(MATCH(CONTROL[[#This Row],[VEHIDCODE]],PROPERTIES[VEHIDCODE],0))</f>
        <v>1</v>
      </c>
      <c r="L516" t="b">
        <f>ISNUMBER(MATCH(CONTROL[[#This Row],[VEHIDCODE]],GRAPHICS_PROPERTIES[VEHIDCODE],0))</f>
        <v>1</v>
      </c>
      <c r="M516" s="21" t="str">
        <f>"item_"&amp;CONTROL[[#This Row],[VEHIDCODE]]</f>
        <v>item_emu_De_Dietrich_Adtranz_mDDm_390</v>
      </c>
      <c r="N516" s="21" t="str">
        <f>"str_"&amp;CONTROL[[#This Row],[VEHIDCODE]]</f>
        <v>str_emu_De_Dietrich_Adtranz_mDDm_390</v>
      </c>
      <c r="O516" s="7" t="b">
        <f>INDEX(PROPERTIES[IS_CONCEPT],MATCH(CONTROL[[#This Row],[VEHIDCODE]],PROPERTIES[VEHIDCODE],0))="IS_CONCEPT"</f>
        <v>0</v>
      </c>
      <c r="P516" s="7" t="b">
        <f>INDEX(PROPERTIES[EXCLUDE],MATCH(CONTROL[[#This Row],[VEHIDCODE]],PROPERTIES[VEHIDCODE],0))</f>
        <v>0</v>
      </c>
      <c r="Q5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7" spans="1:17" x14ac:dyDescent="0.35">
      <c r="A517" s="2" t="s">
        <v>3142</v>
      </c>
      <c r="B517" s="21" t="str">
        <f>MID(CONTROL[[#This Row],[VEHIDCODE]],FIND("_",CONTROL[[#This Row],[VEHIDCODE]])+1,LEN(CONTROL[[#This Row],[VEHIDCODE]]))</f>
        <v>AEG_EW90</v>
      </c>
      <c r="C5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7">
        <v>8047</v>
      </c>
      <c r="F517" s="30" t="s">
        <v>3481</v>
      </c>
      <c r="G517" t="s">
        <v>1535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ISNUMBER(MATCH(CONTROL[[#This Row],[VEHIDCODE]],TRACK_TYPES[VEHIDCODE],0))</f>
        <v>1</v>
      </c>
      <c r="K517" t="b">
        <f>ISNUMBER(MATCH(CONTROL[[#This Row],[VEHIDCODE]],PROPERTIES[VEHIDCODE],0))</f>
        <v>1</v>
      </c>
      <c r="L517" t="b">
        <f>ISNUMBER(MATCH(CONTROL[[#This Row],[VEHIDCODE]],GRAPHICS_PROPERTIES[VEHIDCODE],0))</f>
        <v>1</v>
      </c>
      <c r="M517" s="21" t="str">
        <f>"item_"&amp;CONTROL[[#This Row],[VEHIDCODE]]</f>
        <v>item_emu_AEG_EW90</v>
      </c>
      <c r="N517" s="21" t="str">
        <f>"str_"&amp;CONTROL[[#This Row],[VEHIDCODE]]</f>
        <v>str_emu_AEG_EW90</v>
      </c>
      <c r="O517" s="7" t="b">
        <f>INDEX(PROPERTIES[IS_CONCEPT],MATCH(CONTROL[[#This Row],[VEHIDCODE]],PROPERTIES[VEHIDCODE],0))="IS_CONCEPT"</f>
        <v>0</v>
      </c>
      <c r="P517" s="7" t="b">
        <f>INDEX(PROPERTIES[EXCLUDE],MATCH(CONTROL[[#This Row],[VEHIDCODE]],PROPERTIES[VEHIDCODE],0))</f>
        <v>0</v>
      </c>
      <c r="Q5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8" spans="1:17" x14ac:dyDescent="0.35">
      <c r="A518" s="2" t="s">
        <v>3143</v>
      </c>
      <c r="B518" s="21" t="str">
        <f>MID(CONTROL[[#This Row],[VEHIDCODE]],FIND("_",CONTROL[[#This Row],[VEHIDCODE]])+1,LEN(CONTROL[[#This Row],[VEHIDCODE]]))</f>
        <v>Breda_ETR_200</v>
      </c>
      <c r="C5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8">
        <v>8004</v>
      </c>
      <c r="F518" s="30" t="s">
        <v>2342</v>
      </c>
      <c r="G518" t="s">
        <v>1536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ISNUMBER(MATCH(CONTROL[[#This Row],[VEHIDCODE]],TRACK_TYPES[VEHIDCODE],0))</f>
        <v>1</v>
      </c>
      <c r="K518" t="b">
        <f>ISNUMBER(MATCH(CONTROL[[#This Row],[VEHIDCODE]],PROPERTIES[VEHIDCODE],0))</f>
        <v>1</v>
      </c>
      <c r="L518" t="b">
        <f>ISNUMBER(MATCH(CONTROL[[#This Row],[VEHIDCODE]],GRAPHICS_PROPERTIES[VEHIDCODE],0))</f>
        <v>1</v>
      </c>
      <c r="M518" s="21" t="str">
        <f>"item_"&amp;CONTROL[[#This Row],[VEHIDCODE]]</f>
        <v>item_emu_Breda_ETR_200</v>
      </c>
      <c r="N518" s="21" t="str">
        <f>"str_"&amp;CONTROL[[#This Row],[VEHIDCODE]]</f>
        <v>str_emu_Breda_ETR_200</v>
      </c>
      <c r="O518" s="7" t="b">
        <f>INDEX(PROPERTIES[IS_CONCEPT],MATCH(CONTROL[[#This Row],[VEHIDCODE]],PROPERTIES[VEHIDCODE],0))="IS_CONCEPT"</f>
        <v>0</v>
      </c>
      <c r="P518" s="7" t="b">
        <f>INDEX(PROPERTIES[EXCLUDE],MATCH(CONTROL[[#This Row],[VEHIDCODE]],PROPERTIES[VEHIDCODE],0))</f>
        <v>0</v>
      </c>
      <c r="Q5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19" spans="1:17" x14ac:dyDescent="0.35">
      <c r="A519" s="2" t="s">
        <v>3144</v>
      </c>
      <c r="B519" s="21" t="str">
        <f>MID(CONTROL[[#This Row],[VEHIDCODE]],FIND("_",CONTROL[[#This Row],[VEHIDCODE]])+1,LEN(CONTROL[[#This Row],[VEHIDCODE]]))</f>
        <v>Breda_ETR_300_Settebello</v>
      </c>
      <c r="C5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19">
        <v>8006</v>
      </c>
      <c r="F519" s="30" t="s">
        <v>2343</v>
      </c>
      <c r="G519" t="s">
        <v>1538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ISNUMBER(MATCH(CONTROL[[#This Row],[VEHIDCODE]],TRACK_TYPES[VEHIDCODE],0))</f>
        <v>1</v>
      </c>
      <c r="K519" t="b">
        <f>ISNUMBER(MATCH(CONTROL[[#This Row],[VEHIDCODE]],PROPERTIES[VEHIDCODE],0))</f>
        <v>1</v>
      </c>
      <c r="L519" t="b">
        <f>ISNUMBER(MATCH(CONTROL[[#This Row],[VEHIDCODE]],GRAPHICS_PROPERTIES[VEHIDCODE],0))</f>
        <v>1</v>
      </c>
      <c r="M519" s="21" t="str">
        <f>"item_"&amp;CONTROL[[#This Row],[VEHIDCODE]]</f>
        <v>item_emu_Breda_ETR_300_Settebello</v>
      </c>
      <c r="N519" s="21" t="str">
        <f>"str_"&amp;CONTROL[[#This Row],[VEHIDCODE]]</f>
        <v>str_emu_Breda_ETR_300_Settebello</v>
      </c>
      <c r="O519" s="7" t="b">
        <f>INDEX(PROPERTIES[IS_CONCEPT],MATCH(CONTROL[[#This Row],[VEHIDCODE]],PROPERTIES[VEHIDCODE],0))="IS_CONCEPT"</f>
        <v>0</v>
      </c>
      <c r="P519" s="7" t="b">
        <f>INDEX(PROPERTIES[EXCLUDE],MATCH(CONTROL[[#This Row],[VEHIDCODE]],PROPERTIES[VEHIDCODE],0))</f>
        <v>0</v>
      </c>
      <c r="Q5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20" spans="1:17" x14ac:dyDescent="0.35">
      <c r="A520" s="2" t="s">
        <v>3145</v>
      </c>
      <c r="B520" s="21" t="str">
        <f>MID(CONTROL[[#This Row],[VEHIDCODE]],FIND("_",CONTROL[[#This Row],[VEHIDCODE]])+1,LEN(CONTROL[[#This Row],[VEHIDCODE]]))</f>
        <v>TREVI_ETR_500_Frecciarossa</v>
      </c>
      <c r="C5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0">
        <v>8024</v>
      </c>
      <c r="F520" s="30" t="s">
        <v>2344</v>
      </c>
      <c r="G520" t="s">
        <v>1539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ISNUMBER(MATCH(CONTROL[[#This Row],[VEHIDCODE]],TRACK_TYPES[VEHIDCODE],0))</f>
        <v>1</v>
      </c>
      <c r="K520" t="b">
        <f>ISNUMBER(MATCH(CONTROL[[#This Row],[VEHIDCODE]],PROPERTIES[VEHIDCODE],0))</f>
        <v>1</v>
      </c>
      <c r="L520" t="b">
        <f>ISNUMBER(MATCH(CONTROL[[#This Row],[VEHIDCODE]],GRAPHICS_PROPERTIES[VEHIDCODE],0))</f>
        <v>1</v>
      </c>
      <c r="M520" s="21" t="str">
        <f>"item_"&amp;CONTROL[[#This Row],[VEHIDCODE]]</f>
        <v>item_emu_TREVI_ETR_500_Frecciarossa</v>
      </c>
      <c r="N520" s="21" t="str">
        <f>"str_"&amp;CONTROL[[#This Row],[VEHIDCODE]]</f>
        <v>str_emu_TREVI_ETR_500_Frecciarossa</v>
      </c>
      <c r="O520" s="7" t="b">
        <f>INDEX(PROPERTIES[IS_CONCEPT],MATCH(CONTROL[[#This Row],[VEHIDCODE]],PROPERTIES[VEHIDCODE],0))="IS_CONCEPT"</f>
        <v>0</v>
      </c>
      <c r="P520" s="7" t="b">
        <f>INDEX(PROPERTIES[EXCLUDE],MATCH(CONTROL[[#This Row],[VEHIDCODE]],PROPERTIES[VEHIDCODE],0))</f>
        <v>0</v>
      </c>
      <c r="Q5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1" spans="1:17" x14ac:dyDescent="0.35">
      <c r="A521" s="2" t="s">
        <v>3146</v>
      </c>
      <c r="B521" s="21" t="str">
        <f>MID(CONTROL[[#This Row],[VEHIDCODE]],FIND("_",CONTROL[[#This Row],[VEHIDCODE]])+1,LEN(CONTROL[[#This Row],[VEHIDCODE]]))</f>
        <v>AnsaldoBreda_ALe_426</v>
      </c>
      <c r="C5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1">
        <v>8029</v>
      </c>
      <c r="F521" s="30" t="s">
        <v>2345</v>
      </c>
      <c r="G521" t="s">
        <v>1540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ISNUMBER(MATCH(CONTROL[[#This Row],[VEHIDCODE]],TRACK_TYPES[VEHIDCODE],0))</f>
        <v>1</v>
      </c>
      <c r="K521" t="b">
        <f>ISNUMBER(MATCH(CONTROL[[#This Row],[VEHIDCODE]],PROPERTIES[VEHIDCODE],0))</f>
        <v>1</v>
      </c>
      <c r="L521" t="b">
        <f>ISNUMBER(MATCH(CONTROL[[#This Row],[VEHIDCODE]],GRAPHICS_PROPERTIES[VEHIDCODE],0))</f>
        <v>1</v>
      </c>
      <c r="M521" s="21" t="str">
        <f>"item_"&amp;CONTROL[[#This Row],[VEHIDCODE]]</f>
        <v>item_emu_AnsaldoBreda_ALe_426</v>
      </c>
      <c r="N521" s="21" t="str">
        <f>"str_"&amp;CONTROL[[#This Row],[VEHIDCODE]]</f>
        <v>str_emu_AnsaldoBreda_ALe_426</v>
      </c>
      <c r="O521" s="7" t="b">
        <f>INDEX(PROPERTIES[IS_CONCEPT],MATCH(CONTROL[[#This Row],[VEHIDCODE]],PROPERTIES[VEHIDCODE],0))="IS_CONCEPT"</f>
        <v>0</v>
      </c>
      <c r="P521" s="7" t="b">
        <f>INDEX(PROPERTIES[EXCLUDE],MATCH(CONTROL[[#This Row],[VEHIDCODE]],PROPERTIES[VEHIDCODE],0))</f>
        <v>0</v>
      </c>
      <c r="Q5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2" spans="1:17" x14ac:dyDescent="0.35">
      <c r="A522" s="2" t="s">
        <v>3147</v>
      </c>
      <c r="B522" s="21" t="str">
        <f>MID(CONTROL[[#This Row],[VEHIDCODE]],FIND("_",CONTROL[[#This Row],[VEHIDCODE]])+1,LEN(CONTROL[[#This Row],[VEHIDCODE]]))</f>
        <v>BN_ACEC_ZMC</v>
      </c>
      <c r="C5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2">
        <v>8064</v>
      </c>
      <c r="F522" s="30" t="s">
        <v>2346</v>
      </c>
      <c r="G522" t="s">
        <v>1541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ISNUMBER(MATCH(CONTROL[[#This Row],[VEHIDCODE]],TRACK_TYPES[VEHIDCODE],0))</f>
        <v>1</v>
      </c>
      <c r="K522" t="b">
        <f>ISNUMBER(MATCH(CONTROL[[#This Row],[VEHIDCODE]],PROPERTIES[VEHIDCODE],0))</f>
        <v>1</v>
      </c>
      <c r="L522" t="b">
        <f>ISNUMBER(MATCH(CONTROL[[#This Row],[VEHIDCODE]],GRAPHICS_PROPERTIES[VEHIDCODE],0))</f>
        <v>1</v>
      </c>
      <c r="M522" s="21" t="str">
        <f>"item_"&amp;CONTROL[[#This Row],[VEHIDCODE]]</f>
        <v>item_emu_BN_ACEC_ZMC</v>
      </c>
      <c r="N522" s="21" t="str">
        <f>"str_"&amp;CONTROL[[#This Row],[VEHIDCODE]]</f>
        <v>str_emu_BN_ACEC_ZMC</v>
      </c>
      <c r="O522" s="7" t="b">
        <f>INDEX(PROPERTIES[IS_CONCEPT],MATCH(CONTROL[[#This Row],[VEHIDCODE]],PROPERTIES[VEHIDCODE],0))="IS_CONCEPT"</f>
        <v>0</v>
      </c>
      <c r="P522" s="7" t="b">
        <f>INDEX(PROPERTIES[EXCLUDE],MATCH(CONTROL[[#This Row],[VEHIDCODE]],PROPERTIES[VEHIDCODE],0))</f>
        <v>0</v>
      </c>
      <c r="Q5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3" spans="1:17" x14ac:dyDescent="0.35">
      <c r="A523" s="2" t="s">
        <v>3148</v>
      </c>
      <c r="B523" s="21" t="str">
        <f>MID(CONTROL[[#This Row],[VEHIDCODE]],FIND("_",CONTROL[[#This Row],[VEHIDCODE]])+1,LEN(CONTROL[[#This Row],[VEHIDCODE]]))</f>
        <v>ASEA_EW54</v>
      </c>
      <c r="C5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3">
        <v>8060</v>
      </c>
      <c r="F523" s="30" t="s">
        <v>2347</v>
      </c>
      <c r="G523" t="s">
        <v>1542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ISNUMBER(MATCH(CONTROL[[#This Row],[VEHIDCODE]],TRACK_TYPES[VEHIDCODE],0))</f>
        <v>1</v>
      </c>
      <c r="K523" t="b">
        <f>ISNUMBER(MATCH(CONTROL[[#This Row],[VEHIDCODE]],PROPERTIES[VEHIDCODE],0))</f>
        <v>1</v>
      </c>
      <c r="L523" t="b">
        <f>ISNUMBER(MATCH(CONTROL[[#This Row],[VEHIDCODE]],GRAPHICS_PROPERTIES[VEHIDCODE],0))</f>
        <v>1</v>
      </c>
      <c r="M523" s="21" t="str">
        <f>"item_"&amp;CONTROL[[#This Row],[VEHIDCODE]]</f>
        <v>item_emu_ASEA_EW54</v>
      </c>
      <c r="N523" s="21" t="str">
        <f>"str_"&amp;CONTROL[[#This Row],[VEHIDCODE]]</f>
        <v>str_emu_ASEA_EW54</v>
      </c>
      <c r="O523" s="7" t="b">
        <f>INDEX(PROPERTIES[IS_CONCEPT],MATCH(CONTROL[[#This Row],[VEHIDCODE]],PROPERTIES[VEHIDCODE],0))="IS_CONCEPT"</f>
        <v>0</v>
      </c>
      <c r="P523" s="7" t="b">
        <f>INDEX(PROPERTIES[EXCLUDE],MATCH(CONTROL[[#This Row],[VEHIDCODE]],PROPERTIES[VEHIDCODE],0))</f>
        <v>0</v>
      </c>
      <c r="Q5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24" spans="1:17" x14ac:dyDescent="0.35">
      <c r="A524" s="2" t="s">
        <v>3149</v>
      </c>
      <c r="B524" s="21" t="str">
        <f>MID(CONTROL[[#This Row],[VEHIDCODE]],FIND("_",CONTROL[[#This Row],[VEHIDCODE]])+1,LEN(CONTROL[[#This Row],[VEHIDCODE]]))</f>
        <v>Breda_ALe_801</v>
      </c>
      <c r="C5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4">
        <v>8051</v>
      </c>
      <c r="F524" s="30" t="s">
        <v>2348</v>
      </c>
      <c r="G524" t="s">
        <v>1543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ISNUMBER(MATCH(CONTROL[[#This Row],[VEHIDCODE]],TRACK_TYPES[VEHIDCODE],0))</f>
        <v>1</v>
      </c>
      <c r="K524" t="b">
        <f>ISNUMBER(MATCH(CONTROL[[#This Row],[VEHIDCODE]],PROPERTIES[VEHIDCODE],0))</f>
        <v>1</v>
      </c>
      <c r="L524" t="b">
        <f>ISNUMBER(MATCH(CONTROL[[#This Row],[VEHIDCODE]],GRAPHICS_PROPERTIES[VEHIDCODE],0))</f>
        <v>1</v>
      </c>
      <c r="M524" s="21" t="str">
        <f>"item_"&amp;CONTROL[[#This Row],[VEHIDCODE]]</f>
        <v>item_emu_Breda_ALe_801</v>
      </c>
      <c r="N524" s="21" t="str">
        <f>"str_"&amp;CONTROL[[#This Row],[VEHIDCODE]]</f>
        <v>str_emu_Breda_ALe_801</v>
      </c>
      <c r="O524" s="7" t="b">
        <f>INDEX(PROPERTIES[IS_CONCEPT],MATCH(CONTROL[[#This Row],[VEHIDCODE]],PROPERTIES[VEHIDCODE],0))="IS_CONCEPT"</f>
        <v>0</v>
      </c>
      <c r="P524" s="7" t="b">
        <f>INDEX(PROPERTIES[EXCLUDE],MATCH(CONTROL[[#This Row],[VEHIDCODE]],PROPERTIES[VEHIDCODE],0))</f>
        <v>0</v>
      </c>
      <c r="Q5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5" spans="1:17" x14ac:dyDescent="0.35">
      <c r="A525" s="2" t="s">
        <v>3150</v>
      </c>
      <c r="B525" s="21" t="str">
        <f>MID(CONTROL[[#This Row],[VEHIDCODE]],FIND("_",CONTROL[[#This Row],[VEHIDCODE]])+1,LEN(CONTROL[[#This Row],[VEHIDCODE]]))</f>
        <v>SGP_AEG_BBC_4030</v>
      </c>
      <c r="C5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5">
        <v>8050</v>
      </c>
      <c r="F525" s="30" t="s">
        <v>2349</v>
      </c>
      <c r="G525" t="s">
        <v>1544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ISNUMBER(MATCH(CONTROL[[#This Row],[VEHIDCODE]],TRACK_TYPES[VEHIDCODE],0))</f>
        <v>1</v>
      </c>
      <c r="K525" t="b">
        <f>ISNUMBER(MATCH(CONTROL[[#This Row],[VEHIDCODE]],PROPERTIES[VEHIDCODE],0))</f>
        <v>1</v>
      </c>
      <c r="L525" t="b">
        <f>ISNUMBER(MATCH(CONTROL[[#This Row],[VEHIDCODE]],GRAPHICS_PROPERTIES[VEHIDCODE],0))</f>
        <v>1</v>
      </c>
      <c r="M525" s="21" t="str">
        <f>"item_"&amp;CONTROL[[#This Row],[VEHIDCODE]]</f>
        <v>item_emu_SGP_AEG_BBC_4030</v>
      </c>
      <c r="N525" s="21" t="str">
        <f>"str_"&amp;CONTROL[[#This Row],[VEHIDCODE]]</f>
        <v>str_emu_SGP_AEG_BBC_4030</v>
      </c>
      <c r="O525" s="7" t="b">
        <f>INDEX(PROPERTIES[IS_CONCEPT],MATCH(CONTROL[[#This Row],[VEHIDCODE]],PROPERTIES[VEHIDCODE],0))="IS_CONCEPT"</f>
        <v>0</v>
      </c>
      <c r="P525" s="7" t="b">
        <f>INDEX(PROPERTIES[EXCLUDE],MATCH(CONTROL[[#This Row],[VEHIDCODE]],PROPERTIES[VEHIDCODE],0))</f>
        <v>0</v>
      </c>
      <c r="Q5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6" spans="1:17" x14ac:dyDescent="0.35">
      <c r="A526" s="2" t="s">
        <v>3151</v>
      </c>
      <c r="B526" s="21" t="str">
        <f>MID(CONTROL[[#This Row],[VEHIDCODE]],FIND("_",CONTROL[[#This Row],[VEHIDCODE]])+1,LEN(CONTROL[[#This Row],[VEHIDCODE]]))</f>
        <v>ELIN_ET_10</v>
      </c>
      <c r="C5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6">
        <v>8001</v>
      </c>
      <c r="F526" s="30" t="s">
        <v>2350</v>
      </c>
      <c r="G526" t="s">
        <v>1545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ISNUMBER(MATCH(CONTROL[[#This Row],[VEHIDCODE]],TRACK_TYPES[VEHIDCODE],0))</f>
        <v>1</v>
      </c>
      <c r="K526" t="b">
        <f>ISNUMBER(MATCH(CONTROL[[#This Row],[VEHIDCODE]],PROPERTIES[VEHIDCODE],0))</f>
        <v>1</v>
      </c>
      <c r="L526" t="b">
        <f>ISNUMBER(MATCH(CONTROL[[#This Row],[VEHIDCODE]],GRAPHICS_PROPERTIES[VEHIDCODE],0))</f>
        <v>1</v>
      </c>
      <c r="M526" s="21" t="str">
        <f>"item_"&amp;CONTROL[[#This Row],[VEHIDCODE]]</f>
        <v>item_emu_ELIN_ET_10</v>
      </c>
      <c r="N526" s="21" t="str">
        <f>"str_"&amp;CONTROL[[#This Row],[VEHIDCODE]]</f>
        <v>str_emu_ELIN_ET_10</v>
      </c>
      <c r="O526" s="7" t="b">
        <f>INDEX(PROPERTIES[IS_CONCEPT],MATCH(CONTROL[[#This Row],[VEHIDCODE]],PROPERTIES[VEHIDCODE],0))="IS_CONCEPT"</f>
        <v>0</v>
      </c>
      <c r="P526" s="7" t="b">
        <f>INDEX(PROPERTIES[EXCLUDE],MATCH(CONTROL[[#This Row],[VEHIDCODE]],PROPERTIES[VEHIDCODE],0))</f>
        <v>0</v>
      </c>
      <c r="Q5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7" spans="1:17" x14ac:dyDescent="0.35">
      <c r="A527" s="2" t="s">
        <v>3152</v>
      </c>
      <c r="B527" s="21" t="str">
        <f>MID(CONTROL[[#This Row],[VEHIDCODE]],FIND("_",CONTROL[[#This Row],[VEHIDCODE]])+1,LEN(CONTROL[[#This Row],[VEHIDCODE]]))</f>
        <v>Stadler_4010_KISS</v>
      </c>
      <c r="C5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7">
        <v>8069</v>
      </c>
      <c r="F527" s="30" t="s">
        <v>3482</v>
      </c>
      <c r="G527" t="s">
        <v>1546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ISNUMBER(MATCH(CONTROL[[#This Row],[VEHIDCODE]],TRACK_TYPES[VEHIDCODE],0))</f>
        <v>1</v>
      </c>
      <c r="K527" t="b">
        <f>ISNUMBER(MATCH(CONTROL[[#This Row],[VEHIDCODE]],PROPERTIES[VEHIDCODE],0))</f>
        <v>1</v>
      </c>
      <c r="L527" t="b">
        <f>ISNUMBER(MATCH(CONTROL[[#This Row],[VEHIDCODE]],GRAPHICS_PROPERTIES[VEHIDCODE],0))</f>
        <v>1</v>
      </c>
      <c r="M527" s="21" t="str">
        <f>"item_"&amp;CONTROL[[#This Row],[VEHIDCODE]]</f>
        <v>item_emu_Stadler_4010_KISS</v>
      </c>
      <c r="N527" s="21" t="str">
        <f>"str_"&amp;CONTROL[[#This Row],[VEHIDCODE]]</f>
        <v>str_emu_Stadler_4010_KISS</v>
      </c>
      <c r="O527" s="7" t="b">
        <f>INDEX(PROPERTIES[IS_CONCEPT],MATCH(CONTROL[[#This Row],[VEHIDCODE]],PROPERTIES[VEHIDCODE],0))="IS_CONCEPT"</f>
        <v>0</v>
      </c>
      <c r="P527" s="7" t="b">
        <f>INDEX(PROPERTIES[EXCLUDE],MATCH(CONTROL[[#This Row],[VEHIDCODE]],PROPERTIES[VEHIDCODE],0))</f>
        <v>0</v>
      </c>
      <c r="Q5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28" spans="1:17" x14ac:dyDescent="0.35">
      <c r="A528" s="2" t="s">
        <v>3153</v>
      </c>
      <c r="B528" s="21" t="str">
        <f>MID(CONTROL[[#This Row],[VEHIDCODE]],FIND("_",CONTROL[[#This Row],[VEHIDCODE]])+1,LEN(CONTROL[[#This Row],[VEHIDCODE]]))</f>
        <v>LHB_420</v>
      </c>
      <c r="C5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8">
        <v>8014</v>
      </c>
      <c r="F528" s="30" t="s">
        <v>2351</v>
      </c>
      <c r="G528" t="s">
        <v>1547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ISNUMBER(MATCH(CONTROL[[#This Row],[VEHIDCODE]],TRACK_TYPES[VEHIDCODE],0))</f>
        <v>1</v>
      </c>
      <c r="K528" t="b">
        <f>ISNUMBER(MATCH(CONTROL[[#This Row],[VEHIDCODE]],PROPERTIES[VEHIDCODE],0))</f>
        <v>1</v>
      </c>
      <c r="L528" t="b">
        <f>ISNUMBER(MATCH(CONTROL[[#This Row],[VEHIDCODE]],GRAPHICS_PROPERTIES[VEHIDCODE],0))</f>
        <v>1</v>
      </c>
      <c r="M528" s="21" t="str">
        <f>"item_"&amp;CONTROL[[#This Row],[VEHIDCODE]]</f>
        <v>item_emu_LHB_420</v>
      </c>
      <c r="N528" s="21" t="str">
        <f>"str_"&amp;CONTROL[[#This Row],[VEHIDCODE]]</f>
        <v>str_emu_LHB_420</v>
      </c>
      <c r="O528" s="7" t="b">
        <f>INDEX(PROPERTIES[IS_CONCEPT],MATCH(CONTROL[[#This Row],[VEHIDCODE]],PROPERTIES[VEHIDCODE],0))="IS_CONCEPT"</f>
        <v>0</v>
      </c>
      <c r="P528" s="7" t="b">
        <f>INDEX(PROPERTIES[EXCLUDE],MATCH(CONTROL[[#This Row],[VEHIDCODE]],PROPERTIES[VEHIDCODE],0))</f>
        <v>0</v>
      </c>
      <c r="Q5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29" spans="1:17" x14ac:dyDescent="0.35">
      <c r="A529" s="2" t="s">
        <v>3154</v>
      </c>
      <c r="B529" s="21" t="str">
        <f>MID(CONTROL[[#This Row],[VEHIDCODE]],FIND("_",CONTROL[[#This Row],[VEHIDCODE]])+1,LEN(CONTROL[[#This Row],[VEHIDCODE]]))</f>
        <v>Adtranz_BM73</v>
      </c>
      <c r="C5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29">
        <v>8032</v>
      </c>
      <c r="F529" s="30" t="s">
        <v>2352</v>
      </c>
      <c r="G529" t="s">
        <v>1548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ISNUMBER(MATCH(CONTROL[[#This Row],[VEHIDCODE]],TRACK_TYPES[VEHIDCODE],0))</f>
        <v>1</v>
      </c>
      <c r="K529" t="b">
        <f>ISNUMBER(MATCH(CONTROL[[#This Row],[VEHIDCODE]],PROPERTIES[VEHIDCODE],0))</f>
        <v>1</v>
      </c>
      <c r="L529" t="b">
        <f>ISNUMBER(MATCH(CONTROL[[#This Row],[VEHIDCODE]],GRAPHICS_PROPERTIES[VEHIDCODE],0))</f>
        <v>1</v>
      </c>
      <c r="M529" s="21" t="str">
        <f>"item_"&amp;CONTROL[[#This Row],[VEHIDCODE]]</f>
        <v>item_emu_Adtranz_BM73</v>
      </c>
      <c r="N529" s="21" t="str">
        <f>"str_"&amp;CONTROL[[#This Row],[VEHIDCODE]]</f>
        <v>str_emu_Adtranz_BM73</v>
      </c>
      <c r="O529" s="7" t="b">
        <f>INDEX(PROPERTIES[IS_CONCEPT],MATCH(CONTROL[[#This Row],[VEHIDCODE]],PROPERTIES[VEHIDCODE],0))="IS_CONCEPT"</f>
        <v>0</v>
      </c>
      <c r="P529" s="7" t="b">
        <f>INDEX(PROPERTIES[EXCLUDE],MATCH(CONTROL[[#This Row],[VEHIDCODE]],PROPERTIES[VEHIDCODE],0))</f>
        <v>0</v>
      </c>
      <c r="Q5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30" spans="1:17" x14ac:dyDescent="0.35">
      <c r="A530" s="2" t="s">
        <v>3155</v>
      </c>
      <c r="B530" s="21" t="str">
        <f>MID(CONTROL[[#This Row],[VEHIDCODE]],FIND("_",CONTROL[[#This Row],[VEHIDCODE]])+1,LEN(CONTROL[[#This Row],[VEHIDCODE]]))</f>
        <v>NEBB_M65</v>
      </c>
      <c r="C5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0">
        <v>8005</v>
      </c>
      <c r="F530" s="30" t="s">
        <v>2353</v>
      </c>
      <c r="G530" t="s">
        <v>1549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ISNUMBER(MATCH(CONTROL[[#This Row],[VEHIDCODE]],TRACK_TYPES[VEHIDCODE],0))</f>
        <v>1</v>
      </c>
      <c r="K530" t="b">
        <f>ISNUMBER(MATCH(CONTROL[[#This Row],[VEHIDCODE]],PROPERTIES[VEHIDCODE],0))</f>
        <v>1</v>
      </c>
      <c r="L530" t="b">
        <f>ISNUMBER(MATCH(CONTROL[[#This Row],[VEHIDCODE]],GRAPHICS_PROPERTIES[VEHIDCODE],0))</f>
        <v>1</v>
      </c>
      <c r="M530" s="21" t="str">
        <f>"item_"&amp;CONTROL[[#This Row],[VEHIDCODE]]</f>
        <v>item_emu_NEBB_M65</v>
      </c>
      <c r="N530" s="21" t="str">
        <f>"str_"&amp;CONTROL[[#This Row],[VEHIDCODE]]</f>
        <v>str_emu_NEBB_M65</v>
      </c>
      <c r="O530" s="7" t="b">
        <f>INDEX(PROPERTIES[IS_CONCEPT],MATCH(CONTROL[[#This Row],[VEHIDCODE]],PROPERTIES[VEHIDCODE],0))="IS_CONCEPT"</f>
        <v>0</v>
      </c>
      <c r="P530" s="7" t="b">
        <f>INDEX(PROPERTIES[EXCLUDE],MATCH(CONTROL[[#This Row],[VEHIDCODE]],PROPERTIES[VEHIDCODE],0))</f>
        <v>0</v>
      </c>
      <c r="Q5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1" spans="1:17" x14ac:dyDescent="0.35">
      <c r="A531" s="2" t="s">
        <v>3156</v>
      </c>
      <c r="B531" s="21" t="str">
        <f>MID(CONTROL[[#This Row],[VEHIDCODE]],FIND("_",CONTROL[[#This Row],[VEHIDCODE]])+1,LEN(CONTROL[[#This Row],[VEHIDCODE]]))</f>
        <v>ASEA_X2000</v>
      </c>
      <c r="C5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1">
        <v>8023</v>
      </c>
      <c r="F531" s="30" t="s">
        <v>2354</v>
      </c>
      <c r="G531" t="s">
        <v>1550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ISNUMBER(MATCH(CONTROL[[#This Row],[VEHIDCODE]],TRACK_TYPES[VEHIDCODE],0))</f>
        <v>1</v>
      </c>
      <c r="K531" t="b">
        <f>ISNUMBER(MATCH(CONTROL[[#This Row],[VEHIDCODE]],PROPERTIES[VEHIDCODE],0))</f>
        <v>1</v>
      </c>
      <c r="L531" t="b">
        <f>ISNUMBER(MATCH(CONTROL[[#This Row],[VEHIDCODE]],GRAPHICS_PROPERTIES[VEHIDCODE],0))</f>
        <v>1</v>
      </c>
      <c r="M531" s="21" t="str">
        <f>"item_"&amp;CONTROL[[#This Row],[VEHIDCODE]]</f>
        <v>item_emu_ASEA_X2000</v>
      </c>
      <c r="N531" s="21" t="str">
        <f>"str_"&amp;CONTROL[[#This Row],[VEHIDCODE]]</f>
        <v>str_emu_ASEA_X2000</v>
      </c>
      <c r="O531" s="7" t="b">
        <f>INDEX(PROPERTIES[IS_CONCEPT],MATCH(CONTROL[[#This Row],[VEHIDCODE]],PROPERTIES[VEHIDCODE],0))="IS_CONCEPT"</f>
        <v>0</v>
      </c>
      <c r="P531" s="7" t="b">
        <f>INDEX(PROPERTIES[EXCLUDE],MATCH(CONTROL[[#This Row],[VEHIDCODE]],PROPERTIES[VEHIDCODE],0))</f>
        <v>0</v>
      </c>
      <c r="Q5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2" spans="1:17" x14ac:dyDescent="0.35">
      <c r="A532" s="2" t="s">
        <v>3157</v>
      </c>
      <c r="B532" s="21" t="str">
        <f>MID(CONTROL[[#This Row],[VEHIDCODE]],FIND("_",CONTROL[[#This Row],[VEHIDCODE]])+1,LEN(CONTROL[[#This Row],[VEHIDCODE]]))</f>
        <v>SWP_RABDe_510</v>
      </c>
      <c r="C5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2">
        <v>8012</v>
      </c>
      <c r="F532" s="30" t="s">
        <v>2355</v>
      </c>
      <c r="G532" t="s">
        <v>1551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ISNUMBER(MATCH(CONTROL[[#This Row],[VEHIDCODE]],TRACK_TYPES[VEHIDCODE],0))</f>
        <v>1</v>
      </c>
      <c r="K532" t="b">
        <f>ISNUMBER(MATCH(CONTROL[[#This Row],[VEHIDCODE]],PROPERTIES[VEHIDCODE],0))</f>
        <v>1</v>
      </c>
      <c r="L532" t="b">
        <f>ISNUMBER(MATCH(CONTROL[[#This Row],[VEHIDCODE]],GRAPHICS_PROPERTIES[VEHIDCODE],0))</f>
        <v>1</v>
      </c>
      <c r="M532" s="21" t="str">
        <f>"item_"&amp;CONTROL[[#This Row],[VEHIDCODE]]</f>
        <v>item_emu_SWP_RABDe_510</v>
      </c>
      <c r="N532" s="21" t="str">
        <f>"str_"&amp;CONTROL[[#This Row],[VEHIDCODE]]</f>
        <v>str_emu_SWP_RABDe_510</v>
      </c>
      <c r="O532" s="7" t="b">
        <f>INDEX(PROPERTIES[IS_CONCEPT],MATCH(CONTROL[[#This Row],[VEHIDCODE]],PROPERTIES[VEHIDCODE],0))="IS_CONCEPT"</f>
        <v>0</v>
      </c>
      <c r="P532" s="7" t="b">
        <f>INDEX(PROPERTIES[EXCLUDE],MATCH(CONTROL[[#This Row],[VEHIDCODE]],PROPERTIES[VEHIDCODE],0))</f>
        <v>0</v>
      </c>
      <c r="Q5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33" spans="1:17" x14ac:dyDescent="0.35">
      <c r="A533" s="2" t="s">
        <v>3158</v>
      </c>
      <c r="B533" s="21" t="str">
        <f>MID(CONTROL[[#This Row],[VEHIDCODE]],FIND("_",CONTROL[[#This Row],[VEHIDCODE]])+1,LEN(CONTROL[[#This Row],[VEHIDCODE]]))</f>
        <v>Schindler_RBDe_560</v>
      </c>
      <c r="C5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3">
        <v>8020</v>
      </c>
      <c r="F533" s="30" t="s">
        <v>2356</v>
      </c>
      <c r="G533" t="s">
        <v>1552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ISNUMBER(MATCH(CONTROL[[#This Row],[VEHIDCODE]],TRACK_TYPES[VEHIDCODE],0))</f>
        <v>1</v>
      </c>
      <c r="K533" t="b">
        <f>ISNUMBER(MATCH(CONTROL[[#This Row],[VEHIDCODE]],PROPERTIES[VEHIDCODE],0))</f>
        <v>1</v>
      </c>
      <c r="L533" t="b">
        <f>ISNUMBER(MATCH(CONTROL[[#This Row],[VEHIDCODE]],GRAPHICS_PROPERTIES[VEHIDCODE],0))</f>
        <v>1</v>
      </c>
      <c r="M533" s="21" t="str">
        <f>"item_"&amp;CONTROL[[#This Row],[VEHIDCODE]]</f>
        <v>item_emu_Schindler_RBDe_560</v>
      </c>
      <c r="N533" s="21" t="str">
        <f>"str_"&amp;CONTROL[[#This Row],[VEHIDCODE]]</f>
        <v>str_emu_Schindler_RBDe_560</v>
      </c>
      <c r="O533" s="7" t="b">
        <f>INDEX(PROPERTIES[IS_CONCEPT],MATCH(CONTROL[[#This Row],[VEHIDCODE]],PROPERTIES[VEHIDCODE],0))="IS_CONCEPT"</f>
        <v>0</v>
      </c>
      <c r="P533" s="7" t="b">
        <f>INDEX(PROPERTIES[EXCLUDE],MATCH(CONTROL[[#This Row],[VEHIDCODE]],PROPERTIES[VEHIDCODE],0))</f>
        <v>0</v>
      </c>
      <c r="Q5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4" spans="1:17" x14ac:dyDescent="0.35">
      <c r="A534" s="2" t="s">
        <v>3159</v>
      </c>
      <c r="B534" s="21" t="str">
        <f>MID(CONTROL[[#This Row],[VEHIDCODE]],FIND("_",CONTROL[[#This Row],[VEHIDCODE]])+1,LEN(CONTROL[[#This Row],[VEHIDCODE]]))</f>
        <v>Stadler_RABe_523_Flirt</v>
      </c>
      <c r="C5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4">
        <v>8038</v>
      </c>
      <c r="F534" s="30" t="s">
        <v>2357</v>
      </c>
      <c r="G534" t="s">
        <v>1553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ISNUMBER(MATCH(CONTROL[[#This Row],[VEHIDCODE]],TRACK_TYPES[VEHIDCODE],0))</f>
        <v>1</v>
      </c>
      <c r="K534" t="b">
        <f>ISNUMBER(MATCH(CONTROL[[#This Row],[VEHIDCODE]],PROPERTIES[VEHIDCODE],0))</f>
        <v>1</v>
      </c>
      <c r="L534" t="b">
        <f>ISNUMBER(MATCH(CONTROL[[#This Row],[VEHIDCODE]],GRAPHICS_PROPERTIES[VEHIDCODE],0))</f>
        <v>1</v>
      </c>
      <c r="M534" s="21" t="str">
        <f>"item_"&amp;CONTROL[[#This Row],[VEHIDCODE]]</f>
        <v>item_emu_Stadler_RABe_523_Flirt</v>
      </c>
      <c r="N534" s="21" t="str">
        <f>"str_"&amp;CONTROL[[#This Row],[VEHIDCODE]]</f>
        <v>str_emu_Stadler_RABe_523_Flirt</v>
      </c>
      <c r="O534" s="7" t="b">
        <f>INDEX(PROPERTIES[IS_CONCEPT],MATCH(CONTROL[[#This Row],[VEHIDCODE]],PROPERTIES[VEHIDCODE],0))="IS_CONCEPT"</f>
        <v>0</v>
      </c>
      <c r="P534" s="7" t="b">
        <f>INDEX(PROPERTIES[EXCLUDE],MATCH(CONTROL[[#This Row],[VEHIDCODE]],PROPERTIES[VEHIDCODE],0))</f>
        <v>0</v>
      </c>
      <c r="Q5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5" spans="1:17" x14ac:dyDescent="0.35">
      <c r="A535" s="2" t="s">
        <v>3160</v>
      </c>
      <c r="B535" s="21" t="str">
        <f>MID(CONTROL[[#This Row],[VEHIDCODE]],FIND("_",CONTROL[[#This Row],[VEHIDCODE]])+1,LEN(CONTROL[[#This Row],[VEHIDCODE]]))</f>
        <v>Budd_Metroliner</v>
      </c>
      <c r="C5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5">
        <v>8062</v>
      </c>
      <c r="F535" s="30" t="s">
        <v>2358</v>
      </c>
      <c r="G535" t="s">
        <v>1554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ISNUMBER(MATCH(CONTROL[[#This Row],[VEHIDCODE]],TRACK_TYPES[VEHIDCODE],0))</f>
        <v>1</v>
      </c>
      <c r="K535" t="b">
        <f>ISNUMBER(MATCH(CONTROL[[#This Row],[VEHIDCODE]],PROPERTIES[VEHIDCODE],0))</f>
        <v>1</v>
      </c>
      <c r="L535" t="b">
        <f>ISNUMBER(MATCH(CONTROL[[#This Row],[VEHIDCODE]],GRAPHICS_PROPERTIES[VEHIDCODE],0))</f>
        <v>1</v>
      </c>
      <c r="M535" s="21" t="str">
        <f>"item_"&amp;CONTROL[[#This Row],[VEHIDCODE]]</f>
        <v>item_emu_Budd_Metroliner</v>
      </c>
      <c r="N535" s="21" t="str">
        <f>"str_"&amp;CONTROL[[#This Row],[VEHIDCODE]]</f>
        <v>str_emu_Budd_Metroliner</v>
      </c>
      <c r="O535" s="7" t="b">
        <f>INDEX(PROPERTIES[IS_CONCEPT],MATCH(CONTROL[[#This Row],[VEHIDCODE]],PROPERTIES[VEHIDCODE],0))="IS_CONCEPT"</f>
        <v>0</v>
      </c>
      <c r="P535" s="7" t="b">
        <f>INDEX(PROPERTIES[EXCLUDE],MATCH(CONTROL[[#This Row],[VEHIDCODE]],PROPERTIES[VEHIDCODE],0))</f>
        <v>0</v>
      </c>
      <c r="Q5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6" spans="1:17" x14ac:dyDescent="0.35">
      <c r="A536" s="2" t="s">
        <v>3161</v>
      </c>
      <c r="B536" s="21" t="str">
        <f>MID(CONTROL[[#This Row],[VEHIDCODE]],FIND("_",CONTROL[[#This Row],[VEHIDCODE]])+1,LEN(CONTROL[[#This Row],[VEHIDCODE]]))</f>
        <v>Siemens_Velero</v>
      </c>
      <c r="C5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6">
        <v>8036</v>
      </c>
      <c r="F536" s="30" t="s">
        <v>2378</v>
      </c>
      <c r="G536" t="s">
        <v>1555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ISNUMBER(MATCH(CONTROL[[#This Row],[VEHIDCODE]],TRACK_TYPES[VEHIDCODE],0))</f>
        <v>1</v>
      </c>
      <c r="K536" t="b">
        <f>ISNUMBER(MATCH(CONTROL[[#This Row],[VEHIDCODE]],PROPERTIES[VEHIDCODE],0))</f>
        <v>1</v>
      </c>
      <c r="L536" t="b">
        <f>ISNUMBER(MATCH(CONTROL[[#This Row],[VEHIDCODE]],GRAPHICS_PROPERTIES[VEHIDCODE],0))</f>
        <v>1</v>
      </c>
      <c r="M536" s="21" t="str">
        <f>"item_"&amp;CONTROL[[#This Row],[VEHIDCODE]]</f>
        <v>item_emu_Siemens_Velero</v>
      </c>
      <c r="N536" s="21" t="str">
        <f>"str_"&amp;CONTROL[[#This Row],[VEHIDCODE]]</f>
        <v>str_emu_Siemens_Velero</v>
      </c>
      <c r="O536" s="7" t="b">
        <f>INDEX(PROPERTIES[IS_CONCEPT],MATCH(CONTROL[[#This Row],[VEHIDCODE]],PROPERTIES[VEHIDCODE],0))="IS_CONCEPT"</f>
        <v>0</v>
      </c>
      <c r="P536" s="7" t="b">
        <f>INDEX(PROPERTIES[EXCLUDE],MATCH(CONTROL[[#This Row],[VEHIDCODE]],PROPERTIES[VEHIDCODE],0))</f>
        <v>0</v>
      </c>
      <c r="Q5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37" spans="1:17" x14ac:dyDescent="0.35">
      <c r="A537" s="2" t="s">
        <v>3162</v>
      </c>
      <c r="B537" s="21" t="str">
        <f>MID(CONTROL[[#This Row],[VEHIDCODE]],FIND("_",CONTROL[[#This Row],[VEHIDCODE]])+1,LEN(CONTROL[[#This Row],[VEHIDCODE]]))</f>
        <v>Siemens_Desiro_BDZ</v>
      </c>
      <c r="C5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7">
        <v>8039</v>
      </c>
      <c r="F537" s="30" t="s">
        <v>2359</v>
      </c>
      <c r="G537" t="s">
        <v>1556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ISNUMBER(MATCH(CONTROL[[#This Row],[VEHIDCODE]],TRACK_TYPES[VEHIDCODE],0))</f>
        <v>1</v>
      </c>
      <c r="K537" t="b">
        <f>ISNUMBER(MATCH(CONTROL[[#This Row],[VEHIDCODE]],PROPERTIES[VEHIDCODE],0))</f>
        <v>1</v>
      </c>
      <c r="L537" t="b">
        <f>ISNUMBER(MATCH(CONTROL[[#This Row],[VEHIDCODE]],GRAPHICS_PROPERTIES[VEHIDCODE],0))</f>
        <v>1</v>
      </c>
      <c r="M537" s="21" t="str">
        <f>"item_"&amp;CONTROL[[#This Row],[VEHIDCODE]]</f>
        <v>item_emu_Siemens_Desiro_BDZ</v>
      </c>
      <c r="N537" s="21" t="str">
        <f>"str_"&amp;CONTROL[[#This Row],[VEHIDCODE]]</f>
        <v>str_emu_Siemens_Desiro_BDZ</v>
      </c>
      <c r="O537" s="7" t="b">
        <f>INDEX(PROPERTIES[IS_CONCEPT],MATCH(CONTROL[[#This Row],[VEHIDCODE]],PROPERTIES[VEHIDCODE],0))="IS_CONCEPT"</f>
        <v>0</v>
      </c>
      <c r="P537" s="7" t="b">
        <f>INDEX(PROPERTIES[EXCLUDE],MATCH(CONTROL[[#This Row],[VEHIDCODE]],PROPERTIES[VEHIDCODE],0))</f>
        <v>0</v>
      </c>
      <c r="Q5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8" spans="1:17" x14ac:dyDescent="0.35">
      <c r="A538" s="2" t="s">
        <v>3163</v>
      </c>
      <c r="B538" s="21" t="str">
        <f>MID(CONTROL[[#This Row],[VEHIDCODE]],FIND("_",CONTROL[[#This Row],[VEHIDCODE]])+1,LEN(CONTROL[[#This Row],[VEHIDCODE]]))</f>
        <v>Valmet_Sm2</v>
      </c>
      <c r="C5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8">
        <v>8016</v>
      </c>
      <c r="F538" s="30" t="s">
        <v>2360</v>
      </c>
      <c r="G538" t="s">
        <v>1557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ISNUMBER(MATCH(CONTROL[[#This Row],[VEHIDCODE]],TRACK_TYPES[VEHIDCODE],0))</f>
        <v>1</v>
      </c>
      <c r="K538" t="b">
        <f>ISNUMBER(MATCH(CONTROL[[#This Row],[VEHIDCODE]],PROPERTIES[VEHIDCODE],0))</f>
        <v>1</v>
      </c>
      <c r="L538" t="b">
        <f>ISNUMBER(MATCH(CONTROL[[#This Row],[VEHIDCODE]],GRAPHICS_PROPERTIES[VEHIDCODE],0))</f>
        <v>1</v>
      </c>
      <c r="M538" s="21" t="str">
        <f>"item_"&amp;CONTROL[[#This Row],[VEHIDCODE]]</f>
        <v>item_emu_Valmet_Sm2</v>
      </c>
      <c r="N538" s="21" t="str">
        <f>"str_"&amp;CONTROL[[#This Row],[VEHIDCODE]]</f>
        <v>str_emu_Valmet_Sm2</v>
      </c>
      <c r="O538" s="7" t="b">
        <f>INDEX(PROPERTIES[IS_CONCEPT],MATCH(CONTROL[[#This Row],[VEHIDCODE]],PROPERTIES[VEHIDCODE],0))="IS_CONCEPT"</f>
        <v>0</v>
      </c>
      <c r="P538" s="7" t="b">
        <f>INDEX(PROPERTIES[EXCLUDE],MATCH(CONTROL[[#This Row],[VEHIDCODE]],PROPERTIES[VEHIDCODE],0))</f>
        <v>0</v>
      </c>
      <c r="Q5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39" spans="1:17" x14ac:dyDescent="0.35">
      <c r="A539" s="2" t="s">
        <v>3164</v>
      </c>
      <c r="B539" s="21" t="str">
        <f>MID(CONTROL[[#This Row],[VEHIDCODE]],FIND("_",CONTROL[[#This Row],[VEHIDCODE]])+1,LEN(CONTROL[[#This Row],[VEHIDCODE]]))</f>
        <v>Fiat_CAF_Sm4</v>
      </c>
      <c r="C5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39">
        <v>8034</v>
      </c>
      <c r="F539" s="30" t="s">
        <v>2361</v>
      </c>
      <c r="G539" t="s">
        <v>1558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ISNUMBER(MATCH(CONTROL[[#This Row],[VEHIDCODE]],TRACK_TYPES[VEHIDCODE],0))</f>
        <v>1</v>
      </c>
      <c r="K539" t="b">
        <f>ISNUMBER(MATCH(CONTROL[[#This Row],[VEHIDCODE]],PROPERTIES[VEHIDCODE],0))</f>
        <v>1</v>
      </c>
      <c r="L539" t="b">
        <f>ISNUMBER(MATCH(CONTROL[[#This Row],[VEHIDCODE]],GRAPHICS_PROPERTIES[VEHIDCODE],0))</f>
        <v>1</v>
      </c>
      <c r="M539" s="21" t="str">
        <f>"item_"&amp;CONTROL[[#This Row],[VEHIDCODE]]</f>
        <v>item_emu_Fiat_CAF_Sm4</v>
      </c>
      <c r="N539" s="21" t="str">
        <f>"str_"&amp;CONTROL[[#This Row],[VEHIDCODE]]</f>
        <v>str_emu_Fiat_CAF_Sm4</v>
      </c>
      <c r="O539" s="7" t="b">
        <f>INDEX(PROPERTIES[IS_CONCEPT],MATCH(CONTROL[[#This Row],[VEHIDCODE]],PROPERTIES[VEHIDCODE],0))="IS_CONCEPT"</f>
        <v>0</v>
      </c>
      <c r="P539" s="7" t="b">
        <f>INDEX(PROPERTIES[EXCLUDE],MATCH(CONTROL[[#This Row],[VEHIDCODE]],PROPERTIES[VEHIDCODE],0))</f>
        <v>0</v>
      </c>
      <c r="Q5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0" spans="1:17" x14ac:dyDescent="0.35">
      <c r="A540" s="2" t="s">
        <v>3165</v>
      </c>
      <c r="B540" s="21" t="str">
        <f>MID(CONTROL[[#This Row],[VEHIDCODE]],FIND("_",CONTROL[[#This Row],[VEHIDCODE]])+1,LEN(CONTROL[[#This Row],[VEHIDCODE]]))</f>
        <v>Ganz_MAVAG_VM17_BDVmot</v>
      </c>
      <c r="C5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0">
        <v>8022</v>
      </c>
      <c r="F540" s="30" t="s">
        <v>2605</v>
      </c>
      <c r="G540" t="s">
        <v>1559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ISNUMBER(MATCH(CONTROL[[#This Row],[VEHIDCODE]],TRACK_TYPES[VEHIDCODE],0))</f>
        <v>1</v>
      </c>
      <c r="K540" t="b">
        <f>ISNUMBER(MATCH(CONTROL[[#This Row],[VEHIDCODE]],PROPERTIES[VEHIDCODE],0))</f>
        <v>1</v>
      </c>
      <c r="L540" t="b">
        <f>ISNUMBER(MATCH(CONTROL[[#This Row],[VEHIDCODE]],GRAPHICS_PROPERTIES[VEHIDCODE],0))</f>
        <v>1</v>
      </c>
      <c r="M540" s="21" t="str">
        <f>"item_"&amp;CONTROL[[#This Row],[VEHIDCODE]]</f>
        <v>item_emu_Ganz_MAVAG_VM17_BDVmot</v>
      </c>
      <c r="N540" s="21" t="str">
        <f>"str_"&amp;CONTROL[[#This Row],[VEHIDCODE]]</f>
        <v>str_emu_Ganz_MAVAG_VM17_BDVmot</v>
      </c>
      <c r="O540" s="7" t="b">
        <f>INDEX(PROPERTIES[IS_CONCEPT],MATCH(CONTROL[[#This Row],[VEHIDCODE]],PROPERTIES[VEHIDCODE],0))="IS_CONCEPT"</f>
        <v>0</v>
      </c>
      <c r="P540" s="7" t="b">
        <f>INDEX(PROPERTIES[EXCLUDE],MATCH(CONTROL[[#This Row],[VEHIDCODE]],PROPERTIES[VEHIDCODE],0))</f>
        <v>0</v>
      </c>
      <c r="Q5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1" spans="1:17" x14ac:dyDescent="0.35">
      <c r="A541" s="2" t="s">
        <v>3166</v>
      </c>
      <c r="B541" s="21" t="str">
        <f>MID(CONTROL[[#This Row],[VEHIDCODE]],FIND("_",CONTROL[[#This Row],[VEHIDCODE]])+1,LEN(CONTROL[[#This Row],[VEHIDCODE]]))</f>
        <v>ACME_Corp__Sureot</v>
      </c>
      <c r="C5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1">
        <v>8072</v>
      </c>
      <c r="F541" s="30" t="s">
        <v>2591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ISNUMBER(MATCH(CONTROL[[#This Row],[VEHIDCODE]],TRACK_TYPES[VEHIDCODE],0))</f>
        <v>1</v>
      </c>
      <c r="K541" t="b">
        <f>ISNUMBER(MATCH(CONTROL[[#This Row],[VEHIDCODE]],PROPERTIES[VEHIDCODE],0))</f>
        <v>1</v>
      </c>
      <c r="L541" t="b">
        <f>ISNUMBER(MATCH(CONTROL[[#This Row],[VEHIDCODE]],GRAPHICS_PROPERTIES[VEHIDCODE],0))</f>
        <v>1</v>
      </c>
      <c r="M541" s="21" t="str">
        <f>"item_"&amp;CONTROL[[#This Row],[VEHIDCODE]]</f>
        <v>item_emu_ACME_Corp__Sureot</v>
      </c>
      <c r="N541" s="21" t="str">
        <f>"str_"&amp;CONTROL[[#This Row],[VEHIDCODE]]</f>
        <v>str_emu_ACME_Corp__Sureot</v>
      </c>
      <c r="O541" s="7" t="b">
        <f>INDEX(PROPERTIES[IS_CONCEPT],MATCH(CONTROL[[#This Row],[VEHIDCODE]],PROPERTIES[VEHIDCODE],0))="IS_CONCEPT"</f>
        <v>1</v>
      </c>
      <c r="P541" s="7" t="b">
        <f>INDEX(PROPERTIES[EXCLUDE],MATCH(CONTROL[[#This Row],[VEHIDCODE]],PROPERTIES[VEHIDCODE],0))</f>
        <v>0</v>
      </c>
      <c r="Q5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2" spans="1:17" x14ac:dyDescent="0.35">
      <c r="A542" s="2" t="s">
        <v>3167</v>
      </c>
      <c r="B542" s="21" t="str">
        <f>MID(CONTROL[[#This Row],[VEHIDCODE]],FIND("_",CONTROL[[#This Row],[VEHIDCODE]])+1,LEN(CONTROL[[#This Row],[VEHIDCODE]]))</f>
        <v>Hitachi_Shinkansen_Series_0</v>
      </c>
      <c r="C5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2">
        <v>8011</v>
      </c>
      <c r="F542" s="30" t="s">
        <v>2362</v>
      </c>
      <c r="G542" t="s">
        <v>1560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ISNUMBER(MATCH(CONTROL[[#This Row],[VEHIDCODE]],TRACK_TYPES[VEHIDCODE],0))</f>
        <v>1</v>
      </c>
      <c r="K542" t="b">
        <f>ISNUMBER(MATCH(CONTROL[[#This Row],[VEHIDCODE]],PROPERTIES[VEHIDCODE],0))</f>
        <v>1</v>
      </c>
      <c r="L542" t="b">
        <f>ISNUMBER(MATCH(CONTROL[[#This Row],[VEHIDCODE]],GRAPHICS_PROPERTIES[VEHIDCODE],0))</f>
        <v>1</v>
      </c>
      <c r="M542" s="21" t="str">
        <f>"item_"&amp;CONTROL[[#This Row],[VEHIDCODE]]</f>
        <v>item_emu_Hitachi_Shinkansen_Series_0</v>
      </c>
      <c r="N542" s="21" t="str">
        <f>"str_"&amp;CONTROL[[#This Row],[VEHIDCODE]]</f>
        <v>str_emu_Hitachi_Shinkansen_Series_0</v>
      </c>
      <c r="O542" s="7" t="b">
        <f>INDEX(PROPERTIES[IS_CONCEPT],MATCH(CONTROL[[#This Row],[VEHIDCODE]],PROPERTIES[VEHIDCODE],0))="IS_CONCEPT"</f>
        <v>0</v>
      </c>
      <c r="P542" s="7" t="b">
        <f>INDEX(PROPERTIES[EXCLUDE],MATCH(CONTROL[[#This Row],[VEHIDCODE]],PROPERTIES[VEHIDCODE],0))</f>
        <v>0</v>
      </c>
      <c r="Q5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43" spans="1:17" x14ac:dyDescent="0.35">
      <c r="A543" s="2" t="s">
        <v>3168</v>
      </c>
      <c r="B543" s="21" t="str">
        <f>MID(CONTROL[[#This Row],[VEHIDCODE]],FIND("_",CONTROL[[#This Row],[VEHIDCODE]])+1,LEN(CONTROL[[#This Row],[VEHIDCODE]]))</f>
        <v>Hitachi_Shinkansen_Series_700</v>
      </c>
      <c r="C5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3">
        <v>8030</v>
      </c>
      <c r="F543" s="30" t="s">
        <v>2363</v>
      </c>
      <c r="G543" t="s">
        <v>1561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ISNUMBER(MATCH(CONTROL[[#This Row],[VEHIDCODE]],TRACK_TYPES[VEHIDCODE],0))</f>
        <v>1</v>
      </c>
      <c r="K543" t="b">
        <f>ISNUMBER(MATCH(CONTROL[[#This Row],[VEHIDCODE]],PROPERTIES[VEHIDCODE],0))</f>
        <v>1</v>
      </c>
      <c r="L543" t="b">
        <f>ISNUMBER(MATCH(CONTROL[[#This Row],[VEHIDCODE]],GRAPHICS_PROPERTIES[VEHIDCODE],0))</f>
        <v>1</v>
      </c>
      <c r="M543" s="21" t="str">
        <f>"item_"&amp;CONTROL[[#This Row],[VEHIDCODE]]</f>
        <v>item_emu_Hitachi_Shinkansen_Series_700</v>
      </c>
      <c r="N543" s="21" t="str">
        <f>"str_"&amp;CONTROL[[#This Row],[VEHIDCODE]]</f>
        <v>str_emu_Hitachi_Shinkansen_Series_700</v>
      </c>
      <c r="O543" s="7" t="b">
        <f>INDEX(PROPERTIES[IS_CONCEPT],MATCH(CONTROL[[#This Row],[VEHIDCODE]],PROPERTIES[VEHIDCODE],0))="IS_CONCEPT"</f>
        <v>0</v>
      </c>
      <c r="P543" s="7" t="b">
        <f>INDEX(PROPERTIES[EXCLUDE],MATCH(CONTROL[[#This Row],[VEHIDCODE]],PROPERTIES[VEHIDCODE],0))</f>
        <v>0</v>
      </c>
      <c r="Q5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44" spans="1:17" x14ac:dyDescent="0.35">
      <c r="A544" s="2" t="s">
        <v>3169</v>
      </c>
      <c r="B544" s="21" t="str">
        <f>MID(CONTROL[[#This Row],[VEHIDCODE]],FIND("_",CONTROL[[#This Row],[VEHIDCODE]])+1,LEN(CONTROL[[#This Row],[VEHIDCODE]]))</f>
        <v>Hitachi_Kawasaki_Shinkansen_Series_E1_Max</v>
      </c>
      <c r="C5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4">
        <v>8065</v>
      </c>
      <c r="F544" s="30" t="s">
        <v>2364</v>
      </c>
      <c r="G544" s="32" t="s">
        <v>3529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ISNUMBER(MATCH(CONTROL[[#This Row],[VEHIDCODE]],TRACK_TYPES[VEHIDCODE],0))</f>
        <v>1</v>
      </c>
      <c r="K544" t="b">
        <f>ISNUMBER(MATCH(CONTROL[[#This Row],[VEHIDCODE]],PROPERTIES[VEHIDCODE],0))</f>
        <v>1</v>
      </c>
      <c r="L544" t="b">
        <f>ISNUMBER(MATCH(CONTROL[[#This Row],[VEHIDCODE]],GRAPHICS_PROPERTIES[VEHIDCODE],0))</f>
        <v>1</v>
      </c>
      <c r="M544" s="21" t="str">
        <f>"item_"&amp;CONTROL[[#This Row],[VEHIDCODE]]</f>
        <v>item_emu_Hitachi_Kawasaki_Shinkansen_Series_E1_Max</v>
      </c>
      <c r="N544" s="21" t="str">
        <f>"str_"&amp;CONTROL[[#This Row],[VEHIDCODE]]</f>
        <v>str_emu_Hitachi_Kawasaki_Shinkansen_Series_E1_Max</v>
      </c>
      <c r="O544" s="7" t="b">
        <f>INDEX(PROPERTIES[IS_CONCEPT],MATCH(CONTROL[[#This Row],[VEHIDCODE]],PROPERTIES[VEHIDCODE],0))="IS_CONCEPT"</f>
        <v>0</v>
      </c>
      <c r="P544" s="7" t="b">
        <f>INDEX(PROPERTIES[EXCLUDE],MATCH(CONTROL[[#This Row],[VEHIDCODE]],PROPERTIES[VEHIDCODE],0))</f>
        <v>0</v>
      </c>
      <c r="Q5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45" spans="1:17" x14ac:dyDescent="0.35">
      <c r="A545" s="2" t="s">
        <v>3170</v>
      </c>
      <c r="B545" s="21" t="str">
        <f>MID(CONTROL[[#This Row],[VEHIDCODE]],FIND("_",CONTROL[[#This Row],[VEHIDCODE]])+1,LEN(CONTROL[[#This Row],[VEHIDCODE]]))</f>
        <v>Alstom_Coradia_Duplex</v>
      </c>
      <c r="C5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5">
        <v>8035</v>
      </c>
      <c r="F545" s="30" t="s">
        <v>3670</v>
      </c>
      <c r="G545" t="s">
        <v>1562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ISNUMBER(MATCH(CONTROL[[#This Row],[VEHIDCODE]],TRACK_TYPES[VEHIDCODE],0))</f>
        <v>1</v>
      </c>
      <c r="K545" t="b">
        <f>ISNUMBER(MATCH(CONTROL[[#This Row],[VEHIDCODE]],PROPERTIES[VEHIDCODE],0))</f>
        <v>1</v>
      </c>
      <c r="L545" t="b">
        <f>ISNUMBER(MATCH(CONTROL[[#This Row],[VEHIDCODE]],GRAPHICS_PROPERTIES[VEHIDCODE],0))</f>
        <v>1</v>
      </c>
      <c r="M545" s="21" t="str">
        <f>"item_"&amp;CONTROL[[#This Row],[VEHIDCODE]]</f>
        <v>item_emu_Alstom_Coradia_Duplex</v>
      </c>
      <c r="N545" s="21" t="str">
        <f>"str_"&amp;CONTROL[[#This Row],[VEHIDCODE]]</f>
        <v>str_emu_Alstom_Coradia_Duplex</v>
      </c>
      <c r="O545" s="7" t="b">
        <f>INDEX(PROPERTIES[IS_CONCEPT],MATCH(CONTROL[[#This Row],[VEHIDCODE]],PROPERTIES[VEHIDCODE],0))="IS_CONCEPT"</f>
        <v>0</v>
      </c>
      <c r="P545" s="7" t="b">
        <f>INDEX(PROPERTIES[EXCLUDE],MATCH(CONTROL[[#This Row],[VEHIDCODE]],PROPERTIES[VEHIDCODE],0))</f>
        <v>0</v>
      </c>
      <c r="Q5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6" spans="1:17" x14ac:dyDescent="0.35">
      <c r="A546" s="2" t="s">
        <v>3171</v>
      </c>
      <c r="B546" s="21" t="str">
        <f>MID(CONTROL[[#This Row],[VEHIDCODE]],FIND("_",CONTROL[[#This Row],[VEHIDCODE]])+1,LEN(CONTROL[[#This Row],[VEHIDCODE]]))</f>
        <v>RVR_ER31</v>
      </c>
      <c r="C5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6">
        <v>8053</v>
      </c>
      <c r="F546" s="30" t="s">
        <v>2365</v>
      </c>
      <c r="G546" t="s">
        <v>1563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ISNUMBER(MATCH(CONTROL[[#This Row],[VEHIDCODE]],TRACK_TYPES[VEHIDCODE],0))</f>
        <v>1</v>
      </c>
      <c r="K546" t="b">
        <f>ISNUMBER(MATCH(CONTROL[[#This Row],[VEHIDCODE]],PROPERTIES[VEHIDCODE],0))</f>
        <v>1</v>
      </c>
      <c r="L546" t="b">
        <f>ISNUMBER(MATCH(CONTROL[[#This Row],[VEHIDCODE]],GRAPHICS_PROPERTIES[VEHIDCODE],0))</f>
        <v>1</v>
      </c>
      <c r="M546" s="21" t="str">
        <f>"item_"&amp;CONTROL[[#This Row],[VEHIDCODE]]</f>
        <v>item_emu_RVR_ER31</v>
      </c>
      <c r="N546" s="21" t="str">
        <f>"str_"&amp;CONTROL[[#This Row],[VEHIDCODE]]</f>
        <v>str_emu_RVR_ER31</v>
      </c>
      <c r="O546" s="7" t="b">
        <f>INDEX(PROPERTIES[IS_CONCEPT],MATCH(CONTROL[[#This Row],[VEHIDCODE]],PROPERTIES[VEHIDCODE],0))="IS_CONCEPT"</f>
        <v>0</v>
      </c>
      <c r="P546" s="7" t="b">
        <f>INDEX(PROPERTIES[EXCLUDE],MATCH(CONTROL[[#This Row],[VEHIDCODE]],PROPERTIES[VEHIDCODE],0))</f>
        <v>0</v>
      </c>
      <c r="Q5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7" spans="1:17" x14ac:dyDescent="0.35">
      <c r="A547" s="2" t="s">
        <v>3436</v>
      </c>
      <c r="B547" s="21" t="str">
        <f>MID(CONTROL[[#This Row],[VEHIDCODE]],FIND("_",CONTROL[[#This Row],[VEHIDCODE]])+1,LEN(CONTROL[[#This Row],[VEHIDCODE]]))</f>
        <v>Carel_et_Fouche_Alsthom_Z_6100</v>
      </c>
      <c r="C5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7">
        <v>8061</v>
      </c>
      <c r="F547" s="30" t="s">
        <v>3437</v>
      </c>
      <c r="G547" t="s">
        <v>1564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ISNUMBER(MATCH(CONTROL[[#This Row],[VEHIDCODE]],TRACK_TYPES[VEHIDCODE],0))</f>
        <v>1</v>
      </c>
      <c r="K547" t="b">
        <f>ISNUMBER(MATCH(CONTROL[[#This Row],[VEHIDCODE]],PROPERTIES[VEHIDCODE],0))</f>
        <v>1</v>
      </c>
      <c r="L547" t="b">
        <f>ISNUMBER(MATCH(CONTROL[[#This Row],[VEHIDCODE]],GRAPHICS_PROPERTIES[VEHIDCODE],0))</f>
        <v>1</v>
      </c>
      <c r="M547" s="21" t="str">
        <f>"item_"&amp;CONTROL[[#This Row],[VEHIDCODE]]</f>
        <v>item_emu_Carel_et_Fouche_Alsthom_Z_6100</v>
      </c>
      <c r="N547" s="21" t="str">
        <f>"str_"&amp;CONTROL[[#This Row],[VEHIDCODE]]</f>
        <v>str_emu_Carel_et_Fouche_Alsthom_Z_6100</v>
      </c>
      <c r="O547" s="7" t="b">
        <f>INDEX(PROPERTIES[IS_CONCEPT],MATCH(CONTROL[[#This Row],[VEHIDCODE]],PROPERTIES[VEHIDCODE],0))="IS_CONCEPT"</f>
        <v>0</v>
      </c>
      <c r="P547" s="7" t="b">
        <f>INDEX(PROPERTIES[EXCLUDE],MATCH(CONTROL[[#This Row],[VEHIDCODE]],PROPERTIES[VEHIDCODE],0))</f>
        <v>0</v>
      </c>
      <c r="Q5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8" spans="1:17" x14ac:dyDescent="0.35">
      <c r="A548" s="2" t="s">
        <v>3172</v>
      </c>
      <c r="B548" s="21" t="str">
        <f>MID(CONTROL[[#This Row],[VEHIDCODE]],FIND("_",CONTROL[[#This Row],[VEHIDCODE]])+1,LEN(CONTROL[[#This Row],[VEHIDCODE]]))</f>
        <v>Bombardier_UCW_Electrostar_Gautrain</v>
      </c>
      <c r="C5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8">
        <v>8041</v>
      </c>
      <c r="F548" s="30" t="s">
        <v>2366</v>
      </c>
      <c r="G548" t="s">
        <v>1565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ISNUMBER(MATCH(CONTROL[[#This Row],[VEHIDCODE]],TRACK_TYPES[VEHIDCODE],0))</f>
        <v>1</v>
      </c>
      <c r="K548" t="b">
        <f>ISNUMBER(MATCH(CONTROL[[#This Row],[VEHIDCODE]],PROPERTIES[VEHIDCODE],0))</f>
        <v>1</v>
      </c>
      <c r="L548" t="b">
        <f>ISNUMBER(MATCH(CONTROL[[#This Row],[VEHIDCODE]],GRAPHICS_PROPERTIES[VEHIDCODE],0))</f>
        <v>1</v>
      </c>
      <c r="M548" s="21" t="str">
        <f>"item_"&amp;CONTROL[[#This Row],[VEHIDCODE]]</f>
        <v>item_emu_Bombardier_UCW_Electrostar_Gautrain</v>
      </c>
      <c r="N548" s="21" t="str">
        <f>"str_"&amp;CONTROL[[#This Row],[VEHIDCODE]]</f>
        <v>str_emu_Bombardier_UCW_Electrostar_Gautrain</v>
      </c>
      <c r="O548" s="7" t="b">
        <f>INDEX(PROPERTIES[IS_CONCEPT],MATCH(CONTROL[[#This Row],[VEHIDCODE]],PROPERTIES[VEHIDCODE],0))="IS_CONCEPT"</f>
        <v>0</v>
      </c>
      <c r="P548" s="7" t="b">
        <f>INDEX(PROPERTIES[EXCLUDE],MATCH(CONTROL[[#This Row],[VEHIDCODE]],PROPERTIES[VEHIDCODE],0))</f>
        <v>0</v>
      </c>
      <c r="Q5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49" spans="1:17" x14ac:dyDescent="0.35">
      <c r="A549" s="2" t="s">
        <v>3173</v>
      </c>
      <c r="B549" s="21" t="str">
        <f>MID(CONTROL[[#This Row],[VEHIDCODE]],FIND("_",CONTROL[[#This Row],[VEHIDCODE]])+1,LEN(CONTROL[[#This Row],[VEHIDCODE]]))</f>
        <v>Alsthom_Jeumont_TCDD_E8000</v>
      </c>
      <c r="C5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49">
        <v>8008</v>
      </c>
      <c r="F549" s="30" t="s">
        <v>2545</v>
      </c>
      <c r="G549" t="s">
        <v>1566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ISNUMBER(MATCH(CONTROL[[#This Row],[VEHIDCODE]],TRACK_TYPES[VEHIDCODE],0))</f>
        <v>1</v>
      </c>
      <c r="K549" t="b">
        <f>ISNUMBER(MATCH(CONTROL[[#This Row],[VEHIDCODE]],PROPERTIES[VEHIDCODE],0))</f>
        <v>1</v>
      </c>
      <c r="L549" t="b">
        <f>ISNUMBER(MATCH(CONTROL[[#This Row],[VEHIDCODE]],GRAPHICS_PROPERTIES[VEHIDCODE],0))</f>
        <v>1</v>
      </c>
      <c r="M549" s="21" t="str">
        <f>"item_"&amp;CONTROL[[#This Row],[VEHIDCODE]]</f>
        <v>item_emu_Alsthom_Jeumont_TCDD_E8000</v>
      </c>
      <c r="N549" s="21" t="str">
        <f>"str_"&amp;CONTROL[[#This Row],[VEHIDCODE]]</f>
        <v>str_emu_Alsthom_Jeumont_TCDD_E8000</v>
      </c>
      <c r="O549" s="7" t="b">
        <f>INDEX(PROPERTIES[IS_CONCEPT],MATCH(CONTROL[[#This Row],[VEHIDCODE]],PROPERTIES[VEHIDCODE],0))="IS_CONCEPT"</f>
        <v>0</v>
      </c>
      <c r="P549" s="7" t="b">
        <f>INDEX(PROPERTIES[EXCLUDE],MATCH(CONTROL[[#This Row],[VEHIDCODE]],PROPERTIES[VEHIDCODE],0))</f>
        <v>0</v>
      </c>
      <c r="Q5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50" spans="1:17" x14ac:dyDescent="0.35">
      <c r="A550" s="2" t="s">
        <v>3174</v>
      </c>
      <c r="B550" s="21" t="str">
        <f>MID(CONTROL[[#This Row],[VEHIDCODE]],FIND("_",CONTROL[[#This Row],[VEHIDCODE]])+1,LEN(CONTROL[[#This Row],[VEHIDCODE]]))</f>
        <v>CSR_Qingdao_CHR380A</v>
      </c>
      <c r="C5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0">
        <v>8071</v>
      </c>
      <c r="F550" s="30" t="s">
        <v>2367</v>
      </c>
      <c r="G550" t="s">
        <v>1567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ISNUMBER(MATCH(CONTROL[[#This Row],[VEHIDCODE]],TRACK_TYPES[VEHIDCODE],0))</f>
        <v>1</v>
      </c>
      <c r="K550" t="b">
        <f>ISNUMBER(MATCH(CONTROL[[#This Row],[VEHIDCODE]],PROPERTIES[VEHIDCODE],0))</f>
        <v>1</v>
      </c>
      <c r="L550" t="b">
        <f>ISNUMBER(MATCH(CONTROL[[#This Row],[VEHIDCODE]],GRAPHICS_PROPERTIES[VEHIDCODE],0))</f>
        <v>1</v>
      </c>
      <c r="M550" s="21" t="str">
        <f>"item_"&amp;CONTROL[[#This Row],[VEHIDCODE]]</f>
        <v>item_emu_CSR_Qingdao_CHR380A</v>
      </c>
      <c r="N550" s="21" t="str">
        <f>"str_"&amp;CONTROL[[#This Row],[VEHIDCODE]]</f>
        <v>str_emu_CSR_Qingdao_CHR380A</v>
      </c>
      <c r="O550" s="7" t="b">
        <f>INDEX(PROPERTIES[IS_CONCEPT],MATCH(CONTROL[[#This Row],[VEHIDCODE]],PROPERTIES[VEHIDCODE],0))="IS_CONCEPT"</f>
        <v>0</v>
      </c>
      <c r="P550" s="7" t="b">
        <f>INDEX(PROPERTIES[EXCLUDE],MATCH(CONTROL[[#This Row],[VEHIDCODE]],PROPERTIES[VEHIDCODE],0))</f>
        <v>0</v>
      </c>
      <c r="Q5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51" spans="1:17" x14ac:dyDescent="0.35">
      <c r="A551" s="2" t="s">
        <v>3175</v>
      </c>
      <c r="B551" s="21" t="str">
        <f>MID(CONTROL[[#This Row],[VEHIDCODE]],FIND("_",CONTROL[[#This Row],[VEHIDCODE]])+1,LEN(CONTROL[[#This Row],[VEHIDCODE]]))</f>
        <v>PRR_MP54</v>
      </c>
      <c r="C5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1">
        <v>8045</v>
      </c>
      <c r="F551" s="30" t="s">
        <v>383</v>
      </c>
      <c r="G551" t="s">
        <v>1568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ISNUMBER(MATCH(CONTROL[[#This Row],[VEHIDCODE]],TRACK_TYPES[VEHIDCODE],0))</f>
        <v>1</v>
      </c>
      <c r="K551" t="b">
        <f>ISNUMBER(MATCH(CONTROL[[#This Row],[VEHIDCODE]],PROPERTIES[VEHIDCODE],0))</f>
        <v>1</v>
      </c>
      <c r="L551" t="b">
        <f>ISNUMBER(MATCH(CONTROL[[#This Row],[VEHIDCODE]],GRAPHICS_PROPERTIES[VEHIDCODE],0))</f>
        <v>1</v>
      </c>
      <c r="M551" s="21" t="str">
        <f>"item_"&amp;CONTROL[[#This Row],[VEHIDCODE]]</f>
        <v>item_emu_PRR_MP54</v>
      </c>
      <c r="N551" s="21" t="str">
        <f>"str_"&amp;CONTROL[[#This Row],[VEHIDCODE]]</f>
        <v>str_emu_PRR_MP54</v>
      </c>
      <c r="O551" s="7" t="b">
        <f>INDEX(PROPERTIES[IS_CONCEPT],MATCH(CONTROL[[#This Row],[VEHIDCODE]],PROPERTIES[VEHIDCODE],0))="IS_CONCEPT"</f>
        <v>0</v>
      </c>
      <c r="P551" s="7" t="b">
        <f>INDEX(PROPERTIES[EXCLUDE],MATCH(CONTROL[[#This Row],[VEHIDCODE]],PROPERTIES[VEHIDCODE],0))</f>
        <v>1</v>
      </c>
      <c r="Q5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52" spans="1:17" x14ac:dyDescent="0.35">
      <c r="A552" s="2" t="s">
        <v>3176</v>
      </c>
      <c r="B552" s="21" t="str">
        <f>MID(CONTROL[[#This Row],[VEHIDCODE]],FIND("_",CONTROL[[#This Row],[VEHIDCODE]])+1,LEN(CONTROL[[#This Row],[VEHIDCODE]]))</f>
        <v>Alstom_AGV</v>
      </c>
      <c r="C5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2">
        <v>8042</v>
      </c>
      <c r="F552" s="30" t="s">
        <v>2368</v>
      </c>
      <c r="G552" t="s">
        <v>1569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ISNUMBER(MATCH(CONTROL[[#This Row],[VEHIDCODE]],TRACK_TYPES[VEHIDCODE],0))</f>
        <v>1</v>
      </c>
      <c r="K552" t="b">
        <f>ISNUMBER(MATCH(CONTROL[[#This Row],[VEHIDCODE]],PROPERTIES[VEHIDCODE],0))</f>
        <v>1</v>
      </c>
      <c r="L552" t="b">
        <f>ISNUMBER(MATCH(CONTROL[[#This Row],[VEHIDCODE]],GRAPHICS_PROPERTIES[VEHIDCODE],0))</f>
        <v>1</v>
      </c>
      <c r="M552" s="21" t="str">
        <f>"item_"&amp;CONTROL[[#This Row],[VEHIDCODE]]</f>
        <v>item_emu_Alstom_AGV</v>
      </c>
      <c r="N552" s="21" t="str">
        <f>"str_"&amp;CONTROL[[#This Row],[VEHIDCODE]]</f>
        <v>str_emu_Alstom_AGV</v>
      </c>
      <c r="O552" s="7" t="b">
        <f>INDEX(PROPERTIES[IS_CONCEPT],MATCH(CONTROL[[#This Row],[VEHIDCODE]],PROPERTIES[VEHIDCODE],0))="IS_CONCEPT"</f>
        <v>0</v>
      </c>
      <c r="P552" s="7" t="b">
        <f>INDEX(PROPERTIES[EXCLUDE],MATCH(CONTROL[[#This Row],[VEHIDCODE]],PROPERTIES[VEHIDCODE],0))</f>
        <v>0</v>
      </c>
      <c r="Q5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3" spans="1:17" x14ac:dyDescent="0.35">
      <c r="A553" s="2" t="s">
        <v>3177</v>
      </c>
      <c r="B553" s="21" t="str">
        <f>MID(CONTROL[[#This Row],[VEHIDCODE]],FIND("_",CONTROL[[#This Row],[VEHIDCODE]])+1,LEN(CONTROL[[#This Row],[VEHIDCODE]]))</f>
        <v>Alstom_Avelia_Horizon</v>
      </c>
      <c r="C5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3">
        <v>8044</v>
      </c>
      <c r="F553" s="30" t="s">
        <v>2369</v>
      </c>
      <c r="G553" t="s">
        <v>1570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ISNUMBER(MATCH(CONTROL[[#This Row],[VEHIDCODE]],TRACK_TYPES[VEHIDCODE],0))</f>
        <v>1</v>
      </c>
      <c r="K553" t="b">
        <f>ISNUMBER(MATCH(CONTROL[[#This Row],[VEHIDCODE]],PROPERTIES[VEHIDCODE],0))</f>
        <v>1</v>
      </c>
      <c r="L553" t="b">
        <f>ISNUMBER(MATCH(CONTROL[[#This Row],[VEHIDCODE]],GRAPHICS_PROPERTIES[VEHIDCODE],0))</f>
        <v>1</v>
      </c>
      <c r="M553" s="21" t="str">
        <f>"item_"&amp;CONTROL[[#This Row],[VEHIDCODE]]</f>
        <v>item_emu_Alstom_Avelia_Horizon</v>
      </c>
      <c r="N553" s="21" t="str">
        <f>"str_"&amp;CONTROL[[#This Row],[VEHIDCODE]]</f>
        <v>str_emu_Alstom_Avelia_Horizon</v>
      </c>
      <c r="O553" s="7" t="b">
        <f>INDEX(PROPERTIES[IS_CONCEPT],MATCH(CONTROL[[#This Row],[VEHIDCODE]],PROPERTIES[VEHIDCODE],0))="IS_CONCEPT"</f>
        <v>1</v>
      </c>
      <c r="P553" s="7" t="b">
        <f>INDEX(PROPERTIES[EXCLUDE],MATCH(CONTROL[[#This Row],[VEHIDCODE]],PROPERTIES[VEHIDCODE],0))</f>
        <v>0</v>
      </c>
      <c r="Q5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4" spans="1:17" x14ac:dyDescent="0.35">
      <c r="A554" s="2" t="s">
        <v>3178</v>
      </c>
      <c r="B554" s="21" t="str">
        <f>MID(CONTROL[[#This Row],[VEHIDCODE]],FIND("_",CONTROL[[#This Row],[VEHIDCODE]])+1,LEN(CONTROL[[#This Row],[VEHIDCODE]]))</f>
        <v>AnsaldoBreda_V250_Albatros</v>
      </c>
      <c r="C5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4">
        <v>8055</v>
      </c>
      <c r="F554" s="30" t="s">
        <v>2370</v>
      </c>
      <c r="G554" t="s">
        <v>1571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ISNUMBER(MATCH(CONTROL[[#This Row],[VEHIDCODE]],TRACK_TYPES[VEHIDCODE],0))</f>
        <v>1</v>
      </c>
      <c r="K554" t="b">
        <f>ISNUMBER(MATCH(CONTROL[[#This Row],[VEHIDCODE]],PROPERTIES[VEHIDCODE],0))</f>
        <v>1</v>
      </c>
      <c r="L554" t="b">
        <f>ISNUMBER(MATCH(CONTROL[[#This Row],[VEHIDCODE]],GRAPHICS_PROPERTIES[VEHIDCODE],0))</f>
        <v>1</v>
      </c>
      <c r="M554" s="21" t="str">
        <f>"item_"&amp;CONTROL[[#This Row],[VEHIDCODE]]</f>
        <v>item_emu_AnsaldoBreda_V250_Albatros</v>
      </c>
      <c r="N554" s="21" t="str">
        <f>"str_"&amp;CONTROL[[#This Row],[VEHIDCODE]]</f>
        <v>str_emu_AnsaldoBreda_V250_Albatros</v>
      </c>
      <c r="O554" s="7" t="b">
        <f>INDEX(PROPERTIES[IS_CONCEPT],MATCH(CONTROL[[#This Row],[VEHIDCODE]],PROPERTIES[VEHIDCODE],0))="IS_CONCEPT"</f>
        <v>0</v>
      </c>
      <c r="P554" s="7" t="b">
        <f>INDEX(PROPERTIES[EXCLUDE],MATCH(CONTROL[[#This Row],[VEHIDCODE]],PROPERTIES[VEHIDCODE],0))</f>
        <v>0</v>
      </c>
      <c r="Q5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55" spans="1:17" x14ac:dyDescent="0.35">
      <c r="A555" s="2" t="s">
        <v>3179</v>
      </c>
      <c r="B555" s="21" t="str">
        <f>MID(CONTROL[[#This Row],[VEHIDCODE]],FIND("_",CONTROL[[#This Row],[VEHIDCODE]])+1,LEN(CONTROL[[#This Row],[VEHIDCODE]]))</f>
        <v>NS_4800_HSA_Fyra</v>
      </c>
      <c r="C5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5">
        <v>8043</v>
      </c>
      <c r="F555" s="30" t="s">
        <v>1574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ISNUMBER(MATCH(CONTROL[[#This Row],[VEHIDCODE]],TRACK_TYPES[VEHIDCODE],0))</f>
        <v>1</v>
      </c>
      <c r="K555" t="b">
        <f>ISNUMBER(MATCH(CONTROL[[#This Row],[VEHIDCODE]],PROPERTIES[VEHIDCODE],0))</f>
        <v>1</v>
      </c>
      <c r="L555" t="b">
        <f>ISNUMBER(MATCH(CONTROL[[#This Row],[VEHIDCODE]],GRAPHICS_PROPERTIES[VEHIDCODE],0))</f>
        <v>1</v>
      </c>
      <c r="M555" s="21" t="str">
        <f>"item_"&amp;CONTROL[[#This Row],[VEHIDCODE]]</f>
        <v>item_emu_NS_4800_HSA_Fyra</v>
      </c>
      <c r="N555" s="21" t="str">
        <f>"str_"&amp;CONTROL[[#This Row],[VEHIDCODE]]</f>
        <v>str_emu_NS_4800_HSA_Fyra</v>
      </c>
      <c r="O555" s="7" t="b">
        <f>INDEX(PROPERTIES[IS_CONCEPT],MATCH(CONTROL[[#This Row],[VEHIDCODE]],PROPERTIES[VEHIDCODE],0))="IS_CONCEPT"</f>
        <v>1</v>
      </c>
      <c r="P555" s="7" t="b">
        <f>INDEX(PROPERTIES[EXCLUDE],MATCH(CONTROL[[#This Row],[VEHIDCODE]],PROPERTIES[VEHIDCODE],0))</f>
        <v>0</v>
      </c>
      <c r="Q5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6" spans="1:17" x14ac:dyDescent="0.35">
      <c r="A556" s="2" t="s">
        <v>3180</v>
      </c>
      <c r="B556" s="21" t="str">
        <f>MID(CONTROL[[#This Row],[VEHIDCODE]],FIND("_",CONTROL[[#This Row],[VEHIDCODE]])+1,LEN(CONTROL[[#This Row],[VEHIDCODE]]))</f>
        <v>SIG_Rae_TEE_II</v>
      </c>
      <c r="C5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6">
        <v>8009</v>
      </c>
      <c r="F556" s="30" t="s">
        <v>2371</v>
      </c>
      <c r="G556" t="s">
        <v>1572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ISNUMBER(MATCH(CONTROL[[#This Row],[VEHIDCODE]],TRACK_TYPES[VEHIDCODE],0))</f>
        <v>1</v>
      </c>
      <c r="K556" t="b">
        <f>ISNUMBER(MATCH(CONTROL[[#This Row],[VEHIDCODE]],PROPERTIES[VEHIDCODE],0))</f>
        <v>1</v>
      </c>
      <c r="L556" t="b">
        <f>ISNUMBER(MATCH(CONTROL[[#This Row],[VEHIDCODE]],GRAPHICS_PROPERTIES[VEHIDCODE],0))</f>
        <v>1</v>
      </c>
      <c r="M556" s="21" t="str">
        <f>"item_"&amp;CONTROL[[#This Row],[VEHIDCODE]]</f>
        <v>item_emu_SIG_Rae_TEE_II</v>
      </c>
      <c r="N556" s="21" t="str">
        <f>"str_"&amp;CONTROL[[#This Row],[VEHIDCODE]]</f>
        <v>str_emu_SIG_Rae_TEE_II</v>
      </c>
      <c r="O556" s="7" t="b">
        <f>INDEX(PROPERTIES[IS_CONCEPT],MATCH(CONTROL[[#This Row],[VEHIDCODE]],PROPERTIES[VEHIDCODE],0))="IS_CONCEPT"</f>
        <v>0</v>
      </c>
      <c r="P556" s="7" t="b">
        <f>INDEX(PROPERTIES[EXCLUDE],MATCH(CONTROL[[#This Row],[VEHIDCODE]],PROPERTIES[VEHIDCODE],0))</f>
        <v>0</v>
      </c>
      <c r="Q5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557" spans="1:17" x14ac:dyDescent="0.35">
      <c r="A557" s="2" t="s">
        <v>3181</v>
      </c>
      <c r="B557" s="21" t="str">
        <f>MID(CONTROL[[#This Row],[VEHIDCODE]],FIND("_",CONTROL[[#This Row],[VEHIDCODE]])+1,LEN(CONTROL[[#This Row],[VEHIDCODE]]))</f>
        <v>Pullman_Erie_Lackawanna_2500_Series</v>
      </c>
      <c r="C5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7">
        <v>8048</v>
      </c>
      <c r="F557" s="30" t="s">
        <v>2554</v>
      </c>
      <c r="G557" t="s">
        <v>1573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ISNUMBER(MATCH(CONTROL[[#This Row],[VEHIDCODE]],TRACK_TYPES[VEHIDCODE],0))</f>
        <v>1</v>
      </c>
      <c r="K557" t="b">
        <f>ISNUMBER(MATCH(CONTROL[[#This Row],[VEHIDCODE]],PROPERTIES[VEHIDCODE],0))</f>
        <v>1</v>
      </c>
      <c r="L557" t="b">
        <f>ISNUMBER(MATCH(CONTROL[[#This Row],[VEHIDCODE]],GRAPHICS_PROPERTIES[VEHIDCODE],0))</f>
        <v>1</v>
      </c>
      <c r="M557" s="21" t="str">
        <f>"item_"&amp;CONTROL[[#This Row],[VEHIDCODE]]</f>
        <v>item_emu_Pullman_Erie_Lackawanna_2500_Series</v>
      </c>
      <c r="N557" s="21" t="str">
        <f>"str_"&amp;CONTROL[[#This Row],[VEHIDCODE]]</f>
        <v>str_emu_Pullman_Erie_Lackawanna_2500_Series</v>
      </c>
      <c r="O557" s="7" t="b">
        <f>INDEX(PROPERTIES[IS_CONCEPT],MATCH(CONTROL[[#This Row],[VEHIDCODE]],PROPERTIES[VEHIDCODE],0))="IS_CONCEPT"</f>
        <v>0</v>
      </c>
      <c r="P557" s="7" t="b">
        <f>INDEX(PROPERTIES[EXCLUDE],MATCH(CONTROL[[#This Row],[VEHIDCODE]],PROPERTIES[VEHIDCODE],0))</f>
        <v>0</v>
      </c>
      <c r="Q5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58" spans="1:17" x14ac:dyDescent="0.35">
      <c r="A558" s="2" t="s">
        <v>3182</v>
      </c>
      <c r="B558" s="21" t="str">
        <f>MID(CONTROL[[#This Row],[VEHIDCODE]],FIND("_",CONTROL[[#This Row],[VEHIDCODE]])+1,LEN(CONTROL[[#This Row],[VEHIDCODE]]))</f>
        <v>Alsthom_TGV_23000</v>
      </c>
      <c r="C5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8">
        <v>8019</v>
      </c>
      <c r="F558" s="30" t="s">
        <v>2546</v>
      </c>
      <c r="G558" t="s">
        <v>1575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ISNUMBER(MATCH(CONTROL[[#This Row],[VEHIDCODE]],TRACK_TYPES[VEHIDCODE],0))</f>
        <v>1</v>
      </c>
      <c r="K558" t="b">
        <f>ISNUMBER(MATCH(CONTROL[[#This Row],[VEHIDCODE]],PROPERTIES[VEHIDCODE],0))</f>
        <v>1</v>
      </c>
      <c r="L558" t="b">
        <f>ISNUMBER(MATCH(CONTROL[[#This Row],[VEHIDCODE]],GRAPHICS_PROPERTIES[VEHIDCODE],0))</f>
        <v>1</v>
      </c>
      <c r="M558" s="21" t="str">
        <f>"item_"&amp;CONTROL[[#This Row],[VEHIDCODE]]</f>
        <v>item_emu_Alsthom_TGV_23000</v>
      </c>
      <c r="N558" s="21" t="str">
        <f>"str_"&amp;CONTROL[[#This Row],[VEHIDCODE]]</f>
        <v>str_emu_Alsthom_TGV_23000</v>
      </c>
      <c r="O558" s="7" t="b">
        <f>INDEX(PROPERTIES[IS_CONCEPT],MATCH(CONTROL[[#This Row],[VEHIDCODE]],PROPERTIES[VEHIDCODE],0))="IS_CONCEPT"</f>
        <v>0</v>
      </c>
      <c r="P558" s="7" t="b">
        <f>INDEX(PROPERTIES[EXCLUDE],MATCH(CONTROL[[#This Row],[VEHIDCODE]],PROPERTIES[VEHIDCODE],0))</f>
        <v>0</v>
      </c>
      <c r="Q5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59" spans="1:17" x14ac:dyDescent="0.35">
      <c r="A559" s="2" t="s">
        <v>3183</v>
      </c>
      <c r="B559" s="21" t="str">
        <f>MID(CONTROL[[#This Row],[VEHIDCODE]],FIND("_",CONTROL[[#This Row],[VEHIDCODE]])+1,LEN(CONTROL[[#This Row],[VEHIDCODE]]))</f>
        <v>Alsthom_TGV_Duplex</v>
      </c>
      <c r="C5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59">
        <v>8026</v>
      </c>
      <c r="F559" s="30" t="s">
        <v>2547</v>
      </c>
      <c r="G559" t="s">
        <v>1576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ISNUMBER(MATCH(CONTROL[[#This Row],[VEHIDCODE]],TRACK_TYPES[VEHIDCODE],0))</f>
        <v>1</v>
      </c>
      <c r="K559" t="b">
        <f>ISNUMBER(MATCH(CONTROL[[#This Row],[VEHIDCODE]],PROPERTIES[VEHIDCODE],0))</f>
        <v>1</v>
      </c>
      <c r="L559" t="b">
        <f>ISNUMBER(MATCH(CONTROL[[#This Row],[VEHIDCODE]],GRAPHICS_PROPERTIES[VEHIDCODE],0))</f>
        <v>1</v>
      </c>
      <c r="M559" s="21" t="str">
        <f>"item_"&amp;CONTROL[[#This Row],[VEHIDCODE]]</f>
        <v>item_emu_Alsthom_TGV_Duplex</v>
      </c>
      <c r="N559" s="21" t="str">
        <f>"str_"&amp;CONTROL[[#This Row],[VEHIDCODE]]</f>
        <v>str_emu_Alsthom_TGV_Duplex</v>
      </c>
      <c r="O559" s="7" t="b">
        <f>INDEX(PROPERTIES[IS_CONCEPT],MATCH(CONTROL[[#This Row],[VEHIDCODE]],PROPERTIES[VEHIDCODE],0))="IS_CONCEPT"</f>
        <v>0</v>
      </c>
      <c r="P559" s="7" t="b">
        <f>INDEX(PROPERTIES[EXCLUDE],MATCH(CONTROL[[#This Row],[VEHIDCODE]],PROPERTIES[VEHIDCODE],0))</f>
        <v>0</v>
      </c>
      <c r="Q5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0" spans="1:17" x14ac:dyDescent="0.35">
      <c r="A560" s="2" t="s">
        <v>3184</v>
      </c>
      <c r="B560" s="21" t="str">
        <f>MID(CONTROL[[#This Row],[VEHIDCODE]],FIND("_",CONTROL[[#This Row],[VEHIDCODE]])+1,LEN(CONTROL[[#This Row],[VEHIDCODE]]))</f>
        <v>GEC_Alsthom_Thalys_PBKA</v>
      </c>
      <c r="C5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0">
        <v>8027</v>
      </c>
      <c r="F560" s="30" t="s">
        <v>2548</v>
      </c>
      <c r="G560" t="s">
        <v>1577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ISNUMBER(MATCH(CONTROL[[#This Row],[VEHIDCODE]],TRACK_TYPES[VEHIDCODE],0))</f>
        <v>1</v>
      </c>
      <c r="K560" t="b">
        <f>ISNUMBER(MATCH(CONTROL[[#This Row],[VEHIDCODE]],PROPERTIES[VEHIDCODE],0))</f>
        <v>1</v>
      </c>
      <c r="L560" t="b">
        <f>ISNUMBER(MATCH(CONTROL[[#This Row],[VEHIDCODE]],GRAPHICS_PROPERTIES[VEHIDCODE],0))</f>
        <v>1</v>
      </c>
      <c r="M560" s="21" t="str">
        <f>"item_"&amp;CONTROL[[#This Row],[VEHIDCODE]]</f>
        <v>item_emu_GEC_Alsthom_Thalys_PBKA</v>
      </c>
      <c r="N560" s="21" t="str">
        <f>"str_"&amp;CONTROL[[#This Row],[VEHIDCODE]]</f>
        <v>str_emu_GEC_Alsthom_Thalys_PBKA</v>
      </c>
      <c r="O560" s="7" t="b">
        <f>INDEX(PROPERTIES[IS_CONCEPT],MATCH(CONTROL[[#This Row],[VEHIDCODE]],PROPERTIES[VEHIDCODE],0))="IS_CONCEPT"</f>
        <v>0</v>
      </c>
      <c r="P560" s="7" t="b">
        <f>INDEX(PROPERTIES[EXCLUDE],MATCH(CONTROL[[#This Row],[VEHIDCODE]],PROPERTIES[VEHIDCODE],0))</f>
        <v>0</v>
      </c>
      <c r="Q5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561" spans="1:17" x14ac:dyDescent="0.35">
      <c r="A561" s="2" t="s">
        <v>3185</v>
      </c>
      <c r="B561" s="21" t="str">
        <f>MID(CONTROL[[#This Row],[VEHIDCODE]],FIND("_",CONTROL[[#This Row],[VEHIDCODE]])+1,LEN(CONTROL[[#This Row],[VEHIDCODE]]))</f>
        <v>Alsthom_Pendolino_680</v>
      </c>
      <c r="C5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1">
        <v>8033</v>
      </c>
      <c r="F561" s="30" t="s">
        <v>2549</v>
      </c>
      <c r="G561" t="s">
        <v>1578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ISNUMBER(MATCH(CONTROL[[#This Row],[VEHIDCODE]],TRACK_TYPES[VEHIDCODE],0))</f>
        <v>1</v>
      </c>
      <c r="K561" t="b">
        <f>ISNUMBER(MATCH(CONTROL[[#This Row],[VEHIDCODE]],PROPERTIES[VEHIDCODE],0))</f>
        <v>1</v>
      </c>
      <c r="L561" t="b">
        <f>ISNUMBER(MATCH(CONTROL[[#This Row],[VEHIDCODE]],GRAPHICS_PROPERTIES[VEHIDCODE],0))</f>
        <v>1</v>
      </c>
      <c r="M561" s="21" t="str">
        <f>"item_"&amp;CONTROL[[#This Row],[VEHIDCODE]]</f>
        <v>item_emu_Alsthom_Pendolino_680</v>
      </c>
      <c r="N561" s="21" t="str">
        <f>"str_"&amp;CONTROL[[#This Row],[VEHIDCODE]]</f>
        <v>str_emu_Alsthom_Pendolino_680</v>
      </c>
      <c r="O561" s="7" t="b">
        <f>INDEX(PROPERTIES[IS_CONCEPT],MATCH(CONTROL[[#This Row],[VEHIDCODE]],PROPERTIES[VEHIDCODE],0))="IS_CONCEPT"</f>
        <v>0</v>
      </c>
      <c r="P561" s="7" t="b">
        <f>INDEX(PROPERTIES[EXCLUDE],MATCH(CONTROL[[#This Row],[VEHIDCODE]],PROPERTIES[VEHIDCODE],0))</f>
        <v>0</v>
      </c>
      <c r="Q5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2" spans="1:17" x14ac:dyDescent="0.35">
      <c r="A562" s="2" t="s">
        <v>3186</v>
      </c>
      <c r="B562" s="21" t="str">
        <f>MID(CONTROL[[#This Row],[VEHIDCODE]],FIND("_",CONTROL[[#This Row],[VEHIDCODE]])+1,LEN(CONTROL[[#This Row],[VEHIDCODE]]))</f>
        <v>CAF_Alstom_Class_120</v>
      </c>
      <c r="C5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2">
        <v>8037</v>
      </c>
      <c r="F562" s="30" t="s">
        <v>2372</v>
      </c>
      <c r="G562" t="s">
        <v>1579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ISNUMBER(MATCH(CONTROL[[#This Row],[VEHIDCODE]],TRACK_TYPES[VEHIDCODE],0))</f>
        <v>1</v>
      </c>
      <c r="K562" t="b">
        <f>ISNUMBER(MATCH(CONTROL[[#This Row],[VEHIDCODE]],PROPERTIES[VEHIDCODE],0))</f>
        <v>1</v>
      </c>
      <c r="L562" t="b">
        <f>ISNUMBER(MATCH(CONTROL[[#This Row],[VEHIDCODE]],GRAPHICS_PROPERTIES[VEHIDCODE],0))</f>
        <v>1</v>
      </c>
      <c r="M562" s="21" t="str">
        <f>"item_"&amp;CONTROL[[#This Row],[VEHIDCODE]]</f>
        <v>item_emu_CAF_Alstom_Class_120</v>
      </c>
      <c r="N562" s="21" t="str">
        <f>"str_"&amp;CONTROL[[#This Row],[VEHIDCODE]]</f>
        <v>str_emu_CAF_Alstom_Class_120</v>
      </c>
      <c r="O562" s="7" t="b">
        <f>INDEX(PROPERTIES[IS_CONCEPT],MATCH(CONTROL[[#This Row],[VEHIDCODE]],PROPERTIES[VEHIDCODE],0))="IS_CONCEPT"</f>
        <v>0</v>
      </c>
      <c r="P562" s="7" t="b">
        <f>INDEX(PROPERTIES[EXCLUDE],MATCH(CONTROL[[#This Row],[VEHIDCODE]],PROPERTIES[VEHIDCODE],0))</f>
        <v>0</v>
      </c>
      <c r="Q5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3" spans="1:17" x14ac:dyDescent="0.35">
      <c r="A563" s="2" t="s">
        <v>3187</v>
      </c>
      <c r="B563" s="21" t="str">
        <f>MID(CONTROL[[#This Row],[VEHIDCODE]],FIND("_",CONTROL[[#This Row],[VEHIDCODE]])+1,LEN(CONTROL[[#This Row],[VEHIDCODE]]))</f>
        <v>Bombarier_Alstom_Acela_Express</v>
      </c>
      <c r="C5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5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563">
        <v>8067</v>
      </c>
      <c r="F563" s="30" t="s">
        <v>2380</v>
      </c>
      <c r="G563" t="s">
        <v>1580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ISNUMBER(MATCH(CONTROL[[#This Row],[VEHIDCODE]],TRACK_TYPES[VEHIDCODE],0))</f>
        <v>1</v>
      </c>
      <c r="K563" t="b">
        <f>ISNUMBER(MATCH(CONTROL[[#This Row],[VEHIDCODE]],PROPERTIES[VEHIDCODE],0))</f>
        <v>1</v>
      </c>
      <c r="L563" t="b">
        <f>ISNUMBER(MATCH(CONTROL[[#This Row],[VEHIDCODE]],GRAPHICS_PROPERTIES[VEHIDCODE],0))</f>
        <v>1</v>
      </c>
      <c r="M563" s="21" t="str">
        <f>"item_"&amp;CONTROL[[#This Row],[VEHIDCODE]]</f>
        <v>item_emu_Bombarier_Alstom_Acela_Express</v>
      </c>
      <c r="N563" s="21" t="str">
        <f>"str_"&amp;CONTROL[[#This Row],[VEHIDCODE]]</f>
        <v>str_emu_Bombarier_Alstom_Acela_Express</v>
      </c>
      <c r="O563" s="7" t="b">
        <f>INDEX(PROPERTIES[IS_CONCEPT],MATCH(CONTROL[[#This Row],[VEHIDCODE]],PROPERTIES[VEHIDCODE],0))="IS_CONCEPT"</f>
        <v>0</v>
      </c>
      <c r="P563" s="7" t="b">
        <f>INDEX(PROPERTIES[EXCLUDE],MATCH(CONTROL[[#This Row],[VEHIDCODE]],PROPERTIES[VEHIDCODE],0))</f>
        <v>0</v>
      </c>
      <c r="Q5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64" spans="1:17" x14ac:dyDescent="0.35">
      <c r="A564" s="2" t="s">
        <v>3188</v>
      </c>
      <c r="B564" s="21" t="str">
        <f>MID(CONTROL[[#This Row],[VEHIDCODE]],FIND("_",CONTROL[[#This Row],[VEHIDCODE]])+1,LEN(CONTROL[[#This Row],[VEHIDCODE]]))</f>
        <v>Brooklyn_Union_Gate_1300</v>
      </c>
      <c r="C5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4">
        <v>14000</v>
      </c>
      <c r="F564" s="30" t="s">
        <v>1662</v>
      </c>
      <c r="G564" t="s">
        <v>1642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ISNUMBER(MATCH(CONTROL[[#This Row],[VEHIDCODE]],TRACK_TYPES[VEHIDCODE],0))</f>
        <v>1</v>
      </c>
      <c r="K564" t="b">
        <f>ISNUMBER(MATCH(CONTROL[[#This Row],[VEHIDCODE]],PROPERTIES[VEHIDCODE],0))</f>
        <v>1</v>
      </c>
      <c r="L564" t="b">
        <f>ISNUMBER(MATCH(CONTROL[[#This Row],[VEHIDCODE]],GRAPHICS_PROPERTIES[VEHIDCODE],0))</f>
        <v>1</v>
      </c>
      <c r="M564" s="21" t="str">
        <f>"item_"&amp;CONTROL[[#This Row],[VEHIDCODE]]</f>
        <v>item_singlemtro_Brooklyn_Union_Gate_1300</v>
      </c>
      <c r="N564" s="21" t="str">
        <f>"str_"&amp;CONTROL[[#This Row],[VEHIDCODE]]</f>
        <v>str_singlemtro_Brooklyn_Union_Gate_1300</v>
      </c>
      <c r="O564" s="7" t="b">
        <f>INDEX(PROPERTIES[IS_CONCEPT],MATCH(CONTROL[[#This Row],[VEHIDCODE]],PROPERTIES[VEHIDCODE],0))="IS_CONCEPT"</f>
        <v>0</v>
      </c>
      <c r="P564" s="7" t="b">
        <f>INDEX(PROPERTIES[EXCLUDE],MATCH(CONTROL[[#This Row],[VEHIDCODE]],PROPERTIES[VEHIDCODE],0))</f>
        <v>0</v>
      </c>
      <c r="Q5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5" spans="1:17" x14ac:dyDescent="0.35">
      <c r="A565" s="2" t="s">
        <v>3189</v>
      </c>
      <c r="B565" s="21" t="str">
        <f>MID(CONTROL[[#This Row],[VEHIDCODE]],FIND("_",CONTROL[[#This Row],[VEHIDCODE]])+1,LEN(CONTROL[[#This Row],[VEHIDCODE]]))</f>
        <v>Siemens___Halske_Budapest_1894_Stock</v>
      </c>
      <c r="C5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5">
        <v>14001</v>
      </c>
      <c r="F565" s="30" t="s">
        <v>2381</v>
      </c>
      <c r="G565" t="s">
        <v>1643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ISNUMBER(MATCH(CONTROL[[#This Row],[VEHIDCODE]],TRACK_TYPES[VEHIDCODE],0))</f>
        <v>1</v>
      </c>
      <c r="K565" t="b">
        <f>ISNUMBER(MATCH(CONTROL[[#This Row],[VEHIDCODE]],PROPERTIES[VEHIDCODE],0))</f>
        <v>1</v>
      </c>
      <c r="L565" t="b">
        <f>ISNUMBER(MATCH(CONTROL[[#This Row],[VEHIDCODE]],GRAPHICS_PROPERTIES[VEHIDCODE],0))</f>
        <v>1</v>
      </c>
      <c r="M565" s="21" t="str">
        <f>"item_"&amp;CONTROL[[#This Row],[VEHIDCODE]]</f>
        <v>item_singlemtro_Siemens___Halske_Budapest_1894_Stock</v>
      </c>
      <c r="N565" s="21" t="str">
        <f>"str_"&amp;CONTROL[[#This Row],[VEHIDCODE]]</f>
        <v>str_singlemtro_Siemens___Halske_Budapest_1894_Stock</v>
      </c>
      <c r="O565" s="7" t="b">
        <f>INDEX(PROPERTIES[IS_CONCEPT],MATCH(CONTROL[[#This Row],[VEHIDCODE]],PROPERTIES[VEHIDCODE],0))="IS_CONCEPT"</f>
        <v>0</v>
      </c>
      <c r="P565" s="7" t="b">
        <f>INDEX(PROPERTIES[EXCLUDE],MATCH(CONTROL[[#This Row],[VEHIDCODE]],PROPERTIES[VEHIDCODE],0))</f>
        <v>0</v>
      </c>
      <c r="Q5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6" spans="1:17" x14ac:dyDescent="0.35">
      <c r="A566" s="2" t="s">
        <v>3190</v>
      </c>
      <c r="B566" s="21" t="str">
        <f>MID(CONTROL[[#This Row],[VEHIDCODE]],FIND("_",CONTROL[[#This Row],[VEHIDCODE]])+1,LEN(CONTROL[[#This Row],[VEHIDCODE]]))</f>
        <v>Chicago_L_Northwest_Elevated_1907_Stock</v>
      </c>
      <c r="C5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6">
        <v>14002</v>
      </c>
      <c r="F566" s="30" t="s">
        <v>384</v>
      </c>
      <c r="G566" t="s">
        <v>1644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ISNUMBER(MATCH(CONTROL[[#This Row],[VEHIDCODE]],TRACK_TYPES[VEHIDCODE],0))</f>
        <v>1</v>
      </c>
      <c r="K566" t="b">
        <f>ISNUMBER(MATCH(CONTROL[[#This Row],[VEHIDCODE]],PROPERTIES[VEHIDCODE],0))</f>
        <v>1</v>
      </c>
      <c r="L566" t="b">
        <f>ISNUMBER(MATCH(CONTROL[[#This Row],[VEHIDCODE]],GRAPHICS_PROPERTIES[VEHIDCODE],0))</f>
        <v>1</v>
      </c>
      <c r="M566" s="21" t="str">
        <f>"item_"&amp;CONTROL[[#This Row],[VEHIDCODE]]</f>
        <v>item_singlemtro_Chicago_L_Northwest_Elevated_1907_Stock</v>
      </c>
      <c r="N566" s="21" t="str">
        <f>"str_"&amp;CONTROL[[#This Row],[VEHIDCODE]]</f>
        <v>str_singlemtro_Chicago_L_Northwest_Elevated_1907_Stock</v>
      </c>
      <c r="O566" s="7" t="b">
        <f>INDEX(PROPERTIES[IS_CONCEPT],MATCH(CONTROL[[#This Row],[VEHIDCODE]],PROPERTIES[VEHIDCODE],0))="IS_CONCEPT"</f>
        <v>0</v>
      </c>
      <c r="P566" s="7" t="b">
        <f>INDEX(PROPERTIES[EXCLUDE],MATCH(CONTROL[[#This Row],[VEHIDCODE]],PROPERTIES[VEHIDCODE],0))</f>
        <v>0</v>
      </c>
      <c r="Q5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567" spans="1:17" x14ac:dyDescent="0.35">
      <c r="A567" s="2" t="s">
        <v>3191</v>
      </c>
      <c r="B567" s="21" t="str">
        <f>MID(CONTROL[[#This Row],[VEHIDCODE]],FIND("_",CONTROL[[#This Row],[VEHIDCODE]])+1,LEN(CONTROL[[#This Row],[VEHIDCODE]]))</f>
        <v>Berlin_U_Bahn_C_II</v>
      </c>
      <c r="C5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5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567">
        <v>14003</v>
      </c>
      <c r="F567" s="30" t="s">
        <v>385</v>
      </c>
      <c r="G567" t="s">
        <v>1645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ISNUMBER(MATCH(CONTROL[[#This Row],[VEHIDCODE]],TRACK_TYPES[VEHIDCODE],0))</f>
        <v>1</v>
      </c>
      <c r="K567" t="b">
        <f>ISNUMBER(MATCH(CONTROL[[#This Row],[VEHIDCODE]],PROPERTIES[VEHIDCODE],0))</f>
        <v>1</v>
      </c>
      <c r="L567" t="b">
        <f>ISNUMBER(MATCH(CONTROL[[#This Row],[VEHIDCODE]],GRAPHICS_PROPERTIES[VEHIDCODE],0))</f>
        <v>1</v>
      </c>
      <c r="M567" s="21" t="str">
        <f>"item_"&amp;CONTROL[[#This Row],[VEHIDCODE]]</f>
        <v>item_singlemtro_Berlin_U_Bahn_C_II</v>
      </c>
      <c r="N567" s="21" t="str">
        <f>"str_"&amp;CONTROL[[#This Row],[VEHIDCODE]]</f>
        <v>str_singlemtro_Berlin_U_Bahn_C_II</v>
      </c>
      <c r="O567" s="7" t="b">
        <f>INDEX(PROPERTIES[IS_CONCEPT],MATCH(CONTROL[[#This Row],[VEHIDCODE]],PROPERTIES[VEHIDCODE],0))="IS_CONCEPT"</f>
        <v>0</v>
      </c>
      <c r="P567" s="7" t="b">
        <f>INDEX(PROPERTIES[EXCLUDE],MATCH(CONTROL[[#This Row],[VEHIDCODE]],PROPERTIES[VEHIDCODE],0))</f>
        <v>0</v>
      </c>
      <c r="Q5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68" spans="1:17" x14ac:dyDescent="0.35">
      <c r="A568" s="2" t="s">
        <v>3192</v>
      </c>
      <c r="B568" s="21" t="str">
        <f>MID(CONTROL[[#This Row],[VEHIDCODE]],FIND("_",CONTROL[[#This Row],[VEHIDCODE]])+1,LEN(CONTROL[[#This Row],[VEHIDCODE]]))</f>
        <v>ACME_Corp__Turbobus</v>
      </c>
      <c r="C5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src\Railbus\Railbus_Maglev</v>
      </c>
      <c r="D5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ID_RANGE_RBM</v>
      </c>
      <c r="E56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16000</v>
      </c>
      <c r="F568" s="30" t="s">
        <v>2569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ISNUMBER(MATCH(CONTROL[[#This Row],[VEHIDCODE]],TRACK_TYPES[VEHIDCODE],0))</f>
        <v>1</v>
      </c>
      <c r="K568" t="b">
        <f>ISNUMBER(MATCH(CONTROL[[#This Row],[VEHIDCODE]],PROPERTIES[VEHIDCODE],0))</f>
        <v>1</v>
      </c>
      <c r="L568" t="b">
        <f>ISNUMBER(MATCH(CONTROL[[#This Row],[VEHIDCODE]],GRAPHICS_PROPERTIES[VEHIDCODE],0))</f>
        <v>1</v>
      </c>
      <c r="M568" s="21" t="str">
        <f>"item_"&amp;CONTROL[[#This Row],[VEHIDCODE]]</f>
        <v>item_rbm_ACME_Corp__Turbobus</v>
      </c>
      <c r="N568" s="21" t="str">
        <f>"str_"&amp;CONTROL[[#This Row],[VEHIDCODE]]</f>
        <v>str_rbm_ACME_Corp__Turbobus</v>
      </c>
      <c r="O568" s="7" t="b">
        <f>INDEX(PROPERTIES[IS_CONCEPT],MATCH(CONTROL[[#This Row],[VEHIDCODE]],PROPERTIES[VEHIDCODE],0))="IS_CONCEPT"</f>
        <v>1</v>
      </c>
      <c r="P568" s="7" t="b">
        <f>INDEX(PROPERTIES[EXCLUDE],MATCH(CONTROL[[#This Row],[VEHIDCODE]],PROPERTIES[VEHIDCODE],0))</f>
        <v>0</v>
      </c>
      <c r="Q5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TPL_16B</v>
      </c>
    </row>
    <row r="569" spans="1:17" x14ac:dyDescent="0.35">
      <c r="A569" s="2" t="s">
        <v>3193</v>
      </c>
      <c r="B569" s="21" t="str">
        <f>MID(CONTROL[[#This Row],[VEHIDCODE]],FIND("_",CONTROL[[#This Row],[VEHIDCODE]])+1,LEN(CONTROL[[#This Row],[VEHIDCODE]]))</f>
        <v>Siemens_Eurosprinter_ES64U4M</v>
      </c>
      <c r="C5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src\Maglev</v>
      </c>
      <c r="D5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ID_RANGE_MAGLEV</v>
      </c>
      <c r="E569">
        <v>15001</v>
      </c>
      <c r="F569" s="30" t="s">
        <v>3477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ISNUMBER(MATCH(CONTROL[[#This Row],[VEHIDCODE]],TRACK_TYPES[VEHIDCODE],0))</f>
        <v>1</v>
      </c>
      <c r="K569" t="b">
        <f>ISNUMBER(MATCH(CONTROL[[#This Row],[VEHIDCODE]],PROPERTIES[VEHIDCODE],0))</f>
        <v>1</v>
      </c>
      <c r="L569" t="b">
        <f>ISNUMBER(MATCH(CONTROL[[#This Row],[VEHIDCODE]],GRAPHICS_PROPERTIES[VEHIDCODE],0))</f>
        <v>1</v>
      </c>
      <c r="M569" s="21" t="str">
        <f>"item_"&amp;CONTROL[[#This Row],[VEHIDCODE]]</f>
        <v>item_mglv_Siemens_Eurosprinter_ES64U4M</v>
      </c>
      <c r="N569" s="21" t="str">
        <f>"str_"&amp;CONTROL[[#This Row],[VEHIDCODE]]</f>
        <v>str_mglv_Siemens_Eurosprinter_ES64U4M</v>
      </c>
      <c r="O569" s="7" t="b">
        <f>INDEX(PROPERTIES[IS_CONCEPT],MATCH(CONTROL[[#This Row],[VEHIDCODE]],PROPERTIES[VEHIDCODE],0))="IS_CONCEPT"</f>
        <v>1</v>
      </c>
      <c r="P569" s="7" t="b">
        <f>INDEX(PROPERTIES[EXCLUDE],MATCH(CONTROL[[#This Row],[VEHIDCODE]],PROPERTIES[VEHIDCODE],0))</f>
        <v>0</v>
      </c>
      <c r="Q5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570" spans="1:17" x14ac:dyDescent="0.35">
      <c r="A570" s="2" t="s">
        <v>3194</v>
      </c>
      <c r="B570" s="21" t="str">
        <f>MID(CONTROL[[#This Row],[VEHIDCODE]],FIND("_",CONTROL[[#This Row],[VEHIDCODE]])+1,LEN(CONTROL[[#This Row],[VEHIDCODE]]))</f>
        <v>Siemens_Thyssenkrupp_Transrapid</v>
      </c>
      <c r="C5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src\MMU</v>
      </c>
      <c r="D5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ID_RANGE_MMU</v>
      </c>
      <c r="E57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10000</v>
      </c>
      <c r="F570" s="30" t="s">
        <v>2382</v>
      </c>
      <c r="G570" t="s">
        <v>1581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ISNUMBER(MATCH(CONTROL[[#This Row],[VEHIDCODE]],TRACK_TYPES[VEHIDCODE],0))</f>
        <v>1</v>
      </c>
      <c r="K570" t="b">
        <f>ISNUMBER(MATCH(CONTROL[[#This Row],[VEHIDCODE]],PROPERTIES[VEHIDCODE],0))</f>
        <v>1</v>
      </c>
      <c r="L570" t="b">
        <f>ISNUMBER(MATCH(CONTROL[[#This Row],[VEHIDCODE]],GRAPHICS_PROPERTIES[VEHIDCODE],0))</f>
        <v>1</v>
      </c>
      <c r="M570" s="21" t="str">
        <f>"item_"&amp;CONTROL[[#This Row],[VEHIDCODE]]</f>
        <v>item_mmu_Siemens_Thyssenkrupp_Transrapid</v>
      </c>
      <c r="N570" s="21" t="str">
        <f>"str_"&amp;CONTROL[[#This Row],[VEHIDCODE]]</f>
        <v>str_mmu_Siemens_Thyssenkrupp_Transrapid</v>
      </c>
      <c r="O570" s="7" t="b">
        <f>INDEX(PROPERTIES[IS_CONCEPT],MATCH(CONTROL[[#This Row],[VEHIDCODE]],PROPERTIES[VEHIDCODE],0))="IS_CONCEPT"</f>
        <v>0</v>
      </c>
      <c r="P570" s="7" t="b">
        <f>INDEX(PROPERTIES[EXCLUDE],MATCH(CONTROL[[#This Row],[VEHIDCODE]],PROPERTIES[VEHIDCODE],0))</f>
        <v>0</v>
      </c>
      <c r="Q5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71" spans="1:17" x14ac:dyDescent="0.35">
      <c r="A571" s="2" t="s">
        <v>3195</v>
      </c>
      <c r="B571" s="21" t="str">
        <f>MID(CONTROL[[#This Row],[VEHIDCODE]],FIND("_",CONTROL[[#This Row],[VEHIDCODE]])+1,LEN(CONTROL[[#This Row],[VEHIDCODE]]))</f>
        <v>Mistubishi_Nippon_Sharyo_MLX01_901</v>
      </c>
      <c r="C5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src\MMU</v>
      </c>
      <c r="D5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ID_RANGE_MMU</v>
      </c>
      <c r="E57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10001</v>
      </c>
      <c r="F571" s="30" t="s">
        <v>2383</v>
      </c>
      <c r="G571" t="s">
        <v>1582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ISNUMBER(MATCH(CONTROL[[#This Row],[VEHIDCODE]],TRACK_TYPES[VEHIDCODE],0))</f>
        <v>1</v>
      </c>
      <c r="K571" t="b">
        <f>ISNUMBER(MATCH(CONTROL[[#This Row],[VEHIDCODE]],PROPERTIES[VEHIDCODE],0))</f>
        <v>1</v>
      </c>
      <c r="L571" t="b">
        <f>ISNUMBER(MATCH(CONTROL[[#This Row],[VEHIDCODE]],GRAPHICS_PROPERTIES[VEHIDCODE],0))</f>
        <v>1</v>
      </c>
      <c r="M571" s="21" t="str">
        <f>"item_"&amp;CONTROL[[#This Row],[VEHIDCODE]]</f>
        <v>item_mmu_Mistubishi_Nippon_Sharyo_MLX01_901</v>
      </c>
      <c r="N571" s="21" t="str">
        <f>"str_"&amp;CONTROL[[#This Row],[VEHIDCODE]]</f>
        <v>str_mmu_Mistubishi_Nippon_Sharyo_MLX01_901</v>
      </c>
      <c r="O571" s="7" t="b">
        <f>INDEX(PROPERTIES[IS_CONCEPT],MATCH(CONTROL[[#This Row],[VEHIDCODE]],PROPERTIES[VEHIDCODE],0))="IS_CONCEPT"</f>
        <v>1</v>
      </c>
      <c r="P571" s="7" t="b">
        <f>INDEX(PROPERTIES[EXCLUDE],MATCH(CONTROL[[#This Row],[VEHIDCODE]],PROPERTIES[VEHIDCODE],0))</f>
        <v>0</v>
      </c>
      <c r="Q5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572" spans="1:17" x14ac:dyDescent="0.35">
      <c r="A572" s="2" t="s">
        <v>227</v>
      </c>
      <c r="B572" s="21" t="str">
        <f>MID(CONTROL[[#This Row],[VEHIDCODE]],FIND("_",CONTROL[[#This Row],[VEHIDCODE]])+1,LEN(CONTROL[[#This Row],[VEHIDCODE]]))</f>
        <v>Wagon_Gen7M_Boxcar_Type1</v>
      </c>
      <c r="C5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10500</v>
      </c>
      <c r="F572" s="30" t="s">
        <v>1665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ISNUMBER(MATCH(CONTROL[[#This Row],[VEHIDCODE]],TRACK_TYPES[VEHIDCODE],0))</f>
        <v>1</v>
      </c>
      <c r="K572" t="b">
        <f>ISNUMBER(MATCH(CONTROL[[#This Row],[VEHIDCODE]],PROPERTIES[VEHIDCODE],0))</f>
        <v>1</v>
      </c>
      <c r="L572" t="b">
        <f>ISNUMBER(MATCH(CONTROL[[#This Row],[VEHIDCODE]],GRAPHICS_PROPERTIES[VEHIDCODE],0))</f>
        <v>1</v>
      </c>
      <c r="M572" s="21" t="str">
        <f>"item_"&amp;CONTROL[[#This Row],[VEHIDCODE]]</f>
        <v>item_mglv_Wagon_Gen7M_Boxcar_Type1</v>
      </c>
      <c r="N572" s="21" t="str">
        <f>"str_"&amp;CONTROL[[#This Row],[VEHIDCODE]]</f>
        <v>str_mglv_Wagon_Gen7M_Boxcar_Type1</v>
      </c>
      <c r="O572" s="7" t="b">
        <f>INDEX(PROPERTIES[IS_CONCEPT],MATCH(CONTROL[[#This Row],[VEHIDCODE]],PROPERTIES[VEHIDCODE],0))="IS_CONCEPT"</f>
        <v>1</v>
      </c>
      <c r="P572" s="7" t="b">
        <f>INDEX(PROPERTIES[EXCLUDE],MATCH(CONTROL[[#This Row],[VEHIDCODE]],PROPERTIES[VEHIDCODE],0))</f>
        <v>0</v>
      </c>
      <c r="Q5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3" spans="1:17" x14ac:dyDescent="0.35">
      <c r="A573" s="2" t="s">
        <v>211</v>
      </c>
      <c r="B573" s="21" t="str">
        <f>MID(CONTROL[[#This Row],[VEHIDCODE]],FIND("_",CONTROL[[#This Row],[VEHIDCODE]])+1,LEN(CONTROL[[#This Row],[VEHIDCODE]]))</f>
        <v>Wagon_Gen7M_Boxcar_Type2</v>
      </c>
      <c r="C5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10501</v>
      </c>
      <c r="F573" s="30" t="s">
        <v>1680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ISNUMBER(MATCH(CONTROL[[#This Row],[VEHIDCODE]],TRACK_TYPES[VEHIDCODE],0))</f>
        <v>1</v>
      </c>
      <c r="K573" t="b">
        <f>ISNUMBER(MATCH(CONTROL[[#This Row],[VEHIDCODE]],PROPERTIES[VEHIDCODE],0))</f>
        <v>1</v>
      </c>
      <c r="L573" t="b">
        <f>ISNUMBER(MATCH(CONTROL[[#This Row],[VEHIDCODE]],GRAPHICS_PROPERTIES[VEHIDCODE],0))</f>
        <v>1</v>
      </c>
      <c r="M573" s="21" t="str">
        <f>"item_"&amp;CONTROL[[#This Row],[VEHIDCODE]]</f>
        <v>item_mglv_Wagon_Gen7M_Boxcar_Type2</v>
      </c>
      <c r="N573" s="21" t="str">
        <f>"str_"&amp;CONTROL[[#This Row],[VEHIDCODE]]</f>
        <v>str_mglv_Wagon_Gen7M_Boxcar_Type2</v>
      </c>
      <c r="O573" s="7" t="b">
        <f>INDEX(PROPERTIES[IS_CONCEPT],MATCH(CONTROL[[#This Row],[VEHIDCODE]],PROPERTIES[VEHIDCODE],0))="IS_CONCEPT"</f>
        <v>1</v>
      </c>
      <c r="P573" s="7" t="b">
        <f>INDEX(PROPERTIES[EXCLUDE],MATCH(CONTROL[[#This Row],[VEHIDCODE]],PROPERTIES[VEHIDCODE],0))</f>
        <v>0</v>
      </c>
      <c r="Q5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4" spans="1:17" x14ac:dyDescent="0.35">
      <c r="A574" s="2" t="s">
        <v>212</v>
      </c>
      <c r="B574" s="21" t="str">
        <f>MID(CONTROL[[#This Row],[VEHIDCODE]],FIND("_",CONTROL[[#This Row],[VEHIDCODE]])+1,LEN(CONTROL[[#This Row],[VEHIDCODE]]))</f>
        <v>Wagon_Gen7M_Car_Transporter</v>
      </c>
      <c r="C5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10502</v>
      </c>
      <c r="F574" s="30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ISNUMBER(MATCH(CONTROL[[#This Row],[VEHIDCODE]],TRACK_TYPES[VEHIDCODE],0))</f>
        <v>1</v>
      </c>
      <c r="K574" t="b">
        <f>ISNUMBER(MATCH(CONTROL[[#This Row],[VEHIDCODE]],PROPERTIES[VEHIDCODE],0))</f>
        <v>1</v>
      </c>
      <c r="L574" t="b">
        <f>ISNUMBER(MATCH(CONTROL[[#This Row],[VEHIDCODE]],GRAPHICS_PROPERTIES[VEHIDCODE],0))</f>
        <v>1</v>
      </c>
      <c r="M574" s="21" t="str">
        <f>"item_"&amp;CONTROL[[#This Row],[VEHIDCODE]]</f>
        <v>item_mglv_Wagon_Gen7M_Car_Transporter</v>
      </c>
      <c r="N574" s="21" t="str">
        <f>"str_"&amp;CONTROL[[#This Row],[VEHIDCODE]]</f>
        <v>str_mglv_Wagon_Gen7M_Car_Transporter</v>
      </c>
      <c r="O574" s="7" t="b">
        <f>INDEX(PROPERTIES[IS_CONCEPT],MATCH(CONTROL[[#This Row],[VEHIDCODE]],PROPERTIES[VEHIDCODE],0))="IS_CONCEPT"</f>
        <v>1</v>
      </c>
      <c r="P574" s="7" t="b">
        <f>INDEX(PROPERTIES[EXCLUDE],MATCH(CONTROL[[#This Row],[VEHIDCODE]],PROPERTIES[VEHIDCODE],0))</f>
        <v>0</v>
      </c>
      <c r="Q5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5" spans="1:17" x14ac:dyDescent="0.35">
      <c r="A575" s="2" t="s">
        <v>213</v>
      </c>
      <c r="B575" s="21" t="str">
        <f>MID(CONTROL[[#This Row],[VEHIDCODE]],FIND("_",CONTROL[[#This Row],[VEHIDCODE]])+1,LEN(CONTROL[[#This Row],[VEHIDCODE]]))</f>
        <v>Wagon_Gen7M_Centerbeam</v>
      </c>
      <c r="C5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10503</v>
      </c>
      <c r="F575" s="30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ISNUMBER(MATCH(CONTROL[[#This Row],[VEHIDCODE]],TRACK_TYPES[VEHIDCODE],0))</f>
        <v>1</v>
      </c>
      <c r="K575" t="b">
        <f>ISNUMBER(MATCH(CONTROL[[#This Row],[VEHIDCODE]],PROPERTIES[VEHIDCODE],0))</f>
        <v>1</v>
      </c>
      <c r="L575" t="b">
        <f>ISNUMBER(MATCH(CONTROL[[#This Row],[VEHIDCODE]],GRAPHICS_PROPERTIES[VEHIDCODE],0))</f>
        <v>1</v>
      </c>
      <c r="M575" s="21" t="str">
        <f>"item_"&amp;CONTROL[[#This Row],[VEHIDCODE]]</f>
        <v>item_mglv_Wagon_Gen7M_Centerbeam</v>
      </c>
      <c r="N575" s="21" t="str">
        <f>"str_"&amp;CONTROL[[#This Row],[VEHIDCODE]]</f>
        <v>str_mglv_Wagon_Gen7M_Centerbeam</v>
      </c>
      <c r="O575" s="7" t="b">
        <f>INDEX(PROPERTIES[IS_CONCEPT],MATCH(CONTROL[[#This Row],[VEHIDCODE]],PROPERTIES[VEHIDCODE],0))="IS_CONCEPT"</f>
        <v>1</v>
      </c>
      <c r="P575" s="7" t="b">
        <f>INDEX(PROPERTIES[EXCLUDE],MATCH(CONTROL[[#This Row],[VEHIDCODE]],PROPERTIES[VEHIDCODE],0))</f>
        <v>0</v>
      </c>
      <c r="Q5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6" spans="1:17" x14ac:dyDescent="0.35">
      <c r="A576" s="2" t="s">
        <v>214</v>
      </c>
      <c r="B576" s="21" t="str">
        <f>MID(CONTROL[[#This Row],[VEHIDCODE]],FIND("_",CONTROL[[#This Row],[VEHIDCODE]])+1,LEN(CONTROL[[#This Row],[VEHIDCODE]]))</f>
        <v>Wagon_Gen7M_Container_Carrier</v>
      </c>
      <c r="C5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10504</v>
      </c>
      <c r="F576" s="30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ISNUMBER(MATCH(CONTROL[[#This Row],[VEHIDCODE]],TRACK_TYPES[VEHIDCODE],0))</f>
        <v>1</v>
      </c>
      <c r="K576" t="b">
        <f>ISNUMBER(MATCH(CONTROL[[#This Row],[VEHIDCODE]],PROPERTIES[VEHIDCODE],0))</f>
        <v>1</v>
      </c>
      <c r="L576" t="b">
        <f>ISNUMBER(MATCH(CONTROL[[#This Row],[VEHIDCODE]],GRAPHICS_PROPERTIES[VEHIDCODE],0))</f>
        <v>1</v>
      </c>
      <c r="M576" s="21" t="str">
        <f>"item_"&amp;CONTROL[[#This Row],[VEHIDCODE]]</f>
        <v>item_mglv_Wagon_Gen7M_Container_Carrier</v>
      </c>
      <c r="N576" s="21" t="str">
        <f>"str_"&amp;CONTROL[[#This Row],[VEHIDCODE]]</f>
        <v>str_mglv_Wagon_Gen7M_Container_Carrier</v>
      </c>
      <c r="O576" s="7" t="b">
        <f>INDEX(PROPERTIES[IS_CONCEPT],MATCH(CONTROL[[#This Row],[VEHIDCODE]],PROPERTIES[VEHIDCODE],0))="IS_CONCEPT"</f>
        <v>1</v>
      </c>
      <c r="P576" s="7" t="b">
        <f>INDEX(PROPERTIES[EXCLUDE],MATCH(CONTROL[[#This Row],[VEHIDCODE]],PROPERTIES[VEHIDCODE],0))</f>
        <v>0</v>
      </c>
      <c r="Q5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7" spans="1:17" x14ac:dyDescent="0.35">
      <c r="A577" s="2" t="s">
        <v>215</v>
      </c>
      <c r="B577" s="21" t="str">
        <f>MID(CONTROL[[#This Row],[VEHIDCODE]],FIND("_",CONTROL[[#This Row],[VEHIDCODE]])+1,LEN(CONTROL[[#This Row],[VEHIDCODE]]))</f>
        <v>Wagon_Gen7M_Container_Doublestack</v>
      </c>
      <c r="C5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10505</v>
      </c>
      <c r="F577" s="30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ISNUMBER(MATCH(CONTROL[[#This Row],[VEHIDCODE]],TRACK_TYPES[VEHIDCODE],0))</f>
        <v>1</v>
      </c>
      <c r="K577" t="b">
        <f>ISNUMBER(MATCH(CONTROL[[#This Row],[VEHIDCODE]],PROPERTIES[VEHIDCODE],0))</f>
        <v>1</v>
      </c>
      <c r="L577" t="b">
        <f>ISNUMBER(MATCH(CONTROL[[#This Row],[VEHIDCODE]],GRAPHICS_PROPERTIES[VEHIDCODE],0))</f>
        <v>1</v>
      </c>
      <c r="M577" s="21" t="str">
        <f>"item_"&amp;CONTROL[[#This Row],[VEHIDCODE]]</f>
        <v>item_mglv_Wagon_Gen7M_Container_Doublestack</v>
      </c>
      <c r="N577" s="21" t="str">
        <f>"str_"&amp;CONTROL[[#This Row],[VEHIDCODE]]</f>
        <v>str_mglv_Wagon_Gen7M_Container_Doublestack</v>
      </c>
      <c r="O577" s="7" t="b">
        <f>INDEX(PROPERTIES[IS_CONCEPT],MATCH(CONTROL[[#This Row],[VEHIDCODE]],PROPERTIES[VEHIDCODE],0))="IS_CONCEPT"</f>
        <v>1</v>
      </c>
      <c r="P577" s="7" t="b">
        <f>INDEX(PROPERTIES[EXCLUDE],MATCH(CONTROL[[#This Row],[VEHIDCODE]],PROPERTIES[VEHIDCODE],0))</f>
        <v>0</v>
      </c>
      <c r="Q5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8" spans="1:17" x14ac:dyDescent="0.35">
      <c r="A578" s="2" t="s">
        <v>216</v>
      </c>
      <c r="B578" s="21" t="str">
        <f>MID(CONTROL[[#This Row],[VEHIDCODE]],FIND("_",CONTROL[[#This Row],[VEHIDCODE]])+1,LEN(CONTROL[[#This Row],[VEHIDCODE]]))</f>
        <v>Wagon_Gen7M_Flatcar</v>
      </c>
      <c r="C5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10506</v>
      </c>
      <c r="F578" s="30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ISNUMBER(MATCH(CONTROL[[#This Row],[VEHIDCODE]],TRACK_TYPES[VEHIDCODE],0))</f>
        <v>1</v>
      </c>
      <c r="K578" t="b">
        <f>ISNUMBER(MATCH(CONTROL[[#This Row],[VEHIDCODE]],PROPERTIES[VEHIDCODE],0))</f>
        <v>1</v>
      </c>
      <c r="L578" t="b">
        <f>ISNUMBER(MATCH(CONTROL[[#This Row],[VEHIDCODE]],GRAPHICS_PROPERTIES[VEHIDCODE],0))</f>
        <v>1</v>
      </c>
      <c r="M578" s="21" t="str">
        <f>"item_"&amp;CONTROL[[#This Row],[VEHIDCODE]]</f>
        <v>item_mglv_Wagon_Gen7M_Flatcar</v>
      </c>
      <c r="N578" s="21" t="str">
        <f>"str_"&amp;CONTROL[[#This Row],[VEHIDCODE]]</f>
        <v>str_mglv_Wagon_Gen7M_Flatcar</v>
      </c>
      <c r="O578" s="7" t="b">
        <f>INDEX(PROPERTIES[IS_CONCEPT],MATCH(CONTROL[[#This Row],[VEHIDCODE]],PROPERTIES[VEHIDCODE],0))="IS_CONCEPT"</f>
        <v>1</v>
      </c>
      <c r="P578" s="7" t="b">
        <f>INDEX(PROPERTIES[EXCLUDE],MATCH(CONTROL[[#This Row],[VEHIDCODE]],PROPERTIES[VEHIDCODE],0))</f>
        <v>0</v>
      </c>
      <c r="Q5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79" spans="1:17" x14ac:dyDescent="0.35">
      <c r="A579" s="2" t="s">
        <v>217</v>
      </c>
      <c r="B579" s="21" t="str">
        <f>MID(CONTROL[[#This Row],[VEHIDCODE]],FIND("_",CONTROL[[#This Row],[VEHIDCODE]])+1,LEN(CONTROL[[#This Row],[VEHIDCODE]]))</f>
        <v>Wagon_Gen7M_Gondola</v>
      </c>
      <c r="C5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7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10507</v>
      </c>
      <c r="F579" s="30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ISNUMBER(MATCH(CONTROL[[#This Row],[VEHIDCODE]],TRACK_TYPES[VEHIDCODE],0))</f>
        <v>1</v>
      </c>
      <c r="K579" t="b">
        <f>ISNUMBER(MATCH(CONTROL[[#This Row],[VEHIDCODE]],PROPERTIES[VEHIDCODE],0))</f>
        <v>1</v>
      </c>
      <c r="L579" t="b">
        <f>ISNUMBER(MATCH(CONTROL[[#This Row],[VEHIDCODE]],GRAPHICS_PROPERTIES[VEHIDCODE],0))</f>
        <v>1</v>
      </c>
      <c r="M579" s="21" t="str">
        <f>"item_"&amp;CONTROL[[#This Row],[VEHIDCODE]]</f>
        <v>item_mglv_Wagon_Gen7M_Gondola</v>
      </c>
      <c r="N579" s="21" t="str">
        <f>"str_"&amp;CONTROL[[#This Row],[VEHIDCODE]]</f>
        <v>str_mglv_Wagon_Gen7M_Gondola</v>
      </c>
      <c r="O579" s="7" t="b">
        <f>INDEX(PROPERTIES[IS_CONCEPT],MATCH(CONTROL[[#This Row],[VEHIDCODE]],PROPERTIES[VEHIDCODE],0))="IS_CONCEPT"</f>
        <v>1</v>
      </c>
      <c r="P579" s="7" t="b">
        <f>INDEX(PROPERTIES[EXCLUDE],MATCH(CONTROL[[#This Row],[VEHIDCODE]],PROPERTIES[VEHIDCODE],0))</f>
        <v>0</v>
      </c>
      <c r="Q5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0" spans="1:17" x14ac:dyDescent="0.35">
      <c r="A580" s="2" t="s">
        <v>218</v>
      </c>
      <c r="B580" s="21" t="str">
        <f>MID(CONTROL[[#This Row],[VEHIDCODE]],FIND("_",CONTROL[[#This Row],[VEHIDCODE]])+1,LEN(CONTROL[[#This Row],[VEHIDCODE]]))</f>
        <v>Wagon_Gen7M_Heavy_Flatcar</v>
      </c>
      <c r="C5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10508</v>
      </c>
      <c r="F580" s="30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ISNUMBER(MATCH(CONTROL[[#This Row],[VEHIDCODE]],TRACK_TYPES[VEHIDCODE],0))</f>
        <v>1</v>
      </c>
      <c r="K580" t="b">
        <f>ISNUMBER(MATCH(CONTROL[[#This Row],[VEHIDCODE]],PROPERTIES[VEHIDCODE],0))</f>
        <v>1</v>
      </c>
      <c r="L580" t="b">
        <f>ISNUMBER(MATCH(CONTROL[[#This Row],[VEHIDCODE]],GRAPHICS_PROPERTIES[VEHIDCODE],0))</f>
        <v>1</v>
      </c>
      <c r="M580" s="21" t="str">
        <f>"item_"&amp;CONTROL[[#This Row],[VEHIDCODE]]</f>
        <v>item_mglv_Wagon_Gen7M_Heavy_Flatcar</v>
      </c>
      <c r="N580" s="21" t="str">
        <f>"str_"&amp;CONTROL[[#This Row],[VEHIDCODE]]</f>
        <v>str_mglv_Wagon_Gen7M_Heavy_Flatcar</v>
      </c>
      <c r="O580" s="7" t="b">
        <f>INDEX(PROPERTIES[IS_CONCEPT],MATCH(CONTROL[[#This Row],[VEHIDCODE]],PROPERTIES[VEHIDCODE],0))="IS_CONCEPT"</f>
        <v>1</v>
      </c>
      <c r="P580" s="7" t="b">
        <f>INDEX(PROPERTIES[EXCLUDE],MATCH(CONTROL[[#This Row],[VEHIDCODE]],PROPERTIES[VEHIDCODE],0))</f>
        <v>0</v>
      </c>
      <c r="Q5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1" spans="1:17" x14ac:dyDescent="0.35">
      <c r="A581" s="2" t="s">
        <v>219</v>
      </c>
      <c r="B581" s="21" t="str">
        <f>MID(CONTROL[[#This Row],[VEHIDCODE]],FIND("_",CONTROL[[#This Row],[VEHIDCODE]])+1,LEN(CONTROL[[#This Row],[VEHIDCODE]]))</f>
        <v>Wagon_Gen7M_Hopper_Type1</v>
      </c>
      <c r="C5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10509</v>
      </c>
      <c r="F581" s="30" t="s">
        <v>1666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ISNUMBER(MATCH(CONTROL[[#This Row],[VEHIDCODE]],TRACK_TYPES[VEHIDCODE],0))</f>
        <v>1</v>
      </c>
      <c r="K581" t="b">
        <f>ISNUMBER(MATCH(CONTROL[[#This Row],[VEHIDCODE]],PROPERTIES[VEHIDCODE],0))</f>
        <v>1</v>
      </c>
      <c r="L581" t="b">
        <f>ISNUMBER(MATCH(CONTROL[[#This Row],[VEHIDCODE]],GRAPHICS_PROPERTIES[VEHIDCODE],0))</f>
        <v>1</v>
      </c>
      <c r="M581" s="21" t="str">
        <f>"item_"&amp;CONTROL[[#This Row],[VEHIDCODE]]</f>
        <v>item_mglv_Wagon_Gen7M_Hopper_Type1</v>
      </c>
      <c r="N581" s="21" t="str">
        <f>"str_"&amp;CONTROL[[#This Row],[VEHIDCODE]]</f>
        <v>str_mglv_Wagon_Gen7M_Hopper_Type1</v>
      </c>
      <c r="O581" s="7" t="b">
        <f>INDEX(PROPERTIES[IS_CONCEPT],MATCH(CONTROL[[#This Row],[VEHIDCODE]],PROPERTIES[VEHIDCODE],0))="IS_CONCEPT"</f>
        <v>1</v>
      </c>
      <c r="P581" s="7" t="b">
        <f>INDEX(PROPERTIES[EXCLUDE],MATCH(CONTROL[[#This Row],[VEHIDCODE]],PROPERTIES[VEHIDCODE],0))</f>
        <v>0</v>
      </c>
      <c r="Q5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2" spans="1:17" x14ac:dyDescent="0.35">
      <c r="A582" s="2" t="s">
        <v>220</v>
      </c>
      <c r="B582" s="21" t="str">
        <f>MID(CONTROL[[#This Row],[VEHIDCODE]],FIND("_",CONTROL[[#This Row],[VEHIDCODE]])+1,LEN(CONTROL[[#This Row],[VEHIDCODE]]))</f>
        <v>Wagon_Gen7M_Hopper_Type2</v>
      </c>
      <c r="C5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10510</v>
      </c>
      <c r="F582" s="30" t="s">
        <v>1681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ISNUMBER(MATCH(CONTROL[[#This Row],[VEHIDCODE]],TRACK_TYPES[VEHIDCODE],0))</f>
        <v>1</v>
      </c>
      <c r="K582" t="b">
        <f>ISNUMBER(MATCH(CONTROL[[#This Row],[VEHIDCODE]],PROPERTIES[VEHIDCODE],0))</f>
        <v>1</v>
      </c>
      <c r="L582" t="b">
        <f>ISNUMBER(MATCH(CONTROL[[#This Row],[VEHIDCODE]],GRAPHICS_PROPERTIES[VEHIDCODE],0))</f>
        <v>1</v>
      </c>
      <c r="M582" s="21" t="str">
        <f>"item_"&amp;CONTROL[[#This Row],[VEHIDCODE]]</f>
        <v>item_mglv_Wagon_Gen7M_Hopper_Type2</v>
      </c>
      <c r="N582" s="21" t="str">
        <f>"str_"&amp;CONTROL[[#This Row],[VEHIDCODE]]</f>
        <v>str_mglv_Wagon_Gen7M_Hopper_Type2</v>
      </c>
      <c r="O582" s="7" t="b">
        <f>INDEX(PROPERTIES[IS_CONCEPT],MATCH(CONTROL[[#This Row],[VEHIDCODE]],PROPERTIES[VEHIDCODE],0))="IS_CONCEPT"</f>
        <v>1</v>
      </c>
      <c r="P582" s="7" t="b">
        <f>INDEX(PROPERTIES[EXCLUDE],MATCH(CONTROL[[#This Row],[VEHIDCODE]],PROPERTIES[VEHIDCODE],0))</f>
        <v>0</v>
      </c>
      <c r="Q5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3" spans="1:17" x14ac:dyDescent="0.35">
      <c r="A583" s="2" t="s">
        <v>221</v>
      </c>
      <c r="B583" s="21" t="str">
        <f>MID(CONTROL[[#This Row],[VEHIDCODE]],FIND("_",CONTROL[[#This Row],[VEHIDCODE]])+1,LEN(CONTROL[[#This Row],[VEHIDCODE]]))</f>
        <v>Wagon_Gen7M_Silo_Type1</v>
      </c>
      <c r="C5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10511</v>
      </c>
      <c r="F583" s="30" t="s">
        <v>1667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ISNUMBER(MATCH(CONTROL[[#This Row],[VEHIDCODE]],TRACK_TYPES[VEHIDCODE],0))</f>
        <v>1</v>
      </c>
      <c r="K583" t="b">
        <f>ISNUMBER(MATCH(CONTROL[[#This Row],[VEHIDCODE]],PROPERTIES[VEHIDCODE],0))</f>
        <v>1</v>
      </c>
      <c r="L583" t="b">
        <f>ISNUMBER(MATCH(CONTROL[[#This Row],[VEHIDCODE]],GRAPHICS_PROPERTIES[VEHIDCODE],0))</f>
        <v>1</v>
      </c>
      <c r="M583" s="21" t="str">
        <f>"item_"&amp;CONTROL[[#This Row],[VEHIDCODE]]</f>
        <v>item_mglv_Wagon_Gen7M_Silo_Type1</v>
      </c>
      <c r="N583" s="21" t="str">
        <f>"str_"&amp;CONTROL[[#This Row],[VEHIDCODE]]</f>
        <v>str_mglv_Wagon_Gen7M_Silo_Type1</v>
      </c>
      <c r="O583" s="7" t="b">
        <f>INDEX(PROPERTIES[IS_CONCEPT],MATCH(CONTROL[[#This Row],[VEHIDCODE]],PROPERTIES[VEHIDCODE],0))="IS_CONCEPT"</f>
        <v>1</v>
      </c>
      <c r="P583" s="7" t="b">
        <f>INDEX(PROPERTIES[EXCLUDE],MATCH(CONTROL[[#This Row],[VEHIDCODE]],PROPERTIES[VEHIDCODE],0))</f>
        <v>0</v>
      </c>
      <c r="Q5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4" spans="1:17" x14ac:dyDescent="0.35">
      <c r="A584" s="2" t="s">
        <v>222</v>
      </c>
      <c r="B584" s="21" t="str">
        <f>MID(CONTROL[[#This Row],[VEHIDCODE]],FIND("_",CONTROL[[#This Row],[VEHIDCODE]])+1,LEN(CONTROL[[#This Row],[VEHIDCODE]]))</f>
        <v>Wagon_Gen7M_Silo_Type2</v>
      </c>
      <c r="C5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10512</v>
      </c>
      <c r="F584" s="30" t="s">
        <v>1682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ISNUMBER(MATCH(CONTROL[[#This Row],[VEHIDCODE]],TRACK_TYPES[VEHIDCODE],0))</f>
        <v>1</v>
      </c>
      <c r="K584" t="b">
        <f>ISNUMBER(MATCH(CONTROL[[#This Row],[VEHIDCODE]],PROPERTIES[VEHIDCODE],0))</f>
        <v>1</v>
      </c>
      <c r="L584" t="b">
        <f>ISNUMBER(MATCH(CONTROL[[#This Row],[VEHIDCODE]],GRAPHICS_PROPERTIES[VEHIDCODE],0))</f>
        <v>1</v>
      </c>
      <c r="M584" s="21" t="str">
        <f>"item_"&amp;CONTROL[[#This Row],[VEHIDCODE]]</f>
        <v>item_mglv_Wagon_Gen7M_Silo_Type2</v>
      </c>
      <c r="N584" s="21" t="str">
        <f>"str_"&amp;CONTROL[[#This Row],[VEHIDCODE]]</f>
        <v>str_mglv_Wagon_Gen7M_Silo_Type2</v>
      </c>
      <c r="O584" s="7" t="b">
        <f>INDEX(PROPERTIES[IS_CONCEPT],MATCH(CONTROL[[#This Row],[VEHIDCODE]],PROPERTIES[VEHIDCODE],0))="IS_CONCEPT"</f>
        <v>1</v>
      </c>
      <c r="P584" s="7" t="b">
        <f>INDEX(PROPERTIES[EXCLUDE],MATCH(CONTROL[[#This Row],[VEHIDCODE]],PROPERTIES[VEHIDCODE],0))</f>
        <v>0</v>
      </c>
      <c r="Q5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5" spans="1:17" x14ac:dyDescent="0.35">
      <c r="A585" s="2" t="s">
        <v>223</v>
      </c>
      <c r="B585" s="21" t="str">
        <f>MID(CONTROL[[#This Row],[VEHIDCODE]],FIND("_",CONTROL[[#This Row],[VEHIDCODE]])+1,LEN(CONTROL[[#This Row],[VEHIDCODE]]))</f>
        <v>Wagon_Gen7M_Superheavy_Flatcar</v>
      </c>
      <c r="C5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10513</v>
      </c>
      <c r="F585" s="30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ISNUMBER(MATCH(CONTROL[[#This Row],[VEHIDCODE]],TRACK_TYPES[VEHIDCODE],0))</f>
        <v>1</v>
      </c>
      <c r="K585" t="b">
        <f>ISNUMBER(MATCH(CONTROL[[#This Row],[VEHIDCODE]],PROPERTIES[VEHIDCODE],0))</f>
        <v>1</v>
      </c>
      <c r="L585" t="b">
        <f>ISNUMBER(MATCH(CONTROL[[#This Row],[VEHIDCODE]],GRAPHICS_PROPERTIES[VEHIDCODE],0))</f>
        <v>1</v>
      </c>
      <c r="M585" s="21" t="str">
        <f>"item_"&amp;CONTROL[[#This Row],[VEHIDCODE]]</f>
        <v>item_mglv_Wagon_Gen7M_Superheavy_Flatcar</v>
      </c>
      <c r="N585" s="21" t="str">
        <f>"str_"&amp;CONTROL[[#This Row],[VEHIDCODE]]</f>
        <v>str_mglv_Wagon_Gen7M_Superheavy_Flatcar</v>
      </c>
      <c r="O585" s="7" t="b">
        <f>INDEX(PROPERTIES[IS_CONCEPT],MATCH(CONTROL[[#This Row],[VEHIDCODE]],PROPERTIES[VEHIDCODE],0))="IS_CONCEPT"</f>
        <v>1</v>
      </c>
      <c r="P585" s="7" t="b">
        <f>INDEX(PROPERTIES[EXCLUDE],MATCH(CONTROL[[#This Row],[VEHIDCODE]],PROPERTIES[VEHIDCODE],0))</f>
        <v>0</v>
      </c>
      <c r="Q5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TPL_25A</v>
      </c>
    </row>
    <row r="586" spans="1:17" x14ac:dyDescent="0.35">
      <c r="A586" s="2" t="s">
        <v>224</v>
      </c>
      <c r="B586" s="21" t="str">
        <f>MID(CONTROL[[#This Row],[VEHIDCODE]],FIND("_",CONTROL[[#This Row],[VEHIDCODE]])+1,LEN(CONTROL[[#This Row],[VEHIDCODE]]))</f>
        <v>Wagon_Gen7M_Tanker</v>
      </c>
      <c r="C5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5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58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10514</v>
      </c>
      <c r="F586" s="30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ISNUMBER(MATCH(CONTROL[[#This Row],[VEHIDCODE]],TRACK_TYPES[VEHIDCODE],0))</f>
        <v>1</v>
      </c>
      <c r="K586" t="b">
        <f>ISNUMBER(MATCH(CONTROL[[#This Row],[VEHIDCODE]],PROPERTIES[VEHIDCODE],0))</f>
        <v>1</v>
      </c>
      <c r="L586" t="b">
        <f>ISNUMBER(MATCH(CONTROL[[#This Row],[VEHIDCODE]],GRAPHICS_PROPERTIES[VEHIDCODE],0))</f>
        <v>1</v>
      </c>
      <c r="M586" s="21" t="str">
        <f>"item_"&amp;CONTROL[[#This Row],[VEHIDCODE]]</f>
        <v>item_mglv_Wagon_Gen7M_Tanker</v>
      </c>
      <c r="N586" s="21" t="str">
        <f>"str_"&amp;CONTROL[[#This Row],[VEHIDCODE]]</f>
        <v>str_mglv_Wagon_Gen7M_Tanker</v>
      </c>
      <c r="O586" s="7" t="b">
        <f>INDEX(PROPERTIES[IS_CONCEPT],MATCH(CONTROL[[#This Row],[VEHIDCODE]],PROPERTIES[VEHIDCODE],0))="IS_CONCEPT"</f>
        <v>1</v>
      </c>
      <c r="P586" s="7" t="b">
        <f>INDEX(PROPERTIES[EXCLUDE],MATCH(CONTROL[[#This Row],[VEHIDCODE]],PROPERTIES[VEHIDCODE],0))</f>
        <v>0</v>
      </c>
      <c r="Q5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587" spans="1:17" x14ac:dyDescent="0.35">
      <c r="A587" s="2" t="s">
        <v>3196</v>
      </c>
      <c r="B587" s="21" t="str">
        <f>MID(CONTROL[[#This Row],[VEHIDCODE]],FIND("_",CONTROL[[#This Row],[VEHIDCODE]])+1,LEN(CONTROL[[#This Row],[VEHIDCODE]]))</f>
        <v>Niigata_Transys_Shikoku_1000</v>
      </c>
      <c r="C5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87">
        <v>2038</v>
      </c>
      <c r="F587" s="30" t="s">
        <v>2384</v>
      </c>
      <c r="G587" t="s">
        <v>1614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ISNUMBER(MATCH(CONTROL[[#This Row],[VEHIDCODE]],TRACK_TYPES[VEHIDCODE],0))</f>
        <v>1</v>
      </c>
      <c r="K587" t="b">
        <f>ISNUMBER(MATCH(CONTROL[[#This Row],[VEHIDCODE]],PROPERTIES[VEHIDCODE],0))</f>
        <v>1</v>
      </c>
      <c r="L587" t="b">
        <f>ISNUMBER(MATCH(CONTROL[[#This Row],[VEHIDCODE]],GRAPHICS_PROPERTIES[VEHIDCODE],0))</f>
        <v>1</v>
      </c>
      <c r="M587" s="21" t="str">
        <f>"item_"&amp;CONTROL[[#This Row],[VEHIDCODE]]</f>
        <v>item_rbd_Niigata_Transys_Shikoku_1000</v>
      </c>
      <c r="N587" s="21" t="str">
        <f>"str_"&amp;CONTROL[[#This Row],[VEHIDCODE]]</f>
        <v>str_rbd_Niigata_Transys_Shikoku_1000</v>
      </c>
      <c r="O587" s="7" t="b">
        <f>INDEX(PROPERTIES[IS_CONCEPT],MATCH(CONTROL[[#This Row],[VEHIDCODE]],PROPERTIES[VEHIDCODE],0))="IS_CONCEPT"</f>
        <v>0</v>
      </c>
      <c r="P587" s="7" t="b">
        <f>INDEX(PROPERTIES[EXCLUDE],MATCH(CONTROL[[#This Row],[VEHIDCODE]],PROPERTIES[VEHIDCODE],0))</f>
        <v>0</v>
      </c>
      <c r="Q5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88" spans="1:17" x14ac:dyDescent="0.35">
      <c r="A588" s="2" t="s">
        <v>3197</v>
      </c>
      <c r="B588" s="21" t="str">
        <f>MID(CONTROL[[#This Row],[VEHIDCODE]],FIND("_",CONTROL[[#This Row],[VEHIDCODE]])+1,LEN(CONTROL[[#This Row],[VEHIDCODE]]))</f>
        <v>Niigata_Transys_KiHa_E120</v>
      </c>
      <c r="C5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88">
        <v>2040</v>
      </c>
      <c r="F588" s="30" t="s">
        <v>2385</v>
      </c>
      <c r="G588" t="s">
        <v>1615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ISNUMBER(MATCH(CONTROL[[#This Row],[VEHIDCODE]],TRACK_TYPES[VEHIDCODE],0))</f>
        <v>1</v>
      </c>
      <c r="K588" t="b">
        <f>ISNUMBER(MATCH(CONTROL[[#This Row],[VEHIDCODE]],PROPERTIES[VEHIDCODE],0))</f>
        <v>1</v>
      </c>
      <c r="L588" t="b">
        <f>ISNUMBER(MATCH(CONTROL[[#This Row],[VEHIDCODE]],GRAPHICS_PROPERTIES[VEHIDCODE],0))</f>
        <v>1</v>
      </c>
      <c r="M588" s="21" t="str">
        <f>"item_"&amp;CONTROL[[#This Row],[VEHIDCODE]]</f>
        <v>item_rbd_Niigata_Transys_KiHa_E120</v>
      </c>
      <c r="N588" s="21" t="str">
        <f>"str_"&amp;CONTROL[[#This Row],[VEHIDCODE]]</f>
        <v>str_rbd_Niigata_Transys_KiHa_E120</v>
      </c>
      <c r="O588" s="7" t="b">
        <f>INDEX(PROPERTIES[IS_CONCEPT],MATCH(CONTROL[[#This Row],[VEHIDCODE]],PROPERTIES[VEHIDCODE],0))="IS_CONCEPT"</f>
        <v>0</v>
      </c>
      <c r="P588" s="7" t="b">
        <f>INDEX(PROPERTIES[EXCLUDE],MATCH(CONTROL[[#This Row],[VEHIDCODE]],PROPERTIES[VEHIDCODE],0))</f>
        <v>0</v>
      </c>
      <c r="Q5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89" spans="1:17" x14ac:dyDescent="0.35">
      <c r="A589" s="2" t="s">
        <v>3198</v>
      </c>
      <c r="B589" s="21" t="str">
        <f>MID(CONTROL[[#This Row],[VEHIDCODE]],FIND("_",CONTROL[[#This Row],[VEHIDCODE]])+1,LEN(CONTROL[[#This Row],[VEHIDCODE]]))</f>
        <v>EFE_SB_56_Buscarril</v>
      </c>
      <c r="C5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89">
        <v>2042</v>
      </c>
      <c r="F589" s="30" t="s">
        <v>3528</v>
      </c>
      <c r="G589" t="s">
        <v>3527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ISNUMBER(MATCH(CONTROL[[#This Row],[VEHIDCODE]],TRACK_TYPES[VEHIDCODE],0))</f>
        <v>1</v>
      </c>
      <c r="K589" t="b">
        <f>ISNUMBER(MATCH(CONTROL[[#This Row],[VEHIDCODE]],PROPERTIES[VEHIDCODE],0))</f>
        <v>1</v>
      </c>
      <c r="L589" t="b">
        <f>ISNUMBER(MATCH(CONTROL[[#This Row],[VEHIDCODE]],GRAPHICS_PROPERTIES[VEHIDCODE],0))</f>
        <v>1</v>
      </c>
      <c r="M589" s="21" t="str">
        <f>"item_"&amp;CONTROL[[#This Row],[VEHIDCODE]]</f>
        <v>item_rbd_EFE_SB_56_Buscarril</v>
      </c>
      <c r="N589" s="21" t="str">
        <f>"str_"&amp;CONTROL[[#This Row],[VEHIDCODE]]</f>
        <v>str_rbd_EFE_SB_56_Buscarril</v>
      </c>
      <c r="O589" s="7" t="b">
        <f>INDEX(PROPERTIES[IS_CONCEPT],MATCH(CONTROL[[#This Row],[VEHIDCODE]],PROPERTIES[VEHIDCODE],0))="IS_CONCEPT"</f>
        <v>0</v>
      </c>
      <c r="P589" s="7" t="b">
        <f>INDEX(PROPERTIES[EXCLUDE],MATCH(CONTROL[[#This Row],[VEHIDCODE]],PROPERTIES[VEHIDCODE],0))</f>
        <v>0</v>
      </c>
      <c r="Q5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0" spans="1:17" x14ac:dyDescent="0.35">
      <c r="A590" s="2" t="s">
        <v>3199</v>
      </c>
      <c r="B590" s="21" t="str">
        <f>MID(CONTROL[[#This Row],[VEHIDCODE]],FIND("_",CONTROL[[#This Row],[VEHIDCODE]])+1,LEN(CONTROL[[#This Row],[VEHIDCODE]]))</f>
        <v>Sulzer_M_Railcar</v>
      </c>
      <c r="C5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90">
        <v>2043</v>
      </c>
      <c r="F590" s="30" t="s">
        <v>2386</v>
      </c>
      <c r="G590" t="s">
        <v>1617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ISNUMBER(MATCH(CONTROL[[#This Row],[VEHIDCODE]],TRACK_TYPES[VEHIDCODE],0))</f>
        <v>1</v>
      </c>
      <c r="K590" t="b">
        <f>ISNUMBER(MATCH(CONTROL[[#This Row],[VEHIDCODE]],PROPERTIES[VEHIDCODE],0))</f>
        <v>1</v>
      </c>
      <c r="L590" t="b">
        <f>ISNUMBER(MATCH(CONTROL[[#This Row],[VEHIDCODE]],GRAPHICS_PROPERTIES[VEHIDCODE],0))</f>
        <v>1</v>
      </c>
      <c r="M590" s="21" t="str">
        <f>"item_"&amp;CONTROL[[#This Row],[VEHIDCODE]]</f>
        <v>item_rbd_Sulzer_M_Railcar</v>
      </c>
      <c r="N590" s="21" t="str">
        <f>"str_"&amp;CONTROL[[#This Row],[VEHIDCODE]]</f>
        <v>str_rbd_Sulzer_M_Railcar</v>
      </c>
      <c r="O590" s="7" t="b">
        <f>INDEX(PROPERTIES[IS_CONCEPT],MATCH(CONTROL[[#This Row],[VEHIDCODE]],PROPERTIES[VEHIDCODE],0))="IS_CONCEPT"</f>
        <v>0</v>
      </c>
      <c r="P590" s="7" t="b">
        <f>INDEX(PROPERTIES[EXCLUDE],MATCH(CONTROL[[#This Row],[VEHIDCODE]],PROPERTIES[VEHIDCODE],0))</f>
        <v>0</v>
      </c>
      <c r="Q5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1" spans="1:17" x14ac:dyDescent="0.35">
      <c r="A591" s="2" t="s">
        <v>3200</v>
      </c>
      <c r="B591" s="21" t="str">
        <f>MID(CONTROL[[#This Row],[VEHIDCODE]],FIND("_",CONTROL[[#This Row],[VEHIDCODE]])+1,LEN(CONTROL[[#This Row],[VEHIDCODE]]))</f>
        <v>Eritrean_Railway_A_62_70_Littorina</v>
      </c>
      <c r="C5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5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591">
        <v>2045</v>
      </c>
      <c r="F591" s="30" t="s">
        <v>395</v>
      </c>
      <c r="G591" t="s">
        <v>1616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ISNUMBER(MATCH(CONTROL[[#This Row],[VEHIDCODE]],TRACK_TYPES[VEHIDCODE],0))</f>
        <v>1</v>
      </c>
      <c r="K591" t="b">
        <f>ISNUMBER(MATCH(CONTROL[[#This Row],[VEHIDCODE]],PROPERTIES[VEHIDCODE],0))</f>
        <v>1</v>
      </c>
      <c r="L591" t="b">
        <f>ISNUMBER(MATCH(CONTROL[[#This Row],[VEHIDCODE]],GRAPHICS_PROPERTIES[VEHIDCODE],0))</f>
        <v>1</v>
      </c>
      <c r="M591" s="21" t="str">
        <f>"item_"&amp;CONTROL[[#This Row],[VEHIDCODE]]</f>
        <v>item_rbd_Eritrean_Railway_A_62_70_Littorina</v>
      </c>
      <c r="N591" s="21" t="str">
        <f>"str_"&amp;CONTROL[[#This Row],[VEHIDCODE]]</f>
        <v>str_rbd_Eritrean_Railway_A_62_70_Littorina</v>
      </c>
      <c r="O591" s="7" t="b">
        <f>INDEX(PROPERTIES[IS_CONCEPT],MATCH(CONTROL[[#This Row],[VEHIDCODE]],PROPERTIES[VEHIDCODE],0))="IS_CONCEPT"</f>
        <v>0</v>
      </c>
      <c r="P591" s="7" t="b">
        <f>INDEX(PROPERTIES[EXCLUDE],MATCH(CONTROL[[#This Row],[VEHIDCODE]],PROPERTIES[VEHIDCODE],0))</f>
        <v>0</v>
      </c>
      <c r="Q5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2" spans="1:17" x14ac:dyDescent="0.35">
      <c r="A592" s="2" t="s">
        <v>3201</v>
      </c>
      <c r="B592" s="21" t="str">
        <f>MID(CONTROL[[#This Row],[VEHIDCODE]],FIND("_",CONTROL[[#This Row],[VEHIDCODE]])+1,LEN(CONTROL[[#This Row],[VEHIDCODE]]))</f>
        <v>SLM_CFe_3_3</v>
      </c>
      <c r="C5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2">
        <v>3000</v>
      </c>
      <c r="F592" s="30" t="s">
        <v>2387</v>
      </c>
      <c r="G592" t="s">
        <v>1618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ISNUMBER(MATCH(CONTROL[[#This Row],[VEHIDCODE]],TRACK_TYPES[VEHIDCODE],0))</f>
        <v>1</v>
      </c>
      <c r="K592" t="b">
        <f>ISNUMBER(MATCH(CONTROL[[#This Row],[VEHIDCODE]],PROPERTIES[VEHIDCODE],0))</f>
        <v>1</v>
      </c>
      <c r="L592" t="b">
        <f>ISNUMBER(MATCH(CONTROL[[#This Row],[VEHIDCODE]],GRAPHICS_PROPERTIES[VEHIDCODE],0))</f>
        <v>1</v>
      </c>
      <c r="M592" s="21" t="str">
        <f>"item_"&amp;CONTROL[[#This Row],[VEHIDCODE]]</f>
        <v>item_rbe_SLM_CFe_3_3</v>
      </c>
      <c r="N592" s="21" t="str">
        <f>"str_"&amp;CONTROL[[#This Row],[VEHIDCODE]]</f>
        <v>str_rbe_SLM_CFe_3_3</v>
      </c>
      <c r="O592" s="7" t="b">
        <f>INDEX(PROPERTIES[IS_CONCEPT],MATCH(CONTROL[[#This Row],[VEHIDCODE]],PROPERTIES[VEHIDCODE],0))="IS_CONCEPT"</f>
        <v>0</v>
      </c>
      <c r="P592" s="7" t="b">
        <f>INDEX(PROPERTIES[EXCLUDE],MATCH(CONTROL[[#This Row],[VEHIDCODE]],PROPERTIES[VEHIDCODE],0))</f>
        <v>0</v>
      </c>
      <c r="Q5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3" spans="1:17" x14ac:dyDescent="0.35">
      <c r="A593" s="2" t="s">
        <v>3202</v>
      </c>
      <c r="B593" s="21" t="str">
        <f>MID(CONTROL[[#This Row],[VEHIDCODE]],FIND("_",CONTROL[[#This Row],[VEHIDCODE]])+1,LEN(CONTROL[[#This Row],[VEHIDCODE]]))</f>
        <v>TPC_BVB_Be_2_2</v>
      </c>
      <c r="C5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3">
        <v>3006</v>
      </c>
      <c r="F593" s="30" t="s">
        <v>396</v>
      </c>
      <c r="G593" t="s">
        <v>3526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ISNUMBER(MATCH(CONTROL[[#This Row],[VEHIDCODE]],TRACK_TYPES[VEHIDCODE],0))</f>
        <v>1</v>
      </c>
      <c r="K593" t="b">
        <f>ISNUMBER(MATCH(CONTROL[[#This Row],[VEHIDCODE]],PROPERTIES[VEHIDCODE],0))</f>
        <v>1</v>
      </c>
      <c r="L593" t="b">
        <f>ISNUMBER(MATCH(CONTROL[[#This Row],[VEHIDCODE]],GRAPHICS_PROPERTIES[VEHIDCODE],0))</f>
        <v>1</v>
      </c>
      <c r="M593" s="21" t="str">
        <f>"item_"&amp;CONTROL[[#This Row],[VEHIDCODE]]</f>
        <v>item_rbe_TPC_BVB_Be_2_2</v>
      </c>
      <c r="N593" s="21" t="str">
        <f>"str_"&amp;CONTROL[[#This Row],[VEHIDCODE]]</f>
        <v>str_rbe_TPC_BVB_Be_2_2</v>
      </c>
      <c r="O593" s="7" t="b">
        <f>INDEX(PROPERTIES[IS_CONCEPT],MATCH(CONTROL[[#This Row],[VEHIDCODE]],PROPERTIES[VEHIDCODE],0))="IS_CONCEPT"</f>
        <v>0</v>
      </c>
      <c r="P593" s="7" t="b">
        <f>INDEX(PROPERTIES[EXCLUDE],MATCH(CONTROL[[#This Row],[VEHIDCODE]],PROPERTIES[VEHIDCODE],0))</f>
        <v>0</v>
      </c>
      <c r="Q5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4" spans="1:17" x14ac:dyDescent="0.35">
      <c r="A594" s="2" t="s">
        <v>3203</v>
      </c>
      <c r="B594" s="21" t="str">
        <f>MID(CONTROL[[#This Row],[VEHIDCODE]],FIND("_",CONTROL[[#This Row],[VEHIDCODE]])+1,LEN(CONTROL[[#This Row],[VEHIDCODE]]))</f>
        <v>MVR_Beh_2_4</v>
      </c>
      <c r="C5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4">
        <v>3016</v>
      </c>
      <c r="F594" s="30" t="s">
        <v>397</v>
      </c>
      <c r="G594" t="s">
        <v>1619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ISNUMBER(MATCH(CONTROL[[#This Row],[VEHIDCODE]],TRACK_TYPES[VEHIDCODE],0))</f>
        <v>1</v>
      </c>
      <c r="K594" t="b">
        <f>ISNUMBER(MATCH(CONTROL[[#This Row],[VEHIDCODE]],PROPERTIES[VEHIDCODE],0))</f>
        <v>1</v>
      </c>
      <c r="L594" t="b">
        <f>ISNUMBER(MATCH(CONTROL[[#This Row],[VEHIDCODE]],GRAPHICS_PROPERTIES[VEHIDCODE],0))</f>
        <v>1</v>
      </c>
      <c r="M594" s="21" t="str">
        <f>"item_"&amp;CONTROL[[#This Row],[VEHIDCODE]]</f>
        <v>item_rbe_MVR_Beh_2_4</v>
      </c>
      <c r="N594" s="21" t="str">
        <f>"str_"&amp;CONTROL[[#This Row],[VEHIDCODE]]</f>
        <v>str_rbe_MVR_Beh_2_4</v>
      </c>
      <c r="O594" s="7" t="b">
        <f>INDEX(PROPERTIES[IS_CONCEPT],MATCH(CONTROL[[#This Row],[VEHIDCODE]],PROPERTIES[VEHIDCODE],0))="IS_CONCEPT"</f>
        <v>0</v>
      </c>
      <c r="P594" s="7" t="b">
        <f>INDEX(PROPERTIES[EXCLUDE],MATCH(CONTROL[[#This Row],[VEHIDCODE]],PROPERTIES[VEHIDCODE],0))</f>
        <v>0</v>
      </c>
      <c r="Q5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5" spans="1:17" x14ac:dyDescent="0.35">
      <c r="A595" s="2" t="s">
        <v>3204</v>
      </c>
      <c r="B595" s="21" t="str">
        <f>MID(CONTROL[[#This Row],[VEHIDCODE]],FIND("_",CONTROL[[#This Row],[VEHIDCODE]])+1,LEN(CONTROL[[#This Row],[VEHIDCODE]]))</f>
        <v>Ferrocarril_de_Soller_1_3</v>
      </c>
      <c r="C5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5">
        <v>3007</v>
      </c>
      <c r="F595" s="30" t="s">
        <v>398</v>
      </c>
      <c r="G595" t="s">
        <v>1620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ISNUMBER(MATCH(CONTROL[[#This Row],[VEHIDCODE]],TRACK_TYPES[VEHIDCODE],0))</f>
        <v>1</v>
      </c>
      <c r="K595" t="b">
        <f>ISNUMBER(MATCH(CONTROL[[#This Row],[VEHIDCODE]],PROPERTIES[VEHIDCODE],0))</f>
        <v>1</v>
      </c>
      <c r="L595" t="b">
        <f>ISNUMBER(MATCH(CONTROL[[#This Row],[VEHIDCODE]],GRAPHICS_PROPERTIES[VEHIDCODE],0))</f>
        <v>1</v>
      </c>
      <c r="M595" s="21" t="str">
        <f>"item_"&amp;CONTROL[[#This Row],[VEHIDCODE]]</f>
        <v>item_rbe_Ferrocarril_de_Soller_1_3</v>
      </c>
      <c r="N595" s="21" t="str">
        <f>"str_"&amp;CONTROL[[#This Row],[VEHIDCODE]]</f>
        <v>str_rbe_Ferrocarril_de_Soller_1_3</v>
      </c>
      <c r="O595" s="7" t="b">
        <f>INDEX(PROPERTIES[IS_CONCEPT],MATCH(CONTROL[[#This Row],[VEHIDCODE]],PROPERTIES[VEHIDCODE],0))="IS_CONCEPT"</f>
        <v>0</v>
      </c>
      <c r="P595" s="7" t="b">
        <f>INDEX(PROPERTIES[EXCLUDE],MATCH(CONTROL[[#This Row],[VEHIDCODE]],PROPERTIES[VEHIDCODE],0))</f>
        <v>0</v>
      </c>
      <c r="Q5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6" spans="1:17" x14ac:dyDescent="0.35">
      <c r="A596" s="2" t="s">
        <v>3205</v>
      </c>
      <c r="B596" s="21" t="str">
        <f>MID(CONTROL[[#This Row],[VEHIDCODE]],FIND("_",CONTROL[[#This Row],[VEHIDCODE]])+1,LEN(CONTROL[[#This Row],[VEHIDCODE]]))</f>
        <v>Hitachi_Choshi_DeHa_1000</v>
      </c>
      <c r="C5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src\Railbus\Railbus_Electric</v>
      </c>
      <c r="D5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ID_RANGE_RBE</v>
      </c>
      <c r="E596">
        <v>3011</v>
      </c>
      <c r="F596" s="30" t="s">
        <v>2388</v>
      </c>
      <c r="G596" t="s">
        <v>1621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ISNUMBER(MATCH(CONTROL[[#This Row],[VEHIDCODE]],TRACK_TYPES[VEHIDCODE],0))</f>
        <v>1</v>
      </c>
      <c r="K596" t="b">
        <f>ISNUMBER(MATCH(CONTROL[[#This Row],[VEHIDCODE]],PROPERTIES[VEHIDCODE],0))</f>
        <v>1</v>
      </c>
      <c r="L596" t="b">
        <f>ISNUMBER(MATCH(CONTROL[[#This Row],[VEHIDCODE]],GRAPHICS_PROPERTIES[VEHIDCODE],0))</f>
        <v>1</v>
      </c>
      <c r="M596" s="21" t="str">
        <f>"item_"&amp;CONTROL[[#This Row],[VEHIDCODE]]</f>
        <v>item_rbe_Hitachi_Choshi_DeHa_1000</v>
      </c>
      <c r="N596" s="21" t="str">
        <f>"str_"&amp;CONTROL[[#This Row],[VEHIDCODE]]</f>
        <v>str_rbe_Hitachi_Choshi_DeHa_1000</v>
      </c>
      <c r="O596" s="7" t="b">
        <f>INDEX(PROPERTIES[IS_CONCEPT],MATCH(CONTROL[[#This Row],[VEHIDCODE]],PROPERTIES[VEHIDCODE],0))="IS_CONCEPT"</f>
        <v>0</v>
      </c>
      <c r="P596" s="7" t="b">
        <f>INDEX(PROPERTIES[EXCLUDE],MATCH(CONTROL[[#This Row],[VEHIDCODE]],PROPERTIES[VEHIDCODE],0))</f>
        <v>0</v>
      </c>
      <c r="Q5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597" spans="1:17" x14ac:dyDescent="0.35">
      <c r="A597" s="2" t="s">
        <v>3206</v>
      </c>
      <c r="B597" s="21" t="str">
        <f>MID(CONTROL[[#This Row],[VEHIDCODE]],FIND("_",CONTROL[[#This Row],[VEHIDCODE]])+1,LEN(CONTROL[[#This Row],[VEHIDCODE]]))</f>
        <v>SLM_G_3_4</v>
      </c>
      <c r="C5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5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597">
        <v>4049</v>
      </c>
      <c r="F597" s="30" t="s">
        <v>2389</v>
      </c>
      <c r="G597" t="s">
        <v>1622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ISNUMBER(MATCH(CONTROL[[#This Row],[VEHIDCODE]],TRACK_TYPES[VEHIDCODE],0))</f>
        <v>1</v>
      </c>
      <c r="K597" t="b">
        <f>ISNUMBER(MATCH(CONTROL[[#This Row],[VEHIDCODE]],PROPERTIES[VEHIDCODE],0))</f>
        <v>1</v>
      </c>
      <c r="L597" t="b">
        <f>ISNUMBER(MATCH(CONTROL[[#This Row],[VEHIDCODE]],GRAPHICS_PROPERTIES[VEHIDCODE],0))</f>
        <v>1</v>
      </c>
      <c r="M597" s="21" t="str">
        <f>"item_"&amp;CONTROL[[#This Row],[VEHIDCODE]]</f>
        <v>item_steam_SLM_G_3_4</v>
      </c>
      <c r="N597" s="21" t="str">
        <f>"str_"&amp;CONTROL[[#This Row],[VEHIDCODE]]</f>
        <v>str_steam_SLM_G_3_4</v>
      </c>
      <c r="O597" s="7" t="b">
        <f>INDEX(PROPERTIES[IS_CONCEPT],MATCH(CONTROL[[#This Row],[VEHIDCODE]],PROPERTIES[VEHIDCODE],0))="IS_CONCEPT"</f>
        <v>0</v>
      </c>
      <c r="P597" s="7" t="b">
        <f>INDEX(PROPERTIES[EXCLUDE],MATCH(CONTROL[[#This Row],[VEHIDCODE]],PROPERTIES[VEHIDCODE],0))</f>
        <v>0</v>
      </c>
      <c r="Q5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598" spans="1:17" x14ac:dyDescent="0.35">
      <c r="A598" s="2" t="s">
        <v>3207</v>
      </c>
      <c r="B598" s="21" t="str">
        <f>MID(CONTROL[[#This Row],[VEHIDCODE]],FIND("_",CONTROL[[#This Row],[VEHIDCODE]])+1,LEN(CONTROL[[#This Row],[VEHIDCODE]]))</f>
        <v>Kisha_Seizo_2_10_4T_E10</v>
      </c>
      <c r="C5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5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598">
        <v>4067</v>
      </c>
      <c r="F598" s="30" t="s">
        <v>2390</v>
      </c>
      <c r="G598" t="s">
        <v>1623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ISNUMBER(MATCH(CONTROL[[#This Row],[VEHIDCODE]],TRACK_TYPES[VEHIDCODE],0))</f>
        <v>1</v>
      </c>
      <c r="K598" t="b">
        <f>ISNUMBER(MATCH(CONTROL[[#This Row],[VEHIDCODE]],PROPERTIES[VEHIDCODE],0))</f>
        <v>1</v>
      </c>
      <c r="L598" t="b">
        <f>ISNUMBER(MATCH(CONTROL[[#This Row],[VEHIDCODE]],GRAPHICS_PROPERTIES[VEHIDCODE],0))</f>
        <v>1</v>
      </c>
      <c r="M598" s="21" t="str">
        <f>"item_"&amp;CONTROL[[#This Row],[VEHIDCODE]]</f>
        <v>item_steam_Kisha_Seizo_2_10_4T_E10</v>
      </c>
      <c r="N598" s="21" t="str">
        <f>"str_"&amp;CONTROL[[#This Row],[VEHIDCODE]]</f>
        <v>str_steam_Kisha_Seizo_2_10_4T_E10</v>
      </c>
      <c r="O598" s="7" t="b">
        <f>INDEX(PROPERTIES[IS_CONCEPT],MATCH(CONTROL[[#This Row],[VEHIDCODE]],PROPERTIES[VEHIDCODE],0))="IS_CONCEPT"</f>
        <v>0</v>
      </c>
      <c r="P598" s="7" t="b">
        <f>INDEX(PROPERTIES[EXCLUDE],MATCH(CONTROL[[#This Row],[VEHIDCODE]],PROPERTIES[VEHIDCODE],0))</f>
        <v>0</v>
      </c>
      <c r="Q5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599" spans="1:17" x14ac:dyDescent="0.35">
      <c r="A599" s="2" t="s">
        <v>3208</v>
      </c>
      <c r="B599" s="21" t="str">
        <f>MID(CONTROL[[#This Row],[VEHIDCODE]],FIND("_",CONTROL[[#This Row],[VEHIDCODE]])+1,LEN(CONTROL[[#This Row],[VEHIDCODE]]))</f>
        <v>H__K__Porter__Inc_2_6_0_7100</v>
      </c>
      <c r="C5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5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599">
        <v>4075</v>
      </c>
      <c r="F599" s="30" t="s">
        <v>2560</v>
      </c>
      <c r="G599" t="s">
        <v>1624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ISNUMBER(MATCH(CONTROL[[#This Row],[VEHIDCODE]],TRACK_TYPES[VEHIDCODE],0))</f>
        <v>1</v>
      </c>
      <c r="K599" t="b">
        <f>ISNUMBER(MATCH(CONTROL[[#This Row],[VEHIDCODE]],PROPERTIES[VEHIDCODE],0))</f>
        <v>1</v>
      </c>
      <c r="L599" t="b">
        <f>ISNUMBER(MATCH(CONTROL[[#This Row],[VEHIDCODE]],GRAPHICS_PROPERTIES[VEHIDCODE],0))</f>
        <v>1</v>
      </c>
      <c r="M599" s="21" t="str">
        <f>"item_"&amp;CONTROL[[#This Row],[VEHIDCODE]]</f>
        <v>item_steam_H__K__Porter__Inc_2_6_0_7100</v>
      </c>
      <c r="N599" s="21" t="str">
        <f>"str_"&amp;CONTROL[[#This Row],[VEHIDCODE]]</f>
        <v>str_steam_H__K__Porter__Inc_2_6_0_7100</v>
      </c>
      <c r="O599" s="7" t="b">
        <f>INDEX(PROPERTIES[IS_CONCEPT],MATCH(CONTROL[[#This Row],[VEHIDCODE]],PROPERTIES[VEHIDCODE],0))="IS_CONCEPT"</f>
        <v>0</v>
      </c>
      <c r="P599" s="7" t="b">
        <f>INDEX(PROPERTIES[EXCLUDE],MATCH(CONTROL[[#This Row],[VEHIDCODE]],PROPERTIES[VEHIDCODE],0))</f>
        <v>0</v>
      </c>
      <c r="Q5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00" spans="1:17" x14ac:dyDescent="0.35">
      <c r="A600" s="2" t="s">
        <v>3209</v>
      </c>
      <c r="B600" s="21" t="str">
        <f>MID(CONTROL[[#This Row],[VEHIDCODE]],FIND("_",CONTROL[[#This Row],[VEHIDCODE]])+1,LEN(CONTROL[[#This Row],[VEHIDCODE]]))</f>
        <v>Richard_Francis_Trevithick_2_4_2T_860</v>
      </c>
      <c r="C6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00">
        <v>4077</v>
      </c>
      <c r="F600" s="30" t="s">
        <v>2391</v>
      </c>
      <c r="G600" t="s">
        <v>1625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ISNUMBER(MATCH(CONTROL[[#This Row],[VEHIDCODE]],TRACK_TYPES[VEHIDCODE],0))</f>
        <v>1</v>
      </c>
      <c r="K600" t="b">
        <f>ISNUMBER(MATCH(CONTROL[[#This Row],[VEHIDCODE]],PROPERTIES[VEHIDCODE],0))</f>
        <v>1</v>
      </c>
      <c r="L600" t="b">
        <f>ISNUMBER(MATCH(CONTROL[[#This Row],[VEHIDCODE]],GRAPHICS_PROPERTIES[VEHIDCODE],0))</f>
        <v>1</v>
      </c>
      <c r="M600" s="21" t="str">
        <f>"item_"&amp;CONTROL[[#This Row],[VEHIDCODE]]</f>
        <v>item_steam_Richard_Francis_Trevithick_2_4_2T_860</v>
      </c>
      <c r="N600" s="21" t="str">
        <f>"str_"&amp;CONTROL[[#This Row],[VEHIDCODE]]</f>
        <v>str_steam_Richard_Francis_Trevithick_2_4_2T_860</v>
      </c>
      <c r="O600" s="7" t="b">
        <f>INDEX(PROPERTIES[IS_CONCEPT],MATCH(CONTROL[[#This Row],[VEHIDCODE]],PROPERTIES[VEHIDCODE],0))="IS_CONCEPT"</f>
        <v>0</v>
      </c>
      <c r="P600" s="7" t="b">
        <f>INDEX(PROPERTIES[EXCLUDE],MATCH(CONTROL[[#This Row],[VEHIDCODE]],PROPERTIES[VEHIDCODE],0))</f>
        <v>0</v>
      </c>
      <c r="Q6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01" spans="1:17" x14ac:dyDescent="0.35">
      <c r="A601" s="2" t="s">
        <v>3210</v>
      </c>
      <c r="B601" s="21" t="str">
        <f>MID(CONTROL[[#This Row],[VEHIDCODE]],FIND("_",CONTROL[[#This Row],[VEHIDCODE]])+1,LEN(CONTROL[[#This Row],[VEHIDCODE]]))</f>
        <v>Kawasaki_2_8_0_9600</v>
      </c>
      <c r="C6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01">
        <v>4086</v>
      </c>
      <c r="F601" s="30" t="s">
        <v>2392</v>
      </c>
      <c r="G601" t="s">
        <v>1626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ISNUMBER(MATCH(CONTROL[[#This Row],[VEHIDCODE]],TRACK_TYPES[VEHIDCODE],0))</f>
        <v>1</v>
      </c>
      <c r="K601" t="b">
        <f>ISNUMBER(MATCH(CONTROL[[#This Row],[VEHIDCODE]],PROPERTIES[VEHIDCODE],0))</f>
        <v>1</v>
      </c>
      <c r="L601" t="b">
        <f>ISNUMBER(MATCH(CONTROL[[#This Row],[VEHIDCODE]],GRAPHICS_PROPERTIES[VEHIDCODE],0))</f>
        <v>1</v>
      </c>
      <c r="M601" s="21" t="str">
        <f>"item_"&amp;CONTROL[[#This Row],[VEHIDCODE]]</f>
        <v>item_steam_Kawasaki_2_8_0_9600</v>
      </c>
      <c r="N601" s="21" t="str">
        <f>"str_"&amp;CONTROL[[#This Row],[VEHIDCODE]]</f>
        <v>str_steam_Kawasaki_2_8_0_9600</v>
      </c>
      <c r="O601" s="7" t="b">
        <f>INDEX(PROPERTIES[IS_CONCEPT],MATCH(CONTROL[[#This Row],[VEHIDCODE]],PROPERTIES[VEHIDCODE],0))="IS_CONCEPT"</f>
        <v>0</v>
      </c>
      <c r="P601" s="7" t="b">
        <f>INDEX(PROPERTIES[EXCLUDE],MATCH(CONTROL[[#This Row],[VEHIDCODE]],PROPERTIES[VEHIDCODE],0))</f>
        <v>0</v>
      </c>
      <c r="Q6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02" spans="1:17" x14ac:dyDescent="0.35">
      <c r="A602" s="2" t="s">
        <v>3211</v>
      </c>
      <c r="B602" s="21" t="str">
        <f>MID(CONTROL[[#This Row],[VEHIDCODE]],FIND("_",CONTROL[[#This Row],[VEHIDCODE]])+1,LEN(CONTROL[[#This Row],[VEHIDCODE]]))</f>
        <v>Kawasaki_2_8_2_D50</v>
      </c>
      <c r="C6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6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602">
        <v>4111</v>
      </c>
      <c r="F602" s="30" t="s">
        <v>2393</v>
      </c>
      <c r="G602" t="s">
        <v>1627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ISNUMBER(MATCH(CONTROL[[#This Row],[VEHIDCODE]],TRACK_TYPES[VEHIDCODE],0))</f>
        <v>1</v>
      </c>
      <c r="K602" t="b">
        <f>ISNUMBER(MATCH(CONTROL[[#This Row],[VEHIDCODE]],PROPERTIES[VEHIDCODE],0))</f>
        <v>1</v>
      </c>
      <c r="L602" t="b">
        <f>ISNUMBER(MATCH(CONTROL[[#This Row],[VEHIDCODE]],GRAPHICS_PROPERTIES[VEHIDCODE],0))</f>
        <v>1</v>
      </c>
      <c r="M602" s="21" t="str">
        <f>"item_"&amp;CONTROL[[#This Row],[VEHIDCODE]]</f>
        <v>item_steam_Kawasaki_2_8_2_D50</v>
      </c>
      <c r="N602" s="21" t="str">
        <f>"str_"&amp;CONTROL[[#This Row],[VEHIDCODE]]</f>
        <v>str_steam_Kawasaki_2_8_2_D50</v>
      </c>
      <c r="O602" s="7" t="b">
        <f>INDEX(PROPERTIES[IS_CONCEPT],MATCH(CONTROL[[#This Row],[VEHIDCODE]],PROPERTIES[VEHIDCODE],0))="IS_CONCEPT"</f>
        <v>0</v>
      </c>
      <c r="P602" s="7" t="b">
        <f>INDEX(PROPERTIES[EXCLUDE],MATCH(CONTROL[[#This Row],[VEHIDCODE]],PROPERTIES[VEHIDCODE],0))</f>
        <v>0</v>
      </c>
      <c r="Q6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603" spans="1:17" x14ac:dyDescent="0.35">
      <c r="A603" s="2" t="s">
        <v>3212</v>
      </c>
      <c r="B603" s="21" t="str">
        <f>MID(CONTROL[[#This Row],[VEHIDCODE]],FIND("_",CONTROL[[#This Row],[VEHIDCODE]])+1,LEN(CONTROL[[#This Row],[VEHIDCODE]]))</f>
        <v>Kisha_Mitsubishi_NS_DF50</v>
      </c>
      <c r="C6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6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603">
        <v>5082</v>
      </c>
      <c r="F603" s="30" t="s">
        <v>2394</v>
      </c>
      <c r="G603" t="s">
        <v>1628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ISNUMBER(MATCH(CONTROL[[#This Row],[VEHIDCODE]],TRACK_TYPES[VEHIDCODE],0))</f>
        <v>1</v>
      </c>
      <c r="K603" t="b">
        <f>ISNUMBER(MATCH(CONTROL[[#This Row],[VEHIDCODE]],PROPERTIES[VEHIDCODE],0))</f>
        <v>1</v>
      </c>
      <c r="L603" t="b">
        <f>ISNUMBER(MATCH(CONTROL[[#This Row],[VEHIDCODE]],GRAPHICS_PROPERTIES[VEHIDCODE],0))</f>
        <v>1</v>
      </c>
      <c r="M603" s="21" t="str">
        <f>"item_"&amp;CONTROL[[#This Row],[VEHIDCODE]]</f>
        <v>item_diesel_Kisha_Mitsubishi_NS_DF50</v>
      </c>
      <c r="N603" s="21" t="str">
        <f>"str_"&amp;CONTROL[[#This Row],[VEHIDCODE]]</f>
        <v>str_diesel_Kisha_Mitsubishi_NS_DF50</v>
      </c>
      <c r="O603" s="7" t="b">
        <f>INDEX(PROPERTIES[IS_CONCEPT],MATCH(CONTROL[[#This Row],[VEHIDCODE]],PROPERTIES[VEHIDCODE],0))="IS_CONCEPT"</f>
        <v>0</v>
      </c>
      <c r="P603" s="7" t="b">
        <f>INDEX(PROPERTIES[EXCLUDE],MATCH(CONTROL[[#This Row],[VEHIDCODE]],PROPERTIES[VEHIDCODE],0))</f>
        <v>0</v>
      </c>
      <c r="Q6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4" spans="1:17" x14ac:dyDescent="0.35">
      <c r="A604" s="2" t="s">
        <v>3213</v>
      </c>
      <c r="B604" s="21" t="str">
        <f>MID(CONTROL[[#This Row],[VEHIDCODE]],FIND("_",CONTROL[[#This Row],[VEHIDCODE]])+1,LEN(CONTROL[[#This Row],[VEHIDCODE]]))</f>
        <v>SIG_Alioth_De_2_2</v>
      </c>
      <c r="C6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4">
        <v>6000</v>
      </c>
      <c r="F604" s="30" t="s">
        <v>2395</v>
      </c>
      <c r="G604" t="s">
        <v>1629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ISNUMBER(MATCH(CONTROL[[#This Row],[VEHIDCODE]],TRACK_TYPES[VEHIDCODE],0))</f>
        <v>1</v>
      </c>
      <c r="K604" t="b">
        <f>ISNUMBER(MATCH(CONTROL[[#This Row],[VEHIDCODE]],PROPERTIES[VEHIDCODE],0))</f>
        <v>1</v>
      </c>
      <c r="L604" t="b">
        <f>ISNUMBER(MATCH(CONTROL[[#This Row],[VEHIDCODE]],GRAPHICS_PROPERTIES[VEHIDCODE],0))</f>
        <v>1</v>
      </c>
      <c r="M604" s="21" t="str">
        <f>"item_"&amp;CONTROL[[#This Row],[VEHIDCODE]]</f>
        <v>item_electric_SIG_Alioth_De_2_2</v>
      </c>
      <c r="N604" s="21" t="str">
        <f>"str_"&amp;CONTROL[[#This Row],[VEHIDCODE]]</f>
        <v>str_electric_SIG_Alioth_De_2_2</v>
      </c>
      <c r="O604" s="7" t="b">
        <f>INDEX(PROPERTIES[IS_CONCEPT],MATCH(CONTROL[[#This Row],[VEHIDCODE]],PROPERTIES[VEHIDCODE],0))="IS_CONCEPT"</f>
        <v>0</v>
      </c>
      <c r="P604" s="7" t="b">
        <f>INDEX(PROPERTIES[EXCLUDE],MATCH(CONTROL[[#This Row],[VEHIDCODE]],PROPERTIES[VEHIDCODE],0))</f>
        <v>0</v>
      </c>
      <c r="Q6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5" spans="1:17" x14ac:dyDescent="0.35">
      <c r="A605" s="2" t="s">
        <v>3214</v>
      </c>
      <c r="B605" s="21" t="str">
        <f>MID(CONTROL[[#This Row],[VEHIDCODE]],FIND("_",CONTROL[[#This Row],[VEHIDCODE]])+1,LEN(CONTROL[[#This Row],[VEHIDCODE]]))</f>
        <v>Toshiba_EH10</v>
      </c>
      <c r="C6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5">
        <v>6081</v>
      </c>
      <c r="F605" s="30" t="s">
        <v>2396</v>
      </c>
      <c r="G605" t="s">
        <v>1630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ISNUMBER(MATCH(CONTROL[[#This Row],[VEHIDCODE]],TRACK_TYPES[VEHIDCODE],0))</f>
        <v>1</v>
      </c>
      <c r="K605" t="b">
        <f>ISNUMBER(MATCH(CONTROL[[#This Row],[VEHIDCODE]],PROPERTIES[VEHIDCODE],0))</f>
        <v>1</v>
      </c>
      <c r="L605" t="b">
        <f>ISNUMBER(MATCH(CONTROL[[#This Row],[VEHIDCODE]],GRAPHICS_PROPERTIES[VEHIDCODE],0))</f>
        <v>1</v>
      </c>
      <c r="M605" s="21" t="str">
        <f>"item_"&amp;CONTROL[[#This Row],[VEHIDCODE]]</f>
        <v>item_electric_Toshiba_EH10</v>
      </c>
      <c r="N605" s="21" t="str">
        <f>"str_"&amp;CONTROL[[#This Row],[VEHIDCODE]]</f>
        <v>str_electric_Toshiba_EH10</v>
      </c>
      <c r="O605" s="7" t="b">
        <f>INDEX(PROPERTIES[IS_CONCEPT],MATCH(CONTROL[[#This Row],[VEHIDCODE]],PROPERTIES[VEHIDCODE],0))="IS_CONCEPT"</f>
        <v>0</v>
      </c>
      <c r="P605" s="7" t="b">
        <f>INDEX(PROPERTIES[EXCLUDE],MATCH(CONTROL[[#This Row],[VEHIDCODE]],PROPERTIES[VEHIDCODE],0))</f>
        <v>0</v>
      </c>
      <c r="Q6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06" spans="1:17" x14ac:dyDescent="0.35">
      <c r="A606" s="2" t="s">
        <v>3215</v>
      </c>
      <c r="B606" s="21" t="str">
        <f>MID(CONTROL[[#This Row],[VEHIDCODE]],FIND("_",CONTROL[[#This Row],[VEHIDCODE]])+1,LEN(CONTROL[[#This Row],[VEHIDCODE]]))</f>
        <v>Kawasaki_Toshiba_EF64</v>
      </c>
      <c r="C6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6">
        <v>6029</v>
      </c>
      <c r="F606" s="30" t="s">
        <v>2397</v>
      </c>
      <c r="G606" t="s">
        <v>1631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ISNUMBER(MATCH(CONTROL[[#This Row],[VEHIDCODE]],TRACK_TYPES[VEHIDCODE],0))</f>
        <v>1</v>
      </c>
      <c r="K606" t="b">
        <f>ISNUMBER(MATCH(CONTROL[[#This Row],[VEHIDCODE]],PROPERTIES[VEHIDCODE],0))</f>
        <v>1</v>
      </c>
      <c r="L606" t="b">
        <f>ISNUMBER(MATCH(CONTROL[[#This Row],[VEHIDCODE]],GRAPHICS_PROPERTIES[VEHIDCODE],0))</f>
        <v>1</v>
      </c>
      <c r="M606" s="21" t="str">
        <f>"item_"&amp;CONTROL[[#This Row],[VEHIDCODE]]</f>
        <v>item_electric_Kawasaki_Toshiba_EF64</v>
      </c>
      <c r="N606" s="21" t="str">
        <f>"str_"&amp;CONTROL[[#This Row],[VEHIDCODE]]</f>
        <v>str_electric_Kawasaki_Toshiba_EF64</v>
      </c>
      <c r="O606" s="7" t="b">
        <f>INDEX(PROPERTIES[IS_CONCEPT],MATCH(CONTROL[[#This Row],[VEHIDCODE]],PROPERTIES[VEHIDCODE],0))="IS_CONCEPT"</f>
        <v>0</v>
      </c>
      <c r="P606" s="7" t="b">
        <f>INDEX(PROPERTIES[EXCLUDE],MATCH(CONTROL[[#This Row],[VEHIDCODE]],PROPERTIES[VEHIDCODE],0))</f>
        <v>0</v>
      </c>
      <c r="Q6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7" spans="1:17" x14ac:dyDescent="0.35">
      <c r="A607" s="2" t="s">
        <v>3216</v>
      </c>
      <c r="B607" s="21" t="str">
        <f>MID(CONTROL[[#This Row],[VEHIDCODE]],FIND("_",CONTROL[[#This Row],[VEHIDCODE]])+1,LEN(CONTROL[[#This Row],[VEHIDCODE]]))</f>
        <v>EEC_EO_Class</v>
      </c>
      <c r="C6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7">
        <v>6073</v>
      </c>
      <c r="F607" s="30" t="s">
        <v>2398</v>
      </c>
      <c r="G607" t="s">
        <v>1632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ISNUMBER(MATCH(CONTROL[[#This Row],[VEHIDCODE]],TRACK_TYPES[VEHIDCODE],0))</f>
        <v>1</v>
      </c>
      <c r="K607" t="b">
        <f>ISNUMBER(MATCH(CONTROL[[#This Row],[VEHIDCODE]],PROPERTIES[VEHIDCODE],0))</f>
        <v>1</v>
      </c>
      <c r="L607" t="b">
        <f>ISNUMBER(MATCH(CONTROL[[#This Row],[VEHIDCODE]],GRAPHICS_PROPERTIES[VEHIDCODE],0))</f>
        <v>1</v>
      </c>
      <c r="M607" s="21" t="str">
        <f>"item_"&amp;CONTROL[[#This Row],[VEHIDCODE]]</f>
        <v>item_electric_EEC_EO_Class</v>
      </c>
      <c r="N607" s="21" t="str">
        <f>"str_"&amp;CONTROL[[#This Row],[VEHIDCODE]]</f>
        <v>str_electric_EEC_EO_Class</v>
      </c>
      <c r="O607" s="7" t="b">
        <f>INDEX(PROPERTIES[IS_CONCEPT],MATCH(CONTROL[[#This Row],[VEHIDCODE]],PROPERTIES[VEHIDCODE],0))="IS_CONCEPT"</f>
        <v>0</v>
      </c>
      <c r="P607" s="7" t="b">
        <f>INDEX(PROPERTIES[EXCLUDE],MATCH(CONTROL[[#This Row],[VEHIDCODE]],PROPERTIES[VEHIDCODE],0))</f>
        <v>0</v>
      </c>
      <c r="Q6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8" spans="1:17" x14ac:dyDescent="0.35">
      <c r="A608" s="2" t="s">
        <v>3217</v>
      </c>
      <c r="B608" s="21" t="str">
        <f>MID(CONTROL[[#This Row],[VEHIDCODE]],FIND("_",CONTROL[[#This Row],[VEHIDCODE]])+1,LEN(CONTROL[[#This Row],[VEHIDCODE]]))</f>
        <v>Tulloch_0_6_0DM_W_Class</v>
      </c>
      <c r="C6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8">
        <v>6079</v>
      </c>
      <c r="F608" s="30" t="s">
        <v>3472</v>
      </c>
      <c r="G608" t="s">
        <v>1633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ISNUMBER(MATCH(CONTROL[[#This Row],[VEHIDCODE]],TRACK_TYPES[VEHIDCODE],0))</f>
        <v>1</v>
      </c>
      <c r="K608" t="b">
        <f>ISNUMBER(MATCH(CONTROL[[#This Row],[VEHIDCODE]],PROPERTIES[VEHIDCODE],0))</f>
        <v>1</v>
      </c>
      <c r="L608" t="b">
        <f>ISNUMBER(MATCH(CONTROL[[#This Row],[VEHIDCODE]],GRAPHICS_PROPERTIES[VEHIDCODE],0))</f>
        <v>1</v>
      </c>
      <c r="M608" s="21" t="str">
        <f>"item_"&amp;CONTROL[[#This Row],[VEHIDCODE]]</f>
        <v>item_electric_Tulloch_0_6_0DM_W_Class</v>
      </c>
      <c r="N608" s="21" t="str">
        <f>"str_"&amp;CONTROL[[#This Row],[VEHIDCODE]]</f>
        <v>str_electric_Tulloch_0_6_0DM_W_Class</v>
      </c>
      <c r="O608" s="7" t="b">
        <f>INDEX(PROPERTIES[IS_CONCEPT],MATCH(CONTROL[[#This Row],[VEHIDCODE]],PROPERTIES[VEHIDCODE],0))="IS_CONCEPT"</f>
        <v>0</v>
      </c>
      <c r="P608" s="7" t="b">
        <f>INDEX(PROPERTIES[EXCLUDE],MATCH(CONTROL[[#This Row],[VEHIDCODE]],PROPERTIES[VEHIDCODE],0))</f>
        <v>1</v>
      </c>
      <c r="Q6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09" spans="1:17" x14ac:dyDescent="0.35">
      <c r="A609" s="2" t="s">
        <v>3218</v>
      </c>
      <c r="B609" s="21" t="str">
        <f>MID(CONTROL[[#This Row],[VEHIDCODE]],FIND("_",CONTROL[[#This Row],[VEHIDCODE]])+1,LEN(CONTROL[[#This Row],[VEHIDCODE]]))</f>
        <v>GEC_NBLC_SAR_4E_</v>
      </c>
      <c r="C6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09">
        <v>6080</v>
      </c>
      <c r="F609" s="30" t="s">
        <v>2400</v>
      </c>
      <c r="G609" t="s">
        <v>1634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ISNUMBER(MATCH(CONTROL[[#This Row],[VEHIDCODE]],TRACK_TYPES[VEHIDCODE],0))</f>
        <v>1</v>
      </c>
      <c r="K609" t="b">
        <f>ISNUMBER(MATCH(CONTROL[[#This Row],[VEHIDCODE]],PROPERTIES[VEHIDCODE],0))</f>
        <v>1</v>
      </c>
      <c r="L609" t="b">
        <f>ISNUMBER(MATCH(CONTROL[[#This Row],[VEHIDCODE]],GRAPHICS_PROPERTIES[VEHIDCODE],0))</f>
        <v>1</v>
      </c>
      <c r="M609" s="21" t="str">
        <f>"item_"&amp;CONTROL[[#This Row],[VEHIDCODE]]</f>
        <v>item_electric_GEC_NBLC_SAR_4E_</v>
      </c>
      <c r="N609" s="21" t="str">
        <f>"str_"&amp;CONTROL[[#This Row],[VEHIDCODE]]</f>
        <v>str_electric_GEC_NBLC_SAR_4E_</v>
      </c>
      <c r="O609" s="7" t="b">
        <f>INDEX(PROPERTIES[IS_CONCEPT],MATCH(CONTROL[[#This Row],[VEHIDCODE]],PROPERTIES[VEHIDCODE],0))="IS_CONCEPT"</f>
        <v>0</v>
      </c>
      <c r="P609" s="7" t="b">
        <f>INDEX(PROPERTIES[EXCLUDE],MATCH(CONTROL[[#This Row],[VEHIDCODE]],PROPERTIES[VEHIDCODE],0))</f>
        <v>0</v>
      </c>
      <c r="Q6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0" spans="1:17" x14ac:dyDescent="0.35">
      <c r="A610" s="2" t="s">
        <v>3219</v>
      </c>
      <c r="B610" s="21" t="str">
        <f>MID(CONTROL[[#This Row],[VEHIDCODE]],FIND("_",CONTROL[[#This Row],[VEHIDCODE]])+1,LEN(CONTROL[[#This Row],[VEHIDCODE]]))</f>
        <v>Metrowick_MV_5E1</v>
      </c>
      <c r="C6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0">
        <v>6088</v>
      </c>
      <c r="F610" s="30" t="s">
        <v>2401</v>
      </c>
      <c r="G610" t="s">
        <v>1635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ISNUMBER(MATCH(CONTROL[[#This Row],[VEHIDCODE]],TRACK_TYPES[VEHIDCODE],0))</f>
        <v>1</v>
      </c>
      <c r="K610" t="b">
        <f>ISNUMBER(MATCH(CONTROL[[#This Row],[VEHIDCODE]],PROPERTIES[VEHIDCODE],0))</f>
        <v>1</v>
      </c>
      <c r="L610" t="b">
        <f>ISNUMBER(MATCH(CONTROL[[#This Row],[VEHIDCODE]],GRAPHICS_PROPERTIES[VEHIDCODE],0))</f>
        <v>1</v>
      </c>
      <c r="M610" s="21" t="str">
        <f>"item_"&amp;CONTROL[[#This Row],[VEHIDCODE]]</f>
        <v>item_electric_Metrowick_MV_5E1</v>
      </c>
      <c r="N610" s="21" t="str">
        <f>"str_"&amp;CONTROL[[#This Row],[VEHIDCODE]]</f>
        <v>str_electric_Metrowick_MV_5E1</v>
      </c>
      <c r="O610" s="7" t="b">
        <f>INDEX(PROPERTIES[IS_CONCEPT],MATCH(CONTROL[[#This Row],[VEHIDCODE]],PROPERTIES[VEHIDCODE],0))="IS_CONCEPT"</f>
        <v>0</v>
      </c>
      <c r="P610" s="7" t="b">
        <f>INDEX(PROPERTIES[EXCLUDE],MATCH(CONTROL[[#This Row],[VEHIDCODE]],PROPERTIES[VEHIDCODE],0))</f>
        <v>0</v>
      </c>
      <c r="Q6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1" spans="1:17" x14ac:dyDescent="0.35">
      <c r="A611" s="2" t="s">
        <v>3220</v>
      </c>
      <c r="B611" s="21" t="str">
        <f>MID(CONTROL[[#This Row],[VEHIDCODE]],FIND("_",CONTROL[[#This Row],[VEHIDCODE]])+1,LEN(CONTROL[[#This Row],[VEHIDCODE]]))</f>
        <v>UCW_6E</v>
      </c>
      <c r="C6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1">
        <v>6033</v>
      </c>
      <c r="F611" s="30" t="s">
        <v>2402</v>
      </c>
      <c r="G611" t="s">
        <v>1636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ISNUMBER(MATCH(CONTROL[[#This Row],[VEHIDCODE]],TRACK_TYPES[VEHIDCODE],0))</f>
        <v>1</v>
      </c>
      <c r="K611" t="b">
        <f>ISNUMBER(MATCH(CONTROL[[#This Row],[VEHIDCODE]],PROPERTIES[VEHIDCODE],0))</f>
        <v>1</v>
      </c>
      <c r="L611" t="b">
        <f>ISNUMBER(MATCH(CONTROL[[#This Row],[VEHIDCODE]],GRAPHICS_PROPERTIES[VEHIDCODE],0))</f>
        <v>1</v>
      </c>
      <c r="M611" s="21" t="str">
        <f>"item_"&amp;CONTROL[[#This Row],[VEHIDCODE]]</f>
        <v>item_electric_UCW_6E</v>
      </c>
      <c r="N611" s="21" t="str">
        <f>"str_"&amp;CONTROL[[#This Row],[VEHIDCODE]]</f>
        <v>str_electric_UCW_6E</v>
      </c>
      <c r="O611" s="7" t="b">
        <f>INDEX(PROPERTIES[IS_CONCEPT],MATCH(CONTROL[[#This Row],[VEHIDCODE]],PROPERTIES[VEHIDCODE],0))="IS_CONCEPT"</f>
        <v>0</v>
      </c>
      <c r="P611" s="7" t="b">
        <f>INDEX(PROPERTIES[EXCLUDE],MATCH(CONTROL[[#This Row],[VEHIDCODE]],PROPERTIES[VEHIDCODE],0))</f>
        <v>0</v>
      </c>
      <c r="Q6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2" spans="1:17" x14ac:dyDescent="0.35">
      <c r="A612" s="2" t="s">
        <v>3221</v>
      </c>
      <c r="B612" s="21" t="str">
        <f>MID(CONTROL[[#This Row],[VEHIDCODE]],FIND("_",CONTROL[[#This Row],[VEHIDCODE]])+1,LEN(CONTROL[[#This Row],[VEHIDCODE]]))</f>
        <v>SLM_BBC_MFO_Ge_4_4_I</v>
      </c>
      <c r="C6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2">
        <v>6078</v>
      </c>
      <c r="F612" s="30" t="s">
        <v>2403</v>
      </c>
      <c r="G612" t="s">
        <v>1639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ISNUMBER(MATCH(CONTROL[[#This Row],[VEHIDCODE]],TRACK_TYPES[VEHIDCODE],0))</f>
        <v>1</v>
      </c>
      <c r="K612" t="b">
        <f>ISNUMBER(MATCH(CONTROL[[#This Row],[VEHIDCODE]],PROPERTIES[VEHIDCODE],0))</f>
        <v>1</v>
      </c>
      <c r="L612" t="b">
        <f>ISNUMBER(MATCH(CONTROL[[#This Row],[VEHIDCODE]],GRAPHICS_PROPERTIES[VEHIDCODE],0))</f>
        <v>1</v>
      </c>
      <c r="M612" s="21" t="str">
        <f>"item_"&amp;CONTROL[[#This Row],[VEHIDCODE]]</f>
        <v>item_electric_SLM_BBC_MFO_Ge_4_4_I</v>
      </c>
      <c r="N612" s="21" t="str">
        <f>"str_"&amp;CONTROL[[#This Row],[VEHIDCODE]]</f>
        <v>str_electric_SLM_BBC_MFO_Ge_4_4_I</v>
      </c>
      <c r="O612" s="7" t="b">
        <f>INDEX(PROPERTIES[IS_CONCEPT],MATCH(CONTROL[[#This Row],[VEHIDCODE]],PROPERTIES[VEHIDCODE],0))="IS_CONCEPT"</f>
        <v>0</v>
      </c>
      <c r="P612" s="7" t="b">
        <f>INDEX(PROPERTIES[EXCLUDE],MATCH(CONTROL[[#This Row],[VEHIDCODE]],PROPERTIES[VEHIDCODE],0))</f>
        <v>0</v>
      </c>
      <c r="Q6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3" spans="1:17" x14ac:dyDescent="0.35">
      <c r="A613" s="2" t="s">
        <v>3222</v>
      </c>
      <c r="B613" s="21" t="str">
        <f>MID(CONTROL[[#This Row],[VEHIDCODE]],FIND("_",CONTROL[[#This Row],[VEHIDCODE]])+1,LEN(CONTROL[[#This Row],[VEHIDCODE]]))</f>
        <v>SLM_BBC_MFO_Ge_6_6_Krokodil</v>
      </c>
      <c r="C6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3">
        <v>6070</v>
      </c>
      <c r="F613" s="30" t="s">
        <v>2404</v>
      </c>
      <c r="G613" t="s">
        <v>1640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ISNUMBER(MATCH(CONTROL[[#This Row],[VEHIDCODE]],TRACK_TYPES[VEHIDCODE],0))</f>
        <v>1</v>
      </c>
      <c r="K613" t="b">
        <f>ISNUMBER(MATCH(CONTROL[[#This Row],[VEHIDCODE]],PROPERTIES[VEHIDCODE],0))</f>
        <v>1</v>
      </c>
      <c r="L613" t="b">
        <f>ISNUMBER(MATCH(CONTROL[[#This Row],[VEHIDCODE]],GRAPHICS_PROPERTIES[VEHIDCODE],0))</f>
        <v>1</v>
      </c>
      <c r="M613" s="21" t="str">
        <f>"item_"&amp;CONTROL[[#This Row],[VEHIDCODE]]</f>
        <v>item_electric_SLM_BBC_MFO_Ge_6_6_Krokodil</v>
      </c>
      <c r="N613" s="21" t="str">
        <f>"str_"&amp;CONTROL[[#This Row],[VEHIDCODE]]</f>
        <v>str_electric_SLM_BBC_MFO_Ge_6_6_Krokodil</v>
      </c>
      <c r="O613" s="7" t="b">
        <f>INDEX(PROPERTIES[IS_CONCEPT],MATCH(CONTROL[[#This Row],[VEHIDCODE]],PROPERTIES[VEHIDCODE],0))="IS_CONCEPT"</f>
        <v>0</v>
      </c>
      <c r="P613" s="7" t="b">
        <f>INDEX(PROPERTIES[EXCLUDE],MATCH(CONTROL[[#This Row],[VEHIDCODE]],PROPERTIES[VEHIDCODE],0))</f>
        <v>0</v>
      </c>
      <c r="Q6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614" spans="1:17" x14ac:dyDescent="0.35">
      <c r="A614" s="2" t="s">
        <v>3223</v>
      </c>
      <c r="B614" s="21" t="str">
        <f>MID(CONTROL[[#This Row],[VEHIDCODE]],FIND("_",CONTROL[[#This Row],[VEHIDCODE]])+1,LEN(CONTROL[[#This Row],[VEHIDCODE]]))</f>
        <v>Stadler_He_4_4</v>
      </c>
      <c r="C6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4">
        <v>6133</v>
      </c>
      <c r="F614" s="30" t="s">
        <v>1955</v>
      </c>
      <c r="G614" t="s">
        <v>1956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ISNUMBER(MATCH(CONTROL[[#This Row],[VEHIDCODE]],TRACK_TYPES[VEHIDCODE],0))</f>
        <v>1</v>
      </c>
      <c r="K614" t="b">
        <f>ISNUMBER(MATCH(CONTROL[[#This Row],[VEHIDCODE]],PROPERTIES[VEHIDCODE],0))</f>
        <v>1</v>
      </c>
      <c r="L614" t="b">
        <f>ISNUMBER(MATCH(CONTROL[[#This Row],[VEHIDCODE]],GRAPHICS_PROPERTIES[VEHIDCODE],0))</f>
        <v>1</v>
      </c>
      <c r="M614" s="21" t="str">
        <f>"item_"&amp;CONTROL[[#This Row],[VEHIDCODE]]</f>
        <v>item_electric_Stadler_He_4_4</v>
      </c>
      <c r="N614" s="21" t="str">
        <f>"str_"&amp;CONTROL[[#This Row],[VEHIDCODE]]</f>
        <v>str_electric_Stadler_He_4_4</v>
      </c>
      <c r="O614" s="7" t="b">
        <f>INDEX(PROPERTIES[IS_CONCEPT],MATCH(CONTROL[[#This Row],[VEHIDCODE]],PROPERTIES[VEHIDCODE],0))="IS_CONCEPT"</f>
        <v>0</v>
      </c>
      <c r="P614" s="7" t="b">
        <f>INDEX(PROPERTIES[EXCLUDE],MATCH(CONTROL[[#This Row],[VEHIDCODE]],PROPERTIES[VEHIDCODE],0))</f>
        <v>0</v>
      </c>
      <c r="Q6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5" spans="1:17" x14ac:dyDescent="0.35">
      <c r="A615" s="2" t="s">
        <v>3224</v>
      </c>
      <c r="B615" s="21" t="str">
        <f>MID(CONTROL[[#This Row],[VEHIDCODE]],FIND("_",CONTROL[[#This Row],[VEHIDCODE]])+1,LEN(CONTROL[[#This Row],[VEHIDCODE]]))</f>
        <v>UCW_50_c_s_Group_7E</v>
      </c>
      <c r="C6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5">
        <v>6128</v>
      </c>
      <c r="F615" s="30" t="s">
        <v>2405</v>
      </c>
      <c r="G615" t="s">
        <v>1637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ISNUMBER(MATCH(CONTROL[[#This Row],[VEHIDCODE]],TRACK_TYPES[VEHIDCODE],0))</f>
        <v>1</v>
      </c>
      <c r="K615" t="b">
        <f>ISNUMBER(MATCH(CONTROL[[#This Row],[VEHIDCODE]],PROPERTIES[VEHIDCODE],0))</f>
        <v>1</v>
      </c>
      <c r="L615" t="b">
        <f>ISNUMBER(MATCH(CONTROL[[#This Row],[VEHIDCODE]],GRAPHICS_PROPERTIES[VEHIDCODE],0))</f>
        <v>1</v>
      </c>
      <c r="M615" s="21" t="str">
        <f>"item_"&amp;CONTROL[[#This Row],[VEHIDCODE]]</f>
        <v>item_electric_UCW_50_c_s_Group_7E</v>
      </c>
      <c r="N615" s="21" t="str">
        <f>"str_"&amp;CONTROL[[#This Row],[VEHIDCODE]]</f>
        <v>str_electric_UCW_50_c_s_Group_7E</v>
      </c>
      <c r="O615" s="7" t="b">
        <f>INDEX(PROPERTIES[IS_CONCEPT],MATCH(CONTROL[[#This Row],[VEHIDCODE]],PROPERTIES[VEHIDCODE],0))="IS_CONCEPT"</f>
        <v>0</v>
      </c>
      <c r="P615" s="7" t="b">
        <f>INDEX(PROPERTIES[EXCLUDE],MATCH(CONTROL[[#This Row],[VEHIDCODE]],PROPERTIES[VEHIDCODE],0))</f>
        <v>0</v>
      </c>
      <c r="Q6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6" spans="1:17" x14ac:dyDescent="0.35">
      <c r="A616" s="2" t="s">
        <v>3225</v>
      </c>
      <c r="B616" s="21" t="str">
        <f>MID(CONTROL[[#This Row],[VEHIDCODE]],FIND("_",CONTROL[[#This Row],[VEHIDCODE]])+1,LEN(CONTROL[[#This Row],[VEHIDCODE]]))</f>
        <v>General_Motors_GM5FC</v>
      </c>
      <c r="C6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6">
        <v>6130</v>
      </c>
      <c r="F616" s="30" t="s">
        <v>2406</v>
      </c>
      <c r="G616" t="s">
        <v>1638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ISNUMBER(MATCH(CONTROL[[#This Row],[VEHIDCODE]],TRACK_TYPES[VEHIDCODE],0))</f>
        <v>1</v>
      </c>
      <c r="K616" t="b">
        <f>ISNUMBER(MATCH(CONTROL[[#This Row],[VEHIDCODE]],PROPERTIES[VEHIDCODE],0))</f>
        <v>1</v>
      </c>
      <c r="L616" t="b">
        <f>ISNUMBER(MATCH(CONTROL[[#This Row],[VEHIDCODE]],GRAPHICS_PROPERTIES[VEHIDCODE],0))</f>
        <v>1</v>
      </c>
      <c r="M616" s="21" t="str">
        <f>"item_"&amp;CONTROL[[#This Row],[VEHIDCODE]]</f>
        <v>item_electric_General_Motors_GM5FC</v>
      </c>
      <c r="N616" s="21" t="str">
        <f>"str_"&amp;CONTROL[[#This Row],[VEHIDCODE]]</f>
        <v>str_electric_General_Motors_GM5FC</v>
      </c>
      <c r="O616" s="7" t="b">
        <f>INDEX(PROPERTIES[IS_CONCEPT],MATCH(CONTROL[[#This Row],[VEHIDCODE]],PROPERTIES[VEHIDCODE],0))="IS_CONCEPT"</f>
        <v>0</v>
      </c>
      <c r="P616" s="7" t="b">
        <f>INDEX(PROPERTIES[EXCLUDE],MATCH(CONTROL[[#This Row],[VEHIDCODE]],PROPERTIES[VEHIDCODE],0))</f>
        <v>0</v>
      </c>
      <c r="Q6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7" spans="1:17" x14ac:dyDescent="0.35">
      <c r="A617" s="2" t="s">
        <v>3226</v>
      </c>
      <c r="B617" s="21" t="str">
        <f>MID(CONTROL[[#This Row],[VEHIDCODE]],FIND("_",CONTROL[[#This Row],[VEHIDCODE]])+1,LEN(CONTROL[[#This Row],[VEHIDCODE]]))</f>
        <v>Brush_EF_Class</v>
      </c>
      <c r="C6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17">
        <v>6113</v>
      </c>
      <c r="F617" s="30" t="s">
        <v>2407</v>
      </c>
      <c r="G617" t="s">
        <v>1641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ISNUMBER(MATCH(CONTROL[[#This Row],[VEHIDCODE]],TRACK_TYPES[VEHIDCODE],0))</f>
        <v>1</v>
      </c>
      <c r="K617" t="b">
        <f>ISNUMBER(MATCH(CONTROL[[#This Row],[VEHIDCODE]],PROPERTIES[VEHIDCODE],0))</f>
        <v>1</v>
      </c>
      <c r="L617" t="b">
        <f>ISNUMBER(MATCH(CONTROL[[#This Row],[VEHIDCODE]],GRAPHICS_PROPERTIES[VEHIDCODE],0))</f>
        <v>1</v>
      </c>
      <c r="M617" s="21" t="str">
        <f>"item_"&amp;CONTROL[[#This Row],[VEHIDCODE]]</f>
        <v>item_electric_Brush_EF_Class</v>
      </c>
      <c r="N617" s="21" t="str">
        <f>"str_"&amp;CONTROL[[#This Row],[VEHIDCODE]]</f>
        <v>str_electric_Brush_EF_Class</v>
      </c>
      <c r="O617" s="7" t="b">
        <f>INDEX(PROPERTIES[IS_CONCEPT],MATCH(CONTROL[[#This Row],[VEHIDCODE]],PROPERTIES[VEHIDCODE],0))="IS_CONCEPT"</f>
        <v>0</v>
      </c>
      <c r="P617" s="7" t="b">
        <f>INDEX(PROPERTIES[EXCLUDE],MATCH(CONTROL[[#This Row],[VEHIDCODE]],PROPERTIES[VEHIDCODE],0))</f>
        <v>0</v>
      </c>
      <c r="Q6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18" spans="1:17" x14ac:dyDescent="0.35">
      <c r="A618" s="2" t="s">
        <v>3227</v>
      </c>
      <c r="B618" s="21" t="str">
        <f>MID(CONTROL[[#This Row],[VEHIDCODE]],FIND("_",CONTROL[[#This Row],[VEHIDCODE]])+1,LEN(CONTROL[[#This Row],[VEHIDCODE]]))</f>
        <v>Nippon_Sharyo_Odakyu_3100_series_NSE</v>
      </c>
      <c r="C6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18">
        <v>8010</v>
      </c>
      <c r="F618" s="30" t="s">
        <v>2408</v>
      </c>
      <c r="G618" t="s">
        <v>1583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ISNUMBER(MATCH(CONTROL[[#This Row],[VEHIDCODE]],TRACK_TYPES[VEHIDCODE],0))</f>
        <v>1</v>
      </c>
      <c r="K618" t="b">
        <f>ISNUMBER(MATCH(CONTROL[[#This Row],[VEHIDCODE]],PROPERTIES[VEHIDCODE],0))</f>
        <v>1</v>
      </c>
      <c r="L618" t="b">
        <f>ISNUMBER(MATCH(CONTROL[[#This Row],[VEHIDCODE]],GRAPHICS_PROPERTIES[VEHIDCODE],0))</f>
        <v>1</v>
      </c>
      <c r="M618" s="21" t="str">
        <f>"item_"&amp;CONTROL[[#This Row],[VEHIDCODE]]</f>
        <v>item_emu_Nippon_Sharyo_Odakyu_3100_series_NSE</v>
      </c>
      <c r="N618" s="21" t="str">
        <f>"str_"&amp;CONTROL[[#This Row],[VEHIDCODE]]</f>
        <v>str_emu_Nippon_Sharyo_Odakyu_3100_series_NSE</v>
      </c>
      <c r="O618" s="7" t="b">
        <f>INDEX(PROPERTIES[IS_CONCEPT],MATCH(CONTROL[[#This Row],[VEHIDCODE]],PROPERTIES[VEHIDCODE],0))="IS_CONCEPT"</f>
        <v>0</v>
      </c>
      <c r="P618" s="7" t="b">
        <f>INDEX(PROPERTIES[EXCLUDE],MATCH(CONTROL[[#This Row],[VEHIDCODE]],PROPERTIES[VEHIDCODE],0))</f>
        <v>0</v>
      </c>
      <c r="Q6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19" spans="1:17" x14ac:dyDescent="0.35">
      <c r="A619" s="2" t="s">
        <v>3228</v>
      </c>
      <c r="B619" s="21" t="str">
        <f>MID(CONTROL[[#This Row],[VEHIDCODE]],FIND("_",CONTROL[[#This Row],[VEHIDCODE]])+1,LEN(CONTROL[[#This Row],[VEHIDCODE]]))</f>
        <v>Nippon_Sharyo_Odakyu_10000_series_HiSE</v>
      </c>
      <c r="C6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19">
        <v>8021</v>
      </c>
      <c r="F619" s="30" t="s">
        <v>2409</v>
      </c>
      <c r="G619" t="s">
        <v>1584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ISNUMBER(MATCH(CONTROL[[#This Row],[VEHIDCODE]],TRACK_TYPES[VEHIDCODE],0))</f>
        <v>1</v>
      </c>
      <c r="K619" t="b">
        <f>ISNUMBER(MATCH(CONTROL[[#This Row],[VEHIDCODE]],PROPERTIES[VEHIDCODE],0))</f>
        <v>1</v>
      </c>
      <c r="L619" t="b">
        <f>ISNUMBER(MATCH(CONTROL[[#This Row],[VEHIDCODE]],GRAPHICS_PROPERTIES[VEHIDCODE],0))</f>
        <v>1</v>
      </c>
      <c r="M619" s="21" t="str">
        <f>"item_"&amp;CONTROL[[#This Row],[VEHIDCODE]]</f>
        <v>item_emu_Nippon_Sharyo_Odakyu_10000_series_HiSE</v>
      </c>
      <c r="N619" s="21" t="str">
        <f>"str_"&amp;CONTROL[[#This Row],[VEHIDCODE]]</f>
        <v>str_emu_Nippon_Sharyo_Odakyu_10000_series_HiSE</v>
      </c>
      <c r="O619" s="7" t="b">
        <f>INDEX(PROPERTIES[IS_CONCEPT],MATCH(CONTROL[[#This Row],[VEHIDCODE]],PROPERTIES[VEHIDCODE],0))="IS_CONCEPT"</f>
        <v>0</v>
      </c>
      <c r="P619" s="7" t="b">
        <f>INDEX(PROPERTIES[EXCLUDE],MATCH(CONTROL[[#This Row],[VEHIDCODE]],PROPERTIES[VEHIDCODE],0))</f>
        <v>0</v>
      </c>
      <c r="Q6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20" spans="1:17" x14ac:dyDescent="0.35">
      <c r="A620" s="2" t="s">
        <v>3229</v>
      </c>
      <c r="B620" s="21" t="str">
        <f>MID(CONTROL[[#This Row],[VEHIDCODE]],FIND("_",CONTROL[[#This Row],[VEHIDCODE]])+1,LEN(CONTROL[[#This Row],[VEHIDCODE]]))</f>
        <v>Comeng_Goninan_S_set</v>
      </c>
      <c r="C6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0">
        <v>8015</v>
      </c>
      <c r="F620" s="30" t="s">
        <v>2410</v>
      </c>
      <c r="G620" t="s">
        <v>1585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ISNUMBER(MATCH(CONTROL[[#This Row],[VEHIDCODE]],TRACK_TYPES[VEHIDCODE],0))</f>
        <v>1</v>
      </c>
      <c r="K620" t="b">
        <f>ISNUMBER(MATCH(CONTROL[[#This Row],[VEHIDCODE]],PROPERTIES[VEHIDCODE],0))</f>
        <v>1</v>
      </c>
      <c r="L620" t="b">
        <f>ISNUMBER(MATCH(CONTROL[[#This Row],[VEHIDCODE]],GRAPHICS_PROPERTIES[VEHIDCODE],0))</f>
        <v>1</v>
      </c>
      <c r="M620" s="21" t="str">
        <f>"item_"&amp;CONTROL[[#This Row],[VEHIDCODE]]</f>
        <v>item_emu_Comeng_Goninan_S_set</v>
      </c>
      <c r="N620" s="21" t="str">
        <f>"str_"&amp;CONTROL[[#This Row],[VEHIDCODE]]</f>
        <v>str_emu_Comeng_Goninan_S_set</v>
      </c>
      <c r="O620" s="7" t="b">
        <f>INDEX(PROPERTIES[IS_CONCEPT],MATCH(CONTROL[[#This Row],[VEHIDCODE]],PROPERTIES[VEHIDCODE],0))="IS_CONCEPT"</f>
        <v>0</v>
      </c>
      <c r="P620" s="7" t="b">
        <f>INDEX(PROPERTIES[EXCLUDE],MATCH(CONTROL[[#This Row],[VEHIDCODE]],PROPERTIES[VEHIDCODE],0))</f>
        <v>0</v>
      </c>
      <c r="Q6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1" spans="1:17" x14ac:dyDescent="0.35">
      <c r="A621" s="2" t="s">
        <v>3230</v>
      </c>
      <c r="B621" s="21" t="str">
        <f>MID(CONTROL[[#This Row],[VEHIDCODE]],FIND("_",CONTROL[[#This Row],[VEHIDCODE]])+1,LEN(CONTROL[[#This Row],[VEHIDCODE]]))</f>
        <v>UGL_Rail_H_set_OSCAR</v>
      </c>
      <c r="C6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1">
        <v>8040</v>
      </c>
      <c r="F621" s="30" t="s">
        <v>2411</v>
      </c>
      <c r="G621" t="s">
        <v>1586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ISNUMBER(MATCH(CONTROL[[#This Row],[VEHIDCODE]],TRACK_TYPES[VEHIDCODE],0))</f>
        <v>1</v>
      </c>
      <c r="K621" t="b">
        <f>ISNUMBER(MATCH(CONTROL[[#This Row],[VEHIDCODE]],PROPERTIES[VEHIDCODE],0))</f>
        <v>1</v>
      </c>
      <c r="L621" t="b">
        <f>ISNUMBER(MATCH(CONTROL[[#This Row],[VEHIDCODE]],GRAPHICS_PROPERTIES[VEHIDCODE],0))</f>
        <v>1</v>
      </c>
      <c r="M621" s="21" t="str">
        <f>"item_"&amp;CONTROL[[#This Row],[VEHIDCODE]]</f>
        <v>item_emu_UGL_Rail_H_set_OSCAR</v>
      </c>
      <c r="N621" s="21" t="str">
        <f>"str_"&amp;CONTROL[[#This Row],[VEHIDCODE]]</f>
        <v>str_emu_UGL_Rail_H_set_OSCAR</v>
      </c>
      <c r="O621" s="7" t="b">
        <f>INDEX(PROPERTIES[IS_CONCEPT],MATCH(CONTROL[[#This Row],[VEHIDCODE]],PROPERTIES[VEHIDCODE],0))="IS_CONCEPT"</f>
        <v>0</v>
      </c>
      <c r="P621" s="7" t="b">
        <f>INDEX(PROPERTIES[EXCLUDE],MATCH(CONTROL[[#This Row],[VEHIDCODE]],PROPERTIES[VEHIDCODE],0))</f>
        <v>0</v>
      </c>
      <c r="Q6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2" spans="1:17" x14ac:dyDescent="0.35">
      <c r="A622" s="2" t="s">
        <v>3231</v>
      </c>
      <c r="B622" s="21" t="str">
        <f>MID(CONTROL[[#This Row],[VEHIDCODE]],FIND("_",CONTROL[[#This Row],[VEHIDCODE]])+1,LEN(CONTROL[[#This Row],[VEHIDCODE]]))</f>
        <v>Victorian_Railways_Swing_Door</v>
      </c>
      <c r="C6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2">
        <v>8046</v>
      </c>
      <c r="F622" s="30" t="s">
        <v>399</v>
      </c>
      <c r="G622" t="s">
        <v>1587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ISNUMBER(MATCH(CONTROL[[#This Row],[VEHIDCODE]],TRACK_TYPES[VEHIDCODE],0))</f>
        <v>1</v>
      </c>
      <c r="K622" t="b">
        <f>ISNUMBER(MATCH(CONTROL[[#This Row],[VEHIDCODE]],PROPERTIES[VEHIDCODE],0))</f>
        <v>1</v>
      </c>
      <c r="L622" t="b">
        <f>ISNUMBER(MATCH(CONTROL[[#This Row],[VEHIDCODE]],GRAPHICS_PROPERTIES[VEHIDCODE],0))</f>
        <v>1</v>
      </c>
      <c r="M622" s="21" t="str">
        <f>"item_"&amp;CONTROL[[#This Row],[VEHIDCODE]]</f>
        <v>item_emu_Victorian_Railways_Swing_Door</v>
      </c>
      <c r="N622" s="21" t="str">
        <f>"str_"&amp;CONTROL[[#This Row],[VEHIDCODE]]</f>
        <v>str_emu_Victorian_Railways_Swing_Door</v>
      </c>
      <c r="O622" s="7" t="b">
        <f>INDEX(PROPERTIES[IS_CONCEPT],MATCH(CONTROL[[#This Row],[VEHIDCODE]],PROPERTIES[VEHIDCODE],0))="IS_CONCEPT"</f>
        <v>0</v>
      </c>
      <c r="P622" s="7" t="b">
        <f>INDEX(PROPERTIES[EXCLUDE],MATCH(CONTROL[[#This Row],[VEHIDCODE]],PROPERTIES[VEHIDCODE],0))</f>
        <v>0</v>
      </c>
      <c r="Q6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3" spans="1:17" x14ac:dyDescent="0.35">
      <c r="A623" s="2" t="s">
        <v>3470</v>
      </c>
      <c r="B623" s="21" t="str">
        <f>MID(CONTROL[[#This Row],[VEHIDCODE]],FIND("_",CONTROL[[#This Row],[VEHIDCODE]])+1,LEN(CONTROL[[#This Row],[VEHIDCODE]]))</f>
        <v>Ganz_MAVAG_EM_ET_DNU</v>
      </c>
      <c r="C6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3">
        <v>8052</v>
      </c>
      <c r="F623" s="30" t="s">
        <v>2412</v>
      </c>
      <c r="G623" t="s">
        <v>1588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ISNUMBER(MATCH(CONTROL[[#This Row],[VEHIDCODE]],TRACK_TYPES[VEHIDCODE],0))</f>
        <v>1</v>
      </c>
      <c r="K623" t="b">
        <f>ISNUMBER(MATCH(CONTROL[[#This Row],[VEHIDCODE]],PROPERTIES[VEHIDCODE],0))</f>
        <v>1</v>
      </c>
      <c r="L623" t="b">
        <f>ISNUMBER(MATCH(CONTROL[[#This Row],[VEHIDCODE]],GRAPHICS_PROPERTIES[VEHIDCODE],0))</f>
        <v>1</v>
      </c>
      <c r="M623" s="21" t="str">
        <f>"item_"&amp;CONTROL[[#This Row],[VEHIDCODE]]</f>
        <v>item_emu_Ganz_MAVAG_EM_ET_DNU</v>
      </c>
      <c r="N623" s="21" t="str">
        <f>"str_"&amp;CONTROL[[#This Row],[VEHIDCODE]]</f>
        <v>str_emu_Ganz_MAVAG_EM_ET_DNU</v>
      </c>
      <c r="O623" s="7" t="b">
        <f>INDEX(PROPERTIES[IS_CONCEPT],MATCH(CONTROL[[#This Row],[VEHIDCODE]],PROPERTIES[VEHIDCODE],0))="IS_CONCEPT"</f>
        <v>0</v>
      </c>
      <c r="P623" s="7" t="b">
        <f>INDEX(PROPERTIES[EXCLUDE],MATCH(CONTROL[[#This Row],[VEHIDCODE]],PROPERTIES[VEHIDCODE],0))</f>
        <v>1</v>
      </c>
      <c r="Q6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4" spans="1:17" x14ac:dyDescent="0.35">
      <c r="A624" s="2" t="s">
        <v>3233</v>
      </c>
      <c r="B624" s="21" t="str">
        <f>MID(CONTROL[[#This Row],[VEHIDCODE]],FIND("_",CONTROL[[#This Row],[VEHIDCODE]])+1,LEN(CONTROL[[#This Row],[VEHIDCODE]]))</f>
        <v>Metro_Cammell_5M2</v>
      </c>
      <c r="C6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4">
        <v>8049</v>
      </c>
      <c r="F624" s="30" t="s">
        <v>2413</v>
      </c>
      <c r="G624" t="s">
        <v>1589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ISNUMBER(MATCH(CONTROL[[#This Row],[VEHIDCODE]],TRACK_TYPES[VEHIDCODE],0))</f>
        <v>1</v>
      </c>
      <c r="K624" t="b">
        <f>ISNUMBER(MATCH(CONTROL[[#This Row],[VEHIDCODE]],PROPERTIES[VEHIDCODE],0))</f>
        <v>1</v>
      </c>
      <c r="L624" t="b">
        <f>ISNUMBER(MATCH(CONTROL[[#This Row],[VEHIDCODE]],GRAPHICS_PROPERTIES[VEHIDCODE],0))</f>
        <v>1</v>
      </c>
      <c r="M624" s="21" t="str">
        <f>"item_"&amp;CONTROL[[#This Row],[VEHIDCODE]]</f>
        <v>item_emu_Metro_Cammell_5M2</v>
      </c>
      <c r="N624" s="21" t="str">
        <f>"str_"&amp;CONTROL[[#This Row],[VEHIDCODE]]</f>
        <v>str_emu_Metro_Cammell_5M2</v>
      </c>
      <c r="O624" s="7" t="b">
        <f>INDEX(PROPERTIES[IS_CONCEPT],MATCH(CONTROL[[#This Row],[VEHIDCODE]],PROPERTIES[VEHIDCODE],0))="IS_CONCEPT"</f>
        <v>0</v>
      </c>
      <c r="P624" s="7" t="b">
        <f>INDEX(PROPERTIES[EXCLUDE],MATCH(CONTROL[[#This Row],[VEHIDCODE]],PROPERTIES[VEHIDCODE],0))</f>
        <v>0</v>
      </c>
      <c r="Q6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5" spans="1:17" x14ac:dyDescent="0.35">
      <c r="A625" s="2" t="s">
        <v>3234</v>
      </c>
      <c r="B625" s="21" t="str">
        <f>MID(CONTROL[[#This Row],[VEHIDCODE]],FIND("_",CONTROL[[#This Row],[VEHIDCODE]])+1,LEN(CONTROL[[#This Row],[VEHIDCODE]]))</f>
        <v>Alstom_XTrapolis_100</v>
      </c>
      <c r="C6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5">
        <v>8057</v>
      </c>
      <c r="F625" s="30" t="s">
        <v>2414</v>
      </c>
      <c r="G625" t="s">
        <v>1590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ISNUMBER(MATCH(CONTROL[[#This Row],[VEHIDCODE]],TRACK_TYPES[VEHIDCODE],0))</f>
        <v>1</v>
      </c>
      <c r="K625" t="b">
        <f>ISNUMBER(MATCH(CONTROL[[#This Row],[VEHIDCODE]],PROPERTIES[VEHIDCODE],0))</f>
        <v>1</v>
      </c>
      <c r="L625" t="b">
        <f>ISNUMBER(MATCH(CONTROL[[#This Row],[VEHIDCODE]],GRAPHICS_PROPERTIES[VEHIDCODE],0))</f>
        <v>1</v>
      </c>
      <c r="M625" s="21" t="str">
        <f>"item_"&amp;CONTROL[[#This Row],[VEHIDCODE]]</f>
        <v>item_emu_Alstom_XTrapolis_100</v>
      </c>
      <c r="N625" s="21" t="str">
        <f>"str_"&amp;CONTROL[[#This Row],[VEHIDCODE]]</f>
        <v>str_emu_Alstom_XTrapolis_100</v>
      </c>
      <c r="O625" s="7" t="b">
        <f>INDEX(PROPERTIES[IS_CONCEPT],MATCH(CONTROL[[#This Row],[VEHIDCODE]],PROPERTIES[VEHIDCODE],0))="IS_CONCEPT"</f>
        <v>0</v>
      </c>
      <c r="P625" s="7" t="b">
        <f>INDEX(PROPERTIES[EXCLUDE],MATCH(CONTROL[[#This Row],[VEHIDCODE]],PROPERTIES[VEHIDCODE],0))</f>
        <v>0</v>
      </c>
      <c r="Q6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6" spans="1:17" x14ac:dyDescent="0.35">
      <c r="A626" s="2" t="s">
        <v>3235</v>
      </c>
      <c r="B626" s="21" t="str">
        <f>MID(CONTROL[[#This Row],[VEHIDCODE]],FIND("_",CONTROL[[#This Row],[VEHIDCODE]])+1,LEN(CONTROL[[#This Row],[VEHIDCODE]]))</f>
        <v>GEC_Fiat_AES_Railcar</v>
      </c>
      <c r="C6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6">
        <v>8056</v>
      </c>
      <c r="F626" s="30" t="s">
        <v>2415</v>
      </c>
      <c r="G626" t="s">
        <v>1591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ISNUMBER(MATCH(CONTROL[[#This Row],[VEHIDCODE]],TRACK_TYPES[VEHIDCODE],0))</f>
        <v>1</v>
      </c>
      <c r="K626" t="b">
        <f>ISNUMBER(MATCH(CONTROL[[#This Row],[VEHIDCODE]],PROPERTIES[VEHIDCODE],0))</f>
        <v>1</v>
      </c>
      <c r="L626" t="b">
        <f>ISNUMBER(MATCH(CONTROL[[#This Row],[VEHIDCODE]],GRAPHICS_PROPERTIES[VEHIDCODE],0))</f>
        <v>1</v>
      </c>
      <c r="M626" s="21" t="str">
        <f>"item_"&amp;CONTROL[[#This Row],[VEHIDCODE]]</f>
        <v>item_emu_GEC_Fiat_AES_Railcar</v>
      </c>
      <c r="N626" s="21" t="str">
        <f>"str_"&amp;CONTROL[[#This Row],[VEHIDCODE]]</f>
        <v>str_emu_GEC_Fiat_AES_Railcar</v>
      </c>
      <c r="O626" s="7" t="b">
        <f>INDEX(PROPERTIES[IS_CONCEPT],MATCH(CONTROL[[#This Row],[VEHIDCODE]],PROPERTIES[VEHIDCODE],0))="IS_CONCEPT"</f>
        <v>0</v>
      </c>
      <c r="P626" s="7" t="b">
        <f>INDEX(PROPERTIES[EXCLUDE],MATCH(CONTROL[[#This Row],[VEHIDCODE]],PROPERTIES[VEHIDCODE],0))</f>
        <v>1</v>
      </c>
      <c r="Q6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27" spans="1:17" x14ac:dyDescent="0.35">
      <c r="A627" s="2" t="s">
        <v>3236</v>
      </c>
      <c r="B627" s="21" t="str">
        <f>MID(CONTROL[[#This Row],[VEHIDCODE]],FIND("_",CONTROL[[#This Row],[VEHIDCODE]])+1,LEN(CONTROL[[#This Row],[VEHIDCODE]]))</f>
        <v>Ganz_MAVAG_YZ_E</v>
      </c>
      <c r="C6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7">
        <v>8058</v>
      </c>
      <c r="F627" s="30" t="s">
        <v>2416</v>
      </c>
      <c r="G627" t="s">
        <v>2417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ISNUMBER(MATCH(CONTROL[[#This Row],[VEHIDCODE]],TRACK_TYPES[VEHIDCODE],0))</f>
        <v>1</v>
      </c>
      <c r="K627" t="b">
        <f>ISNUMBER(MATCH(CONTROL[[#This Row],[VEHIDCODE]],PROPERTIES[VEHIDCODE],0))</f>
        <v>1</v>
      </c>
      <c r="L627" t="b">
        <f>ISNUMBER(MATCH(CONTROL[[#This Row],[VEHIDCODE]],GRAPHICS_PROPERTIES[VEHIDCODE],0))</f>
        <v>1</v>
      </c>
      <c r="M627" s="21" t="str">
        <f>"item_"&amp;CONTROL[[#This Row],[VEHIDCODE]]</f>
        <v>item_emu_Ganz_MAVAG_YZ_E</v>
      </c>
      <c r="N627" s="21" t="str">
        <f>"str_"&amp;CONTROL[[#This Row],[VEHIDCODE]]</f>
        <v>str_emu_Ganz_MAVAG_YZ_E</v>
      </c>
      <c r="O627" s="7" t="b">
        <f>INDEX(PROPERTIES[IS_CONCEPT],MATCH(CONTROL[[#This Row],[VEHIDCODE]],PROPERTIES[VEHIDCODE],0))="IS_CONCEPT"</f>
        <v>0</v>
      </c>
      <c r="P627" s="7" t="b">
        <f>INDEX(PROPERTIES[EXCLUDE],MATCH(CONTROL[[#This Row],[VEHIDCODE]],PROPERTIES[VEHIDCODE],0))</f>
        <v>0</v>
      </c>
      <c r="Q6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28" spans="1:17" x14ac:dyDescent="0.35">
      <c r="A628" s="2" t="s">
        <v>3237</v>
      </c>
      <c r="B628" s="21" t="str">
        <f>MID(CONTROL[[#This Row],[VEHIDCODE]],FIND("_",CONTROL[[#This Row],[VEHIDCODE]])+1,LEN(CONTROL[[#This Row],[VEHIDCODE]]))</f>
        <v>Walkers_Tilt_Train_ETT</v>
      </c>
      <c r="C6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28">
        <v>8066</v>
      </c>
      <c r="F628" s="30" t="s">
        <v>2418</v>
      </c>
      <c r="G628" t="s">
        <v>1592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ISNUMBER(MATCH(CONTROL[[#This Row],[VEHIDCODE]],TRACK_TYPES[VEHIDCODE],0))</f>
        <v>1</v>
      </c>
      <c r="K628" t="b">
        <f>ISNUMBER(MATCH(CONTROL[[#This Row],[VEHIDCODE]],PROPERTIES[VEHIDCODE],0))</f>
        <v>1</v>
      </c>
      <c r="L628" t="b">
        <f>ISNUMBER(MATCH(CONTROL[[#This Row],[VEHIDCODE]],GRAPHICS_PROPERTIES[VEHIDCODE],0))</f>
        <v>1</v>
      </c>
      <c r="M628" s="21" t="str">
        <f>"item_"&amp;CONTROL[[#This Row],[VEHIDCODE]]</f>
        <v>item_emu_Walkers_Tilt_Train_ETT</v>
      </c>
      <c r="N628" s="21" t="str">
        <f>"str_"&amp;CONTROL[[#This Row],[VEHIDCODE]]</f>
        <v>str_emu_Walkers_Tilt_Train_ETT</v>
      </c>
      <c r="O628" s="7" t="b">
        <f>INDEX(PROPERTIES[IS_CONCEPT],MATCH(CONTROL[[#This Row],[VEHIDCODE]],PROPERTIES[VEHIDCODE],0))="IS_CONCEPT"</f>
        <v>0</v>
      </c>
      <c r="P628" s="7" t="b">
        <f>INDEX(PROPERTIES[EXCLUDE],MATCH(CONTROL[[#This Row],[VEHIDCODE]],PROPERTIES[VEHIDCODE],0))</f>
        <v>0</v>
      </c>
      <c r="Q6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29" spans="1:17" x14ac:dyDescent="0.35">
      <c r="A629" s="2" t="s">
        <v>3238</v>
      </c>
      <c r="B629" s="21" t="str">
        <f>MID(CONTROL[[#This Row],[VEHIDCODE]],FIND("_",CONTROL[[#This Row],[VEHIDCODE]])+1,LEN(CONTROL[[#This Row],[VEHIDCODE]]))</f>
        <v>NEVZ_TEVZ_VL15</v>
      </c>
      <c r="C6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29">
        <v>6041</v>
      </c>
      <c r="F629" s="30" t="s">
        <v>2037</v>
      </c>
      <c r="G629" t="s">
        <v>1598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ISNUMBER(MATCH(CONTROL[[#This Row],[VEHIDCODE]],TRACK_TYPES[VEHIDCODE],0))</f>
        <v>1</v>
      </c>
      <c r="K629" t="b">
        <f>ISNUMBER(MATCH(CONTROL[[#This Row],[VEHIDCODE]],PROPERTIES[VEHIDCODE],0))</f>
        <v>1</v>
      </c>
      <c r="L629" t="b">
        <f>ISNUMBER(MATCH(CONTROL[[#This Row],[VEHIDCODE]],GRAPHICS_PROPERTIES[VEHIDCODE],0))</f>
        <v>1</v>
      </c>
      <c r="M629" s="21" t="str">
        <f>"item_"&amp;CONTROL[[#This Row],[VEHIDCODE]]</f>
        <v>item_electric_NEVZ_TEVZ_VL15</v>
      </c>
      <c r="N629" s="21" t="str">
        <f>"str_"&amp;CONTROL[[#This Row],[VEHIDCODE]]</f>
        <v>str_electric_NEVZ_TEVZ_VL15</v>
      </c>
      <c r="O629" s="7" t="b">
        <f>INDEX(PROPERTIES[IS_CONCEPT],MATCH(CONTROL[[#This Row],[VEHIDCODE]],PROPERTIES[VEHIDCODE],0))="IS_CONCEPT"</f>
        <v>0</v>
      </c>
      <c r="P629" s="7" t="b">
        <f>INDEX(PROPERTIES[EXCLUDE],MATCH(CONTROL[[#This Row],[VEHIDCODE]],PROPERTIES[VEHIDCODE],0))</f>
        <v>0</v>
      </c>
      <c r="Q6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0" spans="1:17" x14ac:dyDescent="0.35">
      <c r="A630" s="2" t="s">
        <v>3239</v>
      </c>
      <c r="B630" s="21" t="str">
        <f>MID(CONTROL[[#This Row],[VEHIDCODE]],FIND("_",CONTROL[[#This Row],[VEHIDCODE]])+1,LEN(CONTROL[[#This Row],[VEHIDCODE]]))</f>
        <v>TEVZ_VL11</v>
      </c>
      <c r="C6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0">
        <v>6134</v>
      </c>
      <c r="F630" s="30" t="s">
        <v>2038</v>
      </c>
      <c r="G630" t="s">
        <v>1599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ISNUMBER(MATCH(CONTROL[[#This Row],[VEHIDCODE]],TRACK_TYPES[VEHIDCODE],0))</f>
        <v>1</v>
      </c>
      <c r="K630" t="b">
        <f>ISNUMBER(MATCH(CONTROL[[#This Row],[VEHIDCODE]],PROPERTIES[VEHIDCODE],0))</f>
        <v>1</v>
      </c>
      <c r="L630" t="b">
        <f>ISNUMBER(MATCH(CONTROL[[#This Row],[VEHIDCODE]],GRAPHICS_PROPERTIES[VEHIDCODE],0))</f>
        <v>1</v>
      </c>
      <c r="M630" s="21" t="str">
        <f>"item_"&amp;CONTROL[[#This Row],[VEHIDCODE]]</f>
        <v>item_electric_TEVZ_VL11</v>
      </c>
      <c r="N630" s="21" t="str">
        <f>"str_"&amp;CONTROL[[#This Row],[VEHIDCODE]]</f>
        <v>str_electric_TEVZ_VL11</v>
      </c>
      <c r="O630" s="7" t="b">
        <f>INDEX(PROPERTIES[IS_CONCEPT],MATCH(CONTROL[[#This Row],[VEHIDCODE]],PROPERTIES[VEHIDCODE],0))="IS_CONCEPT"</f>
        <v>0</v>
      </c>
      <c r="P630" s="7" t="b">
        <f>INDEX(PROPERTIES[EXCLUDE],MATCH(CONTROL[[#This Row],[VEHIDCODE]],PROPERTIES[VEHIDCODE],0))</f>
        <v>0</v>
      </c>
      <c r="Q6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1" spans="1:17" x14ac:dyDescent="0.35">
      <c r="A631" s="2" t="s">
        <v>3240</v>
      </c>
      <c r="B631" s="21" t="str">
        <f>MID(CONTROL[[#This Row],[VEHIDCODE]],FIND("_",CONTROL[[#This Row],[VEHIDCODE]])+1,LEN(CONTROL[[#This Row],[VEHIDCODE]]))</f>
        <v>NEVZ_VL22M</v>
      </c>
      <c r="C6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1">
        <v>6018</v>
      </c>
      <c r="F631" s="30" t="s">
        <v>2026</v>
      </c>
      <c r="G631" t="s">
        <v>1600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ISNUMBER(MATCH(CONTROL[[#This Row],[VEHIDCODE]],TRACK_TYPES[VEHIDCODE],0))</f>
        <v>1</v>
      </c>
      <c r="K631" t="b">
        <f>ISNUMBER(MATCH(CONTROL[[#This Row],[VEHIDCODE]],PROPERTIES[VEHIDCODE],0))</f>
        <v>1</v>
      </c>
      <c r="L631" t="b">
        <f>ISNUMBER(MATCH(CONTROL[[#This Row],[VEHIDCODE]],GRAPHICS_PROPERTIES[VEHIDCODE],0))</f>
        <v>1</v>
      </c>
      <c r="M631" s="21" t="str">
        <f>"item_"&amp;CONTROL[[#This Row],[VEHIDCODE]]</f>
        <v>item_electric_NEVZ_VL22M</v>
      </c>
      <c r="N631" s="21" t="str">
        <f>"str_"&amp;CONTROL[[#This Row],[VEHIDCODE]]</f>
        <v>str_electric_NEVZ_VL22M</v>
      </c>
      <c r="O631" s="7" t="b">
        <f>INDEX(PROPERTIES[IS_CONCEPT],MATCH(CONTROL[[#This Row],[VEHIDCODE]],PROPERTIES[VEHIDCODE],0))="IS_CONCEPT"</f>
        <v>0</v>
      </c>
      <c r="P631" s="7" t="b">
        <f>INDEX(PROPERTIES[EXCLUDE],MATCH(CONTROL[[#This Row],[VEHIDCODE]],PROPERTIES[VEHIDCODE],0))</f>
        <v>0</v>
      </c>
      <c r="Q6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2" spans="1:17" x14ac:dyDescent="0.35">
      <c r="A632" s="2" t="s">
        <v>3241</v>
      </c>
      <c r="B632" s="21" t="str">
        <f>MID(CONTROL[[#This Row],[VEHIDCODE]],FIND("_",CONTROL[[#This Row],[VEHIDCODE]])+1,LEN(CONTROL[[#This Row],[VEHIDCODE]]))</f>
        <v>DEVZ_DE1</v>
      </c>
      <c r="C6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2">
        <v>6117</v>
      </c>
      <c r="F632" s="30" t="s">
        <v>2039</v>
      </c>
      <c r="G632" t="s">
        <v>1601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ISNUMBER(MATCH(CONTROL[[#This Row],[VEHIDCODE]],TRACK_TYPES[VEHIDCODE],0))</f>
        <v>1</v>
      </c>
      <c r="K632" t="b">
        <f>ISNUMBER(MATCH(CONTROL[[#This Row],[VEHIDCODE]],PROPERTIES[VEHIDCODE],0))</f>
        <v>1</v>
      </c>
      <c r="L632" t="b">
        <f>ISNUMBER(MATCH(CONTROL[[#This Row],[VEHIDCODE]],GRAPHICS_PROPERTIES[VEHIDCODE],0))</f>
        <v>1</v>
      </c>
      <c r="M632" s="21" t="str">
        <f>"item_"&amp;CONTROL[[#This Row],[VEHIDCODE]]</f>
        <v>item_electric_DEVZ_DE1</v>
      </c>
      <c r="N632" s="21" t="str">
        <f>"str_"&amp;CONTROL[[#This Row],[VEHIDCODE]]</f>
        <v>str_electric_DEVZ_DE1</v>
      </c>
      <c r="O632" s="7" t="b">
        <f>INDEX(PROPERTIES[IS_CONCEPT],MATCH(CONTROL[[#This Row],[VEHIDCODE]],PROPERTIES[VEHIDCODE],0))="IS_CONCEPT"</f>
        <v>0</v>
      </c>
      <c r="P632" s="7" t="b">
        <f>INDEX(PROPERTIES[EXCLUDE],MATCH(CONTROL[[#This Row],[VEHIDCODE]],PROPERTIES[VEHIDCODE],0))</f>
        <v>0</v>
      </c>
      <c r="Q6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3" spans="1:17" x14ac:dyDescent="0.35">
      <c r="A633" s="2" t="s">
        <v>3242</v>
      </c>
      <c r="B633" s="21" t="str">
        <f>MID(CONTROL[[#This Row],[VEHIDCODE]],FIND("_",CONTROL[[#This Row],[VEHIDCODE]])+1,LEN(CONTROL[[#This Row],[VEHIDCODE]]))</f>
        <v>Skoda_29E</v>
      </c>
      <c r="C6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3">
        <v>6083</v>
      </c>
      <c r="F633" s="30" t="s">
        <v>3628</v>
      </c>
      <c r="G633" t="s">
        <v>1602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ISNUMBER(MATCH(CONTROL[[#This Row],[VEHIDCODE]],TRACK_TYPES[VEHIDCODE],0))</f>
        <v>1</v>
      </c>
      <c r="K633" t="b">
        <f>ISNUMBER(MATCH(CONTROL[[#This Row],[VEHIDCODE]],PROPERTIES[VEHIDCODE],0))</f>
        <v>1</v>
      </c>
      <c r="L633" t="b">
        <f>ISNUMBER(MATCH(CONTROL[[#This Row],[VEHIDCODE]],GRAPHICS_PROPERTIES[VEHIDCODE],0))</f>
        <v>1</v>
      </c>
      <c r="M633" s="21" t="str">
        <f>"item_"&amp;CONTROL[[#This Row],[VEHIDCODE]]</f>
        <v>item_electric_Skoda_29E</v>
      </c>
      <c r="N633" s="21" t="str">
        <f>"str_"&amp;CONTROL[[#This Row],[VEHIDCODE]]</f>
        <v>str_electric_Skoda_29E</v>
      </c>
      <c r="O633" s="7" t="b">
        <f>INDEX(PROPERTIES[IS_CONCEPT],MATCH(CONTROL[[#This Row],[VEHIDCODE]],PROPERTIES[VEHIDCODE],0))="IS_CONCEPT"</f>
        <v>0</v>
      </c>
      <c r="P633" s="7" t="b">
        <f>INDEX(PROPERTIES[EXCLUDE],MATCH(CONTROL[[#This Row],[VEHIDCODE]],PROPERTIES[VEHIDCODE],0))</f>
        <v>0</v>
      </c>
      <c r="Q6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4" spans="1:17" x14ac:dyDescent="0.35">
      <c r="A634" s="2" t="s">
        <v>3243</v>
      </c>
      <c r="B634" s="21" t="str">
        <f>MID(CONTROL[[#This Row],[VEHIDCODE]],FIND("_",CONTROL[[#This Row],[VEHIDCODE]])+1,LEN(CONTROL[[#This Row],[VEHIDCODE]]))</f>
        <v>Skoda_82E</v>
      </c>
      <c r="C6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4">
        <v>6112</v>
      </c>
      <c r="F634" s="30" t="s">
        <v>2040</v>
      </c>
      <c r="G634" t="s">
        <v>1603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ISNUMBER(MATCH(CONTROL[[#This Row],[VEHIDCODE]],TRACK_TYPES[VEHIDCODE],0))</f>
        <v>1</v>
      </c>
      <c r="K634" t="b">
        <f>ISNUMBER(MATCH(CONTROL[[#This Row],[VEHIDCODE]],PROPERTIES[VEHIDCODE],0))</f>
        <v>1</v>
      </c>
      <c r="L634" t="b">
        <f>ISNUMBER(MATCH(CONTROL[[#This Row],[VEHIDCODE]],GRAPHICS_PROPERTIES[VEHIDCODE],0))</f>
        <v>1</v>
      </c>
      <c r="M634" s="21" t="str">
        <f>"item_"&amp;CONTROL[[#This Row],[VEHIDCODE]]</f>
        <v>item_electric_Skoda_82E</v>
      </c>
      <c r="N634" s="21" t="str">
        <f>"str_"&amp;CONTROL[[#This Row],[VEHIDCODE]]</f>
        <v>str_electric_Skoda_82E</v>
      </c>
      <c r="O634" s="7" t="b">
        <f>INDEX(PROPERTIES[IS_CONCEPT],MATCH(CONTROL[[#This Row],[VEHIDCODE]],PROPERTIES[VEHIDCODE],0))="IS_CONCEPT"</f>
        <v>0</v>
      </c>
      <c r="P634" s="7" t="b">
        <f>INDEX(PROPERTIES[EXCLUDE],MATCH(CONTROL[[#This Row],[VEHIDCODE]],PROPERTIES[VEHIDCODE],0))</f>
        <v>0</v>
      </c>
      <c r="Q6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5" spans="1:17" x14ac:dyDescent="0.35">
      <c r="A635" s="2" t="s">
        <v>3244</v>
      </c>
      <c r="B635" s="21" t="str">
        <f>MID(CONTROL[[#This Row],[VEHIDCODE]],FIND("_",CONTROL[[#This Row],[VEHIDCODE]])+1,LEN(CONTROL[[#This Row],[VEHIDCODE]]))</f>
        <v>GE_C_C_4400_RFFSA</v>
      </c>
      <c r="C6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5">
        <v>6124</v>
      </c>
      <c r="F635" s="30" t="s">
        <v>2419</v>
      </c>
      <c r="G635" t="s">
        <v>1604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ISNUMBER(MATCH(CONTROL[[#This Row],[VEHIDCODE]],TRACK_TYPES[VEHIDCODE],0))</f>
        <v>1</v>
      </c>
      <c r="K635" t="b">
        <f>ISNUMBER(MATCH(CONTROL[[#This Row],[VEHIDCODE]],PROPERTIES[VEHIDCODE],0))</f>
        <v>1</v>
      </c>
      <c r="L635" t="b">
        <f>ISNUMBER(MATCH(CONTROL[[#This Row],[VEHIDCODE]],GRAPHICS_PROPERTIES[VEHIDCODE],0))</f>
        <v>1</v>
      </c>
      <c r="M635" s="21" t="str">
        <f>"item_"&amp;CONTROL[[#This Row],[VEHIDCODE]]</f>
        <v>item_electric_GE_C_C_4400_RFFSA</v>
      </c>
      <c r="N635" s="21" t="str">
        <f>"str_"&amp;CONTROL[[#This Row],[VEHIDCODE]]</f>
        <v>str_electric_GE_C_C_4400_RFFSA</v>
      </c>
      <c r="O635" s="7" t="b">
        <f>INDEX(PROPERTIES[IS_CONCEPT],MATCH(CONTROL[[#This Row],[VEHIDCODE]],PROPERTIES[VEHIDCODE],0))="IS_CONCEPT"</f>
        <v>0</v>
      </c>
      <c r="P635" s="7" t="b">
        <f>INDEX(PROPERTIES[EXCLUDE],MATCH(CONTROL[[#This Row],[VEHIDCODE]],PROPERTIES[VEHIDCODE],0))</f>
        <v>0</v>
      </c>
      <c r="Q6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6" spans="1:17" x14ac:dyDescent="0.35">
      <c r="A636" s="2" t="s">
        <v>3245</v>
      </c>
      <c r="B636" s="21" t="str">
        <f>MID(CONTROL[[#This Row],[VEHIDCODE]],FIND("_",CONTROL[[#This Row],[VEHIDCODE]])+1,LEN(CONTROL[[#This Row],[VEHIDCODE]]))</f>
        <v>NEVZ_VL85</v>
      </c>
      <c r="C6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6">
        <v>6040</v>
      </c>
      <c r="F636" s="30" t="s">
        <v>2041</v>
      </c>
      <c r="G636" t="s">
        <v>1605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ISNUMBER(MATCH(CONTROL[[#This Row],[VEHIDCODE]],TRACK_TYPES[VEHIDCODE],0))</f>
        <v>1</v>
      </c>
      <c r="K636" t="b">
        <f>ISNUMBER(MATCH(CONTROL[[#This Row],[VEHIDCODE]],PROPERTIES[VEHIDCODE],0))</f>
        <v>1</v>
      </c>
      <c r="L636" t="b">
        <f>ISNUMBER(MATCH(CONTROL[[#This Row],[VEHIDCODE]],GRAPHICS_PROPERTIES[VEHIDCODE],0))</f>
        <v>1</v>
      </c>
      <c r="M636" s="21" t="str">
        <f>"item_"&amp;CONTROL[[#This Row],[VEHIDCODE]]</f>
        <v>item_electric_NEVZ_VL85</v>
      </c>
      <c r="N636" s="21" t="str">
        <f>"str_"&amp;CONTROL[[#This Row],[VEHIDCODE]]</f>
        <v>str_electric_NEVZ_VL85</v>
      </c>
      <c r="O636" s="7" t="b">
        <f>INDEX(PROPERTIES[IS_CONCEPT],MATCH(CONTROL[[#This Row],[VEHIDCODE]],PROPERTIES[VEHIDCODE],0))="IS_CONCEPT"</f>
        <v>0</v>
      </c>
      <c r="P636" s="7" t="b">
        <f>INDEX(PROPERTIES[EXCLUDE],MATCH(CONTROL[[#This Row],[VEHIDCODE]],PROPERTIES[VEHIDCODE],0))</f>
        <v>0</v>
      </c>
      <c r="Q6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37" spans="1:17" x14ac:dyDescent="0.35">
      <c r="A637" s="2" t="s">
        <v>3246</v>
      </c>
      <c r="B637" s="21" t="str">
        <f>MID(CONTROL[[#This Row],[VEHIDCODE]],FIND("_",CONTROL[[#This Row],[VEHIDCODE]])+1,LEN(CONTROL[[#This Row],[VEHIDCODE]]))</f>
        <v>DEVZ_VL41</v>
      </c>
      <c r="C6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7">
        <v>6028</v>
      </c>
      <c r="F637" s="30" t="s">
        <v>2042</v>
      </c>
      <c r="G637" t="s">
        <v>1606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ISNUMBER(MATCH(CONTROL[[#This Row],[VEHIDCODE]],TRACK_TYPES[VEHIDCODE],0))</f>
        <v>1</v>
      </c>
      <c r="K637" t="b">
        <f>ISNUMBER(MATCH(CONTROL[[#This Row],[VEHIDCODE]],PROPERTIES[VEHIDCODE],0))</f>
        <v>1</v>
      </c>
      <c r="L637" t="b">
        <f>ISNUMBER(MATCH(CONTROL[[#This Row],[VEHIDCODE]],GRAPHICS_PROPERTIES[VEHIDCODE],0))</f>
        <v>1</v>
      </c>
      <c r="M637" s="21" t="str">
        <f>"item_"&amp;CONTROL[[#This Row],[VEHIDCODE]]</f>
        <v>item_electric_DEVZ_VL41</v>
      </c>
      <c r="N637" s="21" t="str">
        <f>"str_"&amp;CONTROL[[#This Row],[VEHIDCODE]]</f>
        <v>str_electric_DEVZ_VL41</v>
      </c>
      <c r="O637" s="7" t="b">
        <f>INDEX(PROPERTIES[IS_CONCEPT],MATCH(CONTROL[[#This Row],[VEHIDCODE]],PROPERTIES[VEHIDCODE],0))="IS_CONCEPT"</f>
        <v>0</v>
      </c>
      <c r="P637" s="7" t="b">
        <f>INDEX(PROPERTIES[EXCLUDE],MATCH(CONTROL[[#This Row],[VEHIDCODE]],PROPERTIES[VEHIDCODE],0))</f>
        <v>0</v>
      </c>
      <c r="Q6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8" spans="1:17" x14ac:dyDescent="0.35">
      <c r="A638" s="2" t="s">
        <v>3247</v>
      </c>
      <c r="B638" s="21" t="str">
        <f>MID(CONTROL[[#This Row],[VEHIDCODE]],FIND("_",CONTROL[[#This Row],[VEHIDCODE]])+1,LEN(CONTROL[[#This Row],[VEHIDCODE]]))</f>
        <v>CLW_WAP_4</v>
      </c>
      <c r="C6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8">
        <v>6048</v>
      </c>
      <c r="F638" s="30" t="s">
        <v>2420</v>
      </c>
      <c r="G638" t="s">
        <v>1607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ISNUMBER(MATCH(CONTROL[[#This Row],[VEHIDCODE]],TRACK_TYPES[VEHIDCODE],0))</f>
        <v>1</v>
      </c>
      <c r="K638" t="b">
        <f>ISNUMBER(MATCH(CONTROL[[#This Row],[VEHIDCODE]],PROPERTIES[VEHIDCODE],0))</f>
        <v>1</v>
      </c>
      <c r="L638" t="b">
        <f>ISNUMBER(MATCH(CONTROL[[#This Row],[VEHIDCODE]],GRAPHICS_PROPERTIES[VEHIDCODE],0))</f>
        <v>1</v>
      </c>
      <c r="M638" s="21" t="str">
        <f>"item_"&amp;CONTROL[[#This Row],[VEHIDCODE]]</f>
        <v>item_electric_CLW_WAP_4</v>
      </c>
      <c r="N638" s="21" t="str">
        <f>"str_"&amp;CONTROL[[#This Row],[VEHIDCODE]]</f>
        <v>str_electric_CLW_WAP_4</v>
      </c>
      <c r="O638" s="7" t="b">
        <f>INDEX(PROPERTIES[IS_CONCEPT],MATCH(CONTROL[[#This Row],[VEHIDCODE]],PROPERTIES[VEHIDCODE],0))="IS_CONCEPT"</f>
        <v>0</v>
      </c>
      <c r="P638" s="7" t="b">
        <f>INDEX(PROPERTIES[EXCLUDE],MATCH(CONTROL[[#This Row],[VEHIDCODE]],PROPERTIES[VEHIDCODE],0))</f>
        <v>0</v>
      </c>
      <c r="Q6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39" spans="1:17" x14ac:dyDescent="0.35">
      <c r="A639" s="2" t="s">
        <v>3248</v>
      </c>
      <c r="B639" s="21" t="str">
        <f>MID(CONTROL[[#This Row],[VEHIDCODE]],FIND("_",CONTROL[[#This Row],[VEHIDCODE]])+1,LEN(CONTROL[[#This Row],[VEHIDCODE]]))</f>
        <v>NEVZ_ES40</v>
      </c>
      <c r="C6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39">
        <v>6034</v>
      </c>
      <c r="F639" s="30" t="s">
        <v>1947</v>
      </c>
      <c r="G639" t="s">
        <v>1608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ISNUMBER(MATCH(CONTROL[[#This Row],[VEHIDCODE]],TRACK_TYPES[VEHIDCODE],0))</f>
        <v>1</v>
      </c>
      <c r="K639" t="b">
        <f>ISNUMBER(MATCH(CONTROL[[#This Row],[VEHIDCODE]],PROPERTIES[VEHIDCODE],0))</f>
        <v>1</v>
      </c>
      <c r="L639" t="b">
        <f>ISNUMBER(MATCH(CONTROL[[#This Row],[VEHIDCODE]],GRAPHICS_PROPERTIES[VEHIDCODE],0))</f>
        <v>1</v>
      </c>
      <c r="M639" s="21" t="str">
        <f>"item_"&amp;CONTROL[[#This Row],[VEHIDCODE]]</f>
        <v>item_electric_NEVZ_ES40</v>
      </c>
      <c r="N639" s="21" t="str">
        <f>"str_"&amp;CONTROL[[#This Row],[VEHIDCODE]]</f>
        <v>str_electric_NEVZ_ES40</v>
      </c>
      <c r="O639" s="7" t="b">
        <f>INDEX(PROPERTIES[IS_CONCEPT],MATCH(CONTROL[[#This Row],[VEHIDCODE]],PROPERTIES[VEHIDCODE],0))="IS_CONCEPT"</f>
        <v>0</v>
      </c>
      <c r="P639" s="7" t="b">
        <f>INDEX(PROPERTIES[EXCLUDE],MATCH(CONTROL[[#This Row],[VEHIDCODE]],PROPERTIES[VEHIDCODE],0))</f>
        <v>0</v>
      </c>
      <c r="Q6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40" spans="1:17" x14ac:dyDescent="0.35">
      <c r="A640" s="2" t="s">
        <v>3249</v>
      </c>
      <c r="B640" s="21" t="str">
        <f>MID(CONTROL[[#This Row],[VEHIDCODE]],FIND("_",CONTROL[[#This Row],[VEHIDCODE]])+1,LEN(CONTROL[[#This Row],[VEHIDCODE]]))</f>
        <v>Zuzhou_KZ4A</v>
      </c>
      <c r="C6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40">
        <v>6057</v>
      </c>
      <c r="F640" s="30" t="s">
        <v>2376</v>
      </c>
      <c r="G640" t="s">
        <v>1609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ISNUMBER(MATCH(CONTROL[[#This Row],[VEHIDCODE]],TRACK_TYPES[VEHIDCODE],0))</f>
        <v>1</v>
      </c>
      <c r="K640" t="b">
        <f>ISNUMBER(MATCH(CONTROL[[#This Row],[VEHIDCODE]],PROPERTIES[VEHIDCODE],0))</f>
        <v>1</v>
      </c>
      <c r="L640" t="b">
        <f>ISNUMBER(MATCH(CONTROL[[#This Row],[VEHIDCODE]],GRAPHICS_PROPERTIES[VEHIDCODE],0))</f>
        <v>1</v>
      </c>
      <c r="M640" s="21" t="str">
        <f>"item_"&amp;CONTROL[[#This Row],[VEHIDCODE]]</f>
        <v>item_electric_Zuzhou_KZ4A</v>
      </c>
      <c r="N640" s="21" t="str">
        <f>"str_"&amp;CONTROL[[#This Row],[VEHIDCODE]]</f>
        <v>str_electric_Zuzhou_KZ4A</v>
      </c>
      <c r="O640" s="7" t="b">
        <f>INDEX(PROPERTIES[IS_CONCEPT],MATCH(CONTROL[[#This Row],[VEHIDCODE]],PROPERTIES[VEHIDCODE],0))="IS_CONCEPT"</f>
        <v>0</v>
      </c>
      <c r="P640" s="7" t="b">
        <f>INDEX(PROPERTIES[EXCLUDE],MATCH(CONTROL[[#This Row],[VEHIDCODE]],PROPERTIES[VEHIDCODE],0))</f>
        <v>0</v>
      </c>
      <c r="Q6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41" spans="1:17" x14ac:dyDescent="0.35">
      <c r="A641" s="2" t="s">
        <v>3250</v>
      </c>
      <c r="B641" s="21" t="str">
        <f>MID(CONTROL[[#This Row],[VEHIDCODE]],FIND("_",CONTROL[[#This Row],[VEHIDCODE]])+1,LEN(CONTROL[[#This Row],[VEHIDCODE]]))</f>
        <v>Alstom_KZ8A</v>
      </c>
      <c r="C6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41">
        <v>6095</v>
      </c>
      <c r="F641" s="30" t="s">
        <v>2375</v>
      </c>
      <c r="G641" t="s">
        <v>1610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ISNUMBER(MATCH(CONTROL[[#This Row],[VEHIDCODE]],TRACK_TYPES[VEHIDCODE],0))</f>
        <v>1</v>
      </c>
      <c r="K641" t="b">
        <f>ISNUMBER(MATCH(CONTROL[[#This Row],[VEHIDCODE]],PROPERTIES[VEHIDCODE],0))</f>
        <v>1</v>
      </c>
      <c r="L641" t="b">
        <f>ISNUMBER(MATCH(CONTROL[[#This Row],[VEHIDCODE]],GRAPHICS_PROPERTIES[VEHIDCODE],0))</f>
        <v>1</v>
      </c>
      <c r="M641" s="21" t="str">
        <f>"item_"&amp;CONTROL[[#This Row],[VEHIDCODE]]</f>
        <v>item_electric_Alstom_KZ8A</v>
      </c>
      <c r="N641" s="21" t="str">
        <f>"str_"&amp;CONTROL[[#This Row],[VEHIDCODE]]</f>
        <v>str_electric_Alstom_KZ8A</v>
      </c>
      <c r="O641" s="7" t="b">
        <f>INDEX(PROPERTIES[IS_CONCEPT],MATCH(CONTROL[[#This Row],[VEHIDCODE]],PROPERTIES[VEHIDCODE],0))="IS_CONCEPT"</f>
        <v>0</v>
      </c>
      <c r="P641" s="7" t="b">
        <f>INDEX(PROPERTIES[EXCLUDE],MATCH(CONTROL[[#This Row],[VEHIDCODE]],PROPERTIES[VEHIDCODE],0))</f>
        <v>0</v>
      </c>
      <c r="Q6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642" spans="1:17" x14ac:dyDescent="0.35">
      <c r="A642" s="2" t="s">
        <v>3251</v>
      </c>
      <c r="B642" s="21" t="str">
        <f>MID(CONTROL[[#This Row],[VEHIDCODE]],FIND("_",CONTROL[[#This Row],[VEHIDCODE]])+1,LEN(CONTROL[[#This Row],[VEHIDCODE]]))</f>
        <v>TRTrans_NEVZ_EP20</v>
      </c>
      <c r="C6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6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642">
        <v>6092</v>
      </c>
      <c r="F642" s="30" t="s">
        <v>2421</v>
      </c>
      <c r="G642" t="s">
        <v>1611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ISNUMBER(MATCH(CONTROL[[#This Row],[VEHIDCODE]],TRACK_TYPES[VEHIDCODE],0))</f>
        <v>1</v>
      </c>
      <c r="K642" t="b">
        <f>ISNUMBER(MATCH(CONTROL[[#This Row],[VEHIDCODE]],PROPERTIES[VEHIDCODE],0))</f>
        <v>1</v>
      </c>
      <c r="L642" t="b">
        <f>ISNUMBER(MATCH(CONTROL[[#This Row],[VEHIDCODE]],GRAPHICS_PROPERTIES[VEHIDCODE],0))</f>
        <v>1</v>
      </c>
      <c r="M642" s="21" t="str">
        <f>"item_"&amp;CONTROL[[#This Row],[VEHIDCODE]]</f>
        <v>item_electric_TRTrans_NEVZ_EP20</v>
      </c>
      <c r="N642" s="21" t="str">
        <f>"str_"&amp;CONTROL[[#This Row],[VEHIDCODE]]</f>
        <v>str_electric_TRTrans_NEVZ_EP20</v>
      </c>
      <c r="O642" s="7" t="b">
        <f>INDEX(PROPERTIES[IS_CONCEPT],MATCH(CONTROL[[#This Row],[VEHIDCODE]],PROPERTIES[VEHIDCODE],0))="IS_CONCEPT"</f>
        <v>0</v>
      </c>
      <c r="P642" s="7" t="b">
        <f>INDEX(PROPERTIES[EXCLUDE],MATCH(CONTROL[[#This Row],[VEHIDCODE]],PROPERTIES[VEHIDCODE],0))</f>
        <v>0</v>
      </c>
      <c r="Q6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643" spans="1:17" x14ac:dyDescent="0.35">
      <c r="A643" s="2" t="s">
        <v>3252</v>
      </c>
      <c r="B643" s="21" t="str">
        <f>MID(CONTROL[[#This Row],[VEHIDCODE]],FIND("_",CONTROL[[#This Row],[VEHIDCODE]])+1,LEN(CONTROL[[#This Row],[VEHIDCODE]]))</f>
        <v>Valmet_Dm7</v>
      </c>
      <c r="C6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6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643">
        <v>2010</v>
      </c>
      <c r="F643" s="30" t="s">
        <v>2422</v>
      </c>
      <c r="G643" t="s">
        <v>1612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ISNUMBER(MATCH(CONTROL[[#This Row],[VEHIDCODE]],TRACK_TYPES[VEHIDCODE],0))</f>
        <v>1</v>
      </c>
      <c r="K643" t="b">
        <f>ISNUMBER(MATCH(CONTROL[[#This Row],[VEHIDCODE]],PROPERTIES[VEHIDCODE],0))</f>
        <v>1</v>
      </c>
      <c r="L643" t="b">
        <f>ISNUMBER(MATCH(CONTROL[[#This Row],[VEHIDCODE]],GRAPHICS_PROPERTIES[VEHIDCODE],0))</f>
        <v>1</v>
      </c>
      <c r="M643" s="21" t="str">
        <f>"item_"&amp;CONTROL[[#This Row],[VEHIDCODE]]</f>
        <v>item_rbd_Valmet_Dm7</v>
      </c>
      <c r="N643" s="21" t="str">
        <f>"str_"&amp;CONTROL[[#This Row],[VEHIDCODE]]</f>
        <v>str_rbd_Valmet_Dm7</v>
      </c>
      <c r="O643" s="7" t="b">
        <f>INDEX(PROPERTIES[IS_CONCEPT],MATCH(CONTROL[[#This Row],[VEHIDCODE]],PROPERTIES[VEHIDCODE],0))="IS_CONCEPT"</f>
        <v>0</v>
      </c>
      <c r="P643" s="7" t="b">
        <f>INDEX(PROPERTIES[EXCLUDE],MATCH(CONTROL[[#This Row],[VEHIDCODE]],PROPERTIES[VEHIDCODE],0))</f>
        <v>0</v>
      </c>
      <c r="Q6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44" spans="1:17" x14ac:dyDescent="0.35">
      <c r="A644" s="2" t="s">
        <v>3253</v>
      </c>
      <c r="B644" s="21" t="str">
        <f>MID(CONTROL[[#This Row],[VEHIDCODE]],FIND("_",CONTROL[[#This Row],[VEHIDCODE]])+1,LEN(CONTROL[[#This Row],[VEHIDCODE]]))</f>
        <v>Vagonka_Studenka_91M0_</v>
      </c>
      <c r="C6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6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644">
        <v>2011</v>
      </c>
      <c r="F644" s="30" t="s">
        <v>1966</v>
      </c>
      <c r="G644" t="s">
        <v>1613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ISNUMBER(MATCH(CONTROL[[#This Row],[VEHIDCODE]],TRACK_TYPES[VEHIDCODE],0))</f>
        <v>1</v>
      </c>
      <c r="K644" t="b">
        <f>ISNUMBER(MATCH(CONTROL[[#This Row],[VEHIDCODE]],PROPERTIES[VEHIDCODE],0))</f>
        <v>1</v>
      </c>
      <c r="L644" t="b">
        <f>ISNUMBER(MATCH(CONTROL[[#This Row],[VEHIDCODE]],GRAPHICS_PROPERTIES[VEHIDCODE],0))</f>
        <v>1</v>
      </c>
      <c r="M644" s="21" t="str">
        <f>"item_"&amp;CONTROL[[#This Row],[VEHIDCODE]]</f>
        <v>item_rbd_Vagonka_Studenka_91M0_</v>
      </c>
      <c r="N644" s="21" t="str">
        <f>"str_"&amp;CONTROL[[#This Row],[VEHIDCODE]]</f>
        <v>str_rbd_Vagonka_Studenka_91M0_</v>
      </c>
      <c r="O644" s="7" t="b">
        <f>INDEX(PROPERTIES[IS_CONCEPT],MATCH(CONTROL[[#This Row],[VEHIDCODE]],PROPERTIES[VEHIDCODE],0))="IS_CONCEPT"</f>
        <v>0</v>
      </c>
      <c r="P644" s="7" t="b">
        <f>INDEX(PROPERTIES[EXCLUDE],MATCH(CONTROL[[#This Row],[VEHIDCODE]],PROPERTIES[VEHIDCODE],0))</f>
        <v>0</v>
      </c>
      <c r="Q6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645" spans="1:17" x14ac:dyDescent="0.35">
      <c r="A645" s="2" t="s">
        <v>3254</v>
      </c>
      <c r="B645" s="21" t="str">
        <f>MID(CONTROL[[#This Row],[VEHIDCODE]],FIND("_",CONTROL[[#This Row],[VEHIDCODE]])+1,LEN(CONTROL[[#This Row],[VEHIDCODE]]))</f>
        <v>RVR_ER200</v>
      </c>
      <c r="C6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5">
        <v>8063</v>
      </c>
      <c r="F645" s="30" t="s">
        <v>2379</v>
      </c>
      <c r="G645" t="s">
        <v>1593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ISNUMBER(MATCH(CONTROL[[#This Row],[VEHIDCODE]],TRACK_TYPES[VEHIDCODE],0))</f>
        <v>1</v>
      </c>
      <c r="K645" t="b">
        <f>ISNUMBER(MATCH(CONTROL[[#This Row],[VEHIDCODE]],PROPERTIES[VEHIDCODE],0))</f>
        <v>1</v>
      </c>
      <c r="L645" t="b">
        <f>ISNUMBER(MATCH(CONTROL[[#This Row],[VEHIDCODE]],GRAPHICS_PROPERTIES[VEHIDCODE],0))</f>
        <v>1</v>
      </c>
      <c r="M645" s="21" t="str">
        <f>"item_"&amp;CONTROL[[#This Row],[VEHIDCODE]]</f>
        <v>item_emu_RVR_ER200</v>
      </c>
      <c r="N645" s="21" t="str">
        <f>"str_"&amp;CONTROL[[#This Row],[VEHIDCODE]]</f>
        <v>str_emu_RVR_ER200</v>
      </c>
      <c r="O645" s="7" t="b">
        <f>INDEX(PROPERTIES[IS_CONCEPT],MATCH(CONTROL[[#This Row],[VEHIDCODE]],PROPERTIES[VEHIDCODE],0))="IS_CONCEPT"</f>
        <v>0</v>
      </c>
      <c r="P645" s="7" t="b">
        <f>INDEX(PROPERTIES[EXCLUDE],MATCH(CONTROL[[#This Row],[VEHIDCODE]],PROPERTIES[VEHIDCODE],0))</f>
        <v>0</v>
      </c>
      <c r="Q6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46" spans="1:17" x14ac:dyDescent="0.35">
      <c r="A646" s="2" t="s">
        <v>3255</v>
      </c>
      <c r="B646" s="21" t="str">
        <f>MID(CONTROL[[#This Row],[VEHIDCODE]],FIND("_",CONTROL[[#This Row],[VEHIDCODE]])+1,LEN(CONTROL[[#This Row],[VEHIDCODE]]))</f>
        <v>MMZ_S</v>
      </c>
      <c r="C6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6">
        <v>8059</v>
      </c>
      <c r="F646" s="30" t="s">
        <v>2423</v>
      </c>
      <c r="G646" t="s">
        <v>1594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ISNUMBER(MATCH(CONTROL[[#This Row],[VEHIDCODE]],TRACK_TYPES[VEHIDCODE],0))</f>
        <v>1</v>
      </c>
      <c r="K646" t="b">
        <f>ISNUMBER(MATCH(CONTROL[[#This Row],[VEHIDCODE]],PROPERTIES[VEHIDCODE],0))</f>
        <v>1</v>
      </c>
      <c r="L646" t="b">
        <f>ISNUMBER(MATCH(CONTROL[[#This Row],[VEHIDCODE]],GRAPHICS_PROPERTIES[VEHIDCODE],0))</f>
        <v>1</v>
      </c>
      <c r="M646" s="21" t="str">
        <f>"item_"&amp;CONTROL[[#This Row],[VEHIDCODE]]</f>
        <v>item_emu_MMZ_S</v>
      </c>
      <c r="N646" s="21" t="str">
        <f>"str_"&amp;CONTROL[[#This Row],[VEHIDCODE]]</f>
        <v>str_emu_MMZ_S</v>
      </c>
      <c r="O646" s="7" t="b">
        <f>INDEX(PROPERTIES[IS_CONCEPT],MATCH(CONTROL[[#This Row],[VEHIDCODE]],PROPERTIES[VEHIDCODE],0))="IS_CONCEPT"</f>
        <v>0</v>
      </c>
      <c r="P646" s="7" t="b">
        <f>INDEX(PROPERTIES[EXCLUDE],MATCH(CONTROL[[#This Row],[VEHIDCODE]],PROPERTIES[VEHIDCODE],0))</f>
        <v>0</v>
      </c>
      <c r="Q6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47" spans="1:17" x14ac:dyDescent="0.35">
      <c r="A647" s="2" t="s">
        <v>3256</v>
      </c>
      <c r="B647" s="21" t="str">
        <f>MID(CONTROL[[#This Row],[VEHIDCODE]],FIND("_",CONTROL[[#This Row],[VEHIDCODE]])+1,LEN(CONTROL[[#This Row],[VEHIDCODE]]))</f>
        <v>Koncar_6112</v>
      </c>
      <c r="C6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7">
        <v>8070</v>
      </c>
      <c r="F647" s="30" t="s">
        <v>2424</v>
      </c>
      <c r="G647" t="s">
        <v>1595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ISNUMBER(MATCH(CONTROL[[#This Row],[VEHIDCODE]],TRACK_TYPES[VEHIDCODE],0))</f>
        <v>1</v>
      </c>
      <c r="K647" t="b">
        <f>ISNUMBER(MATCH(CONTROL[[#This Row],[VEHIDCODE]],PROPERTIES[VEHIDCODE],0))</f>
        <v>1</v>
      </c>
      <c r="L647" t="b">
        <f>ISNUMBER(MATCH(CONTROL[[#This Row],[VEHIDCODE]],GRAPHICS_PROPERTIES[VEHIDCODE],0))</f>
        <v>1</v>
      </c>
      <c r="M647" s="21" t="str">
        <f>"item_"&amp;CONTROL[[#This Row],[VEHIDCODE]]</f>
        <v>item_emu_Koncar_6112</v>
      </c>
      <c r="N647" s="21" t="str">
        <f>"str_"&amp;CONTROL[[#This Row],[VEHIDCODE]]</f>
        <v>str_emu_Koncar_6112</v>
      </c>
      <c r="O647" s="7" t="b">
        <f>INDEX(PROPERTIES[IS_CONCEPT],MATCH(CONTROL[[#This Row],[VEHIDCODE]],PROPERTIES[VEHIDCODE],0))="IS_CONCEPT"</f>
        <v>0</v>
      </c>
      <c r="P647" s="7" t="b">
        <f>INDEX(PROPERTIES[EXCLUDE],MATCH(CONTROL[[#This Row],[VEHIDCODE]],PROPERTIES[VEHIDCODE],0))</f>
        <v>0</v>
      </c>
      <c r="Q6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648" spans="1:17" x14ac:dyDescent="0.35">
      <c r="A648" s="2" t="s">
        <v>3257</v>
      </c>
      <c r="B648" s="21" t="str">
        <f>MID(CONTROL[[#This Row],[VEHIDCODE]],FIND("_",CONTROL[[#This Row],[VEHIDCODE]])+1,LEN(CONTROL[[#This Row],[VEHIDCODE]]))</f>
        <v>Siemens_Desiro_ES1_Lastochka</v>
      </c>
      <c r="C6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6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648">
        <v>8068</v>
      </c>
      <c r="F648" s="30" t="s">
        <v>2425</v>
      </c>
      <c r="G648" t="s">
        <v>1596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ISNUMBER(MATCH(CONTROL[[#This Row],[VEHIDCODE]],TRACK_TYPES[VEHIDCODE],0))</f>
        <v>1</v>
      </c>
      <c r="K648" t="b">
        <f>ISNUMBER(MATCH(CONTROL[[#This Row],[VEHIDCODE]],PROPERTIES[VEHIDCODE],0))</f>
        <v>1</v>
      </c>
      <c r="L648" t="b">
        <f>ISNUMBER(MATCH(CONTROL[[#This Row],[VEHIDCODE]],GRAPHICS_PROPERTIES[VEHIDCODE],0))</f>
        <v>1</v>
      </c>
      <c r="M648" s="21" t="str">
        <f>"item_"&amp;CONTROL[[#This Row],[VEHIDCODE]]</f>
        <v>item_emu_Siemens_Desiro_ES1_Lastochka</v>
      </c>
      <c r="N648" s="21" t="str">
        <f>"str_"&amp;CONTROL[[#This Row],[VEHIDCODE]]</f>
        <v>str_emu_Siemens_Desiro_ES1_Lastochka</v>
      </c>
      <c r="O648" s="7" t="b">
        <f>INDEX(PROPERTIES[IS_CONCEPT],MATCH(CONTROL[[#This Row],[VEHIDCODE]],PROPERTIES[VEHIDCODE],0))="IS_CONCEPT"</f>
        <v>0</v>
      </c>
      <c r="P648" s="7" t="b">
        <f>INDEX(PROPERTIES[EXCLUDE],MATCH(CONTROL[[#This Row],[VEHIDCODE]],PROPERTIES[VEHIDCODE],0))</f>
        <v>0</v>
      </c>
      <c r="Q6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649" spans="1:17" x14ac:dyDescent="0.35">
      <c r="A649" s="2" t="s">
        <v>74</v>
      </c>
      <c r="B649" s="21" t="str">
        <f>MID(CONTROL[[#This Row],[VEHIDCODE]],FIND("_",CONTROL[[#This Row],[VEHIDCODE]])+1,LEN(CONTROL[[#This Row],[VEHIDCODE]]))</f>
        <v>Metro_Wagon_Powered</v>
      </c>
      <c r="C6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ID_RANGE_UNIT_WAGONS_MTRO</v>
      </c>
      <c r="E649">
        <v>13003</v>
      </c>
      <c r="F649" s="30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ISNUMBER(MATCH(CONTROL[[#This Row],[VEHIDCODE]],TRACK_TYPES[VEHIDCODE],0))</f>
        <v>1</v>
      </c>
      <c r="K649" t="b">
        <f>ISNUMBER(MATCH(CONTROL[[#This Row],[VEHIDCODE]],PROPERTIES[VEHIDCODE],0))</f>
        <v>1</v>
      </c>
      <c r="L649" t="b">
        <f>ISNUMBER(MATCH(CONTROL[[#This Row],[VEHIDCODE]],GRAPHICS_PROPERTIES[VEHIDCODE],0))</f>
        <v>1</v>
      </c>
      <c r="M649" s="21" t="str">
        <f>"item_"&amp;CONTROL[[#This Row],[VEHIDCODE]]</f>
        <v>item_mtro_Metro_Wagon_Powered</v>
      </c>
      <c r="N649" s="21" t="str">
        <f>"str_"&amp;CONTROL[[#This Row],[VEHIDCODE]]</f>
        <v>str_mtro_Metro_Wagon_Powered</v>
      </c>
      <c r="O649" s="7" t="b">
        <f>INDEX(PROPERTIES[IS_CONCEPT],MATCH(CONTROL[[#This Row],[VEHIDCODE]],PROPERTIES[VEHIDCODE],0))="IS_CONCEPT"</f>
        <v>0</v>
      </c>
      <c r="P649" s="7" t="b">
        <f>INDEX(PROPERTIES[EXCLUDE],MATCH(CONTROL[[#This Row],[VEHIDCODE]],PROPERTIES[VEHIDCODE],0))</f>
        <v>0</v>
      </c>
      <c r="Q6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0" spans="1:17" x14ac:dyDescent="0.35">
      <c r="A650" s="2" t="s">
        <v>73</v>
      </c>
      <c r="B650" s="21" t="str">
        <f>MID(CONTROL[[#This Row],[VEHIDCODE]],FIND("_",CONTROL[[#This Row],[VEHIDCODE]])+1,LEN(CONTROL[[#This Row],[VEHIDCODE]]))</f>
        <v>Metro_Wagon_Unpowered</v>
      </c>
      <c r="C6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ID_RANGE_UNIT_WAGONS_MTRO</v>
      </c>
      <c r="E650">
        <v>13002</v>
      </c>
      <c r="F650" s="30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ISNUMBER(MATCH(CONTROL[[#This Row],[VEHIDCODE]],TRACK_TYPES[VEHIDCODE],0))</f>
        <v>1</v>
      </c>
      <c r="K650" t="b">
        <f>ISNUMBER(MATCH(CONTROL[[#This Row],[VEHIDCODE]],PROPERTIES[VEHIDCODE],0))</f>
        <v>1</v>
      </c>
      <c r="L650" t="b">
        <f>ISNUMBER(MATCH(CONTROL[[#This Row],[VEHIDCODE]],GRAPHICS_PROPERTIES[VEHIDCODE],0))</f>
        <v>1</v>
      </c>
      <c r="M650" s="21" t="str">
        <f>"item_"&amp;CONTROL[[#This Row],[VEHIDCODE]]</f>
        <v>item_mtro_Metro_Wagon_Unpowered</v>
      </c>
      <c r="N650" s="21" t="str">
        <f>"str_"&amp;CONTROL[[#This Row],[VEHIDCODE]]</f>
        <v>str_mtro_Metro_Wagon_Unpowered</v>
      </c>
      <c r="O650" s="7" t="b">
        <f>INDEX(PROPERTIES[IS_CONCEPT],MATCH(CONTROL[[#This Row],[VEHIDCODE]],PROPERTIES[VEHIDCODE],0))="IS_CONCEPT"</f>
        <v>0</v>
      </c>
      <c r="P650" s="7" t="b">
        <f>INDEX(PROPERTIES[EXCLUDE],MATCH(CONTROL[[#This Row],[VEHIDCODE]],PROPERTIES[VEHIDCODE],0))</f>
        <v>0</v>
      </c>
      <c r="Q6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1" spans="1:17" x14ac:dyDescent="0.35">
      <c r="A651" s="2" t="s">
        <v>75</v>
      </c>
      <c r="B651" s="21" t="str">
        <f>MID(CONTROL[[#This Row],[VEHIDCODE]],FIND("_",CONTROL[[#This Row],[VEHIDCODE]])+1,LEN(CONTROL[[#This Row],[VEHIDCODE]]))</f>
        <v>MU_Cargo_Wagon_Powered</v>
      </c>
      <c r="C6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ID_RANGE_UNIT_WAGONS_RAIL_CARGO</v>
      </c>
      <c r="E651">
        <v>13007</v>
      </c>
      <c r="F651" s="30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ISNUMBER(MATCH(CONTROL[[#This Row],[VEHIDCODE]],TRACK_TYPES[VEHIDCODE],0))</f>
        <v>1</v>
      </c>
      <c r="K651" t="b">
        <f>ISNUMBER(MATCH(CONTROL[[#This Row],[VEHIDCODE]],PROPERTIES[VEHIDCODE],0))</f>
        <v>1</v>
      </c>
      <c r="L651" t="b">
        <f>ISNUMBER(MATCH(CONTROL[[#This Row],[VEHIDCODE]],GRAPHICS_PROPERTIES[VEHIDCODE],0))</f>
        <v>1</v>
      </c>
      <c r="M651" s="21" t="str">
        <f>"item_"&amp;CONTROL[[#This Row],[VEHIDCODE]]</f>
        <v>item_mu_MU_Cargo_Wagon_Powered</v>
      </c>
      <c r="N651" s="21" t="str">
        <f>"str_"&amp;CONTROL[[#This Row],[VEHIDCODE]]</f>
        <v>str_mu_MU_Cargo_Wagon_Powered</v>
      </c>
      <c r="O651" s="7" t="b">
        <f>INDEX(PROPERTIES[IS_CONCEPT],MATCH(CONTROL[[#This Row],[VEHIDCODE]],PROPERTIES[VEHIDCODE],0))="IS_CONCEPT"</f>
        <v>0</v>
      </c>
      <c r="P651" s="7" t="b">
        <f>INDEX(PROPERTIES[EXCLUDE],MATCH(CONTROL[[#This Row],[VEHIDCODE]],PROPERTIES[VEHIDCODE],0))</f>
        <v>0</v>
      </c>
      <c r="Q6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2" spans="1:17" x14ac:dyDescent="0.35">
      <c r="A652" s="2" t="s">
        <v>76</v>
      </c>
      <c r="B652" s="21" t="str">
        <f>MID(CONTROL[[#This Row],[VEHIDCODE]],FIND("_",CONTROL[[#This Row],[VEHIDCODE]])+1,LEN(CONTROL[[#This Row],[VEHIDCODE]]))</f>
        <v>MU_Cargo_Wagon_Unpowered</v>
      </c>
      <c r="C6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ID_RANGE_UNIT_WAGONS_RAIL_CARGO</v>
      </c>
      <c r="E652">
        <v>13006</v>
      </c>
      <c r="F652" s="30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ISNUMBER(MATCH(CONTROL[[#This Row],[VEHIDCODE]],TRACK_TYPES[VEHIDCODE],0))</f>
        <v>1</v>
      </c>
      <c r="K652" t="b">
        <f>ISNUMBER(MATCH(CONTROL[[#This Row],[VEHIDCODE]],PROPERTIES[VEHIDCODE],0))</f>
        <v>1</v>
      </c>
      <c r="L652" t="b">
        <f>ISNUMBER(MATCH(CONTROL[[#This Row],[VEHIDCODE]],GRAPHICS_PROPERTIES[VEHIDCODE],0))</f>
        <v>1</v>
      </c>
      <c r="M652" s="21" t="str">
        <f>"item_"&amp;CONTROL[[#This Row],[VEHIDCODE]]</f>
        <v>item_mu_MU_Cargo_Wagon_Unpowered</v>
      </c>
      <c r="N652" s="21" t="str">
        <f>"str_"&amp;CONTROL[[#This Row],[VEHIDCODE]]</f>
        <v>str_mu_MU_Cargo_Wagon_Unpowered</v>
      </c>
      <c r="O652" s="7" t="b">
        <f>INDEX(PROPERTIES[IS_CONCEPT],MATCH(CONTROL[[#This Row],[VEHIDCODE]],PROPERTIES[VEHIDCODE],0))="IS_CONCEPT"</f>
        <v>0</v>
      </c>
      <c r="P652" s="7" t="b">
        <f>INDEX(PROPERTIES[EXCLUDE],MATCH(CONTROL[[#This Row],[VEHIDCODE]],PROPERTIES[VEHIDCODE],0))</f>
        <v>0</v>
      </c>
      <c r="Q6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3" spans="1:17" x14ac:dyDescent="0.35">
      <c r="A653" s="2" t="s">
        <v>77</v>
      </c>
      <c r="B653" s="21" t="str">
        <f>MID(CONTROL[[#This Row],[VEHIDCODE]],FIND("_",CONTROL[[#This Row],[VEHIDCODE]])+1,LEN(CONTROL[[#This Row],[VEHIDCODE]]))</f>
        <v>MU_Wagon_Powered</v>
      </c>
      <c r="C6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</v>
      </c>
      <c r="E653">
        <v>13001</v>
      </c>
      <c r="F653" s="30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ISNUMBER(MATCH(CONTROL[[#This Row],[VEHIDCODE]],TRACK_TYPES[VEHIDCODE],0))</f>
        <v>1</v>
      </c>
      <c r="K653" t="b">
        <f>ISNUMBER(MATCH(CONTROL[[#This Row],[VEHIDCODE]],PROPERTIES[VEHIDCODE],0))</f>
        <v>1</v>
      </c>
      <c r="L653" t="b">
        <f>ISNUMBER(MATCH(CONTROL[[#This Row],[VEHIDCODE]],GRAPHICS_PROPERTIES[VEHIDCODE],0))</f>
        <v>1</v>
      </c>
      <c r="M653" s="21" t="str">
        <f>"item_"&amp;CONTROL[[#This Row],[VEHIDCODE]]</f>
        <v>item_mu_MU_Wagon_Powered</v>
      </c>
      <c r="N653" s="21" t="str">
        <f>"str_"&amp;CONTROL[[#This Row],[VEHIDCODE]]</f>
        <v>str_mu_MU_Wagon_Powered</v>
      </c>
      <c r="O653" s="7" t="b">
        <f>INDEX(PROPERTIES[IS_CONCEPT],MATCH(CONTROL[[#This Row],[VEHIDCODE]],PROPERTIES[VEHIDCODE],0))="IS_CONCEPT"</f>
        <v>0</v>
      </c>
      <c r="P653" s="7" t="b">
        <f>INDEX(PROPERTIES[EXCLUDE],MATCH(CONTROL[[#This Row],[VEHIDCODE]],PROPERTIES[VEHIDCODE],0))</f>
        <v>0</v>
      </c>
      <c r="Q6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4" spans="1:17" x14ac:dyDescent="0.35">
      <c r="A654" s="2" t="s">
        <v>78</v>
      </c>
      <c r="B654" s="21" t="str">
        <f>MID(CONTROL[[#This Row],[VEHIDCODE]],FIND("_",CONTROL[[#This Row],[VEHIDCODE]])+1,LEN(CONTROL[[#This Row],[VEHIDCODE]]))</f>
        <v>MU_Wagon_Unpowered</v>
      </c>
      <c r="C6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src\Special</v>
      </c>
      <c r="D6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ID_RANGE_UNIT_WAGONS_RAIL</v>
      </c>
      <c r="E654">
        <v>13000</v>
      </c>
      <c r="F654" s="30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ISNUMBER(MATCH(CONTROL[[#This Row],[VEHIDCODE]],TRACK_TYPES[VEHIDCODE],0))</f>
        <v>1</v>
      </c>
      <c r="K654" t="b">
        <f>ISNUMBER(MATCH(CONTROL[[#This Row],[VEHIDCODE]],PROPERTIES[VEHIDCODE],0))</f>
        <v>1</v>
      </c>
      <c r="L654" t="b">
        <f>ISNUMBER(MATCH(CONTROL[[#This Row],[VEHIDCODE]],GRAPHICS_PROPERTIES[VEHIDCODE],0))</f>
        <v>1</v>
      </c>
      <c r="M654" s="21" t="str">
        <f>"item_"&amp;CONTROL[[#This Row],[VEHIDCODE]]</f>
        <v>item_mu_MU_Wagon_Unpowered</v>
      </c>
      <c r="N654" s="21" t="str">
        <f>"str_"&amp;CONTROL[[#This Row],[VEHIDCODE]]</f>
        <v>str_mu_MU_Wagon_Unpowered</v>
      </c>
      <c r="O654" s="7" t="b">
        <f>INDEX(PROPERTIES[IS_CONCEPT],MATCH(CONTROL[[#This Row],[VEHIDCODE]],PROPERTIES[VEHIDCODE],0))="IS_CONCEPT"</f>
        <v>0</v>
      </c>
      <c r="P654" s="7" t="b">
        <f>INDEX(PROPERTIES[EXCLUDE],MATCH(CONTROL[[#This Row],[VEHIDCODE]],PROPERTIES[VEHIDCODE],0))</f>
        <v>0</v>
      </c>
      <c r="Q6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TPL_01F</v>
      </c>
    </row>
    <row r="655" spans="1:17" x14ac:dyDescent="0.35">
      <c r="A655" s="2" t="s">
        <v>79</v>
      </c>
      <c r="B655" s="21" t="str">
        <f>MID(CONTROL[[#This Row],[VEHIDCODE]],FIND("_",CONTROL[[#This Row],[VEHIDCODE]])+1,LEN(CONTROL[[#This Row],[VEHIDCODE]]))</f>
        <v>Wagon_Gen1_Flat_Wagon</v>
      </c>
      <c r="C6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5">
        <v>12000</v>
      </c>
      <c r="F655" s="30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ISNUMBER(MATCH(CONTROL[[#This Row],[VEHIDCODE]],TRACK_TYPES[VEHIDCODE],0))</f>
        <v>1</v>
      </c>
      <c r="K655" t="b">
        <f>ISNUMBER(MATCH(CONTROL[[#This Row],[VEHIDCODE]],PROPERTIES[VEHIDCODE],0))</f>
        <v>1</v>
      </c>
      <c r="L655" t="b">
        <f>ISNUMBER(MATCH(CONTROL[[#This Row],[VEHIDCODE]],GRAPHICS_PROPERTIES[VEHIDCODE],0))</f>
        <v>1</v>
      </c>
      <c r="M655" s="21" t="str">
        <f>"item_"&amp;CONTROL[[#This Row],[VEHIDCODE]]</f>
        <v>item_mu_Wagon_Gen1_Flat_Wagon</v>
      </c>
      <c r="N655" s="21" t="str">
        <f>"str_"&amp;CONTROL[[#This Row],[VEHIDCODE]]</f>
        <v>str_mu_Wagon_Gen1_Flat_Wagon</v>
      </c>
      <c r="O655" s="7" t="b">
        <f>INDEX(PROPERTIES[IS_CONCEPT],MATCH(CONTROL[[#This Row],[VEHIDCODE]],PROPERTIES[VEHIDCODE],0))="IS_CONCEPT"</f>
        <v>0</v>
      </c>
      <c r="P655" s="7" t="b">
        <f>INDEX(PROPERTIES[EXCLUDE],MATCH(CONTROL[[#This Row],[VEHIDCODE]],PROPERTIES[VEHIDCODE],0))</f>
        <v>0</v>
      </c>
      <c r="Q6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6" spans="1:17" x14ac:dyDescent="0.35">
      <c r="A656" s="2" t="s">
        <v>80</v>
      </c>
      <c r="B656" s="21" t="str">
        <f>MID(CONTROL[[#This Row],[VEHIDCODE]],FIND("_",CONTROL[[#This Row],[VEHIDCODE]])+1,LEN(CONTROL[[#This Row],[VEHIDCODE]]))</f>
        <v>Wagon_Gen1_Boxcar</v>
      </c>
      <c r="C6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6">
        <v>12001</v>
      </c>
      <c r="F656" s="30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ISNUMBER(MATCH(CONTROL[[#This Row],[VEHIDCODE]],TRACK_TYPES[VEHIDCODE],0))</f>
        <v>1</v>
      </c>
      <c r="K656" t="b">
        <f>ISNUMBER(MATCH(CONTROL[[#This Row],[VEHIDCODE]],PROPERTIES[VEHIDCODE],0))</f>
        <v>1</v>
      </c>
      <c r="L656" t="b">
        <f>ISNUMBER(MATCH(CONTROL[[#This Row],[VEHIDCODE]],GRAPHICS_PROPERTIES[VEHIDCODE],0))</f>
        <v>1</v>
      </c>
      <c r="M656" s="21" t="str">
        <f>"item_"&amp;CONTROL[[#This Row],[VEHIDCODE]]</f>
        <v>item_mu_Wagon_Gen1_Boxcar</v>
      </c>
      <c r="N656" s="21" t="str">
        <f>"str_"&amp;CONTROL[[#This Row],[VEHIDCODE]]</f>
        <v>str_mu_Wagon_Gen1_Boxcar</v>
      </c>
      <c r="O656" s="7" t="b">
        <f>INDEX(PROPERTIES[IS_CONCEPT],MATCH(CONTROL[[#This Row],[VEHIDCODE]],PROPERTIES[VEHIDCODE],0))="IS_CONCEPT"</f>
        <v>0</v>
      </c>
      <c r="P656" s="7" t="b">
        <f>INDEX(PROPERTIES[EXCLUDE],MATCH(CONTROL[[#This Row],[VEHIDCODE]],PROPERTIES[VEHIDCODE],0))</f>
        <v>0</v>
      </c>
      <c r="Q6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7" spans="1:17" x14ac:dyDescent="0.35">
      <c r="A657" s="2" t="s">
        <v>81</v>
      </c>
      <c r="B657" s="21" t="str">
        <f>MID(CONTROL[[#This Row],[VEHIDCODE]],FIND("_",CONTROL[[#This Row],[VEHIDCODE]])+1,LEN(CONTROL[[#This Row],[VEHIDCODE]]))</f>
        <v>Wagon_Gen1_Tanker</v>
      </c>
      <c r="C6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7">
        <v>12002</v>
      </c>
      <c r="F657" s="30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ISNUMBER(MATCH(CONTROL[[#This Row],[VEHIDCODE]],TRACK_TYPES[VEHIDCODE],0))</f>
        <v>1</v>
      </c>
      <c r="K657" t="b">
        <f>ISNUMBER(MATCH(CONTROL[[#This Row],[VEHIDCODE]],PROPERTIES[VEHIDCODE],0))</f>
        <v>1</v>
      </c>
      <c r="L657" t="b">
        <f>ISNUMBER(MATCH(CONTROL[[#This Row],[VEHIDCODE]],GRAPHICS_PROPERTIES[VEHIDCODE],0))</f>
        <v>1</v>
      </c>
      <c r="M657" s="21" t="str">
        <f>"item_"&amp;CONTROL[[#This Row],[VEHIDCODE]]</f>
        <v>item_mu_Wagon_Gen1_Tanker</v>
      </c>
      <c r="N657" s="21" t="str">
        <f>"str_"&amp;CONTROL[[#This Row],[VEHIDCODE]]</f>
        <v>str_mu_Wagon_Gen1_Tanker</v>
      </c>
      <c r="O657" s="7" t="b">
        <f>INDEX(PROPERTIES[IS_CONCEPT],MATCH(CONTROL[[#This Row],[VEHIDCODE]],PROPERTIES[VEHIDCODE],0))="IS_CONCEPT"</f>
        <v>0</v>
      </c>
      <c r="P657" s="7" t="b">
        <f>INDEX(PROPERTIES[EXCLUDE],MATCH(CONTROL[[#This Row],[VEHIDCODE]],PROPERTIES[VEHIDCODE],0))</f>
        <v>0</v>
      </c>
      <c r="Q6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8" spans="1:17" x14ac:dyDescent="0.35">
      <c r="A658" s="2" t="s">
        <v>82</v>
      </c>
      <c r="B658" s="21" t="str">
        <f>MID(CONTROL[[#This Row],[VEHIDCODE]],FIND("_",CONTROL[[#This Row],[VEHIDCODE]])+1,LEN(CONTROL[[#This Row],[VEHIDCODE]]))</f>
        <v>Wagon_Gen1_Open_Wagon</v>
      </c>
      <c r="C6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6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8">
        <v>12003</v>
      </c>
      <c r="F658" s="30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ISNUMBER(MATCH(CONTROL[[#This Row],[VEHIDCODE]],TRACK_TYPES[VEHIDCODE],0))</f>
        <v>1</v>
      </c>
      <c r="K658" t="b">
        <f>ISNUMBER(MATCH(CONTROL[[#This Row],[VEHIDCODE]],PROPERTIES[VEHIDCODE],0))</f>
        <v>1</v>
      </c>
      <c r="L658" t="b">
        <f>ISNUMBER(MATCH(CONTROL[[#This Row],[VEHIDCODE]],GRAPHICS_PROPERTIES[VEHIDCODE],0))</f>
        <v>1</v>
      </c>
      <c r="M658" s="21" t="str">
        <f>"item_"&amp;CONTROL[[#This Row],[VEHIDCODE]]</f>
        <v>item_mu_Wagon_Gen1_Open_Wagon</v>
      </c>
      <c r="N658" s="21" t="str">
        <f>"str_"&amp;CONTROL[[#This Row],[VEHIDCODE]]</f>
        <v>str_mu_Wagon_Gen1_Open_Wagon</v>
      </c>
      <c r="O658" s="7" t="b">
        <f>INDEX(PROPERTIES[IS_CONCEPT],MATCH(CONTROL[[#This Row],[VEHIDCODE]],PROPERTIES[VEHIDCODE],0))="IS_CONCEPT"</f>
        <v>0</v>
      </c>
      <c r="P658" s="7" t="b">
        <f>INDEX(PROPERTIES[EXCLUDE],MATCH(CONTROL[[#This Row],[VEHIDCODE]],PROPERTIES[VEHIDCODE],0))</f>
        <v>0</v>
      </c>
      <c r="Q6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59" spans="1:17" x14ac:dyDescent="0.35">
      <c r="A659" s="2" t="s">
        <v>153</v>
      </c>
      <c r="B659" s="21" t="str">
        <f>MID(CONTROL[[#This Row],[VEHIDCODE]],FIND("_",CONTROL[[#This Row],[VEHIDCODE]])+1,LEN(CONTROL[[#This Row],[VEHIDCODE]]))</f>
        <v>Wagon_Gen2_Flat_Wagon</v>
      </c>
      <c r="C6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59">
        <v>12004</v>
      </c>
      <c r="F659" s="30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ISNUMBER(MATCH(CONTROL[[#This Row],[VEHIDCODE]],TRACK_TYPES[VEHIDCODE],0))</f>
        <v>1</v>
      </c>
      <c r="K659" t="b">
        <f>ISNUMBER(MATCH(CONTROL[[#This Row],[VEHIDCODE]],PROPERTIES[VEHIDCODE],0))</f>
        <v>1</v>
      </c>
      <c r="L659" t="b">
        <f>ISNUMBER(MATCH(CONTROL[[#This Row],[VEHIDCODE]],GRAPHICS_PROPERTIES[VEHIDCODE],0))</f>
        <v>1</v>
      </c>
      <c r="M659" s="21" t="str">
        <f>"item_"&amp;CONTROL[[#This Row],[VEHIDCODE]]</f>
        <v>item_mu_Wagon_Gen2_Flat_Wagon</v>
      </c>
      <c r="N659" s="21" t="str">
        <f>"str_"&amp;CONTROL[[#This Row],[VEHIDCODE]]</f>
        <v>str_mu_Wagon_Gen2_Flat_Wagon</v>
      </c>
      <c r="O659" s="7" t="b">
        <f>INDEX(PROPERTIES[IS_CONCEPT],MATCH(CONTROL[[#This Row],[VEHIDCODE]],PROPERTIES[VEHIDCODE],0))="IS_CONCEPT"</f>
        <v>0</v>
      </c>
      <c r="P659" s="7" t="b">
        <f>INDEX(PROPERTIES[EXCLUDE],MATCH(CONTROL[[#This Row],[VEHIDCODE]],PROPERTIES[VEHIDCODE],0))</f>
        <v>0</v>
      </c>
      <c r="Q6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0" spans="1:17" x14ac:dyDescent="0.35">
      <c r="A660" s="2" t="s">
        <v>154</v>
      </c>
      <c r="B660" s="21" t="str">
        <f>MID(CONTROL[[#This Row],[VEHIDCODE]],FIND("_",CONTROL[[#This Row],[VEHIDCODE]])+1,LEN(CONTROL[[#This Row],[VEHIDCODE]]))</f>
        <v>Wagon_Gen2_Boxcar_Type1</v>
      </c>
      <c r="C6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0">
        <v>12005</v>
      </c>
      <c r="F660" s="30" t="s">
        <v>1668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ISNUMBER(MATCH(CONTROL[[#This Row],[VEHIDCODE]],TRACK_TYPES[VEHIDCODE],0))</f>
        <v>1</v>
      </c>
      <c r="K660" t="b">
        <f>ISNUMBER(MATCH(CONTROL[[#This Row],[VEHIDCODE]],PROPERTIES[VEHIDCODE],0))</f>
        <v>1</v>
      </c>
      <c r="L660" t="b">
        <f>ISNUMBER(MATCH(CONTROL[[#This Row],[VEHIDCODE]],GRAPHICS_PROPERTIES[VEHIDCODE],0))</f>
        <v>1</v>
      </c>
      <c r="M660" s="21" t="str">
        <f>"item_"&amp;CONTROL[[#This Row],[VEHIDCODE]]</f>
        <v>item_mu_Wagon_Gen2_Boxcar_Type1</v>
      </c>
      <c r="N660" s="21" t="str">
        <f>"str_"&amp;CONTROL[[#This Row],[VEHIDCODE]]</f>
        <v>str_mu_Wagon_Gen2_Boxcar_Type1</v>
      </c>
      <c r="O660" s="7" t="b">
        <f>INDEX(PROPERTIES[IS_CONCEPT],MATCH(CONTROL[[#This Row],[VEHIDCODE]],PROPERTIES[VEHIDCODE],0))="IS_CONCEPT"</f>
        <v>0</v>
      </c>
      <c r="P660" s="7" t="b">
        <f>INDEX(PROPERTIES[EXCLUDE],MATCH(CONTROL[[#This Row],[VEHIDCODE]],PROPERTIES[VEHIDCODE],0))</f>
        <v>0</v>
      </c>
      <c r="Q6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1" spans="1:17" x14ac:dyDescent="0.35">
      <c r="A661" s="2" t="s">
        <v>155</v>
      </c>
      <c r="B661" s="21" t="str">
        <f>MID(CONTROL[[#This Row],[VEHIDCODE]],FIND("_",CONTROL[[#This Row],[VEHIDCODE]])+1,LEN(CONTROL[[#This Row],[VEHIDCODE]]))</f>
        <v>Wagon_Gen2_Boxcar_Type2</v>
      </c>
      <c r="C6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1">
        <v>12038</v>
      </c>
      <c r="F661" s="30" t="s">
        <v>1683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ISNUMBER(MATCH(CONTROL[[#This Row],[VEHIDCODE]],TRACK_TYPES[VEHIDCODE],0))</f>
        <v>1</v>
      </c>
      <c r="K661" t="b">
        <f>ISNUMBER(MATCH(CONTROL[[#This Row],[VEHIDCODE]],PROPERTIES[VEHIDCODE],0))</f>
        <v>1</v>
      </c>
      <c r="L661" t="b">
        <f>ISNUMBER(MATCH(CONTROL[[#This Row],[VEHIDCODE]],GRAPHICS_PROPERTIES[VEHIDCODE],0))</f>
        <v>1</v>
      </c>
      <c r="M661" s="21" t="str">
        <f>"item_"&amp;CONTROL[[#This Row],[VEHIDCODE]]</f>
        <v>item_mu_Wagon_Gen2_Boxcar_Type2</v>
      </c>
      <c r="N661" s="21" t="str">
        <f>"str_"&amp;CONTROL[[#This Row],[VEHIDCODE]]</f>
        <v>str_mu_Wagon_Gen2_Boxcar_Type2</v>
      </c>
      <c r="O661" s="7" t="b">
        <f>INDEX(PROPERTIES[IS_CONCEPT],MATCH(CONTROL[[#This Row],[VEHIDCODE]],PROPERTIES[VEHIDCODE],0))="IS_CONCEPT"</f>
        <v>0</v>
      </c>
      <c r="P661" s="7" t="b">
        <f>INDEX(PROPERTIES[EXCLUDE],MATCH(CONTROL[[#This Row],[VEHIDCODE]],PROPERTIES[VEHIDCODE],0))</f>
        <v>0</v>
      </c>
      <c r="Q6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2" spans="1:17" x14ac:dyDescent="0.35">
      <c r="A662" s="2" t="s">
        <v>156</v>
      </c>
      <c r="B662" s="21" t="str">
        <f>MID(CONTROL[[#This Row],[VEHIDCODE]],FIND("_",CONTROL[[#This Row],[VEHIDCODE]])+1,LEN(CONTROL[[#This Row],[VEHIDCODE]]))</f>
        <v>Wagon_Gen2_Tanker</v>
      </c>
      <c r="C6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2">
        <v>12006</v>
      </c>
      <c r="F662" s="30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ISNUMBER(MATCH(CONTROL[[#This Row],[VEHIDCODE]],TRACK_TYPES[VEHIDCODE],0))</f>
        <v>1</v>
      </c>
      <c r="K662" t="b">
        <f>ISNUMBER(MATCH(CONTROL[[#This Row],[VEHIDCODE]],PROPERTIES[VEHIDCODE],0))</f>
        <v>1</v>
      </c>
      <c r="L662" t="b">
        <f>ISNUMBER(MATCH(CONTROL[[#This Row],[VEHIDCODE]],GRAPHICS_PROPERTIES[VEHIDCODE],0))</f>
        <v>1</v>
      </c>
      <c r="M662" s="21" t="str">
        <f>"item_"&amp;CONTROL[[#This Row],[VEHIDCODE]]</f>
        <v>item_mu_Wagon_Gen2_Tanker</v>
      </c>
      <c r="N662" s="21" t="str">
        <f>"str_"&amp;CONTROL[[#This Row],[VEHIDCODE]]</f>
        <v>str_mu_Wagon_Gen2_Tanker</v>
      </c>
      <c r="O662" s="7" t="b">
        <f>INDEX(PROPERTIES[IS_CONCEPT],MATCH(CONTROL[[#This Row],[VEHIDCODE]],PROPERTIES[VEHIDCODE],0))="IS_CONCEPT"</f>
        <v>0</v>
      </c>
      <c r="P662" s="7" t="b">
        <f>INDEX(PROPERTIES[EXCLUDE],MATCH(CONTROL[[#This Row],[VEHIDCODE]],PROPERTIES[VEHIDCODE],0))</f>
        <v>0</v>
      </c>
      <c r="Q6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3" spans="1:17" x14ac:dyDescent="0.35">
      <c r="A663" s="2" t="s">
        <v>157</v>
      </c>
      <c r="B663" s="21" t="str">
        <f>MID(CONTROL[[#This Row],[VEHIDCODE]],FIND("_",CONTROL[[#This Row],[VEHIDCODE]])+1,LEN(CONTROL[[#This Row],[VEHIDCODE]]))</f>
        <v>Wagon_Gen2_Open_Wagon</v>
      </c>
      <c r="C6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3">
        <v>12007</v>
      </c>
      <c r="F663" s="30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ISNUMBER(MATCH(CONTROL[[#This Row],[VEHIDCODE]],TRACK_TYPES[VEHIDCODE],0))</f>
        <v>1</v>
      </c>
      <c r="K663" t="b">
        <f>ISNUMBER(MATCH(CONTROL[[#This Row],[VEHIDCODE]],PROPERTIES[VEHIDCODE],0))</f>
        <v>1</v>
      </c>
      <c r="L663" t="b">
        <f>ISNUMBER(MATCH(CONTROL[[#This Row],[VEHIDCODE]],GRAPHICS_PROPERTIES[VEHIDCODE],0))</f>
        <v>1</v>
      </c>
      <c r="M663" s="21" t="str">
        <f>"item_"&amp;CONTROL[[#This Row],[VEHIDCODE]]</f>
        <v>item_mu_Wagon_Gen2_Open_Wagon</v>
      </c>
      <c r="N663" s="21" t="str">
        <f>"str_"&amp;CONTROL[[#This Row],[VEHIDCODE]]</f>
        <v>str_mu_Wagon_Gen2_Open_Wagon</v>
      </c>
      <c r="O663" s="7" t="b">
        <f>INDEX(PROPERTIES[IS_CONCEPT],MATCH(CONTROL[[#This Row],[VEHIDCODE]],PROPERTIES[VEHIDCODE],0))="IS_CONCEPT"</f>
        <v>0</v>
      </c>
      <c r="P663" s="7" t="b">
        <f>INDEX(PROPERTIES[EXCLUDE],MATCH(CONTROL[[#This Row],[VEHIDCODE]],PROPERTIES[VEHIDCODE],0))</f>
        <v>0</v>
      </c>
      <c r="Q6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4" spans="1:17" x14ac:dyDescent="0.35">
      <c r="A664" s="2" t="s">
        <v>158</v>
      </c>
      <c r="B664" s="21" t="str">
        <f>MID(CONTROL[[#This Row],[VEHIDCODE]],FIND("_",CONTROL[[#This Row],[VEHIDCODE]])+1,LEN(CONTROL[[#This Row],[VEHIDCODE]]))</f>
        <v>Wagon_Gen2_Silo</v>
      </c>
      <c r="C6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4">
        <v>12008</v>
      </c>
      <c r="F664" s="30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ISNUMBER(MATCH(CONTROL[[#This Row],[VEHIDCODE]],TRACK_TYPES[VEHIDCODE],0))</f>
        <v>1</v>
      </c>
      <c r="K664" t="b">
        <f>ISNUMBER(MATCH(CONTROL[[#This Row],[VEHIDCODE]],PROPERTIES[VEHIDCODE],0))</f>
        <v>1</v>
      </c>
      <c r="L664" t="b">
        <f>ISNUMBER(MATCH(CONTROL[[#This Row],[VEHIDCODE]],GRAPHICS_PROPERTIES[VEHIDCODE],0))</f>
        <v>1</v>
      </c>
      <c r="M664" s="21" t="str">
        <f>"item_"&amp;CONTROL[[#This Row],[VEHIDCODE]]</f>
        <v>item_mu_Wagon_Gen2_Silo</v>
      </c>
      <c r="N664" s="21" t="str">
        <f>"str_"&amp;CONTROL[[#This Row],[VEHIDCODE]]</f>
        <v>str_mu_Wagon_Gen2_Silo</v>
      </c>
      <c r="O664" s="7" t="b">
        <f>INDEX(PROPERTIES[IS_CONCEPT],MATCH(CONTROL[[#This Row],[VEHIDCODE]],PROPERTIES[VEHIDCODE],0))="IS_CONCEPT"</f>
        <v>0</v>
      </c>
      <c r="P664" s="7" t="b">
        <f>INDEX(PROPERTIES[EXCLUDE],MATCH(CONTROL[[#This Row],[VEHIDCODE]],PROPERTIES[VEHIDCODE],0))</f>
        <v>0</v>
      </c>
      <c r="Q6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5" spans="1:17" x14ac:dyDescent="0.35">
      <c r="A665" s="2" t="s">
        <v>159</v>
      </c>
      <c r="B665" s="21" t="str">
        <f>MID(CONTROL[[#This Row],[VEHIDCODE]],FIND("_",CONTROL[[#This Row],[VEHIDCODE]])+1,LEN(CONTROL[[#This Row],[VEHIDCODE]]))</f>
        <v>Wagon_Gen2_Hopper</v>
      </c>
      <c r="C6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6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5">
        <v>12009</v>
      </c>
      <c r="F665" s="30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ISNUMBER(MATCH(CONTROL[[#This Row],[VEHIDCODE]],TRACK_TYPES[VEHIDCODE],0))</f>
        <v>1</v>
      </c>
      <c r="K665" t="b">
        <f>ISNUMBER(MATCH(CONTROL[[#This Row],[VEHIDCODE]],PROPERTIES[VEHIDCODE],0))</f>
        <v>1</v>
      </c>
      <c r="L665" t="b">
        <f>ISNUMBER(MATCH(CONTROL[[#This Row],[VEHIDCODE]],GRAPHICS_PROPERTIES[VEHIDCODE],0))</f>
        <v>1</v>
      </c>
      <c r="M665" s="21" t="str">
        <f>"item_"&amp;CONTROL[[#This Row],[VEHIDCODE]]</f>
        <v>item_mu_Wagon_Gen2_Hopper</v>
      </c>
      <c r="N665" s="21" t="str">
        <f>"str_"&amp;CONTROL[[#This Row],[VEHIDCODE]]</f>
        <v>str_mu_Wagon_Gen2_Hopper</v>
      </c>
      <c r="O665" s="7" t="b">
        <f>INDEX(PROPERTIES[IS_CONCEPT],MATCH(CONTROL[[#This Row],[VEHIDCODE]],PROPERTIES[VEHIDCODE],0))="IS_CONCEPT"</f>
        <v>0</v>
      </c>
      <c r="P665" s="7" t="b">
        <f>INDEX(PROPERTIES[EXCLUDE],MATCH(CONTROL[[#This Row],[VEHIDCODE]],PROPERTIES[VEHIDCODE],0))</f>
        <v>0</v>
      </c>
      <c r="Q6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6" spans="1:17" x14ac:dyDescent="0.35">
      <c r="A666" s="2" t="s">
        <v>160</v>
      </c>
      <c r="B666" s="21" t="str">
        <f>MID(CONTROL[[#This Row],[VEHIDCODE]],FIND("_",CONTROL[[#This Row],[VEHIDCODE]])+1,LEN(CONTROL[[#This Row],[VEHIDCODE]]))</f>
        <v>Wagon_Gen3_Flat_Wagon</v>
      </c>
      <c r="C6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6">
        <v>12010</v>
      </c>
      <c r="F666" s="30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ISNUMBER(MATCH(CONTROL[[#This Row],[VEHIDCODE]],TRACK_TYPES[VEHIDCODE],0))</f>
        <v>1</v>
      </c>
      <c r="K666" t="b">
        <f>ISNUMBER(MATCH(CONTROL[[#This Row],[VEHIDCODE]],PROPERTIES[VEHIDCODE],0))</f>
        <v>1</v>
      </c>
      <c r="L666" t="b">
        <f>ISNUMBER(MATCH(CONTROL[[#This Row],[VEHIDCODE]],GRAPHICS_PROPERTIES[VEHIDCODE],0))</f>
        <v>1</v>
      </c>
      <c r="M666" s="21" t="str">
        <f>"item_"&amp;CONTROL[[#This Row],[VEHIDCODE]]</f>
        <v>item_mu_Wagon_Gen3_Flat_Wagon</v>
      </c>
      <c r="N666" s="21" t="str">
        <f>"str_"&amp;CONTROL[[#This Row],[VEHIDCODE]]</f>
        <v>str_mu_Wagon_Gen3_Flat_Wagon</v>
      </c>
      <c r="O666" s="7" t="b">
        <f>INDEX(PROPERTIES[IS_CONCEPT],MATCH(CONTROL[[#This Row],[VEHIDCODE]],PROPERTIES[VEHIDCODE],0))="IS_CONCEPT"</f>
        <v>0</v>
      </c>
      <c r="P666" s="7" t="b">
        <f>INDEX(PROPERTIES[EXCLUDE],MATCH(CONTROL[[#This Row],[VEHIDCODE]],PROPERTIES[VEHIDCODE],0))</f>
        <v>0</v>
      </c>
      <c r="Q6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7" spans="1:17" x14ac:dyDescent="0.35">
      <c r="A667" s="2" t="s">
        <v>161</v>
      </c>
      <c r="B667" s="21" t="str">
        <f>MID(CONTROL[[#This Row],[VEHIDCODE]],FIND("_",CONTROL[[#This Row],[VEHIDCODE]])+1,LEN(CONTROL[[#This Row],[VEHIDCODE]]))</f>
        <v>Wagon_Gen3_Boxcar_Type1</v>
      </c>
      <c r="C6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7">
        <v>12011</v>
      </c>
      <c r="F667" s="30" t="s">
        <v>1669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ISNUMBER(MATCH(CONTROL[[#This Row],[VEHIDCODE]],TRACK_TYPES[VEHIDCODE],0))</f>
        <v>1</v>
      </c>
      <c r="K667" t="b">
        <f>ISNUMBER(MATCH(CONTROL[[#This Row],[VEHIDCODE]],PROPERTIES[VEHIDCODE],0))</f>
        <v>1</v>
      </c>
      <c r="L667" t="b">
        <f>ISNUMBER(MATCH(CONTROL[[#This Row],[VEHIDCODE]],GRAPHICS_PROPERTIES[VEHIDCODE],0))</f>
        <v>1</v>
      </c>
      <c r="M667" s="21" t="str">
        <f>"item_"&amp;CONTROL[[#This Row],[VEHIDCODE]]</f>
        <v>item_mu_Wagon_Gen3_Boxcar_Type1</v>
      </c>
      <c r="N667" s="21" t="str">
        <f>"str_"&amp;CONTROL[[#This Row],[VEHIDCODE]]</f>
        <v>str_mu_Wagon_Gen3_Boxcar_Type1</v>
      </c>
      <c r="O667" s="7" t="b">
        <f>INDEX(PROPERTIES[IS_CONCEPT],MATCH(CONTROL[[#This Row],[VEHIDCODE]],PROPERTIES[VEHIDCODE],0))="IS_CONCEPT"</f>
        <v>0</v>
      </c>
      <c r="P667" s="7" t="b">
        <f>INDEX(PROPERTIES[EXCLUDE],MATCH(CONTROL[[#This Row],[VEHIDCODE]],PROPERTIES[VEHIDCODE],0))</f>
        <v>0</v>
      </c>
      <c r="Q6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8" spans="1:17" x14ac:dyDescent="0.35">
      <c r="A668" s="2" t="s">
        <v>162</v>
      </c>
      <c r="B668" s="21" t="str">
        <f>MID(CONTROL[[#This Row],[VEHIDCODE]],FIND("_",CONTROL[[#This Row],[VEHIDCODE]])+1,LEN(CONTROL[[#This Row],[VEHIDCODE]]))</f>
        <v>Wagon_Gen3_Boxcar_Type2</v>
      </c>
      <c r="C6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8">
        <v>12047</v>
      </c>
      <c r="F668" s="30" t="s">
        <v>1684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ISNUMBER(MATCH(CONTROL[[#This Row],[VEHIDCODE]],TRACK_TYPES[VEHIDCODE],0))</f>
        <v>1</v>
      </c>
      <c r="K668" t="b">
        <f>ISNUMBER(MATCH(CONTROL[[#This Row],[VEHIDCODE]],PROPERTIES[VEHIDCODE],0))</f>
        <v>1</v>
      </c>
      <c r="L668" t="b">
        <f>ISNUMBER(MATCH(CONTROL[[#This Row],[VEHIDCODE]],GRAPHICS_PROPERTIES[VEHIDCODE],0))</f>
        <v>1</v>
      </c>
      <c r="M668" s="21" t="str">
        <f>"item_"&amp;CONTROL[[#This Row],[VEHIDCODE]]</f>
        <v>item_mu_Wagon_Gen3_Boxcar_Type2</v>
      </c>
      <c r="N668" s="21" t="str">
        <f>"str_"&amp;CONTROL[[#This Row],[VEHIDCODE]]</f>
        <v>str_mu_Wagon_Gen3_Boxcar_Type2</v>
      </c>
      <c r="O668" s="7" t="b">
        <f>INDEX(PROPERTIES[IS_CONCEPT],MATCH(CONTROL[[#This Row],[VEHIDCODE]],PROPERTIES[VEHIDCODE],0))="IS_CONCEPT"</f>
        <v>0</v>
      </c>
      <c r="P668" s="7" t="b">
        <f>INDEX(PROPERTIES[EXCLUDE],MATCH(CONTROL[[#This Row],[VEHIDCODE]],PROPERTIES[VEHIDCODE],0))</f>
        <v>0</v>
      </c>
      <c r="Q6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69" spans="1:17" x14ac:dyDescent="0.35">
      <c r="A669" s="2" t="s">
        <v>163</v>
      </c>
      <c r="B669" s="21" t="str">
        <f>MID(CONTROL[[#This Row],[VEHIDCODE]],FIND("_",CONTROL[[#This Row],[VEHIDCODE]])+1,LEN(CONTROL[[#This Row],[VEHIDCODE]]))</f>
        <v>Wagon_Gen3_Tanker</v>
      </c>
      <c r="C6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69">
        <v>12012</v>
      </c>
      <c r="F669" s="30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ISNUMBER(MATCH(CONTROL[[#This Row],[VEHIDCODE]],TRACK_TYPES[VEHIDCODE],0))</f>
        <v>1</v>
      </c>
      <c r="K669" t="b">
        <f>ISNUMBER(MATCH(CONTROL[[#This Row],[VEHIDCODE]],PROPERTIES[VEHIDCODE],0))</f>
        <v>1</v>
      </c>
      <c r="L669" t="b">
        <f>ISNUMBER(MATCH(CONTROL[[#This Row],[VEHIDCODE]],GRAPHICS_PROPERTIES[VEHIDCODE],0))</f>
        <v>1</v>
      </c>
      <c r="M669" s="21" t="str">
        <f>"item_"&amp;CONTROL[[#This Row],[VEHIDCODE]]</f>
        <v>item_mu_Wagon_Gen3_Tanker</v>
      </c>
      <c r="N669" s="21" t="str">
        <f>"str_"&amp;CONTROL[[#This Row],[VEHIDCODE]]</f>
        <v>str_mu_Wagon_Gen3_Tanker</v>
      </c>
      <c r="O669" s="7" t="b">
        <f>INDEX(PROPERTIES[IS_CONCEPT],MATCH(CONTROL[[#This Row],[VEHIDCODE]],PROPERTIES[VEHIDCODE],0))="IS_CONCEPT"</f>
        <v>0</v>
      </c>
      <c r="P669" s="7" t="b">
        <f>INDEX(PROPERTIES[EXCLUDE],MATCH(CONTROL[[#This Row],[VEHIDCODE]],PROPERTIES[VEHIDCODE],0))</f>
        <v>0</v>
      </c>
      <c r="Q6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0" spans="1:17" x14ac:dyDescent="0.35">
      <c r="A670" s="2" t="s">
        <v>164</v>
      </c>
      <c r="B670" s="21" t="str">
        <f>MID(CONTROL[[#This Row],[VEHIDCODE]],FIND("_",CONTROL[[#This Row],[VEHIDCODE]])+1,LEN(CONTROL[[#This Row],[VEHIDCODE]]))</f>
        <v>Wagon_Gen3_Open_Wagon</v>
      </c>
      <c r="C6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0">
        <v>12013</v>
      </c>
      <c r="F670" s="30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ISNUMBER(MATCH(CONTROL[[#This Row],[VEHIDCODE]],TRACK_TYPES[VEHIDCODE],0))</f>
        <v>1</v>
      </c>
      <c r="K670" t="b">
        <f>ISNUMBER(MATCH(CONTROL[[#This Row],[VEHIDCODE]],PROPERTIES[VEHIDCODE],0))</f>
        <v>1</v>
      </c>
      <c r="L670" t="b">
        <f>ISNUMBER(MATCH(CONTROL[[#This Row],[VEHIDCODE]],GRAPHICS_PROPERTIES[VEHIDCODE],0))</f>
        <v>1</v>
      </c>
      <c r="M670" s="21" t="str">
        <f>"item_"&amp;CONTROL[[#This Row],[VEHIDCODE]]</f>
        <v>item_mu_Wagon_Gen3_Open_Wagon</v>
      </c>
      <c r="N670" s="21" t="str">
        <f>"str_"&amp;CONTROL[[#This Row],[VEHIDCODE]]</f>
        <v>str_mu_Wagon_Gen3_Open_Wagon</v>
      </c>
      <c r="O670" s="7" t="b">
        <f>INDEX(PROPERTIES[IS_CONCEPT],MATCH(CONTROL[[#This Row],[VEHIDCODE]],PROPERTIES[VEHIDCODE],0))="IS_CONCEPT"</f>
        <v>0</v>
      </c>
      <c r="P670" s="7" t="b">
        <f>INDEX(PROPERTIES[EXCLUDE],MATCH(CONTROL[[#This Row],[VEHIDCODE]],PROPERTIES[VEHIDCODE],0))</f>
        <v>0</v>
      </c>
      <c r="Q6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1" spans="1:17" x14ac:dyDescent="0.35">
      <c r="A671" s="2" t="s">
        <v>165</v>
      </c>
      <c r="B671" s="21" t="str">
        <f>MID(CONTROL[[#This Row],[VEHIDCODE]],FIND("_",CONTROL[[#This Row],[VEHIDCODE]])+1,LEN(CONTROL[[#This Row],[VEHIDCODE]]))</f>
        <v>Wagon_Gen3_Silo_Type1</v>
      </c>
      <c r="C6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1">
        <v>12014</v>
      </c>
      <c r="F671" s="30" t="s">
        <v>1670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ISNUMBER(MATCH(CONTROL[[#This Row],[VEHIDCODE]],TRACK_TYPES[VEHIDCODE],0))</f>
        <v>1</v>
      </c>
      <c r="K671" t="b">
        <f>ISNUMBER(MATCH(CONTROL[[#This Row],[VEHIDCODE]],PROPERTIES[VEHIDCODE],0))</f>
        <v>1</v>
      </c>
      <c r="L671" t="b">
        <f>ISNUMBER(MATCH(CONTROL[[#This Row],[VEHIDCODE]],GRAPHICS_PROPERTIES[VEHIDCODE],0))</f>
        <v>1</v>
      </c>
      <c r="M671" s="21" t="str">
        <f>"item_"&amp;CONTROL[[#This Row],[VEHIDCODE]]</f>
        <v>item_mu_Wagon_Gen3_Silo_Type1</v>
      </c>
      <c r="N671" s="21" t="str">
        <f>"str_"&amp;CONTROL[[#This Row],[VEHIDCODE]]</f>
        <v>str_mu_Wagon_Gen3_Silo_Type1</v>
      </c>
      <c r="O671" s="7" t="b">
        <f>INDEX(PROPERTIES[IS_CONCEPT],MATCH(CONTROL[[#This Row],[VEHIDCODE]],PROPERTIES[VEHIDCODE],0))="IS_CONCEPT"</f>
        <v>0</v>
      </c>
      <c r="P671" s="7" t="b">
        <f>INDEX(PROPERTIES[EXCLUDE],MATCH(CONTROL[[#This Row],[VEHIDCODE]],PROPERTIES[VEHIDCODE],0))</f>
        <v>0</v>
      </c>
      <c r="Q6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2" spans="1:17" x14ac:dyDescent="0.35">
      <c r="A672" s="2" t="s">
        <v>166</v>
      </c>
      <c r="B672" s="21" t="str">
        <f>MID(CONTROL[[#This Row],[VEHIDCODE]],FIND("_",CONTROL[[#This Row],[VEHIDCODE]])+1,LEN(CONTROL[[#This Row],[VEHIDCODE]]))</f>
        <v>Wagon_Gen3_Silo_Type2</v>
      </c>
      <c r="C6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2">
        <v>12039</v>
      </c>
      <c r="F672" s="30" t="s">
        <v>1685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ISNUMBER(MATCH(CONTROL[[#This Row],[VEHIDCODE]],TRACK_TYPES[VEHIDCODE],0))</f>
        <v>1</v>
      </c>
      <c r="K672" t="b">
        <f>ISNUMBER(MATCH(CONTROL[[#This Row],[VEHIDCODE]],PROPERTIES[VEHIDCODE],0))</f>
        <v>1</v>
      </c>
      <c r="L672" t="b">
        <f>ISNUMBER(MATCH(CONTROL[[#This Row],[VEHIDCODE]],GRAPHICS_PROPERTIES[VEHIDCODE],0))</f>
        <v>1</v>
      </c>
      <c r="M672" s="21" t="str">
        <f>"item_"&amp;CONTROL[[#This Row],[VEHIDCODE]]</f>
        <v>item_mu_Wagon_Gen3_Silo_Type2</v>
      </c>
      <c r="N672" s="21" t="str">
        <f>"str_"&amp;CONTROL[[#This Row],[VEHIDCODE]]</f>
        <v>str_mu_Wagon_Gen3_Silo_Type2</v>
      </c>
      <c r="O672" s="7" t="b">
        <f>INDEX(PROPERTIES[IS_CONCEPT],MATCH(CONTROL[[#This Row],[VEHIDCODE]],PROPERTIES[VEHIDCODE],0))="IS_CONCEPT"</f>
        <v>0</v>
      </c>
      <c r="P672" s="7" t="b">
        <f>INDEX(PROPERTIES[EXCLUDE],MATCH(CONTROL[[#This Row],[VEHIDCODE]],PROPERTIES[VEHIDCODE],0))</f>
        <v>0</v>
      </c>
      <c r="Q6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3" spans="1:17" x14ac:dyDescent="0.35">
      <c r="A673" s="2" t="s">
        <v>167</v>
      </c>
      <c r="B673" s="21" t="str">
        <f>MID(CONTROL[[#This Row],[VEHIDCODE]],FIND("_",CONTROL[[#This Row],[VEHIDCODE]])+1,LEN(CONTROL[[#This Row],[VEHIDCODE]]))</f>
        <v>Wagon_Gen3_Hopper</v>
      </c>
      <c r="C6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6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3">
        <v>12015</v>
      </c>
      <c r="F673" s="30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ISNUMBER(MATCH(CONTROL[[#This Row],[VEHIDCODE]],TRACK_TYPES[VEHIDCODE],0))</f>
        <v>1</v>
      </c>
      <c r="K673" t="b">
        <f>ISNUMBER(MATCH(CONTROL[[#This Row],[VEHIDCODE]],PROPERTIES[VEHIDCODE],0))</f>
        <v>1</v>
      </c>
      <c r="L673" t="b">
        <f>ISNUMBER(MATCH(CONTROL[[#This Row],[VEHIDCODE]],GRAPHICS_PROPERTIES[VEHIDCODE],0))</f>
        <v>1</v>
      </c>
      <c r="M673" s="21" t="str">
        <f>"item_"&amp;CONTROL[[#This Row],[VEHIDCODE]]</f>
        <v>item_mu_Wagon_Gen3_Hopper</v>
      </c>
      <c r="N673" s="21" t="str">
        <f>"str_"&amp;CONTROL[[#This Row],[VEHIDCODE]]</f>
        <v>str_mu_Wagon_Gen3_Hopper</v>
      </c>
      <c r="O673" s="7" t="b">
        <f>INDEX(PROPERTIES[IS_CONCEPT],MATCH(CONTROL[[#This Row],[VEHIDCODE]],PROPERTIES[VEHIDCODE],0))="IS_CONCEPT"</f>
        <v>0</v>
      </c>
      <c r="P673" s="7" t="b">
        <f>INDEX(PROPERTIES[EXCLUDE],MATCH(CONTROL[[#This Row],[VEHIDCODE]],PROPERTIES[VEHIDCODE],0))</f>
        <v>0</v>
      </c>
      <c r="Q6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4" spans="1:17" x14ac:dyDescent="0.35">
      <c r="A674" s="2" t="s">
        <v>168</v>
      </c>
      <c r="B674" s="21" t="str">
        <f>MID(CONTROL[[#This Row],[VEHIDCODE]],FIND("_",CONTROL[[#This Row],[VEHIDCODE]])+1,LEN(CONTROL[[#This Row],[VEHIDCODE]]))</f>
        <v>Wagon_Gen4_Flatcar</v>
      </c>
      <c r="C6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4">
        <v>12016</v>
      </c>
      <c r="F674" s="30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ISNUMBER(MATCH(CONTROL[[#This Row],[VEHIDCODE]],TRACK_TYPES[VEHIDCODE],0))</f>
        <v>1</v>
      </c>
      <c r="K674" t="b">
        <f>ISNUMBER(MATCH(CONTROL[[#This Row],[VEHIDCODE]],PROPERTIES[VEHIDCODE],0))</f>
        <v>1</v>
      </c>
      <c r="L674" t="b">
        <f>ISNUMBER(MATCH(CONTROL[[#This Row],[VEHIDCODE]],GRAPHICS_PROPERTIES[VEHIDCODE],0))</f>
        <v>1</v>
      </c>
      <c r="M674" s="21" t="str">
        <f>"item_"&amp;CONTROL[[#This Row],[VEHIDCODE]]</f>
        <v>item_mu_Wagon_Gen4_Flatcar</v>
      </c>
      <c r="N674" s="21" t="str">
        <f>"str_"&amp;CONTROL[[#This Row],[VEHIDCODE]]</f>
        <v>str_mu_Wagon_Gen4_Flatcar</v>
      </c>
      <c r="O674" s="7" t="b">
        <f>INDEX(PROPERTIES[IS_CONCEPT],MATCH(CONTROL[[#This Row],[VEHIDCODE]],PROPERTIES[VEHIDCODE],0))="IS_CONCEPT"</f>
        <v>0</v>
      </c>
      <c r="P674" s="7" t="b">
        <f>INDEX(PROPERTIES[EXCLUDE],MATCH(CONTROL[[#This Row],[VEHIDCODE]],PROPERTIES[VEHIDCODE],0))</f>
        <v>0</v>
      </c>
      <c r="Q6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5" spans="1:17" x14ac:dyDescent="0.35">
      <c r="A675" s="2" t="s">
        <v>169</v>
      </c>
      <c r="B675" s="21" t="str">
        <f>MID(CONTROL[[#This Row],[VEHIDCODE]],FIND("_",CONTROL[[#This Row],[VEHIDCODE]])+1,LEN(CONTROL[[#This Row],[VEHIDCODE]]))</f>
        <v>Wagon_Gen4_Heavy_Flatcar</v>
      </c>
      <c r="C6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5">
        <v>12017</v>
      </c>
      <c r="F675" s="30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ISNUMBER(MATCH(CONTROL[[#This Row],[VEHIDCODE]],TRACK_TYPES[VEHIDCODE],0))</f>
        <v>1</v>
      </c>
      <c r="K675" t="b">
        <f>ISNUMBER(MATCH(CONTROL[[#This Row],[VEHIDCODE]],PROPERTIES[VEHIDCODE],0))</f>
        <v>1</v>
      </c>
      <c r="L675" t="b">
        <f>ISNUMBER(MATCH(CONTROL[[#This Row],[VEHIDCODE]],GRAPHICS_PROPERTIES[VEHIDCODE],0))</f>
        <v>1</v>
      </c>
      <c r="M675" s="21" t="str">
        <f>"item_"&amp;CONTROL[[#This Row],[VEHIDCODE]]</f>
        <v>item_mu_Wagon_Gen4_Heavy_Flatcar</v>
      </c>
      <c r="N675" s="21" t="str">
        <f>"str_"&amp;CONTROL[[#This Row],[VEHIDCODE]]</f>
        <v>str_mu_Wagon_Gen4_Heavy_Flatcar</v>
      </c>
      <c r="O675" s="7" t="b">
        <f>INDEX(PROPERTIES[IS_CONCEPT],MATCH(CONTROL[[#This Row],[VEHIDCODE]],PROPERTIES[VEHIDCODE],0))="IS_CONCEPT"</f>
        <v>0</v>
      </c>
      <c r="P675" s="7" t="b">
        <f>INDEX(PROPERTIES[EXCLUDE],MATCH(CONTROL[[#This Row],[VEHIDCODE]],PROPERTIES[VEHIDCODE],0))</f>
        <v>0</v>
      </c>
      <c r="Q6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6" spans="1:17" x14ac:dyDescent="0.35">
      <c r="A676" s="2" t="s">
        <v>170</v>
      </c>
      <c r="B676" s="21" t="str">
        <f>MID(CONTROL[[#This Row],[VEHIDCODE]],FIND("_",CONTROL[[#This Row],[VEHIDCODE]])+1,LEN(CONTROL[[#This Row],[VEHIDCODE]]))</f>
        <v>Wagon_Gen4_Boxcar_Type1</v>
      </c>
      <c r="C6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6">
        <v>12018</v>
      </c>
      <c r="F676" s="30" t="s">
        <v>1671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ISNUMBER(MATCH(CONTROL[[#This Row],[VEHIDCODE]],TRACK_TYPES[VEHIDCODE],0))</f>
        <v>1</v>
      </c>
      <c r="K676" t="b">
        <f>ISNUMBER(MATCH(CONTROL[[#This Row],[VEHIDCODE]],PROPERTIES[VEHIDCODE],0))</f>
        <v>1</v>
      </c>
      <c r="L676" t="b">
        <f>ISNUMBER(MATCH(CONTROL[[#This Row],[VEHIDCODE]],GRAPHICS_PROPERTIES[VEHIDCODE],0))</f>
        <v>1</v>
      </c>
      <c r="M676" s="21" t="str">
        <f>"item_"&amp;CONTROL[[#This Row],[VEHIDCODE]]</f>
        <v>item_mu_Wagon_Gen4_Boxcar_Type1</v>
      </c>
      <c r="N676" s="21" t="str">
        <f>"str_"&amp;CONTROL[[#This Row],[VEHIDCODE]]</f>
        <v>str_mu_Wagon_Gen4_Boxcar_Type1</v>
      </c>
      <c r="O676" s="7" t="b">
        <f>INDEX(PROPERTIES[IS_CONCEPT],MATCH(CONTROL[[#This Row],[VEHIDCODE]],PROPERTIES[VEHIDCODE],0))="IS_CONCEPT"</f>
        <v>0</v>
      </c>
      <c r="P676" s="7" t="b">
        <f>INDEX(PROPERTIES[EXCLUDE],MATCH(CONTROL[[#This Row],[VEHIDCODE]],PROPERTIES[VEHIDCODE],0))</f>
        <v>0</v>
      </c>
      <c r="Q6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7" spans="1:17" x14ac:dyDescent="0.35">
      <c r="A677" s="2" t="s">
        <v>171</v>
      </c>
      <c r="B677" s="21" t="str">
        <f>MID(CONTROL[[#This Row],[VEHIDCODE]],FIND("_",CONTROL[[#This Row],[VEHIDCODE]])+1,LEN(CONTROL[[#This Row],[VEHIDCODE]]))</f>
        <v>Wagon_Gen4_Boxcar_Type2</v>
      </c>
      <c r="C6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7">
        <v>12048</v>
      </c>
      <c r="F677" s="30" t="s">
        <v>1686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ISNUMBER(MATCH(CONTROL[[#This Row],[VEHIDCODE]],TRACK_TYPES[VEHIDCODE],0))</f>
        <v>1</v>
      </c>
      <c r="K677" t="b">
        <f>ISNUMBER(MATCH(CONTROL[[#This Row],[VEHIDCODE]],PROPERTIES[VEHIDCODE],0))</f>
        <v>1</v>
      </c>
      <c r="L677" t="b">
        <f>ISNUMBER(MATCH(CONTROL[[#This Row],[VEHIDCODE]],GRAPHICS_PROPERTIES[VEHIDCODE],0))</f>
        <v>1</v>
      </c>
      <c r="M677" s="21" t="str">
        <f>"item_"&amp;CONTROL[[#This Row],[VEHIDCODE]]</f>
        <v>item_mu_Wagon_Gen4_Boxcar_Type2</v>
      </c>
      <c r="N677" s="21" t="str">
        <f>"str_"&amp;CONTROL[[#This Row],[VEHIDCODE]]</f>
        <v>str_mu_Wagon_Gen4_Boxcar_Type2</v>
      </c>
      <c r="O677" s="7" t="b">
        <f>INDEX(PROPERTIES[IS_CONCEPT],MATCH(CONTROL[[#This Row],[VEHIDCODE]],PROPERTIES[VEHIDCODE],0))="IS_CONCEPT"</f>
        <v>0</v>
      </c>
      <c r="P677" s="7" t="b">
        <f>INDEX(PROPERTIES[EXCLUDE],MATCH(CONTROL[[#This Row],[VEHIDCODE]],PROPERTIES[VEHIDCODE],0))</f>
        <v>0</v>
      </c>
      <c r="Q6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8" spans="1:17" x14ac:dyDescent="0.35">
      <c r="A678" s="2" t="s">
        <v>172</v>
      </c>
      <c r="B678" s="21" t="str">
        <f>MID(CONTROL[[#This Row],[VEHIDCODE]],FIND("_",CONTROL[[#This Row],[VEHIDCODE]])+1,LEN(CONTROL[[#This Row],[VEHIDCODE]]))</f>
        <v>Wagon_Gen4_Tanker</v>
      </c>
      <c r="C6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8">
        <v>12019</v>
      </c>
      <c r="F678" s="30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ISNUMBER(MATCH(CONTROL[[#This Row],[VEHIDCODE]],TRACK_TYPES[VEHIDCODE],0))</f>
        <v>1</v>
      </c>
      <c r="K678" t="b">
        <f>ISNUMBER(MATCH(CONTROL[[#This Row],[VEHIDCODE]],PROPERTIES[VEHIDCODE],0))</f>
        <v>1</v>
      </c>
      <c r="L678" t="b">
        <f>ISNUMBER(MATCH(CONTROL[[#This Row],[VEHIDCODE]],GRAPHICS_PROPERTIES[VEHIDCODE],0))</f>
        <v>1</v>
      </c>
      <c r="M678" s="21" t="str">
        <f>"item_"&amp;CONTROL[[#This Row],[VEHIDCODE]]</f>
        <v>item_mu_Wagon_Gen4_Tanker</v>
      </c>
      <c r="N678" s="21" t="str">
        <f>"str_"&amp;CONTROL[[#This Row],[VEHIDCODE]]</f>
        <v>str_mu_Wagon_Gen4_Tanker</v>
      </c>
      <c r="O678" s="7" t="b">
        <f>INDEX(PROPERTIES[IS_CONCEPT],MATCH(CONTROL[[#This Row],[VEHIDCODE]],PROPERTIES[VEHIDCODE],0))="IS_CONCEPT"</f>
        <v>0</v>
      </c>
      <c r="P678" s="7" t="b">
        <f>INDEX(PROPERTIES[EXCLUDE],MATCH(CONTROL[[#This Row],[VEHIDCODE]],PROPERTIES[VEHIDCODE],0))</f>
        <v>0</v>
      </c>
      <c r="Q6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79" spans="1:17" x14ac:dyDescent="0.35">
      <c r="A679" s="2" t="s">
        <v>173</v>
      </c>
      <c r="B679" s="21" t="str">
        <f>MID(CONTROL[[#This Row],[VEHIDCODE]],FIND("_",CONTROL[[#This Row],[VEHIDCODE]])+1,LEN(CONTROL[[#This Row],[VEHIDCODE]]))</f>
        <v>Wagon_Gen4_Gondola</v>
      </c>
      <c r="C6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79">
        <v>12020</v>
      </c>
      <c r="F679" s="30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ISNUMBER(MATCH(CONTROL[[#This Row],[VEHIDCODE]],TRACK_TYPES[VEHIDCODE],0))</f>
        <v>1</v>
      </c>
      <c r="K679" t="b">
        <f>ISNUMBER(MATCH(CONTROL[[#This Row],[VEHIDCODE]],PROPERTIES[VEHIDCODE],0))</f>
        <v>1</v>
      </c>
      <c r="L679" t="b">
        <f>ISNUMBER(MATCH(CONTROL[[#This Row],[VEHIDCODE]],GRAPHICS_PROPERTIES[VEHIDCODE],0))</f>
        <v>1</v>
      </c>
      <c r="M679" s="21" t="str">
        <f>"item_"&amp;CONTROL[[#This Row],[VEHIDCODE]]</f>
        <v>item_mu_Wagon_Gen4_Gondola</v>
      </c>
      <c r="N679" s="21" t="str">
        <f>"str_"&amp;CONTROL[[#This Row],[VEHIDCODE]]</f>
        <v>str_mu_Wagon_Gen4_Gondola</v>
      </c>
      <c r="O679" s="7" t="b">
        <f>INDEX(PROPERTIES[IS_CONCEPT],MATCH(CONTROL[[#This Row],[VEHIDCODE]],PROPERTIES[VEHIDCODE],0))="IS_CONCEPT"</f>
        <v>0</v>
      </c>
      <c r="P679" s="7" t="b">
        <f>INDEX(PROPERTIES[EXCLUDE],MATCH(CONTROL[[#This Row],[VEHIDCODE]],PROPERTIES[VEHIDCODE],0))</f>
        <v>0</v>
      </c>
      <c r="Q6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0" spans="1:17" x14ac:dyDescent="0.35">
      <c r="A680" s="2" t="s">
        <v>174</v>
      </c>
      <c r="B680" s="21" t="str">
        <f>MID(CONTROL[[#This Row],[VEHIDCODE]],FIND("_",CONTROL[[#This Row],[VEHIDCODE]])+1,LEN(CONTROL[[#This Row],[VEHIDCODE]]))</f>
        <v>Wagon_Gen4_Silo_Type1</v>
      </c>
      <c r="C6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0">
        <v>12021</v>
      </c>
      <c r="F680" s="30" t="s">
        <v>1672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ISNUMBER(MATCH(CONTROL[[#This Row],[VEHIDCODE]],TRACK_TYPES[VEHIDCODE],0))</f>
        <v>1</v>
      </c>
      <c r="K680" t="b">
        <f>ISNUMBER(MATCH(CONTROL[[#This Row],[VEHIDCODE]],PROPERTIES[VEHIDCODE],0))</f>
        <v>1</v>
      </c>
      <c r="L680" t="b">
        <f>ISNUMBER(MATCH(CONTROL[[#This Row],[VEHIDCODE]],GRAPHICS_PROPERTIES[VEHIDCODE],0))</f>
        <v>1</v>
      </c>
      <c r="M680" s="21" t="str">
        <f>"item_"&amp;CONTROL[[#This Row],[VEHIDCODE]]</f>
        <v>item_mu_Wagon_Gen4_Silo_Type1</v>
      </c>
      <c r="N680" s="21" t="str">
        <f>"str_"&amp;CONTROL[[#This Row],[VEHIDCODE]]</f>
        <v>str_mu_Wagon_Gen4_Silo_Type1</v>
      </c>
      <c r="O680" s="7" t="b">
        <f>INDEX(PROPERTIES[IS_CONCEPT],MATCH(CONTROL[[#This Row],[VEHIDCODE]],PROPERTIES[VEHIDCODE],0))="IS_CONCEPT"</f>
        <v>0</v>
      </c>
      <c r="P680" s="7" t="b">
        <f>INDEX(PROPERTIES[EXCLUDE],MATCH(CONTROL[[#This Row],[VEHIDCODE]],PROPERTIES[VEHIDCODE],0))</f>
        <v>0</v>
      </c>
      <c r="Q6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1" spans="1:17" x14ac:dyDescent="0.35">
      <c r="A681" s="2" t="s">
        <v>175</v>
      </c>
      <c r="B681" s="21" t="str">
        <f>MID(CONTROL[[#This Row],[VEHIDCODE]],FIND("_",CONTROL[[#This Row],[VEHIDCODE]])+1,LEN(CONTROL[[#This Row],[VEHIDCODE]]))</f>
        <v>Wagon_Gen4_Silo_Type2</v>
      </c>
      <c r="C6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1">
        <v>12040</v>
      </c>
      <c r="F681" s="30" t="s">
        <v>1687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ISNUMBER(MATCH(CONTROL[[#This Row],[VEHIDCODE]],TRACK_TYPES[VEHIDCODE],0))</f>
        <v>1</v>
      </c>
      <c r="K681" t="b">
        <f>ISNUMBER(MATCH(CONTROL[[#This Row],[VEHIDCODE]],PROPERTIES[VEHIDCODE],0))</f>
        <v>1</v>
      </c>
      <c r="L681" t="b">
        <f>ISNUMBER(MATCH(CONTROL[[#This Row],[VEHIDCODE]],GRAPHICS_PROPERTIES[VEHIDCODE],0))</f>
        <v>1</v>
      </c>
      <c r="M681" s="21" t="str">
        <f>"item_"&amp;CONTROL[[#This Row],[VEHIDCODE]]</f>
        <v>item_mu_Wagon_Gen4_Silo_Type2</v>
      </c>
      <c r="N681" s="21" t="str">
        <f>"str_"&amp;CONTROL[[#This Row],[VEHIDCODE]]</f>
        <v>str_mu_Wagon_Gen4_Silo_Type2</v>
      </c>
      <c r="O681" s="7" t="b">
        <f>INDEX(PROPERTIES[IS_CONCEPT],MATCH(CONTROL[[#This Row],[VEHIDCODE]],PROPERTIES[VEHIDCODE],0))="IS_CONCEPT"</f>
        <v>0</v>
      </c>
      <c r="P681" s="7" t="b">
        <f>INDEX(PROPERTIES[EXCLUDE],MATCH(CONTROL[[#This Row],[VEHIDCODE]],PROPERTIES[VEHIDCODE],0))</f>
        <v>0</v>
      </c>
      <c r="Q6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2" spans="1:17" x14ac:dyDescent="0.35">
      <c r="A682" s="2" t="s">
        <v>176</v>
      </c>
      <c r="B682" s="21" t="str">
        <f>MID(CONTROL[[#This Row],[VEHIDCODE]],FIND("_",CONTROL[[#This Row],[VEHIDCODE]])+1,LEN(CONTROL[[#This Row],[VEHIDCODE]]))</f>
        <v>Wagon_Gen4_Hopper_Type1</v>
      </c>
      <c r="C6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2">
        <v>12022</v>
      </c>
      <c r="F682" s="30" t="s">
        <v>1673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ISNUMBER(MATCH(CONTROL[[#This Row],[VEHIDCODE]],TRACK_TYPES[VEHIDCODE],0))</f>
        <v>1</v>
      </c>
      <c r="K682" t="b">
        <f>ISNUMBER(MATCH(CONTROL[[#This Row],[VEHIDCODE]],PROPERTIES[VEHIDCODE],0))</f>
        <v>1</v>
      </c>
      <c r="L682" t="b">
        <f>ISNUMBER(MATCH(CONTROL[[#This Row],[VEHIDCODE]],GRAPHICS_PROPERTIES[VEHIDCODE],0))</f>
        <v>1</v>
      </c>
      <c r="M682" s="21" t="str">
        <f>"item_"&amp;CONTROL[[#This Row],[VEHIDCODE]]</f>
        <v>item_mu_Wagon_Gen4_Hopper_Type1</v>
      </c>
      <c r="N682" s="21" t="str">
        <f>"str_"&amp;CONTROL[[#This Row],[VEHIDCODE]]</f>
        <v>str_mu_Wagon_Gen4_Hopper_Type1</v>
      </c>
      <c r="O682" s="7" t="b">
        <f>INDEX(PROPERTIES[IS_CONCEPT],MATCH(CONTROL[[#This Row],[VEHIDCODE]],PROPERTIES[VEHIDCODE],0))="IS_CONCEPT"</f>
        <v>0</v>
      </c>
      <c r="P682" s="7" t="b">
        <f>INDEX(PROPERTIES[EXCLUDE],MATCH(CONTROL[[#This Row],[VEHIDCODE]],PROPERTIES[VEHIDCODE],0))</f>
        <v>0</v>
      </c>
      <c r="Q6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3" spans="1:17" x14ac:dyDescent="0.35">
      <c r="A683" s="2" t="s">
        <v>177</v>
      </c>
      <c r="B683" s="21" t="str">
        <f>MID(CONTROL[[#This Row],[VEHIDCODE]],FIND("_",CONTROL[[#This Row],[VEHIDCODE]])+1,LEN(CONTROL[[#This Row],[VEHIDCODE]]))</f>
        <v>Wagon_Gen4_Hopper_Type2</v>
      </c>
      <c r="C6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3">
        <v>12041</v>
      </c>
      <c r="F683" s="30" t="s">
        <v>1688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ISNUMBER(MATCH(CONTROL[[#This Row],[VEHIDCODE]],TRACK_TYPES[VEHIDCODE],0))</f>
        <v>1</v>
      </c>
      <c r="K683" t="b">
        <f>ISNUMBER(MATCH(CONTROL[[#This Row],[VEHIDCODE]],PROPERTIES[VEHIDCODE],0))</f>
        <v>1</v>
      </c>
      <c r="L683" t="b">
        <f>ISNUMBER(MATCH(CONTROL[[#This Row],[VEHIDCODE]],GRAPHICS_PROPERTIES[VEHIDCODE],0))</f>
        <v>1</v>
      </c>
      <c r="M683" s="21" t="str">
        <f>"item_"&amp;CONTROL[[#This Row],[VEHIDCODE]]</f>
        <v>item_mu_Wagon_Gen4_Hopper_Type2</v>
      </c>
      <c r="N683" s="21" t="str">
        <f>"str_"&amp;CONTROL[[#This Row],[VEHIDCODE]]</f>
        <v>str_mu_Wagon_Gen4_Hopper_Type2</v>
      </c>
      <c r="O683" s="7" t="b">
        <f>INDEX(PROPERTIES[IS_CONCEPT],MATCH(CONTROL[[#This Row],[VEHIDCODE]],PROPERTIES[VEHIDCODE],0))="IS_CONCEPT"</f>
        <v>0</v>
      </c>
      <c r="P683" s="7" t="b">
        <f>INDEX(PROPERTIES[EXCLUDE],MATCH(CONTROL[[#This Row],[VEHIDCODE]],PROPERTIES[VEHIDCODE],0))</f>
        <v>0</v>
      </c>
      <c r="Q6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4" spans="1:17" x14ac:dyDescent="0.35">
      <c r="A684" s="2" t="s">
        <v>178</v>
      </c>
      <c r="B684" s="21" t="str">
        <f>MID(CONTROL[[#This Row],[VEHIDCODE]],FIND("_",CONTROL[[#This Row],[VEHIDCODE]])+1,LEN(CONTROL[[#This Row],[VEHIDCODE]]))</f>
        <v>Wagon_Gen4_Car_Transporter</v>
      </c>
      <c r="C6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4">
        <v>12023</v>
      </c>
      <c r="F684" s="30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ISNUMBER(MATCH(CONTROL[[#This Row],[VEHIDCODE]],TRACK_TYPES[VEHIDCODE],0))</f>
        <v>1</v>
      </c>
      <c r="K684" t="b">
        <f>ISNUMBER(MATCH(CONTROL[[#This Row],[VEHIDCODE]],PROPERTIES[VEHIDCODE],0))</f>
        <v>1</v>
      </c>
      <c r="L684" t="b">
        <f>ISNUMBER(MATCH(CONTROL[[#This Row],[VEHIDCODE]],GRAPHICS_PROPERTIES[VEHIDCODE],0))</f>
        <v>1</v>
      </c>
      <c r="M684" s="21" t="str">
        <f>"item_"&amp;CONTROL[[#This Row],[VEHIDCODE]]</f>
        <v>item_mu_Wagon_Gen4_Car_Transporter</v>
      </c>
      <c r="N684" s="21" t="str">
        <f>"str_"&amp;CONTROL[[#This Row],[VEHIDCODE]]</f>
        <v>str_mu_Wagon_Gen4_Car_Transporter</v>
      </c>
      <c r="O684" s="7" t="b">
        <f>INDEX(PROPERTIES[IS_CONCEPT],MATCH(CONTROL[[#This Row],[VEHIDCODE]],PROPERTIES[VEHIDCODE],0))="IS_CONCEPT"</f>
        <v>0</v>
      </c>
      <c r="P684" s="7" t="b">
        <f>INDEX(PROPERTIES[EXCLUDE],MATCH(CONTROL[[#This Row],[VEHIDCODE]],PROPERTIES[VEHIDCODE],0))</f>
        <v>0</v>
      </c>
      <c r="Q6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5" spans="1:17" x14ac:dyDescent="0.35">
      <c r="A685" s="2" t="s">
        <v>179</v>
      </c>
      <c r="B685" s="21" t="str">
        <f>MID(CONTROL[[#This Row],[VEHIDCODE]],FIND("_",CONTROL[[#This Row],[VEHIDCODE]])+1,LEN(CONTROL[[#This Row],[VEHIDCODE]]))</f>
        <v>Wagon_Gen4_Container_Carrier</v>
      </c>
      <c r="C6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5">
        <v>12024</v>
      </c>
      <c r="F685" s="30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ISNUMBER(MATCH(CONTROL[[#This Row],[VEHIDCODE]],TRACK_TYPES[VEHIDCODE],0))</f>
        <v>1</v>
      </c>
      <c r="K685" t="b">
        <f>ISNUMBER(MATCH(CONTROL[[#This Row],[VEHIDCODE]],PROPERTIES[VEHIDCODE],0))</f>
        <v>1</v>
      </c>
      <c r="L685" t="b">
        <f>ISNUMBER(MATCH(CONTROL[[#This Row],[VEHIDCODE]],GRAPHICS_PROPERTIES[VEHIDCODE],0))</f>
        <v>1</v>
      </c>
      <c r="M685" s="21" t="str">
        <f>"item_"&amp;CONTROL[[#This Row],[VEHIDCODE]]</f>
        <v>item_mu_Wagon_Gen4_Container_Carrier</v>
      </c>
      <c r="N685" s="21" t="str">
        <f>"str_"&amp;CONTROL[[#This Row],[VEHIDCODE]]</f>
        <v>str_mu_Wagon_Gen4_Container_Carrier</v>
      </c>
      <c r="O685" s="7" t="b">
        <f>INDEX(PROPERTIES[IS_CONCEPT],MATCH(CONTROL[[#This Row],[VEHIDCODE]],PROPERTIES[VEHIDCODE],0))="IS_CONCEPT"</f>
        <v>0</v>
      </c>
      <c r="P685" s="7" t="b">
        <f>INDEX(PROPERTIES[EXCLUDE],MATCH(CONTROL[[#This Row],[VEHIDCODE]],PROPERTIES[VEHIDCODE],0))</f>
        <v>0</v>
      </c>
      <c r="Q6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6" spans="1:17" x14ac:dyDescent="0.35">
      <c r="A686" s="2" t="s">
        <v>180</v>
      </c>
      <c r="B686" s="21" t="str">
        <f>MID(CONTROL[[#This Row],[VEHIDCODE]],FIND("_",CONTROL[[#This Row],[VEHIDCODE]])+1,LEN(CONTROL[[#This Row],[VEHIDCODE]]))</f>
        <v>Wagon_Gen4_Centerbeam</v>
      </c>
      <c r="C6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6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6">
        <v>12025</v>
      </c>
      <c r="F686" s="30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ISNUMBER(MATCH(CONTROL[[#This Row],[VEHIDCODE]],TRACK_TYPES[VEHIDCODE],0))</f>
        <v>1</v>
      </c>
      <c r="K686" t="b">
        <f>ISNUMBER(MATCH(CONTROL[[#This Row],[VEHIDCODE]],PROPERTIES[VEHIDCODE],0))</f>
        <v>1</v>
      </c>
      <c r="L686" t="b">
        <f>ISNUMBER(MATCH(CONTROL[[#This Row],[VEHIDCODE]],GRAPHICS_PROPERTIES[VEHIDCODE],0))</f>
        <v>1</v>
      </c>
      <c r="M686" s="21" t="str">
        <f>"item_"&amp;CONTROL[[#This Row],[VEHIDCODE]]</f>
        <v>item_mu_Wagon_Gen4_Centerbeam</v>
      </c>
      <c r="N686" s="21" t="str">
        <f>"str_"&amp;CONTROL[[#This Row],[VEHIDCODE]]</f>
        <v>str_mu_Wagon_Gen4_Centerbeam</v>
      </c>
      <c r="O686" s="7" t="b">
        <f>INDEX(PROPERTIES[IS_CONCEPT],MATCH(CONTROL[[#This Row],[VEHIDCODE]],PROPERTIES[VEHIDCODE],0))="IS_CONCEPT"</f>
        <v>0</v>
      </c>
      <c r="P686" s="7" t="b">
        <f>INDEX(PROPERTIES[EXCLUDE],MATCH(CONTROL[[#This Row],[VEHIDCODE]],PROPERTIES[VEHIDCODE],0))</f>
        <v>0</v>
      </c>
      <c r="Q6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7" spans="1:17" x14ac:dyDescent="0.35">
      <c r="A687" s="2" t="s">
        <v>181</v>
      </c>
      <c r="B687" s="21" t="str">
        <f>MID(CONTROL[[#This Row],[VEHIDCODE]],FIND("_",CONTROL[[#This Row],[VEHIDCODE]])+1,LEN(CONTROL[[#This Row],[VEHIDCODE]]))</f>
        <v>Wagon_Gen5_Flatcar</v>
      </c>
      <c r="C6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7">
        <v>12026</v>
      </c>
      <c r="F687" s="30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ISNUMBER(MATCH(CONTROL[[#This Row],[VEHIDCODE]],TRACK_TYPES[VEHIDCODE],0))</f>
        <v>1</v>
      </c>
      <c r="K687" t="b">
        <f>ISNUMBER(MATCH(CONTROL[[#This Row],[VEHIDCODE]],PROPERTIES[VEHIDCODE],0))</f>
        <v>1</v>
      </c>
      <c r="L687" t="b">
        <f>ISNUMBER(MATCH(CONTROL[[#This Row],[VEHIDCODE]],GRAPHICS_PROPERTIES[VEHIDCODE],0))</f>
        <v>1</v>
      </c>
      <c r="M687" s="21" t="str">
        <f>"item_"&amp;CONTROL[[#This Row],[VEHIDCODE]]</f>
        <v>item_mu_Wagon_Gen5_Flatcar</v>
      </c>
      <c r="N687" s="21" t="str">
        <f>"str_"&amp;CONTROL[[#This Row],[VEHIDCODE]]</f>
        <v>str_mu_Wagon_Gen5_Flatcar</v>
      </c>
      <c r="O687" s="7" t="b">
        <f>INDEX(PROPERTIES[IS_CONCEPT],MATCH(CONTROL[[#This Row],[VEHIDCODE]],PROPERTIES[VEHIDCODE],0))="IS_CONCEPT"</f>
        <v>0</v>
      </c>
      <c r="P687" s="7" t="b">
        <f>INDEX(PROPERTIES[EXCLUDE],MATCH(CONTROL[[#This Row],[VEHIDCODE]],PROPERTIES[VEHIDCODE],0))</f>
        <v>0</v>
      </c>
      <c r="Q6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8" spans="1:17" x14ac:dyDescent="0.35">
      <c r="A688" s="2" t="s">
        <v>182</v>
      </c>
      <c r="B688" s="21" t="str">
        <f>MID(CONTROL[[#This Row],[VEHIDCODE]],FIND("_",CONTROL[[#This Row],[VEHIDCODE]])+1,LEN(CONTROL[[#This Row],[VEHIDCODE]]))</f>
        <v>Wagon_Gen5_Heavy_Flatcar</v>
      </c>
      <c r="C6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8">
        <v>12027</v>
      </c>
      <c r="F688" s="30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ISNUMBER(MATCH(CONTROL[[#This Row],[VEHIDCODE]],TRACK_TYPES[VEHIDCODE],0))</f>
        <v>1</v>
      </c>
      <c r="K688" t="b">
        <f>ISNUMBER(MATCH(CONTROL[[#This Row],[VEHIDCODE]],PROPERTIES[VEHIDCODE],0))</f>
        <v>1</v>
      </c>
      <c r="L688" t="b">
        <f>ISNUMBER(MATCH(CONTROL[[#This Row],[VEHIDCODE]],GRAPHICS_PROPERTIES[VEHIDCODE],0))</f>
        <v>1</v>
      </c>
      <c r="M688" s="21" t="str">
        <f>"item_"&amp;CONTROL[[#This Row],[VEHIDCODE]]</f>
        <v>item_mu_Wagon_Gen5_Heavy_Flatcar</v>
      </c>
      <c r="N688" s="21" t="str">
        <f>"str_"&amp;CONTROL[[#This Row],[VEHIDCODE]]</f>
        <v>str_mu_Wagon_Gen5_Heavy_Flatcar</v>
      </c>
      <c r="O688" s="7" t="b">
        <f>INDEX(PROPERTIES[IS_CONCEPT],MATCH(CONTROL[[#This Row],[VEHIDCODE]],PROPERTIES[VEHIDCODE],0))="IS_CONCEPT"</f>
        <v>0</v>
      </c>
      <c r="P688" s="7" t="b">
        <f>INDEX(PROPERTIES[EXCLUDE],MATCH(CONTROL[[#This Row],[VEHIDCODE]],PROPERTIES[VEHIDCODE],0))</f>
        <v>0</v>
      </c>
      <c r="Q6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89" spans="1:17" x14ac:dyDescent="0.35">
      <c r="A689" s="2" t="s">
        <v>183</v>
      </c>
      <c r="B689" s="21" t="str">
        <f>MID(CONTROL[[#This Row],[VEHIDCODE]],FIND("_",CONTROL[[#This Row],[VEHIDCODE]])+1,LEN(CONTROL[[#This Row],[VEHIDCODE]]))</f>
        <v>Wagon_Gen5_Boxcar_Type1</v>
      </c>
      <c r="C6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89">
        <v>12028</v>
      </c>
      <c r="F689" s="30" t="s">
        <v>1674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ISNUMBER(MATCH(CONTROL[[#This Row],[VEHIDCODE]],TRACK_TYPES[VEHIDCODE],0))</f>
        <v>1</v>
      </c>
      <c r="K689" t="b">
        <f>ISNUMBER(MATCH(CONTROL[[#This Row],[VEHIDCODE]],PROPERTIES[VEHIDCODE],0))</f>
        <v>1</v>
      </c>
      <c r="L689" t="b">
        <f>ISNUMBER(MATCH(CONTROL[[#This Row],[VEHIDCODE]],GRAPHICS_PROPERTIES[VEHIDCODE],0))</f>
        <v>1</v>
      </c>
      <c r="M689" s="21" t="str">
        <f>"item_"&amp;CONTROL[[#This Row],[VEHIDCODE]]</f>
        <v>item_mu_Wagon_Gen5_Boxcar_Type1</v>
      </c>
      <c r="N689" s="21" t="str">
        <f>"str_"&amp;CONTROL[[#This Row],[VEHIDCODE]]</f>
        <v>str_mu_Wagon_Gen5_Boxcar_Type1</v>
      </c>
      <c r="O689" s="7" t="b">
        <f>INDEX(PROPERTIES[IS_CONCEPT],MATCH(CONTROL[[#This Row],[VEHIDCODE]],PROPERTIES[VEHIDCODE],0))="IS_CONCEPT"</f>
        <v>0</v>
      </c>
      <c r="P689" s="7" t="b">
        <f>INDEX(PROPERTIES[EXCLUDE],MATCH(CONTROL[[#This Row],[VEHIDCODE]],PROPERTIES[VEHIDCODE],0))</f>
        <v>0</v>
      </c>
      <c r="Q6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0" spans="1:17" x14ac:dyDescent="0.35">
      <c r="A690" s="2" t="s">
        <v>184</v>
      </c>
      <c r="B690" s="21" t="str">
        <f>MID(CONTROL[[#This Row],[VEHIDCODE]],FIND("_",CONTROL[[#This Row],[VEHIDCODE]])+1,LEN(CONTROL[[#This Row],[VEHIDCODE]]))</f>
        <v>Wagon_Gen5_Boxcar_Type2</v>
      </c>
      <c r="C6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0">
        <v>12042</v>
      </c>
      <c r="F690" s="30" t="s">
        <v>1689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ISNUMBER(MATCH(CONTROL[[#This Row],[VEHIDCODE]],TRACK_TYPES[VEHIDCODE],0))</f>
        <v>1</v>
      </c>
      <c r="K690" t="b">
        <f>ISNUMBER(MATCH(CONTROL[[#This Row],[VEHIDCODE]],PROPERTIES[VEHIDCODE],0))</f>
        <v>1</v>
      </c>
      <c r="L690" t="b">
        <f>ISNUMBER(MATCH(CONTROL[[#This Row],[VEHIDCODE]],GRAPHICS_PROPERTIES[VEHIDCODE],0))</f>
        <v>1</v>
      </c>
      <c r="M690" s="21" t="str">
        <f>"item_"&amp;CONTROL[[#This Row],[VEHIDCODE]]</f>
        <v>item_mu_Wagon_Gen5_Boxcar_Type2</v>
      </c>
      <c r="N690" s="21" t="str">
        <f>"str_"&amp;CONTROL[[#This Row],[VEHIDCODE]]</f>
        <v>str_mu_Wagon_Gen5_Boxcar_Type2</v>
      </c>
      <c r="O690" s="7" t="b">
        <f>INDEX(PROPERTIES[IS_CONCEPT],MATCH(CONTROL[[#This Row],[VEHIDCODE]],PROPERTIES[VEHIDCODE],0))="IS_CONCEPT"</f>
        <v>0</v>
      </c>
      <c r="P690" s="7" t="b">
        <f>INDEX(PROPERTIES[EXCLUDE],MATCH(CONTROL[[#This Row],[VEHIDCODE]],PROPERTIES[VEHIDCODE],0))</f>
        <v>0</v>
      </c>
      <c r="Q6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1" spans="1:17" x14ac:dyDescent="0.35">
      <c r="A691" s="2" t="s">
        <v>185</v>
      </c>
      <c r="B691" s="21" t="str">
        <f>MID(CONTROL[[#This Row],[VEHIDCODE]],FIND("_",CONTROL[[#This Row],[VEHIDCODE]])+1,LEN(CONTROL[[#This Row],[VEHIDCODE]]))</f>
        <v>Wagon_Gen5_Tanker</v>
      </c>
      <c r="C6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1">
        <v>12029</v>
      </c>
      <c r="F691" s="30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ISNUMBER(MATCH(CONTROL[[#This Row],[VEHIDCODE]],TRACK_TYPES[VEHIDCODE],0))</f>
        <v>1</v>
      </c>
      <c r="K691" t="b">
        <f>ISNUMBER(MATCH(CONTROL[[#This Row],[VEHIDCODE]],PROPERTIES[VEHIDCODE],0))</f>
        <v>1</v>
      </c>
      <c r="L691" t="b">
        <f>ISNUMBER(MATCH(CONTROL[[#This Row],[VEHIDCODE]],GRAPHICS_PROPERTIES[VEHIDCODE],0))</f>
        <v>1</v>
      </c>
      <c r="M691" s="21" t="str">
        <f>"item_"&amp;CONTROL[[#This Row],[VEHIDCODE]]</f>
        <v>item_mu_Wagon_Gen5_Tanker</v>
      </c>
      <c r="N691" s="21" t="str">
        <f>"str_"&amp;CONTROL[[#This Row],[VEHIDCODE]]</f>
        <v>str_mu_Wagon_Gen5_Tanker</v>
      </c>
      <c r="O691" s="7" t="b">
        <f>INDEX(PROPERTIES[IS_CONCEPT],MATCH(CONTROL[[#This Row],[VEHIDCODE]],PROPERTIES[VEHIDCODE],0))="IS_CONCEPT"</f>
        <v>0</v>
      </c>
      <c r="P691" s="7" t="b">
        <f>INDEX(PROPERTIES[EXCLUDE],MATCH(CONTROL[[#This Row],[VEHIDCODE]],PROPERTIES[VEHIDCODE],0))</f>
        <v>0</v>
      </c>
      <c r="Q6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2" spans="1:17" x14ac:dyDescent="0.35">
      <c r="A692" s="2" t="s">
        <v>186</v>
      </c>
      <c r="B692" s="21" t="str">
        <f>MID(CONTROL[[#This Row],[VEHIDCODE]],FIND("_",CONTROL[[#This Row],[VEHIDCODE]])+1,LEN(CONTROL[[#This Row],[VEHIDCODE]]))</f>
        <v>Wagon_Gen5_Gondola</v>
      </c>
      <c r="C6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2">
        <v>12030</v>
      </c>
      <c r="F692" s="30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ISNUMBER(MATCH(CONTROL[[#This Row],[VEHIDCODE]],TRACK_TYPES[VEHIDCODE],0))</f>
        <v>1</v>
      </c>
      <c r="K692" t="b">
        <f>ISNUMBER(MATCH(CONTROL[[#This Row],[VEHIDCODE]],PROPERTIES[VEHIDCODE],0))</f>
        <v>1</v>
      </c>
      <c r="L692" t="b">
        <f>ISNUMBER(MATCH(CONTROL[[#This Row],[VEHIDCODE]],GRAPHICS_PROPERTIES[VEHIDCODE],0))</f>
        <v>1</v>
      </c>
      <c r="M692" s="21" t="str">
        <f>"item_"&amp;CONTROL[[#This Row],[VEHIDCODE]]</f>
        <v>item_mu_Wagon_Gen5_Gondola</v>
      </c>
      <c r="N692" s="21" t="str">
        <f>"str_"&amp;CONTROL[[#This Row],[VEHIDCODE]]</f>
        <v>str_mu_Wagon_Gen5_Gondola</v>
      </c>
      <c r="O692" s="7" t="b">
        <f>INDEX(PROPERTIES[IS_CONCEPT],MATCH(CONTROL[[#This Row],[VEHIDCODE]],PROPERTIES[VEHIDCODE],0))="IS_CONCEPT"</f>
        <v>0</v>
      </c>
      <c r="P692" s="7" t="b">
        <f>INDEX(PROPERTIES[EXCLUDE],MATCH(CONTROL[[#This Row],[VEHIDCODE]],PROPERTIES[VEHIDCODE],0))</f>
        <v>0</v>
      </c>
      <c r="Q6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3" spans="1:17" x14ac:dyDescent="0.35">
      <c r="A693" s="2" t="s">
        <v>187</v>
      </c>
      <c r="B693" s="21" t="str">
        <f>MID(CONTROL[[#This Row],[VEHIDCODE]],FIND("_",CONTROL[[#This Row],[VEHIDCODE]])+1,LEN(CONTROL[[#This Row],[VEHIDCODE]]))</f>
        <v>Wagon_Gen5_Silo_Type1</v>
      </c>
      <c r="C6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3">
        <v>12031</v>
      </c>
      <c r="F693" s="30" t="s">
        <v>1675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ISNUMBER(MATCH(CONTROL[[#This Row],[VEHIDCODE]],TRACK_TYPES[VEHIDCODE],0))</f>
        <v>1</v>
      </c>
      <c r="K693" t="b">
        <f>ISNUMBER(MATCH(CONTROL[[#This Row],[VEHIDCODE]],PROPERTIES[VEHIDCODE],0))</f>
        <v>1</v>
      </c>
      <c r="L693" t="b">
        <f>ISNUMBER(MATCH(CONTROL[[#This Row],[VEHIDCODE]],GRAPHICS_PROPERTIES[VEHIDCODE],0))</f>
        <v>1</v>
      </c>
      <c r="M693" s="21" t="str">
        <f>"item_"&amp;CONTROL[[#This Row],[VEHIDCODE]]</f>
        <v>item_mu_Wagon_Gen5_Silo_Type1</v>
      </c>
      <c r="N693" s="21" t="str">
        <f>"str_"&amp;CONTROL[[#This Row],[VEHIDCODE]]</f>
        <v>str_mu_Wagon_Gen5_Silo_Type1</v>
      </c>
      <c r="O693" s="7" t="b">
        <f>INDEX(PROPERTIES[IS_CONCEPT],MATCH(CONTROL[[#This Row],[VEHIDCODE]],PROPERTIES[VEHIDCODE],0))="IS_CONCEPT"</f>
        <v>0</v>
      </c>
      <c r="P693" s="7" t="b">
        <f>INDEX(PROPERTIES[EXCLUDE],MATCH(CONTROL[[#This Row],[VEHIDCODE]],PROPERTIES[VEHIDCODE],0))</f>
        <v>0</v>
      </c>
      <c r="Q6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4" spans="1:17" x14ac:dyDescent="0.35">
      <c r="A694" s="2" t="s">
        <v>188</v>
      </c>
      <c r="B694" s="21" t="str">
        <f>MID(CONTROL[[#This Row],[VEHIDCODE]],FIND("_",CONTROL[[#This Row],[VEHIDCODE]])+1,LEN(CONTROL[[#This Row],[VEHIDCODE]]))</f>
        <v>Wagon_Gen5_Silo_Type2</v>
      </c>
      <c r="C6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4">
        <v>12043</v>
      </c>
      <c r="F694" s="30" t="s">
        <v>1690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ISNUMBER(MATCH(CONTROL[[#This Row],[VEHIDCODE]],TRACK_TYPES[VEHIDCODE],0))</f>
        <v>1</v>
      </c>
      <c r="K694" t="b">
        <f>ISNUMBER(MATCH(CONTROL[[#This Row],[VEHIDCODE]],PROPERTIES[VEHIDCODE],0))</f>
        <v>1</v>
      </c>
      <c r="L694" t="b">
        <f>ISNUMBER(MATCH(CONTROL[[#This Row],[VEHIDCODE]],GRAPHICS_PROPERTIES[VEHIDCODE],0))</f>
        <v>1</v>
      </c>
      <c r="M694" s="21" t="str">
        <f>"item_"&amp;CONTROL[[#This Row],[VEHIDCODE]]</f>
        <v>item_mu_Wagon_Gen5_Silo_Type2</v>
      </c>
      <c r="N694" s="21" t="str">
        <f>"str_"&amp;CONTROL[[#This Row],[VEHIDCODE]]</f>
        <v>str_mu_Wagon_Gen5_Silo_Type2</v>
      </c>
      <c r="O694" s="7" t="b">
        <f>INDEX(PROPERTIES[IS_CONCEPT],MATCH(CONTROL[[#This Row],[VEHIDCODE]],PROPERTIES[VEHIDCODE],0))="IS_CONCEPT"</f>
        <v>0</v>
      </c>
      <c r="P694" s="7" t="b">
        <f>INDEX(PROPERTIES[EXCLUDE],MATCH(CONTROL[[#This Row],[VEHIDCODE]],PROPERTIES[VEHIDCODE],0))</f>
        <v>0</v>
      </c>
      <c r="Q6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5" spans="1:17" x14ac:dyDescent="0.35">
      <c r="A695" s="2" t="s">
        <v>189</v>
      </c>
      <c r="B695" s="21" t="str">
        <f>MID(CONTROL[[#This Row],[VEHIDCODE]],FIND("_",CONTROL[[#This Row],[VEHIDCODE]])+1,LEN(CONTROL[[#This Row],[VEHIDCODE]]))</f>
        <v>Wagon_Gen5_Hopper_Type1</v>
      </c>
      <c r="C6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5">
        <v>12032</v>
      </c>
      <c r="F695" s="30" t="s">
        <v>1676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ISNUMBER(MATCH(CONTROL[[#This Row],[VEHIDCODE]],TRACK_TYPES[VEHIDCODE],0))</f>
        <v>1</v>
      </c>
      <c r="K695" t="b">
        <f>ISNUMBER(MATCH(CONTROL[[#This Row],[VEHIDCODE]],PROPERTIES[VEHIDCODE],0))</f>
        <v>1</v>
      </c>
      <c r="L695" t="b">
        <f>ISNUMBER(MATCH(CONTROL[[#This Row],[VEHIDCODE]],GRAPHICS_PROPERTIES[VEHIDCODE],0))</f>
        <v>1</v>
      </c>
      <c r="M695" s="21" t="str">
        <f>"item_"&amp;CONTROL[[#This Row],[VEHIDCODE]]</f>
        <v>item_mu_Wagon_Gen5_Hopper_Type1</v>
      </c>
      <c r="N695" s="21" t="str">
        <f>"str_"&amp;CONTROL[[#This Row],[VEHIDCODE]]</f>
        <v>str_mu_Wagon_Gen5_Hopper_Type1</v>
      </c>
      <c r="O695" s="7" t="b">
        <f>INDEX(PROPERTIES[IS_CONCEPT],MATCH(CONTROL[[#This Row],[VEHIDCODE]],PROPERTIES[VEHIDCODE],0))="IS_CONCEPT"</f>
        <v>0</v>
      </c>
      <c r="P695" s="7" t="b">
        <f>INDEX(PROPERTIES[EXCLUDE],MATCH(CONTROL[[#This Row],[VEHIDCODE]],PROPERTIES[VEHIDCODE],0))</f>
        <v>0</v>
      </c>
      <c r="Q6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6" spans="1:17" x14ac:dyDescent="0.35">
      <c r="A696" s="2" t="s">
        <v>190</v>
      </c>
      <c r="B696" s="21" t="str">
        <f>MID(CONTROL[[#This Row],[VEHIDCODE]],FIND("_",CONTROL[[#This Row],[VEHIDCODE]])+1,LEN(CONTROL[[#This Row],[VEHIDCODE]]))</f>
        <v>Wagon_Gen5_Hopper_Type2</v>
      </c>
      <c r="C6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6">
        <v>12044</v>
      </c>
      <c r="F696" s="30" t="s">
        <v>1691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ISNUMBER(MATCH(CONTROL[[#This Row],[VEHIDCODE]],TRACK_TYPES[VEHIDCODE],0))</f>
        <v>1</v>
      </c>
      <c r="K696" t="b">
        <f>ISNUMBER(MATCH(CONTROL[[#This Row],[VEHIDCODE]],PROPERTIES[VEHIDCODE],0))</f>
        <v>1</v>
      </c>
      <c r="L696" t="b">
        <f>ISNUMBER(MATCH(CONTROL[[#This Row],[VEHIDCODE]],GRAPHICS_PROPERTIES[VEHIDCODE],0))</f>
        <v>1</v>
      </c>
      <c r="M696" s="21" t="str">
        <f>"item_"&amp;CONTROL[[#This Row],[VEHIDCODE]]</f>
        <v>item_mu_Wagon_Gen5_Hopper_Type2</v>
      </c>
      <c r="N696" s="21" t="str">
        <f>"str_"&amp;CONTROL[[#This Row],[VEHIDCODE]]</f>
        <v>str_mu_Wagon_Gen5_Hopper_Type2</v>
      </c>
      <c r="O696" s="7" t="b">
        <f>INDEX(PROPERTIES[IS_CONCEPT],MATCH(CONTROL[[#This Row],[VEHIDCODE]],PROPERTIES[VEHIDCODE],0))="IS_CONCEPT"</f>
        <v>0</v>
      </c>
      <c r="P696" s="7" t="b">
        <f>INDEX(PROPERTIES[EXCLUDE],MATCH(CONTROL[[#This Row],[VEHIDCODE]],PROPERTIES[VEHIDCODE],0))</f>
        <v>0</v>
      </c>
      <c r="Q6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7" spans="1:17" x14ac:dyDescent="0.35">
      <c r="A697" s="2" t="s">
        <v>191</v>
      </c>
      <c r="B697" s="21" t="str">
        <f>MID(CONTROL[[#This Row],[VEHIDCODE]],FIND("_",CONTROL[[#This Row],[VEHIDCODE]])+1,LEN(CONTROL[[#This Row],[VEHIDCODE]]))</f>
        <v>Wagon_Gen5_Car_Transporter</v>
      </c>
      <c r="C6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7">
        <v>12033</v>
      </c>
      <c r="F697" s="30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ISNUMBER(MATCH(CONTROL[[#This Row],[VEHIDCODE]],TRACK_TYPES[VEHIDCODE],0))</f>
        <v>1</v>
      </c>
      <c r="K697" t="b">
        <f>ISNUMBER(MATCH(CONTROL[[#This Row],[VEHIDCODE]],PROPERTIES[VEHIDCODE],0))</f>
        <v>1</v>
      </c>
      <c r="L697" t="b">
        <f>ISNUMBER(MATCH(CONTROL[[#This Row],[VEHIDCODE]],GRAPHICS_PROPERTIES[VEHIDCODE],0))</f>
        <v>1</v>
      </c>
      <c r="M697" s="21" t="str">
        <f>"item_"&amp;CONTROL[[#This Row],[VEHIDCODE]]</f>
        <v>item_mu_Wagon_Gen5_Car_Transporter</v>
      </c>
      <c r="N697" s="21" t="str">
        <f>"str_"&amp;CONTROL[[#This Row],[VEHIDCODE]]</f>
        <v>str_mu_Wagon_Gen5_Car_Transporter</v>
      </c>
      <c r="O697" s="7" t="b">
        <f>INDEX(PROPERTIES[IS_CONCEPT],MATCH(CONTROL[[#This Row],[VEHIDCODE]],PROPERTIES[VEHIDCODE],0))="IS_CONCEPT"</f>
        <v>0</v>
      </c>
      <c r="P697" s="7" t="b">
        <f>INDEX(PROPERTIES[EXCLUDE],MATCH(CONTROL[[#This Row],[VEHIDCODE]],PROPERTIES[VEHIDCODE],0))</f>
        <v>0</v>
      </c>
      <c r="Q6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8" spans="1:17" x14ac:dyDescent="0.35">
      <c r="A698" s="2" t="s">
        <v>192</v>
      </c>
      <c r="B698" s="21" t="str">
        <f>MID(CONTROL[[#This Row],[VEHIDCODE]],FIND("_",CONTROL[[#This Row],[VEHIDCODE]])+1,LEN(CONTROL[[#This Row],[VEHIDCODE]]))</f>
        <v>Wagon_Gen5_Container_Carrier</v>
      </c>
      <c r="C6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8">
        <v>12034</v>
      </c>
      <c r="F698" s="30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ISNUMBER(MATCH(CONTROL[[#This Row],[VEHIDCODE]],TRACK_TYPES[VEHIDCODE],0))</f>
        <v>1</v>
      </c>
      <c r="K698" t="b">
        <f>ISNUMBER(MATCH(CONTROL[[#This Row],[VEHIDCODE]],PROPERTIES[VEHIDCODE],0))</f>
        <v>1</v>
      </c>
      <c r="L698" t="b">
        <f>ISNUMBER(MATCH(CONTROL[[#This Row],[VEHIDCODE]],GRAPHICS_PROPERTIES[VEHIDCODE],0))</f>
        <v>1</v>
      </c>
      <c r="M698" s="21" t="str">
        <f>"item_"&amp;CONTROL[[#This Row],[VEHIDCODE]]</f>
        <v>item_mu_Wagon_Gen5_Container_Carrier</v>
      </c>
      <c r="N698" s="21" t="str">
        <f>"str_"&amp;CONTROL[[#This Row],[VEHIDCODE]]</f>
        <v>str_mu_Wagon_Gen5_Container_Carrier</v>
      </c>
      <c r="O698" s="7" t="b">
        <f>INDEX(PROPERTIES[IS_CONCEPT],MATCH(CONTROL[[#This Row],[VEHIDCODE]],PROPERTIES[VEHIDCODE],0))="IS_CONCEPT"</f>
        <v>0</v>
      </c>
      <c r="P698" s="7" t="b">
        <f>INDEX(PROPERTIES[EXCLUDE],MATCH(CONTROL[[#This Row],[VEHIDCODE]],PROPERTIES[VEHIDCODE],0))</f>
        <v>0</v>
      </c>
      <c r="Q6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699" spans="1:17" x14ac:dyDescent="0.35">
      <c r="A699" s="2" t="s">
        <v>193</v>
      </c>
      <c r="B699" s="21" t="str">
        <f>MID(CONTROL[[#This Row],[VEHIDCODE]],FIND("_",CONTROL[[#This Row],[VEHIDCODE]])+1,LEN(CONTROL[[#This Row],[VEHIDCODE]]))</f>
        <v>Wagon_Gen5_Centerbeam</v>
      </c>
      <c r="C6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6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699">
        <v>12035</v>
      </c>
      <c r="F699" s="30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ISNUMBER(MATCH(CONTROL[[#This Row],[VEHIDCODE]],TRACK_TYPES[VEHIDCODE],0))</f>
        <v>1</v>
      </c>
      <c r="K699" t="b">
        <f>ISNUMBER(MATCH(CONTROL[[#This Row],[VEHIDCODE]],PROPERTIES[VEHIDCODE],0))</f>
        <v>1</v>
      </c>
      <c r="L699" t="b">
        <f>ISNUMBER(MATCH(CONTROL[[#This Row],[VEHIDCODE]],GRAPHICS_PROPERTIES[VEHIDCODE],0))</f>
        <v>1</v>
      </c>
      <c r="M699" s="21" t="str">
        <f>"item_"&amp;CONTROL[[#This Row],[VEHIDCODE]]</f>
        <v>item_mu_Wagon_Gen5_Centerbeam</v>
      </c>
      <c r="N699" s="21" t="str">
        <f>"str_"&amp;CONTROL[[#This Row],[VEHIDCODE]]</f>
        <v>str_mu_Wagon_Gen5_Centerbeam</v>
      </c>
      <c r="O699" s="7" t="b">
        <f>INDEX(PROPERTIES[IS_CONCEPT],MATCH(CONTROL[[#This Row],[VEHIDCODE]],PROPERTIES[VEHIDCODE],0))="IS_CONCEPT"</f>
        <v>0</v>
      </c>
      <c r="P699" s="7" t="b">
        <f>INDEX(PROPERTIES[EXCLUDE],MATCH(CONTROL[[#This Row],[VEHIDCODE]],PROPERTIES[VEHIDCODE],0))</f>
        <v>0</v>
      </c>
      <c r="Q6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0" spans="1:17" x14ac:dyDescent="0.35">
      <c r="A700" s="2" t="s">
        <v>194</v>
      </c>
      <c r="B700" s="21" t="str">
        <f>MID(CONTROL[[#This Row],[VEHIDCODE]],FIND("_",CONTROL[[#This Row],[VEHIDCODE]])+1,LEN(CONTROL[[#This Row],[VEHIDCODE]]))</f>
        <v>Wagon_Gen5_Container_Doublestack</v>
      </c>
      <c r="C7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7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0">
        <v>12036</v>
      </c>
      <c r="F700" s="30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ISNUMBER(MATCH(CONTROL[[#This Row],[VEHIDCODE]],TRACK_TYPES[VEHIDCODE],0))</f>
        <v>1</v>
      </c>
      <c r="K700" t="b">
        <f>ISNUMBER(MATCH(CONTROL[[#This Row],[VEHIDCODE]],PROPERTIES[VEHIDCODE],0))</f>
        <v>1</v>
      </c>
      <c r="L700" t="b">
        <f>ISNUMBER(MATCH(CONTROL[[#This Row],[VEHIDCODE]],GRAPHICS_PROPERTIES[VEHIDCODE],0))</f>
        <v>1</v>
      </c>
      <c r="M700" s="21" t="str">
        <f>"item_"&amp;CONTROL[[#This Row],[VEHIDCODE]]</f>
        <v>item_mu_Wagon_Gen5_Container_Doublestack</v>
      </c>
      <c r="N700" s="21" t="str">
        <f>"str_"&amp;CONTROL[[#This Row],[VEHIDCODE]]</f>
        <v>str_mu_Wagon_Gen5_Container_Doublestack</v>
      </c>
      <c r="O700" s="7" t="b">
        <f>INDEX(PROPERTIES[IS_CONCEPT],MATCH(CONTROL[[#This Row],[VEHIDCODE]],PROPERTIES[VEHIDCODE],0))="IS_CONCEPT"</f>
        <v>0</v>
      </c>
      <c r="P700" s="7" t="b">
        <f>INDEX(PROPERTIES[EXCLUDE],MATCH(CONTROL[[#This Row],[VEHIDCODE]],PROPERTIES[VEHIDCODE],0))</f>
        <v>0</v>
      </c>
      <c r="Q7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1" spans="1:17" x14ac:dyDescent="0.35">
      <c r="A701" s="2" t="s">
        <v>195</v>
      </c>
      <c r="B701" s="21" t="str">
        <f>MID(CONTROL[[#This Row],[VEHIDCODE]],FIND("_",CONTROL[[#This Row],[VEHIDCODE]])+1,LEN(CONTROL[[#This Row],[VEHIDCODE]]))</f>
        <v>Wagon_Gen5_Superheavy_Flatcar</v>
      </c>
      <c r="C7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7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1">
        <v>12037</v>
      </c>
      <c r="F701" s="30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ISNUMBER(MATCH(CONTROL[[#This Row],[VEHIDCODE]],TRACK_TYPES[VEHIDCODE],0))</f>
        <v>1</v>
      </c>
      <c r="K701" t="b">
        <f>ISNUMBER(MATCH(CONTROL[[#This Row],[VEHIDCODE]],PROPERTIES[VEHIDCODE],0))</f>
        <v>1</v>
      </c>
      <c r="L701" t="b">
        <f>ISNUMBER(MATCH(CONTROL[[#This Row],[VEHIDCODE]],GRAPHICS_PROPERTIES[VEHIDCODE],0))</f>
        <v>1</v>
      </c>
      <c r="M701" s="21" t="str">
        <f>"item_"&amp;CONTROL[[#This Row],[VEHIDCODE]]</f>
        <v>item_mu_Wagon_Gen5_Superheavy_Flatcar</v>
      </c>
      <c r="N701" s="21" t="str">
        <f>"str_"&amp;CONTROL[[#This Row],[VEHIDCODE]]</f>
        <v>str_mu_Wagon_Gen5_Superheavy_Flatcar</v>
      </c>
      <c r="O701" s="7" t="b">
        <f>INDEX(PROPERTIES[IS_CONCEPT],MATCH(CONTROL[[#This Row],[VEHIDCODE]],PROPERTIES[VEHIDCODE],0))="IS_CONCEPT"</f>
        <v>0</v>
      </c>
      <c r="P701" s="7" t="b">
        <f>INDEX(PROPERTIES[EXCLUDE],MATCH(CONTROL[[#This Row],[VEHIDCODE]],PROPERTIES[VEHIDCODE],0))</f>
        <v>0</v>
      </c>
      <c r="Q7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TPL_25A</v>
      </c>
    </row>
    <row r="702" spans="1:17" x14ac:dyDescent="0.35">
      <c r="A702" s="2" t="s">
        <v>196</v>
      </c>
      <c r="B702" s="21" t="str">
        <f>MID(CONTROL[[#This Row],[VEHIDCODE]],FIND("_",CONTROL[[#This Row],[VEHIDCODE]])+1,LEN(CONTROL[[#This Row],[VEHIDCODE]]))</f>
        <v>Wagon_Gen6_Flatcar</v>
      </c>
      <c r="C7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2">
        <v>12049</v>
      </c>
      <c r="F702" s="30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ISNUMBER(MATCH(CONTROL[[#This Row],[VEHIDCODE]],TRACK_TYPES[VEHIDCODE],0))</f>
        <v>1</v>
      </c>
      <c r="K702" t="b">
        <f>ISNUMBER(MATCH(CONTROL[[#This Row],[VEHIDCODE]],PROPERTIES[VEHIDCODE],0))</f>
        <v>1</v>
      </c>
      <c r="L702" t="b">
        <f>ISNUMBER(MATCH(CONTROL[[#This Row],[VEHIDCODE]],GRAPHICS_PROPERTIES[VEHIDCODE],0))</f>
        <v>1</v>
      </c>
      <c r="M702" s="21" t="str">
        <f>"item_"&amp;CONTROL[[#This Row],[VEHIDCODE]]</f>
        <v>item_mu_Wagon_Gen6_Flatcar</v>
      </c>
      <c r="N702" s="21" t="str">
        <f>"str_"&amp;CONTROL[[#This Row],[VEHIDCODE]]</f>
        <v>str_mu_Wagon_Gen6_Flatcar</v>
      </c>
      <c r="O702" s="7" t="b">
        <f>INDEX(PROPERTIES[IS_CONCEPT],MATCH(CONTROL[[#This Row],[VEHIDCODE]],PROPERTIES[VEHIDCODE],0))="IS_CONCEPT"</f>
        <v>0</v>
      </c>
      <c r="P702" s="7" t="b">
        <f>INDEX(PROPERTIES[EXCLUDE],MATCH(CONTROL[[#This Row],[VEHIDCODE]],PROPERTIES[VEHIDCODE],0))</f>
        <v>0</v>
      </c>
      <c r="Q7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3" spans="1:17" x14ac:dyDescent="0.35">
      <c r="A703" s="2" t="s">
        <v>197</v>
      </c>
      <c r="B703" s="21" t="str">
        <f>MID(CONTROL[[#This Row],[VEHIDCODE]],FIND("_",CONTROL[[#This Row],[VEHIDCODE]])+1,LEN(CONTROL[[#This Row],[VEHIDCODE]]))</f>
        <v>Wagon_Gen6_Heavy_Flatcar</v>
      </c>
      <c r="C7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3">
        <v>12050</v>
      </c>
      <c r="F703" s="30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ISNUMBER(MATCH(CONTROL[[#This Row],[VEHIDCODE]],TRACK_TYPES[VEHIDCODE],0))</f>
        <v>1</v>
      </c>
      <c r="K703" t="b">
        <f>ISNUMBER(MATCH(CONTROL[[#This Row],[VEHIDCODE]],PROPERTIES[VEHIDCODE],0))</f>
        <v>1</v>
      </c>
      <c r="L703" t="b">
        <f>ISNUMBER(MATCH(CONTROL[[#This Row],[VEHIDCODE]],GRAPHICS_PROPERTIES[VEHIDCODE],0))</f>
        <v>1</v>
      </c>
      <c r="M703" s="21" t="str">
        <f>"item_"&amp;CONTROL[[#This Row],[VEHIDCODE]]</f>
        <v>item_mu_Wagon_Gen6_Heavy_Flatcar</v>
      </c>
      <c r="N703" s="21" t="str">
        <f>"str_"&amp;CONTROL[[#This Row],[VEHIDCODE]]</f>
        <v>str_mu_Wagon_Gen6_Heavy_Flatcar</v>
      </c>
      <c r="O703" s="7" t="b">
        <f>INDEX(PROPERTIES[IS_CONCEPT],MATCH(CONTROL[[#This Row],[VEHIDCODE]],PROPERTIES[VEHIDCODE],0))="IS_CONCEPT"</f>
        <v>0</v>
      </c>
      <c r="P703" s="7" t="b">
        <f>INDEX(PROPERTIES[EXCLUDE],MATCH(CONTROL[[#This Row],[VEHIDCODE]],PROPERTIES[VEHIDCODE],0))</f>
        <v>0</v>
      </c>
      <c r="Q7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4" spans="1:17" x14ac:dyDescent="0.35">
      <c r="A704" s="2" t="s">
        <v>198</v>
      </c>
      <c r="B704" s="21" t="str">
        <f>MID(CONTROL[[#This Row],[VEHIDCODE]],FIND("_",CONTROL[[#This Row],[VEHIDCODE]])+1,LEN(CONTROL[[#This Row],[VEHIDCODE]]))</f>
        <v>Wagon_Gen6_Boxcar_Type1</v>
      </c>
      <c r="C7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4">
        <v>12051</v>
      </c>
      <c r="F704" s="30" t="s">
        <v>1677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ISNUMBER(MATCH(CONTROL[[#This Row],[VEHIDCODE]],TRACK_TYPES[VEHIDCODE],0))</f>
        <v>1</v>
      </c>
      <c r="K704" t="b">
        <f>ISNUMBER(MATCH(CONTROL[[#This Row],[VEHIDCODE]],PROPERTIES[VEHIDCODE],0))</f>
        <v>1</v>
      </c>
      <c r="L704" t="b">
        <f>ISNUMBER(MATCH(CONTROL[[#This Row],[VEHIDCODE]],GRAPHICS_PROPERTIES[VEHIDCODE],0))</f>
        <v>1</v>
      </c>
      <c r="M704" s="21" t="str">
        <f>"item_"&amp;CONTROL[[#This Row],[VEHIDCODE]]</f>
        <v>item_mu_Wagon_Gen6_Boxcar_Type1</v>
      </c>
      <c r="N704" s="21" t="str">
        <f>"str_"&amp;CONTROL[[#This Row],[VEHIDCODE]]</f>
        <v>str_mu_Wagon_Gen6_Boxcar_Type1</v>
      </c>
      <c r="O704" s="7" t="b">
        <f>INDEX(PROPERTIES[IS_CONCEPT],MATCH(CONTROL[[#This Row],[VEHIDCODE]],PROPERTIES[VEHIDCODE],0))="IS_CONCEPT"</f>
        <v>0</v>
      </c>
      <c r="P704" s="7" t="b">
        <f>INDEX(PROPERTIES[EXCLUDE],MATCH(CONTROL[[#This Row],[VEHIDCODE]],PROPERTIES[VEHIDCODE],0))</f>
        <v>0</v>
      </c>
      <c r="Q7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5" spans="1:17" x14ac:dyDescent="0.35">
      <c r="A705" s="2" t="s">
        <v>199</v>
      </c>
      <c r="B705" s="21" t="str">
        <f>MID(CONTROL[[#This Row],[VEHIDCODE]],FIND("_",CONTROL[[#This Row],[VEHIDCODE]])+1,LEN(CONTROL[[#This Row],[VEHIDCODE]]))</f>
        <v>Wagon_Gen6_Boxcar_Type2</v>
      </c>
      <c r="C7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5">
        <v>12061</v>
      </c>
      <c r="F705" s="30" t="s">
        <v>1692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ISNUMBER(MATCH(CONTROL[[#This Row],[VEHIDCODE]],TRACK_TYPES[VEHIDCODE],0))</f>
        <v>1</v>
      </c>
      <c r="K705" t="b">
        <f>ISNUMBER(MATCH(CONTROL[[#This Row],[VEHIDCODE]],PROPERTIES[VEHIDCODE],0))</f>
        <v>1</v>
      </c>
      <c r="L705" t="b">
        <f>ISNUMBER(MATCH(CONTROL[[#This Row],[VEHIDCODE]],GRAPHICS_PROPERTIES[VEHIDCODE],0))</f>
        <v>1</v>
      </c>
      <c r="M705" s="21" t="str">
        <f>"item_"&amp;CONTROL[[#This Row],[VEHIDCODE]]</f>
        <v>item_mu_Wagon_Gen6_Boxcar_Type2</v>
      </c>
      <c r="N705" s="21" t="str">
        <f>"str_"&amp;CONTROL[[#This Row],[VEHIDCODE]]</f>
        <v>str_mu_Wagon_Gen6_Boxcar_Type2</v>
      </c>
      <c r="O705" s="7" t="b">
        <f>INDEX(PROPERTIES[IS_CONCEPT],MATCH(CONTROL[[#This Row],[VEHIDCODE]],PROPERTIES[VEHIDCODE],0))="IS_CONCEPT"</f>
        <v>0</v>
      </c>
      <c r="P705" s="7" t="b">
        <f>INDEX(PROPERTIES[EXCLUDE],MATCH(CONTROL[[#This Row],[VEHIDCODE]],PROPERTIES[VEHIDCODE],0))</f>
        <v>0</v>
      </c>
      <c r="Q7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6" spans="1:17" x14ac:dyDescent="0.35">
      <c r="A706" s="2" t="s">
        <v>200</v>
      </c>
      <c r="B706" s="21" t="str">
        <f>MID(CONTROL[[#This Row],[VEHIDCODE]],FIND("_",CONTROL[[#This Row],[VEHIDCODE]])+1,LEN(CONTROL[[#This Row],[VEHIDCODE]]))</f>
        <v>Wagon_Gen6_Tanker</v>
      </c>
      <c r="C7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6">
        <v>12052</v>
      </c>
      <c r="F706" s="30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ISNUMBER(MATCH(CONTROL[[#This Row],[VEHIDCODE]],TRACK_TYPES[VEHIDCODE],0))</f>
        <v>1</v>
      </c>
      <c r="K706" t="b">
        <f>ISNUMBER(MATCH(CONTROL[[#This Row],[VEHIDCODE]],PROPERTIES[VEHIDCODE],0))</f>
        <v>1</v>
      </c>
      <c r="L706" t="b">
        <f>ISNUMBER(MATCH(CONTROL[[#This Row],[VEHIDCODE]],GRAPHICS_PROPERTIES[VEHIDCODE],0))</f>
        <v>1</v>
      </c>
      <c r="M706" s="21" t="str">
        <f>"item_"&amp;CONTROL[[#This Row],[VEHIDCODE]]</f>
        <v>item_mu_Wagon_Gen6_Tanker</v>
      </c>
      <c r="N706" s="21" t="str">
        <f>"str_"&amp;CONTROL[[#This Row],[VEHIDCODE]]</f>
        <v>str_mu_Wagon_Gen6_Tanker</v>
      </c>
      <c r="O706" s="7" t="b">
        <f>INDEX(PROPERTIES[IS_CONCEPT],MATCH(CONTROL[[#This Row],[VEHIDCODE]],PROPERTIES[VEHIDCODE],0))="IS_CONCEPT"</f>
        <v>0</v>
      </c>
      <c r="P706" s="7" t="b">
        <f>INDEX(PROPERTIES[EXCLUDE],MATCH(CONTROL[[#This Row],[VEHIDCODE]],PROPERTIES[VEHIDCODE],0))</f>
        <v>0</v>
      </c>
      <c r="Q7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7" spans="1:17" x14ac:dyDescent="0.35">
      <c r="A707" s="2" t="s">
        <v>201</v>
      </c>
      <c r="B707" s="21" t="str">
        <f>MID(CONTROL[[#This Row],[VEHIDCODE]],FIND("_",CONTROL[[#This Row],[VEHIDCODE]])+1,LEN(CONTROL[[#This Row],[VEHIDCODE]]))</f>
        <v>Wagon_Gen6_Gondola</v>
      </c>
      <c r="C7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7">
        <v>12053</v>
      </c>
      <c r="F707" s="30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ISNUMBER(MATCH(CONTROL[[#This Row],[VEHIDCODE]],TRACK_TYPES[VEHIDCODE],0))</f>
        <v>1</v>
      </c>
      <c r="K707" t="b">
        <f>ISNUMBER(MATCH(CONTROL[[#This Row],[VEHIDCODE]],PROPERTIES[VEHIDCODE],0))</f>
        <v>1</v>
      </c>
      <c r="L707" t="b">
        <f>ISNUMBER(MATCH(CONTROL[[#This Row],[VEHIDCODE]],GRAPHICS_PROPERTIES[VEHIDCODE],0))</f>
        <v>1</v>
      </c>
      <c r="M707" s="21" t="str">
        <f>"item_"&amp;CONTROL[[#This Row],[VEHIDCODE]]</f>
        <v>item_mu_Wagon_Gen6_Gondola</v>
      </c>
      <c r="N707" s="21" t="str">
        <f>"str_"&amp;CONTROL[[#This Row],[VEHIDCODE]]</f>
        <v>str_mu_Wagon_Gen6_Gondola</v>
      </c>
      <c r="O707" s="7" t="b">
        <f>INDEX(PROPERTIES[IS_CONCEPT],MATCH(CONTROL[[#This Row],[VEHIDCODE]],PROPERTIES[VEHIDCODE],0))="IS_CONCEPT"</f>
        <v>0</v>
      </c>
      <c r="P707" s="7" t="b">
        <f>INDEX(PROPERTIES[EXCLUDE],MATCH(CONTROL[[#This Row],[VEHIDCODE]],PROPERTIES[VEHIDCODE],0))</f>
        <v>0</v>
      </c>
      <c r="Q7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8" spans="1:17" x14ac:dyDescent="0.35">
      <c r="A708" s="2" t="s">
        <v>202</v>
      </c>
      <c r="B708" s="21" t="str">
        <f>MID(CONTROL[[#This Row],[VEHIDCODE]],FIND("_",CONTROL[[#This Row],[VEHIDCODE]])+1,LEN(CONTROL[[#This Row],[VEHIDCODE]]))</f>
        <v>Wagon_Gen6_Silo_Type1</v>
      </c>
      <c r="C7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8">
        <v>12054</v>
      </c>
      <c r="F708" s="30" t="s">
        <v>1678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ISNUMBER(MATCH(CONTROL[[#This Row],[VEHIDCODE]],TRACK_TYPES[VEHIDCODE],0))</f>
        <v>1</v>
      </c>
      <c r="K708" t="b">
        <f>ISNUMBER(MATCH(CONTROL[[#This Row],[VEHIDCODE]],PROPERTIES[VEHIDCODE],0))</f>
        <v>1</v>
      </c>
      <c r="L708" t="b">
        <f>ISNUMBER(MATCH(CONTROL[[#This Row],[VEHIDCODE]],GRAPHICS_PROPERTIES[VEHIDCODE],0))</f>
        <v>1</v>
      </c>
      <c r="M708" s="21" t="str">
        <f>"item_"&amp;CONTROL[[#This Row],[VEHIDCODE]]</f>
        <v>item_mu_Wagon_Gen6_Silo_Type1</v>
      </c>
      <c r="N708" s="21" t="str">
        <f>"str_"&amp;CONTROL[[#This Row],[VEHIDCODE]]</f>
        <v>str_mu_Wagon_Gen6_Silo_Type1</v>
      </c>
      <c r="O708" s="7" t="b">
        <f>INDEX(PROPERTIES[IS_CONCEPT],MATCH(CONTROL[[#This Row],[VEHIDCODE]],PROPERTIES[VEHIDCODE],0))="IS_CONCEPT"</f>
        <v>0</v>
      </c>
      <c r="P708" s="7" t="b">
        <f>INDEX(PROPERTIES[EXCLUDE],MATCH(CONTROL[[#This Row],[VEHIDCODE]],PROPERTIES[VEHIDCODE],0))</f>
        <v>0</v>
      </c>
      <c r="Q7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09" spans="1:17" x14ac:dyDescent="0.35">
      <c r="A709" s="2" t="s">
        <v>203</v>
      </c>
      <c r="B709" s="21" t="str">
        <f>MID(CONTROL[[#This Row],[VEHIDCODE]],FIND("_",CONTROL[[#This Row],[VEHIDCODE]])+1,LEN(CONTROL[[#This Row],[VEHIDCODE]]))</f>
        <v>Wagon_Gen6_Silo_Type2</v>
      </c>
      <c r="C7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09">
        <v>12062</v>
      </c>
      <c r="F709" s="30" t="s">
        <v>1693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ISNUMBER(MATCH(CONTROL[[#This Row],[VEHIDCODE]],TRACK_TYPES[VEHIDCODE],0))</f>
        <v>1</v>
      </c>
      <c r="K709" t="b">
        <f>ISNUMBER(MATCH(CONTROL[[#This Row],[VEHIDCODE]],PROPERTIES[VEHIDCODE],0))</f>
        <v>1</v>
      </c>
      <c r="L709" t="b">
        <f>ISNUMBER(MATCH(CONTROL[[#This Row],[VEHIDCODE]],GRAPHICS_PROPERTIES[VEHIDCODE],0))</f>
        <v>1</v>
      </c>
      <c r="M709" s="21" t="str">
        <f>"item_"&amp;CONTROL[[#This Row],[VEHIDCODE]]</f>
        <v>item_mu_Wagon_Gen6_Silo_Type2</v>
      </c>
      <c r="N709" s="21" t="str">
        <f>"str_"&amp;CONTROL[[#This Row],[VEHIDCODE]]</f>
        <v>str_mu_Wagon_Gen6_Silo_Type2</v>
      </c>
      <c r="O709" s="7" t="b">
        <f>INDEX(PROPERTIES[IS_CONCEPT],MATCH(CONTROL[[#This Row],[VEHIDCODE]],PROPERTIES[VEHIDCODE],0))="IS_CONCEPT"</f>
        <v>0</v>
      </c>
      <c r="P709" s="7" t="b">
        <f>INDEX(PROPERTIES[EXCLUDE],MATCH(CONTROL[[#This Row],[VEHIDCODE]],PROPERTIES[VEHIDCODE],0))</f>
        <v>0</v>
      </c>
      <c r="Q7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0" spans="1:17" x14ac:dyDescent="0.35">
      <c r="A710" s="2" t="s">
        <v>204</v>
      </c>
      <c r="B710" s="21" t="str">
        <f>MID(CONTROL[[#This Row],[VEHIDCODE]],FIND("_",CONTROL[[#This Row],[VEHIDCODE]])+1,LEN(CONTROL[[#This Row],[VEHIDCODE]]))</f>
        <v>Wagon_Gen6_Hopper_Type1</v>
      </c>
      <c r="C7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0">
        <v>12055</v>
      </c>
      <c r="F710" s="30" t="s">
        <v>1679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ISNUMBER(MATCH(CONTROL[[#This Row],[VEHIDCODE]],TRACK_TYPES[VEHIDCODE],0))</f>
        <v>1</v>
      </c>
      <c r="K710" t="b">
        <f>ISNUMBER(MATCH(CONTROL[[#This Row],[VEHIDCODE]],PROPERTIES[VEHIDCODE],0))</f>
        <v>1</v>
      </c>
      <c r="L710" t="b">
        <f>ISNUMBER(MATCH(CONTROL[[#This Row],[VEHIDCODE]],GRAPHICS_PROPERTIES[VEHIDCODE],0))</f>
        <v>1</v>
      </c>
      <c r="M710" s="21" t="str">
        <f>"item_"&amp;CONTROL[[#This Row],[VEHIDCODE]]</f>
        <v>item_mu_Wagon_Gen6_Hopper_Type1</v>
      </c>
      <c r="N710" s="21" t="str">
        <f>"str_"&amp;CONTROL[[#This Row],[VEHIDCODE]]</f>
        <v>str_mu_Wagon_Gen6_Hopper_Type1</v>
      </c>
      <c r="O710" s="7" t="b">
        <f>INDEX(PROPERTIES[IS_CONCEPT],MATCH(CONTROL[[#This Row],[VEHIDCODE]],PROPERTIES[VEHIDCODE],0))="IS_CONCEPT"</f>
        <v>0</v>
      </c>
      <c r="P710" s="7" t="b">
        <f>INDEX(PROPERTIES[EXCLUDE],MATCH(CONTROL[[#This Row],[VEHIDCODE]],PROPERTIES[VEHIDCODE],0))</f>
        <v>0</v>
      </c>
      <c r="Q7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1" spans="1:17" x14ac:dyDescent="0.35">
      <c r="A711" s="2" t="s">
        <v>205</v>
      </c>
      <c r="B711" s="21" t="str">
        <f>MID(CONTROL[[#This Row],[VEHIDCODE]],FIND("_",CONTROL[[#This Row],[VEHIDCODE]])+1,LEN(CONTROL[[#This Row],[VEHIDCODE]]))</f>
        <v>Wagon_Gen6_Hopper_Type2</v>
      </c>
      <c r="C7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1">
        <v>12063</v>
      </c>
      <c r="F711" s="30" t="s">
        <v>1694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ISNUMBER(MATCH(CONTROL[[#This Row],[VEHIDCODE]],TRACK_TYPES[VEHIDCODE],0))</f>
        <v>1</v>
      </c>
      <c r="K711" t="b">
        <f>ISNUMBER(MATCH(CONTROL[[#This Row],[VEHIDCODE]],PROPERTIES[VEHIDCODE],0))</f>
        <v>1</v>
      </c>
      <c r="L711" t="b">
        <f>ISNUMBER(MATCH(CONTROL[[#This Row],[VEHIDCODE]],GRAPHICS_PROPERTIES[VEHIDCODE],0))</f>
        <v>1</v>
      </c>
      <c r="M711" s="21" t="str">
        <f>"item_"&amp;CONTROL[[#This Row],[VEHIDCODE]]</f>
        <v>item_mu_Wagon_Gen6_Hopper_Type2</v>
      </c>
      <c r="N711" s="21" t="str">
        <f>"str_"&amp;CONTROL[[#This Row],[VEHIDCODE]]</f>
        <v>str_mu_Wagon_Gen6_Hopper_Type2</v>
      </c>
      <c r="O711" s="7" t="b">
        <f>INDEX(PROPERTIES[IS_CONCEPT],MATCH(CONTROL[[#This Row],[VEHIDCODE]],PROPERTIES[VEHIDCODE],0))="IS_CONCEPT"</f>
        <v>0</v>
      </c>
      <c r="P711" s="7" t="b">
        <f>INDEX(PROPERTIES[EXCLUDE],MATCH(CONTROL[[#This Row],[VEHIDCODE]],PROPERTIES[VEHIDCODE],0))</f>
        <v>0</v>
      </c>
      <c r="Q7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2" spans="1:17" x14ac:dyDescent="0.35">
      <c r="A712" s="2" t="s">
        <v>206</v>
      </c>
      <c r="B712" s="21" t="str">
        <f>MID(CONTROL[[#This Row],[VEHIDCODE]],FIND("_",CONTROL[[#This Row],[VEHIDCODE]])+1,LEN(CONTROL[[#This Row],[VEHIDCODE]]))</f>
        <v>Wagon_Gen6_Car_Transporter</v>
      </c>
      <c r="C7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2">
        <v>12056</v>
      </c>
      <c r="F712" s="30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ISNUMBER(MATCH(CONTROL[[#This Row],[VEHIDCODE]],TRACK_TYPES[VEHIDCODE],0))</f>
        <v>1</v>
      </c>
      <c r="K712" t="b">
        <f>ISNUMBER(MATCH(CONTROL[[#This Row],[VEHIDCODE]],PROPERTIES[VEHIDCODE],0))</f>
        <v>1</v>
      </c>
      <c r="L712" t="b">
        <f>ISNUMBER(MATCH(CONTROL[[#This Row],[VEHIDCODE]],GRAPHICS_PROPERTIES[VEHIDCODE],0))</f>
        <v>1</v>
      </c>
      <c r="M712" s="21" t="str">
        <f>"item_"&amp;CONTROL[[#This Row],[VEHIDCODE]]</f>
        <v>item_mu_Wagon_Gen6_Car_Transporter</v>
      </c>
      <c r="N712" s="21" t="str">
        <f>"str_"&amp;CONTROL[[#This Row],[VEHIDCODE]]</f>
        <v>str_mu_Wagon_Gen6_Car_Transporter</v>
      </c>
      <c r="O712" s="7" t="b">
        <f>INDEX(PROPERTIES[IS_CONCEPT],MATCH(CONTROL[[#This Row],[VEHIDCODE]],PROPERTIES[VEHIDCODE],0))="IS_CONCEPT"</f>
        <v>0</v>
      </c>
      <c r="P712" s="7" t="b">
        <f>INDEX(PROPERTIES[EXCLUDE],MATCH(CONTROL[[#This Row],[VEHIDCODE]],PROPERTIES[VEHIDCODE],0))</f>
        <v>0</v>
      </c>
      <c r="Q7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3" spans="1:17" x14ac:dyDescent="0.35">
      <c r="A713" s="2" t="s">
        <v>207</v>
      </c>
      <c r="B713" s="21" t="str">
        <f>MID(CONTROL[[#This Row],[VEHIDCODE]],FIND("_",CONTROL[[#This Row],[VEHIDCODE]])+1,LEN(CONTROL[[#This Row],[VEHIDCODE]]))</f>
        <v>Wagon_Gen6_Container_Carrier</v>
      </c>
      <c r="C7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3">
        <v>12057</v>
      </c>
      <c r="F713" s="30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ISNUMBER(MATCH(CONTROL[[#This Row],[VEHIDCODE]],TRACK_TYPES[VEHIDCODE],0))</f>
        <v>1</v>
      </c>
      <c r="K713" t="b">
        <f>ISNUMBER(MATCH(CONTROL[[#This Row],[VEHIDCODE]],PROPERTIES[VEHIDCODE],0))</f>
        <v>1</v>
      </c>
      <c r="L713" t="b">
        <f>ISNUMBER(MATCH(CONTROL[[#This Row],[VEHIDCODE]],GRAPHICS_PROPERTIES[VEHIDCODE],0))</f>
        <v>1</v>
      </c>
      <c r="M713" s="21" t="str">
        <f>"item_"&amp;CONTROL[[#This Row],[VEHIDCODE]]</f>
        <v>item_mu_Wagon_Gen6_Container_Carrier</v>
      </c>
      <c r="N713" s="21" t="str">
        <f>"str_"&amp;CONTROL[[#This Row],[VEHIDCODE]]</f>
        <v>str_mu_Wagon_Gen6_Container_Carrier</v>
      </c>
      <c r="O713" s="7" t="b">
        <f>INDEX(PROPERTIES[IS_CONCEPT],MATCH(CONTROL[[#This Row],[VEHIDCODE]],PROPERTIES[VEHIDCODE],0))="IS_CONCEPT"</f>
        <v>0</v>
      </c>
      <c r="P713" s="7" t="b">
        <f>INDEX(PROPERTIES[EXCLUDE],MATCH(CONTROL[[#This Row],[VEHIDCODE]],PROPERTIES[VEHIDCODE],0))</f>
        <v>0</v>
      </c>
      <c r="Q7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4" spans="1:17" x14ac:dyDescent="0.35">
      <c r="A714" s="2" t="s">
        <v>208</v>
      </c>
      <c r="B714" s="21" t="str">
        <f>MID(CONTROL[[#This Row],[VEHIDCODE]],FIND("_",CONTROL[[#This Row],[VEHIDCODE]])+1,LEN(CONTROL[[#This Row],[VEHIDCODE]]))</f>
        <v>Wagon_Gen6_Centerbeam</v>
      </c>
      <c r="C7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4">
        <v>12058</v>
      </c>
      <c r="F714" s="30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ISNUMBER(MATCH(CONTROL[[#This Row],[VEHIDCODE]],TRACK_TYPES[VEHIDCODE],0))</f>
        <v>1</v>
      </c>
      <c r="K714" t="b">
        <f>ISNUMBER(MATCH(CONTROL[[#This Row],[VEHIDCODE]],PROPERTIES[VEHIDCODE],0))</f>
        <v>1</v>
      </c>
      <c r="L714" t="b">
        <f>ISNUMBER(MATCH(CONTROL[[#This Row],[VEHIDCODE]],GRAPHICS_PROPERTIES[VEHIDCODE],0))</f>
        <v>1</v>
      </c>
      <c r="M714" s="21" t="str">
        <f>"item_"&amp;CONTROL[[#This Row],[VEHIDCODE]]</f>
        <v>item_mu_Wagon_Gen6_Centerbeam</v>
      </c>
      <c r="N714" s="21" t="str">
        <f>"str_"&amp;CONTROL[[#This Row],[VEHIDCODE]]</f>
        <v>str_mu_Wagon_Gen6_Centerbeam</v>
      </c>
      <c r="O714" s="7" t="b">
        <f>INDEX(PROPERTIES[IS_CONCEPT],MATCH(CONTROL[[#This Row],[VEHIDCODE]],PROPERTIES[VEHIDCODE],0))="IS_CONCEPT"</f>
        <v>0</v>
      </c>
      <c r="P714" s="7" t="b">
        <f>INDEX(PROPERTIES[EXCLUDE],MATCH(CONTROL[[#This Row],[VEHIDCODE]],PROPERTIES[VEHIDCODE],0))</f>
        <v>0</v>
      </c>
      <c r="Q7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5" spans="1:17" x14ac:dyDescent="0.35">
      <c r="A715" s="2" t="s">
        <v>209</v>
      </c>
      <c r="B715" s="21" t="str">
        <f>MID(CONTROL[[#This Row],[VEHIDCODE]],FIND("_",CONTROL[[#This Row],[VEHIDCODE]])+1,LEN(CONTROL[[#This Row],[VEHIDCODE]]))</f>
        <v>Wagon_Gen6_Container_Doublestack</v>
      </c>
      <c r="C7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5">
        <v>12059</v>
      </c>
      <c r="F715" s="30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ISNUMBER(MATCH(CONTROL[[#This Row],[VEHIDCODE]],TRACK_TYPES[VEHIDCODE],0))</f>
        <v>1</v>
      </c>
      <c r="K715" t="b">
        <f>ISNUMBER(MATCH(CONTROL[[#This Row],[VEHIDCODE]],PROPERTIES[VEHIDCODE],0))</f>
        <v>1</v>
      </c>
      <c r="L715" t="b">
        <f>ISNUMBER(MATCH(CONTROL[[#This Row],[VEHIDCODE]],GRAPHICS_PROPERTIES[VEHIDCODE],0))</f>
        <v>1</v>
      </c>
      <c r="M715" s="21" t="str">
        <f>"item_"&amp;CONTROL[[#This Row],[VEHIDCODE]]</f>
        <v>item_mu_Wagon_Gen6_Container_Doublestack</v>
      </c>
      <c r="N715" s="21" t="str">
        <f>"str_"&amp;CONTROL[[#This Row],[VEHIDCODE]]</f>
        <v>str_mu_Wagon_Gen6_Container_Doublestack</v>
      </c>
      <c r="O715" s="7" t="b">
        <f>INDEX(PROPERTIES[IS_CONCEPT],MATCH(CONTROL[[#This Row],[VEHIDCODE]],PROPERTIES[VEHIDCODE],0))="IS_CONCEPT"</f>
        <v>0</v>
      </c>
      <c r="P715" s="7" t="b">
        <f>INDEX(PROPERTIES[EXCLUDE],MATCH(CONTROL[[#This Row],[VEHIDCODE]],PROPERTIES[VEHIDCODE],0))</f>
        <v>0</v>
      </c>
      <c r="Q7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16" spans="1:17" x14ac:dyDescent="0.35">
      <c r="A716" s="2" t="s">
        <v>210</v>
      </c>
      <c r="B716" s="21" t="str">
        <f>MID(CONTROL[[#This Row],[VEHIDCODE]],FIND("_",CONTROL[[#This Row],[VEHIDCODE]])+1,LEN(CONTROL[[#This Row],[VEHIDCODE]]))</f>
        <v>Wagon_Gen6_Superheavy_Flatcar</v>
      </c>
      <c r="C7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7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6">
        <v>12060</v>
      </c>
      <c r="F716" s="30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ISNUMBER(MATCH(CONTROL[[#This Row],[VEHIDCODE]],TRACK_TYPES[VEHIDCODE],0))</f>
        <v>1</v>
      </c>
      <c r="K716" t="b">
        <f>ISNUMBER(MATCH(CONTROL[[#This Row],[VEHIDCODE]],PROPERTIES[VEHIDCODE],0))</f>
        <v>1</v>
      </c>
      <c r="L716" t="b">
        <f>ISNUMBER(MATCH(CONTROL[[#This Row],[VEHIDCODE]],GRAPHICS_PROPERTIES[VEHIDCODE],0))</f>
        <v>1</v>
      </c>
      <c r="M716" s="21" t="str">
        <f>"item_"&amp;CONTROL[[#This Row],[VEHIDCODE]]</f>
        <v>item_mu_Wagon_Gen6_Superheavy_Flatcar</v>
      </c>
      <c r="N716" s="21" t="str">
        <f>"str_"&amp;CONTROL[[#This Row],[VEHIDCODE]]</f>
        <v>str_mu_Wagon_Gen6_Superheavy_Flatcar</v>
      </c>
      <c r="O716" s="7" t="b">
        <f>INDEX(PROPERTIES[IS_CONCEPT],MATCH(CONTROL[[#This Row],[VEHIDCODE]],PROPERTIES[VEHIDCODE],0))="IS_CONCEPT"</f>
        <v>0</v>
      </c>
      <c r="P716" s="7" t="b">
        <f>INDEX(PROPERTIES[EXCLUDE],MATCH(CONTROL[[#This Row],[VEHIDCODE]],PROPERTIES[VEHIDCODE],0))</f>
        <v>0</v>
      </c>
      <c r="Q7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TPL_25A</v>
      </c>
    </row>
    <row r="717" spans="1:17" x14ac:dyDescent="0.35">
      <c r="A717" s="2" t="s">
        <v>225</v>
      </c>
      <c r="B717" s="21" t="str">
        <f>MID(CONTROL[[#This Row],[VEHIDCODE]],FIND("_",CONTROL[[#This Row],[VEHIDCODE]])+1,LEN(CONTROL[[#This Row],[VEHIDCODE]]))</f>
        <v>Wagon_Service_Car_Type1</v>
      </c>
      <c r="C7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src\wagons\Service_Car</v>
      </c>
      <c r="D7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7">
        <v>12045</v>
      </c>
      <c r="F717" s="30" t="s">
        <v>3556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ISNUMBER(MATCH(CONTROL[[#This Row],[VEHIDCODE]],TRACK_TYPES[VEHIDCODE],0))</f>
        <v>1</v>
      </c>
      <c r="K717" t="b">
        <f>ISNUMBER(MATCH(CONTROL[[#This Row],[VEHIDCODE]],PROPERTIES[VEHIDCODE],0))</f>
        <v>1</v>
      </c>
      <c r="L717" t="b">
        <f>ISNUMBER(MATCH(CONTROL[[#This Row],[VEHIDCODE]],GRAPHICS_PROPERTIES[VEHIDCODE],0))</f>
        <v>1</v>
      </c>
      <c r="M717" s="21" t="str">
        <f>"item_"&amp;CONTROL[[#This Row],[VEHIDCODE]]</f>
        <v>item_mu_Wagon_Service_Car_Type1</v>
      </c>
      <c r="N717" s="21" t="str">
        <f>"str_"&amp;CONTROL[[#This Row],[VEHIDCODE]]</f>
        <v>str_mu_Wagon_Service_Car_Type1</v>
      </c>
      <c r="O717" s="7" t="b">
        <f>INDEX(PROPERTIES[IS_CONCEPT],MATCH(CONTROL[[#This Row],[VEHIDCODE]],PROPERTIES[VEHIDCODE],0))="IS_CONCEPT"</f>
        <v>0</v>
      </c>
      <c r="P717" s="7" t="b">
        <f>INDEX(PROPERTIES[EXCLUDE],MATCH(CONTROL[[#This Row],[VEHIDCODE]],PROPERTIES[VEHIDCODE],0))</f>
        <v>0</v>
      </c>
      <c r="Q7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18" spans="1:17" x14ac:dyDescent="0.35">
      <c r="A718" s="2" t="s">
        <v>226</v>
      </c>
      <c r="B718" s="21" t="str">
        <f>MID(CONTROL[[#This Row],[VEHIDCODE]],FIND("_",CONTROL[[#This Row],[VEHIDCODE]])+1,LEN(CONTROL[[#This Row],[VEHIDCODE]]))</f>
        <v>Wagon_Service_Car_Type2</v>
      </c>
      <c r="C7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src\wagons\Service_Car</v>
      </c>
      <c r="D7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718">
        <v>12046</v>
      </c>
      <c r="F718" s="30" t="s">
        <v>3557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ISNUMBER(MATCH(CONTROL[[#This Row],[VEHIDCODE]],TRACK_TYPES[VEHIDCODE],0))</f>
        <v>1</v>
      </c>
      <c r="K718" t="b">
        <f>ISNUMBER(MATCH(CONTROL[[#This Row],[VEHIDCODE]],PROPERTIES[VEHIDCODE],0))</f>
        <v>1</v>
      </c>
      <c r="L718" t="b">
        <f>ISNUMBER(MATCH(CONTROL[[#This Row],[VEHIDCODE]],GRAPHICS_PROPERTIES[VEHIDCODE],0))</f>
        <v>1</v>
      </c>
      <c r="M718" s="21" t="str">
        <f>"item_"&amp;CONTROL[[#This Row],[VEHIDCODE]]</f>
        <v>item_mu_Wagon_Service_Car_Type2</v>
      </c>
      <c r="N718" s="21" t="str">
        <f>"str_"&amp;CONTROL[[#This Row],[VEHIDCODE]]</f>
        <v>str_mu_Wagon_Service_Car_Type2</v>
      </c>
      <c r="O718" s="7" t="b">
        <f>INDEX(PROPERTIES[IS_CONCEPT],MATCH(CONTROL[[#This Row],[VEHIDCODE]],PROPERTIES[VEHIDCODE],0))="IS_CONCEPT"</f>
        <v>0</v>
      </c>
      <c r="P718" s="7" t="b">
        <f>INDEX(PROPERTIES[EXCLUDE],MATCH(CONTROL[[#This Row],[VEHIDCODE]],PROPERTIES[VEHIDCODE],0))</f>
        <v>0</v>
      </c>
      <c r="Q7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19" spans="1:17" x14ac:dyDescent="0.35">
      <c r="A719" s="2" t="s">
        <v>83</v>
      </c>
      <c r="B719" s="21" t="str">
        <f>MID(CONTROL[[#This Row],[VEHIDCODE]],FIND("_",CONTROL[[#This Row],[VEHIDCODE]])+1,LEN(CONTROL[[#This Row],[VEHIDCODE]]))</f>
        <v>Coach_Gen1_Wooden_2_axle_Compartment_Coach</v>
      </c>
      <c r="C7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19">
        <v>11000</v>
      </c>
      <c r="F719" s="30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ISNUMBER(MATCH(CONTROL[[#This Row],[VEHIDCODE]],TRACK_TYPES[VEHIDCODE],0))</f>
        <v>1</v>
      </c>
      <c r="K719" t="b">
        <f>ISNUMBER(MATCH(CONTROL[[#This Row],[VEHIDCODE]],PROPERTIES[VEHIDCODE],0))</f>
        <v>1</v>
      </c>
      <c r="L719" t="b">
        <f>ISNUMBER(MATCH(CONTROL[[#This Row],[VEHIDCODE]],GRAPHICS_PROPERTIES[VEHIDCODE],0))</f>
        <v>1</v>
      </c>
      <c r="M719" s="21" t="str">
        <f>"item_"&amp;CONTROL[[#This Row],[VEHIDCODE]]</f>
        <v>item_mu_Coach_Gen1_Wooden_2_axle_Compartment_Coach</v>
      </c>
      <c r="N719" s="21" t="str">
        <f>"str_"&amp;CONTROL[[#This Row],[VEHIDCODE]]</f>
        <v>str_mu_Coach_Gen1_Wooden_2_axle_Compartment_Coach</v>
      </c>
      <c r="O719" s="7" t="b">
        <f>INDEX(PROPERTIES[IS_CONCEPT],MATCH(CONTROL[[#This Row],[VEHIDCODE]],PROPERTIES[VEHIDCODE],0))="IS_CONCEPT"</f>
        <v>0</v>
      </c>
      <c r="P719" s="7" t="b">
        <f>INDEX(PROPERTIES[EXCLUDE],MATCH(CONTROL[[#This Row],[VEHIDCODE]],PROPERTIES[VEHIDCODE],0))</f>
        <v>0</v>
      </c>
      <c r="Q7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0" spans="1:17" x14ac:dyDescent="0.35">
      <c r="A720" s="2" t="s">
        <v>84</v>
      </c>
      <c r="B720" s="21" t="str">
        <f>MID(CONTROL[[#This Row],[VEHIDCODE]],FIND("_",CONTROL[[#This Row],[VEHIDCODE]])+1,LEN(CONTROL[[#This Row],[VEHIDCODE]]))</f>
        <v>Coach_Gen1_Wooden_2_axle_Regional_Coach</v>
      </c>
      <c r="C7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0">
        <v>11001</v>
      </c>
      <c r="F720" s="30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ISNUMBER(MATCH(CONTROL[[#This Row],[VEHIDCODE]],TRACK_TYPES[VEHIDCODE],0))</f>
        <v>1</v>
      </c>
      <c r="K720" t="b">
        <f>ISNUMBER(MATCH(CONTROL[[#This Row],[VEHIDCODE]],PROPERTIES[VEHIDCODE],0))</f>
        <v>1</v>
      </c>
      <c r="L720" t="b">
        <f>ISNUMBER(MATCH(CONTROL[[#This Row],[VEHIDCODE]],GRAPHICS_PROPERTIES[VEHIDCODE],0))</f>
        <v>1</v>
      </c>
      <c r="M720" s="21" t="str">
        <f>"item_"&amp;CONTROL[[#This Row],[VEHIDCODE]]</f>
        <v>item_mu_Coach_Gen1_Wooden_2_axle_Regional_Coach</v>
      </c>
      <c r="N720" s="21" t="str">
        <f>"str_"&amp;CONTROL[[#This Row],[VEHIDCODE]]</f>
        <v>str_mu_Coach_Gen1_Wooden_2_axle_Regional_Coach</v>
      </c>
      <c r="O720" s="7" t="b">
        <f>INDEX(PROPERTIES[IS_CONCEPT],MATCH(CONTROL[[#This Row],[VEHIDCODE]],PROPERTIES[VEHIDCODE],0))="IS_CONCEPT"</f>
        <v>0</v>
      </c>
      <c r="P720" s="7" t="b">
        <f>INDEX(PROPERTIES[EXCLUDE],MATCH(CONTROL[[#This Row],[VEHIDCODE]],PROPERTIES[VEHIDCODE],0))</f>
        <v>0</v>
      </c>
      <c r="Q7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1" spans="1:17" x14ac:dyDescent="0.35">
      <c r="A721" s="2" t="s">
        <v>85</v>
      </c>
      <c r="B721" s="21" t="str">
        <f>MID(CONTROL[[#This Row],[VEHIDCODE]],FIND("_",CONTROL[[#This Row],[VEHIDCODE]])+1,LEN(CONTROL[[#This Row],[VEHIDCODE]]))</f>
        <v>Coach_Gen1_Wooden_2_axle_Mail_Coach</v>
      </c>
      <c r="C7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1">
        <v>11002</v>
      </c>
      <c r="F721" s="30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ISNUMBER(MATCH(CONTROL[[#This Row],[VEHIDCODE]],TRACK_TYPES[VEHIDCODE],0))</f>
        <v>1</v>
      </c>
      <c r="K721" t="b">
        <f>ISNUMBER(MATCH(CONTROL[[#This Row],[VEHIDCODE]],PROPERTIES[VEHIDCODE],0))</f>
        <v>1</v>
      </c>
      <c r="L721" t="b">
        <f>ISNUMBER(MATCH(CONTROL[[#This Row],[VEHIDCODE]],GRAPHICS_PROPERTIES[VEHIDCODE],0))</f>
        <v>1</v>
      </c>
      <c r="M721" s="21" t="str">
        <f>"item_"&amp;CONTROL[[#This Row],[VEHIDCODE]]</f>
        <v>item_mu_Coach_Gen1_Wooden_2_axle_Mail_Coach</v>
      </c>
      <c r="N721" s="21" t="str">
        <f>"str_"&amp;CONTROL[[#This Row],[VEHIDCODE]]</f>
        <v>str_mu_Coach_Gen1_Wooden_2_axle_Mail_Coach</v>
      </c>
      <c r="O721" s="7" t="b">
        <f>INDEX(PROPERTIES[IS_CONCEPT],MATCH(CONTROL[[#This Row],[VEHIDCODE]],PROPERTIES[VEHIDCODE],0))="IS_CONCEPT"</f>
        <v>0</v>
      </c>
      <c r="P721" s="7" t="b">
        <f>INDEX(PROPERTIES[EXCLUDE],MATCH(CONTROL[[#This Row],[VEHIDCODE]],PROPERTIES[VEHIDCODE],0))</f>
        <v>0</v>
      </c>
      <c r="Q7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2" spans="1:17" x14ac:dyDescent="0.35">
      <c r="A722" s="2" t="s">
        <v>86</v>
      </c>
      <c r="B722" s="21" t="str">
        <f>MID(CONTROL[[#This Row],[VEHIDCODE]],FIND("_",CONTROL[[#This Row],[VEHIDCODE]])+1,LEN(CONTROL[[#This Row],[VEHIDCODE]]))</f>
        <v>Coach_Gen1_Clerestory_Compartment_Coach</v>
      </c>
      <c r="C7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2">
        <v>11003</v>
      </c>
      <c r="F722" s="30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ISNUMBER(MATCH(CONTROL[[#This Row],[VEHIDCODE]],TRACK_TYPES[VEHIDCODE],0))</f>
        <v>1</v>
      </c>
      <c r="K722" t="b">
        <f>ISNUMBER(MATCH(CONTROL[[#This Row],[VEHIDCODE]],PROPERTIES[VEHIDCODE],0))</f>
        <v>1</v>
      </c>
      <c r="L722" t="b">
        <f>ISNUMBER(MATCH(CONTROL[[#This Row],[VEHIDCODE]],GRAPHICS_PROPERTIES[VEHIDCODE],0))</f>
        <v>1</v>
      </c>
      <c r="M722" s="21" t="str">
        <f>"item_"&amp;CONTROL[[#This Row],[VEHIDCODE]]</f>
        <v>item_mu_Coach_Gen1_Clerestory_Compartment_Coach</v>
      </c>
      <c r="N722" s="21" t="str">
        <f>"str_"&amp;CONTROL[[#This Row],[VEHIDCODE]]</f>
        <v>str_mu_Coach_Gen1_Clerestory_Compartment_Coach</v>
      </c>
      <c r="O722" s="7" t="b">
        <f>INDEX(PROPERTIES[IS_CONCEPT],MATCH(CONTROL[[#This Row],[VEHIDCODE]],PROPERTIES[VEHIDCODE],0))="IS_CONCEPT"</f>
        <v>0</v>
      </c>
      <c r="P722" s="7" t="b">
        <f>INDEX(PROPERTIES[EXCLUDE],MATCH(CONTROL[[#This Row],[VEHIDCODE]],PROPERTIES[VEHIDCODE],0))</f>
        <v>0</v>
      </c>
      <c r="Q7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3" spans="1:17" x14ac:dyDescent="0.35">
      <c r="A723" s="2" t="s">
        <v>87</v>
      </c>
      <c r="B723" s="21" t="str">
        <f>MID(CONTROL[[#This Row],[VEHIDCODE]],FIND("_",CONTROL[[#This Row],[VEHIDCODE]])+1,LEN(CONTROL[[#This Row],[VEHIDCODE]]))</f>
        <v>Coach_Gen1_Clerestory_Regional_Coach</v>
      </c>
      <c r="C7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3">
        <v>11004</v>
      </c>
      <c r="F723" s="30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ISNUMBER(MATCH(CONTROL[[#This Row],[VEHIDCODE]],TRACK_TYPES[VEHIDCODE],0))</f>
        <v>1</v>
      </c>
      <c r="K723" t="b">
        <f>ISNUMBER(MATCH(CONTROL[[#This Row],[VEHIDCODE]],PROPERTIES[VEHIDCODE],0))</f>
        <v>1</v>
      </c>
      <c r="L723" t="b">
        <f>ISNUMBER(MATCH(CONTROL[[#This Row],[VEHIDCODE]],GRAPHICS_PROPERTIES[VEHIDCODE],0))</f>
        <v>1</v>
      </c>
      <c r="M723" s="21" t="str">
        <f>"item_"&amp;CONTROL[[#This Row],[VEHIDCODE]]</f>
        <v>item_mu_Coach_Gen1_Clerestory_Regional_Coach</v>
      </c>
      <c r="N723" s="21" t="str">
        <f>"str_"&amp;CONTROL[[#This Row],[VEHIDCODE]]</f>
        <v>str_mu_Coach_Gen1_Clerestory_Regional_Coach</v>
      </c>
      <c r="O723" s="7" t="b">
        <f>INDEX(PROPERTIES[IS_CONCEPT],MATCH(CONTROL[[#This Row],[VEHIDCODE]],PROPERTIES[VEHIDCODE],0))="IS_CONCEPT"</f>
        <v>0</v>
      </c>
      <c r="P723" s="7" t="b">
        <f>INDEX(PROPERTIES[EXCLUDE],MATCH(CONTROL[[#This Row],[VEHIDCODE]],PROPERTIES[VEHIDCODE],0))</f>
        <v>0</v>
      </c>
      <c r="Q7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4" spans="1:17" x14ac:dyDescent="0.35">
      <c r="A724" s="2" t="s">
        <v>88</v>
      </c>
      <c r="B724" s="21" t="str">
        <f>MID(CONTROL[[#This Row],[VEHIDCODE]],FIND("_",CONTROL[[#This Row],[VEHIDCODE]])+1,LEN(CONTROL[[#This Row],[VEHIDCODE]]))</f>
        <v>Coach_Gen1_Clerestory_Mail_Coach</v>
      </c>
      <c r="C7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4">
        <v>11005</v>
      </c>
      <c r="F724" s="30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ISNUMBER(MATCH(CONTROL[[#This Row],[VEHIDCODE]],TRACK_TYPES[VEHIDCODE],0))</f>
        <v>1</v>
      </c>
      <c r="K724" t="b">
        <f>ISNUMBER(MATCH(CONTROL[[#This Row],[VEHIDCODE]],PROPERTIES[VEHIDCODE],0))</f>
        <v>1</v>
      </c>
      <c r="L724" t="b">
        <f>ISNUMBER(MATCH(CONTROL[[#This Row],[VEHIDCODE]],GRAPHICS_PROPERTIES[VEHIDCODE],0))</f>
        <v>1</v>
      </c>
      <c r="M724" s="21" t="str">
        <f>"item_"&amp;CONTROL[[#This Row],[VEHIDCODE]]</f>
        <v>item_mu_Coach_Gen1_Clerestory_Mail_Coach</v>
      </c>
      <c r="N724" s="21" t="str">
        <f>"str_"&amp;CONTROL[[#This Row],[VEHIDCODE]]</f>
        <v>str_mu_Coach_Gen1_Clerestory_Mail_Coach</v>
      </c>
      <c r="O724" s="7" t="b">
        <f>INDEX(PROPERTIES[IS_CONCEPT],MATCH(CONTROL[[#This Row],[VEHIDCODE]],PROPERTIES[VEHIDCODE],0))="IS_CONCEPT"</f>
        <v>0</v>
      </c>
      <c r="P724" s="7" t="b">
        <f>INDEX(PROPERTIES[EXCLUDE],MATCH(CONTROL[[#This Row],[VEHIDCODE]],PROPERTIES[VEHIDCODE],0))</f>
        <v>0</v>
      </c>
      <c r="Q7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5" spans="1:17" x14ac:dyDescent="0.35">
      <c r="A725" s="2" t="s">
        <v>89</v>
      </c>
      <c r="B725" s="21" t="str">
        <f>MID(CONTROL[[#This Row],[VEHIDCODE]],FIND("_",CONTROL[[#This Row],[VEHIDCODE]])+1,LEN(CONTROL[[#This Row],[VEHIDCODE]]))</f>
        <v>Coach_Gen1_Wooden_3_axle_Compartment_Coach</v>
      </c>
      <c r="C7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5">
        <v>11006</v>
      </c>
      <c r="F725" s="30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ISNUMBER(MATCH(CONTROL[[#This Row],[VEHIDCODE]],TRACK_TYPES[VEHIDCODE],0))</f>
        <v>1</v>
      </c>
      <c r="K725" t="b">
        <f>ISNUMBER(MATCH(CONTROL[[#This Row],[VEHIDCODE]],PROPERTIES[VEHIDCODE],0))</f>
        <v>1</v>
      </c>
      <c r="L725" t="b">
        <f>ISNUMBER(MATCH(CONTROL[[#This Row],[VEHIDCODE]],GRAPHICS_PROPERTIES[VEHIDCODE],0))</f>
        <v>1</v>
      </c>
      <c r="M725" s="21" t="str">
        <f>"item_"&amp;CONTROL[[#This Row],[VEHIDCODE]]</f>
        <v>item_mu_Coach_Gen1_Wooden_3_axle_Compartment_Coach</v>
      </c>
      <c r="N725" s="21" t="str">
        <f>"str_"&amp;CONTROL[[#This Row],[VEHIDCODE]]</f>
        <v>str_mu_Coach_Gen1_Wooden_3_axle_Compartment_Coach</v>
      </c>
      <c r="O725" s="7" t="b">
        <f>INDEX(PROPERTIES[IS_CONCEPT],MATCH(CONTROL[[#This Row],[VEHIDCODE]],PROPERTIES[VEHIDCODE],0))="IS_CONCEPT"</f>
        <v>0</v>
      </c>
      <c r="P725" s="7" t="b">
        <f>INDEX(PROPERTIES[EXCLUDE],MATCH(CONTROL[[#This Row],[VEHIDCODE]],PROPERTIES[VEHIDCODE],0))</f>
        <v>0</v>
      </c>
      <c r="Q7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6" spans="1:17" x14ac:dyDescent="0.35">
      <c r="A726" s="2" t="s">
        <v>90</v>
      </c>
      <c r="B726" s="21" t="str">
        <f>MID(CONTROL[[#This Row],[VEHIDCODE]],FIND("_",CONTROL[[#This Row],[VEHIDCODE]])+1,LEN(CONTROL[[#This Row],[VEHIDCODE]]))</f>
        <v>Coach_Gen1_Wooden_3_axle_Regional_Coach</v>
      </c>
      <c r="C7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6">
        <v>11007</v>
      </c>
      <c r="F726" s="30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ISNUMBER(MATCH(CONTROL[[#This Row],[VEHIDCODE]],TRACK_TYPES[VEHIDCODE],0))</f>
        <v>1</v>
      </c>
      <c r="K726" t="b">
        <f>ISNUMBER(MATCH(CONTROL[[#This Row],[VEHIDCODE]],PROPERTIES[VEHIDCODE],0))</f>
        <v>1</v>
      </c>
      <c r="L726" t="b">
        <f>ISNUMBER(MATCH(CONTROL[[#This Row],[VEHIDCODE]],GRAPHICS_PROPERTIES[VEHIDCODE],0))</f>
        <v>1</v>
      </c>
      <c r="M726" s="21" t="str">
        <f>"item_"&amp;CONTROL[[#This Row],[VEHIDCODE]]</f>
        <v>item_mu_Coach_Gen1_Wooden_3_axle_Regional_Coach</v>
      </c>
      <c r="N726" s="21" t="str">
        <f>"str_"&amp;CONTROL[[#This Row],[VEHIDCODE]]</f>
        <v>str_mu_Coach_Gen1_Wooden_3_axle_Regional_Coach</v>
      </c>
      <c r="O726" s="7" t="b">
        <f>INDEX(PROPERTIES[IS_CONCEPT],MATCH(CONTROL[[#This Row],[VEHIDCODE]],PROPERTIES[VEHIDCODE],0))="IS_CONCEPT"</f>
        <v>0</v>
      </c>
      <c r="P726" s="7" t="b">
        <f>INDEX(PROPERTIES[EXCLUDE],MATCH(CONTROL[[#This Row],[VEHIDCODE]],PROPERTIES[VEHIDCODE],0))</f>
        <v>0</v>
      </c>
      <c r="Q7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7" spans="1:17" x14ac:dyDescent="0.35">
      <c r="A727" s="2" t="s">
        <v>91</v>
      </c>
      <c r="B727" s="21" t="str">
        <f>MID(CONTROL[[#This Row],[VEHIDCODE]],FIND("_",CONTROL[[#This Row],[VEHIDCODE]])+1,LEN(CONTROL[[#This Row],[VEHIDCODE]]))</f>
        <v>Coach_Gen1_Wooden_3_axle_Mail_Coach</v>
      </c>
      <c r="C7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7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7">
        <v>11008</v>
      </c>
      <c r="F727" s="30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ISNUMBER(MATCH(CONTROL[[#This Row],[VEHIDCODE]],TRACK_TYPES[VEHIDCODE],0))</f>
        <v>1</v>
      </c>
      <c r="K727" t="b">
        <f>ISNUMBER(MATCH(CONTROL[[#This Row],[VEHIDCODE]],PROPERTIES[VEHIDCODE],0))</f>
        <v>1</v>
      </c>
      <c r="L727" t="b">
        <f>ISNUMBER(MATCH(CONTROL[[#This Row],[VEHIDCODE]],GRAPHICS_PROPERTIES[VEHIDCODE],0))</f>
        <v>1</v>
      </c>
      <c r="M727" s="21" t="str">
        <f>"item_"&amp;CONTROL[[#This Row],[VEHIDCODE]]</f>
        <v>item_mu_Coach_Gen1_Wooden_3_axle_Mail_Coach</v>
      </c>
      <c r="N727" s="21" t="str">
        <f>"str_"&amp;CONTROL[[#This Row],[VEHIDCODE]]</f>
        <v>str_mu_Coach_Gen1_Wooden_3_axle_Mail_Coach</v>
      </c>
      <c r="O727" s="7" t="b">
        <f>INDEX(PROPERTIES[IS_CONCEPT],MATCH(CONTROL[[#This Row],[VEHIDCODE]],PROPERTIES[VEHIDCODE],0))="IS_CONCEPT"</f>
        <v>0</v>
      </c>
      <c r="P727" s="7" t="b">
        <f>INDEX(PROPERTIES[EXCLUDE],MATCH(CONTROL[[#This Row],[VEHIDCODE]],PROPERTIES[VEHIDCODE],0))</f>
        <v>0</v>
      </c>
      <c r="Q7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28" spans="1:17" x14ac:dyDescent="0.35">
      <c r="A728" s="2" t="s">
        <v>92</v>
      </c>
      <c r="B728" s="21" t="str">
        <f>MID(CONTROL[[#This Row],[VEHIDCODE]],FIND("_",CONTROL[[#This Row],[VEHIDCODE]])+1,LEN(CONTROL[[#This Row],[VEHIDCODE]]))</f>
        <v>Coach_Gen2_Heavyweight_Intercity_Coach</v>
      </c>
      <c r="C7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8">
        <v>11009</v>
      </c>
      <c r="F728" s="30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ISNUMBER(MATCH(CONTROL[[#This Row],[VEHIDCODE]],TRACK_TYPES[VEHIDCODE],0))</f>
        <v>1</v>
      </c>
      <c r="K728" t="b">
        <f>ISNUMBER(MATCH(CONTROL[[#This Row],[VEHIDCODE]],PROPERTIES[VEHIDCODE],0))</f>
        <v>1</v>
      </c>
      <c r="L728" t="b">
        <f>ISNUMBER(MATCH(CONTROL[[#This Row],[VEHIDCODE]],GRAPHICS_PROPERTIES[VEHIDCODE],0))</f>
        <v>1</v>
      </c>
      <c r="M728" s="21" t="str">
        <f>"item_"&amp;CONTROL[[#This Row],[VEHIDCODE]]</f>
        <v>item_mu_Coach_Gen2_Heavyweight_Intercity_Coach</v>
      </c>
      <c r="N728" s="21" t="str">
        <f>"str_"&amp;CONTROL[[#This Row],[VEHIDCODE]]</f>
        <v>str_mu_Coach_Gen2_Heavyweight_Intercity_Coach</v>
      </c>
      <c r="O728" s="7" t="b">
        <f>INDEX(PROPERTIES[IS_CONCEPT],MATCH(CONTROL[[#This Row],[VEHIDCODE]],PROPERTIES[VEHIDCODE],0))="IS_CONCEPT"</f>
        <v>0</v>
      </c>
      <c r="P728" s="7" t="b">
        <f>INDEX(PROPERTIES[EXCLUDE],MATCH(CONTROL[[#This Row],[VEHIDCODE]],PROPERTIES[VEHIDCODE],0))</f>
        <v>0</v>
      </c>
      <c r="Q7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29" spans="1:17" x14ac:dyDescent="0.35">
      <c r="A729" s="2" t="s">
        <v>93</v>
      </c>
      <c r="B729" s="21" t="str">
        <f>MID(CONTROL[[#This Row],[VEHIDCODE]],FIND("_",CONTROL[[#This Row],[VEHIDCODE]])+1,LEN(CONTROL[[#This Row],[VEHIDCODE]]))</f>
        <v>Coach_Gen2_Heavyweight_Mail_Coach</v>
      </c>
      <c r="C7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29">
        <v>11010</v>
      </c>
      <c r="F729" s="30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ISNUMBER(MATCH(CONTROL[[#This Row],[VEHIDCODE]],TRACK_TYPES[VEHIDCODE],0))</f>
        <v>1</v>
      </c>
      <c r="K729" t="b">
        <f>ISNUMBER(MATCH(CONTROL[[#This Row],[VEHIDCODE]],PROPERTIES[VEHIDCODE],0))</f>
        <v>1</v>
      </c>
      <c r="L729" t="b">
        <f>ISNUMBER(MATCH(CONTROL[[#This Row],[VEHIDCODE]],GRAPHICS_PROPERTIES[VEHIDCODE],0))</f>
        <v>1</v>
      </c>
      <c r="M729" s="21" t="str">
        <f>"item_"&amp;CONTROL[[#This Row],[VEHIDCODE]]</f>
        <v>item_mu_Coach_Gen2_Heavyweight_Mail_Coach</v>
      </c>
      <c r="N729" s="21" t="str">
        <f>"str_"&amp;CONTROL[[#This Row],[VEHIDCODE]]</f>
        <v>str_mu_Coach_Gen2_Heavyweight_Mail_Coach</v>
      </c>
      <c r="O729" s="7" t="b">
        <f>INDEX(PROPERTIES[IS_CONCEPT],MATCH(CONTROL[[#This Row],[VEHIDCODE]],PROPERTIES[VEHIDCODE],0))="IS_CONCEPT"</f>
        <v>0</v>
      </c>
      <c r="P729" s="7" t="b">
        <f>INDEX(PROPERTIES[EXCLUDE],MATCH(CONTROL[[#This Row],[VEHIDCODE]],PROPERTIES[VEHIDCODE],0))</f>
        <v>0</v>
      </c>
      <c r="Q7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0" spans="1:17" x14ac:dyDescent="0.35">
      <c r="A730" s="2" t="s">
        <v>94</v>
      </c>
      <c r="B730" s="21" t="str">
        <f>MID(CONTROL[[#This Row],[VEHIDCODE]],FIND("_",CONTROL[[#This Row],[VEHIDCODE]])+1,LEN(CONTROL[[#This Row],[VEHIDCODE]]))</f>
        <v>Coach_Gen2_Steel_Intercity_Coach</v>
      </c>
      <c r="C7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0">
        <v>11011</v>
      </c>
      <c r="F730" s="30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ISNUMBER(MATCH(CONTROL[[#This Row],[VEHIDCODE]],TRACK_TYPES[VEHIDCODE],0))</f>
        <v>1</v>
      </c>
      <c r="K730" t="b">
        <f>ISNUMBER(MATCH(CONTROL[[#This Row],[VEHIDCODE]],PROPERTIES[VEHIDCODE],0))</f>
        <v>1</v>
      </c>
      <c r="L730" t="b">
        <f>ISNUMBER(MATCH(CONTROL[[#This Row],[VEHIDCODE]],GRAPHICS_PROPERTIES[VEHIDCODE],0))</f>
        <v>1</v>
      </c>
      <c r="M730" s="21" t="str">
        <f>"item_"&amp;CONTROL[[#This Row],[VEHIDCODE]]</f>
        <v>item_mu_Coach_Gen2_Steel_Intercity_Coach</v>
      </c>
      <c r="N730" s="21" t="str">
        <f>"str_"&amp;CONTROL[[#This Row],[VEHIDCODE]]</f>
        <v>str_mu_Coach_Gen2_Steel_Intercity_Coach</v>
      </c>
      <c r="O730" s="7" t="b">
        <f>INDEX(PROPERTIES[IS_CONCEPT],MATCH(CONTROL[[#This Row],[VEHIDCODE]],PROPERTIES[VEHIDCODE],0))="IS_CONCEPT"</f>
        <v>0</v>
      </c>
      <c r="P730" s="7" t="b">
        <f>INDEX(PROPERTIES[EXCLUDE],MATCH(CONTROL[[#This Row],[VEHIDCODE]],PROPERTIES[VEHIDCODE],0))</f>
        <v>0</v>
      </c>
      <c r="Q7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1" spans="1:17" x14ac:dyDescent="0.35">
      <c r="A731" s="2" t="s">
        <v>95</v>
      </c>
      <c r="B731" s="21" t="str">
        <f>MID(CONTROL[[#This Row],[VEHIDCODE]],FIND("_",CONTROL[[#This Row],[VEHIDCODE]])+1,LEN(CONTROL[[#This Row],[VEHIDCODE]]))</f>
        <v>Coach_Gen2_Steel_Compartment_Coach</v>
      </c>
      <c r="C7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1">
        <v>11012</v>
      </c>
      <c r="F731" s="30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ISNUMBER(MATCH(CONTROL[[#This Row],[VEHIDCODE]],TRACK_TYPES[VEHIDCODE],0))</f>
        <v>1</v>
      </c>
      <c r="K731" t="b">
        <f>ISNUMBER(MATCH(CONTROL[[#This Row],[VEHIDCODE]],PROPERTIES[VEHIDCODE],0))</f>
        <v>1</v>
      </c>
      <c r="L731" t="b">
        <f>ISNUMBER(MATCH(CONTROL[[#This Row],[VEHIDCODE]],GRAPHICS_PROPERTIES[VEHIDCODE],0))</f>
        <v>1</v>
      </c>
      <c r="M731" s="21" t="str">
        <f>"item_"&amp;CONTROL[[#This Row],[VEHIDCODE]]</f>
        <v>item_mu_Coach_Gen2_Steel_Compartment_Coach</v>
      </c>
      <c r="N731" s="21" t="str">
        <f>"str_"&amp;CONTROL[[#This Row],[VEHIDCODE]]</f>
        <v>str_mu_Coach_Gen2_Steel_Compartment_Coach</v>
      </c>
      <c r="O731" s="7" t="b">
        <f>INDEX(PROPERTIES[IS_CONCEPT],MATCH(CONTROL[[#This Row],[VEHIDCODE]],PROPERTIES[VEHIDCODE],0))="IS_CONCEPT"</f>
        <v>0</v>
      </c>
      <c r="P731" s="7" t="b">
        <f>INDEX(PROPERTIES[EXCLUDE],MATCH(CONTROL[[#This Row],[VEHIDCODE]],PROPERTIES[VEHIDCODE],0))</f>
        <v>0</v>
      </c>
      <c r="Q7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2" spans="1:17" x14ac:dyDescent="0.35">
      <c r="A732" s="2" t="s">
        <v>96</v>
      </c>
      <c r="B732" s="21" t="str">
        <f>MID(CONTROL[[#This Row],[VEHIDCODE]],FIND("_",CONTROL[[#This Row],[VEHIDCODE]])+1,LEN(CONTROL[[#This Row],[VEHIDCODE]]))</f>
        <v>Coach_Gen2_Steel_Regional_Coach</v>
      </c>
      <c r="C7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2">
        <v>11013</v>
      </c>
      <c r="F732" s="30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ISNUMBER(MATCH(CONTROL[[#This Row],[VEHIDCODE]],TRACK_TYPES[VEHIDCODE],0))</f>
        <v>1</v>
      </c>
      <c r="K732" t="b">
        <f>ISNUMBER(MATCH(CONTROL[[#This Row],[VEHIDCODE]],PROPERTIES[VEHIDCODE],0))</f>
        <v>1</v>
      </c>
      <c r="L732" t="b">
        <f>ISNUMBER(MATCH(CONTROL[[#This Row],[VEHIDCODE]],GRAPHICS_PROPERTIES[VEHIDCODE],0))</f>
        <v>1</v>
      </c>
      <c r="M732" s="21" t="str">
        <f>"item_"&amp;CONTROL[[#This Row],[VEHIDCODE]]</f>
        <v>item_mu_Coach_Gen2_Steel_Regional_Coach</v>
      </c>
      <c r="N732" s="21" t="str">
        <f>"str_"&amp;CONTROL[[#This Row],[VEHIDCODE]]</f>
        <v>str_mu_Coach_Gen2_Steel_Regional_Coach</v>
      </c>
      <c r="O732" s="7" t="b">
        <f>INDEX(PROPERTIES[IS_CONCEPT],MATCH(CONTROL[[#This Row],[VEHIDCODE]],PROPERTIES[VEHIDCODE],0))="IS_CONCEPT"</f>
        <v>0</v>
      </c>
      <c r="P732" s="7" t="b">
        <f>INDEX(PROPERTIES[EXCLUDE],MATCH(CONTROL[[#This Row],[VEHIDCODE]],PROPERTIES[VEHIDCODE],0))</f>
        <v>0</v>
      </c>
      <c r="Q7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3" spans="1:17" x14ac:dyDescent="0.35">
      <c r="A733" s="2" t="s">
        <v>97</v>
      </c>
      <c r="B733" s="21" t="str">
        <f>MID(CONTROL[[#This Row],[VEHIDCODE]],FIND("_",CONTROL[[#This Row],[VEHIDCODE]])+1,LEN(CONTROL[[#This Row],[VEHIDCODE]]))</f>
        <v>Coach_Gen2_Steel_Mail_Coach</v>
      </c>
      <c r="C7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3">
        <v>11014</v>
      </c>
      <c r="F733" s="30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ISNUMBER(MATCH(CONTROL[[#This Row],[VEHIDCODE]],TRACK_TYPES[VEHIDCODE],0))</f>
        <v>1</v>
      </c>
      <c r="K733" t="b">
        <f>ISNUMBER(MATCH(CONTROL[[#This Row],[VEHIDCODE]],PROPERTIES[VEHIDCODE],0))</f>
        <v>1</v>
      </c>
      <c r="L733" t="b">
        <f>ISNUMBER(MATCH(CONTROL[[#This Row],[VEHIDCODE]],GRAPHICS_PROPERTIES[VEHIDCODE],0))</f>
        <v>1</v>
      </c>
      <c r="M733" s="21" t="str">
        <f>"item_"&amp;CONTROL[[#This Row],[VEHIDCODE]]</f>
        <v>item_mu_Coach_Gen2_Steel_Mail_Coach</v>
      </c>
      <c r="N733" s="21" t="str">
        <f>"str_"&amp;CONTROL[[#This Row],[VEHIDCODE]]</f>
        <v>str_mu_Coach_Gen2_Steel_Mail_Coach</v>
      </c>
      <c r="O733" s="7" t="b">
        <f>INDEX(PROPERTIES[IS_CONCEPT],MATCH(CONTROL[[#This Row],[VEHIDCODE]],PROPERTIES[VEHIDCODE],0))="IS_CONCEPT"</f>
        <v>0</v>
      </c>
      <c r="P733" s="7" t="b">
        <f>INDEX(PROPERTIES[EXCLUDE],MATCH(CONTROL[[#This Row],[VEHIDCODE]],PROPERTIES[VEHIDCODE],0))</f>
        <v>0</v>
      </c>
      <c r="Q7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4" spans="1:17" x14ac:dyDescent="0.35">
      <c r="A734" s="2" t="s">
        <v>98</v>
      </c>
      <c r="B734" s="21" t="str">
        <f>MID(CONTROL[[#This Row],[VEHIDCODE]],FIND("_",CONTROL[[#This Row],[VEHIDCODE]])+1,LEN(CONTROL[[#This Row],[VEHIDCODE]]))</f>
        <v>Coach_Gen2_Steel_2_axle_Compartment_Coach</v>
      </c>
      <c r="C7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4">
        <v>11015</v>
      </c>
      <c r="F734" s="30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ISNUMBER(MATCH(CONTROL[[#This Row],[VEHIDCODE]],TRACK_TYPES[VEHIDCODE],0))</f>
        <v>1</v>
      </c>
      <c r="K734" t="b">
        <f>ISNUMBER(MATCH(CONTROL[[#This Row],[VEHIDCODE]],PROPERTIES[VEHIDCODE],0))</f>
        <v>1</v>
      </c>
      <c r="L734" t="b">
        <f>ISNUMBER(MATCH(CONTROL[[#This Row],[VEHIDCODE]],GRAPHICS_PROPERTIES[VEHIDCODE],0))</f>
        <v>1</v>
      </c>
      <c r="M734" s="21" t="str">
        <f>"item_"&amp;CONTROL[[#This Row],[VEHIDCODE]]</f>
        <v>item_mu_Coach_Gen2_Steel_2_axle_Compartment_Coach</v>
      </c>
      <c r="N734" s="21" t="str">
        <f>"str_"&amp;CONTROL[[#This Row],[VEHIDCODE]]</f>
        <v>str_mu_Coach_Gen2_Steel_2_axle_Compartment_Coach</v>
      </c>
      <c r="O734" s="7" t="b">
        <f>INDEX(PROPERTIES[IS_CONCEPT],MATCH(CONTROL[[#This Row],[VEHIDCODE]],PROPERTIES[VEHIDCODE],0))="IS_CONCEPT"</f>
        <v>0</v>
      </c>
      <c r="P734" s="7" t="b">
        <f>INDEX(PROPERTIES[EXCLUDE],MATCH(CONTROL[[#This Row],[VEHIDCODE]],PROPERTIES[VEHIDCODE],0))</f>
        <v>0</v>
      </c>
      <c r="Q7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5" spans="1:17" x14ac:dyDescent="0.35">
      <c r="A735" s="2" t="s">
        <v>99</v>
      </c>
      <c r="B735" s="21" t="str">
        <f>MID(CONTROL[[#This Row],[VEHIDCODE]],FIND("_",CONTROL[[#This Row],[VEHIDCODE]])+1,LEN(CONTROL[[#This Row],[VEHIDCODE]]))</f>
        <v>Coach_Gen2_Steel_2_axle_Regional_Coach</v>
      </c>
      <c r="C7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5">
        <v>11016</v>
      </c>
      <c r="F735" s="30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ISNUMBER(MATCH(CONTROL[[#This Row],[VEHIDCODE]],TRACK_TYPES[VEHIDCODE],0))</f>
        <v>1</v>
      </c>
      <c r="K735" t="b">
        <f>ISNUMBER(MATCH(CONTROL[[#This Row],[VEHIDCODE]],PROPERTIES[VEHIDCODE],0))</f>
        <v>1</v>
      </c>
      <c r="L735" t="b">
        <f>ISNUMBER(MATCH(CONTROL[[#This Row],[VEHIDCODE]],GRAPHICS_PROPERTIES[VEHIDCODE],0))</f>
        <v>1</v>
      </c>
      <c r="M735" s="21" t="str">
        <f>"item_"&amp;CONTROL[[#This Row],[VEHIDCODE]]</f>
        <v>item_mu_Coach_Gen2_Steel_2_axle_Regional_Coach</v>
      </c>
      <c r="N735" s="21" t="str">
        <f>"str_"&amp;CONTROL[[#This Row],[VEHIDCODE]]</f>
        <v>str_mu_Coach_Gen2_Steel_2_axle_Regional_Coach</v>
      </c>
      <c r="O735" s="7" t="b">
        <f>INDEX(PROPERTIES[IS_CONCEPT],MATCH(CONTROL[[#This Row],[VEHIDCODE]],PROPERTIES[VEHIDCODE],0))="IS_CONCEPT"</f>
        <v>0</v>
      </c>
      <c r="P735" s="7" t="b">
        <f>INDEX(PROPERTIES[EXCLUDE],MATCH(CONTROL[[#This Row],[VEHIDCODE]],PROPERTIES[VEHIDCODE],0))</f>
        <v>0</v>
      </c>
      <c r="Q7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6" spans="1:17" x14ac:dyDescent="0.35">
      <c r="A736" s="2" t="s">
        <v>100</v>
      </c>
      <c r="B736" s="21" t="str">
        <f>MID(CONTROL[[#This Row],[VEHIDCODE]],FIND("_",CONTROL[[#This Row],[VEHIDCODE]])+1,LEN(CONTROL[[#This Row],[VEHIDCODE]]))</f>
        <v>Coach_Gen2_Steel_2_axle_Mail_Coach</v>
      </c>
      <c r="C7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6">
        <v>11017</v>
      </c>
      <c r="F736" s="30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ISNUMBER(MATCH(CONTROL[[#This Row],[VEHIDCODE]],TRACK_TYPES[VEHIDCODE],0))</f>
        <v>1</v>
      </c>
      <c r="K736" t="b">
        <f>ISNUMBER(MATCH(CONTROL[[#This Row],[VEHIDCODE]],PROPERTIES[VEHIDCODE],0))</f>
        <v>1</v>
      </c>
      <c r="L736" t="b">
        <f>ISNUMBER(MATCH(CONTROL[[#This Row],[VEHIDCODE]],GRAPHICS_PROPERTIES[VEHIDCODE],0))</f>
        <v>1</v>
      </c>
      <c r="M736" s="21" t="str">
        <f>"item_"&amp;CONTROL[[#This Row],[VEHIDCODE]]</f>
        <v>item_mu_Coach_Gen2_Steel_2_axle_Mail_Coach</v>
      </c>
      <c r="N736" s="21" t="str">
        <f>"str_"&amp;CONTROL[[#This Row],[VEHIDCODE]]</f>
        <v>str_mu_Coach_Gen2_Steel_2_axle_Mail_Coach</v>
      </c>
      <c r="O736" s="7" t="b">
        <f>INDEX(PROPERTIES[IS_CONCEPT],MATCH(CONTROL[[#This Row],[VEHIDCODE]],PROPERTIES[VEHIDCODE],0))="IS_CONCEPT"</f>
        <v>0</v>
      </c>
      <c r="P736" s="7" t="b">
        <f>INDEX(PROPERTIES[EXCLUDE],MATCH(CONTROL[[#This Row],[VEHIDCODE]],PROPERTIES[VEHIDCODE],0))</f>
        <v>0</v>
      </c>
      <c r="Q7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7" spans="1:17" x14ac:dyDescent="0.35">
      <c r="A737" s="2" t="s">
        <v>101</v>
      </c>
      <c r="B737" s="21" t="str">
        <f>MID(CONTROL[[#This Row],[VEHIDCODE]],FIND("_",CONTROL[[#This Row],[VEHIDCODE]])+1,LEN(CONTROL[[#This Row],[VEHIDCODE]]))</f>
        <v>Coach_Gen2_Steel_3_axle_Compartment_Coach</v>
      </c>
      <c r="C7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7">
        <v>11018</v>
      </c>
      <c r="F737" s="30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ISNUMBER(MATCH(CONTROL[[#This Row],[VEHIDCODE]],TRACK_TYPES[VEHIDCODE],0))</f>
        <v>1</v>
      </c>
      <c r="K737" t="b">
        <f>ISNUMBER(MATCH(CONTROL[[#This Row],[VEHIDCODE]],PROPERTIES[VEHIDCODE],0))</f>
        <v>1</v>
      </c>
      <c r="L737" t="b">
        <f>ISNUMBER(MATCH(CONTROL[[#This Row],[VEHIDCODE]],GRAPHICS_PROPERTIES[VEHIDCODE],0))</f>
        <v>1</v>
      </c>
      <c r="M737" s="21" t="str">
        <f>"item_"&amp;CONTROL[[#This Row],[VEHIDCODE]]</f>
        <v>item_mu_Coach_Gen2_Steel_3_axle_Compartment_Coach</v>
      </c>
      <c r="N737" s="21" t="str">
        <f>"str_"&amp;CONTROL[[#This Row],[VEHIDCODE]]</f>
        <v>str_mu_Coach_Gen2_Steel_3_axle_Compartment_Coach</v>
      </c>
      <c r="O737" s="7" t="b">
        <f>INDEX(PROPERTIES[IS_CONCEPT],MATCH(CONTROL[[#This Row],[VEHIDCODE]],PROPERTIES[VEHIDCODE],0))="IS_CONCEPT"</f>
        <v>0</v>
      </c>
      <c r="P737" s="7" t="b">
        <f>INDEX(PROPERTIES[EXCLUDE],MATCH(CONTROL[[#This Row],[VEHIDCODE]],PROPERTIES[VEHIDCODE],0))</f>
        <v>0</v>
      </c>
      <c r="Q7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8" spans="1:17" x14ac:dyDescent="0.35">
      <c r="A738" s="2" t="s">
        <v>102</v>
      </c>
      <c r="B738" s="21" t="str">
        <f>MID(CONTROL[[#This Row],[VEHIDCODE]],FIND("_",CONTROL[[#This Row],[VEHIDCODE]])+1,LEN(CONTROL[[#This Row],[VEHIDCODE]]))</f>
        <v>Coach_Gen2_Steel_3_axle_Regional_Coach</v>
      </c>
      <c r="C7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8">
        <v>11019</v>
      </c>
      <c r="F738" s="30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ISNUMBER(MATCH(CONTROL[[#This Row],[VEHIDCODE]],TRACK_TYPES[VEHIDCODE],0))</f>
        <v>1</v>
      </c>
      <c r="K738" t="b">
        <f>ISNUMBER(MATCH(CONTROL[[#This Row],[VEHIDCODE]],PROPERTIES[VEHIDCODE],0))</f>
        <v>1</v>
      </c>
      <c r="L738" t="b">
        <f>ISNUMBER(MATCH(CONTROL[[#This Row],[VEHIDCODE]],GRAPHICS_PROPERTIES[VEHIDCODE],0))</f>
        <v>1</v>
      </c>
      <c r="M738" s="21" t="str">
        <f>"item_"&amp;CONTROL[[#This Row],[VEHIDCODE]]</f>
        <v>item_mu_Coach_Gen2_Steel_3_axle_Regional_Coach</v>
      </c>
      <c r="N738" s="21" t="str">
        <f>"str_"&amp;CONTROL[[#This Row],[VEHIDCODE]]</f>
        <v>str_mu_Coach_Gen2_Steel_3_axle_Regional_Coach</v>
      </c>
      <c r="O738" s="7" t="b">
        <f>INDEX(PROPERTIES[IS_CONCEPT],MATCH(CONTROL[[#This Row],[VEHIDCODE]],PROPERTIES[VEHIDCODE],0))="IS_CONCEPT"</f>
        <v>0</v>
      </c>
      <c r="P738" s="7" t="b">
        <f>INDEX(PROPERTIES[EXCLUDE],MATCH(CONTROL[[#This Row],[VEHIDCODE]],PROPERTIES[VEHIDCODE],0))</f>
        <v>0</v>
      </c>
      <c r="Q7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39" spans="1:17" x14ac:dyDescent="0.35">
      <c r="A739" s="2" t="s">
        <v>103</v>
      </c>
      <c r="B739" s="21" t="str">
        <f>MID(CONTROL[[#This Row],[VEHIDCODE]],FIND("_",CONTROL[[#This Row],[VEHIDCODE]])+1,LEN(CONTROL[[#This Row],[VEHIDCODE]]))</f>
        <v>Coach_Gen2_Steel_3_axle_Mail_Coach</v>
      </c>
      <c r="C7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7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39">
        <v>11020</v>
      </c>
      <c r="F739" s="30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ISNUMBER(MATCH(CONTROL[[#This Row],[VEHIDCODE]],TRACK_TYPES[VEHIDCODE],0))</f>
        <v>1</v>
      </c>
      <c r="K739" t="b">
        <f>ISNUMBER(MATCH(CONTROL[[#This Row],[VEHIDCODE]],PROPERTIES[VEHIDCODE],0))</f>
        <v>1</v>
      </c>
      <c r="L739" t="b">
        <f>ISNUMBER(MATCH(CONTROL[[#This Row],[VEHIDCODE]],GRAPHICS_PROPERTIES[VEHIDCODE],0))</f>
        <v>1</v>
      </c>
      <c r="M739" s="21" t="str">
        <f>"item_"&amp;CONTROL[[#This Row],[VEHIDCODE]]</f>
        <v>item_mu_Coach_Gen2_Steel_3_axle_Mail_Coach</v>
      </c>
      <c r="N739" s="21" t="str">
        <f>"str_"&amp;CONTROL[[#This Row],[VEHIDCODE]]</f>
        <v>str_mu_Coach_Gen2_Steel_3_axle_Mail_Coach</v>
      </c>
      <c r="O739" s="7" t="b">
        <f>INDEX(PROPERTIES[IS_CONCEPT],MATCH(CONTROL[[#This Row],[VEHIDCODE]],PROPERTIES[VEHIDCODE],0))="IS_CONCEPT"</f>
        <v>0</v>
      </c>
      <c r="P739" s="7" t="b">
        <f>INDEX(PROPERTIES[EXCLUDE],MATCH(CONTROL[[#This Row],[VEHIDCODE]],PROPERTIES[VEHIDCODE],0))</f>
        <v>0</v>
      </c>
      <c r="Q7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0" spans="1:17" x14ac:dyDescent="0.35">
      <c r="A740" s="2" t="s">
        <v>104</v>
      </c>
      <c r="B740" s="21" t="str">
        <f>MID(CONTROL[[#This Row],[VEHIDCODE]],FIND("_",CONTROL[[#This Row],[VEHIDCODE]])+1,LEN(CONTROL[[#This Row],[VEHIDCODE]]))</f>
        <v>Coach_Gen3_Steel_Lightweight_Intercity_Coach</v>
      </c>
      <c r="C7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0">
        <v>11021</v>
      </c>
      <c r="F740" s="30" t="s">
        <v>3570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ISNUMBER(MATCH(CONTROL[[#This Row],[VEHIDCODE]],TRACK_TYPES[VEHIDCODE],0))</f>
        <v>1</v>
      </c>
      <c r="K740" t="b">
        <f>ISNUMBER(MATCH(CONTROL[[#This Row],[VEHIDCODE]],PROPERTIES[VEHIDCODE],0))</f>
        <v>1</v>
      </c>
      <c r="L740" t="b">
        <f>ISNUMBER(MATCH(CONTROL[[#This Row],[VEHIDCODE]],GRAPHICS_PROPERTIES[VEHIDCODE],0))</f>
        <v>1</v>
      </c>
      <c r="M740" s="21" t="str">
        <f>"item_"&amp;CONTROL[[#This Row],[VEHIDCODE]]</f>
        <v>item_mu_Coach_Gen3_Steel_Lightweight_Intercity_Coach</v>
      </c>
      <c r="N740" s="21" t="str">
        <f>"str_"&amp;CONTROL[[#This Row],[VEHIDCODE]]</f>
        <v>str_mu_Coach_Gen3_Steel_Lightweight_Intercity_Coach</v>
      </c>
      <c r="O740" s="7" t="b">
        <f>INDEX(PROPERTIES[IS_CONCEPT],MATCH(CONTROL[[#This Row],[VEHIDCODE]],PROPERTIES[VEHIDCODE],0))="IS_CONCEPT"</f>
        <v>0</v>
      </c>
      <c r="P740" s="7" t="b">
        <f>INDEX(PROPERTIES[EXCLUDE],MATCH(CONTROL[[#This Row],[VEHIDCODE]],PROPERTIES[VEHIDCODE],0))</f>
        <v>0</v>
      </c>
      <c r="Q7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41" spans="1:17" x14ac:dyDescent="0.35">
      <c r="A741" s="2" t="s">
        <v>105</v>
      </c>
      <c r="B741" s="21" t="str">
        <f>MID(CONTROL[[#This Row],[VEHIDCODE]],FIND("_",CONTROL[[#This Row],[VEHIDCODE]])+1,LEN(CONTROL[[#This Row],[VEHIDCODE]]))</f>
        <v>Coach_Gen3_Steel_Lightweight_Regional_Coach</v>
      </c>
      <c r="C7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1">
        <v>11022</v>
      </c>
      <c r="F741" s="30" t="s">
        <v>3571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ISNUMBER(MATCH(CONTROL[[#This Row],[VEHIDCODE]],TRACK_TYPES[VEHIDCODE],0))</f>
        <v>1</v>
      </c>
      <c r="K741" t="b">
        <f>ISNUMBER(MATCH(CONTROL[[#This Row],[VEHIDCODE]],PROPERTIES[VEHIDCODE],0))</f>
        <v>1</v>
      </c>
      <c r="L741" t="b">
        <f>ISNUMBER(MATCH(CONTROL[[#This Row],[VEHIDCODE]],GRAPHICS_PROPERTIES[VEHIDCODE],0))</f>
        <v>1</v>
      </c>
      <c r="M741" s="21" t="str">
        <f>"item_"&amp;CONTROL[[#This Row],[VEHIDCODE]]</f>
        <v>item_mu_Coach_Gen3_Steel_Lightweight_Regional_Coach</v>
      </c>
      <c r="N741" s="21" t="str">
        <f>"str_"&amp;CONTROL[[#This Row],[VEHIDCODE]]</f>
        <v>str_mu_Coach_Gen3_Steel_Lightweight_Regional_Coach</v>
      </c>
      <c r="O741" s="7" t="b">
        <f>INDEX(PROPERTIES[IS_CONCEPT],MATCH(CONTROL[[#This Row],[VEHIDCODE]],PROPERTIES[VEHIDCODE],0))="IS_CONCEPT"</f>
        <v>0</v>
      </c>
      <c r="P741" s="7" t="b">
        <f>INDEX(PROPERTIES[EXCLUDE],MATCH(CONTROL[[#This Row],[VEHIDCODE]],PROPERTIES[VEHIDCODE],0))</f>
        <v>0</v>
      </c>
      <c r="Q7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2" spans="1:17" x14ac:dyDescent="0.35">
      <c r="A742" s="2" t="s">
        <v>106</v>
      </c>
      <c r="B742" s="21" t="str">
        <f>MID(CONTROL[[#This Row],[VEHIDCODE]],FIND("_",CONTROL[[#This Row],[VEHIDCODE]])+1,LEN(CONTROL[[#This Row],[VEHIDCODE]]))</f>
        <v>Coach_Gen3_Steel_Lightweight_Mail_Coach</v>
      </c>
      <c r="C7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2">
        <v>11023</v>
      </c>
      <c r="F742" s="30" t="s">
        <v>3572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ISNUMBER(MATCH(CONTROL[[#This Row],[VEHIDCODE]],TRACK_TYPES[VEHIDCODE],0))</f>
        <v>1</v>
      </c>
      <c r="K742" t="b">
        <f>ISNUMBER(MATCH(CONTROL[[#This Row],[VEHIDCODE]],PROPERTIES[VEHIDCODE],0))</f>
        <v>1</v>
      </c>
      <c r="L742" t="b">
        <f>ISNUMBER(MATCH(CONTROL[[#This Row],[VEHIDCODE]],GRAPHICS_PROPERTIES[VEHIDCODE],0))</f>
        <v>1</v>
      </c>
      <c r="M742" s="21" t="str">
        <f>"item_"&amp;CONTROL[[#This Row],[VEHIDCODE]]</f>
        <v>item_mu_Coach_Gen3_Steel_Lightweight_Mail_Coach</v>
      </c>
      <c r="N742" s="21" t="str">
        <f>"str_"&amp;CONTROL[[#This Row],[VEHIDCODE]]</f>
        <v>str_mu_Coach_Gen3_Steel_Lightweight_Mail_Coach</v>
      </c>
      <c r="O742" s="7" t="b">
        <f>INDEX(PROPERTIES[IS_CONCEPT],MATCH(CONTROL[[#This Row],[VEHIDCODE]],PROPERTIES[VEHIDCODE],0))="IS_CONCEPT"</f>
        <v>0</v>
      </c>
      <c r="P742" s="7" t="b">
        <f>INDEX(PROPERTIES[EXCLUDE],MATCH(CONTROL[[#This Row],[VEHIDCODE]],PROPERTIES[VEHIDCODE],0))</f>
        <v>0</v>
      </c>
      <c r="Q7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3" spans="1:17" x14ac:dyDescent="0.35">
      <c r="A743" s="2" t="s">
        <v>107</v>
      </c>
      <c r="B743" s="21" t="str">
        <f>MID(CONTROL[[#This Row],[VEHIDCODE]],FIND("_",CONTROL[[#This Row],[VEHIDCODE]])+1,LEN(CONTROL[[#This Row],[VEHIDCODE]]))</f>
        <v>Coach_Gen3_Aluminium_Lightweight_Intercity_Coach</v>
      </c>
      <c r="C7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3">
        <v>11024</v>
      </c>
      <c r="F743" s="30" t="s">
        <v>3559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ISNUMBER(MATCH(CONTROL[[#This Row],[VEHIDCODE]],TRACK_TYPES[VEHIDCODE],0))</f>
        <v>1</v>
      </c>
      <c r="K743" t="b">
        <f>ISNUMBER(MATCH(CONTROL[[#This Row],[VEHIDCODE]],PROPERTIES[VEHIDCODE],0))</f>
        <v>1</v>
      </c>
      <c r="L743" t="b">
        <f>ISNUMBER(MATCH(CONTROL[[#This Row],[VEHIDCODE]],GRAPHICS_PROPERTIES[VEHIDCODE],0))</f>
        <v>1</v>
      </c>
      <c r="M743" s="21" t="str">
        <f>"item_"&amp;CONTROL[[#This Row],[VEHIDCODE]]</f>
        <v>item_mu_Coach_Gen3_Aluminium_Lightweight_Intercity_Coach</v>
      </c>
      <c r="N743" s="21" t="str">
        <f>"str_"&amp;CONTROL[[#This Row],[VEHIDCODE]]</f>
        <v>str_mu_Coach_Gen3_Aluminium_Lightweight_Intercity_Coach</v>
      </c>
      <c r="O743" s="7" t="b">
        <f>INDEX(PROPERTIES[IS_CONCEPT],MATCH(CONTROL[[#This Row],[VEHIDCODE]],PROPERTIES[VEHIDCODE],0))="IS_CONCEPT"</f>
        <v>0</v>
      </c>
      <c r="P743" s="7" t="b">
        <f>INDEX(PROPERTIES[EXCLUDE],MATCH(CONTROL[[#This Row],[VEHIDCODE]],PROPERTIES[VEHIDCODE],0))</f>
        <v>0</v>
      </c>
      <c r="Q7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44" spans="1:17" x14ac:dyDescent="0.35">
      <c r="A744" s="2" t="s">
        <v>108</v>
      </c>
      <c r="B744" s="21" t="str">
        <f>MID(CONTROL[[#This Row],[VEHIDCODE]],FIND("_",CONTROL[[#This Row],[VEHIDCODE]])+1,LEN(CONTROL[[#This Row],[VEHIDCODE]]))</f>
        <v>Coach_Gen3_Aluminium_Lightweight_Regional_Coach</v>
      </c>
      <c r="C7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4">
        <v>11025</v>
      </c>
      <c r="F744" s="30" t="s">
        <v>3560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ISNUMBER(MATCH(CONTROL[[#This Row],[VEHIDCODE]],TRACK_TYPES[VEHIDCODE],0))</f>
        <v>1</v>
      </c>
      <c r="K744" t="b">
        <f>ISNUMBER(MATCH(CONTROL[[#This Row],[VEHIDCODE]],PROPERTIES[VEHIDCODE],0))</f>
        <v>1</v>
      </c>
      <c r="L744" t="b">
        <f>ISNUMBER(MATCH(CONTROL[[#This Row],[VEHIDCODE]],GRAPHICS_PROPERTIES[VEHIDCODE],0))</f>
        <v>1</v>
      </c>
      <c r="M744" s="21" t="str">
        <f>"item_"&amp;CONTROL[[#This Row],[VEHIDCODE]]</f>
        <v>item_mu_Coach_Gen3_Aluminium_Lightweight_Regional_Coach</v>
      </c>
      <c r="N744" s="21" t="str">
        <f>"str_"&amp;CONTROL[[#This Row],[VEHIDCODE]]</f>
        <v>str_mu_Coach_Gen3_Aluminium_Lightweight_Regional_Coach</v>
      </c>
      <c r="O744" s="7" t="b">
        <f>INDEX(PROPERTIES[IS_CONCEPT],MATCH(CONTROL[[#This Row],[VEHIDCODE]],PROPERTIES[VEHIDCODE],0))="IS_CONCEPT"</f>
        <v>0</v>
      </c>
      <c r="P744" s="7" t="b">
        <f>INDEX(PROPERTIES[EXCLUDE],MATCH(CONTROL[[#This Row],[VEHIDCODE]],PROPERTIES[VEHIDCODE],0))</f>
        <v>0</v>
      </c>
      <c r="Q7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45" spans="1:17" x14ac:dyDescent="0.35">
      <c r="A745" s="2" t="s">
        <v>109</v>
      </c>
      <c r="B745" s="21" t="str">
        <f>MID(CONTROL[[#This Row],[VEHIDCODE]],FIND("_",CONTROL[[#This Row],[VEHIDCODE]])+1,LEN(CONTROL[[#This Row],[VEHIDCODE]]))</f>
        <v>Coach_Gen3_Aluminium_Lightweight_Mail_Coach</v>
      </c>
      <c r="C7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5">
        <v>11026</v>
      </c>
      <c r="F745" s="30" t="s">
        <v>3561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ISNUMBER(MATCH(CONTROL[[#This Row],[VEHIDCODE]],TRACK_TYPES[VEHIDCODE],0))</f>
        <v>1</v>
      </c>
      <c r="K745" t="b">
        <f>ISNUMBER(MATCH(CONTROL[[#This Row],[VEHIDCODE]],PROPERTIES[VEHIDCODE],0))</f>
        <v>1</v>
      </c>
      <c r="L745" t="b">
        <f>ISNUMBER(MATCH(CONTROL[[#This Row],[VEHIDCODE]],GRAPHICS_PROPERTIES[VEHIDCODE],0))</f>
        <v>1</v>
      </c>
      <c r="M745" s="21" t="str">
        <f>"item_"&amp;CONTROL[[#This Row],[VEHIDCODE]]</f>
        <v>item_mu_Coach_Gen3_Aluminium_Lightweight_Mail_Coach</v>
      </c>
      <c r="N745" s="21" t="str">
        <f>"str_"&amp;CONTROL[[#This Row],[VEHIDCODE]]</f>
        <v>str_mu_Coach_Gen3_Aluminium_Lightweight_Mail_Coach</v>
      </c>
      <c r="O745" s="7" t="b">
        <f>INDEX(PROPERTIES[IS_CONCEPT],MATCH(CONTROL[[#This Row],[VEHIDCODE]],PROPERTIES[VEHIDCODE],0))="IS_CONCEPT"</f>
        <v>0</v>
      </c>
      <c r="P745" s="7" t="b">
        <f>INDEX(PROPERTIES[EXCLUDE],MATCH(CONTROL[[#This Row],[VEHIDCODE]],PROPERTIES[VEHIDCODE],0))</f>
        <v>0</v>
      </c>
      <c r="Q7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6" spans="1:17" x14ac:dyDescent="0.35">
      <c r="A746" s="2" t="s">
        <v>110</v>
      </c>
      <c r="B746" s="21" t="str">
        <f>MID(CONTROL[[#This Row],[VEHIDCODE]],FIND("_",CONTROL[[#This Row],[VEHIDCODE]])+1,LEN(CONTROL[[#This Row],[VEHIDCODE]]))</f>
        <v>Coach_Gen3_Gallery_Car</v>
      </c>
      <c r="C7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6">
        <v>11027</v>
      </c>
      <c r="F746" s="30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ISNUMBER(MATCH(CONTROL[[#This Row],[VEHIDCODE]],TRACK_TYPES[VEHIDCODE],0))</f>
        <v>1</v>
      </c>
      <c r="K746" t="b">
        <f>ISNUMBER(MATCH(CONTROL[[#This Row],[VEHIDCODE]],PROPERTIES[VEHIDCODE],0))</f>
        <v>1</v>
      </c>
      <c r="L746" t="b">
        <f>ISNUMBER(MATCH(CONTROL[[#This Row],[VEHIDCODE]],GRAPHICS_PROPERTIES[VEHIDCODE],0))</f>
        <v>1</v>
      </c>
      <c r="M746" s="21" t="str">
        <f>"item_"&amp;CONTROL[[#This Row],[VEHIDCODE]]</f>
        <v>item_mu_Coach_Gen3_Gallery_Car</v>
      </c>
      <c r="N746" s="21" t="str">
        <f>"str_"&amp;CONTROL[[#This Row],[VEHIDCODE]]</f>
        <v>str_mu_Coach_Gen3_Gallery_Car</v>
      </c>
      <c r="O746" s="7" t="b">
        <f>INDEX(PROPERTIES[IS_CONCEPT],MATCH(CONTROL[[#This Row],[VEHIDCODE]],PROPERTIES[VEHIDCODE],0))="IS_CONCEPT"</f>
        <v>0</v>
      </c>
      <c r="P746" s="7" t="b">
        <f>INDEX(PROPERTIES[EXCLUDE],MATCH(CONTROL[[#This Row],[VEHIDCODE]],PROPERTIES[VEHIDCODE],0))</f>
        <v>0</v>
      </c>
      <c r="Q7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7" spans="1:17" x14ac:dyDescent="0.35">
      <c r="A747" s="2" t="s">
        <v>111</v>
      </c>
      <c r="B747" s="21" t="str">
        <f>MID(CONTROL[[#This Row],[VEHIDCODE]],FIND("_",CONTROL[[#This Row],[VEHIDCODE]])+1,LEN(CONTROL[[#This Row],[VEHIDCODE]]))</f>
        <v>Coach_Gen3_Mk1_Intercity_Coach</v>
      </c>
      <c r="C7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7">
        <v>11028</v>
      </c>
      <c r="F747" s="30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ISNUMBER(MATCH(CONTROL[[#This Row],[VEHIDCODE]],TRACK_TYPES[VEHIDCODE],0))</f>
        <v>1</v>
      </c>
      <c r="K747" t="b">
        <f>ISNUMBER(MATCH(CONTROL[[#This Row],[VEHIDCODE]],PROPERTIES[VEHIDCODE],0))</f>
        <v>1</v>
      </c>
      <c r="L747" t="b">
        <f>ISNUMBER(MATCH(CONTROL[[#This Row],[VEHIDCODE]],GRAPHICS_PROPERTIES[VEHIDCODE],0))</f>
        <v>1</v>
      </c>
      <c r="M747" s="21" t="str">
        <f>"item_"&amp;CONTROL[[#This Row],[VEHIDCODE]]</f>
        <v>item_mu_Coach_Gen3_Mk1_Intercity_Coach</v>
      </c>
      <c r="N747" s="21" t="str">
        <f>"str_"&amp;CONTROL[[#This Row],[VEHIDCODE]]</f>
        <v>str_mu_Coach_Gen3_Mk1_Intercity_Coach</v>
      </c>
      <c r="O747" s="7" t="b">
        <f>INDEX(PROPERTIES[IS_CONCEPT],MATCH(CONTROL[[#This Row],[VEHIDCODE]],PROPERTIES[VEHIDCODE],0))="IS_CONCEPT"</f>
        <v>0</v>
      </c>
      <c r="P747" s="7" t="b">
        <f>INDEX(PROPERTIES[EXCLUDE],MATCH(CONTROL[[#This Row],[VEHIDCODE]],PROPERTIES[VEHIDCODE],0))</f>
        <v>0</v>
      </c>
      <c r="Q7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8" spans="1:17" x14ac:dyDescent="0.35">
      <c r="A748" s="2" t="s">
        <v>112</v>
      </c>
      <c r="B748" s="21" t="str">
        <f>MID(CONTROL[[#This Row],[VEHIDCODE]],FIND("_",CONTROL[[#This Row],[VEHIDCODE]])+1,LEN(CONTROL[[#This Row],[VEHIDCODE]]))</f>
        <v>Coach_Gen3_Mk1_Regional_Coach</v>
      </c>
      <c r="C7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8">
        <v>11029</v>
      </c>
      <c r="F748" s="30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ISNUMBER(MATCH(CONTROL[[#This Row],[VEHIDCODE]],TRACK_TYPES[VEHIDCODE],0))</f>
        <v>1</v>
      </c>
      <c r="K748" t="b">
        <f>ISNUMBER(MATCH(CONTROL[[#This Row],[VEHIDCODE]],PROPERTIES[VEHIDCODE],0))</f>
        <v>1</v>
      </c>
      <c r="L748" t="b">
        <f>ISNUMBER(MATCH(CONTROL[[#This Row],[VEHIDCODE]],GRAPHICS_PROPERTIES[VEHIDCODE],0))</f>
        <v>1</v>
      </c>
      <c r="M748" s="21" t="str">
        <f>"item_"&amp;CONTROL[[#This Row],[VEHIDCODE]]</f>
        <v>item_mu_Coach_Gen3_Mk1_Regional_Coach</v>
      </c>
      <c r="N748" s="21" t="str">
        <f>"str_"&amp;CONTROL[[#This Row],[VEHIDCODE]]</f>
        <v>str_mu_Coach_Gen3_Mk1_Regional_Coach</v>
      </c>
      <c r="O748" s="7" t="b">
        <f>INDEX(PROPERTIES[IS_CONCEPT],MATCH(CONTROL[[#This Row],[VEHIDCODE]],PROPERTIES[VEHIDCODE],0))="IS_CONCEPT"</f>
        <v>0</v>
      </c>
      <c r="P748" s="7" t="b">
        <f>INDEX(PROPERTIES[EXCLUDE],MATCH(CONTROL[[#This Row],[VEHIDCODE]],PROPERTIES[VEHIDCODE],0))</f>
        <v>0</v>
      </c>
      <c r="Q7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49" spans="1:17" x14ac:dyDescent="0.35">
      <c r="A749" s="2" t="s">
        <v>113</v>
      </c>
      <c r="B749" s="21" t="str">
        <f>MID(CONTROL[[#This Row],[VEHIDCODE]],FIND("_",CONTROL[[#This Row],[VEHIDCODE]])+1,LEN(CONTROL[[#This Row],[VEHIDCODE]]))</f>
        <v>Coach_Gen3_Mk1_Mail_Coach</v>
      </c>
      <c r="C7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49">
        <v>11030</v>
      </c>
      <c r="F749" s="30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ISNUMBER(MATCH(CONTROL[[#This Row],[VEHIDCODE]],TRACK_TYPES[VEHIDCODE],0))</f>
        <v>1</v>
      </c>
      <c r="K749" t="b">
        <f>ISNUMBER(MATCH(CONTROL[[#This Row],[VEHIDCODE]],PROPERTIES[VEHIDCODE],0))</f>
        <v>1</v>
      </c>
      <c r="L749" t="b">
        <f>ISNUMBER(MATCH(CONTROL[[#This Row],[VEHIDCODE]],GRAPHICS_PROPERTIES[VEHIDCODE],0))</f>
        <v>1</v>
      </c>
      <c r="M749" s="21" t="str">
        <f>"item_"&amp;CONTROL[[#This Row],[VEHIDCODE]]</f>
        <v>item_mu_Coach_Gen3_Mk1_Mail_Coach</v>
      </c>
      <c r="N749" s="21" t="str">
        <f>"str_"&amp;CONTROL[[#This Row],[VEHIDCODE]]</f>
        <v>str_mu_Coach_Gen3_Mk1_Mail_Coach</v>
      </c>
      <c r="O749" s="7" t="b">
        <f>INDEX(PROPERTIES[IS_CONCEPT],MATCH(CONTROL[[#This Row],[VEHIDCODE]],PROPERTIES[VEHIDCODE],0))="IS_CONCEPT"</f>
        <v>0</v>
      </c>
      <c r="P749" s="7" t="b">
        <f>INDEX(PROPERTIES[EXCLUDE],MATCH(CONTROL[[#This Row],[VEHIDCODE]],PROPERTIES[VEHIDCODE],0))</f>
        <v>0</v>
      </c>
      <c r="Q7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0" spans="1:17" x14ac:dyDescent="0.35">
      <c r="A750" s="2" t="s">
        <v>114</v>
      </c>
      <c r="B750" s="21" t="str">
        <f>MID(CONTROL[[#This Row],[VEHIDCODE]],FIND("_",CONTROL[[#This Row],[VEHIDCODE]])+1,LEN(CONTROL[[#This Row],[VEHIDCODE]]))</f>
        <v>Coach_Gen3_UIC_X_Intercity_Coach</v>
      </c>
      <c r="C7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0">
        <v>11031</v>
      </c>
      <c r="F750" s="30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ISNUMBER(MATCH(CONTROL[[#This Row],[VEHIDCODE]],TRACK_TYPES[VEHIDCODE],0))</f>
        <v>1</v>
      </c>
      <c r="K750" t="b">
        <f>ISNUMBER(MATCH(CONTROL[[#This Row],[VEHIDCODE]],PROPERTIES[VEHIDCODE],0))</f>
        <v>1</v>
      </c>
      <c r="L750" t="b">
        <f>ISNUMBER(MATCH(CONTROL[[#This Row],[VEHIDCODE]],GRAPHICS_PROPERTIES[VEHIDCODE],0))</f>
        <v>1</v>
      </c>
      <c r="M750" s="21" t="str">
        <f>"item_"&amp;CONTROL[[#This Row],[VEHIDCODE]]</f>
        <v>item_mu_Coach_Gen3_UIC_X_Intercity_Coach</v>
      </c>
      <c r="N750" s="21" t="str">
        <f>"str_"&amp;CONTROL[[#This Row],[VEHIDCODE]]</f>
        <v>str_mu_Coach_Gen3_UIC_X_Intercity_Coach</v>
      </c>
      <c r="O750" s="7" t="b">
        <f>INDEX(PROPERTIES[IS_CONCEPT],MATCH(CONTROL[[#This Row],[VEHIDCODE]],PROPERTIES[VEHIDCODE],0))="IS_CONCEPT"</f>
        <v>0</v>
      </c>
      <c r="P750" s="7" t="b">
        <f>INDEX(PROPERTIES[EXCLUDE],MATCH(CONTROL[[#This Row],[VEHIDCODE]],PROPERTIES[VEHIDCODE],0))</f>
        <v>0</v>
      </c>
      <c r="Q7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1" spans="1:17" x14ac:dyDescent="0.35">
      <c r="A751" s="2" t="s">
        <v>115</v>
      </c>
      <c r="B751" s="21" t="str">
        <f>MID(CONTROL[[#This Row],[VEHIDCODE]],FIND("_",CONTROL[[#This Row],[VEHIDCODE]])+1,LEN(CONTROL[[#This Row],[VEHIDCODE]]))</f>
        <v>Coach_Gen3_TEE_Intercity_Coach</v>
      </c>
      <c r="C7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1">
        <v>11032</v>
      </c>
      <c r="F751" s="30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ISNUMBER(MATCH(CONTROL[[#This Row],[VEHIDCODE]],TRACK_TYPES[VEHIDCODE],0))</f>
        <v>1</v>
      </c>
      <c r="K751" t="b">
        <f>ISNUMBER(MATCH(CONTROL[[#This Row],[VEHIDCODE]],PROPERTIES[VEHIDCODE],0))</f>
        <v>1</v>
      </c>
      <c r="L751" t="b">
        <f>ISNUMBER(MATCH(CONTROL[[#This Row],[VEHIDCODE]],GRAPHICS_PROPERTIES[VEHIDCODE],0))</f>
        <v>1</v>
      </c>
      <c r="M751" s="21" t="str">
        <f>"item_"&amp;CONTROL[[#This Row],[VEHIDCODE]]</f>
        <v>item_mu_Coach_Gen3_TEE_Intercity_Coach</v>
      </c>
      <c r="N751" s="21" t="str">
        <f>"str_"&amp;CONTROL[[#This Row],[VEHIDCODE]]</f>
        <v>str_mu_Coach_Gen3_TEE_Intercity_Coach</v>
      </c>
      <c r="O751" s="7" t="b">
        <f>INDEX(PROPERTIES[IS_CONCEPT],MATCH(CONTROL[[#This Row],[VEHIDCODE]],PROPERTIES[VEHIDCODE],0))="IS_CONCEPT"</f>
        <v>0</v>
      </c>
      <c r="P751" s="7" t="b">
        <f>INDEX(PROPERTIES[EXCLUDE],MATCH(CONTROL[[#This Row],[VEHIDCODE]],PROPERTIES[VEHIDCODE],0))</f>
        <v>0</v>
      </c>
      <c r="Q7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2" spans="1:17" x14ac:dyDescent="0.35">
      <c r="A752" s="2" t="s">
        <v>116</v>
      </c>
      <c r="B752" s="21" t="str">
        <f>MID(CONTROL[[#This Row],[VEHIDCODE]],FIND("_",CONTROL[[#This Row],[VEHIDCODE]])+1,LEN(CONTROL[[#This Row],[VEHIDCODE]]))</f>
        <v>Coach_Gen3_UIC_X_Regional_Coach</v>
      </c>
      <c r="C7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2">
        <v>11033</v>
      </c>
      <c r="F752" s="30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ISNUMBER(MATCH(CONTROL[[#This Row],[VEHIDCODE]],TRACK_TYPES[VEHIDCODE],0))</f>
        <v>1</v>
      </c>
      <c r="K752" t="b">
        <f>ISNUMBER(MATCH(CONTROL[[#This Row],[VEHIDCODE]],PROPERTIES[VEHIDCODE],0))</f>
        <v>1</v>
      </c>
      <c r="L752" t="b">
        <f>ISNUMBER(MATCH(CONTROL[[#This Row],[VEHIDCODE]],GRAPHICS_PROPERTIES[VEHIDCODE],0))</f>
        <v>1</v>
      </c>
      <c r="M752" s="21" t="str">
        <f>"item_"&amp;CONTROL[[#This Row],[VEHIDCODE]]</f>
        <v>item_mu_Coach_Gen3_UIC_X_Regional_Coach</v>
      </c>
      <c r="N752" s="21" t="str">
        <f>"str_"&amp;CONTROL[[#This Row],[VEHIDCODE]]</f>
        <v>str_mu_Coach_Gen3_UIC_X_Regional_Coach</v>
      </c>
      <c r="O752" s="7" t="b">
        <f>INDEX(PROPERTIES[IS_CONCEPT],MATCH(CONTROL[[#This Row],[VEHIDCODE]],PROPERTIES[VEHIDCODE],0))="IS_CONCEPT"</f>
        <v>0</v>
      </c>
      <c r="P752" s="7" t="b">
        <f>INDEX(PROPERTIES[EXCLUDE],MATCH(CONTROL[[#This Row],[VEHIDCODE]],PROPERTIES[VEHIDCODE],0))</f>
        <v>0</v>
      </c>
      <c r="Q7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3" spans="1:17" x14ac:dyDescent="0.35">
      <c r="A753" s="2" t="s">
        <v>117</v>
      </c>
      <c r="B753" s="21" t="str">
        <f>MID(CONTROL[[#This Row],[VEHIDCODE]],FIND("_",CONTROL[[#This Row],[VEHIDCODE]])+1,LEN(CONTROL[[#This Row],[VEHIDCODE]]))</f>
        <v>Coach_Gen3_Umbauwagen_Local_Coach</v>
      </c>
      <c r="C7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3">
        <v>11034</v>
      </c>
      <c r="F753" s="30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ISNUMBER(MATCH(CONTROL[[#This Row],[VEHIDCODE]],TRACK_TYPES[VEHIDCODE],0))</f>
        <v>1</v>
      </c>
      <c r="K753" t="b">
        <f>ISNUMBER(MATCH(CONTROL[[#This Row],[VEHIDCODE]],PROPERTIES[VEHIDCODE],0))</f>
        <v>1</v>
      </c>
      <c r="L753" t="b">
        <f>ISNUMBER(MATCH(CONTROL[[#This Row],[VEHIDCODE]],GRAPHICS_PROPERTIES[VEHIDCODE],0))</f>
        <v>1</v>
      </c>
      <c r="M753" s="21" t="str">
        <f>"item_"&amp;CONTROL[[#This Row],[VEHIDCODE]]</f>
        <v>item_mu_Coach_Gen3_Umbauwagen_Local_Coach</v>
      </c>
      <c r="N753" s="21" t="str">
        <f>"str_"&amp;CONTROL[[#This Row],[VEHIDCODE]]</f>
        <v>str_mu_Coach_Gen3_Umbauwagen_Local_Coach</v>
      </c>
      <c r="O753" s="7" t="b">
        <f>INDEX(PROPERTIES[IS_CONCEPT],MATCH(CONTROL[[#This Row],[VEHIDCODE]],PROPERTIES[VEHIDCODE],0))="IS_CONCEPT"</f>
        <v>0</v>
      </c>
      <c r="P753" s="7" t="b">
        <f>INDEX(PROPERTIES[EXCLUDE],MATCH(CONTROL[[#This Row],[VEHIDCODE]],PROPERTIES[VEHIDCODE],0))</f>
        <v>0</v>
      </c>
      <c r="Q7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4" spans="1:17" x14ac:dyDescent="0.35">
      <c r="A754" s="2" t="s">
        <v>3593</v>
      </c>
      <c r="B754" s="21" t="str">
        <f>MID(CONTROL[[#This Row],[VEHIDCODE]],FIND("_",CONTROL[[#This Row],[VEHIDCODE]])+1,LEN(CONTROL[[#This Row],[VEHIDCODE]]))</f>
        <v>Coach_Gen4_Doppelstockwagen_Local_Coach</v>
      </c>
      <c r="C7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4">
        <v>11035</v>
      </c>
      <c r="F754" s="30" t="s">
        <v>3594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ISNUMBER(MATCH(CONTROL[[#This Row],[VEHIDCODE]],TRACK_TYPES[VEHIDCODE],0))</f>
        <v>1</v>
      </c>
      <c r="K754" t="b">
        <f>ISNUMBER(MATCH(CONTROL[[#This Row],[VEHIDCODE]],PROPERTIES[VEHIDCODE],0))</f>
        <v>1</v>
      </c>
      <c r="L754" t="b">
        <f>ISNUMBER(MATCH(CONTROL[[#This Row],[VEHIDCODE]],GRAPHICS_PROPERTIES[VEHIDCODE],0))</f>
        <v>1</v>
      </c>
      <c r="M754" s="21" t="str">
        <f>"item_"&amp;CONTROL[[#This Row],[VEHIDCODE]]</f>
        <v>item_mu_Coach_Gen4_Doppelstockwagen_Local_Coach</v>
      </c>
      <c r="N754" s="21" t="str">
        <f>"str_"&amp;CONTROL[[#This Row],[VEHIDCODE]]</f>
        <v>str_mu_Coach_Gen4_Doppelstockwagen_Local_Coach</v>
      </c>
      <c r="O754" s="7" t="b">
        <f>INDEX(PROPERTIES[IS_CONCEPT],MATCH(CONTROL[[#This Row],[VEHIDCODE]],PROPERTIES[VEHIDCODE],0))="IS_CONCEPT"</f>
        <v>0</v>
      </c>
      <c r="P754" s="7" t="b">
        <f>INDEX(PROPERTIES[EXCLUDE],MATCH(CONTROL[[#This Row],[VEHIDCODE]],PROPERTIES[VEHIDCODE],0))</f>
        <v>0</v>
      </c>
      <c r="Q7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5" spans="1:17" x14ac:dyDescent="0.35">
      <c r="A755" s="2" t="s">
        <v>118</v>
      </c>
      <c r="B755" s="21" t="str">
        <f>MID(CONTROL[[#This Row],[VEHIDCODE]],FIND("_",CONTROL[[#This Row],[VEHIDCODE]])+1,LEN(CONTROL[[#This Row],[VEHIDCODE]]))</f>
        <v>Coach_Gen3_UIC_X_Mail_Coach</v>
      </c>
      <c r="C7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5">
        <v>11036</v>
      </c>
      <c r="F755" s="30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ISNUMBER(MATCH(CONTROL[[#This Row],[VEHIDCODE]],TRACK_TYPES[VEHIDCODE],0))</f>
        <v>1</v>
      </c>
      <c r="K755" t="b">
        <f>ISNUMBER(MATCH(CONTROL[[#This Row],[VEHIDCODE]],PROPERTIES[VEHIDCODE],0))</f>
        <v>1</v>
      </c>
      <c r="L755" t="b">
        <f>ISNUMBER(MATCH(CONTROL[[#This Row],[VEHIDCODE]],GRAPHICS_PROPERTIES[VEHIDCODE],0))</f>
        <v>1</v>
      </c>
      <c r="M755" s="21" t="str">
        <f>"item_"&amp;CONTROL[[#This Row],[VEHIDCODE]]</f>
        <v>item_mu_Coach_Gen3_UIC_X_Mail_Coach</v>
      </c>
      <c r="N755" s="21" t="str">
        <f>"str_"&amp;CONTROL[[#This Row],[VEHIDCODE]]</f>
        <v>str_mu_Coach_Gen3_UIC_X_Mail_Coach</v>
      </c>
      <c r="O755" s="7" t="b">
        <f>INDEX(PROPERTIES[IS_CONCEPT],MATCH(CONTROL[[#This Row],[VEHIDCODE]],PROPERTIES[VEHIDCODE],0))="IS_CONCEPT"</f>
        <v>0</v>
      </c>
      <c r="P755" s="7" t="b">
        <f>INDEX(PROPERTIES[EXCLUDE],MATCH(CONTROL[[#This Row],[VEHIDCODE]],PROPERTIES[VEHIDCODE],0))</f>
        <v>0</v>
      </c>
      <c r="Q7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6" spans="1:17" x14ac:dyDescent="0.35">
      <c r="A756" s="2" t="s">
        <v>119</v>
      </c>
      <c r="B756" s="21" t="str">
        <f>MID(CONTROL[[#This Row],[VEHIDCODE]],FIND("_",CONTROL[[#This Row],[VEHIDCODE]])+1,LEN(CONTROL[[#This Row],[VEHIDCODE]]))</f>
        <v>Coach_Gen3_Indian_Intercity_Coach</v>
      </c>
      <c r="C7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6">
        <v>11037</v>
      </c>
      <c r="F756" s="30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ISNUMBER(MATCH(CONTROL[[#This Row],[VEHIDCODE]],TRACK_TYPES[VEHIDCODE],0))</f>
        <v>1</v>
      </c>
      <c r="K756" t="b">
        <f>ISNUMBER(MATCH(CONTROL[[#This Row],[VEHIDCODE]],PROPERTIES[VEHIDCODE],0))</f>
        <v>1</v>
      </c>
      <c r="L756" t="b">
        <f>ISNUMBER(MATCH(CONTROL[[#This Row],[VEHIDCODE]],GRAPHICS_PROPERTIES[VEHIDCODE],0))</f>
        <v>1</v>
      </c>
      <c r="M756" s="21" t="str">
        <f>"item_"&amp;CONTROL[[#This Row],[VEHIDCODE]]</f>
        <v>item_mu_Coach_Gen3_Indian_Intercity_Coach</v>
      </c>
      <c r="N756" s="21" t="str">
        <f>"str_"&amp;CONTROL[[#This Row],[VEHIDCODE]]</f>
        <v>str_mu_Coach_Gen3_Indian_Intercity_Coach</v>
      </c>
      <c r="O756" s="7" t="b">
        <f>INDEX(PROPERTIES[IS_CONCEPT],MATCH(CONTROL[[#This Row],[VEHIDCODE]],PROPERTIES[VEHIDCODE],0))="IS_CONCEPT"</f>
        <v>0</v>
      </c>
      <c r="P756" s="7" t="b">
        <f>INDEX(PROPERTIES[EXCLUDE],MATCH(CONTROL[[#This Row],[VEHIDCODE]],PROPERTIES[VEHIDCODE],0))</f>
        <v>0</v>
      </c>
      <c r="Q7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57" spans="1:17" x14ac:dyDescent="0.35">
      <c r="A757" s="2" t="s">
        <v>120</v>
      </c>
      <c r="B757" s="21" t="str">
        <f>MID(CONTROL[[#This Row],[VEHIDCODE]],FIND("_",CONTROL[[#This Row],[VEHIDCODE]])+1,LEN(CONTROL[[#This Row],[VEHIDCODE]]))</f>
        <v>Coach_Gen3_Indian_Local_Coach</v>
      </c>
      <c r="C7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7">
        <v>11038</v>
      </c>
      <c r="F757" s="30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ISNUMBER(MATCH(CONTROL[[#This Row],[VEHIDCODE]],TRACK_TYPES[VEHIDCODE],0))</f>
        <v>1</v>
      </c>
      <c r="K757" t="b">
        <f>ISNUMBER(MATCH(CONTROL[[#This Row],[VEHIDCODE]],PROPERTIES[VEHIDCODE],0))</f>
        <v>1</v>
      </c>
      <c r="L757" t="b">
        <f>ISNUMBER(MATCH(CONTROL[[#This Row],[VEHIDCODE]],GRAPHICS_PROPERTIES[VEHIDCODE],0))</f>
        <v>1</v>
      </c>
      <c r="M757" s="21" t="str">
        <f>"item_"&amp;CONTROL[[#This Row],[VEHIDCODE]]</f>
        <v>item_mu_Coach_Gen3_Indian_Local_Coach</v>
      </c>
      <c r="N757" s="21" t="str">
        <f>"str_"&amp;CONTROL[[#This Row],[VEHIDCODE]]</f>
        <v>str_mu_Coach_Gen3_Indian_Local_Coach</v>
      </c>
      <c r="O757" s="7" t="b">
        <f>INDEX(PROPERTIES[IS_CONCEPT],MATCH(CONTROL[[#This Row],[VEHIDCODE]],PROPERTIES[VEHIDCODE],0))="IS_CONCEPT"</f>
        <v>0</v>
      </c>
      <c r="P757" s="7" t="b">
        <f>INDEX(PROPERTIES[EXCLUDE],MATCH(CONTROL[[#This Row],[VEHIDCODE]],PROPERTIES[VEHIDCODE],0))</f>
        <v>0</v>
      </c>
      <c r="Q7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58" spans="1:17" x14ac:dyDescent="0.35">
      <c r="A758" s="2" t="s">
        <v>121</v>
      </c>
      <c r="B758" s="21" t="str">
        <f>MID(CONTROL[[#This Row],[VEHIDCODE]],FIND("_",CONTROL[[#This Row],[VEHIDCODE]])+1,LEN(CONTROL[[#This Row],[VEHIDCODE]]))</f>
        <v>Coach_Gen3_Indian_Regional_Coach</v>
      </c>
      <c r="C7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8">
        <v>11039</v>
      </c>
      <c r="F758" s="30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ISNUMBER(MATCH(CONTROL[[#This Row],[VEHIDCODE]],TRACK_TYPES[VEHIDCODE],0))</f>
        <v>1</v>
      </c>
      <c r="K758" t="b">
        <f>ISNUMBER(MATCH(CONTROL[[#This Row],[VEHIDCODE]],PROPERTIES[VEHIDCODE],0))</f>
        <v>1</v>
      </c>
      <c r="L758" t="b">
        <f>ISNUMBER(MATCH(CONTROL[[#This Row],[VEHIDCODE]],GRAPHICS_PROPERTIES[VEHIDCODE],0))</f>
        <v>1</v>
      </c>
      <c r="M758" s="21" t="str">
        <f>"item_"&amp;CONTROL[[#This Row],[VEHIDCODE]]</f>
        <v>item_mu_Coach_Gen3_Indian_Regional_Coach</v>
      </c>
      <c r="N758" s="21" t="str">
        <f>"str_"&amp;CONTROL[[#This Row],[VEHIDCODE]]</f>
        <v>str_mu_Coach_Gen3_Indian_Regional_Coach</v>
      </c>
      <c r="O758" s="7" t="b">
        <f>INDEX(PROPERTIES[IS_CONCEPT],MATCH(CONTROL[[#This Row],[VEHIDCODE]],PROPERTIES[VEHIDCODE],0))="IS_CONCEPT"</f>
        <v>0</v>
      </c>
      <c r="P758" s="7" t="b">
        <f>INDEX(PROPERTIES[EXCLUDE],MATCH(CONTROL[[#This Row],[VEHIDCODE]],PROPERTIES[VEHIDCODE],0))</f>
        <v>0</v>
      </c>
      <c r="Q7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759" spans="1:17" x14ac:dyDescent="0.35">
      <c r="A759" s="2" t="s">
        <v>122</v>
      </c>
      <c r="B759" s="21" t="str">
        <f>MID(CONTROL[[#This Row],[VEHIDCODE]],FIND("_",CONTROL[[#This Row],[VEHIDCODE]])+1,LEN(CONTROL[[#This Row],[VEHIDCODE]]))</f>
        <v>Coach_Gen3_Indian_Mail_Coach</v>
      </c>
      <c r="C7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7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59">
        <v>11040</v>
      </c>
      <c r="F759" s="30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ISNUMBER(MATCH(CONTROL[[#This Row],[VEHIDCODE]],TRACK_TYPES[VEHIDCODE],0))</f>
        <v>1</v>
      </c>
      <c r="K759" t="b">
        <f>ISNUMBER(MATCH(CONTROL[[#This Row],[VEHIDCODE]],PROPERTIES[VEHIDCODE],0))</f>
        <v>1</v>
      </c>
      <c r="L759" t="b">
        <f>ISNUMBER(MATCH(CONTROL[[#This Row],[VEHIDCODE]],GRAPHICS_PROPERTIES[VEHIDCODE],0))</f>
        <v>1</v>
      </c>
      <c r="M759" s="21" t="str">
        <f>"item_"&amp;CONTROL[[#This Row],[VEHIDCODE]]</f>
        <v>item_mu_Coach_Gen3_Indian_Mail_Coach</v>
      </c>
      <c r="N759" s="21" t="str">
        <f>"str_"&amp;CONTROL[[#This Row],[VEHIDCODE]]</f>
        <v>str_mu_Coach_Gen3_Indian_Mail_Coach</v>
      </c>
      <c r="O759" s="7" t="b">
        <f>INDEX(PROPERTIES[IS_CONCEPT],MATCH(CONTROL[[#This Row],[VEHIDCODE]],PROPERTIES[VEHIDCODE],0))="IS_CONCEPT"</f>
        <v>0</v>
      </c>
      <c r="P759" s="7" t="b">
        <f>INDEX(PROPERTIES[EXCLUDE],MATCH(CONTROL[[#This Row],[VEHIDCODE]],PROPERTIES[VEHIDCODE],0))</f>
        <v>0</v>
      </c>
      <c r="Q7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0" spans="1:17" x14ac:dyDescent="0.35">
      <c r="A760" s="2" t="s">
        <v>123</v>
      </c>
      <c r="B760" s="21" t="str">
        <f>MID(CONTROL[[#This Row],[VEHIDCODE]],FIND("_",CONTROL[[#This Row],[VEHIDCODE]])+1,LEN(CONTROL[[#This Row],[VEHIDCODE]]))</f>
        <v>Coach_Gen4_Eurofima_Intercity_Coach</v>
      </c>
      <c r="C7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0">
        <v>11041</v>
      </c>
      <c r="F760" s="30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ISNUMBER(MATCH(CONTROL[[#This Row],[VEHIDCODE]],TRACK_TYPES[VEHIDCODE],0))</f>
        <v>1</v>
      </c>
      <c r="K760" t="b">
        <f>ISNUMBER(MATCH(CONTROL[[#This Row],[VEHIDCODE]],PROPERTIES[VEHIDCODE],0))</f>
        <v>1</v>
      </c>
      <c r="L760" t="b">
        <f>ISNUMBER(MATCH(CONTROL[[#This Row],[VEHIDCODE]],GRAPHICS_PROPERTIES[VEHIDCODE],0))</f>
        <v>1</v>
      </c>
      <c r="M760" s="21" t="str">
        <f>"item_"&amp;CONTROL[[#This Row],[VEHIDCODE]]</f>
        <v>item_mu_Coach_Gen4_Eurofima_Intercity_Coach</v>
      </c>
      <c r="N760" s="21" t="str">
        <f>"str_"&amp;CONTROL[[#This Row],[VEHIDCODE]]</f>
        <v>str_mu_Coach_Gen4_Eurofima_Intercity_Coach</v>
      </c>
      <c r="O760" s="7" t="b">
        <f>INDEX(PROPERTIES[IS_CONCEPT],MATCH(CONTROL[[#This Row],[VEHIDCODE]],PROPERTIES[VEHIDCODE],0))="IS_CONCEPT"</f>
        <v>0</v>
      </c>
      <c r="P760" s="7" t="b">
        <f>INDEX(PROPERTIES[EXCLUDE],MATCH(CONTROL[[#This Row],[VEHIDCODE]],PROPERTIES[VEHIDCODE],0))</f>
        <v>0</v>
      </c>
      <c r="Q7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1" spans="1:17" x14ac:dyDescent="0.35">
      <c r="A761" s="2" t="s">
        <v>124</v>
      </c>
      <c r="B761" s="21" t="str">
        <f>MID(CONTROL[[#This Row],[VEHIDCODE]],FIND("_",CONTROL[[#This Row],[VEHIDCODE]])+1,LEN(CONTROL[[#This Row],[VEHIDCODE]]))</f>
        <v>Coach_Gen4_InterRegio_Coach</v>
      </c>
      <c r="C7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1">
        <v>11042</v>
      </c>
      <c r="F761" s="30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ISNUMBER(MATCH(CONTROL[[#This Row],[VEHIDCODE]],TRACK_TYPES[VEHIDCODE],0))</f>
        <v>1</v>
      </c>
      <c r="K761" t="b">
        <f>ISNUMBER(MATCH(CONTROL[[#This Row],[VEHIDCODE]],PROPERTIES[VEHIDCODE],0))</f>
        <v>1</v>
      </c>
      <c r="L761" t="b">
        <f>ISNUMBER(MATCH(CONTROL[[#This Row],[VEHIDCODE]],GRAPHICS_PROPERTIES[VEHIDCODE],0))</f>
        <v>1</v>
      </c>
      <c r="M761" s="21" t="str">
        <f>"item_"&amp;CONTROL[[#This Row],[VEHIDCODE]]</f>
        <v>item_mu_Coach_Gen4_InterRegio_Coach</v>
      </c>
      <c r="N761" s="21" t="str">
        <f>"str_"&amp;CONTROL[[#This Row],[VEHIDCODE]]</f>
        <v>str_mu_Coach_Gen4_InterRegio_Coach</v>
      </c>
      <c r="O761" s="7" t="b">
        <f>INDEX(PROPERTIES[IS_CONCEPT],MATCH(CONTROL[[#This Row],[VEHIDCODE]],PROPERTIES[VEHIDCODE],0))="IS_CONCEPT"</f>
        <v>0</v>
      </c>
      <c r="P761" s="7" t="b">
        <f>INDEX(PROPERTIES[EXCLUDE],MATCH(CONTROL[[#This Row],[VEHIDCODE]],PROPERTIES[VEHIDCODE],0))</f>
        <v>0</v>
      </c>
      <c r="Q7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2" spans="1:17" x14ac:dyDescent="0.35">
      <c r="A762" s="2" t="s">
        <v>125</v>
      </c>
      <c r="B762" s="21" t="str">
        <f>MID(CONTROL[[#This Row],[VEHIDCODE]],FIND("_",CONTROL[[#This Row],[VEHIDCODE]])+1,LEN(CONTROL[[#This Row],[VEHIDCODE]]))</f>
        <v>Coach_Gen4_Silberling_Commuter_Coach</v>
      </c>
      <c r="C7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2">
        <v>11043</v>
      </c>
      <c r="F762" s="30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ISNUMBER(MATCH(CONTROL[[#This Row],[VEHIDCODE]],TRACK_TYPES[VEHIDCODE],0))</f>
        <v>1</v>
      </c>
      <c r="K762" t="b">
        <f>ISNUMBER(MATCH(CONTROL[[#This Row],[VEHIDCODE]],PROPERTIES[VEHIDCODE],0))</f>
        <v>1</v>
      </c>
      <c r="L762" t="b">
        <f>ISNUMBER(MATCH(CONTROL[[#This Row],[VEHIDCODE]],GRAPHICS_PROPERTIES[VEHIDCODE],0))</f>
        <v>1</v>
      </c>
      <c r="M762" s="21" t="str">
        <f>"item_"&amp;CONTROL[[#This Row],[VEHIDCODE]]</f>
        <v>item_mu_Coach_Gen4_Silberling_Commuter_Coach</v>
      </c>
      <c r="N762" s="21" t="str">
        <f>"str_"&amp;CONTROL[[#This Row],[VEHIDCODE]]</f>
        <v>str_mu_Coach_Gen4_Silberling_Commuter_Coach</v>
      </c>
      <c r="O762" s="7" t="b">
        <f>INDEX(PROPERTIES[IS_CONCEPT],MATCH(CONTROL[[#This Row],[VEHIDCODE]],PROPERTIES[VEHIDCODE],0))="IS_CONCEPT"</f>
        <v>0</v>
      </c>
      <c r="P762" s="7" t="b">
        <f>INDEX(PROPERTIES[EXCLUDE],MATCH(CONTROL[[#This Row],[VEHIDCODE]],PROPERTIES[VEHIDCODE],0))</f>
        <v>0</v>
      </c>
      <c r="Q7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3" spans="1:17" x14ac:dyDescent="0.35">
      <c r="A763" s="2" t="s">
        <v>126</v>
      </c>
      <c r="B763" s="21" t="str">
        <f>MID(CONTROL[[#This Row],[VEHIDCODE]],FIND("_",CONTROL[[#This Row],[VEHIDCODE]])+1,LEN(CONTROL[[#This Row],[VEHIDCODE]]))</f>
        <v>Coach_Gen4_Eurofima_Mail_Coach</v>
      </c>
      <c r="C7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3">
        <v>11044</v>
      </c>
      <c r="F763" s="30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ISNUMBER(MATCH(CONTROL[[#This Row],[VEHIDCODE]],TRACK_TYPES[VEHIDCODE],0))</f>
        <v>1</v>
      </c>
      <c r="K763" t="b">
        <f>ISNUMBER(MATCH(CONTROL[[#This Row],[VEHIDCODE]],PROPERTIES[VEHIDCODE],0))</f>
        <v>1</v>
      </c>
      <c r="L763" t="b">
        <f>ISNUMBER(MATCH(CONTROL[[#This Row],[VEHIDCODE]],GRAPHICS_PROPERTIES[VEHIDCODE],0))</f>
        <v>1</v>
      </c>
      <c r="M763" s="21" t="str">
        <f>"item_"&amp;CONTROL[[#This Row],[VEHIDCODE]]</f>
        <v>item_mu_Coach_Gen4_Eurofima_Mail_Coach</v>
      </c>
      <c r="N763" s="21" t="str">
        <f>"str_"&amp;CONTROL[[#This Row],[VEHIDCODE]]</f>
        <v>str_mu_Coach_Gen4_Eurofima_Mail_Coach</v>
      </c>
      <c r="O763" s="7" t="b">
        <f>INDEX(PROPERTIES[IS_CONCEPT],MATCH(CONTROL[[#This Row],[VEHIDCODE]],PROPERTIES[VEHIDCODE],0))="IS_CONCEPT"</f>
        <v>0</v>
      </c>
      <c r="P763" s="7" t="b">
        <f>INDEX(PROPERTIES[EXCLUDE],MATCH(CONTROL[[#This Row],[VEHIDCODE]],PROPERTIES[VEHIDCODE],0))</f>
        <v>0</v>
      </c>
      <c r="Q7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4" spans="1:17" x14ac:dyDescent="0.35">
      <c r="A764" s="2" t="s">
        <v>127</v>
      </c>
      <c r="B764" s="21" t="str">
        <f>MID(CONTROL[[#This Row],[VEHIDCODE]],FIND("_",CONTROL[[#This Row],[VEHIDCODE]])+1,LEN(CONTROL[[#This Row],[VEHIDCODE]]))</f>
        <v>Coach_Gen4_Double_Decker_Coach</v>
      </c>
      <c r="C7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4">
        <v>11045</v>
      </c>
      <c r="F764" s="30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ISNUMBER(MATCH(CONTROL[[#This Row],[VEHIDCODE]],TRACK_TYPES[VEHIDCODE],0))</f>
        <v>1</v>
      </c>
      <c r="K764" t="b">
        <f>ISNUMBER(MATCH(CONTROL[[#This Row],[VEHIDCODE]],PROPERTIES[VEHIDCODE],0))</f>
        <v>1</v>
      </c>
      <c r="L764" t="b">
        <f>ISNUMBER(MATCH(CONTROL[[#This Row],[VEHIDCODE]],GRAPHICS_PROPERTIES[VEHIDCODE],0))</f>
        <v>1</v>
      </c>
      <c r="M764" s="21" t="str">
        <f>"item_"&amp;CONTROL[[#This Row],[VEHIDCODE]]</f>
        <v>item_mu_Coach_Gen4_Double_Decker_Coach</v>
      </c>
      <c r="N764" s="21" t="str">
        <f>"str_"&amp;CONTROL[[#This Row],[VEHIDCODE]]</f>
        <v>str_mu_Coach_Gen4_Double_Decker_Coach</v>
      </c>
      <c r="O764" s="7" t="b">
        <f>INDEX(PROPERTIES[IS_CONCEPT],MATCH(CONTROL[[#This Row],[VEHIDCODE]],PROPERTIES[VEHIDCODE],0))="IS_CONCEPT"</f>
        <v>0</v>
      </c>
      <c r="P764" s="7" t="b">
        <f>INDEX(PROPERTIES[EXCLUDE],MATCH(CONTROL[[#This Row],[VEHIDCODE]],PROPERTIES[VEHIDCODE],0))</f>
        <v>0</v>
      </c>
      <c r="Q7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5" spans="1:17" x14ac:dyDescent="0.35">
      <c r="A765" s="2" t="s">
        <v>128</v>
      </c>
      <c r="B765" s="21" t="str">
        <f>MID(CONTROL[[#This Row],[VEHIDCODE]],FIND("_",CONTROL[[#This Row],[VEHIDCODE]])+1,LEN(CONTROL[[#This Row],[VEHIDCODE]]))</f>
        <v>Coach_Gen4_Russian_Intercity_Coach</v>
      </c>
      <c r="C7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5">
        <v>11046</v>
      </c>
      <c r="F765" s="30" t="s">
        <v>1922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ISNUMBER(MATCH(CONTROL[[#This Row],[VEHIDCODE]],TRACK_TYPES[VEHIDCODE],0))</f>
        <v>1</v>
      </c>
      <c r="K765" t="b">
        <f>ISNUMBER(MATCH(CONTROL[[#This Row],[VEHIDCODE]],PROPERTIES[VEHIDCODE],0))</f>
        <v>1</v>
      </c>
      <c r="L765" t="b">
        <f>ISNUMBER(MATCH(CONTROL[[#This Row],[VEHIDCODE]],GRAPHICS_PROPERTIES[VEHIDCODE],0))</f>
        <v>1</v>
      </c>
      <c r="M765" s="21" t="str">
        <f>"item_"&amp;CONTROL[[#This Row],[VEHIDCODE]]</f>
        <v>item_mu_Coach_Gen4_Russian_Intercity_Coach</v>
      </c>
      <c r="N765" s="21" t="str">
        <f>"str_"&amp;CONTROL[[#This Row],[VEHIDCODE]]</f>
        <v>str_mu_Coach_Gen4_Russian_Intercity_Coach</v>
      </c>
      <c r="O765" s="7" t="b">
        <f>INDEX(PROPERTIES[IS_CONCEPT],MATCH(CONTROL[[#This Row],[VEHIDCODE]],PROPERTIES[VEHIDCODE],0))="IS_CONCEPT"</f>
        <v>0</v>
      </c>
      <c r="P765" s="7" t="b">
        <f>INDEX(PROPERTIES[EXCLUDE],MATCH(CONTROL[[#This Row],[VEHIDCODE]],PROPERTIES[VEHIDCODE],0))</f>
        <v>0</v>
      </c>
      <c r="Q7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6" spans="1:17" x14ac:dyDescent="0.35">
      <c r="A766" s="2" t="s">
        <v>129</v>
      </c>
      <c r="B766" s="21" t="str">
        <f>MID(CONTROL[[#This Row],[VEHIDCODE]],FIND("_",CONTROL[[#This Row],[VEHIDCODE]])+1,LEN(CONTROL[[#This Row],[VEHIDCODE]]))</f>
        <v>Coach_Gen4_Russian_Regional_Coach</v>
      </c>
      <c r="C7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6">
        <v>11047</v>
      </c>
      <c r="F766" s="30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ISNUMBER(MATCH(CONTROL[[#This Row],[VEHIDCODE]],TRACK_TYPES[VEHIDCODE],0))</f>
        <v>1</v>
      </c>
      <c r="K766" t="b">
        <f>ISNUMBER(MATCH(CONTROL[[#This Row],[VEHIDCODE]],PROPERTIES[VEHIDCODE],0))</f>
        <v>1</v>
      </c>
      <c r="L766" t="b">
        <f>ISNUMBER(MATCH(CONTROL[[#This Row],[VEHIDCODE]],GRAPHICS_PROPERTIES[VEHIDCODE],0))</f>
        <v>1</v>
      </c>
      <c r="M766" s="21" t="str">
        <f>"item_"&amp;CONTROL[[#This Row],[VEHIDCODE]]</f>
        <v>item_mu_Coach_Gen4_Russian_Regional_Coach</v>
      </c>
      <c r="N766" s="21" t="str">
        <f>"str_"&amp;CONTROL[[#This Row],[VEHIDCODE]]</f>
        <v>str_mu_Coach_Gen4_Russian_Regional_Coach</v>
      </c>
      <c r="O766" s="7" t="b">
        <f>INDEX(PROPERTIES[IS_CONCEPT],MATCH(CONTROL[[#This Row],[VEHIDCODE]],PROPERTIES[VEHIDCODE],0))="IS_CONCEPT"</f>
        <v>0</v>
      </c>
      <c r="P766" s="7" t="b">
        <f>INDEX(PROPERTIES[EXCLUDE],MATCH(CONTROL[[#This Row],[VEHIDCODE]],PROPERTIES[VEHIDCODE],0))</f>
        <v>0</v>
      </c>
      <c r="Q7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7" spans="1:17" x14ac:dyDescent="0.35">
      <c r="A767" s="2" t="s">
        <v>130</v>
      </c>
      <c r="B767" s="21" t="str">
        <f>MID(CONTROL[[#This Row],[VEHIDCODE]],FIND("_",CONTROL[[#This Row],[VEHIDCODE]])+1,LEN(CONTROL[[#This Row],[VEHIDCODE]]))</f>
        <v>Coach_Gen4_Russian_Mail_Coach</v>
      </c>
      <c r="C7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7">
        <v>11048</v>
      </c>
      <c r="F767" s="30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ISNUMBER(MATCH(CONTROL[[#This Row],[VEHIDCODE]],TRACK_TYPES[VEHIDCODE],0))</f>
        <v>1</v>
      </c>
      <c r="K767" t="b">
        <f>ISNUMBER(MATCH(CONTROL[[#This Row],[VEHIDCODE]],PROPERTIES[VEHIDCODE],0))</f>
        <v>1</v>
      </c>
      <c r="L767" t="b">
        <f>ISNUMBER(MATCH(CONTROL[[#This Row],[VEHIDCODE]],GRAPHICS_PROPERTIES[VEHIDCODE],0))</f>
        <v>1</v>
      </c>
      <c r="M767" s="21" t="str">
        <f>"item_"&amp;CONTROL[[#This Row],[VEHIDCODE]]</f>
        <v>item_mu_Coach_Gen4_Russian_Mail_Coach</v>
      </c>
      <c r="N767" s="21" t="str">
        <f>"str_"&amp;CONTROL[[#This Row],[VEHIDCODE]]</f>
        <v>str_mu_Coach_Gen4_Russian_Mail_Coach</v>
      </c>
      <c r="O767" s="7" t="b">
        <f>INDEX(PROPERTIES[IS_CONCEPT],MATCH(CONTROL[[#This Row],[VEHIDCODE]],PROPERTIES[VEHIDCODE],0))="IS_CONCEPT"</f>
        <v>0</v>
      </c>
      <c r="P767" s="7" t="b">
        <f>INDEX(PROPERTIES[EXCLUDE],MATCH(CONTROL[[#This Row],[VEHIDCODE]],PROPERTIES[VEHIDCODE],0))</f>
        <v>0</v>
      </c>
      <c r="Q7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8" spans="1:17" x14ac:dyDescent="0.35">
      <c r="A768" s="2" t="s">
        <v>131</v>
      </c>
      <c r="B768" s="21" t="str">
        <f>MID(CONTROL[[#This Row],[VEHIDCODE]],FIND("_",CONTROL[[#This Row],[VEHIDCODE]])+1,LEN(CONTROL[[#This Row],[VEHIDCODE]]))</f>
        <v>Coach_Gen4_Superliner_Coach</v>
      </c>
      <c r="C7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8">
        <v>11049</v>
      </c>
      <c r="F768" s="30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ISNUMBER(MATCH(CONTROL[[#This Row],[VEHIDCODE]],TRACK_TYPES[VEHIDCODE],0))</f>
        <v>1</v>
      </c>
      <c r="K768" t="b">
        <f>ISNUMBER(MATCH(CONTROL[[#This Row],[VEHIDCODE]],PROPERTIES[VEHIDCODE],0))</f>
        <v>1</v>
      </c>
      <c r="L768" t="b">
        <f>ISNUMBER(MATCH(CONTROL[[#This Row],[VEHIDCODE]],GRAPHICS_PROPERTIES[VEHIDCODE],0))</f>
        <v>1</v>
      </c>
      <c r="M768" s="21" t="str">
        <f>"item_"&amp;CONTROL[[#This Row],[VEHIDCODE]]</f>
        <v>item_mu_Coach_Gen4_Superliner_Coach</v>
      </c>
      <c r="N768" s="21" t="str">
        <f>"str_"&amp;CONTROL[[#This Row],[VEHIDCODE]]</f>
        <v>str_mu_Coach_Gen4_Superliner_Coach</v>
      </c>
      <c r="O768" s="7" t="b">
        <f>INDEX(PROPERTIES[IS_CONCEPT],MATCH(CONTROL[[#This Row],[VEHIDCODE]],PROPERTIES[VEHIDCODE],0))="IS_CONCEPT"</f>
        <v>0</v>
      </c>
      <c r="P768" s="7" t="b">
        <f>INDEX(PROPERTIES[EXCLUDE],MATCH(CONTROL[[#This Row],[VEHIDCODE]],PROPERTIES[VEHIDCODE],0))</f>
        <v>0</v>
      </c>
      <c r="Q7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69" spans="1:17" x14ac:dyDescent="0.35">
      <c r="A769" s="2" t="s">
        <v>132</v>
      </c>
      <c r="B769" s="21" t="str">
        <f>MID(CONTROL[[#This Row],[VEHIDCODE]],FIND("_",CONTROL[[#This Row],[VEHIDCODE]])+1,LEN(CONTROL[[#This Row],[VEHIDCODE]]))</f>
        <v>Coach_Gen4_Superliner_California</v>
      </c>
      <c r="C7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69">
        <v>11050</v>
      </c>
      <c r="F769" s="30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ISNUMBER(MATCH(CONTROL[[#This Row],[VEHIDCODE]],TRACK_TYPES[VEHIDCODE],0))</f>
        <v>1</v>
      </c>
      <c r="K769" t="b">
        <f>ISNUMBER(MATCH(CONTROL[[#This Row],[VEHIDCODE]],PROPERTIES[VEHIDCODE],0))</f>
        <v>1</v>
      </c>
      <c r="L769" t="b">
        <f>ISNUMBER(MATCH(CONTROL[[#This Row],[VEHIDCODE]],GRAPHICS_PROPERTIES[VEHIDCODE],0))</f>
        <v>1</v>
      </c>
      <c r="M769" s="21" t="str">
        <f>"item_"&amp;CONTROL[[#This Row],[VEHIDCODE]]</f>
        <v>item_mu_Coach_Gen4_Superliner_California</v>
      </c>
      <c r="N769" s="21" t="str">
        <f>"str_"&amp;CONTROL[[#This Row],[VEHIDCODE]]</f>
        <v>str_mu_Coach_Gen4_Superliner_California</v>
      </c>
      <c r="O769" s="7" t="b">
        <f>INDEX(PROPERTIES[IS_CONCEPT],MATCH(CONTROL[[#This Row],[VEHIDCODE]],PROPERTIES[VEHIDCODE],0))="IS_CONCEPT"</f>
        <v>0</v>
      </c>
      <c r="P769" s="7" t="b">
        <f>INDEX(PROPERTIES[EXCLUDE],MATCH(CONTROL[[#This Row],[VEHIDCODE]],PROPERTIES[VEHIDCODE],0))</f>
        <v>0</v>
      </c>
      <c r="Q7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0" spans="1:17" x14ac:dyDescent="0.35">
      <c r="A770" s="2" t="s">
        <v>133</v>
      </c>
      <c r="B770" s="21" t="str">
        <f>MID(CONTROL[[#This Row],[VEHIDCODE]],FIND("_",CONTROL[[#This Row],[VEHIDCODE]])+1,LEN(CONTROL[[#This Row],[VEHIDCODE]]))</f>
        <v>Coach_Gen4_Amfleet_Regional_Coach</v>
      </c>
      <c r="C7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0">
        <v>11051</v>
      </c>
      <c r="F770" s="30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ISNUMBER(MATCH(CONTROL[[#This Row],[VEHIDCODE]],TRACK_TYPES[VEHIDCODE],0))</f>
        <v>1</v>
      </c>
      <c r="K770" t="b">
        <f>ISNUMBER(MATCH(CONTROL[[#This Row],[VEHIDCODE]],PROPERTIES[VEHIDCODE],0))</f>
        <v>1</v>
      </c>
      <c r="L770" t="b">
        <f>ISNUMBER(MATCH(CONTROL[[#This Row],[VEHIDCODE]],GRAPHICS_PROPERTIES[VEHIDCODE],0))</f>
        <v>1</v>
      </c>
      <c r="M770" s="21" t="str">
        <f>"item_"&amp;CONTROL[[#This Row],[VEHIDCODE]]</f>
        <v>item_mu_Coach_Gen4_Amfleet_Regional_Coach</v>
      </c>
      <c r="N770" s="21" t="str">
        <f>"str_"&amp;CONTROL[[#This Row],[VEHIDCODE]]</f>
        <v>str_mu_Coach_Gen4_Amfleet_Regional_Coach</v>
      </c>
      <c r="O770" s="7" t="b">
        <f>INDEX(PROPERTIES[IS_CONCEPT],MATCH(CONTROL[[#This Row],[VEHIDCODE]],PROPERTIES[VEHIDCODE],0))="IS_CONCEPT"</f>
        <v>0</v>
      </c>
      <c r="P770" s="7" t="b">
        <f>INDEX(PROPERTIES[EXCLUDE],MATCH(CONTROL[[#This Row],[VEHIDCODE]],PROPERTIES[VEHIDCODE],0))</f>
        <v>0</v>
      </c>
      <c r="Q7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1" spans="1:17" x14ac:dyDescent="0.35">
      <c r="A771" s="2" t="s">
        <v>134</v>
      </c>
      <c r="B771" s="21" t="str">
        <f>MID(CONTROL[[#This Row],[VEHIDCODE]],FIND("_",CONTROL[[#This Row],[VEHIDCODE]])+1,LEN(CONTROL[[#This Row],[VEHIDCODE]]))</f>
        <v>Coach_Gen4_Amfleet_Intercity_Coach</v>
      </c>
      <c r="C7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1">
        <v>11052</v>
      </c>
      <c r="F771" s="30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ISNUMBER(MATCH(CONTROL[[#This Row],[VEHIDCODE]],TRACK_TYPES[VEHIDCODE],0))</f>
        <v>1</v>
      </c>
      <c r="K771" t="b">
        <f>ISNUMBER(MATCH(CONTROL[[#This Row],[VEHIDCODE]],PROPERTIES[VEHIDCODE],0))</f>
        <v>1</v>
      </c>
      <c r="L771" t="b">
        <f>ISNUMBER(MATCH(CONTROL[[#This Row],[VEHIDCODE]],GRAPHICS_PROPERTIES[VEHIDCODE],0))</f>
        <v>1</v>
      </c>
      <c r="M771" s="21" t="str">
        <f>"item_"&amp;CONTROL[[#This Row],[VEHIDCODE]]</f>
        <v>item_mu_Coach_Gen4_Amfleet_Intercity_Coach</v>
      </c>
      <c r="N771" s="21" t="str">
        <f>"str_"&amp;CONTROL[[#This Row],[VEHIDCODE]]</f>
        <v>str_mu_Coach_Gen4_Amfleet_Intercity_Coach</v>
      </c>
      <c r="O771" s="7" t="b">
        <f>INDEX(PROPERTIES[IS_CONCEPT],MATCH(CONTROL[[#This Row],[VEHIDCODE]],PROPERTIES[VEHIDCODE],0))="IS_CONCEPT"</f>
        <v>0</v>
      </c>
      <c r="P771" s="7" t="b">
        <f>INDEX(PROPERTIES[EXCLUDE],MATCH(CONTROL[[#This Row],[VEHIDCODE]],PROPERTIES[VEHIDCODE],0))</f>
        <v>0</v>
      </c>
      <c r="Q7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2" spans="1:17" x14ac:dyDescent="0.35">
      <c r="A772" s="2" t="s">
        <v>135</v>
      </c>
      <c r="B772" s="21" t="str">
        <f>MID(CONTROL[[#This Row],[VEHIDCODE]],FIND("_",CONTROL[[#This Row],[VEHIDCODE]])+1,LEN(CONTROL[[#This Row],[VEHIDCODE]]))</f>
        <v>Coach_Gen4_Comet_Commuter_Coach</v>
      </c>
      <c r="C7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2">
        <v>11053</v>
      </c>
      <c r="F772" s="30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ISNUMBER(MATCH(CONTROL[[#This Row],[VEHIDCODE]],TRACK_TYPES[VEHIDCODE],0))</f>
        <v>1</v>
      </c>
      <c r="K772" t="b">
        <f>ISNUMBER(MATCH(CONTROL[[#This Row],[VEHIDCODE]],PROPERTIES[VEHIDCODE],0))</f>
        <v>1</v>
      </c>
      <c r="L772" t="b">
        <f>ISNUMBER(MATCH(CONTROL[[#This Row],[VEHIDCODE]],GRAPHICS_PROPERTIES[VEHIDCODE],0))</f>
        <v>1</v>
      </c>
      <c r="M772" s="21" t="str">
        <f>"item_"&amp;CONTROL[[#This Row],[VEHIDCODE]]</f>
        <v>item_mu_Coach_Gen4_Comet_Commuter_Coach</v>
      </c>
      <c r="N772" s="21" t="str">
        <f>"str_"&amp;CONTROL[[#This Row],[VEHIDCODE]]</f>
        <v>str_mu_Coach_Gen4_Comet_Commuter_Coach</v>
      </c>
      <c r="O772" s="7" t="b">
        <f>INDEX(PROPERTIES[IS_CONCEPT],MATCH(CONTROL[[#This Row],[VEHIDCODE]],PROPERTIES[VEHIDCODE],0))="IS_CONCEPT"</f>
        <v>0</v>
      </c>
      <c r="P772" s="7" t="b">
        <f>INDEX(PROPERTIES[EXCLUDE],MATCH(CONTROL[[#This Row],[VEHIDCODE]],PROPERTIES[VEHIDCODE],0))</f>
        <v>0</v>
      </c>
      <c r="Q7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3" spans="1:17" x14ac:dyDescent="0.35">
      <c r="A773" s="2" t="s">
        <v>136</v>
      </c>
      <c r="B773" s="21" t="str">
        <f>MID(CONTROL[[#This Row],[VEHIDCODE]],FIND("_",CONTROL[[#This Row],[VEHIDCODE]])+1,LEN(CONTROL[[#This Row],[VEHIDCODE]]))</f>
        <v>Coach_Gen4_Horizon_Regional_Coach</v>
      </c>
      <c r="C7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3">
        <v>11054</v>
      </c>
      <c r="F773" s="30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ISNUMBER(MATCH(CONTROL[[#This Row],[VEHIDCODE]],TRACK_TYPES[VEHIDCODE],0))</f>
        <v>1</v>
      </c>
      <c r="K773" t="b">
        <f>ISNUMBER(MATCH(CONTROL[[#This Row],[VEHIDCODE]],PROPERTIES[VEHIDCODE],0))</f>
        <v>1</v>
      </c>
      <c r="L773" t="b">
        <f>ISNUMBER(MATCH(CONTROL[[#This Row],[VEHIDCODE]],GRAPHICS_PROPERTIES[VEHIDCODE],0))</f>
        <v>1</v>
      </c>
      <c r="M773" s="21" t="str">
        <f>"item_"&amp;CONTROL[[#This Row],[VEHIDCODE]]</f>
        <v>item_mu_Coach_Gen4_Horizon_Regional_Coach</v>
      </c>
      <c r="N773" s="21" t="str">
        <f>"str_"&amp;CONTROL[[#This Row],[VEHIDCODE]]</f>
        <v>str_mu_Coach_Gen4_Horizon_Regional_Coach</v>
      </c>
      <c r="O773" s="7" t="b">
        <f>INDEX(PROPERTIES[IS_CONCEPT],MATCH(CONTROL[[#This Row],[VEHIDCODE]],PROPERTIES[VEHIDCODE],0))="IS_CONCEPT"</f>
        <v>0</v>
      </c>
      <c r="P773" s="7" t="b">
        <f>INDEX(PROPERTIES[EXCLUDE],MATCH(CONTROL[[#This Row],[VEHIDCODE]],PROPERTIES[VEHIDCODE],0))</f>
        <v>0</v>
      </c>
      <c r="Q7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4" spans="1:17" x14ac:dyDescent="0.35">
      <c r="A774" s="2" t="s">
        <v>137</v>
      </c>
      <c r="B774" s="21" t="str">
        <f>MID(CONTROL[[#This Row],[VEHIDCODE]],FIND("_",CONTROL[[#This Row],[VEHIDCODE]])+1,LEN(CONTROL[[#This Row],[VEHIDCODE]]))</f>
        <v>Coach_Gen4_Horizon_Baggage_Coach</v>
      </c>
      <c r="C7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4">
        <v>11055</v>
      </c>
      <c r="F774" s="30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ISNUMBER(MATCH(CONTROL[[#This Row],[VEHIDCODE]],TRACK_TYPES[VEHIDCODE],0))</f>
        <v>1</v>
      </c>
      <c r="K774" t="b">
        <f>ISNUMBER(MATCH(CONTROL[[#This Row],[VEHIDCODE]],PROPERTIES[VEHIDCODE],0))</f>
        <v>1</v>
      </c>
      <c r="L774" t="b">
        <f>ISNUMBER(MATCH(CONTROL[[#This Row],[VEHIDCODE]],GRAPHICS_PROPERTIES[VEHIDCODE],0))</f>
        <v>1</v>
      </c>
      <c r="M774" s="21" t="str">
        <f>"item_"&amp;CONTROL[[#This Row],[VEHIDCODE]]</f>
        <v>item_mu_Coach_Gen4_Horizon_Baggage_Coach</v>
      </c>
      <c r="N774" s="21" t="str">
        <f>"str_"&amp;CONTROL[[#This Row],[VEHIDCODE]]</f>
        <v>str_mu_Coach_Gen4_Horizon_Baggage_Coach</v>
      </c>
      <c r="O774" s="7" t="b">
        <f>INDEX(PROPERTIES[IS_CONCEPT],MATCH(CONTROL[[#This Row],[VEHIDCODE]],PROPERTIES[VEHIDCODE],0))="IS_CONCEPT"</f>
        <v>0</v>
      </c>
      <c r="P774" s="7" t="b">
        <f>INDEX(PROPERTIES[EXCLUDE],MATCH(CONTROL[[#This Row],[VEHIDCODE]],PROPERTIES[VEHIDCODE],0))</f>
        <v>0</v>
      </c>
      <c r="Q7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5" spans="1:17" x14ac:dyDescent="0.35">
      <c r="A775" s="2" t="s">
        <v>138</v>
      </c>
      <c r="B775" s="21" t="str">
        <f>MID(CONTROL[[#This Row],[VEHIDCODE]],FIND("_",CONTROL[[#This Row],[VEHIDCODE]])+1,LEN(CONTROL[[#This Row],[VEHIDCODE]]))</f>
        <v>Coach_Gen4_Bombardier_Bi_level</v>
      </c>
      <c r="C7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7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5">
        <v>11056</v>
      </c>
      <c r="F775" s="30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ISNUMBER(MATCH(CONTROL[[#This Row],[VEHIDCODE]],TRACK_TYPES[VEHIDCODE],0))</f>
        <v>1</v>
      </c>
      <c r="K775" t="b">
        <f>ISNUMBER(MATCH(CONTROL[[#This Row],[VEHIDCODE]],PROPERTIES[VEHIDCODE],0))</f>
        <v>1</v>
      </c>
      <c r="L775" t="b">
        <f>ISNUMBER(MATCH(CONTROL[[#This Row],[VEHIDCODE]],GRAPHICS_PROPERTIES[VEHIDCODE],0))</f>
        <v>1</v>
      </c>
      <c r="M775" s="21" t="str">
        <f>"item_"&amp;CONTROL[[#This Row],[VEHIDCODE]]</f>
        <v>item_mu_Coach_Gen4_Bombardier_Bi_level</v>
      </c>
      <c r="N775" s="21" t="str">
        <f>"str_"&amp;CONTROL[[#This Row],[VEHIDCODE]]</f>
        <v>str_mu_Coach_Gen4_Bombardier_Bi_level</v>
      </c>
      <c r="O775" s="7" t="b">
        <f>INDEX(PROPERTIES[IS_CONCEPT],MATCH(CONTROL[[#This Row],[VEHIDCODE]],PROPERTIES[VEHIDCODE],0))="IS_CONCEPT"</f>
        <v>0</v>
      </c>
      <c r="P775" s="7" t="b">
        <f>INDEX(PROPERTIES[EXCLUDE],MATCH(CONTROL[[#This Row],[VEHIDCODE]],PROPERTIES[VEHIDCODE],0))</f>
        <v>0</v>
      </c>
      <c r="Q7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6" spans="1:17" x14ac:dyDescent="0.35">
      <c r="A776" s="2" t="s">
        <v>139</v>
      </c>
      <c r="B776" s="21" t="str">
        <f>MID(CONTROL[[#This Row],[VEHIDCODE]],FIND("_",CONTROL[[#This Row],[VEHIDCODE]])+1,LEN(CONTROL[[#This Row],[VEHIDCODE]]))</f>
        <v>Coach_Gen5_High_Speed_Coach</v>
      </c>
      <c r="C7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6">
        <v>11057</v>
      </c>
      <c r="F776" s="30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ISNUMBER(MATCH(CONTROL[[#This Row],[VEHIDCODE]],TRACK_TYPES[VEHIDCODE],0))</f>
        <v>1</v>
      </c>
      <c r="K776" t="b">
        <f>ISNUMBER(MATCH(CONTROL[[#This Row],[VEHIDCODE]],PROPERTIES[VEHIDCODE],0))</f>
        <v>1</v>
      </c>
      <c r="L776" t="b">
        <f>ISNUMBER(MATCH(CONTROL[[#This Row],[VEHIDCODE]],GRAPHICS_PROPERTIES[VEHIDCODE],0))</f>
        <v>1</v>
      </c>
      <c r="M776" s="21" t="str">
        <f>"item_"&amp;CONTROL[[#This Row],[VEHIDCODE]]</f>
        <v>item_mu_Coach_Gen5_High_Speed_Coach</v>
      </c>
      <c r="N776" s="21" t="str">
        <f>"str_"&amp;CONTROL[[#This Row],[VEHIDCODE]]</f>
        <v>str_mu_Coach_Gen5_High_Speed_Coach</v>
      </c>
      <c r="O776" s="7" t="b">
        <f>INDEX(PROPERTIES[IS_CONCEPT],MATCH(CONTROL[[#This Row],[VEHIDCODE]],PROPERTIES[VEHIDCODE],0))="IS_CONCEPT"</f>
        <v>0</v>
      </c>
      <c r="P776" s="7" t="b">
        <f>INDEX(PROPERTIES[EXCLUDE],MATCH(CONTROL[[#This Row],[VEHIDCODE]],PROPERTIES[VEHIDCODE],0))</f>
        <v>0</v>
      </c>
      <c r="Q7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7" spans="1:17" x14ac:dyDescent="0.35">
      <c r="A777" s="2" t="s">
        <v>140</v>
      </c>
      <c r="B777" s="21" t="str">
        <f>MID(CONTROL[[#This Row],[VEHIDCODE]],FIND("_",CONTROL[[#This Row],[VEHIDCODE]])+1,LEN(CONTROL[[#This Row],[VEHIDCODE]]))</f>
        <v>Coach_Gen5_Modern_Regional_Coach</v>
      </c>
      <c r="C7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7">
        <v>11058</v>
      </c>
      <c r="F777" s="30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ISNUMBER(MATCH(CONTROL[[#This Row],[VEHIDCODE]],TRACK_TYPES[VEHIDCODE],0))</f>
        <v>1</v>
      </c>
      <c r="K777" t="b">
        <f>ISNUMBER(MATCH(CONTROL[[#This Row],[VEHIDCODE]],PROPERTIES[VEHIDCODE],0))</f>
        <v>1</v>
      </c>
      <c r="L777" t="b">
        <f>ISNUMBER(MATCH(CONTROL[[#This Row],[VEHIDCODE]],GRAPHICS_PROPERTIES[VEHIDCODE],0))</f>
        <v>1</v>
      </c>
      <c r="M777" s="21" t="str">
        <f>"item_"&amp;CONTROL[[#This Row],[VEHIDCODE]]</f>
        <v>item_mu_Coach_Gen5_Modern_Regional_Coach</v>
      </c>
      <c r="N777" s="21" t="str">
        <f>"str_"&amp;CONTROL[[#This Row],[VEHIDCODE]]</f>
        <v>str_mu_Coach_Gen5_Modern_Regional_Coach</v>
      </c>
      <c r="O777" s="7" t="b">
        <f>INDEX(PROPERTIES[IS_CONCEPT],MATCH(CONTROL[[#This Row],[VEHIDCODE]],PROPERTIES[VEHIDCODE],0))="IS_CONCEPT"</f>
        <v>0</v>
      </c>
      <c r="P777" s="7" t="b">
        <f>INDEX(PROPERTIES[EXCLUDE],MATCH(CONTROL[[#This Row],[VEHIDCODE]],PROPERTIES[VEHIDCODE],0))</f>
        <v>0</v>
      </c>
      <c r="Q7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8" spans="1:17" x14ac:dyDescent="0.35">
      <c r="A778" s="2" t="s">
        <v>141</v>
      </c>
      <c r="B778" s="21" t="str">
        <f>MID(CONTROL[[#This Row],[VEHIDCODE]],FIND("_",CONTROL[[#This Row],[VEHIDCODE]])+1,LEN(CONTROL[[#This Row],[VEHIDCODE]]))</f>
        <v>Coach_Gen5_Modern_Commuter_Coach</v>
      </c>
      <c r="C7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8">
        <v>11059</v>
      </c>
      <c r="F778" s="30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ISNUMBER(MATCH(CONTROL[[#This Row],[VEHIDCODE]],TRACK_TYPES[VEHIDCODE],0))</f>
        <v>1</v>
      </c>
      <c r="K778" t="b">
        <f>ISNUMBER(MATCH(CONTROL[[#This Row],[VEHIDCODE]],PROPERTIES[VEHIDCODE],0))</f>
        <v>1</v>
      </c>
      <c r="L778" t="b">
        <f>ISNUMBER(MATCH(CONTROL[[#This Row],[VEHIDCODE]],GRAPHICS_PROPERTIES[VEHIDCODE],0))</f>
        <v>1</v>
      </c>
      <c r="M778" s="21" t="str">
        <f>"item_"&amp;CONTROL[[#This Row],[VEHIDCODE]]</f>
        <v>item_mu_Coach_Gen5_Modern_Commuter_Coach</v>
      </c>
      <c r="N778" s="21" t="str">
        <f>"str_"&amp;CONTROL[[#This Row],[VEHIDCODE]]</f>
        <v>str_mu_Coach_Gen5_Modern_Commuter_Coach</v>
      </c>
      <c r="O778" s="7" t="b">
        <f>INDEX(PROPERTIES[IS_CONCEPT],MATCH(CONTROL[[#This Row],[VEHIDCODE]],PROPERTIES[VEHIDCODE],0))="IS_CONCEPT"</f>
        <v>0</v>
      </c>
      <c r="P778" s="7" t="b">
        <f>INDEX(PROPERTIES[EXCLUDE],MATCH(CONTROL[[#This Row],[VEHIDCODE]],PROPERTIES[VEHIDCODE],0))</f>
        <v>0</v>
      </c>
      <c r="Q7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79" spans="1:17" x14ac:dyDescent="0.35">
      <c r="A779" s="2" t="s">
        <v>142</v>
      </c>
      <c r="B779" s="21" t="str">
        <f>MID(CONTROL[[#This Row],[VEHIDCODE]],FIND("_",CONTROL[[#This Row],[VEHIDCODE]])+1,LEN(CONTROL[[#This Row],[VEHIDCODE]]))</f>
        <v>Coach_Gen5_Modern_Double_Decker_Coach</v>
      </c>
      <c r="C7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79">
        <v>11060</v>
      </c>
      <c r="F779" s="30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ISNUMBER(MATCH(CONTROL[[#This Row],[VEHIDCODE]],TRACK_TYPES[VEHIDCODE],0))</f>
        <v>1</v>
      </c>
      <c r="K779" t="b">
        <f>ISNUMBER(MATCH(CONTROL[[#This Row],[VEHIDCODE]],PROPERTIES[VEHIDCODE],0))</f>
        <v>1</v>
      </c>
      <c r="L779" t="b">
        <f>ISNUMBER(MATCH(CONTROL[[#This Row],[VEHIDCODE]],GRAPHICS_PROPERTIES[VEHIDCODE],0))</f>
        <v>1</v>
      </c>
      <c r="M779" s="21" t="str">
        <f>"item_"&amp;CONTROL[[#This Row],[VEHIDCODE]]</f>
        <v>item_mu_Coach_Gen5_Modern_Double_Decker_Coach</v>
      </c>
      <c r="N779" s="21" t="str">
        <f>"str_"&amp;CONTROL[[#This Row],[VEHIDCODE]]</f>
        <v>str_mu_Coach_Gen5_Modern_Double_Decker_Coach</v>
      </c>
      <c r="O779" s="7" t="b">
        <f>INDEX(PROPERTIES[IS_CONCEPT],MATCH(CONTROL[[#This Row],[VEHIDCODE]],PROPERTIES[VEHIDCODE],0))="IS_CONCEPT"</f>
        <v>0</v>
      </c>
      <c r="P779" s="7" t="b">
        <f>INDEX(PROPERTIES[EXCLUDE],MATCH(CONTROL[[#This Row],[VEHIDCODE]],PROPERTIES[VEHIDCODE],0))</f>
        <v>0</v>
      </c>
      <c r="Q7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0" spans="1:17" x14ac:dyDescent="0.35">
      <c r="A780" s="2" t="s">
        <v>143</v>
      </c>
      <c r="B780" s="21" t="str">
        <f>MID(CONTROL[[#This Row],[VEHIDCODE]],FIND("_",CONTROL[[#This Row],[VEHIDCODE]])+1,LEN(CONTROL[[#This Row],[VEHIDCODE]]))</f>
        <v>Coach_Gen5_High_Speed_Double_Decker_IC2000</v>
      </c>
      <c r="C7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0">
        <v>11061</v>
      </c>
      <c r="F780" s="30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ISNUMBER(MATCH(CONTROL[[#This Row],[VEHIDCODE]],TRACK_TYPES[VEHIDCODE],0))</f>
        <v>1</v>
      </c>
      <c r="K780" t="b">
        <f>ISNUMBER(MATCH(CONTROL[[#This Row],[VEHIDCODE]],PROPERTIES[VEHIDCODE],0))</f>
        <v>1</v>
      </c>
      <c r="L780" t="b">
        <f>ISNUMBER(MATCH(CONTROL[[#This Row],[VEHIDCODE]],GRAPHICS_PROPERTIES[VEHIDCODE],0))</f>
        <v>1</v>
      </c>
      <c r="M780" s="21" t="str">
        <f>"item_"&amp;CONTROL[[#This Row],[VEHIDCODE]]</f>
        <v>item_mu_Coach_Gen5_High_Speed_Double_Decker_IC2000</v>
      </c>
      <c r="N780" s="21" t="str">
        <f>"str_"&amp;CONTROL[[#This Row],[VEHIDCODE]]</f>
        <v>str_mu_Coach_Gen5_High_Speed_Double_Decker_IC2000</v>
      </c>
      <c r="O780" s="7" t="b">
        <f>INDEX(PROPERTIES[IS_CONCEPT],MATCH(CONTROL[[#This Row],[VEHIDCODE]],PROPERTIES[VEHIDCODE],0))="IS_CONCEPT"</f>
        <v>0</v>
      </c>
      <c r="P780" s="7" t="b">
        <f>INDEX(PROPERTIES[EXCLUDE],MATCH(CONTROL[[#This Row],[VEHIDCODE]],PROPERTIES[VEHIDCODE],0))</f>
        <v>0</v>
      </c>
      <c r="Q7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1" spans="1:17" x14ac:dyDescent="0.35">
      <c r="A781" s="2" t="s">
        <v>144</v>
      </c>
      <c r="B781" s="21" t="str">
        <f>MID(CONTROL[[#This Row],[VEHIDCODE]],FIND("_",CONTROL[[#This Row],[VEHIDCODE]])+1,LEN(CONTROL[[#This Row],[VEHIDCODE]]))</f>
        <v>Coach_Gen5_High_Speed_Mail_Coach</v>
      </c>
      <c r="C7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1">
        <v>11062</v>
      </c>
      <c r="F781" s="30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ISNUMBER(MATCH(CONTROL[[#This Row],[VEHIDCODE]],TRACK_TYPES[VEHIDCODE],0))</f>
        <v>1</v>
      </c>
      <c r="K781" t="b">
        <f>ISNUMBER(MATCH(CONTROL[[#This Row],[VEHIDCODE]],PROPERTIES[VEHIDCODE],0))</f>
        <v>1</v>
      </c>
      <c r="L781" t="b">
        <f>ISNUMBER(MATCH(CONTROL[[#This Row],[VEHIDCODE]],GRAPHICS_PROPERTIES[VEHIDCODE],0))</f>
        <v>1</v>
      </c>
      <c r="M781" s="21" t="str">
        <f>"item_"&amp;CONTROL[[#This Row],[VEHIDCODE]]</f>
        <v>item_mu_Coach_Gen5_High_Speed_Mail_Coach</v>
      </c>
      <c r="N781" s="21" t="str">
        <f>"str_"&amp;CONTROL[[#This Row],[VEHIDCODE]]</f>
        <v>str_mu_Coach_Gen5_High_Speed_Mail_Coach</v>
      </c>
      <c r="O781" s="7" t="b">
        <f>INDEX(PROPERTIES[IS_CONCEPT],MATCH(CONTROL[[#This Row],[VEHIDCODE]],PROPERTIES[VEHIDCODE],0))="IS_CONCEPT"</f>
        <v>0</v>
      </c>
      <c r="P781" s="7" t="b">
        <f>INDEX(PROPERTIES[EXCLUDE],MATCH(CONTROL[[#This Row],[VEHIDCODE]],PROPERTIES[VEHIDCODE],0))</f>
        <v>0</v>
      </c>
      <c r="Q7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2" spans="1:17" x14ac:dyDescent="0.35">
      <c r="A782" s="2" t="s">
        <v>145</v>
      </c>
      <c r="B782" s="21" t="str">
        <f>MID(CONTROL[[#This Row],[VEHIDCODE]],FIND("_",CONTROL[[#This Row],[VEHIDCODE]])+1,LEN(CONTROL[[#This Row],[VEHIDCODE]]))</f>
        <v>Coach_Gen5_Talgo_Pendular</v>
      </c>
      <c r="C7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2">
        <v>11063</v>
      </c>
      <c r="F782" s="30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ISNUMBER(MATCH(CONTROL[[#This Row],[VEHIDCODE]],TRACK_TYPES[VEHIDCODE],0))</f>
        <v>1</v>
      </c>
      <c r="K782" t="b">
        <f>ISNUMBER(MATCH(CONTROL[[#This Row],[VEHIDCODE]],PROPERTIES[VEHIDCODE],0))</f>
        <v>1</v>
      </c>
      <c r="L782" t="b">
        <f>ISNUMBER(MATCH(CONTROL[[#This Row],[VEHIDCODE]],GRAPHICS_PROPERTIES[VEHIDCODE],0))</f>
        <v>1</v>
      </c>
      <c r="M782" s="21" t="str">
        <f>"item_"&amp;CONTROL[[#This Row],[VEHIDCODE]]</f>
        <v>item_mu_Coach_Gen5_Talgo_Pendular</v>
      </c>
      <c r="N782" s="21" t="str">
        <f>"str_"&amp;CONTROL[[#This Row],[VEHIDCODE]]</f>
        <v>str_mu_Coach_Gen5_Talgo_Pendular</v>
      </c>
      <c r="O782" s="7" t="b">
        <f>INDEX(PROPERTIES[IS_CONCEPT],MATCH(CONTROL[[#This Row],[VEHIDCODE]],PROPERTIES[VEHIDCODE],0))="IS_CONCEPT"</f>
        <v>0</v>
      </c>
      <c r="P782" s="7" t="b">
        <f>INDEX(PROPERTIES[EXCLUDE],MATCH(CONTROL[[#This Row],[VEHIDCODE]],PROPERTIES[VEHIDCODE],0))</f>
        <v>0</v>
      </c>
      <c r="Q7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83" spans="1:17" x14ac:dyDescent="0.35">
      <c r="A783" s="2" t="s">
        <v>146</v>
      </c>
      <c r="B783" s="21" t="str">
        <f>MID(CONTROL[[#This Row],[VEHIDCODE]],FIND("_",CONTROL[[#This Row],[VEHIDCODE]])+1,LEN(CONTROL[[#This Row],[VEHIDCODE]]))</f>
        <v>Coach_Gen5_Talgo_Pendular_Mail</v>
      </c>
      <c r="C7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7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3">
        <v>11064</v>
      </c>
      <c r="F783" s="30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ISNUMBER(MATCH(CONTROL[[#This Row],[VEHIDCODE]],TRACK_TYPES[VEHIDCODE],0))</f>
        <v>1</v>
      </c>
      <c r="K783" t="b">
        <f>ISNUMBER(MATCH(CONTROL[[#This Row],[VEHIDCODE]],PROPERTIES[VEHIDCODE],0))</f>
        <v>1</v>
      </c>
      <c r="L783" t="b">
        <f>ISNUMBER(MATCH(CONTROL[[#This Row],[VEHIDCODE]],GRAPHICS_PROPERTIES[VEHIDCODE],0))</f>
        <v>1</v>
      </c>
      <c r="M783" s="21" t="str">
        <f>"item_"&amp;CONTROL[[#This Row],[VEHIDCODE]]</f>
        <v>item_mu_Coach_Gen5_Talgo_Pendular_Mail</v>
      </c>
      <c r="N783" s="21" t="str">
        <f>"str_"&amp;CONTROL[[#This Row],[VEHIDCODE]]</f>
        <v>str_mu_Coach_Gen5_Talgo_Pendular_Mail</v>
      </c>
      <c r="O783" s="7" t="b">
        <f>INDEX(PROPERTIES[IS_CONCEPT],MATCH(CONTROL[[#This Row],[VEHIDCODE]],PROPERTIES[VEHIDCODE],0))="IS_CONCEPT"</f>
        <v>0</v>
      </c>
      <c r="P783" s="7" t="b">
        <f>INDEX(PROPERTIES[EXCLUDE],MATCH(CONTROL[[#This Row],[VEHIDCODE]],PROPERTIES[VEHIDCODE],0))</f>
        <v>0</v>
      </c>
      <c r="Q7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784" spans="1:17" x14ac:dyDescent="0.35">
      <c r="A784" s="2" t="s">
        <v>147</v>
      </c>
      <c r="B784" s="21" t="str">
        <f>MID(CONTROL[[#This Row],[VEHIDCODE]],FIND("_",CONTROL[[#This Row],[VEHIDCODE]])+1,LEN(CONTROL[[#This Row],[VEHIDCODE]]))</f>
        <v>Coach_Gen6_Grand_Voyager_Coach</v>
      </c>
      <c r="C7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4">
        <v>11065</v>
      </c>
      <c r="F784" s="30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ISNUMBER(MATCH(CONTROL[[#This Row],[VEHIDCODE]],TRACK_TYPES[VEHIDCODE],0))</f>
        <v>1</v>
      </c>
      <c r="K784" t="b">
        <f>ISNUMBER(MATCH(CONTROL[[#This Row],[VEHIDCODE]],PROPERTIES[VEHIDCODE],0))</f>
        <v>1</v>
      </c>
      <c r="L784" t="b">
        <f>ISNUMBER(MATCH(CONTROL[[#This Row],[VEHIDCODE]],GRAPHICS_PROPERTIES[VEHIDCODE],0))</f>
        <v>1</v>
      </c>
      <c r="M784" s="21" t="str">
        <f>"item_"&amp;CONTROL[[#This Row],[VEHIDCODE]]</f>
        <v>item_mu_Coach_Gen6_Grand_Voyager_Coach</v>
      </c>
      <c r="N784" s="21" t="str">
        <f>"str_"&amp;CONTROL[[#This Row],[VEHIDCODE]]</f>
        <v>str_mu_Coach_Gen6_Grand_Voyager_Coach</v>
      </c>
      <c r="O784" s="7" t="b">
        <f>INDEX(PROPERTIES[IS_CONCEPT],MATCH(CONTROL[[#This Row],[VEHIDCODE]],PROPERTIES[VEHIDCODE],0))="IS_CONCEPT"</f>
        <v>0</v>
      </c>
      <c r="P784" s="7" t="b">
        <f>INDEX(PROPERTIES[EXCLUDE],MATCH(CONTROL[[#This Row],[VEHIDCODE]],PROPERTIES[VEHIDCODE],0))</f>
        <v>0</v>
      </c>
      <c r="Q7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5" spans="1:17" x14ac:dyDescent="0.35">
      <c r="A785" s="2" t="s">
        <v>148</v>
      </c>
      <c r="B785" s="21" t="str">
        <f>MID(CONTROL[[#This Row],[VEHIDCODE]],FIND("_",CONTROL[[#This Row],[VEHIDCODE]])+1,LEN(CONTROL[[#This Row],[VEHIDCODE]]))</f>
        <v>Coach_Gen6_Grand_Regio_Coach</v>
      </c>
      <c r="C7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5">
        <v>11066</v>
      </c>
      <c r="F785" s="30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ISNUMBER(MATCH(CONTROL[[#This Row],[VEHIDCODE]],TRACK_TYPES[VEHIDCODE],0))</f>
        <v>1</v>
      </c>
      <c r="K785" t="b">
        <f>ISNUMBER(MATCH(CONTROL[[#This Row],[VEHIDCODE]],PROPERTIES[VEHIDCODE],0))</f>
        <v>1</v>
      </c>
      <c r="L785" t="b">
        <f>ISNUMBER(MATCH(CONTROL[[#This Row],[VEHIDCODE]],GRAPHICS_PROPERTIES[VEHIDCODE],0))</f>
        <v>1</v>
      </c>
      <c r="M785" s="21" t="str">
        <f>"item_"&amp;CONTROL[[#This Row],[VEHIDCODE]]</f>
        <v>item_mu_Coach_Gen6_Grand_Regio_Coach</v>
      </c>
      <c r="N785" s="21" t="str">
        <f>"str_"&amp;CONTROL[[#This Row],[VEHIDCODE]]</f>
        <v>str_mu_Coach_Gen6_Grand_Regio_Coach</v>
      </c>
      <c r="O785" s="7" t="b">
        <f>INDEX(PROPERTIES[IS_CONCEPT],MATCH(CONTROL[[#This Row],[VEHIDCODE]],PROPERTIES[VEHIDCODE],0))="IS_CONCEPT"</f>
        <v>0</v>
      </c>
      <c r="P785" s="7" t="b">
        <f>INDEX(PROPERTIES[EXCLUDE],MATCH(CONTROL[[#This Row],[VEHIDCODE]],PROPERTIES[VEHIDCODE],0))</f>
        <v>0</v>
      </c>
      <c r="Q7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6" spans="1:17" x14ac:dyDescent="0.35">
      <c r="A786" s="2" t="s">
        <v>149</v>
      </c>
      <c r="B786" s="21" t="str">
        <f>MID(CONTROL[[#This Row],[VEHIDCODE]],FIND("_",CONTROL[[#This Row],[VEHIDCODE]])+1,LEN(CONTROL[[#This Row],[VEHIDCODE]]))</f>
        <v>Coach_Gen6_Metropolis_Coach</v>
      </c>
      <c r="C7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6">
        <v>11067</v>
      </c>
      <c r="F786" s="30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ISNUMBER(MATCH(CONTROL[[#This Row],[VEHIDCODE]],TRACK_TYPES[VEHIDCODE],0))</f>
        <v>1</v>
      </c>
      <c r="K786" t="b">
        <f>ISNUMBER(MATCH(CONTROL[[#This Row],[VEHIDCODE]],PROPERTIES[VEHIDCODE],0))</f>
        <v>1</v>
      </c>
      <c r="L786" t="b">
        <f>ISNUMBER(MATCH(CONTROL[[#This Row],[VEHIDCODE]],GRAPHICS_PROPERTIES[VEHIDCODE],0))</f>
        <v>1</v>
      </c>
      <c r="M786" s="21" t="str">
        <f>"item_"&amp;CONTROL[[#This Row],[VEHIDCODE]]</f>
        <v>item_mu_Coach_Gen6_Metropolis_Coach</v>
      </c>
      <c r="N786" s="21" t="str">
        <f>"str_"&amp;CONTROL[[#This Row],[VEHIDCODE]]</f>
        <v>str_mu_Coach_Gen6_Metropolis_Coach</v>
      </c>
      <c r="O786" s="7" t="b">
        <f>INDEX(PROPERTIES[IS_CONCEPT],MATCH(CONTROL[[#This Row],[VEHIDCODE]],PROPERTIES[VEHIDCODE],0))="IS_CONCEPT"</f>
        <v>0</v>
      </c>
      <c r="P786" s="7" t="b">
        <f>INDEX(PROPERTIES[EXCLUDE],MATCH(CONTROL[[#This Row],[VEHIDCODE]],PROPERTIES[VEHIDCODE],0))</f>
        <v>0</v>
      </c>
      <c r="Q7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7" spans="1:17" x14ac:dyDescent="0.35">
      <c r="A787" s="2" t="s">
        <v>150</v>
      </c>
      <c r="B787" s="21" t="str">
        <f>MID(CONTROL[[#This Row],[VEHIDCODE]],FIND("_",CONTROL[[#This Row],[VEHIDCODE]])+1,LEN(CONTROL[[#This Row],[VEHIDCODE]]))</f>
        <v>Coach_Gen6_Speedmail_Coach</v>
      </c>
      <c r="C7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7">
        <v>11068</v>
      </c>
      <c r="F787" s="30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ISNUMBER(MATCH(CONTROL[[#This Row],[VEHIDCODE]],TRACK_TYPES[VEHIDCODE],0))</f>
        <v>1</v>
      </c>
      <c r="K787" t="b">
        <f>ISNUMBER(MATCH(CONTROL[[#This Row],[VEHIDCODE]],PROPERTIES[VEHIDCODE],0))</f>
        <v>1</v>
      </c>
      <c r="L787" t="b">
        <f>ISNUMBER(MATCH(CONTROL[[#This Row],[VEHIDCODE]],GRAPHICS_PROPERTIES[VEHIDCODE],0))</f>
        <v>1</v>
      </c>
      <c r="M787" s="21" t="str">
        <f>"item_"&amp;CONTROL[[#This Row],[VEHIDCODE]]</f>
        <v>item_mu_Coach_Gen6_Speedmail_Coach</v>
      </c>
      <c r="N787" s="21" t="str">
        <f>"str_"&amp;CONTROL[[#This Row],[VEHIDCODE]]</f>
        <v>str_mu_Coach_Gen6_Speedmail_Coach</v>
      </c>
      <c r="O787" s="7" t="b">
        <f>INDEX(PROPERTIES[IS_CONCEPT],MATCH(CONTROL[[#This Row],[VEHIDCODE]],PROPERTIES[VEHIDCODE],0))="IS_CONCEPT"</f>
        <v>0</v>
      </c>
      <c r="P787" s="7" t="b">
        <f>INDEX(PROPERTIES[EXCLUDE],MATCH(CONTROL[[#This Row],[VEHIDCODE]],PROPERTIES[VEHIDCODE],0))</f>
        <v>0</v>
      </c>
      <c r="Q7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8" spans="1:17" x14ac:dyDescent="0.35">
      <c r="A788" s="2" t="s">
        <v>151</v>
      </c>
      <c r="B788" s="21" t="str">
        <f>MID(CONTROL[[#This Row],[VEHIDCODE]],FIND("_",CONTROL[[#This Row],[VEHIDCODE]])+1,LEN(CONTROL[[#This Row],[VEHIDCODE]]))</f>
        <v>Coach_Gen6_Super_Regio_Coach</v>
      </c>
      <c r="C7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8">
        <v>11069</v>
      </c>
      <c r="F788" s="30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ISNUMBER(MATCH(CONTROL[[#This Row],[VEHIDCODE]],TRACK_TYPES[VEHIDCODE],0))</f>
        <v>1</v>
      </c>
      <c r="K788" t="b">
        <f>ISNUMBER(MATCH(CONTROL[[#This Row],[VEHIDCODE]],PROPERTIES[VEHIDCODE],0))</f>
        <v>1</v>
      </c>
      <c r="L788" t="b">
        <f>ISNUMBER(MATCH(CONTROL[[#This Row],[VEHIDCODE]],GRAPHICS_PROPERTIES[VEHIDCODE],0))</f>
        <v>1</v>
      </c>
      <c r="M788" s="21" t="str">
        <f>"item_"&amp;CONTROL[[#This Row],[VEHIDCODE]]</f>
        <v>item_mu_Coach_Gen6_Super_Regio_Coach</v>
      </c>
      <c r="N788" s="21" t="str">
        <f>"str_"&amp;CONTROL[[#This Row],[VEHIDCODE]]</f>
        <v>str_mu_Coach_Gen6_Super_Regio_Coach</v>
      </c>
      <c r="O788" s="7" t="b">
        <f>INDEX(PROPERTIES[IS_CONCEPT],MATCH(CONTROL[[#This Row],[VEHIDCODE]],PROPERTIES[VEHIDCODE],0))="IS_CONCEPT"</f>
        <v>0</v>
      </c>
      <c r="P788" s="7" t="b">
        <f>INDEX(PROPERTIES[EXCLUDE],MATCH(CONTROL[[#This Row],[VEHIDCODE]],PROPERTIES[VEHIDCODE],0))</f>
        <v>0</v>
      </c>
      <c r="Q7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89" spans="1:17" x14ac:dyDescent="0.35">
      <c r="A789" s="2" t="s">
        <v>152</v>
      </c>
      <c r="B789" s="21" t="str">
        <f>MID(CONTROL[[#This Row],[VEHIDCODE]],FIND("_",CONTROL[[#This Row],[VEHIDCODE]])+1,LEN(CONTROL[[#This Row],[VEHIDCODE]]))</f>
        <v>Coach_Gen6_Super_Voyager_Coach</v>
      </c>
      <c r="C7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src\Coaches\Gen6</v>
      </c>
      <c r="D7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789">
        <v>11070</v>
      </c>
      <c r="F789" s="30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ISNUMBER(MATCH(CONTROL[[#This Row],[VEHIDCODE]],TRACK_TYPES[VEHIDCODE],0))</f>
        <v>1</v>
      </c>
      <c r="K789" t="b">
        <f>ISNUMBER(MATCH(CONTROL[[#This Row],[VEHIDCODE]],PROPERTIES[VEHIDCODE],0))</f>
        <v>1</v>
      </c>
      <c r="L789" t="b">
        <f>ISNUMBER(MATCH(CONTROL[[#This Row],[VEHIDCODE]],GRAPHICS_PROPERTIES[VEHIDCODE],0))</f>
        <v>1</v>
      </c>
      <c r="M789" s="21" t="str">
        <f>"item_"&amp;CONTROL[[#This Row],[VEHIDCODE]]</f>
        <v>item_mu_Coach_Gen6_Super_Voyager_Coach</v>
      </c>
      <c r="N789" s="21" t="str">
        <f>"str_"&amp;CONTROL[[#This Row],[VEHIDCODE]]</f>
        <v>str_mu_Coach_Gen6_Super_Voyager_Coach</v>
      </c>
      <c r="O789" s="7" t="b">
        <f>INDEX(PROPERTIES[IS_CONCEPT],MATCH(CONTROL[[#This Row],[VEHIDCODE]],PROPERTIES[VEHIDCODE],0))="IS_CONCEPT"</f>
        <v>0</v>
      </c>
      <c r="P789" s="7" t="b">
        <f>INDEX(PROPERTIES[EXCLUDE],MATCH(CONTROL[[#This Row],[VEHIDCODE]],PROPERTIES[VEHIDCODE],0))</f>
        <v>0</v>
      </c>
      <c r="Q7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790" spans="1:17" x14ac:dyDescent="0.35">
      <c r="A790" t="s">
        <v>3258</v>
      </c>
      <c r="B790" s="21" t="str">
        <f>MID(CONTROL[[#This Row],[VEHIDCODE]],FIND("_",CONTROL[[#This Row],[VEHIDCODE]])+1,LEN(CONTROL[[#This Row],[VEHIDCODE]]))</f>
        <v>Alsthom_AD30B</v>
      </c>
      <c r="C7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7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79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5134</v>
      </c>
      <c r="F790" s="30" t="s">
        <v>2550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ISNUMBER(MATCH(CONTROL[[#This Row],[VEHIDCODE]],TRACK_TYPES[VEHIDCODE],0))</f>
        <v>1</v>
      </c>
      <c r="K790" t="b">
        <f>ISNUMBER(MATCH(CONTROL[[#This Row],[VEHIDCODE]],PROPERTIES[VEHIDCODE],0))</f>
        <v>1</v>
      </c>
      <c r="L790" t="b">
        <f>ISNUMBER(MATCH(CONTROL[[#This Row],[VEHIDCODE]],GRAPHICS_PROPERTIES[VEHIDCODE],0))</f>
        <v>1</v>
      </c>
      <c r="M790" s="21" t="str">
        <f>"item_"&amp;CONTROL[[#This Row],[VEHIDCODE]]</f>
        <v>item_diesel_Alsthom_AD30B</v>
      </c>
      <c r="N790" s="21" t="str">
        <f>"str_"&amp;CONTROL[[#This Row],[VEHIDCODE]]</f>
        <v>str_diesel_Alsthom_AD30B</v>
      </c>
      <c r="O790" s="7" t="b">
        <f>INDEX(PROPERTIES[IS_CONCEPT],MATCH(CONTROL[[#This Row],[VEHIDCODE]],PROPERTIES[VEHIDCODE],0))="IS_CONCEPT"</f>
        <v>0</v>
      </c>
      <c r="P790" s="7" t="b">
        <f>INDEX(PROPERTIES[EXCLUDE],MATCH(CONTROL[[#This Row],[VEHIDCODE]],PROPERTIES[VEHIDCODE],0))</f>
        <v>0</v>
      </c>
      <c r="Q7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791" spans="1:17" x14ac:dyDescent="0.35">
      <c r="A791" t="s">
        <v>3259</v>
      </c>
      <c r="B791" s="21" t="str">
        <f>MID(CONTROL[[#This Row],[VEHIDCODE]],FIND("_",CONTROL[[#This Row],[VEHIDCODE]])+1,LEN(CONTROL[[#This Row],[VEHIDCODE]]))</f>
        <v>Porter_2_8_2_Class_200_Katanga_Mikado</v>
      </c>
      <c r="C7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4117</v>
      </c>
      <c r="F791" s="30" t="s">
        <v>2426</v>
      </c>
      <c r="G791" t="s">
        <v>1166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ISNUMBER(MATCH(CONTROL[[#This Row],[VEHIDCODE]],TRACK_TYPES[VEHIDCODE],0))</f>
        <v>1</v>
      </c>
      <c r="K791" t="b">
        <f>ISNUMBER(MATCH(CONTROL[[#This Row],[VEHIDCODE]],PROPERTIES[VEHIDCODE],0))</f>
        <v>1</v>
      </c>
      <c r="L791" t="b">
        <f>ISNUMBER(MATCH(CONTROL[[#This Row],[VEHIDCODE]],GRAPHICS_PROPERTIES[VEHIDCODE],0))</f>
        <v>1</v>
      </c>
      <c r="M791" s="21" t="str">
        <f>"item_"&amp;CONTROL[[#This Row],[VEHIDCODE]]</f>
        <v>item_steam_Porter_2_8_2_Class_200_Katanga_Mikado</v>
      </c>
      <c r="N791" s="21" t="str">
        <f>"str_"&amp;CONTROL[[#This Row],[VEHIDCODE]]</f>
        <v>str_steam_Porter_2_8_2_Class_200_Katanga_Mikado</v>
      </c>
      <c r="O791" s="7" t="b">
        <f>INDEX(PROPERTIES[IS_CONCEPT],MATCH(CONTROL[[#This Row],[VEHIDCODE]],PROPERTIES[VEHIDCODE],0))="IS_CONCEPT"</f>
        <v>0</v>
      </c>
      <c r="P791" s="7" t="b">
        <f>INDEX(PROPERTIES[EXCLUDE],MATCH(CONTROL[[#This Row],[VEHIDCODE]],PROPERTIES[VEHIDCODE],0))</f>
        <v>0</v>
      </c>
      <c r="Q7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92" spans="1:17" x14ac:dyDescent="0.35">
      <c r="A792" s="2" t="s">
        <v>3260</v>
      </c>
      <c r="B792" s="21" t="str">
        <f>MID(CONTROL[[#This Row],[VEHIDCODE]],FIND("_",CONTROL[[#This Row],[VEHIDCODE]])+1,LEN(CONTROL[[#This Row],[VEHIDCODE]]))</f>
        <v>Kawasaki_Nippon_Sharyo_Toshiba_M250</v>
      </c>
      <c r="C7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src\CargoEMU</v>
      </c>
      <c r="D7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ID_RANGE_CARGOEMU</v>
      </c>
      <c r="E79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14500</v>
      </c>
      <c r="F792" s="30" t="s">
        <v>2427</v>
      </c>
      <c r="G792" t="s">
        <v>1597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ISNUMBER(MATCH(CONTROL[[#This Row],[VEHIDCODE]],TRACK_TYPES[VEHIDCODE],0))</f>
        <v>1</v>
      </c>
      <c r="K792" t="b">
        <f>ISNUMBER(MATCH(CONTROL[[#This Row],[VEHIDCODE]],PROPERTIES[VEHIDCODE],0))</f>
        <v>1</v>
      </c>
      <c r="L792" t="b">
        <f>ISNUMBER(MATCH(CONTROL[[#This Row],[VEHIDCODE]],GRAPHICS_PROPERTIES[VEHIDCODE],0))</f>
        <v>1</v>
      </c>
      <c r="M792" s="21" t="str">
        <f>"item_"&amp;CONTROL[[#This Row],[VEHIDCODE]]</f>
        <v>item_cargoemu_Kawasaki_Nippon_Sharyo_Toshiba_M250</v>
      </c>
      <c r="N792" s="21" t="str">
        <f>"str_"&amp;CONTROL[[#This Row],[VEHIDCODE]]</f>
        <v>str_cargoemu_Kawasaki_Nippon_Sharyo_Toshiba_M250</v>
      </c>
      <c r="O792" s="7" t="b">
        <f>INDEX(PROPERTIES[IS_CONCEPT],MATCH(CONTROL[[#This Row],[VEHIDCODE]],PROPERTIES[VEHIDCODE],0))="IS_CONCEPT"</f>
        <v>0</v>
      </c>
      <c r="P792" s="7" t="b">
        <f>INDEX(PROPERTIES[EXCLUDE],MATCH(CONTROL[[#This Row],[VEHIDCODE]],PROPERTIES[VEHIDCODE],0))</f>
        <v>0</v>
      </c>
      <c r="Q7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TPL_42B</v>
      </c>
    </row>
    <row r="793" spans="1:17" x14ac:dyDescent="0.35">
      <c r="A793" t="s">
        <v>3261</v>
      </c>
      <c r="B793" s="21" t="str">
        <f>MID(CONTROL[[#This Row],[VEHIDCODE]],FIND("_",CONTROL[[#This Row],[VEHIDCODE]])+1,LEN(CONTROL[[#This Row],[VEHIDCODE]]))</f>
        <v>Esslingen_MAN_Hohenzollern_Thomas</v>
      </c>
      <c r="C7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7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79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1008</v>
      </c>
      <c r="F793" s="30" t="s">
        <v>2428</v>
      </c>
      <c r="G793" t="s">
        <v>1646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ISNUMBER(MATCH(CONTROL[[#This Row],[VEHIDCODE]],TRACK_TYPES[VEHIDCODE],0))</f>
        <v>1</v>
      </c>
      <c r="K793" t="b">
        <f>ISNUMBER(MATCH(CONTROL[[#This Row],[VEHIDCODE]],PROPERTIES[VEHIDCODE],0))</f>
        <v>1</v>
      </c>
      <c r="L793" t="b">
        <f>ISNUMBER(MATCH(CONTROL[[#This Row],[VEHIDCODE]],GRAPHICS_PROPERTIES[VEHIDCODE],0))</f>
        <v>1</v>
      </c>
      <c r="M793" s="21" t="str">
        <f>"item_"&amp;CONTROL[[#This Row],[VEHIDCODE]]</f>
        <v>item_rbs_Esslingen_MAN_Hohenzollern_Thomas</v>
      </c>
      <c r="N793" s="21" t="str">
        <f>"str_"&amp;CONTROL[[#This Row],[VEHIDCODE]]</f>
        <v>str_rbs_Esslingen_MAN_Hohenzollern_Thomas</v>
      </c>
      <c r="O793" s="7" t="b">
        <f>INDEX(PROPERTIES[IS_CONCEPT],MATCH(CONTROL[[#This Row],[VEHIDCODE]],PROPERTIES[VEHIDCODE],0))="IS_CONCEPT"</f>
        <v>0</v>
      </c>
      <c r="P793" s="7" t="b">
        <f>INDEX(PROPERTIES[EXCLUDE],MATCH(CONTROL[[#This Row],[VEHIDCODE]],PROPERTIES[VEHIDCODE],0))</f>
        <v>0</v>
      </c>
      <c r="Q7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794" spans="1:17" x14ac:dyDescent="0.35">
      <c r="A794" s="2" t="s">
        <v>3262</v>
      </c>
      <c r="B794" s="21" t="str">
        <f>MID(CONTROL[[#This Row],[VEHIDCODE]],FIND("_",CONTROL[[#This Row],[VEHIDCODE]])+1,LEN(CONTROL[[#This Row],[VEHIDCODE]]))</f>
        <v>Komarek_NOLB_30_33</v>
      </c>
      <c r="C7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src\Railbus\Railbus_Steam</v>
      </c>
      <c r="D7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ID_RANGE_RBS</v>
      </c>
      <c r="E79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1009</v>
      </c>
      <c r="F794" s="30" t="s">
        <v>2429</v>
      </c>
      <c r="G794" t="s">
        <v>1039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ISNUMBER(MATCH(CONTROL[[#This Row],[VEHIDCODE]],TRACK_TYPES[VEHIDCODE],0))</f>
        <v>1</v>
      </c>
      <c r="K794" t="b">
        <f>ISNUMBER(MATCH(CONTROL[[#This Row],[VEHIDCODE]],PROPERTIES[VEHIDCODE],0))</f>
        <v>1</v>
      </c>
      <c r="L794" t="b">
        <f>ISNUMBER(MATCH(CONTROL[[#This Row],[VEHIDCODE]],GRAPHICS_PROPERTIES[VEHIDCODE],0))</f>
        <v>1</v>
      </c>
      <c r="M794" s="21" t="str">
        <f>"item_"&amp;CONTROL[[#This Row],[VEHIDCODE]]</f>
        <v>item_rbs_Komarek_NOLB_30_33</v>
      </c>
      <c r="N794" s="21" t="str">
        <f>"str_"&amp;CONTROL[[#This Row],[VEHIDCODE]]</f>
        <v>str_rbs_Komarek_NOLB_30_33</v>
      </c>
      <c r="O794" s="7" t="b">
        <f>INDEX(PROPERTIES[IS_CONCEPT],MATCH(CONTROL[[#This Row],[VEHIDCODE]],PROPERTIES[VEHIDCODE],0))="IS_CONCEPT"</f>
        <v>0</v>
      </c>
      <c r="P794" s="7" t="b">
        <f>INDEX(PROPERTIES[EXCLUDE],MATCH(CONTROL[[#This Row],[VEHIDCODE]],PROPERTIES[VEHIDCODE],0))</f>
        <v>0</v>
      </c>
      <c r="Q7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TPL_01B</v>
      </c>
    </row>
    <row r="795" spans="1:17" x14ac:dyDescent="0.35">
      <c r="A795" t="s">
        <v>3263</v>
      </c>
      <c r="B795" s="21" t="str">
        <f>MID(CONTROL[[#This Row],[VEHIDCODE]],FIND("_",CONTROL[[#This Row],[VEHIDCODE]])+1,LEN(CONTROL[[#This Row],[VEHIDCODE]]))</f>
        <v>Henschel_4_4_2_19906</v>
      </c>
      <c r="C7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4118</v>
      </c>
      <c r="F795" s="30" t="s">
        <v>2430</v>
      </c>
      <c r="G795" t="s">
        <v>1647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ISNUMBER(MATCH(CONTROL[[#This Row],[VEHIDCODE]],TRACK_TYPES[VEHIDCODE],0))</f>
        <v>1</v>
      </c>
      <c r="K795" t="b">
        <f>ISNUMBER(MATCH(CONTROL[[#This Row],[VEHIDCODE]],PROPERTIES[VEHIDCODE],0))</f>
        <v>1</v>
      </c>
      <c r="L795" t="b">
        <f>ISNUMBER(MATCH(CONTROL[[#This Row],[VEHIDCODE]],GRAPHICS_PROPERTIES[VEHIDCODE],0))</f>
        <v>1</v>
      </c>
      <c r="M795" s="21" t="str">
        <f>"item_"&amp;CONTROL[[#This Row],[VEHIDCODE]]</f>
        <v>item_steam_Henschel_4_4_2_19906</v>
      </c>
      <c r="N795" s="21" t="str">
        <f>"str_"&amp;CONTROL[[#This Row],[VEHIDCODE]]</f>
        <v>str_steam_Henschel_4_4_2_19906</v>
      </c>
      <c r="O795" s="7" t="b">
        <f>INDEX(PROPERTIES[IS_CONCEPT],MATCH(CONTROL[[#This Row],[VEHIDCODE]],PROPERTIES[VEHIDCODE],0))="IS_CONCEPT"</f>
        <v>0</v>
      </c>
      <c r="P795" s="7" t="b">
        <f>INDEX(PROPERTIES[EXCLUDE],MATCH(CONTROL[[#This Row],[VEHIDCODE]],PROPERTIES[VEHIDCODE],0))</f>
        <v>0</v>
      </c>
      <c r="Q7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96" spans="1:17" x14ac:dyDescent="0.35">
      <c r="A796" t="s">
        <v>3438</v>
      </c>
      <c r="B796" s="21" t="str">
        <f>MID(CONTROL[[#This Row],[VEHIDCODE]],FIND("_",CONTROL[[#This Row],[VEHIDCODE]])+1,LEN(CONTROL[[#This Row],[VEHIDCODE]]))</f>
        <v>Haine_Saint_Pierre_2_6_0_0_6_2T_Golwe</v>
      </c>
      <c r="C7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7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79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4119</v>
      </c>
      <c r="F796" s="30" t="s">
        <v>3439</v>
      </c>
      <c r="G796" t="s">
        <v>1648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ISNUMBER(MATCH(CONTROL[[#This Row],[VEHIDCODE]],TRACK_TYPES[VEHIDCODE],0))</f>
        <v>1</v>
      </c>
      <c r="K796" t="b">
        <f>ISNUMBER(MATCH(CONTROL[[#This Row],[VEHIDCODE]],PROPERTIES[VEHIDCODE],0))</f>
        <v>1</v>
      </c>
      <c r="L796" t="b">
        <f>ISNUMBER(MATCH(CONTROL[[#This Row],[VEHIDCODE]],GRAPHICS_PROPERTIES[VEHIDCODE],0))</f>
        <v>1</v>
      </c>
      <c r="M796" s="21" t="str">
        <f>"item_"&amp;CONTROL[[#This Row],[VEHIDCODE]]</f>
        <v>item_steam_Haine_Saint_Pierre_2_6_0_0_6_2T_Golwe</v>
      </c>
      <c r="N796" s="21" t="str">
        <f>"str_"&amp;CONTROL[[#This Row],[VEHIDCODE]]</f>
        <v>str_steam_Haine_Saint_Pierre_2_6_0_0_6_2T_Golwe</v>
      </c>
      <c r="O796" s="7" t="b">
        <f>INDEX(PROPERTIES[IS_CONCEPT],MATCH(CONTROL[[#This Row],[VEHIDCODE]],PROPERTIES[VEHIDCODE],0))="IS_CONCEPT"</f>
        <v>0</v>
      </c>
      <c r="P796" s="7" t="b">
        <f>INDEX(PROPERTIES[EXCLUDE],MATCH(CONTROL[[#This Row],[VEHIDCODE]],PROPERTIES[VEHIDCODE],0))</f>
        <v>0</v>
      </c>
      <c r="Q7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797" spans="1:17" x14ac:dyDescent="0.35">
      <c r="A797" t="s">
        <v>3264</v>
      </c>
      <c r="B797" s="21" t="str">
        <f>MID(CONTROL[[#This Row],[VEHIDCODE]],FIND("_",CONTROL[[#This Row],[VEHIDCODE]])+1,LEN(CONTROL[[#This Row],[VEHIDCODE]]))</f>
        <v>Henschel_EMD_TT12</v>
      </c>
      <c r="C7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7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79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5135</v>
      </c>
      <c r="F797" s="30" t="s">
        <v>2431</v>
      </c>
      <c r="G797" t="s">
        <v>1655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ISNUMBER(MATCH(CONTROL[[#This Row],[VEHIDCODE]],TRACK_TYPES[VEHIDCODE],0))</f>
        <v>1</v>
      </c>
      <c r="K797" t="b">
        <f>ISNUMBER(MATCH(CONTROL[[#This Row],[VEHIDCODE]],PROPERTIES[VEHIDCODE],0))</f>
        <v>1</v>
      </c>
      <c r="L797" t="b">
        <f>ISNUMBER(MATCH(CONTROL[[#This Row],[VEHIDCODE]],GRAPHICS_PROPERTIES[VEHIDCODE],0))</f>
        <v>1</v>
      </c>
      <c r="M797" s="21" t="str">
        <f>"item_"&amp;CONTROL[[#This Row],[VEHIDCODE]]</f>
        <v>item_diesel_Henschel_EMD_TT12</v>
      </c>
      <c r="N797" s="21" t="str">
        <f>"str_"&amp;CONTROL[[#This Row],[VEHIDCODE]]</f>
        <v>str_diesel_Henschel_EMD_TT12</v>
      </c>
      <c r="O797" s="7" t="b">
        <f>INDEX(PROPERTIES[IS_CONCEPT],MATCH(CONTROL[[#This Row],[VEHIDCODE]],PROPERTIES[VEHIDCODE],0))="IS_CONCEPT"</f>
        <v>0</v>
      </c>
      <c r="P797" s="7" t="b">
        <f>INDEX(PROPERTIES[EXCLUDE],MATCH(CONTROL[[#This Row],[VEHIDCODE]],PROPERTIES[VEHIDCODE],0))</f>
        <v>0</v>
      </c>
      <c r="Q7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798" spans="1:17" x14ac:dyDescent="0.35">
      <c r="A798" t="s">
        <v>3265</v>
      </c>
      <c r="B798" s="21" t="str">
        <f>MID(CONTROL[[#This Row],[VEHIDCODE]],FIND("_",CONTROL[[#This Row],[VEHIDCODE]])+1,LEN(CONTROL[[#This Row],[VEHIDCODE]]))</f>
        <v>Henschel_GE_G16</v>
      </c>
      <c r="C7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7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79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5136</v>
      </c>
      <c r="F798" s="30" t="s">
        <v>2432</v>
      </c>
      <c r="G798" t="s">
        <v>1657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ISNUMBER(MATCH(CONTROL[[#This Row],[VEHIDCODE]],TRACK_TYPES[VEHIDCODE],0))</f>
        <v>1</v>
      </c>
      <c r="K798" t="b">
        <f>ISNUMBER(MATCH(CONTROL[[#This Row],[VEHIDCODE]],PROPERTIES[VEHIDCODE],0))</f>
        <v>1</v>
      </c>
      <c r="L798" t="b">
        <f>ISNUMBER(MATCH(CONTROL[[#This Row],[VEHIDCODE]],GRAPHICS_PROPERTIES[VEHIDCODE],0))</f>
        <v>1</v>
      </c>
      <c r="M798" s="21" t="str">
        <f>"item_"&amp;CONTROL[[#This Row],[VEHIDCODE]]</f>
        <v>item_diesel_Henschel_GE_G16</v>
      </c>
      <c r="N798" s="21" t="str">
        <f>"str_"&amp;CONTROL[[#This Row],[VEHIDCODE]]</f>
        <v>str_diesel_Henschel_GE_G16</v>
      </c>
      <c r="O798" s="7" t="b">
        <f>INDEX(PROPERTIES[IS_CONCEPT],MATCH(CONTROL[[#This Row],[VEHIDCODE]],PROPERTIES[VEHIDCODE],0))="IS_CONCEPT"</f>
        <v>0</v>
      </c>
      <c r="P798" s="7" t="b">
        <f>INDEX(PROPERTIES[EXCLUDE],MATCH(CONTROL[[#This Row],[VEHIDCODE]],PROPERTIES[VEHIDCODE],0))</f>
        <v>0</v>
      </c>
      <c r="Q7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799" spans="1:17" x14ac:dyDescent="0.35">
      <c r="A799" t="s">
        <v>3266</v>
      </c>
      <c r="B799" s="21" t="str">
        <f>MID(CONTROL[[#This Row],[VEHIDCODE]],FIND("_",CONTROL[[#This Row],[VEHIDCODE]])+1,LEN(CONTROL[[#This Row],[VEHIDCODE]]))</f>
        <v>ACEC_BN_Type_2450</v>
      </c>
      <c r="C7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7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79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6136</v>
      </c>
      <c r="F799" s="30" t="s">
        <v>2433</v>
      </c>
      <c r="G799" t="s">
        <v>1658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ISNUMBER(MATCH(CONTROL[[#This Row],[VEHIDCODE]],TRACK_TYPES[VEHIDCODE],0))</f>
        <v>1</v>
      </c>
      <c r="K799" t="b">
        <f>ISNUMBER(MATCH(CONTROL[[#This Row],[VEHIDCODE]],PROPERTIES[VEHIDCODE],0))</f>
        <v>1</v>
      </c>
      <c r="L799" t="b">
        <f>ISNUMBER(MATCH(CONTROL[[#This Row],[VEHIDCODE]],GRAPHICS_PROPERTIES[VEHIDCODE],0))</f>
        <v>1</v>
      </c>
      <c r="M799" s="21" t="str">
        <f>"item_"&amp;CONTROL[[#This Row],[VEHIDCODE]]</f>
        <v>item_electric_ACEC_BN_Type_2450</v>
      </c>
      <c r="N799" s="21" t="str">
        <f>"str_"&amp;CONTROL[[#This Row],[VEHIDCODE]]</f>
        <v>str_electric_ACEC_BN_Type_2450</v>
      </c>
      <c r="O799" s="7" t="b">
        <f>INDEX(PROPERTIES[IS_CONCEPT],MATCH(CONTROL[[#This Row],[VEHIDCODE]],PROPERTIES[VEHIDCODE],0))="IS_CONCEPT"</f>
        <v>0</v>
      </c>
      <c r="P799" s="7" t="b">
        <f>INDEX(PROPERTIES[EXCLUDE],MATCH(CONTROL[[#This Row],[VEHIDCODE]],PROPERTIES[VEHIDCODE],0))</f>
        <v>0</v>
      </c>
      <c r="Q7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0" spans="1:17" x14ac:dyDescent="0.35">
      <c r="A800" t="s">
        <v>3267</v>
      </c>
      <c r="B800" s="21" t="str">
        <f>MID(CONTROL[[#This Row],[VEHIDCODE]],FIND("_",CONTROL[[#This Row],[VEHIDCODE]])+1,LEN(CONTROL[[#This Row],[VEHIDCODE]]))</f>
        <v>Alsthom_BB_BB_300</v>
      </c>
      <c r="C8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0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5137</v>
      </c>
      <c r="F800" s="30" t="s">
        <v>2551</v>
      </c>
      <c r="G800" t="s">
        <v>1659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ISNUMBER(MATCH(CONTROL[[#This Row],[VEHIDCODE]],TRACK_TYPES[VEHIDCODE],0))</f>
        <v>1</v>
      </c>
      <c r="K800" t="b">
        <f>ISNUMBER(MATCH(CONTROL[[#This Row],[VEHIDCODE]],PROPERTIES[VEHIDCODE],0))</f>
        <v>1</v>
      </c>
      <c r="L800" t="b">
        <f>ISNUMBER(MATCH(CONTROL[[#This Row],[VEHIDCODE]],GRAPHICS_PROPERTIES[VEHIDCODE],0))</f>
        <v>1</v>
      </c>
      <c r="M800" s="21" t="str">
        <f>"item_"&amp;CONTROL[[#This Row],[VEHIDCODE]]</f>
        <v>item_diesel_Alsthom_BB_BB_300</v>
      </c>
      <c r="N800" s="21" t="str">
        <f>"str_"&amp;CONTROL[[#This Row],[VEHIDCODE]]</f>
        <v>str_diesel_Alsthom_BB_BB_300</v>
      </c>
      <c r="O800" s="7" t="b">
        <f>INDEX(PROPERTIES[IS_CONCEPT],MATCH(CONTROL[[#This Row],[VEHIDCODE]],PROPERTIES[VEHIDCODE],0))="IS_CONCEPT"</f>
        <v>0</v>
      </c>
      <c r="P800" s="7" t="b">
        <f>INDEX(PROPERTIES[EXCLUDE],MATCH(CONTROL[[#This Row],[VEHIDCODE]],PROPERTIES[VEHIDCODE],0))</f>
        <v>0</v>
      </c>
      <c r="Q8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1" spans="1:17" x14ac:dyDescent="0.35">
      <c r="A801" t="s">
        <v>3268</v>
      </c>
      <c r="B801" s="21" t="str">
        <f>MID(CONTROL[[#This Row],[VEHIDCODE]],FIND("_",CONTROL[[#This Row],[VEHIDCODE]])+1,LEN(CONTROL[[#This Row],[VEHIDCODE]]))</f>
        <v>Sorefame_DE8</v>
      </c>
      <c r="C8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0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5138</v>
      </c>
      <c r="F801" s="30" t="s">
        <v>3500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ISNUMBER(MATCH(CONTROL[[#This Row],[VEHIDCODE]],TRACK_TYPES[VEHIDCODE],0))</f>
        <v>1</v>
      </c>
      <c r="K801" t="b">
        <f>ISNUMBER(MATCH(CONTROL[[#This Row],[VEHIDCODE]],PROPERTIES[VEHIDCODE],0))</f>
        <v>1</v>
      </c>
      <c r="L801" t="b">
        <f>ISNUMBER(MATCH(CONTROL[[#This Row],[VEHIDCODE]],GRAPHICS_PROPERTIES[VEHIDCODE],0))</f>
        <v>1</v>
      </c>
      <c r="M801" s="21" t="str">
        <f>"item_"&amp;CONTROL[[#This Row],[VEHIDCODE]]</f>
        <v>item_diesel_Sorefame_DE8</v>
      </c>
      <c r="N801" s="21" t="str">
        <f>"str_"&amp;CONTROL[[#This Row],[VEHIDCODE]]</f>
        <v>str_diesel_Sorefame_DE8</v>
      </c>
      <c r="O801" s="7" t="b">
        <f>INDEX(PROPERTIES[IS_CONCEPT],MATCH(CONTROL[[#This Row],[VEHIDCODE]],PROPERTIES[VEHIDCODE],0))="IS_CONCEPT"</f>
        <v>0</v>
      </c>
      <c r="P801" s="7" t="b">
        <f>INDEX(PROPERTIES[EXCLUDE],MATCH(CONTROL[[#This Row],[VEHIDCODE]],PROPERTIES[VEHIDCODE],0))</f>
        <v>0</v>
      </c>
      <c r="Q8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2" spans="1:17" x14ac:dyDescent="0.35">
      <c r="A802" t="s">
        <v>3269</v>
      </c>
      <c r="B802" s="21" t="str">
        <f>MID(CONTROL[[#This Row],[VEHIDCODE]],FIND("_",CONTROL[[#This Row],[VEHIDCODE]])+1,LEN(CONTROL[[#This Row],[VEHIDCODE]]))</f>
        <v>GMD_GT22LC_2</v>
      </c>
      <c r="C8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0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5139</v>
      </c>
      <c r="F802" s="30" t="s">
        <v>1967</v>
      </c>
      <c r="G802" t="s">
        <v>1660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ISNUMBER(MATCH(CONTROL[[#This Row],[VEHIDCODE]],TRACK_TYPES[VEHIDCODE],0))</f>
        <v>1</v>
      </c>
      <c r="K802" t="b">
        <f>ISNUMBER(MATCH(CONTROL[[#This Row],[VEHIDCODE]],PROPERTIES[VEHIDCODE],0))</f>
        <v>1</v>
      </c>
      <c r="L802" t="b">
        <f>ISNUMBER(MATCH(CONTROL[[#This Row],[VEHIDCODE]],GRAPHICS_PROPERTIES[VEHIDCODE],0))</f>
        <v>1</v>
      </c>
      <c r="M802" s="21" t="str">
        <f>"item_"&amp;CONTROL[[#This Row],[VEHIDCODE]]</f>
        <v>item_diesel_GMD_GT22LC_2</v>
      </c>
      <c r="N802" s="21" t="str">
        <f>"str_"&amp;CONTROL[[#This Row],[VEHIDCODE]]</f>
        <v>str_diesel_GMD_GT22LC_2</v>
      </c>
      <c r="O802" s="7" t="b">
        <f>INDEX(PROPERTIES[IS_CONCEPT],MATCH(CONTROL[[#This Row],[VEHIDCODE]],PROPERTIES[VEHIDCODE],0))="IS_CONCEPT"</f>
        <v>0</v>
      </c>
      <c r="P802" s="7" t="b">
        <f>INDEX(PROPERTIES[EXCLUDE],MATCH(CONTROL[[#This Row],[VEHIDCODE]],PROPERTIES[VEHIDCODE],0))</f>
        <v>0</v>
      </c>
      <c r="Q8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3" spans="1:17" x14ac:dyDescent="0.35">
      <c r="A803" t="s">
        <v>3270</v>
      </c>
      <c r="B803" s="21" t="str">
        <f>MID(CONTROL[[#This Row],[VEHIDCODE]],FIND("_",CONTROL[[#This Row],[VEHIDCODE]])+1,LEN(CONTROL[[#This Row],[VEHIDCODE]]))</f>
        <v>TRC_E6800</v>
      </c>
      <c r="C8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0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6137</v>
      </c>
      <c r="F803" s="30" t="s">
        <v>1719</v>
      </c>
      <c r="G803" t="s">
        <v>1661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ISNUMBER(MATCH(CONTROL[[#This Row],[VEHIDCODE]],TRACK_TYPES[VEHIDCODE],0))</f>
        <v>1</v>
      </c>
      <c r="K803" t="b">
        <f>ISNUMBER(MATCH(CONTROL[[#This Row],[VEHIDCODE]],PROPERTIES[VEHIDCODE],0))</f>
        <v>1</v>
      </c>
      <c r="L803" t="b">
        <f>ISNUMBER(MATCH(CONTROL[[#This Row],[VEHIDCODE]],GRAPHICS_PROPERTIES[VEHIDCODE],0))</f>
        <v>1</v>
      </c>
      <c r="M803" s="21" t="str">
        <f>"item_"&amp;CONTROL[[#This Row],[VEHIDCODE]]</f>
        <v>item_electric_TRC_E6800</v>
      </c>
      <c r="N803" s="21" t="str">
        <f>"str_"&amp;CONTROL[[#This Row],[VEHIDCODE]]</f>
        <v>str_electric_TRC_E6800</v>
      </c>
      <c r="O803" s="7" t="b">
        <f>INDEX(PROPERTIES[IS_CONCEPT],MATCH(CONTROL[[#This Row],[VEHIDCODE]],PROPERTIES[VEHIDCODE],0))="IS_CONCEPT"</f>
        <v>0</v>
      </c>
      <c r="P803" s="7" t="b">
        <f>INDEX(PROPERTIES[EXCLUDE],MATCH(CONTROL[[#This Row],[VEHIDCODE]],PROPERTIES[VEHIDCODE],0))</f>
        <v>0</v>
      </c>
      <c r="Q8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04" spans="1:17" x14ac:dyDescent="0.35">
      <c r="A804" s="2" t="s">
        <v>3271</v>
      </c>
      <c r="B804" s="28" t="str">
        <f>MID(CONTROL[[#This Row],[VEHIDCODE]],FIND("_",CONTROL[[#This Row],[VEHIDCODE]])+1,LEN(CONTROL[[#This Row],[VEHIDCODE]]))</f>
        <v>Brooklyn_Union_Gate_Elevated</v>
      </c>
      <c r="C8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0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9056</v>
      </c>
      <c r="F804" s="30" t="s">
        <v>1663</v>
      </c>
      <c r="G804" t="s">
        <v>1642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ISNUMBER(MATCH(CONTROL[[#This Row],[VEHIDCODE]],TRACK_TYPES[VEHIDCODE],0))</f>
        <v>1</v>
      </c>
      <c r="K804" t="b">
        <f>ISNUMBER(MATCH(CONTROL[[#This Row],[VEHIDCODE]],PROPERTIES[VEHIDCODE],0))</f>
        <v>1</v>
      </c>
      <c r="L804" t="b">
        <f>ISNUMBER(MATCH(CONTROL[[#This Row],[VEHIDCODE]],GRAPHICS_PROPERTIES[VEHIDCODE],0))</f>
        <v>1</v>
      </c>
      <c r="M804" s="21" t="str">
        <f>"item_"&amp;CONTROL[[#This Row],[VEHIDCODE]]</f>
        <v>item_mtro_Brooklyn_Union_Gate_Elevated</v>
      </c>
      <c r="N804" s="21" t="str">
        <f>"str_"&amp;CONTROL[[#This Row],[VEHIDCODE]]</f>
        <v>str_mtro_Brooklyn_Union_Gate_Elevated</v>
      </c>
      <c r="O804" s="7" t="b">
        <f>INDEX(PROPERTIES[IS_CONCEPT],MATCH(CONTROL[[#This Row],[VEHIDCODE]],PROPERTIES[VEHIDCODE],0))="IS_CONCEPT"</f>
        <v>0</v>
      </c>
      <c r="P804" s="7" t="b">
        <f>INDEX(PROPERTIES[EXCLUDE],MATCH(CONTROL[[#This Row],[VEHIDCODE]],PROPERTIES[VEHIDCODE],0))</f>
        <v>0</v>
      </c>
      <c r="Q8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05" spans="1:17" x14ac:dyDescent="0.35">
      <c r="A805" s="2" t="s">
        <v>1723</v>
      </c>
      <c r="B805" s="21" t="str">
        <f>MID(CONTROL[[#This Row],[VEHIDCODE]],FIND("_",CONTROL[[#This Row],[VEHIDCODE]])+1,LEN(CONTROL[[#This Row],[VEHIDCODE]]))</f>
        <v>Coach_Gen5_CityNightLine_Sleeper</v>
      </c>
      <c r="C8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src\Coaches\Gen5</v>
      </c>
      <c r="D8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80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11071</v>
      </c>
      <c r="F805" s="31" t="s">
        <v>1721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ISNUMBER(MATCH(CONTROL[[#This Row],[VEHIDCODE]],TRACK_TYPES[VEHIDCODE],0))</f>
        <v>1</v>
      </c>
      <c r="K805" t="b">
        <f>ISNUMBER(MATCH(CONTROL[[#This Row],[VEHIDCODE]],PROPERTIES[VEHIDCODE],0))</f>
        <v>1</v>
      </c>
      <c r="L805" t="b">
        <f>ISNUMBER(MATCH(CONTROL[[#This Row],[VEHIDCODE]],GRAPHICS_PROPERTIES[VEHIDCODE],0))</f>
        <v>1</v>
      </c>
      <c r="M805" s="21" t="str">
        <f>"item_"&amp;CONTROL[[#This Row],[VEHIDCODE]]</f>
        <v>item_mu_Coach_Gen5_CityNightLine_Sleeper</v>
      </c>
      <c r="N805" s="21" t="str">
        <f>"str_"&amp;CONTROL[[#This Row],[VEHIDCODE]]</f>
        <v>str_mu_Coach_Gen5_CityNightLine_Sleeper</v>
      </c>
      <c r="O805" s="7" t="b">
        <f>INDEX(PROPERTIES[IS_CONCEPT],MATCH(CONTROL[[#This Row],[VEHIDCODE]],PROPERTIES[VEHIDCODE],0))="IS_CONCEPT"</f>
        <v>0</v>
      </c>
      <c r="P805" s="7" t="b">
        <f>INDEX(PROPERTIES[EXCLUDE],MATCH(CONTROL[[#This Row],[VEHIDCODE]],PROPERTIES[VEHIDCODE],0))</f>
        <v>0</v>
      </c>
      <c r="Q8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806" spans="1:17" x14ac:dyDescent="0.35">
      <c r="A806" t="s">
        <v>1724</v>
      </c>
      <c r="B806" s="21" t="str">
        <f>MID(CONTROL[[#This Row],[VEHIDCODE]],FIND("_",CONTROL[[#This Row],[VEHIDCODE]])+1,LEN(CONTROL[[#This Row],[VEHIDCODE]]))</f>
        <v>Coach_Gen4_Trans_Euro_Night_Sleeper</v>
      </c>
      <c r="C8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8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80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11072</v>
      </c>
      <c r="F806" s="31" t="s">
        <v>1722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ISNUMBER(MATCH(CONTROL[[#This Row],[VEHIDCODE]],TRACK_TYPES[VEHIDCODE],0))</f>
        <v>1</v>
      </c>
      <c r="K806" t="b">
        <f>ISNUMBER(MATCH(CONTROL[[#This Row],[VEHIDCODE]],PROPERTIES[VEHIDCODE],0))</f>
        <v>1</v>
      </c>
      <c r="L806" t="b">
        <f>ISNUMBER(MATCH(CONTROL[[#This Row],[VEHIDCODE]],GRAPHICS_PROPERTIES[VEHIDCODE],0))</f>
        <v>1</v>
      </c>
      <c r="M806" s="21" t="str">
        <f>"item_"&amp;CONTROL[[#This Row],[VEHIDCODE]]</f>
        <v>item_mu_Coach_Gen4_Trans_Euro_Night_Sleeper</v>
      </c>
      <c r="N806" s="21" t="str">
        <f>"str_"&amp;CONTROL[[#This Row],[VEHIDCODE]]</f>
        <v>str_mu_Coach_Gen4_Trans_Euro_Night_Sleeper</v>
      </c>
      <c r="O806" s="7" t="b">
        <f>INDEX(PROPERTIES[IS_CONCEPT],MATCH(CONTROL[[#This Row],[VEHIDCODE]],PROPERTIES[VEHIDCODE],0))="IS_CONCEPT"</f>
        <v>0</v>
      </c>
      <c r="P806" s="7" t="b">
        <f>INDEX(PROPERTIES[EXCLUDE],MATCH(CONTROL[[#This Row],[VEHIDCODE]],PROPERTIES[VEHIDCODE],0))</f>
        <v>0</v>
      </c>
      <c r="Q8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807" spans="1:17" x14ac:dyDescent="0.35">
      <c r="A807" s="2" t="s">
        <v>1709</v>
      </c>
      <c r="B807" s="21" t="str">
        <f>MID(CONTROL[[#This Row],[VEHIDCODE]],FIND("_",CONTROL[[#This Row],[VEHIDCODE]])+1,LEN(CONTROL[[#This Row],[VEHIDCODE]]))</f>
        <v>Wagon_Gen1_Livestock_Van</v>
      </c>
      <c r="C8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src\wagons\Gen1</v>
      </c>
      <c r="D8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0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12064</v>
      </c>
      <c r="F807" s="30" t="s">
        <v>1710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ISNUMBER(MATCH(CONTROL[[#This Row],[VEHIDCODE]],TRACK_TYPES[VEHIDCODE],0))</f>
        <v>1</v>
      </c>
      <c r="K807" t="b">
        <f>ISNUMBER(MATCH(CONTROL[[#This Row],[VEHIDCODE]],PROPERTIES[VEHIDCODE],0))</f>
        <v>1</v>
      </c>
      <c r="L807" t="b">
        <f>ISNUMBER(MATCH(CONTROL[[#This Row],[VEHIDCODE]],GRAPHICS_PROPERTIES[VEHIDCODE],0))</f>
        <v>1</v>
      </c>
      <c r="M807" s="21" t="str">
        <f>"item_"&amp;CONTROL[[#This Row],[VEHIDCODE]]</f>
        <v>item_mu_Wagon_Gen1_Livestock_Van</v>
      </c>
      <c r="N807" s="21" t="str">
        <f>"str_"&amp;CONTROL[[#This Row],[VEHIDCODE]]</f>
        <v>str_mu_Wagon_Gen1_Livestock_Van</v>
      </c>
      <c r="O807" s="7" t="b">
        <f>INDEX(PROPERTIES[IS_CONCEPT],MATCH(CONTROL[[#This Row],[VEHIDCODE]],PROPERTIES[VEHIDCODE],0))="IS_CONCEPT"</f>
        <v>0</v>
      </c>
      <c r="P807" s="7" t="b">
        <f>INDEX(PROPERTIES[EXCLUDE],MATCH(CONTROL[[#This Row],[VEHIDCODE]],PROPERTIES[VEHIDCODE],0))</f>
        <v>0</v>
      </c>
      <c r="Q8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08" spans="1:17" x14ac:dyDescent="0.35">
      <c r="A808" s="2" t="s">
        <v>1704</v>
      </c>
      <c r="B808" s="21" t="str">
        <f>MID(CONTROL[[#This Row],[VEHIDCODE]],FIND("_",CONTROL[[#This Row],[VEHIDCODE]])+1,LEN(CONTROL[[#This Row],[VEHIDCODE]]))</f>
        <v>Wagon_Gen2_Livestock_Van</v>
      </c>
      <c r="C8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src\wagons\Gen2</v>
      </c>
      <c r="D8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0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12065</v>
      </c>
      <c r="F808" s="30" t="s">
        <v>1711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ISNUMBER(MATCH(CONTROL[[#This Row],[VEHIDCODE]],TRACK_TYPES[VEHIDCODE],0))</f>
        <v>1</v>
      </c>
      <c r="K808" t="b">
        <f>ISNUMBER(MATCH(CONTROL[[#This Row],[VEHIDCODE]],PROPERTIES[VEHIDCODE],0))</f>
        <v>1</v>
      </c>
      <c r="L808" t="b">
        <f>ISNUMBER(MATCH(CONTROL[[#This Row],[VEHIDCODE]],GRAPHICS_PROPERTIES[VEHIDCODE],0))</f>
        <v>1</v>
      </c>
      <c r="M808" s="21" t="str">
        <f>"item_"&amp;CONTROL[[#This Row],[VEHIDCODE]]</f>
        <v>item_mu_Wagon_Gen2_Livestock_Van</v>
      </c>
      <c r="N808" s="21" t="str">
        <f>"str_"&amp;CONTROL[[#This Row],[VEHIDCODE]]</f>
        <v>str_mu_Wagon_Gen2_Livestock_Van</v>
      </c>
      <c r="O808" s="7" t="b">
        <f>INDEX(PROPERTIES[IS_CONCEPT],MATCH(CONTROL[[#This Row],[VEHIDCODE]],PROPERTIES[VEHIDCODE],0))="IS_CONCEPT"</f>
        <v>0</v>
      </c>
      <c r="P808" s="7" t="b">
        <f>INDEX(PROPERTIES[EXCLUDE],MATCH(CONTROL[[#This Row],[VEHIDCODE]],PROPERTIES[VEHIDCODE],0))</f>
        <v>0</v>
      </c>
      <c r="Q8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09" spans="1:17" x14ac:dyDescent="0.35">
      <c r="A809" s="2" t="s">
        <v>1705</v>
      </c>
      <c r="B809" s="21" t="str">
        <f>MID(CONTROL[[#This Row],[VEHIDCODE]],FIND("_",CONTROL[[#This Row],[VEHIDCODE]])+1,LEN(CONTROL[[#This Row],[VEHIDCODE]]))</f>
        <v>Wagon_Gen3_Livestock_Van</v>
      </c>
      <c r="C8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src\wagons\Gen3</v>
      </c>
      <c r="D8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0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12066</v>
      </c>
      <c r="F809" s="30" t="s">
        <v>1712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ISNUMBER(MATCH(CONTROL[[#This Row],[VEHIDCODE]],TRACK_TYPES[VEHIDCODE],0))</f>
        <v>1</v>
      </c>
      <c r="K809" t="b">
        <f>ISNUMBER(MATCH(CONTROL[[#This Row],[VEHIDCODE]],PROPERTIES[VEHIDCODE],0))</f>
        <v>1</v>
      </c>
      <c r="L809" t="b">
        <f>ISNUMBER(MATCH(CONTROL[[#This Row],[VEHIDCODE]],GRAPHICS_PROPERTIES[VEHIDCODE],0))</f>
        <v>1</v>
      </c>
      <c r="M809" s="21" t="str">
        <f>"item_"&amp;CONTROL[[#This Row],[VEHIDCODE]]</f>
        <v>item_mu_Wagon_Gen3_Livestock_Van</v>
      </c>
      <c r="N809" s="21" t="str">
        <f>"str_"&amp;CONTROL[[#This Row],[VEHIDCODE]]</f>
        <v>str_mu_Wagon_Gen3_Livestock_Van</v>
      </c>
      <c r="O809" s="7" t="b">
        <f>INDEX(PROPERTIES[IS_CONCEPT],MATCH(CONTROL[[#This Row],[VEHIDCODE]],PROPERTIES[VEHIDCODE],0))="IS_CONCEPT"</f>
        <v>0</v>
      </c>
      <c r="P809" s="7" t="b">
        <f>INDEX(PROPERTIES[EXCLUDE],MATCH(CONTROL[[#This Row],[VEHIDCODE]],PROPERTIES[VEHIDCODE],0))</f>
        <v>0</v>
      </c>
      <c r="Q8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0" spans="1:17" x14ac:dyDescent="0.35">
      <c r="A810" s="2" t="s">
        <v>1706</v>
      </c>
      <c r="B810" s="21" t="str">
        <f>MID(CONTROL[[#This Row],[VEHIDCODE]],FIND("_",CONTROL[[#This Row],[VEHIDCODE]])+1,LEN(CONTROL[[#This Row],[VEHIDCODE]]))</f>
        <v>Wagon_Gen4_Livestock_Van</v>
      </c>
      <c r="C8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src\wagons\Gen4</v>
      </c>
      <c r="D8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1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12067</v>
      </c>
      <c r="F810" s="30" t="s">
        <v>1713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ISNUMBER(MATCH(CONTROL[[#This Row],[VEHIDCODE]],TRACK_TYPES[VEHIDCODE],0))</f>
        <v>1</v>
      </c>
      <c r="K810" t="b">
        <f>ISNUMBER(MATCH(CONTROL[[#This Row],[VEHIDCODE]],PROPERTIES[VEHIDCODE],0))</f>
        <v>1</v>
      </c>
      <c r="L810" t="b">
        <f>ISNUMBER(MATCH(CONTROL[[#This Row],[VEHIDCODE]],GRAPHICS_PROPERTIES[VEHIDCODE],0))</f>
        <v>1</v>
      </c>
      <c r="M810" s="21" t="str">
        <f>"item_"&amp;CONTROL[[#This Row],[VEHIDCODE]]</f>
        <v>item_mu_Wagon_Gen4_Livestock_Van</v>
      </c>
      <c r="N810" s="21" t="str">
        <f>"str_"&amp;CONTROL[[#This Row],[VEHIDCODE]]</f>
        <v>str_mu_Wagon_Gen4_Livestock_Van</v>
      </c>
      <c r="O810" s="7" t="b">
        <f>INDEX(PROPERTIES[IS_CONCEPT],MATCH(CONTROL[[#This Row],[VEHIDCODE]],PROPERTIES[VEHIDCODE],0))="IS_CONCEPT"</f>
        <v>0</v>
      </c>
      <c r="P810" s="7" t="b">
        <f>INDEX(PROPERTIES[EXCLUDE],MATCH(CONTROL[[#This Row],[VEHIDCODE]],PROPERTIES[VEHIDCODE],0))</f>
        <v>0</v>
      </c>
      <c r="Q8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1" spans="1:17" x14ac:dyDescent="0.35">
      <c r="A811" s="2" t="s">
        <v>1707</v>
      </c>
      <c r="B811" s="21" t="str">
        <f>MID(CONTROL[[#This Row],[VEHIDCODE]],FIND("_",CONTROL[[#This Row],[VEHIDCODE]])+1,LEN(CONTROL[[#This Row],[VEHIDCODE]]))</f>
        <v>Wagon_Gen5_Livestock_Van</v>
      </c>
      <c r="C8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src\wagons\Gen5</v>
      </c>
      <c r="D8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1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12068</v>
      </c>
      <c r="F811" s="30" t="s">
        <v>1714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ISNUMBER(MATCH(CONTROL[[#This Row],[VEHIDCODE]],TRACK_TYPES[VEHIDCODE],0))</f>
        <v>1</v>
      </c>
      <c r="K811" t="b">
        <f>ISNUMBER(MATCH(CONTROL[[#This Row],[VEHIDCODE]],PROPERTIES[VEHIDCODE],0))</f>
        <v>1</v>
      </c>
      <c r="L811" t="b">
        <f>ISNUMBER(MATCH(CONTROL[[#This Row],[VEHIDCODE]],GRAPHICS_PROPERTIES[VEHIDCODE],0))</f>
        <v>1</v>
      </c>
      <c r="M811" s="21" t="str">
        <f>"item_"&amp;CONTROL[[#This Row],[VEHIDCODE]]</f>
        <v>item_mu_Wagon_Gen5_Livestock_Van</v>
      </c>
      <c r="N811" s="21" t="str">
        <f>"str_"&amp;CONTROL[[#This Row],[VEHIDCODE]]</f>
        <v>str_mu_Wagon_Gen5_Livestock_Van</v>
      </c>
      <c r="O811" s="7" t="b">
        <f>INDEX(PROPERTIES[IS_CONCEPT],MATCH(CONTROL[[#This Row],[VEHIDCODE]],PROPERTIES[VEHIDCODE],0))="IS_CONCEPT"</f>
        <v>0</v>
      </c>
      <c r="P811" s="7" t="b">
        <f>INDEX(PROPERTIES[EXCLUDE],MATCH(CONTROL[[#This Row],[VEHIDCODE]],PROPERTIES[VEHIDCODE],0))</f>
        <v>0</v>
      </c>
      <c r="Q8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2" spans="1:17" x14ac:dyDescent="0.35">
      <c r="A812" s="2" t="s">
        <v>1708</v>
      </c>
      <c r="B812" s="21" t="str">
        <f>MID(CONTROL[[#This Row],[VEHIDCODE]],FIND("_",CONTROL[[#This Row],[VEHIDCODE]])+1,LEN(CONTROL[[#This Row],[VEHIDCODE]]))</f>
        <v>Wagon_Gen6_Livestock_Van</v>
      </c>
      <c r="C8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src\wagons\Gen6</v>
      </c>
      <c r="D8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</v>
      </c>
      <c r="E81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12069</v>
      </c>
      <c r="F812" s="30" t="s">
        <v>1715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ISNUMBER(MATCH(CONTROL[[#This Row],[VEHIDCODE]],TRACK_TYPES[VEHIDCODE],0))</f>
        <v>1</v>
      </c>
      <c r="K812" t="b">
        <f>ISNUMBER(MATCH(CONTROL[[#This Row],[VEHIDCODE]],PROPERTIES[VEHIDCODE],0))</f>
        <v>1</v>
      </c>
      <c r="L812" t="b">
        <f>ISNUMBER(MATCH(CONTROL[[#This Row],[VEHIDCODE]],GRAPHICS_PROPERTIES[VEHIDCODE],0))</f>
        <v>1</v>
      </c>
      <c r="M812" s="21" t="str">
        <f>"item_"&amp;CONTROL[[#This Row],[VEHIDCODE]]</f>
        <v>item_mu_Wagon_Gen6_Livestock_Van</v>
      </c>
      <c r="N812" s="21" t="str">
        <f>"str_"&amp;CONTROL[[#This Row],[VEHIDCODE]]</f>
        <v>str_mu_Wagon_Gen6_Livestock_Van</v>
      </c>
      <c r="O812" s="7" t="b">
        <f>INDEX(PROPERTIES[IS_CONCEPT],MATCH(CONTROL[[#This Row],[VEHIDCODE]],PROPERTIES[VEHIDCODE],0))="IS_CONCEPT"</f>
        <v>0</v>
      </c>
      <c r="P812" s="7" t="b">
        <f>INDEX(PROPERTIES[EXCLUDE],MATCH(CONTROL[[#This Row],[VEHIDCODE]],PROPERTIES[VEHIDCODE],0))</f>
        <v>0</v>
      </c>
      <c r="Q8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3" spans="1:17" x14ac:dyDescent="0.35">
      <c r="A813" s="2" t="s">
        <v>1727</v>
      </c>
      <c r="B813" s="21" t="str">
        <f>MID(CONTROL[[#This Row],[VEHIDCODE]],FIND("_",CONTROL[[#This Row],[VEHIDCODE]])+1,LEN(CONTROL[[#This Row],[VEHIDCODE]]))</f>
        <v>Wagon_Gen7M_Livestock_Van</v>
      </c>
      <c r="C8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src\Wagons_Maglev\Gen7M</v>
      </c>
      <c r="D8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ID_RANGE_WAGONS_MGLV</v>
      </c>
      <c r="E81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10515</v>
      </c>
      <c r="F813" s="30" t="s">
        <v>1716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ISNUMBER(MATCH(CONTROL[[#This Row],[VEHIDCODE]],TRACK_TYPES[VEHIDCODE],0))</f>
        <v>1</v>
      </c>
      <c r="K813" t="b">
        <f>ISNUMBER(MATCH(CONTROL[[#This Row],[VEHIDCODE]],PROPERTIES[VEHIDCODE],0))</f>
        <v>1</v>
      </c>
      <c r="L813" t="b">
        <f>ISNUMBER(MATCH(CONTROL[[#This Row],[VEHIDCODE]],GRAPHICS_PROPERTIES[VEHIDCODE],0))</f>
        <v>1</v>
      </c>
      <c r="M813" s="21" t="str">
        <f>"item_"&amp;CONTROL[[#This Row],[VEHIDCODE]]</f>
        <v>item_mglv_Wagon_Gen7M_Livestock_Van</v>
      </c>
      <c r="N813" s="21" t="str">
        <f>"str_"&amp;CONTROL[[#This Row],[VEHIDCODE]]</f>
        <v>str_mglv_Wagon_Gen7M_Livestock_Van</v>
      </c>
      <c r="O813" s="7" t="b">
        <f>INDEX(PROPERTIES[IS_CONCEPT],MATCH(CONTROL[[#This Row],[VEHIDCODE]],PROPERTIES[VEHIDCODE],0))="IS_CONCEPT"</f>
        <v>1</v>
      </c>
      <c r="P813" s="7" t="b">
        <f>INDEX(PROPERTIES[EXCLUDE],MATCH(CONTROL[[#This Row],[VEHIDCODE]],PROPERTIES[VEHIDCODE],0))</f>
        <v>0</v>
      </c>
      <c r="Q8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TPL_04B</v>
      </c>
    </row>
    <row r="814" spans="1:17" x14ac:dyDescent="0.35">
      <c r="A814" t="s">
        <v>3272</v>
      </c>
      <c r="B814" s="21" t="str">
        <f>MID(CONTROL[[#This Row],[VEHIDCODE]],FIND("_",CONTROL[[#This Row],[VEHIDCODE]])+1,LEN(CONTROL[[#This Row],[VEHIDCODE]]))</f>
        <v>Ganz_MAVAG_VM15_V63</v>
      </c>
      <c r="C8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1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6138</v>
      </c>
      <c r="F814" s="30" t="s">
        <v>2610</v>
      </c>
      <c r="G814" t="s">
        <v>1718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ISNUMBER(MATCH(CONTROL[[#This Row],[VEHIDCODE]],TRACK_TYPES[VEHIDCODE],0))</f>
        <v>1</v>
      </c>
      <c r="K814" t="b">
        <f>ISNUMBER(MATCH(CONTROL[[#This Row],[VEHIDCODE]],PROPERTIES[VEHIDCODE],0))</f>
        <v>1</v>
      </c>
      <c r="L814" t="b">
        <f>ISNUMBER(MATCH(CONTROL[[#This Row],[VEHIDCODE]],GRAPHICS_PROPERTIES[VEHIDCODE],0))</f>
        <v>1</v>
      </c>
      <c r="M814" s="21" t="str">
        <f>"item_"&amp;CONTROL[[#This Row],[VEHIDCODE]]</f>
        <v>item_electric_Ganz_MAVAG_VM15_V63</v>
      </c>
      <c r="N814" s="21" t="str">
        <f>"str_"&amp;CONTROL[[#This Row],[VEHIDCODE]]</f>
        <v>str_electric_Ganz_MAVAG_VM15_V63</v>
      </c>
      <c r="O814" s="7" t="b">
        <f>INDEX(PROPERTIES[IS_CONCEPT],MATCH(CONTROL[[#This Row],[VEHIDCODE]],PROPERTIES[VEHIDCODE],0))="IS_CONCEPT"</f>
        <v>0</v>
      </c>
      <c r="P814" s="7" t="b">
        <f>INDEX(PROPERTIES[EXCLUDE],MATCH(CONTROL[[#This Row],[VEHIDCODE]],PROPERTIES[VEHIDCODE],0))</f>
        <v>0</v>
      </c>
      <c r="Q8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15" spans="1:17" x14ac:dyDescent="0.35">
      <c r="A815" t="s">
        <v>3273</v>
      </c>
      <c r="B815" s="21" t="str">
        <f>MID(CONTROL[[#This Row],[VEHIDCODE]],FIND("_",CONTROL[[#This Row],[VEHIDCODE]])+1,LEN(CONTROL[[#This Row],[VEHIDCODE]]))</f>
        <v>BREL_ABB_London_1992_Stock</v>
      </c>
      <c r="C8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9057</v>
      </c>
      <c r="F815" s="30" t="s">
        <v>2434</v>
      </c>
      <c r="G815" t="s">
        <v>1725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ISNUMBER(MATCH(CONTROL[[#This Row],[VEHIDCODE]],TRACK_TYPES[VEHIDCODE],0))</f>
        <v>1</v>
      </c>
      <c r="K815" t="b">
        <f>ISNUMBER(MATCH(CONTROL[[#This Row],[VEHIDCODE]],PROPERTIES[VEHIDCODE],0))</f>
        <v>1</v>
      </c>
      <c r="L815" t="b">
        <f>ISNUMBER(MATCH(CONTROL[[#This Row],[VEHIDCODE]],GRAPHICS_PROPERTIES[VEHIDCODE],0))</f>
        <v>1</v>
      </c>
      <c r="M815" s="21" t="str">
        <f>"item_"&amp;CONTROL[[#This Row],[VEHIDCODE]]</f>
        <v>item_mtro_BREL_ABB_London_1992_Stock</v>
      </c>
      <c r="N815" s="21" t="str">
        <f>"str_"&amp;CONTROL[[#This Row],[VEHIDCODE]]</f>
        <v>str_mtro_BREL_ABB_London_1992_Stock</v>
      </c>
      <c r="O815" s="7" t="b">
        <f>INDEX(PROPERTIES[IS_CONCEPT],MATCH(CONTROL[[#This Row],[VEHIDCODE]],PROPERTIES[VEHIDCODE],0))="IS_CONCEPT"</f>
        <v>0</v>
      </c>
      <c r="P815" s="7" t="b">
        <f>INDEX(PROPERTIES[EXCLUDE],MATCH(CONTROL[[#This Row],[VEHIDCODE]],PROPERTIES[VEHIDCODE],0))</f>
        <v>0</v>
      </c>
      <c r="Q8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6" spans="1:17" x14ac:dyDescent="0.35">
      <c r="A816" s="2" t="s">
        <v>3274</v>
      </c>
      <c r="B816" s="21" t="str">
        <f>MID(CONTROL[[#This Row],[VEHIDCODE]],FIND("_",CONTROL[[#This Row],[VEHIDCODE]])+1,LEN(CONTROL[[#This Row],[VEHIDCODE]]))</f>
        <v>Bombardier_Movia_London_S_Stock</v>
      </c>
      <c r="C8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9058</v>
      </c>
      <c r="F816" s="30" t="s">
        <v>2435</v>
      </c>
      <c r="G816" t="s">
        <v>1726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ISNUMBER(MATCH(CONTROL[[#This Row],[VEHIDCODE]],TRACK_TYPES[VEHIDCODE],0))</f>
        <v>1</v>
      </c>
      <c r="K816" t="b">
        <f>ISNUMBER(MATCH(CONTROL[[#This Row],[VEHIDCODE]],PROPERTIES[VEHIDCODE],0))</f>
        <v>1</v>
      </c>
      <c r="L816" t="b">
        <f>ISNUMBER(MATCH(CONTROL[[#This Row],[VEHIDCODE]],GRAPHICS_PROPERTIES[VEHIDCODE],0))</f>
        <v>1</v>
      </c>
      <c r="M816" s="21" t="str">
        <f>"item_"&amp;CONTROL[[#This Row],[VEHIDCODE]]</f>
        <v>item_mtro_Bombardier_Movia_London_S_Stock</v>
      </c>
      <c r="N816" s="21" t="str">
        <f>"str_"&amp;CONTROL[[#This Row],[VEHIDCODE]]</f>
        <v>str_mtro_Bombardier_Movia_London_S_Stock</v>
      </c>
      <c r="O816" s="7" t="b">
        <f>INDEX(PROPERTIES[IS_CONCEPT],MATCH(CONTROL[[#This Row],[VEHIDCODE]],PROPERTIES[VEHIDCODE],0))="IS_CONCEPT"</f>
        <v>0</v>
      </c>
      <c r="P816" s="7" t="b">
        <f>INDEX(PROPERTIES[EXCLUDE],MATCH(CONTROL[[#This Row],[VEHIDCODE]],PROPERTIES[VEHIDCODE],0))</f>
        <v>0</v>
      </c>
      <c r="Q8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7" spans="1:17" x14ac:dyDescent="0.35">
      <c r="A817" s="2" t="s">
        <v>3275</v>
      </c>
      <c r="B817" s="21" t="str">
        <f>MID(CONTROL[[#This Row],[VEHIDCODE]],FIND("_",CONTROL[[#This Row],[VEHIDCODE]])+1,LEN(CONTROL[[#This Row],[VEHIDCODE]]))</f>
        <v>Metro_Cammell_London_1972_Stock</v>
      </c>
      <c r="C8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9059</v>
      </c>
      <c r="F817" s="30" t="s">
        <v>2436</v>
      </c>
      <c r="G817" t="s">
        <v>1728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ISNUMBER(MATCH(CONTROL[[#This Row],[VEHIDCODE]],TRACK_TYPES[VEHIDCODE],0))</f>
        <v>1</v>
      </c>
      <c r="K817" t="b">
        <f>ISNUMBER(MATCH(CONTROL[[#This Row],[VEHIDCODE]],PROPERTIES[VEHIDCODE],0))</f>
        <v>1</v>
      </c>
      <c r="L817" t="b">
        <f>ISNUMBER(MATCH(CONTROL[[#This Row],[VEHIDCODE]],GRAPHICS_PROPERTIES[VEHIDCODE],0))</f>
        <v>1</v>
      </c>
      <c r="M817" s="21" t="str">
        <f>"item_"&amp;CONTROL[[#This Row],[VEHIDCODE]]</f>
        <v>item_mtro_Metro_Cammell_London_1972_Stock</v>
      </c>
      <c r="N817" s="21" t="str">
        <f>"str_"&amp;CONTROL[[#This Row],[VEHIDCODE]]</f>
        <v>str_mtro_Metro_Cammell_London_1972_Stock</v>
      </c>
      <c r="O817" s="7" t="b">
        <f>INDEX(PROPERTIES[IS_CONCEPT],MATCH(CONTROL[[#This Row],[VEHIDCODE]],PROPERTIES[VEHIDCODE],0))="IS_CONCEPT"</f>
        <v>0</v>
      </c>
      <c r="P817" s="7" t="b">
        <f>INDEX(PROPERTIES[EXCLUDE],MATCH(CONTROL[[#This Row],[VEHIDCODE]],PROPERTIES[VEHIDCODE],0))</f>
        <v>0</v>
      </c>
      <c r="Q8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8" spans="1:17" x14ac:dyDescent="0.35">
      <c r="A818" s="2" t="s">
        <v>3276</v>
      </c>
      <c r="B818" s="21" t="str">
        <f>MID(CONTROL[[#This Row],[VEHIDCODE]],FIND("_",CONTROL[[#This Row],[VEHIDCODE]])+1,LEN(CONTROL[[#This Row],[VEHIDCODE]]))</f>
        <v>Metro_Cammell_London_1959_Stock</v>
      </c>
      <c r="C8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9060</v>
      </c>
      <c r="F818" s="30" t="s">
        <v>2437</v>
      </c>
      <c r="G818" t="s">
        <v>1729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ISNUMBER(MATCH(CONTROL[[#This Row],[VEHIDCODE]],TRACK_TYPES[VEHIDCODE],0))</f>
        <v>1</v>
      </c>
      <c r="K818" t="b">
        <f>ISNUMBER(MATCH(CONTROL[[#This Row],[VEHIDCODE]],PROPERTIES[VEHIDCODE],0))</f>
        <v>1</v>
      </c>
      <c r="L818" t="b">
        <f>ISNUMBER(MATCH(CONTROL[[#This Row],[VEHIDCODE]],GRAPHICS_PROPERTIES[VEHIDCODE],0))</f>
        <v>1</v>
      </c>
      <c r="M818" s="21" t="str">
        <f>"item_"&amp;CONTROL[[#This Row],[VEHIDCODE]]</f>
        <v>item_mtro_Metro_Cammell_London_1959_Stock</v>
      </c>
      <c r="N818" s="21" t="str">
        <f>"str_"&amp;CONTROL[[#This Row],[VEHIDCODE]]</f>
        <v>str_mtro_Metro_Cammell_London_1959_Stock</v>
      </c>
      <c r="O818" s="7" t="b">
        <f>INDEX(PROPERTIES[IS_CONCEPT],MATCH(CONTROL[[#This Row],[VEHIDCODE]],PROPERTIES[VEHIDCODE],0))="IS_CONCEPT"</f>
        <v>0</v>
      </c>
      <c r="P818" s="7" t="b">
        <f>INDEX(PROPERTIES[EXCLUDE],MATCH(CONTROL[[#This Row],[VEHIDCODE]],PROPERTIES[VEHIDCODE],0))</f>
        <v>0</v>
      </c>
      <c r="Q8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19" spans="1:17" x14ac:dyDescent="0.35">
      <c r="A819" s="2" t="s">
        <v>3277</v>
      </c>
      <c r="B819" s="21" t="str">
        <f>MID(CONTROL[[#This Row],[VEHIDCODE]],FIND("_",CONTROL[[#This Row],[VEHIDCODE]])+1,LEN(CONTROL[[#This Row],[VEHIDCODE]]))</f>
        <v>Kawasaki_HI_C151</v>
      </c>
      <c r="C8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1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9061</v>
      </c>
      <c r="F819" s="30" t="s">
        <v>2438</v>
      </c>
      <c r="G819" t="s">
        <v>1734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ISNUMBER(MATCH(CONTROL[[#This Row],[VEHIDCODE]],TRACK_TYPES[VEHIDCODE],0))</f>
        <v>1</v>
      </c>
      <c r="K819" t="b">
        <f>ISNUMBER(MATCH(CONTROL[[#This Row],[VEHIDCODE]],PROPERTIES[VEHIDCODE],0))</f>
        <v>1</v>
      </c>
      <c r="L819" t="b">
        <f>ISNUMBER(MATCH(CONTROL[[#This Row],[VEHIDCODE]],GRAPHICS_PROPERTIES[VEHIDCODE],0))</f>
        <v>1</v>
      </c>
      <c r="M819" s="21" t="str">
        <f>"item_"&amp;CONTROL[[#This Row],[VEHIDCODE]]</f>
        <v>item_mtro_Kawasaki_HI_C151</v>
      </c>
      <c r="N819" s="21" t="str">
        <f>"str_"&amp;CONTROL[[#This Row],[VEHIDCODE]]</f>
        <v>str_mtro_Kawasaki_HI_C151</v>
      </c>
      <c r="O819" s="7" t="b">
        <f>INDEX(PROPERTIES[IS_CONCEPT],MATCH(CONTROL[[#This Row],[VEHIDCODE]],PROPERTIES[VEHIDCODE],0))="IS_CONCEPT"</f>
        <v>0</v>
      </c>
      <c r="P819" s="7" t="b">
        <f>INDEX(PROPERTIES[EXCLUDE],MATCH(CONTROL[[#This Row],[VEHIDCODE]],PROPERTIES[VEHIDCODE],0))</f>
        <v>0</v>
      </c>
      <c r="Q8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20" spans="1:17" x14ac:dyDescent="0.35">
      <c r="A820" t="s">
        <v>3278</v>
      </c>
      <c r="B820" s="21" t="str">
        <f>MID(CONTROL[[#This Row],[VEHIDCODE]],FIND("_",CONTROL[[#This Row],[VEHIDCODE]])+1,LEN(CONTROL[[#This Row],[VEHIDCODE]]))</f>
        <v>Kawasaki_HI___Nippon_Sharyo_C751B</v>
      </c>
      <c r="C8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2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9062</v>
      </c>
      <c r="F820" s="30" t="s">
        <v>2439</v>
      </c>
      <c r="G820" t="s">
        <v>1735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ISNUMBER(MATCH(CONTROL[[#This Row],[VEHIDCODE]],TRACK_TYPES[VEHIDCODE],0))</f>
        <v>1</v>
      </c>
      <c r="K820" t="b">
        <f>ISNUMBER(MATCH(CONTROL[[#This Row],[VEHIDCODE]],PROPERTIES[VEHIDCODE],0))</f>
        <v>1</v>
      </c>
      <c r="L820" t="b">
        <f>ISNUMBER(MATCH(CONTROL[[#This Row],[VEHIDCODE]],GRAPHICS_PROPERTIES[VEHIDCODE],0))</f>
        <v>1</v>
      </c>
      <c r="M820" s="21" t="str">
        <f>"item_"&amp;CONTROL[[#This Row],[VEHIDCODE]]</f>
        <v>item_mtro_Kawasaki_HI___Nippon_Sharyo_C751B</v>
      </c>
      <c r="N820" s="21" t="str">
        <f>"str_"&amp;CONTROL[[#This Row],[VEHIDCODE]]</f>
        <v>str_mtro_Kawasaki_HI___Nippon_Sharyo_C751B</v>
      </c>
      <c r="O820" s="7" t="b">
        <f>INDEX(PROPERTIES[IS_CONCEPT],MATCH(CONTROL[[#This Row],[VEHIDCODE]],PROPERTIES[VEHIDCODE],0))="IS_CONCEPT"</f>
        <v>0</v>
      </c>
      <c r="P820" s="7" t="b">
        <f>INDEX(PROPERTIES[EXCLUDE],MATCH(CONTROL[[#This Row],[VEHIDCODE]],PROPERTIES[VEHIDCODE],0))</f>
        <v>0</v>
      </c>
      <c r="Q8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21" spans="1:17" x14ac:dyDescent="0.35">
      <c r="A821" t="s">
        <v>3279</v>
      </c>
      <c r="B821" s="21" t="str">
        <f>MID(CONTROL[[#This Row],[VEHIDCODE]],FIND("_",CONTROL[[#This Row],[VEHIDCODE]])+1,LEN(CONTROL[[#This Row],[VEHIDCODE]]))</f>
        <v>Comeng_Light_Metro_Prototype</v>
      </c>
      <c r="C8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2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9063</v>
      </c>
      <c r="F821" s="30" t="s">
        <v>1736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ISNUMBER(MATCH(CONTROL[[#This Row],[VEHIDCODE]],TRACK_TYPES[VEHIDCODE],0))</f>
        <v>1</v>
      </c>
      <c r="K821" t="b">
        <f>ISNUMBER(MATCH(CONTROL[[#This Row],[VEHIDCODE]],PROPERTIES[VEHIDCODE],0))</f>
        <v>1</v>
      </c>
      <c r="L821" t="b">
        <f>ISNUMBER(MATCH(CONTROL[[#This Row],[VEHIDCODE]],GRAPHICS_PROPERTIES[VEHIDCODE],0))</f>
        <v>1</v>
      </c>
      <c r="M821" s="21" t="str">
        <f>"item_"&amp;CONTROL[[#This Row],[VEHIDCODE]]</f>
        <v>item_mtro_Comeng_Light_Metro_Prototype</v>
      </c>
      <c r="N821" s="21" t="str">
        <f>"str_"&amp;CONTROL[[#This Row],[VEHIDCODE]]</f>
        <v>str_mtro_Comeng_Light_Metro_Prototype</v>
      </c>
      <c r="O821" s="7" t="b">
        <f>INDEX(PROPERTIES[IS_CONCEPT],MATCH(CONTROL[[#This Row],[VEHIDCODE]],PROPERTIES[VEHIDCODE],0))="IS_CONCEPT"</f>
        <v>1</v>
      </c>
      <c r="P821" s="7" t="b">
        <f>INDEX(PROPERTIES[EXCLUDE],MATCH(CONTROL[[#This Row],[VEHIDCODE]],PROPERTIES[VEHIDCODE],0))</f>
        <v>0</v>
      </c>
      <c r="Q8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22" spans="1:17" x14ac:dyDescent="0.35">
      <c r="A822" t="s">
        <v>3280</v>
      </c>
      <c r="B822" s="21" t="str">
        <f>MID(CONTROL[[#This Row],[VEHIDCODE]],FIND("_",CONTROL[[#This Row],[VEHIDCODE]])+1,LEN(CONTROL[[#This Row],[VEHIDCODE]]))</f>
        <v>Comeng_EMU</v>
      </c>
      <c r="C8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8073</v>
      </c>
      <c r="F822" s="30" t="s">
        <v>1738</v>
      </c>
      <c r="G822" t="s">
        <v>1737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ISNUMBER(MATCH(CONTROL[[#This Row],[VEHIDCODE]],TRACK_TYPES[VEHIDCODE],0))</f>
        <v>1</v>
      </c>
      <c r="K822" t="b">
        <f>ISNUMBER(MATCH(CONTROL[[#This Row],[VEHIDCODE]],PROPERTIES[VEHIDCODE],0))</f>
        <v>1</v>
      </c>
      <c r="L822" t="b">
        <f>ISNUMBER(MATCH(CONTROL[[#This Row],[VEHIDCODE]],GRAPHICS_PROPERTIES[VEHIDCODE],0))</f>
        <v>1</v>
      </c>
      <c r="M822" s="21" t="str">
        <f>"item_"&amp;CONTROL[[#This Row],[VEHIDCODE]]</f>
        <v>item_emu_Comeng_EMU</v>
      </c>
      <c r="N822" s="21" t="str">
        <f>"str_"&amp;CONTROL[[#This Row],[VEHIDCODE]]</f>
        <v>str_emu_Comeng_EMU</v>
      </c>
      <c r="O822" s="7" t="b">
        <f>INDEX(PROPERTIES[IS_CONCEPT],MATCH(CONTROL[[#This Row],[VEHIDCODE]],PROPERTIES[VEHIDCODE],0))="IS_CONCEPT"</f>
        <v>0</v>
      </c>
      <c r="P822" s="7" t="b">
        <f>INDEX(PROPERTIES[EXCLUDE],MATCH(CONTROL[[#This Row],[VEHIDCODE]],PROPERTIES[VEHIDCODE],0))</f>
        <v>0</v>
      </c>
      <c r="Q8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23" spans="1:17" x14ac:dyDescent="0.35">
      <c r="A823" t="s">
        <v>3281</v>
      </c>
      <c r="B823" s="21" t="str">
        <f>MID(CONTROL[[#This Row],[VEHIDCODE]],FIND("_",CONTROL[[#This Row],[VEHIDCODE]])+1,LEN(CONTROL[[#This Row],[VEHIDCODE]]))</f>
        <v>Evolution_Rail_HCMT_Munnel</v>
      </c>
      <c r="C8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8074</v>
      </c>
      <c r="F823" s="30" t="s">
        <v>2440</v>
      </c>
      <c r="G823" t="s">
        <v>1739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ISNUMBER(MATCH(CONTROL[[#This Row],[VEHIDCODE]],TRACK_TYPES[VEHIDCODE],0))</f>
        <v>1</v>
      </c>
      <c r="K823" t="b">
        <f>ISNUMBER(MATCH(CONTROL[[#This Row],[VEHIDCODE]],PROPERTIES[VEHIDCODE],0))</f>
        <v>1</v>
      </c>
      <c r="L823" t="b">
        <f>ISNUMBER(MATCH(CONTROL[[#This Row],[VEHIDCODE]],GRAPHICS_PROPERTIES[VEHIDCODE],0))</f>
        <v>1</v>
      </c>
      <c r="M823" s="21" t="str">
        <f>"item_"&amp;CONTROL[[#This Row],[VEHIDCODE]]</f>
        <v>item_emu_Evolution_Rail_HCMT_Munnel</v>
      </c>
      <c r="N823" s="21" t="str">
        <f>"str_"&amp;CONTROL[[#This Row],[VEHIDCODE]]</f>
        <v>str_emu_Evolution_Rail_HCMT_Munnel</v>
      </c>
      <c r="O823" s="7" t="b">
        <f>INDEX(PROPERTIES[IS_CONCEPT],MATCH(CONTROL[[#This Row],[VEHIDCODE]],PROPERTIES[VEHIDCODE],0))="IS_CONCEPT"</f>
        <v>0</v>
      </c>
      <c r="P823" s="7" t="b">
        <f>INDEX(PROPERTIES[EXCLUDE],MATCH(CONTROL[[#This Row],[VEHIDCODE]],PROPERTIES[VEHIDCODE],0))</f>
        <v>0</v>
      </c>
      <c r="Q8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24" spans="1:17" x14ac:dyDescent="0.35">
      <c r="A824" t="s">
        <v>3282</v>
      </c>
      <c r="B824" s="21" t="str">
        <f>MID(CONTROL[[#This Row],[VEHIDCODE]],FIND("_",CONTROL[[#This Row],[VEHIDCODE]])+1,LEN(CONTROL[[#This Row],[VEHIDCODE]]))</f>
        <v>LTZ_DR_130</v>
      </c>
      <c r="C8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2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5140</v>
      </c>
      <c r="F824" s="30" t="s">
        <v>2441</v>
      </c>
      <c r="G824" t="s">
        <v>1740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ISNUMBER(MATCH(CONTROL[[#This Row],[VEHIDCODE]],TRACK_TYPES[VEHIDCODE],0))</f>
        <v>1</v>
      </c>
      <c r="K824" t="b">
        <f>ISNUMBER(MATCH(CONTROL[[#This Row],[VEHIDCODE]],PROPERTIES[VEHIDCODE],0))</f>
        <v>1</v>
      </c>
      <c r="L824" t="b">
        <f>ISNUMBER(MATCH(CONTROL[[#This Row],[VEHIDCODE]],GRAPHICS_PROPERTIES[VEHIDCODE],0))</f>
        <v>1</v>
      </c>
      <c r="M824" s="21" t="str">
        <f>"item_"&amp;CONTROL[[#This Row],[VEHIDCODE]]</f>
        <v>item_diesel_LTZ_DR_130</v>
      </c>
      <c r="N824" s="21" t="str">
        <f>"str_"&amp;CONTROL[[#This Row],[VEHIDCODE]]</f>
        <v>str_diesel_LTZ_DR_130</v>
      </c>
      <c r="O824" s="7" t="b">
        <f>INDEX(PROPERTIES[IS_CONCEPT],MATCH(CONTROL[[#This Row],[VEHIDCODE]],PROPERTIES[VEHIDCODE],0))="IS_CONCEPT"</f>
        <v>0</v>
      </c>
      <c r="P824" s="7" t="b">
        <f>INDEX(PROPERTIES[EXCLUDE],MATCH(CONTROL[[#This Row],[VEHIDCODE]],PROPERTIES[VEHIDCODE],0))</f>
        <v>1</v>
      </c>
      <c r="Q8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25" spans="1:17" x14ac:dyDescent="0.35">
      <c r="A825" t="s">
        <v>3283</v>
      </c>
      <c r="B825" s="21" t="str">
        <f>MID(CONTROL[[#This Row],[VEHIDCODE]],FIND("_",CONTROL[[#This Row],[VEHIDCODE]])+1,LEN(CONTROL[[#This Row],[VEHIDCODE]]))</f>
        <v>GE_AC6044CW</v>
      </c>
      <c r="C8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2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5141</v>
      </c>
      <c r="F825" s="30" t="s">
        <v>1968</v>
      </c>
      <c r="G825" t="s">
        <v>1741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ISNUMBER(MATCH(CONTROL[[#This Row],[VEHIDCODE]],TRACK_TYPES[VEHIDCODE],0))</f>
        <v>1</v>
      </c>
      <c r="K825" t="b">
        <f>ISNUMBER(MATCH(CONTROL[[#This Row],[VEHIDCODE]],PROPERTIES[VEHIDCODE],0))</f>
        <v>1</v>
      </c>
      <c r="L825" t="b">
        <f>ISNUMBER(MATCH(CONTROL[[#This Row],[VEHIDCODE]],GRAPHICS_PROPERTIES[VEHIDCODE],0))</f>
        <v>1</v>
      </c>
      <c r="M825" s="21" t="str">
        <f>"item_"&amp;CONTROL[[#This Row],[VEHIDCODE]]</f>
        <v>item_diesel_GE_AC6044CW</v>
      </c>
      <c r="N825" s="21" t="str">
        <f>"str_"&amp;CONTROL[[#This Row],[VEHIDCODE]]</f>
        <v>str_diesel_GE_AC6044CW</v>
      </c>
      <c r="O825" s="7" t="b">
        <f>INDEX(PROPERTIES[IS_CONCEPT],MATCH(CONTROL[[#This Row],[VEHIDCODE]],PROPERTIES[VEHIDCODE],0))="IS_CONCEPT"</f>
        <v>0</v>
      </c>
      <c r="P825" s="7" t="b">
        <f>INDEX(PROPERTIES[EXCLUDE],MATCH(CONTROL[[#This Row],[VEHIDCODE]],PROPERTIES[VEHIDCODE],0))</f>
        <v>1</v>
      </c>
      <c r="Q8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26" spans="1:17" x14ac:dyDescent="0.35">
      <c r="A826" t="s">
        <v>3601</v>
      </c>
      <c r="B826" s="21" t="str">
        <f>MID(CONTROL[[#This Row],[VEHIDCODE]],FIND("_",CONTROL[[#This Row],[VEHIDCODE]])+1,LEN(CONTROL[[#This Row],[VEHIDCODE]]))</f>
        <v>GE_AC6000CW</v>
      </c>
      <c r="C8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2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5142</v>
      </c>
      <c r="F826" s="30" t="s">
        <v>3514</v>
      </c>
      <c r="G826" t="s">
        <v>1741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ISNUMBER(MATCH(CONTROL[[#This Row],[VEHIDCODE]],TRACK_TYPES[VEHIDCODE],0))</f>
        <v>1</v>
      </c>
      <c r="K826" t="b">
        <f>ISNUMBER(MATCH(CONTROL[[#This Row],[VEHIDCODE]],PROPERTIES[VEHIDCODE],0))</f>
        <v>1</v>
      </c>
      <c r="L826" t="b">
        <f>ISNUMBER(MATCH(CONTROL[[#This Row],[VEHIDCODE]],GRAPHICS_PROPERTIES[VEHIDCODE],0))</f>
        <v>1</v>
      </c>
      <c r="M826" s="21" t="str">
        <f>"item_"&amp;CONTROL[[#This Row],[VEHIDCODE]]</f>
        <v>item_diesel_GE_AC6000CW</v>
      </c>
      <c r="N826" s="21" t="str">
        <f>"str_"&amp;CONTROL[[#This Row],[VEHIDCODE]]</f>
        <v>str_diesel_GE_AC6000CW</v>
      </c>
      <c r="O826" s="7" t="b">
        <f>INDEX(PROPERTIES[IS_CONCEPT],MATCH(CONTROL[[#This Row],[VEHIDCODE]],PROPERTIES[VEHIDCODE],0))="IS_CONCEPT"</f>
        <v>0</v>
      </c>
      <c r="P826" s="7" t="b">
        <f>INDEX(PROPERTIES[EXCLUDE],MATCH(CONTROL[[#This Row],[VEHIDCODE]],PROPERTIES[VEHIDCODE],0))</f>
        <v>0</v>
      </c>
      <c r="Q8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27" spans="1:17" x14ac:dyDescent="0.35">
      <c r="A827" t="s">
        <v>3284</v>
      </c>
      <c r="B827" s="21" t="str">
        <f>MID(CONTROL[[#This Row],[VEHIDCODE]],FIND("_",CONTROL[[#This Row],[VEHIDCODE]])+1,LEN(CONTROL[[#This Row],[VEHIDCODE]]))</f>
        <v>Robert_Stephenson_and_Co_2_2_2_192</v>
      </c>
      <c r="C8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2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4120</v>
      </c>
      <c r="F827" s="30" t="s">
        <v>2443</v>
      </c>
      <c r="G827" t="s">
        <v>2442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ISNUMBER(MATCH(CONTROL[[#This Row],[VEHIDCODE]],TRACK_TYPES[VEHIDCODE],0))</f>
        <v>1</v>
      </c>
      <c r="K827" t="b">
        <f>ISNUMBER(MATCH(CONTROL[[#This Row],[VEHIDCODE]],PROPERTIES[VEHIDCODE],0))</f>
        <v>1</v>
      </c>
      <c r="L827" t="b">
        <f>ISNUMBER(MATCH(CONTROL[[#This Row],[VEHIDCODE]],GRAPHICS_PROPERTIES[VEHIDCODE],0))</f>
        <v>1</v>
      </c>
      <c r="M827" s="21" t="str">
        <f>"item_"&amp;CONTROL[[#This Row],[VEHIDCODE]]</f>
        <v>item_steam_Robert_Stephenson_and_Co_2_2_2_192</v>
      </c>
      <c r="N827" s="21" t="str">
        <f>"str_"&amp;CONTROL[[#This Row],[VEHIDCODE]]</f>
        <v>str_steam_Robert_Stephenson_and_Co_2_2_2_192</v>
      </c>
      <c r="O827" s="7" t="b">
        <f>INDEX(PROPERTIES[IS_CONCEPT],MATCH(CONTROL[[#This Row],[VEHIDCODE]],PROPERTIES[VEHIDCODE],0))="IS_CONCEPT"</f>
        <v>0</v>
      </c>
      <c r="P827" s="7" t="b">
        <f>INDEX(PROPERTIES[EXCLUDE],MATCH(CONTROL[[#This Row],[VEHIDCODE]],PROPERTIES[VEHIDCODE],0))</f>
        <v>0</v>
      </c>
      <c r="Q8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28" spans="1:17" x14ac:dyDescent="0.35">
      <c r="A828" t="s">
        <v>3285</v>
      </c>
      <c r="B828" s="21" t="str">
        <f>MID(CONTROL[[#This Row],[VEHIDCODE]],FIND("_",CONTROL[[#This Row],[VEHIDCODE]])+1,LEN(CONTROL[[#This Row],[VEHIDCODE]]))</f>
        <v>Comeng_MK_Hitachi_Trains</v>
      </c>
      <c r="C8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8075</v>
      </c>
      <c r="F828" s="30" t="s">
        <v>2444</v>
      </c>
      <c r="G828" t="s">
        <v>1742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ISNUMBER(MATCH(CONTROL[[#This Row],[VEHIDCODE]],TRACK_TYPES[VEHIDCODE],0))</f>
        <v>1</v>
      </c>
      <c r="K828" t="b">
        <f>ISNUMBER(MATCH(CONTROL[[#This Row],[VEHIDCODE]],PROPERTIES[VEHIDCODE],0))</f>
        <v>1</v>
      </c>
      <c r="L828" t="b">
        <f>ISNUMBER(MATCH(CONTROL[[#This Row],[VEHIDCODE]],GRAPHICS_PROPERTIES[VEHIDCODE],0))</f>
        <v>1</v>
      </c>
      <c r="M828" s="21" t="str">
        <f>"item_"&amp;CONTROL[[#This Row],[VEHIDCODE]]</f>
        <v>item_emu_Comeng_MK_Hitachi_Trains</v>
      </c>
      <c r="N828" s="21" t="str">
        <f>"str_"&amp;CONTROL[[#This Row],[VEHIDCODE]]</f>
        <v>str_emu_Comeng_MK_Hitachi_Trains</v>
      </c>
      <c r="O828" s="7" t="b">
        <f>INDEX(PROPERTIES[IS_CONCEPT],MATCH(CONTROL[[#This Row],[VEHIDCODE]],PROPERTIES[VEHIDCODE],0))="IS_CONCEPT"</f>
        <v>0</v>
      </c>
      <c r="P828" s="7" t="b">
        <f>INDEX(PROPERTIES[EXCLUDE],MATCH(CONTROL[[#This Row],[VEHIDCODE]],PROPERTIES[VEHIDCODE],0))</f>
        <v>0</v>
      </c>
      <c r="Q8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29" spans="1:17" x14ac:dyDescent="0.35">
      <c r="A829" t="s">
        <v>3286</v>
      </c>
      <c r="B829" s="21" t="str">
        <f>MID(CONTROL[[#This Row],[VEHIDCODE]],FIND("_",CONTROL[[#This Row],[VEHIDCODE]])+1,LEN(CONTROL[[#This Row],[VEHIDCODE]]))</f>
        <v>GRC_W_Harris_Trains</v>
      </c>
      <c r="C8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2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8076</v>
      </c>
      <c r="F829" s="30" t="s">
        <v>2445</v>
      </c>
      <c r="G829" t="s">
        <v>1743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ISNUMBER(MATCH(CONTROL[[#This Row],[VEHIDCODE]],TRACK_TYPES[VEHIDCODE],0))</f>
        <v>1</v>
      </c>
      <c r="K829" t="b">
        <f>ISNUMBER(MATCH(CONTROL[[#This Row],[VEHIDCODE]],PROPERTIES[VEHIDCODE],0))</f>
        <v>1</v>
      </c>
      <c r="L829" t="b">
        <f>ISNUMBER(MATCH(CONTROL[[#This Row],[VEHIDCODE]],GRAPHICS_PROPERTIES[VEHIDCODE],0))</f>
        <v>1</v>
      </c>
      <c r="M829" s="21" t="str">
        <f>"item_"&amp;CONTROL[[#This Row],[VEHIDCODE]]</f>
        <v>item_emu_GRC_W_Harris_Trains</v>
      </c>
      <c r="N829" s="21" t="str">
        <f>"str_"&amp;CONTROL[[#This Row],[VEHIDCODE]]</f>
        <v>str_emu_GRC_W_Harris_Trains</v>
      </c>
      <c r="O829" s="7" t="b">
        <f>INDEX(PROPERTIES[IS_CONCEPT],MATCH(CONTROL[[#This Row],[VEHIDCODE]],PROPERTIES[VEHIDCODE],0))="IS_CONCEPT"</f>
        <v>0</v>
      </c>
      <c r="P829" s="7" t="b">
        <f>INDEX(PROPERTIES[EXCLUDE],MATCH(CONTROL[[#This Row],[VEHIDCODE]],PROPERTIES[VEHIDCODE],0))</f>
        <v>0</v>
      </c>
      <c r="Q8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30" spans="1:17" x14ac:dyDescent="0.35">
      <c r="A830" t="s">
        <v>3287</v>
      </c>
      <c r="B830" s="21" t="str">
        <f>MID(CONTROL[[#This Row],[VEHIDCODE]],FIND("_",CONTROL[[#This Row],[VEHIDCODE]])+1,LEN(CONTROL[[#This Row],[VEHIDCODE]]))</f>
        <v>Siemens_Nexas</v>
      </c>
      <c r="C8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3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8077</v>
      </c>
      <c r="F830" s="30" t="s">
        <v>2446</v>
      </c>
      <c r="G830" t="s">
        <v>1744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ISNUMBER(MATCH(CONTROL[[#This Row],[VEHIDCODE]],TRACK_TYPES[VEHIDCODE],0))</f>
        <v>1</v>
      </c>
      <c r="K830" t="b">
        <f>ISNUMBER(MATCH(CONTROL[[#This Row],[VEHIDCODE]],PROPERTIES[VEHIDCODE],0))</f>
        <v>1</v>
      </c>
      <c r="L830" t="b">
        <f>ISNUMBER(MATCH(CONTROL[[#This Row],[VEHIDCODE]],GRAPHICS_PROPERTIES[VEHIDCODE],0))</f>
        <v>1</v>
      </c>
      <c r="M830" s="21" t="str">
        <f>"item_"&amp;CONTROL[[#This Row],[VEHIDCODE]]</f>
        <v>item_emu_Siemens_Nexas</v>
      </c>
      <c r="N830" s="21" t="str">
        <f>"str_"&amp;CONTROL[[#This Row],[VEHIDCODE]]</f>
        <v>str_emu_Siemens_Nexas</v>
      </c>
      <c r="O830" s="7" t="b">
        <f>INDEX(PROPERTIES[IS_CONCEPT],MATCH(CONTROL[[#This Row],[VEHIDCODE]],PROPERTIES[VEHIDCODE],0))="IS_CONCEPT"</f>
        <v>0</v>
      </c>
      <c r="P830" s="7" t="b">
        <f>INDEX(PROPERTIES[EXCLUDE],MATCH(CONTROL[[#This Row],[VEHIDCODE]],PROPERTIES[VEHIDCODE],0))</f>
        <v>0</v>
      </c>
      <c r="Q8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31" spans="1:17" x14ac:dyDescent="0.35">
      <c r="A831" t="s">
        <v>3288</v>
      </c>
      <c r="B831" s="21" t="str">
        <f>MID(CONTROL[[#This Row],[VEHIDCODE]],FIND("_",CONTROL[[#This Row],[VEHIDCODE]])+1,LEN(CONTROL[[#This Row],[VEHIDCODE]]))</f>
        <v>Victorian_Railways_Tait_Trains</v>
      </c>
      <c r="C8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3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8078</v>
      </c>
      <c r="F831" s="30" t="s">
        <v>2447</v>
      </c>
      <c r="G831" t="s">
        <v>1745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ISNUMBER(MATCH(CONTROL[[#This Row],[VEHIDCODE]],TRACK_TYPES[VEHIDCODE],0))</f>
        <v>1</v>
      </c>
      <c r="K831" t="b">
        <f>ISNUMBER(MATCH(CONTROL[[#This Row],[VEHIDCODE]],PROPERTIES[VEHIDCODE],0))</f>
        <v>1</v>
      </c>
      <c r="L831" t="b">
        <f>ISNUMBER(MATCH(CONTROL[[#This Row],[VEHIDCODE]],GRAPHICS_PROPERTIES[VEHIDCODE],0))</f>
        <v>1</v>
      </c>
      <c r="M831" s="21" t="str">
        <f>"item_"&amp;CONTROL[[#This Row],[VEHIDCODE]]</f>
        <v>item_emu_Victorian_Railways_Tait_Trains</v>
      </c>
      <c r="N831" s="21" t="str">
        <f>"str_"&amp;CONTROL[[#This Row],[VEHIDCODE]]</f>
        <v>str_emu_Victorian_Railways_Tait_Trains</v>
      </c>
      <c r="O831" s="7" t="b">
        <f>INDEX(PROPERTIES[IS_CONCEPT],MATCH(CONTROL[[#This Row],[VEHIDCODE]],PROPERTIES[VEHIDCODE],0))="IS_CONCEPT"</f>
        <v>0</v>
      </c>
      <c r="P831" s="7" t="b">
        <f>INDEX(PROPERTIES[EXCLUDE],MATCH(CONTROL[[#This Row],[VEHIDCODE]],PROPERTIES[VEHIDCODE],0))</f>
        <v>0</v>
      </c>
      <c r="Q8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32" spans="1:17" x14ac:dyDescent="0.35">
      <c r="A832" t="s">
        <v>3289</v>
      </c>
      <c r="B832" s="21" t="str">
        <f>MID(CONTROL[[#This Row],[VEHIDCODE]],FIND("_",CONTROL[[#This Row],[VEHIDCODE]])+1,LEN(CONTROL[[#This Row],[VEHIDCODE]]))</f>
        <v>ABB_Henschel_Berlin_BVG_F74</v>
      </c>
      <c r="C8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3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9064</v>
      </c>
      <c r="F832" s="30" t="s">
        <v>2448</v>
      </c>
      <c r="G832" t="s">
        <v>1746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ISNUMBER(MATCH(CONTROL[[#This Row],[VEHIDCODE]],TRACK_TYPES[VEHIDCODE],0))</f>
        <v>1</v>
      </c>
      <c r="K832" t="b">
        <f>ISNUMBER(MATCH(CONTROL[[#This Row],[VEHIDCODE]],PROPERTIES[VEHIDCODE],0))</f>
        <v>1</v>
      </c>
      <c r="L832" t="b">
        <f>ISNUMBER(MATCH(CONTROL[[#This Row],[VEHIDCODE]],GRAPHICS_PROPERTIES[VEHIDCODE],0))</f>
        <v>1</v>
      </c>
      <c r="M832" s="21" t="str">
        <f>"item_"&amp;CONTROL[[#This Row],[VEHIDCODE]]</f>
        <v>item_mtro_ABB_Henschel_Berlin_BVG_F74</v>
      </c>
      <c r="N832" s="21" t="str">
        <f>"str_"&amp;CONTROL[[#This Row],[VEHIDCODE]]</f>
        <v>str_mtro_ABB_Henschel_Berlin_BVG_F74</v>
      </c>
      <c r="O832" s="7" t="b">
        <f>INDEX(PROPERTIES[IS_CONCEPT],MATCH(CONTROL[[#This Row],[VEHIDCODE]],PROPERTIES[VEHIDCODE],0))="IS_CONCEPT"</f>
        <v>0</v>
      </c>
      <c r="P832" s="7" t="b">
        <f>INDEX(PROPERTIES[EXCLUDE],MATCH(CONTROL[[#This Row],[VEHIDCODE]],PROPERTIES[VEHIDCODE],0))</f>
        <v>0</v>
      </c>
      <c r="Q8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33" spans="1:17" x14ac:dyDescent="0.35">
      <c r="A833" t="s">
        <v>3290</v>
      </c>
      <c r="B833" s="21" t="str">
        <f>MID(CONTROL[[#This Row],[VEHIDCODE]],FIND("_",CONTROL[[#This Row],[VEHIDCODE]])+1,LEN(CONTROL[[#This Row],[VEHIDCODE]]))</f>
        <v>Adtranz_Berlin_BVG_H</v>
      </c>
      <c r="C8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83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9065</v>
      </c>
      <c r="F833" s="30" t="s">
        <v>2449</v>
      </c>
      <c r="G833" t="s">
        <v>1747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ISNUMBER(MATCH(CONTROL[[#This Row],[VEHIDCODE]],TRACK_TYPES[VEHIDCODE],0))</f>
        <v>1</v>
      </c>
      <c r="K833" t="b">
        <f>ISNUMBER(MATCH(CONTROL[[#This Row],[VEHIDCODE]],PROPERTIES[VEHIDCODE],0))</f>
        <v>1</v>
      </c>
      <c r="L833" t="b">
        <f>ISNUMBER(MATCH(CONTROL[[#This Row],[VEHIDCODE]],GRAPHICS_PROPERTIES[VEHIDCODE],0))</f>
        <v>1</v>
      </c>
      <c r="M833" s="21" t="str">
        <f>"item_"&amp;CONTROL[[#This Row],[VEHIDCODE]]</f>
        <v>item_mtro_Adtranz_Berlin_BVG_H</v>
      </c>
      <c r="N833" s="21" t="str">
        <f>"str_"&amp;CONTROL[[#This Row],[VEHIDCODE]]</f>
        <v>str_mtro_Adtranz_Berlin_BVG_H</v>
      </c>
      <c r="O833" s="7" t="b">
        <f>INDEX(PROPERTIES[IS_CONCEPT],MATCH(CONTROL[[#This Row],[VEHIDCODE]],PROPERTIES[VEHIDCODE],0))="IS_CONCEPT"</f>
        <v>0</v>
      </c>
      <c r="P833" s="7" t="b">
        <f>INDEX(PROPERTIES[EXCLUDE],MATCH(CONTROL[[#This Row],[VEHIDCODE]],PROPERTIES[VEHIDCODE],0))</f>
        <v>0</v>
      </c>
      <c r="Q8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834" spans="1:17" x14ac:dyDescent="0.35">
      <c r="A834" t="s">
        <v>3291</v>
      </c>
      <c r="B834" s="21" t="str">
        <f>MID(CONTROL[[#This Row],[VEHIDCODE]],FIND("_",CONTROL[[#This Row],[VEHIDCODE]])+1,LEN(CONTROL[[#This Row],[VEHIDCODE]]))</f>
        <v>LB_SCR_BRW_0_6_0T_A1</v>
      </c>
      <c r="C8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4121</v>
      </c>
      <c r="F834" s="30" t="s">
        <v>2450</v>
      </c>
      <c r="G834" t="s">
        <v>1748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ISNUMBER(MATCH(CONTROL[[#This Row],[VEHIDCODE]],TRACK_TYPES[VEHIDCODE],0))</f>
        <v>1</v>
      </c>
      <c r="K834" t="b">
        <f>ISNUMBER(MATCH(CONTROL[[#This Row],[VEHIDCODE]],PROPERTIES[VEHIDCODE],0))</f>
        <v>1</v>
      </c>
      <c r="L834" t="b">
        <f>ISNUMBER(MATCH(CONTROL[[#This Row],[VEHIDCODE]],GRAPHICS_PROPERTIES[VEHIDCODE],0))</f>
        <v>1</v>
      </c>
      <c r="M834" s="21" t="str">
        <f>"item_"&amp;CONTROL[[#This Row],[VEHIDCODE]]</f>
        <v>item_steam_LB_SCR_BRW_0_6_0T_A1</v>
      </c>
      <c r="N834" s="21" t="str">
        <f>"str_"&amp;CONTROL[[#This Row],[VEHIDCODE]]</f>
        <v>str_steam_LB_SCR_BRW_0_6_0T_A1</v>
      </c>
      <c r="O834" s="7" t="b">
        <f>INDEX(PROPERTIES[IS_CONCEPT],MATCH(CONTROL[[#This Row],[VEHIDCODE]],PROPERTIES[VEHIDCODE],0))="IS_CONCEPT"</f>
        <v>0</v>
      </c>
      <c r="P834" s="7" t="b">
        <f>INDEX(PROPERTIES[EXCLUDE],MATCH(CONTROL[[#This Row],[VEHIDCODE]],PROPERTIES[VEHIDCODE],0))</f>
        <v>0</v>
      </c>
      <c r="Q8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35" spans="1:17" x14ac:dyDescent="0.35">
      <c r="A835" t="s">
        <v>3292</v>
      </c>
      <c r="B835" s="21" t="str">
        <f>MID(CONTROL[[#This Row],[VEHIDCODE]],FIND("_",CONTROL[[#This Row],[VEHIDCODE]])+1,LEN(CONTROL[[#This Row],[VEHIDCODE]]))</f>
        <v>BP_4_6_4T_4444_4478_C30</v>
      </c>
      <c r="C8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4122</v>
      </c>
      <c r="F835" s="30" t="s">
        <v>2451</v>
      </c>
      <c r="G835" t="s">
        <v>1749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ISNUMBER(MATCH(CONTROL[[#This Row],[VEHIDCODE]],TRACK_TYPES[VEHIDCODE],0))</f>
        <v>1</v>
      </c>
      <c r="K835" t="b">
        <f>ISNUMBER(MATCH(CONTROL[[#This Row],[VEHIDCODE]],PROPERTIES[VEHIDCODE],0))</f>
        <v>1</v>
      </c>
      <c r="L835" t="b">
        <f>ISNUMBER(MATCH(CONTROL[[#This Row],[VEHIDCODE]],GRAPHICS_PROPERTIES[VEHIDCODE],0))</f>
        <v>1</v>
      </c>
      <c r="M835" s="21" t="str">
        <f>"item_"&amp;CONTROL[[#This Row],[VEHIDCODE]]</f>
        <v>item_steam_BP_4_6_4T_4444_4478_C30</v>
      </c>
      <c r="N835" s="21" t="str">
        <f>"str_"&amp;CONTROL[[#This Row],[VEHIDCODE]]</f>
        <v>str_steam_BP_4_6_4T_4444_4478_C30</v>
      </c>
      <c r="O835" s="7" t="b">
        <f>INDEX(PROPERTIES[IS_CONCEPT],MATCH(CONTROL[[#This Row],[VEHIDCODE]],PROPERTIES[VEHIDCODE],0))="IS_CONCEPT"</f>
        <v>0</v>
      </c>
      <c r="P835" s="7" t="b">
        <f>INDEX(PROPERTIES[EXCLUDE],MATCH(CONTROL[[#This Row],[VEHIDCODE]],PROPERTIES[VEHIDCODE],0))</f>
        <v>0</v>
      </c>
      <c r="Q8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36" spans="1:17" x14ac:dyDescent="0.35">
      <c r="A836" s="2" t="s">
        <v>3293</v>
      </c>
      <c r="B836" s="21" t="str">
        <f>MID(CONTROL[[#This Row],[VEHIDCODE]],FIND("_",CONTROL[[#This Row],[VEHIDCODE]])+1,LEN(CONTROL[[#This Row],[VEHIDCODE]]))</f>
        <v>BP_Baldwin_Clyde_4_6_0_C32</v>
      </c>
      <c r="C8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4123</v>
      </c>
      <c r="F836" s="30" t="s">
        <v>2452</v>
      </c>
      <c r="G836" t="s">
        <v>1750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ISNUMBER(MATCH(CONTROL[[#This Row],[VEHIDCODE]],TRACK_TYPES[VEHIDCODE],0))</f>
        <v>1</v>
      </c>
      <c r="K836" t="b">
        <f>ISNUMBER(MATCH(CONTROL[[#This Row],[VEHIDCODE]],PROPERTIES[VEHIDCODE],0))</f>
        <v>1</v>
      </c>
      <c r="L836" t="b">
        <f>ISNUMBER(MATCH(CONTROL[[#This Row],[VEHIDCODE]],GRAPHICS_PROPERTIES[VEHIDCODE],0))</f>
        <v>1</v>
      </c>
      <c r="M836" s="21" t="str">
        <f>"item_"&amp;CONTROL[[#This Row],[VEHIDCODE]]</f>
        <v>item_steam_BP_Baldwin_Clyde_4_6_0_C32</v>
      </c>
      <c r="N836" s="21" t="str">
        <f>"str_"&amp;CONTROL[[#This Row],[VEHIDCODE]]</f>
        <v>str_steam_BP_Baldwin_Clyde_4_6_0_C32</v>
      </c>
      <c r="O836" s="7" t="b">
        <f>INDEX(PROPERTIES[IS_CONCEPT],MATCH(CONTROL[[#This Row],[VEHIDCODE]],PROPERTIES[VEHIDCODE],0))="IS_CONCEPT"</f>
        <v>0</v>
      </c>
      <c r="P836" s="7" t="b">
        <f>INDEX(PROPERTIES[EXCLUDE],MATCH(CONTROL[[#This Row],[VEHIDCODE]],PROPERTIES[VEHIDCODE],0))</f>
        <v>0</v>
      </c>
      <c r="Q8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37" spans="1:17" x14ac:dyDescent="0.35">
      <c r="A837" s="2" t="s">
        <v>3294</v>
      </c>
      <c r="B837" s="21" t="str">
        <f>MID(CONTROL[[#This Row],[VEHIDCODE]],FIND("_",CONTROL[[#This Row],[VEHIDCODE]])+1,LEN(CONTROL[[#This Row],[VEHIDCODE]]))</f>
        <v>BP_NBLC_2_8_0_D50</v>
      </c>
      <c r="C8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4124</v>
      </c>
      <c r="F837" s="30" t="s">
        <v>2453</v>
      </c>
      <c r="G837" t="s">
        <v>1751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ISNUMBER(MATCH(CONTROL[[#This Row],[VEHIDCODE]],TRACK_TYPES[VEHIDCODE],0))</f>
        <v>1</v>
      </c>
      <c r="K837" t="b">
        <f>ISNUMBER(MATCH(CONTROL[[#This Row],[VEHIDCODE]],PROPERTIES[VEHIDCODE],0))</f>
        <v>1</v>
      </c>
      <c r="L837" t="b">
        <f>ISNUMBER(MATCH(CONTROL[[#This Row],[VEHIDCODE]],GRAPHICS_PROPERTIES[VEHIDCODE],0))</f>
        <v>1</v>
      </c>
      <c r="M837" s="21" t="str">
        <f>"item_"&amp;CONTROL[[#This Row],[VEHIDCODE]]</f>
        <v>item_steam_BP_NBLC_2_8_0_D50</v>
      </c>
      <c r="N837" s="21" t="str">
        <f>"str_"&amp;CONTROL[[#This Row],[VEHIDCODE]]</f>
        <v>str_steam_BP_NBLC_2_8_0_D50</v>
      </c>
      <c r="O837" s="7" t="b">
        <f>INDEX(PROPERTIES[IS_CONCEPT],MATCH(CONTROL[[#This Row],[VEHIDCODE]],PROPERTIES[VEHIDCODE],0))="IS_CONCEPT"</f>
        <v>0</v>
      </c>
      <c r="P837" s="7" t="b">
        <f>INDEX(PROPERTIES[EXCLUDE],MATCH(CONTROL[[#This Row],[VEHIDCODE]],PROPERTIES[VEHIDCODE],0))</f>
        <v>0</v>
      </c>
      <c r="Q8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38" spans="1:17" x14ac:dyDescent="0.35">
      <c r="A838" s="2" t="s">
        <v>3295</v>
      </c>
      <c r="B838" s="21" t="str">
        <f>MID(CONTROL[[#This Row],[VEHIDCODE]],FIND("_",CONTROL[[#This Row],[VEHIDCODE]])+1,LEN(CONTROL[[#This Row],[VEHIDCODE]]))</f>
        <v>BP_Dubs_4_4_0_Z12</v>
      </c>
      <c r="C8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4125</v>
      </c>
      <c r="F838" s="30" t="s">
        <v>2454</v>
      </c>
      <c r="G838" s="32" t="s">
        <v>1752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ISNUMBER(MATCH(CONTROL[[#This Row],[VEHIDCODE]],TRACK_TYPES[VEHIDCODE],0))</f>
        <v>1</v>
      </c>
      <c r="K838" t="b">
        <f>ISNUMBER(MATCH(CONTROL[[#This Row],[VEHIDCODE]],PROPERTIES[VEHIDCODE],0))</f>
        <v>1</v>
      </c>
      <c r="L838" t="b">
        <f>ISNUMBER(MATCH(CONTROL[[#This Row],[VEHIDCODE]],GRAPHICS_PROPERTIES[VEHIDCODE],0))</f>
        <v>1</v>
      </c>
      <c r="M838" s="21" t="str">
        <f>"item_"&amp;CONTROL[[#This Row],[VEHIDCODE]]</f>
        <v>item_steam_BP_Dubs_4_4_0_Z12</v>
      </c>
      <c r="N838" s="21" t="str">
        <f>"str_"&amp;CONTROL[[#This Row],[VEHIDCODE]]</f>
        <v>str_steam_BP_Dubs_4_4_0_Z12</v>
      </c>
      <c r="O838" s="7" t="b">
        <f>INDEX(PROPERTIES[IS_CONCEPT],MATCH(CONTROL[[#This Row],[VEHIDCODE]],PROPERTIES[VEHIDCODE],0))="IS_CONCEPT"</f>
        <v>0</v>
      </c>
      <c r="P838" s="7" t="b">
        <f>INDEX(PROPERTIES[EXCLUDE],MATCH(CONTROL[[#This Row],[VEHIDCODE]],PROPERTIES[VEHIDCODE],0))</f>
        <v>0</v>
      </c>
      <c r="Q8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39" spans="1:17" x14ac:dyDescent="0.35">
      <c r="A839" s="2" t="s">
        <v>3296</v>
      </c>
      <c r="B839" s="21" t="str">
        <f>MID(CONTROL[[#This Row],[VEHIDCODE]],FIND("_",CONTROL[[#This Row],[VEHIDCODE]])+1,LEN(CONTROL[[#This Row],[VEHIDCODE]]))</f>
        <v>BP_0_6_0_Z19</v>
      </c>
      <c r="C8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3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4126</v>
      </c>
      <c r="F839" s="30" t="s">
        <v>2455</v>
      </c>
      <c r="G839" s="32" t="s">
        <v>1753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ISNUMBER(MATCH(CONTROL[[#This Row],[VEHIDCODE]],TRACK_TYPES[VEHIDCODE],0))</f>
        <v>1</v>
      </c>
      <c r="K839" t="b">
        <f>ISNUMBER(MATCH(CONTROL[[#This Row],[VEHIDCODE]],PROPERTIES[VEHIDCODE],0))</f>
        <v>1</v>
      </c>
      <c r="L839" t="b">
        <f>ISNUMBER(MATCH(CONTROL[[#This Row],[VEHIDCODE]],GRAPHICS_PROPERTIES[VEHIDCODE],0))</f>
        <v>1</v>
      </c>
      <c r="M839" s="21" t="str">
        <f>"item_"&amp;CONTROL[[#This Row],[VEHIDCODE]]</f>
        <v>item_steam_BP_0_6_0_Z19</v>
      </c>
      <c r="N839" s="21" t="str">
        <f>"str_"&amp;CONTROL[[#This Row],[VEHIDCODE]]</f>
        <v>str_steam_BP_0_6_0_Z19</v>
      </c>
      <c r="O839" s="7" t="b">
        <f>INDEX(PROPERTIES[IS_CONCEPT],MATCH(CONTROL[[#This Row],[VEHIDCODE]],PROPERTIES[VEHIDCODE],0))="IS_CONCEPT"</f>
        <v>0</v>
      </c>
      <c r="P839" s="7" t="b">
        <f>INDEX(PROPERTIES[EXCLUDE],MATCH(CONTROL[[#This Row],[VEHIDCODE]],PROPERTIES[VEHIDCODE],0))</f>
        <v>0</v>
      </c>
      <c r="Q8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0" spans="1:17" x14ac:dyDescent="0.35">
      <c r="A840" s="2" t="s">
        <v>3297</v>
      </c>
      <c r="B840" s="21" t="str">
        <f>MID(CONTROL[[#This Row],[VEHIDCODE]],FIND("_",CONTROL[[#This Row],[VEHIDCODE]])+1,LEN(CONTROL[[#This Row],[VEHIDCODE]]))</f>
        <v>Dubs_2_6_2ST_Z26</v>
      </c>
      <c r="C8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4127</v>
      </c>
      <c r="F840" s="30" t="s">
        <v>2456</v>
      </c>
      <c r="G840" s="32" t="s">
        <v>1754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ISNUMBER(MATCH(CONTROL[[#This Row],[VEHIDCODE]],TRACK_TYPES[VEHIDCODE],0))</f>
        <v>1</v>
      </c>
      <c r="K840" t="b">
        <f>ISNUMBER(MATCH(CONTROL[[#This Row],[VEHIDCODE]],PROPERTIES[VEHIDCODE],0))</f>
        <v>1</v>
      </c>
      <c r="L840" t="b">
        <f>ISNUMBER(MATCH(CONTROL[[#This Row],[VEHIDCODE]],GRAPHICS_PROPERTIES[VEHIDCODE],0))</f>
        <v>1</v>
      </c>
      <c r="M840" s="21" t="str">
        <f>"item_"&amp;CONTROL[[#This Row],[VEHIDCODE]]</f>
        <v>item_steam_Dubs_2_6_2ST_Z26</v>
      </c>
      <c r="N840" s="21" t="str">
        <f>"str_"&amp;CONTROL[[#This Row],[VEHIDCODE]]</f>
        <v>str_steam_Dubs_2_6_2ST_Z26</v>
      </c>
      <c r="O840" s="7" t="b">
        <f>INDEX(PROPERTIES[IS_CONCEPT],MATCH(CONTROL[[#This Row],[VEHIDCODE]],PROPERTIES[VEHIDCODE],0))="IS_CONCEPT"</f>
        <v>0</v>
      </c>
      <c r="P840" s="7" t="b">
        <f>INDEX(PROPERTIES[EXCLUDE],MATCH(CONTROL[[#This Row],[VEHIDCODE]],PROPERTIES[VEHIDCODE],0))</f>
        <v>0</v>
      </c>
      <c r="Q8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41" spans="1:17" x14ac:dyDescent="0.35">
      <c r="A841" s="2" t="s">
        <v>3298</v>
      </c>
      <c r="B841" s="21" t="str">
        <f>MID(CONTROL[[#This Row],[VEHIDCODE]],FIND("_",CONTROL[[#This Row],[VEHIDCODE]])+1,LEN(CONTROL[[#This Row],[VEHIDCODE]]))</f>
        <v>GCR_Kitson_NBLC_ROD_2_8_0_8K</v>
      </c>
      <c r="C8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4128</v>
      </c>
      <c r="F841" s="30" t="s">
        <v>2457</v>
      </c>
      <c r="G841" s="32" t="s">
        <v>1755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ISNUMBER(MATCH(CONTROL[[#This Row],[VEHIDCODE]],TRACK_TYPES[VEHIDCODE],0))</f>
        <v>1</v>
      </c>
      <c r="K841" t="b">
        <f>ISNUMBER(MATCH(CONTROL[[#This Row],[VEHIDCODE]],PROPERTIES[VEHIDCODE],0))</f>
        <v>1</v>
      </c>
      <c r="L841" t="b">
        <f>ISNUMBER(MATCH(CONTROL[[#This Row],[VEHIDCODE]],GRAPHICS_PROPERTIES[VEHIDCODE],0))</f>
        <v>1</v>
      </c>
      <c r="M841" s="21" t="str">
        <f>"item_"&amp;CONTROL[[#This Row],[VEHIDCODE]]</f>
        <v>item_steam_GCR_Kitson_NBLC_ROD_2_8_0_8K</v>
      </c>
      <c r="N841" s="21" t="str">
        <f>"str_"&amp;CONTROL[[#This Row],[VEHIDCODE]]</f>
        <v>str_steam_GCR_Kitson_NBLC_ROD_2_8_0_8K</v>
      </c>
      <c r="O841" s="7" t="b">
        <f>INDEX(PROPERTIES[IS_CONCEPT],MATCH(CONTROL[[#This Row],[VEHIDCODE]],PROPERTIES[VEHIDCODE],0))="IS_CONCEPT"</f>
        <v>0</v>
      </c>
      <c r="P841" s="7" t="b">
        <f>INDEX(PROPERTIES[EXCLUDE],MATCH(CONTROL[[#This Row],[VEHIDCODE]],PROPERTIES[VEHIDCODE],0))</f>
        <v>0</v>
      </c>
      <c r="Q8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2" spans="1:17" x14ac:dyDescent="0.35">
      <c r="A842" s="2" t="s">
        <v>3299</v>
      </c>
      <c r="B842" s="21" t="str">
        <f>MID(CONTROL[[#This Row],[VEHIDCODE]],FIND("_",CONTROL[[#This Row],[VEHIDCODE]])+1,LEN(CONTROL[[#This Row],[VEHIDCODE]]))</f>
        <v>ALCO_4_6_2_SAR_600</v>
      </c>
      <c r="C8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4129</v>
      </c>
      <c r="F842" s="30" t="s">
        <v>2458</v>
      </c>
      <c r="G842" s="32" t="s">
        <v>1756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ISNUMBER(MATCH(CONTROL[[#This Row],[VEHIDCODE]],TRACK_TYPES[VEHIDCODE],0))</f>
        <v>1</v>
      </c>
      <c r="K842" t="b">
        <f>ISNUMBER(MATCH(CONTROL[[#This Row],[VEHIDCODE]],PROPERTIES[VEHIDCODE],0))</f>
        <v>1</v>
      </c>
      <c r="L842" t="b">
        <f>ISNUMBER(MATCH(CONTROL[[#This Row],[VEHIDCODE]],GRAPHICS_PROPERTIES[VEHIDCODE],0))</f>
        <v>1</v>
      </c>
      <c r="M842" s="21" t="str">
        <f>"item_"&amp;CONTROL[[#This Row],[VEHIDCODE]]</f>
        <v>item_steam_ALCO_4_6_2_SAR_600</v>
      </c>
      <c r="N842" s="21" t="str">
        <f>"str_"&amp;CONTROL[[#This Row],[VEHIDCODE]]</f>
        <v>str_steam_ALCO_4_6_2_SAR_600</v>
      </c>
      <c r="O842" s="7" t="b">
        <f>INDEX(PROPERTIES[IS_CONCEPT],MATCH(CONTROL[[#This Row],[VEHIDCODE]],PROPERTIES[VEHIDCODE],0))="IS_CONCEPT"</f>
        <v>0</v>
      </c>
      <c r="P842" s="7" t="b">
        <f>INDEX(PROPERTIES[EXCLUDE],MATCH(CONTROL[[#This Row],[VEHIDCODE]],PROPERTIES[VEHIDCODE],0))</f>
        <v>0</v>
      </c>
      <c r="Q8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3" spans="1:17" x14ac:dyDescent="0.35">
      <c r="A843" t="s">
        <v>3300</v>
      </c>
      <c r="B843" s="21" t="str">
        <f>MID(CONTROL[[#This Row],[VEHIDCODE]],FIND("_",CONTROL[[#This Row],[VEHIDCODE]])+1,LEN(CONTROL[[#This Row],[VEHIDCODE]]))</f>
        <v>BP_2_8_2T_South_Maitland_10</v>
      </c>
      <c r="C8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4130</v>
      </c>
      <c r="F843" s="30" t="s">
        <v>2459</v>
      </c>
      <c r="G843" t="s">
        <v>1757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ISNUMBER(MATCH(CONTROL[[#This Row],[VEHIDCODE]],TRACK_TYPES[VEHIDCODE],0))</f>
        <v>1</v>
      </c>
      <c r="K843" t="b">
        <f>ISNUMBER(MATCH(CONTROL[[#This Row],[VEHIDCODE]],PROPERTIES[VEHIDCODE],0))</f>
        <v>1</v>
      </c>
      <c r="L843" t="b">
        <f>ISNUMBER(MATCH(CONTROL[[#This Row],[VEHIDCODE]],GRAPHICS_PROPERTIES[VEHIDCODE],0))</f>
        <v>1</v>
      </c>
      <c r="M843" s="21" t="str">
        <f>"item_"&amp;CONTROL[[#This Row],[VEHIDCODE]]</f>
        <v>item_steam_BP_2_8_2T_South_Maitland_10</v>
      </c>
      <c r="N843" s="21" t="str">
        <f>"str_"&amp;CONTROL[[#This Row],[VEHIDCODE]]</f>
        <v>str_steam_BP_2_8_2T_South_Maitland_10</v>
      </c>
      <c r="O843" s="7" t="b">
        <f>INDEX(PROPERTIES[IS_CONCEPT],MATCH(CONTROL[[#This Row],[VEHIDCODE]],PROPERTIES[VEHIDCODE],0))="IS_CONCEPT"</f>
        <v>0</v>
      </c>
      <c r="P843" s="7" t="b">
        <f>INDEX(PROPERTIES[EXCLUDE],MATCH(CONTROL[[#This Row],[VEHIDCODE]],PROPERTIES[VEHIDCODE],0))</f>
        <v>0</v>
      </c>
      <c r="Q8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44" spans="1:17" x14ac:dyDescent="0.35">
      <c r="A844" t="s">
        <v>3301</v>
      </c>
      <c r="B844" s="21" t="str">
        <f>MID(CONTROL[[#This Row],[VEHIDCODE]],FIND("_",CONTROL[[#This Row],[VEHIDCODE]])+1,LEN(CONTROL[[#This Row],[VEHIDCODE]]))</f>
        <v>Victorian_Railways_H</v>
      </c>
      <c r="C8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4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4131</v>
      </c>
      <c r="F844" s="30" t="s">
        <v>1758</v>
      </c>
      <c r="G844" t="s">
        <v>1759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ISNUMBER(MATCH(CONTROL[[#This Row],[VEHIDCODE]],TRACK_TYPES[VEHIDCODE],0))</f>
        <v>1</v>
      </c>
      <c r="K844" t="b">
        <f>ISNUMBER(MATCH(CONTROL[[#This Row],[VEHIDCODE]],PROPERTIES[VEHIDCODE],0))</f>
        <v>1</v>
      </c>
      <c r="L844" t="b">
        <f>ISNUMBER(MATCH(CONTROL[[#This Row],[VEHIDCODE]],GRAPHICS_PROPERTIES[VEHIDCODE],0))</f>
        <v>1</v>
      </c>
      <c r="M844" s="21" t="str">
        <f>"item_"&amp;CONTROL[[#This Row],[VEHIDCODE]]</f>
        <v>item_steam_Victorian_Railways_H</v>
      </c>
      <c r="N844" s="21" t="str">
        <f>"str_"&amp;CONTROL[[#This Row],[VEHIDCODE]]</f>
        <v>str_steam_Victorian_Railways_H</v>
      </c>
      <c r="O844" s="7" t="b">
        <f>INDEX(PROPERTIES[IS_CONCEPT],MATCH(CONTROL[[#This Row],[VEHIDCODE]],PROPERTIES[VEHIDCODE],0))="IS_CONCEPT"</f>
        <v>0</v>
      </c>
      <c r="P844" s="7" t="b">
        <f>INDEX(PROPERTIES[EXCLUDE],MATCH(CONTROL[[#This Row],[VEHIDCODE]],PROPERTIES[VEHIDCODE],0))</f>
        <v>0</v>
      </c>
      <c r="Q8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45" spans="1:17" x14ac:dyDescent="0.35">
      <c r="A845" t="s">
        <v>3302</v>
      </c>
      <c r="B845" s="21" t="str">
        <f>MID(CONTROL[[#This Row],[VEHIDCODE]],FIND("_",CONTROL[[#This Row],[VEHIDCODE]])+1,LEN(CONTROL[[#This Row],[VEHIDCODE]]))</f>
        <v>BTH_41_Class</v>
      </c>
      <c r="C8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5143</v>
      </c>
      <c r="F845" s="30" t="s">
        <v>2460</v>
      </c>
      <c r="G845" t="s">
        <v>1760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ISNUMBER(MATCH(CONTROL[[#This Row],[VEHIDCODE]],TRACK_TYPES[VEHIDCODE],0))</f>
        <v>1</v>
      </c>
      <c r="K845" t="b">
        <f>ISNUMBER(MATCH(CONTROL[[#This Row],[VEHIDCODE]],PROPERTIES[VEHIDCODE],0))</f>
        <v>1</v>
      </c>
      <c r="L845" t="b">
        <f>ISNUMBER(MATCH(CONTROL[[#This Row],[VEHIDCODE]],GRAPHICS_PROPERTIES[VEHIDCODE],0))</f>
        <v>1</v>
      </c>
      <c r="M845" s="21" t="str">
        <f>"item_"&amp;CONTROL[[#This Row],[VEHIDCODE]]</f>
        <v>item_diesel_BTH_41_Class</v>
      </c>
      <c r="N845" s="21" t="str">
        <f>"str_"&amp;CONTROL[[#This Row],[VEHIDCODE]]</f>
        <v>str_diesel_BTH_41_Class</v>
      </c>
      <c r="O845" s="7" t="b">
        <f>INDEX(PROPERTIES[IS_CONCEPT],MATCH(CONTROL[[#This Row],[VEHIDCODE]],PROPERTIES[VEHIDCODE],0))="IS_CONCEPT"</f>
        <v>0</v>
      </c>
      <c r="P845" s="7" t="b">
        <f>INDEX(PROPERTIES[EXCLUDE],MATCH(CONTROL[[#This Row],[VEHIDCODE]],PROPERTIES[VEHIDCODE],0))</f>
        <v>0</v>
      </c>
      <c r="Q8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6" spans="1:17" x14ac:dyDescent="0.35">
      <c r="A846" t="s">
        <v>3303</v>
      </c>
      <c r="B846" s="21" t="str">
        <f>MID(CONTROL[[#This Row],[VEHIDCODE]],FIND("_",CONTROL[[#This Row],[VEHIDCODE]])+1,LEN(CONTROL[[#This Row],[VEHIDCODE]]))</f>
        <v>ALCO_AE_Goodwin_DL531_532</v>
      </c>
      <c r="C8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5144</v>
      </c>
      <c r="F846" s="30" t="s">
        <v>2461</v>
      </c>
      <c r="G846" t="s">
        <v>1761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ISNUMBER(MATCH(CONTROL[[#This Row],[VEHIDCODE]],TRACK_TYPES[VEHIDCODE],0))</f>
        <v>1</v>
      </c>
      <c r="K846" t="b">
        <f>ISNUMBER(MATCH(CONTROL[[#This Row],[VEHIDCODE]],PROPERTIES[VEHIDCODE],0))</f>
        <v>1</v>
      </c>
      <c r="L846" t="b">
        <f>ISNUMBER(MATCH(CONTROL[[#This Row],[VEHIDCODE]],GRAPHICS_PROPERTIES[VEHIDCODE],0))</f>
        <v>1</v>
      </c>
      <c r="M846" s="21" t="str">
        <f>"item_"&amp;CONTROL[[#This Row],[VEHIDCODE]]</f>
        <v>item_diesel_ALCO_AE_Goodwin_DL531_532</v>
      </c>
      <c r="N846" s="21" t="str">
        <f>"str_"&amp;CONTROL[[#This Row],[VEHIDCODE]]</f>
        <v>str_diesel_ALCO_AE_Goodwin_DL531_532</v>
      </c>
      <c r="O846" s="7" t="b">
        <f>INDEX(PROPERTIES[IS_CONCEPT],MATCH(CONTROL[[#This Row],[VEHIDCODE]],PROPERTIES[VEHIDCODE],0))="IS_CONCEPT"</f>
        <v>0</v>
      </c>
      <c r="P846" s="7" t="b">
        <f>INDEX(PROPERTIES[EXCLUDE],MATCH(CONTROL[[#This Row],[VEHIDCODE]],PROPERTIES[VEHIDCODE],0))</f>
        <v>0</v>
      </c>
      <c r="Q8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7" spans="1:17" x14ac:dyDescent="0.35">
      <c r="A847" s="2" t="s">
        <v>3304</v>
      </c>
      <c r="B847" s="21" t="str">
        <f>MID(CONTROL[[#This Row],[VEHIDCODE]],FIND("_",CONTROL[[#This Row],[VEHIDCODE]])+1,LEN(CONTROL[[#This Row],[VEHIDCODE]]))</f>
        <v>ALCO_AE_Goodwin_DL500</v>
      </c>
      <c r="C8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5145</v>
      </c>
      <c r="F847" s="30" t="s">
        <v>2462</v>
      </c>
      <c r="G847" t="s">
        <v>1931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ISNUMBER(MATCH(CONTROL[[#This Row],[VEHIDCODE]],TRACK_TYPES[VEHIDCODE],0))</f>
        <v>1</v>
      </c>
      <c r="K847" t="b">
        <f>ISNUMBER(MATCH(CONTROL[[#This Row],[VEHIDCODE]],PROPERTIES[VEHIDCODE],0))</f>
        <v>1</v>
      </c>
      <c r="L847" t="b">
        <f>ISNUMBER(MATCH(CONTROL[[#This Row],[VEHIDCODE]],GRAPHICS_PROPERTIES[VEHIDCODE],0))</f>
        <v>1</v>
      </c>
      <c r="M847" s="21" t="str">
        <f>"item_"&amp;CONTROL[[#This Row],[VEHIDCODE]]</f>
        <v>item_diesel_ALCO_AE_Goodwin_DL500</v>
      </c>
      <c r="N847" s="21" t="str">
        <f>"str_"&amp;CONTROL[[#This Row],[VEHIDCODE]]</f>
        <v>str_diesel_ALCO_AE_Goodwin_DL500</v>
      </c>
      <c r="O847" s="7" t="b">
        <f>INDEX(PROPERTIES[IS_CONCEPT],MATCH(CONTROL[[#This Row],[VEHIDCODE]],PROPERTIES[VEHIDCODE],0))="IS_CONCEPT"</f>
        <v>0</v>
      </c>
      <c r="P847" s="7" t="b">
        <f>INDEX(PROPERTIES[EXCLUDE],MATCH(CONTROL[[#This Row],[VEHIDCODE]],PROPERTIES[VEHIDCODE],0))</f>
        <v>0</v>
      </c>
      <c r="Q8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8" spans="1:17" x14ac:dyDescent="0.35">
      <c r="A848" t="s">
        <v>3305</v>
      </c>
      <c r="B848" s="21" t="str">
        <f>MID(CONTROL[[#This Row],[VEHIDCODE]],FIND("_",CONTROL[[#This Row],[VEHIDCODE]])+1,LEN(CONTROL[[#This Row],[VEHIDCODE]]))</f>
        <v>EMD_Clyde_A16C</v>
      </c>
      <c r="C8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5146</v>
      </c>
      <c r="F848" s="30" t="s">
        <v>2463</v>
      </c>
      <c r="G848" t="s">
        <v>1762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ISNUMBER(MATCH(CONTROL[[#This Row],[VEHIDCODE]],TRACK_TYPES[VEHIDCODE],0))</f>
        <v>1</v>
      </c>
      <c r="K848" t="b">
        <f>ISNUMBER(MATCH(CONTROL[[#This Row],[VEHIDCODE]],PROPERTIES[VEHIDCODE],0))</f>
        <v>1</v>
      </c>
      <c r="L848" t="b">
        <f>ISNUMBER(MATCH(CONTROL[[#This Row],[VEHIDCODE]],GRAPHICS_PROPERTIES[VEHIDCODE],0))</f>
        <v>1</v>
      </c>
      <c r="M848" s="21" t="str">
        <f>"item_"&amp;CONTROL[[#This Row],[VEHIDCODE]]</f>
        <v>item_diesel_EMD_Clyde_A16C</v>
      </c>
      <c r="N848" s="21" t="str">
        <f>"str_"&amp;CONTROL[[#This Row],[VEHIDCODE]]</f>
        <v>str_diesel_EMD_Clyde_A16C</v>
      </c>
      <c r="O848" s="7" t="b">
        <f>INDEX(PROPERTIES[IS_CONCEPT],MATCH(CONTROL[[#This Row],[VEHIDCODE]],PROPERTIES[VEHIDCODE],0))="IS_CONCEPT"</f>
        <v>0</v>
      </c>
      <c r="P848" s="7" t="b">
        <f>INDEX(PROPERTIES[EXCLUDE],MATCH(CONTROL[[#This Row],[VEHIDCODE]],PROPERTIES[VEHIDCODE],0))</f>
        <v>0</v>
      </c>
      <c r="Q8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49" spans="1:17" x14ac:dyDescent="0.35">
      <c r="A849" t="s">
        <v>3449</v>
      </c>
      <c r="B849" s="21" t="str">
        <f>MID(CONTROL[[#This Row],[VEHIDCODE]],FIND("_",CONTROL[[#This Row],[VEHIDCODE]])+1,LEN(CONTROL[[#This Row],[VEHIDCODE]]))</f>
        <v>EMD_Clyde_AAT22C_2R</v>
      </c>
      <c r="C8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4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5147</v>
      </c>
      <c r="F849" s="30" t="s">
        <v>3456</v>
      </c>
      <c r="G849" t="s">
        <v>1763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ISNUMBER(MATCH(CONTROL[[#This Row],[VEHIDCODE]],TRACK_TYPES[VEHIDCODE],0))</f>
        <v>1</v>
      </c>
      <c r="K849" t="b">
        <f>ISNUMBER(MATCH(CONTROL[[#This Row],[VEHIDCODE]],PROPERTIES[VEHIDCODE],0))</f>
        <v>1</v>
      </c>
      <c r="L849" t="b">
        <f>ISNUMBER(MATCH(CONTROL[[#This Row],[VEHIDCODE]],GRAPHICS_PROPERTIES[VEHIDCODE],0))</f>
        <v>1</v>
      </c>
      <c r="M849" s="21" t="str">
        <f>"item_"&amp;CONTROL[[#This Row],[VEHIDCODE]]</f>
        <v>item_diesel_EMD_Clyde_AAT22C_2R</v>
      </c>
      <c r="N849" s="21" t="str">
        <f>"str_"&amp;CONTROL[[#This Row],[VEHIDCODE]]</f>
        <v>str_diesel_EMD_Clyde_AAT22C_2R</v>
      </c>
      <c r="O849" s="7" t="b">
        <f>INDEX(PROPERTIES[IS_CONCEPT],MATCH(CONTROL[[#This Row],[VEHIDCODE]],PROPERTIES[VEHIDCODE],0))="IS_CONCEPT"</f>
        <v>0</v>
      </c>
      <c r="P849" s="7" t="b">
        <f>INDEX(PROPERTIES[EXCLUDE],MATCH(CONTROL[[#This Row],[VEHIDCODE]],PROPERTIES[VEHIDCODE],0))</f>
        <v>1</v>
      </c>
      <c r="Q8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0" spans="1:17" x14ac:dyDescent="0.35">
      <c r="A850" t="s">
        <v>3306</v>
      </c>
      <c r="B850" s="21" t="str">
        <f>MID(CONTROL[[#This Row],[VEHIDCODE]],FIND("_",CONTROL[[#This Row],[VEHIDCODE]])+1,LEN(CONTROL[[#This Row],[VEHIDCODE]]))</f>
        <v>EMD_Clyde_A7</v>
      </c>
      <c r="C8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5148</v>
      </c>
      <c r="F850" s="30" t="s">
        <v>2464</v>
      </c>
      <c r="G850" t="s">
        <v>1764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ISNUMBER(MATCH(CONTROL[[#This Row],[VEHIDCODE]],TRACK_TYPES[VEHIDCODE],0))</f>
        <v>1</v>
      </c>
      <c r="K850" t="b">
        <f>ISNUMBER(MATCH(CONTROL[[#This Row],[VEHIDCODE]],PROPERTIES[VEHIDCODE],0))</f>
        <v>1</v>
      </c>
      <c r="L850" t="b">
        <f>ISNUMBER(MATCH(CONTROL[[#This Row],[VEHIDCODE]],GRAPHICS_PROPERTIES[VEHIDCODE],0))</f>
        <v>1</v>
      </c>
      <c r="M850" s="21" t="str">
        <f>"item_"&amp;CONTROL[[#This Row],[VEHIDCODE]]</f>
        <v>item_diesel_EMD_Clyde_A7</v>
      </c>
      <c r="N850" s="21" t="str">
        <f>"str_"&amp;CONTROL[[#This Row],[VEHIDCODE]]</f>
        <v>str_diesel_EMD_Clyde_A7</v>
      </c>
      <c r="O850" s="7" t="b">
        <f>INDEX(PROPERTIES[IS_CONCEPT],MATCH(CONTROL[[#This Row],[VEHIDCODE]],PROPERTIES[VEHIDCODE],0))="IS_CONCEPT"</f>
        <v>0</v>
      </c>
      <c r="P850" s="7" t="b">
        <f>INDEX(PROPERTIES[EXCLUDE],MATCH(CONTROL[[#This Row],[VEHIDCODE]],PROPERTIES[VEHIDCODE],0))</f>
        <v>0</v>
      </c>
      <c r="Q8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1" spans="1:17" x14ac:dyDescent="0.35">
      <c r="A851" t="s">
        <v>3307</v>
      </c>
      <c r="B851" s="21" t="str">
        <f>MID(CONTROL[[#This Row],[VEHIDCODE]],FIND("_",CONTROL[[#This Row],[VEHIDCODE]])+1,LEN(CONTROL[[#This Row],[VEHIDCODE]]))</f>
        <v>EMD_Clyde_AT42C_</v>
      </c>
      <c r="C8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5149</v>
      </c>
      <c r="F851" s="30" t="s">
        <v>2465</v>
      </c>
      <c r="G851" t="s">
        <v>1765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ISNUMBER(MATCH(CONTROL[[#This Row],[VEHIDCODE]],TRACK_TYPES[VEHIDCODE],0))</f>
        <v>1</v>
      </c>
      <c r="K851" t="b">
        <f>ISNUMBER(MATCH(CONTROL[[#This Row],[VEHIDCODE]],PROPERTIES[VEHIDCODE],0))</f>
        <v>1</v>
      </c>
      <c r="L851" t="b">
        <f>ISNUMBER(MATCH(CONTROL[[#This Row],[VEHIDCODE]],GRAPHICS_PROPERTIES[VEHIDCODE],0))</f>
        <v>1</v>
      </c>
      <c r="M851" s="21" t="str">
        <f>"item_"&amp;CONTROL[[#This Row],[VEHIDCODE]]</f>
        <v>item_diesel_EMD_Clyde_AT42C_</v>
      </c>
      <c r="N851" s="21" t="str">
        <f>"str_"&amp;CONTROL[[#This Row],[VEHIDCODE]]</f>
        <v>str_diesel_EMD_Clyde_AT42C_</v>
      </c>
      <c r="O851" s="7" t="b">
        <f>INDEX(PROPERTIES[IS_CONCEPT],MATCH(CONTROL[[#This Row],[VEHIDCODE]],PROPERTIES[VEHIDCODE],0))="IS_CONCEPT"</f>
        <v>0</v>
      </c>
      <c r="P851" s="7" t="b">
        <f>INDEX(PROPERTIES[EXCLUDE],MATCH(CONTROL[[#This Row],[VEHIDCODE]],PROPERTIES[VEHIDCODE],0))</f>
        <v>0</v>
      </c>
      <c r="Q8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2" spans="1:17" x14ac:dyDescent="0.35">
      <c r="A852" t="s">
        <v>3308</v>
      </c>
      <c r="B852" s="21" t="str">
        <f>MID(CONTROL[[#This Row],[VEHIDCODE]],FIND("_",CONTROL[[#This Row],[VEHIDCODE]])+1,LEN(CONTROL[[#This Row],[VEHIDCODE]]))</f>
        <v>Clyde_ASEA_CF48</v>
      </c>
      <c r="C8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5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6139</v>
      </c>
      <c r="F852" s="30" t="s">
        <v>2377</v>
      </c>
      <c r="G852" t="s">
        <v>1766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ISNUMBER(MATCH(CONTROL[[#This Row],[VEHIDCODE]],TRACK_TYPES[VEHIDCODE],0))</f>
        <v>1</v>
      </c>
      <c r="K852" t="b">
        <f>ISNUMBER(MATCH(CONTROL[[#This Row],[VEHIDCODE]],PROPERTIES[VEHIDCODE],0))</f>
        <v>1</v>
      </c>
      <c r="L852" t="b">
        <f>ISNUMBER(MATCH(CONTROL[[#This Row],[VEHIDCODE]],GRAPHICS_PROPERTIES[VEHIDCODE],0))</f>
        <v>1</v>
      </c>
      <c r="M852" s="21" t="str">
        <f>"item_"&amp;CONTROL[[#This Row],[VEHIDCODE]]</f>
        <v>item_electric_Clyde_ASEA_CF48</v>
      </c>
      <c r="N852" s="21" t="str">
        <f>"str_"&amp;CONTROL[[#This Row],[VEHIDCODE]]</f>
        <v>str_electric_Clyde_ASEA_CF48</v>
      </c>
      <c r="O852" s="7" t="b">
        <f>INDEX(PROPERTIES[IS_CONCEPT],MATCH(CONTROL[[#This Row],[VEHIDCODE]],PROPERTIES[VEHIDCODE],0))="IS_CONCEPT"</f>
        <v>0</v>
      </c>
      <c r="P852" s="7" t="b">
        <f>INDEX(PROPERTIES[EXCLUDE],MATCH(CONTROL[[#This Row],[VEHIDCODE]],PROPERTIES[VEHIDCODE],0))</f>
        <v>0</v>
      </c>
      <c r="Q8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3" spans="1:17" x14ac:dyDescent="0.35">
      <c r="A853" t="s">
        <v>3309</v>
      </c>
      <c r="B853" s="21" t="str">
        <f>MID(CONTROL[[#This Row],[VEHIDCODE]],FIND("_",CONTROL[[#This Row],[VEHIDCODE]])+1,LEN(CONTROL[[#This Row],[VEHIDCODE]]))</f>
        <v>EMD_GT46CWM</v>
      </c>
      <c r="C8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5150</v>
      </c>
      <c r="F853" s="30" t="s">
        <v>2373</v>
      </c>
      <c r="G853" t="s">
        <v>1767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ISNUMBER(MATCH(CONTROL[[#This Row],[VEHIDCODE]],TRACK_TYPES[VEHIDCODE],0))</f>
        <v>1</v>
      </c>
      <c r="K853" t="b">
        <f>ISNUMBER(MATCH(CONTROL[[#This Row],[VEHIDCODE]],PROPERTIES[VEHIDCODE],0))</f>
        <v>1</v>
      </c>
      <c r="L853" t="b">
        <f>ISNUMBER(MATCH(CONTROL[[#This Row],[VEHIDCODE]],GRAPHICS_PROPERTIES[VEHIDCODE],0))</f>
        <v>1</v>
      </c>
      <c r="M853" s="21" t="str">
        <f>"item_"&amp;CONTROL[[#This Row],[VEHIDCODE]]</f>
        <v>item_diesel_EMD_GT46CWM</v>
      </c>
      <c r="N853" s="21" t="str">
        <f>"str_"&amp;CONTROL[[#This Row],[VEHIDCODE]]</f>
        <v>str_diesel_EMD_GT46CWM</v>
      </c>
      <c r="O853" s="7" t="b">
        <f>INDEX(PROPERTIES[IS_CONCEPT],MATCH(CONTROL[[#This Row],[VEHIDCODE]],PROPERTIES[VEHIDCODE],0))="IS_CONCEPT"</f>
        <v>0</v>
      </c>
      <c r="P853" s="7" t="b">
        <f>INDEX(PROPERTIES[EXCLUDE],MATCH(CONTROL[[#This Row],[VEHIDCODE]],PROPERTIES[VEHIDCODE],0))</f>
        <v>0</v>
      </c>
      <c r="Q8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4" spans="1:17" x14ac:dyDescent="0.35">
      <c r="A854" t="s">
        <v>3310</v>
      </c>
      <c r="B854" s="21" t="str">
        <f>MID(CONTROL[[#This Row],[VEHIDCODE]],FIND("_",CONTROL[[#This Row],[VEHIDCODE]])+1,LEN(CONTROL[[#This Row],[VEHIDCODE]]))</f>
        <v>Clyde_EMD_GT46CW_NR_Concept</v>
      </c>
      <c r="C8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5151</v>
      </c>
      <c r="F854" s="30" t="s">
        <v>2467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ISNUMBER(MATCH(CONTROL[[#This Row],[VEHIDCODE]],TRACK_TYPES[VEHIDCODE],0))</f>
        <v>1</v>
      </c>
      <c r="K854" t="b">
        <f>ISNUMBER(MATCH(CONTROL[[#This Row],[VEHIDCODE]],PROPERTIES[VEHIDCODE],0))</f>
        <v>1</v>
      </c>
      <c r="L854" t="b">
        <f>ISNUMBER(MATCH(CONTROL[[#This Row],[VEHIDCODE]],GRAPHICS_PROPERTIES[VEHIDCODE],0))</f>
        <v>1</v>
      </c>
      <c r="M854" s="21" t="str">
        <f>"item_"&amp;CONTROL[[#This Row],[VEHIDCODE]]</f>
        <v>item_diesel_Clyde_EMD_GT46CW_NR_Concept</v>
      </c>
      <c r="N854" s="21" t="str">
        <f>"str_"&amp;CONTROL[[#This Row],[VEHIDCODE]]</f>
        <v>str_diesel_Clyde_EMD_GT46CW_NR_Concept</v>
      </c>
      <c r="O854" s="7" t="b">
        <f>INDEX(PROPERTIES[IS_CONCEPT],MATCH(CONTROL[[#This Row],[VEHIDCODE]],PROPERTIES[VEHIDCODE],0))="IS_CONCEPT"</f>
        <v>1</v>
      </c>
      <c r="P854" s="7" t="b">
        <f>INDEX(PROPERTIES[EXCLUDE],MATCH(CONTROL[[#This Row],[VEHIDCODE]],PROPERTIES[VEHIDCODE],0))</f>
        <v>0</v>
      </c>
      <c r="Q8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5" spans="1:17" x14ac:dyDescent="0.35">
      <c r="A855" t="s">
        <v>3311</v>
      </c>
      <c r="B855" s="21" t="str">
        <f>MID(CONTROL[[#This Row],[VEHIDCODE]],FIND("_",CONTROL[[#This Row],[VEHIDCODE]])+1,LEN(CONTROL[[#This Row],[VEHIDCODE]]))</f>
        <v>Clyde_JE28C_PTC_73_Class_Concept</v>
      </c>
      <c r="C8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5152</v>
      </c>
      <c r="F855" s="30" t="s">
        <v>2466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ISNUMBER(MATCH(CONTROL[[#This Row],[VEHIDCODE]],TRACK_TYPES[VEHIDCODE],0))</f>
        <v>1</v>
      </c>
      <c r="K855" t="b">
        <f>ISNUMBER(MATCH(CONTROL[[#This Row],[VEHIDCODE]],PROPERTIES[VEHIDCODE],0))</f>
        <v>1</v>
      </c>
      <c r="L855" t="b">
        <f>ISNUMBER(MATCH(CONTROL[[#This Row],[VEHIDCODE]],GRAPHICS_PROPERTIES[VEHIDCODE],0))</f>
        <v>1</v>
      </c>
      <c r="M855" s="21" t="str">
        <f>"item_"&amp;CONTROL[[#This Row],[VEHIDCODE]]</f>
        <v>item_diesel_Clyde_JE28C_PTC_73_Class_Concept</v>
      </c>
      <c r="N855" s="21" t="str">
        <f>"str_"&amp;CONTROL[[#This Row],[VEHIDCODE]]</f>
        <v>str_diesel_Clyde_JE28C_PTC_73_Class_Concept</v>
      </c>
      <c r="O855" s="7" t="b">
        <f>INDEX(PROPERTIES[IS_CONCEPT],MATCH(CONTROL[[#This Row],[VEHIDCODE]],PROPERTIES[VEHIDCODE],0))="IS_CONCEPT"</f>
        <v>1</v>
      </c>
      <c r="P855" s="7" t="b">
        <f>INDEX(PROPERTIES[EXCLUDE],MATCH(CONTROL[[#This Row],[VEHIDCODE]],PROPERTIES[VEHIDCODE],0))</f>
        <v>0</v>
      </c>
      <c r="Q8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6" spans="1:17" x14ac:dyDescent="0.35">
      <c r="A856" t="s">
        <v>3312</v>
      </c>
      <c r="B856" s="21" t="str">
        <f>MID(CONTROL[[#This Row],[VEHIDCODE]],FIND("_",CONTROL[[#This Row],[VEHIDCODE]])+1,LEN(CONTROL[[#This Row],[VEHIDCODE]]))</f>
        <v>EMD_Clyde_JT22HC_2</v>
      </c>
      <c r="C8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5153</v>
      </c>
      <c r="F856" s="30" t="s">
        <v>2468</v>
      </c>
      <c r="G856" t="s">
        <v>1768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ISNUMBER(MATCH(CONTROL[[#This Row],[VEHIDCODE]],TRACK_TYPES[VEHIDCODE],0))</f>
        <v>1</v>
      </c>
      <c r="K856" t="b">
        <f>ISNUMBER(MATCH(CONTROL[[#This Row],[VEHIDCODE]],PROPERTIES[VEHIDCODE],0))</f>
        <v>1</v>
      </c>
      <c r="L856" t="b">
        <f>ISNUMBER(MATCH(CONTROL[[#This Row],[VEHIDCODE]],GRAPHICS_PROPERTIES[VEHIDCODE],0))</f>
        <v>1</v>
      </c>
      <c r="M856" s="21" t="str">
        <f>"item_"&amp;CONTROL[[#This Row],[VEHIDCODE]]</f>
        <v>item_diesel_EMD_Clyde_JT22HC_2</v>
      </c>
      <c r="N856" s="21" t="str">
        <f>"str_"&amp;CONTROL[[#This Row],[VEHIDCODE]]</f>
        <v>str_diesel_EMD_Clyde_JT22HC_2</v>
      </c>
      <c r="O856" s="7" t="b">
        <f>INDEX(PROPERTIES[IS_CONCEPT],MATCH(CONTROL[[#This Row],[VEHIDCODE]],PROPERTIES[VEHIDCODE],0))="IS_CONCEPT"</f>
        <v>0</v>
      </c>
      <c r="P856" s="7" t="b">
        <f>INDEX(PROPERTIES[EXCLUDE],MATCH(CONTROL[[#This Row],[VEHIDCODE]],PROPERTIES[VEHIDCODE],0))</f>
        <v>0</v>
      </c>
      <c r="Q8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7" spans="1:17" x14ac:dyDescent="0.35">
      <c r="A857" t="s">
        <v>3444</v>
      </c>
      <c r="B857" s="21" t="str">
        <f>MID(CONTROL[[#This Row],[VEHIDCODE]],FIND("_",CONTROL[[#This Row],[VEHIDCODE]])+1,LEN(CONTROL[[#This Row],[VEHIDCODE]]))</f>
        <v>EMD_Clyde_JT26C_2SS_NSW_81</v>
      </c>
      <c r="C8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5154</v>
      </c>
      <c r="F857" s="30" t="s">
        <v>3457</v>
      </c>
      <c r="G857" s="32" t="s">
        <v>1769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ISNUMBER(MATCH(CONTROL[[#This Row],[VEHIDCODE]],TRACK_TYPES[VEHIDCODE],0))</f>
        <v>1</v>
      </c>
      <c r="K857" t="b">
        <f>ISNUMBER(MATCH(CONTROL[[#This Row],[VEHIDCODE]],PROPERTIES[VEHIDCODE],0))</f>
        <v>1</v>
      </c>
      <c r="L857" t="b">
        <f>ISNUMBER(MATCH(CONTROL[[#This Row],[VEHIDCODE]],GRAPHICS_PROPERTIES[VEHIDCODE],0))</f>
        <v>1</v>
      </c>
      <c r="M857" s="21" t="str">
        <f>"item_"&amp;CONTROL[[#This Row],[VEHIDCODE]]</f>
        <v>item_diesel_EMD_Clyde_JT26C_2SS_NSW_81</v>
      </c>
      <c r="N857" s="21" t="str">
        <f>"str_"&amp;CONTROL[[#This Row],[VEHIDCODE]]</f>
        <v>str_diesel_EMD_Clyde_JT26C_2SS_NSW_81</v>
      </c>
      <c r="O857" s="7" t="b">
        <f>INDEX(PROPERTIES[IS_CONCEPT],MATCH(CONTROL[[#This Row],[VEHIDCODE]],PROPERTIES[VEHIDCODE],0))="IS_CONCEPT"</f>
        <v>0</v>
      </c>
      <c r="P857" s="7" t="b">
        <f>INDEX(PROPERTIES[EXCLUDE],MATCH(CONTROL[[#This Row],[VEHIDCODE]],PROPERTIES[VEHIDCODE],0))</f>
        <v>1</v>
      </c>
      <c r="Q8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8" spans="1:17" x14ac:dyDescent="0.35">
      <c r="A858" t="s">
        <v>3445</v>
      </c>
      <c r="B858" s="21" t="str">
        <f>MID(CONTROL[[#This Row],[VEHIDCODE]],FIND("_",CONTROL[[#This Row],[VEHIDCODE]])+1,LEN(CONTROL[[#This Row],[VEHIDCODE]]))</f>
        <v>EMD_Clyde_JT26C_2SS_V_line_G</v>
      </c>
      <c r="C8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5155</v>
      </c>
      <c r="F858" s="30" t="s">
        <v>3458</v>
      </c>
      <c r="G858" t="s">
        <v>1285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ISNUMBER(MATCH(CONTROL[[#This Row],[VEHIDCODE]],TRACK_TYPES[VEHIDCODE],0))</f>
        <v>1</v>
      </c>
      <c r="K858" t="b">
        <f>ISNUMBER(MATCH(CONTROL[[#This Row],[VEHIDCODE]],PROPERTIES[VEHIDCODE],0))</f>
        <v>1</v>
      </c>
      <c r="L858" t="b">
        <f>ISNUMBER(MATCH(CONTROL[[#This Row],[VEHIDCODE]],GRAPHICS_PROPERTIES[VEHIDCODE],0))</f>
        <v>1</v>
      </c>
      <c r="M858" s="21" t="str">
        <f>"item_"&amp;CONTROL[[#This Row],[VEHIDCODE]]</f>
        <v>item_diesel_EMD_Clyde_JT26C_2SS_V_line_G</v>
      </c>
      <c r="N858" s="21" t="str">
        <f>"str_"&amp;CONTROL[[#This Row],[VEHIDCODE]]</f>
        <v>str_diesel_EMD_Clyde_JT26C_2SS_V_line_G</v>
      </c>
      <c r="O858" s="7" t="b">
        <f>INDEX(PROPERTIES[IS_CONCEPT],MATCH(CONTROL[[#This Row],[VEHIDCODE]],PROPERTIES[VEHIDCODE],0))="IS_CONCEPT"</f>
        <v>0</v>
      </c>
      <c r="P858" s="7" t="b">
        <f>INDEX(PROPERTIES[EXCLUDE],MATCH(CONTROL[[#This Row],[VEHIDCODE]],PROPERTIES[VEHIDCODE],0))</f>
        <v>0</v>
      </c>
      <c r="Q8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59" spans="1:17" x14ac:dyDescent="0.35">
      <c r="A859" t="s">
        <v>3468</v>
      </c>
      <c r="B859" s="21" t="str">
        <f>MID(CONTROL[[#This Row],[VEHIDCODE]],FIND("_",CONTROL[[#This Row],[VEHIDCODE]])+1,LEN(CONTROL[[#This Row],[VEHIDCODE]]))</f>
        <v>EMD_Clyde_JT42C_NSW82</v>
      </c>
      <c r="C8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5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5156</v>
      </c>
      <c r="F859" s="30" t="s">
        <v>2469</v>
      </c>
      <c r="G859" s="32" t="s">
        <v>1770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ISNUMBER(MATCH(CONTROL[[#This Row],[VEHIDCODE]],TRACK_TYPES[VEHIDCODE],0))</f>
        <v>1</v>
      </c>
      <c r="K859" t="b">
        <f>ISNUMBER(MATCH(CONTROL[[#This Row],[VEHIDCODE]],PROPERTIES[VEHIDCODE],0))</f>
        <v>1</v>
      </c>
      <c r="L859" t="b">
        <f>ISNUMBER(MATCH(CONTROL[[#This Row],[VEHIDCODE]],GRAPHICS_PROPERTIES[VEHIDCODE],0))</f>
        <v>1</v>
      </c>
      <c r="M859" s="21" t="str">
        <f>"item_"&amp;CONTROL[[#This Row],[VEHIDCODE]]</f>
        <v>item_diesel_EMD_Clyde_JT42C_NSW82</v>
      </c>
      <c r="N859" s="21" t="str">
        <f>"str_"&amp;CONTROL[[#This Row],[VEHIDCODE]]</f>
        <v>str_diesel_EMD_Clyde_JT42C_NSW82</v>
      </c>
      <c r="O859" s="7" t="b">
        <f>INDEX(PROPERTIES[IS_CONCEPT],MATCH(CONTROL[[#This Row],[VEHIDCODE]],PROPERTIES[VEHIDCODE],0))="IS_CONCEPT"</f>
        <v>0</v>
      </c>
      <c r="P859" s="7" t="b">
        <f>INDEX(PROPERTIES[EXCLUDE],MATCH(CONTROL[[#This Row],[VEHIDCODE]],PROPERTIES[VEHIDCODE],0))</f>
        <v>0</v>
      </c>
      <c r="Q8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0" spans="1:17" x14ac:dyDescent="0.35">
      <c r="A860" t="s">
        <v>3450</v>
      </c>
      <c r="B860" s="21" t="str">
        <f>MID(CONTROL[[#This Row],[VEHIDCODE]],FIND("_",CONTROL[[#This Row],[VEHIDCODE]])+1,LEN(CONTROL[[#This Row],[VEHIDCODE]]))</f>
        <v>EMD_JT42C_90_1277</v>
      </c>
      <c r="C8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5157</v>
      </c>
      <c r="F860" s="30" t="s">
        <v>3459</v>
      </c>
      <c r="G860" t="s">
        <v>1771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ISNUMBER(MATCH(CONTROL[[#This Row],[VEHIDCODE]],TRACK_TYPES[VEHIDCODE],0))</f>
        <v>1</v>
      </c>
      <c r="K860" t="b">
        <f>ISNUMBER(MATCH(CONTROL[[#This Row],[VEHIDCODE]],PROPERTIES[VEHIDCODE],0))</f>
        <v>1</v>
      </c>
      <c r="L860" t="b">
        <f>ISNUMBER(MATCH(CONTROL[[#This Row],[VEHIDCODE]],GRAPHICS_PROPERTIES[VEHIDCODE],0))</f>
        <v>1</v>
      </c>
      <c r="M860" s="21" t="str">
        <f>"item_"&amp;CONTROL[[#This Row],[VEHIDCODE]]</f>
        <v>item_diesel_EMD_JT42C_90_1277</v>
      </c>
      <c r="N860" s="21" t="str">
        <f>"str_"&amp;CONTROL[[#This Row],[VEHIDCODE]]</f>
        <v>str_diesel_EMD_JT42C_90_1277</v>
      </c>
      <c r="O860" s="7" t="b">
        <f>INDEX(PROPERTIES[IS_CONCEPT],MATCH(CONTROL[[#This Row],[VEHIDCODE]],PROPERTIES[VEHIDCODE],0))="IS_CONCEPT"</f>
        <v>0</v>
      </c>
      <c r="P860" s="7" t="b">
        <f>INDEX(PROPERTIES[EXCLUDE],MATCH(CONTROL[[#This Row],[VEHIDCODE]],PROPERTIES[VEHIDCODE],0))</f>
        <v>0</v>
      </c>
      <c r="Q8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1" spans="1:17" x14ac:dyDescent="0.35">
      <c r="A861" t="s">
        <v>3313</v>
      </c>
      <c r="B861" s="21" t="str">
        <f>MID(CONTROL[[#This Row],[VEHIDCODE]],FIND("_",CONTROL[[#This Row],[VEHIDCODE]])+1,LEN(CONTROL[[#This Row],[VEHIDCODE]]))</f>
        <v>EMD_Clyde_JT42C</v>
      </c>
      <c r="C8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5158</v>
      </c>
      <c r="F861" s="30" t="s">
        <v>2469</v>
      </c>
      <c r="G861" t="s">
        <v>1772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ISNUMBER(MATCH(CONTROL[[#This Row],[VEHIDCODE]],TRACK_TYPES[VEHIDCODE],0))</f>
        <v>1</v>
      </c>
      <c r="K861" t="b">
        <f>ISNUMBER(MATCH(CONTROL[[#This Row],[VEHIDCODE]],PROPERTIES[VEHIDCODE],0))</f>
        <v>1</v>
      </c>
      <c r="L861" t="b">
        <f>ISNUMBER(MATCH(CONTROL[[#This Row],[VEHIDCODE]],GRAPHICS_PROPERTIES[VEHIDCODE],0))</f>
        <v>1</v>
      </c>
      <c r="M861" s="21" t="str">
        <f>"item_"&amp;CONTROL[[#This Row],[VEHIDCODE]]</f>
        <v>item_diesel_EMD_Clyde_JT42C</v>
      </c>
      <c r="N861" s="21" t="str">
        <f>"str_"&amp;CONTROL[[#This Row],[VEHIDCODE]]</f>
        <v>str_diesel_EMD_Clyde_JT42C</v>
      </c>
      <c r="O861" s="7" t="b">
        <f>INDEX(PROPERTIES[IS_CONCEPT],MATCH(CONTROL[[#This Row],[VEHIDCODE]],PROPERTIES[VEHIDCODE],0))="IS_CONCEPT"</f>
        <v>0</v>
      </c>
      <c r="P861" s="7" t="b">
        <f>INDEX(PROPERTIES[EXCLUDE],MATCH(CONTROL[[#This Row],[VEHIDCODE]],PROPERTIES[VEHIDCODE],0))</f>
        <v>1</v>
      </c>
      <c r="Q8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2" spans="1:17" x14ac:dyDescent="0.35">
      <c r="A862" t="s">
        <v>3451</v>
      </c>
      <c r="B862" s="21" t="str">
        <f>MID(CONTROL[[#This Row],[VEHIDCODE]],FIND("_",CONTROL[[#This Row],[VEHIDCODE]])+1,LEN(CONTROL[[#This Row],[VEHIDCODE]]))</f>
        <v>EMD_Clyde_ML2</v>
      </c>
      <c r="C8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5159</v>
      </c>
      <c r="F862" s="30" t="s">
        <v>3460</v>
      </c>
      <c r="G862" t="s">
        <v>1773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ISNUMBER(MATCH(CONTROL[[#This Row],[VEHIDCODE]],TRACK_TYPES[VEHIDCODE],0))</f>
        <v>1</v>
      </c>
      <c r="K862" t="b">
        <f>ISNUMBER(MATCH(CONTROL[[#This Row],[VEHIDCODE]],PROPERTIES[VEHIDCODE],0))</f>
        <v>1</v>
      </c>
      <c r="L862" t="b">
        <f>ISNUMBER(MATCH(CONTROL[[#This Row],[VEHIDCODE]],GRAPHICS_PROPERTIES[VEHIDCODE],0))</f>
        <v>1</v>
      </c>
      <c r="M862" s="21" t="str">
        <f>"item_"&amp;CONTROL[[#This Row],[VEHIDCODE]]</f>
        <v>item_diesel_EMD_Clyde_ML2</v>
      </c>
      <c r="N862" s="21" t="str">
        <f>"str_"&amp;CONTROL[[#This Row],[VEHIDCODE]]</f>
        <v>str_diesel_EMD_Clyde_ML2</v>
      </c>
      <c r="O862" s="7" t="b">
        <f>INDEX(PROPERTIES[IS_CONCEPT],MATCH(CONTROL[[#This Row],[VEHIDCODE]],PROPERTIES[VEHIDCODE],0))="IS_CONCEPT"</f>
        <v>0</v>
      </c>
      <c r="P862" s="7" t="b">
        <f>INDEX(PROPERTIES[EXCLUDE],MATCH(CONTROL[[#This Row],[VEHIDCODE]],PROPERTIES[VEHIDCODE],0))</f>
        <v>0</v>
      </c>
      <c r="Q8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3" spans="1:17" x14ac:dyDescent="0.35">
      <c r="A863" t="s">
        <v>3314</v>
      </c>
      <c r="B863" s="21" t="str">
        <f>MID(CONTROL[[#This Row],[VEHIDCODE]],FIND("_",CONTROL[[#This Row],[VEHIDCODE]])+1,LEN(CONTROL[[#This Row],[VEHIDCODE]]))</f>
        <v>EMD_Clyde_G16C_X1</v>
      </c>
      <c r="C8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5160</v>
      </c>
      <c r="F863" s="30" t="s">
        <v>2470</v>
      </c>
      <c r="G863" t="s">
        <v>1774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ISNUMBER(MATCH(CONTROL[[#This Row],[VEHIDCODE]],TRACK_TYPES[VEHIDCODE],0))</f>
        <v>1</v>
      </c>
      <c r="K863" t="b">
        <f>ISNUMBER(MATCH(CONTROL[[#This Row],[VEHIDCODE]],PROPERTIES[VEHIDCODE],0))</f>
        <v>1</v>
      </c>
      <c r="L863" t="b">
        <f>ISNUMBER(MATCH(CONTROL[[#This Row],[VEHIDCODE]],GRAPHICS_PROPERTIES[VEHIDCODE],0))</f>
        <v>1</v>
      </c>
      <c r="M863" s="21" t="str">
        <f>"item_"&amp;CONTROL[[#This Row],[VEHIDCODE]]</f>
        <v>item_diesel_EMD_Clyde_G16C_X1</v>
      </c>
      <c r="N863" s="21" t="str">
        <f>"str_"&amp;CONTROL[[#This Row],[VEHIDCODE]]</f>
        <v>str_diesel_EMD_Clyde_G16C_X1</v>
      </c>
      <c r="O863" s="7" t="b">
        <f>INDEX(PROPERTIES[IS_CONCEPT],MATCH(CONTROL[[#This Row],[VEHIDCODE]],PROPERTIES[VEHIDCODE],0))="IS_CONCEPT"</f>
        <v>0</v>
      </c>
      <c r="P863" s="7" t="b">
        <f>INDEX(PROPERTIES[EXCLUDE],MATCH(CONTROL[[#This Row],[VEHIDCODE]],PROPERTIES[VEHIDCODE],0))</f>
        <v>0</v>
      </c>
      <c r="Q8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4" spans="1:17" x14ac:dyDescent="0.35">
      <c r="A864" t="s">
        <v>3315</v>
      </c>
      <c r="B864" s="21" t="str">
        <f>MID(CONTROL[[#This Row],[VEHIDCODE]],FIND("_",CONTROL[[#This Row],[VEHIDCODE]])+1,LEN(CONTROL[[#This Row],[VEHIDCODE]]))</f>
        <v>EMD_Clyde_G26C_X2</v>
      </c>
      <c r="C8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5161</v>
      </c>
      <c r="F864" s="30" t="s">
        <v>2471</v>
      </c>
      <c r="G864" t="s">
        <v>1774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ISNUMBER(MATCH(CONTROL[[#This Row],[VEHIDCODE]],TRACK_TYPES[VEHIDCODE],0))</f>
        <v>1</v>
      </c>
      <c r="K864" t="b">
        <f>ISNUMBER(MATCH(CONTROL[[#This Row],[VEHIDCODE]],PROPERTIES[VEHIDCODE],0))</f>
        <v>1</v>
      </c>
      <c r="L864" t="b">
        <f>ISNUMBER(MATCH(CONTROL[[#This Row],[VEHIDCODE]],GRAPHICS_PROPERTIES[VEHIDCODE],0))</f>
        <v>1</v>
      </c>
      <c r="M864" s="21" t="str">
        <f>"item_"&amp;CONTROL[[#This Row],[VEHIDCODE]]</f>
        <v>item_diesel_EMD_Clyde_G26C_X2</v>
      </c>
      <c r="N864" s="21" t="str">
        <f>"str_"&amp;CONTROL[[#This Row],[VEHIDCODE]]</f>
        <v>str_diesel_EMD_Clyde_G26C_X2</v>
      </c>
      <c r="O864" s="7" t="b">
        <f>INDEX(PROPERTIES[IS_CONCEPT],MATCH(CONTROL[[#This Row],[VEHIDCODE]],PROPERTIES[VEHIDCODE],0))="IS_CONCEPT"</f>
        <v>0</v>
      </c>
      <c r="P864" s="7" t="b">
        <f>INDEX(PROPERTIES[EXCLUDE],MATCH(CONTROL[[#This Row],[VEHIDCODE]],PROPERTIES[VEHIDCODE],0))</f>
        <v>1</v>
      </c>
      <c r="Q8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5" spans="1:17" x14ac:dyDescent="0.35">
      <c r="A865" t="s">
        <v>3316</v>
      </c>
      <c r="B865" s="21" t="str">
        <f>MID(CONTROL[[#This Row],[VEHIDCODE]],FIND("_",CONTROL[[#This Row],[VEHIDCODE]])+1,LEN(CONTROL[[#This Row],[VEHIDCODE]]))</f>
        <v>EMD_Clyde_G26C_X3</v>
      </c>
      <c r="C8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5162</v>
      </c>
      <c r="F865" s="30" t="s">
        <v>2472</v>
      </c>
      <c r="G865" t="s">
        <v>1774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ISNUMBER(MATCH(CONTROL[[#This Row],[VEHIDCODE]],TRACK_TYPES[VEHIDCODE],0))</f>
        <v>1</v>
      </c>
      <c r="K865" t="b">
        <f>ISNUMBER(MATCH(CONTROL[[#This Row],[VEHIDCODE]],PROPERTIES[VEHIDCODE],0))</f>
        <v>1</v>
      </c>
      <c r="L865" t="b">
        <f>ISNUMBER(MATCH(CONTROL[[#This Row],[VEHIDCODE]],GRAPHICS_PROPERTIES[VEHIDCODE],0))</f>
        <v>1</v>
      </c>
      <c r="M865" s="21" t="str">
        <f>"item_"&amp;CONTROL[[#This Row],[VEHIDCODE]]</f>
        <v>item_diesel_EMD_Clyde_G26C_X3</v>
      </c>
      <c r="N865" s="21" t="str">
        <f>"str_"&amp;CONTROL[[#This Row],[VEHIDCODE]]</f>
        <v>str_diesel_EMD_Clyde_G26C_X3</v>
      </c>
      <c r="O865" s="7" t="b">
        <f>INDEX(PROPERTIES[IS_CONCEPT],MATCH(CONTROL[[#This Row],[VEHIDCODE]],PROPERTIES[VEHIDCODE],0))="IS_CONCEPT"</f>
        <v>0</v>
      </c>
      <c r="P865" s="7" t="b">
        <f>INDEX(PROPERTIES[EXCLUDE],MATCH(CONTROL[[#This Row],[VEHIDCODE]],PROPERTIES[VEHIDCODE],0))</f>
        <v>1</v>
      </c>
      <c r="Q8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6" spans="1:17" x14ac:dyDescent="0.35">
      <c r="A866" t="s">
        <v>3317</v>
      </c>
      <c r="B866" s="21" t="str">
        <f>MID(CONTROL[[#This Row],[VEHIDCODE]],FIND("_",CONTROL[[#This Row],[VEHIDCODE]])+1,LEN(CONTROL[[#This Row],[VEHIDCODE]]))</f>
        <v>ALCO_Comeng_CE615A</v>
      </c>
      <c r="C8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5163</v>
      </c>
      <c r="F866" s="30" t="s">
        <v>2473</v>
      </c>
      <c r="G866" s="32" t="s">
        <v>1775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ISNUMBER(MATCH(CONTROL[[#This Row],[VEHIDCODE]],TRACK_TYPES[VEHIDCODE],0))</f>
        <v>1</v>
      </c>
      <c r="K866" t="b">
        <f>ISNUMBER(MATCH(CONTROL[[#This Row],[VEHIDCODE]],PROPERTIES[VEHIDCODE],0))</f>
        <v>1</v>
      </c>
      <c r="L866" t="b">
        <f>ISNUMBER(MATCH(CONTROL[[#This Row],[VEHIDCODE]],GRAPHICS_PROPERTIES[VEHIDCODE],0))</f>
        <v>1</v>
      </c>
      <c r="M866" s="21" t="str">
        <f>"item_"&amp;CONTROL[[#This Row],[VEHIDCODE]]</f>
        <v>item_diesel_ALCO_Comeng_CE615A</v>
      </c>
      <c r="N866" s="21" t="str">
        <f>"str_"&amp;CONTROL[[#This Row],[VEHIDCODE]]</f>
        <v>str_diesel_ALCO_Comeng_CE615A</v>
      </c>
      <c r="O866" s="7" t="b">
        <f>INDEX(PROPERTIES[IS_CONCEPT],MATCH(CONTROL[[#This Row],[VEHIDCODE]],PROPERTIES[VEHIDCODE],0))="IS_CONCEPT"</f>
        <v>0</v>
      </c>
      <c r="P866" s="7" t="b">
        <f>INDEX(PROPERTIES[EXCLUDE],MATCH(CONTROL[[#This Row],[VEHIDCODE]],PROPERTIES[VEHIDCODE],0))</f>
        <v>0</v>
      </c>
      <c r="Q8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7" spans="1:17" x14ac:dyDescent="0.35">
      <c r="A867" t="s">
        <v>3318</v>
      </c>
      <c r="B867" s="21" t="str">
        <f>MID(CONTROL[[#This Row],[VEHIDCODE]],FIND("_",CONTROL[[#This Row],[VEHIDCODE]])+1,LEN(CONTROL[[#This Row],[VEHIDCODE]]))</f>
        <v>Comeng_Class_85</v>
      </c>
      <c r="C8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6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6140</v>
      </c>
      <c r="F867" s="30" t="s">
        <v>2474</v>
      </c>
      <c r="G867" s="32" t="s">
        <v>1776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ISNUMBER(MATCH(CONTROL[[#This Row],[VEHIDCODE]],TRACK_TYPES[VEHIDCODE],0))</f>
        <v>1</v>
      </c>
      <c r="K867" t="b">
        <f>ISNUMBER(MATCH(CONTROL[[#This Row],[VEHIDCODE]],PROPERTIES[VEHIDCODE],0))</f>
        <v>1</v>
      </c>
      <c r="L867" t="b">
        <f>ISNUMBER(MATCH(CONTROL[[#This Row],[VEHIDCODE]],GRAPHICS_PROPERTIES[VEHIDCODE],0))</f>
        <v>1</v>
      </c>
      <c r="M867" s="21" t="str">
        <f>"item_"&amp;CONTROL[[#This Row],[VEHIDCODE]]</f>
        <v>item_electric_Comeng_Class_85</v>
      </c>
      <c r="N867" s="21" t="str">
        <f>"str_"&amp;CONTROL[[#This Row],[VEHIDCODE]]</f>
        <v>str_electric_Comeng_Class_85</v>
      </c>
      <c r="O867" s="7" t="b">
        <f>INDEX(PROPERTIES[IS_CONCEPT],MATCH(CONTROL[[#This Row],[VEHIDCODE]],PROPERTIES[VEHIDCODE],0))="IS_CONCEPT"</f>
        <v>0</v>
      </c>
      <c r="P867" s="7" t="b">
        <f>INDEX(PROPERTIES[EXCLUDE],MATCH(CONTROL[[#This Row],[VEHIDCODE]],PROPERTIES[VEHIDCODE],0))</f>
        <v>0</v>
      </c>
      <c r="Q8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8" spans="1:17" x14ac:dyDescent="0.35">
      <c r="A868" s="2" t="s">
        <v>3319</v>
      </c>
      <c r="B868" s="21" t="str">
        <f>MID(CONTROL[[#This Row],[VEHIDCODE]],FIND("_",CONTROL[[#This Row],[VEHIDCODE]])+1,LEN(CONTROL[[#This Row],[VEHIDCODE]]))</f>
        <v>Comeng_Maldon_Dombarton_8650</v>
      </c>
      <c r="C8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6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6141</v>
      </c>
      <c r="F868" s="30" t="s">
        <v>2475</v>
      </c>
      <c r="G868" t="s">
        <v>1876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ISNUMBER(MATCH(CONTROL[[#This Row],[VEHIDCODE]],TRACK_TYPES[VEHIDCODE],0))</f>
        <v>1</v>
      </c>
      <c r="K868" t="b">
        <f>ISNUMBER(MATCH(CONTROL[[#This Row],[VEHIDCODE]],PROPERTIES[VEHIDCODE],0))</f>
        <v>1</v>
      </c>
      <c r="L868" t="b">
        <f>ISNUMBER(MATCH(CONTROL[[#This Row],[VEHIDCODE]],GRAPHICS_PROPERTIES[VEHIDCODE],0))</f>
        <v>1</v>
      </c>
      <c r="M868" s="21" t="str">
        <f>"item_"&amp;CONTROL[[#This Row],[VEHIDCODE]]</f>
        <v>item_electric_Comeng_Maldon_Dombarton_8650</v>
      </c>
      <c r="N868" s="21" t="str">
        <f>"str_"&amp;CONTROL[[#This Row],[VEHIDCODE]]</f>
        <v>str_electric_Comeng_Maldon_Dombarton_8650</v>
      </c>
      <c r="O868" s="7" t="b">
        <f>INDEX(PROPERTIES[IS_CONCEPT],MATCH(CONTROL[[#This Row],[VEHIDCODE]],PROPERTIES[VEHIDCODE],0))="IS_CONCEPT"</f>
        <v>1</v>
      </c>
      <c r="P868" s="7" t="b">
        <f>INDEX(PROPERTIES[EXCLUDE],MATCH(CONTROL[[#This Row],[VEHIDCODE]],PROPERTIES[VEHIDCODE],0))</f>
        <v>0</v>
      </c>
      <c r="Q8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69" spans="1:17" x14ac:dyDescent="0.35">
      <c r="A869" t="s">
        <v>3320</v>
      </c>
      <c r="B869" s="21" t="str">
        <f>MID(CONTROL[[#This Row],[VEHIDCODE]],FIND("_",CONTROL[[#This Row],[VEHIDCODE]])+1,LEN(CONTROL[[#This Row],[VEHIDCODE]]))</f>
        <v>EMD_NOHAB_J30C_2DSB_MZ_III</v>
      </c>
      <c r="C8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6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5164</v>
      </c>
      <c r="F869" s="30" t="s">
        <v>2476</v>
      </c>
      <c r="G869" s="32" t="s">
        <v>1777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ISNUMBER(MATCH(CONTROL[[#This Row],[VEHIDCODE]],TRACK_TYPES[VEHIDCODE],0))</f>
        <v>1</v>
      </c>
      <c r="K869" t="b">
        <f>ISNUMBER(MATCH(CONTROL[[#This Row],[VEHIDCODE]],PROPERTIES[VEHIDCODE],0))</f>
        <v>1</v>
      </c>
      <c r="L869" t="b">
        <f>ISNUMBER(MATCH(CONTROL[[#This Row],[VEHIDCODE]],GRAPHICS_PROPERTIES[VEHIDCODE],0))</f>
        <v>1</v>
      </c>
      <c r="M869" s="21" t="str">
        <f>"item_"&amp;CONTROL[[#This Row],[VEHIDCODE]]</f>
        <v>item_diesel_EMD_NOHAB_J30C_2DSB_MZ_III</v>
      </c>
      <c r="N869" s="21" t="str">
        <f>"str_"&amp;CONTROL[[#This Row],[VEHIDCODE]]</f>
        <v>str_diesel_EMD_NOHAB_J30C_2DSB_MZ_III</v>
      </c>
      <c r="O869" s="7" t="b">
        <f>INDEX(PROPERTIES[IS_CONCEPT],MATCH(CONTROL[[#This Row],[VEHIDCODE]],PROPERTIES[VEHIDCODE],0))="IS_CONCEPT"</f>
        <v>0</v>
      </c>
      <c r="P869" s="7" t="b">
        <f>INDEX(PROPERTIES[EXCLUDE],MATCH(CONTROL[[#This Row],[VEHIDCODE]],PROPERTIES[VEHIDCODE],0))</f>
        <v>0</v>
      </c>
      <c r="Q8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0" spans="1:17" x14ac:dyDescent="0.35">
      <c r="A870" t="s">
        <v>3321</v>
      </c>
      <c r="B870" s="21" t="str">
        <f>MID(CONTROL[[#This Row],[VEHIDCODE]],FIND("_",CONTROL[[#This Row],[VEHIDCODE]])+1,LEN(CONTROL[[#This Row],[VEHIDCODE]]))</f>
        <v>EMD_Clyde_AT26C_Twin_16_645</v>
      </c>
      <c r="C8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5165</v>
      </c>
      <c r="F870" s="30" t="s">
        <v>2478</v>
      </c>
      <c r="G870" t="s">
        <v>2477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ISNUMBER(MATCH(CONTROL[[#This Row],[VEHIDCODE]],TRACK_TYPES[VEHIDCODE],0))</f>
        <v>1</v>
      </c>
      <c r="K870" t="b">
        <f>ISNUMBER(MATCH(CONTROL[[#This Row],[VEHIDCODE]],PROPERTIES[VEHIDCODE],0))</f>
        <v>1</v>
      </c>
      <c r="L870" t="b">
        <f>ISNUMBER(MATCH(CONTROL[[#This Row],[VEHIDCODE]],GRAPHICS_PROPERTIES[VEHIDCODE],0))</f>
        <v>1</v>
      </c>
      <c r="M870" s="21" t="str">
        <f>"item_"&amp;CONTROL[[#This Row],[VEHIDCODE]]</f>
        <v>item_diesel_EMD_Clyde_AT26C_Twin_16_645</v>
      </c>
      <c r="N870" s="21" t="str">
        <f>"str_"&amp;CONTROL[[#This Row],[VEHIDCODE]]</f>
        <v>str_diesel_EMD_Clyde_AT26C_Twin_16_645</v>
      </c>
      <c r="O870" s="7" t="b">
        <f>INDEX(PROPERTIES[IS_CONCEPT],MATCH(CONTROL[[#This Row],[VEHIDCODE]],PROPERTIES[VEHIDCODE],0))="IS_CONCEPT"</f>
        <v>1</v>
      </c>
      <c r="P870" s="7" t="b">
        <f>INDEX(PROPERTIES[EXCLUDE],MATCH(CONTROL[[#This Row],[VEHIDCODE]],PROPERTIES[VEHIDCODE],0))</f>
        <v>0</v>
      </c>
      <c r="Q8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TPL_16A</v>
      </c>
    </row>
    <row r="871" spans="1:17" x14ac:dyDescent="0.35">
      <c r="A871" t="s">
        <v>3452</v>
      </c>
      <c r="B871" s="21" t="str">
        <f>MID(CONTROL[[#This Row],[VEHIDCODE]],FIND("_",CONTROL[[#This Row],[VEHIDCODE]])+1,LEN(CONTROL[[#This Row],[VEHIDCODE]]))</f>
        <v>EMD_Clyde_GL26C_2</v>
      </c>
      <c r="C8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5166</v>
      </c>
      <c r="F871" s="30" t="s">
        <v>3461</v>
      </c>
      <c r="G871" t="s">
        <v>1778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ISNUMBER(MATCH(CONTROL[[#This Row],[VEHIDCODE]],TRACK_TYPES[VEHIDCODE],0))</f>
        <v>1</v>
      </c>
      <c r="K871" t="b">
        <f>ISNUMBER(MATCH(CONTROL[[#This Row],[VEHIDCODE]],PROPERTIES[VEHIDCODE],0))</f>
        <v>1</v>
      </c>
      <c r="L871" t="b">
        <f>ISNUMBER(MATCH(CONTROL[[#This Row],[VEHIDCODE]],GRAPHICS_PROPERTIES[VEHIDCODE],0))</f>
        <v>1</v>
      </c>
      <c r="M871" s="21" t="str">
        <f>"item_"&amp;CONTROL[[#This Row],[VEHIDCODE]]</f>
        <v>item_diesel_EMD_Clyde_GL26C_2</v>
      </c>
      <c r="N871" s="21" t="str">
        <f>"str_"&amp;CONTROL[[#This Row],[VEHIDCODE]]</f>
        <v>str_diesel_EMD_Clyde_GL26C_2</v>
      </c>
      <c r="O871" s="7" t="b">
        <f>INDEX(PROPERTIES[IS_CONCEPT],MATCH(CONTROL[[#This Row],[VEHIDCODE]],PROPERTIES[VEHIDCODE],0))="IS_CONCEPT"</f>
        <v>0</v>
      </c>
      <c r="P871" s="7" t="b">
        <f>INDEX(PROPERTIES[EXCLUDE],MATCH(CONTROL[[#This Row],[VEHIDCODE]],PROPERTIES[VEHIDCODE],0))</f>
        <v>0</v>
      </c>
      <c r="Q8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2" spans="1:17" x14ac:dyDescent="0.35">
      <c r="A872" t="s">
        <v>3322</v>
      </c>
      <c r="B872" s="21" t="str">
        <f>MID(CONTROL[[#This Row],[VEHIDCODE]],FIND("_",CONTROL[[#This Row],[VEHIDCODE]])+1,LEN(CONTROL[[#This Row],[VEHIDCODE]]))</f>
        <v>EEC_A_249_</v>
      </c>
      <c r="C8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5167</v>
      </c>
      <c r="F872" s="30" t="s">
        <v>2606</v>
      </c>
      <c r="G872" t="s">
        <v>1779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ISNUMBER(MATCH(CONTROL[[#This Row],[VEHIDCODE]],TRACK_TYPES[VEHIDCODE],0))</f>
        <v>1</v>
      </c>
      <c r="K872" t="b">
        <f>ISNUMBER(MATCH(CONTROL[[#This Row],[VEHIDCODE]],PROPERTIES[VEHIDCODE],0))</f>
        <v>1</v>
      </c>
      <c r="L872" t="b">
        <f>ISNUMBER(MATCH(CONTROL[[#This Row],[VEHIDCODE]],GRAPHICS_PROPERTIES[VEHIDCODE],0))</f>
        <v>1</v>
      </c>
      <c r="M872" s="21" t="str">
        <f>"item_"&amp;CONTROL[[#This Row],[VEHIDCODE]]</f>
        <v>item_diesel_EEC_A_249_</v>
      </c>
      <c r="N872" s="21" t="str">
        <f>"str_"&amp;CONTROL[[#This Row],[VEHIDCODE]]</f>
        <v>str_diesel_EEC_A_249_</v>
      </c>
      <c r="O872" s="7" t="b">
        <f>INDEX(PROPERTIES[IS_CONCEPT],MATCH(CONTROL[[#This Row],[VEHIDCODE]],PROPERTIES[VEHIDCODE],0))="IS_CONCEPT"</f>
        <v>0</v>
      </c>
      <c r="P872" s="7" t="b">
        <f>INDEX(PROPERTIES[EXCLUDE],MATCH(CONTROL[[#This Row],[VEHIDCODE]],PROPERTIES[VEHIDCODE],0))</f>
        <v>0</v>
      </c>
      <c r="Q8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3" spans="1:17" x14ac:dyDescent="0.35">
      <c r="A873" t="s">
        <v>3323</v>
      </c>
      <c r="B873" s="21" t="str">
        <f>MID(CONTROL[[#This Row],[VEHIDCODE]],FIND("_",CONTROL[[#This Row],[VEHIDCODE]])+1,LEN(CONTROL[[#This Row],[VEHIDCODE]]))</f>
        <v>EEC_A_253</v>
      </c>
      <c r="C8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5168</v>
      </c>
      <c r="F873" s="30" t="s">
        <v>2607</v>
      </c>
      <c r="G873" t="s">
        <v>1780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ISNUMBER(MATCH(CONTROL[[#This Row],[VEHIDCODE]],TRACK_TYPES[VEHIDCODE],0))</f>
        <v>1</v>
      </c>
      <c r="K873" t="b">
        <f>ISNUMBER(MATCH(CONTROL[[#This Row],[VEHIDCODE]],PROPERTIES[VEHIDCODE],0))</f>
        <v>1</v>
      </c>
      <c r="L873" t="b">
        <f>ISNUMBER(MATCH(CONTROL[[#This Row],[VEHIDCODE]],GRAPHICS_PROPERTIES[VEHIDCODE],0))</f>
        <v>1</v>
      </c>
      <c r="M873" s="21" t="str">
        <f>"item_"&amp;CONTROL[[#This Row],[VEHIDCODE]]</f>
        <v>item_diesel_EEC_A_253</v>
      </c>
      <c r="N873" s="21" t="str">
        <f>"str_"&amp;CONTROL[[#This Row],[VEHIDCODE]]</f>
        <v>str_diesel_EEC_A_253</v>
      </c>
      <c r="O873" s="7" t="b">
        <f>INDEX(PROPERTIES[IS_CONCEPT],MATCH(CONTROL[[#This Row],[VEHIDCODE]],PROPERTIES[VEHIDCODE],0))="IS_CONCEPT"</f>
        <v>0</v>
      </c>
      <c r="P873" s="7" t="b">
        <f>INDEX(PROPERTIES[EXCLUDE],MATCH(CONTROL[[#This Row],[VEHIDCODE]],PROPERTIES[VEHIDCODE],0))</f>
        <v>0</v>
      </c>
      <c r="Q8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4" spans="1:17" x14ac:dyDescent="0.35">
      <c r="A874" t="s">
        <v>3324</v>
      </c>
      <c r="B874" s="21" t="str">
        <f>MID(CONTROL[[#This Row],[VEHIDCODE]],FIND("_",CONTROL[[#This Row],[VEHIDCODE]])+1,LEN(CONTROL[[#This Row],[VEHIDCODE]]))</f>
        <v>GE_U26C</v>
      </c>
      <c r="C8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5169</v>
      </c>
      <c r="F874" s="30" t="s">
        <v>2632</v>
      </c>
      <c r="G874" t="s">
        <v>1781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ISNUMBER(MATCH(CONTROL[[#This Row],[VEHIDCODE]],TRACK_TYPES[VEHIDCODE],0))</f>
        <v>1</v>
      </c>
      <c r="K874" t="b">
        <f>ISNUMBER(MATCH(CONTROL[[#This Row],[VEHIDCODE]],PROPERTIES[VEHIDCODE],0))</f>
        <v>1</v>
      </c>
      <c r="L874" t="b">
        <f>ISNUMBER(MATCH(CONTROL[[#This Row],[VEHIDCODE]],GRAPHICS_PROPERTIES[VEHIDCODE],0))</f>
        <v>1</v>
      </c>
      <c r="M874" s="21" t="str">
        <f>"item_"&amp;CONTROL[[#This Row],[VEHIDCODE]]</f>
        <v>item_diesel_GE_U26C</v>
      </c>
      <c r="N874" s="21" t="str">
        <f>"str_"&amp;CONTROL[[#This Row],[VEHIDCODE]]</f>
        <v>str_diesel_GE_U26C</v>
      </c>
      <c r="O874" s="7" t="b">
        <f>INDEX(PROPERTIES[IS_CONCEPT],MATCH(CONTROL[[#This Row],[VEHIDCODE]],PROPERTIES[VEHIDCODE],0))="IS_CONCEPT"</f>
        <v>0</v>
      </c>
      <c r="P874" s="7" t="b">
        <f>INDEX(PROPERTIES[EXCLUDE],MATCH(CONTROL[[#This Row],[VEHIDCODE]],PROPERTIES[VEHIDCODE],0))</f>
        <v>0</v>
      </c>
      <c r="Q8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5" spans="1:17" x14ac:dyDescent="0.35">
      <c r="A875" t="s">
        <v>3325</v>
      </c>
      <c r="B875" s="21" t="str">
        <f>MID(CONTROL[[#This Row],[VEHIDCODE]],FIND("_",CONTROL[[#This Row],[VEHIDCODE]])+1,LEN(CONTROL[[#This Row],[VEHIDCODE]]))</f>
        <v>Metrowick_BP_786</v>
      </c>
      <c r="C8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7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6142</v>
      </c>
      <c r="F875" s="30" t="s">
        <v>2608</v>
      </c>
      <c r="G875" s="32" t="s">
        <v>1782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ISNUMBER(MATCH(CONTROL[[#This Row],[VEHIDCODE]],TRACK_TYPES[VEHIDCODE],0))</f>
        <v>1</v>
      </c>
      <c r="K875" t="b">
        <f>ISNUMBER(MATCH(CONTROL[[#This Row],[VEHIDCODE]],PROPERTIES[VEHIDCODE],0))</f>
        <v>1</v>
      </c>
      <c r="L875" t="b">
        <f>ISNUMBER(MATCH(CONTROL[[#This Row],[VEHIDCODE]],GRAPHICS_PROPERTIES[VEHIDCODE],0))</f>
        <v>1</v>
      </c>
      <c r="M875" s="21" t="str">
        <f>"item_"&amp;CONTROL[[#This Row],[VEHIDCODE]]</f>
        <v>item_electric_Metrowick_BP_786</v>
      </c>
      <c r="N875" s="21" t="str">
        <f>"str_"&amp;CONTROL[[#This Row],[VEHIDCODE]]</f>
        <v>str_electric_Metrowick_BP_786</v>
      </c>
      <c r="O875" s="7" t="b">
        <f>INDEX(PROPERTIES[IS_CONCEPT],MATCH(CONTROL[[#This Row],[VEHIDCODE]],PROPERTIES[VEHIDCODE],0))="IS_CONCEPT"</f>
        <v>1</v>
      </c>
      <c r="P875" s="7" t="b">
        <f>INDEX(PROPERTIES[EXCLUDE],MATCH(CONTROL[[#This Row],[VEHIDCODE]],PROPERTIES[VEHIDCODE],0))</f>
        <v>0</v>
      </c>
      <c r="Q8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6" spans="1:17" x14ac:dyDescent="0.35">
      <c r="A876" t="s">
        <v>3326</v>
      </c>
      <c r="B876" s="21" t="str">
        <f>MID(CONTROL[[#This Row],[VEHIDCODE]],FIND("_",CONTROL[[#This Row],[VEHIDCODE]])+1,LEN(CONTROL[[#This Row],[VEHIDCODE]]))</f>
        <v>ALCO_RSC_3_77732</v>
      </c>
      <c r="C8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5170</v>
      </c>
      <c r="F876" s="30" t="s">
        <v>2609</v>
      </c>
      <c r="G876" s="32" t="s">
        <v>1783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ISNUMBER(MATCH(CONTROL[[#This Row],[VEHIDCODE]],TRACK_TYPES[VEHIDCODE],0))</f>
        <v>1</v>
      </c>
      <c r="K876" t="b">
        <f>ISNUMBER(MATCH(CONTROL[[#This Row],[VEHIDCODE]],PROPERTIES[VEHIDCODE],0))</f>
        <v>1</v>
      </c>
      <c r="L876" t="b">
        <f>ISNUMBER(MATCH(CONTROL[[#This Row],[VEHIDCODE]],GRAPHICS_PROPERTIES[VEHIDCODE],0))</f>
        <v>1</v>
      </c>
      <c r="M876" s="21" t="str">
        <f>"item_"&amp;CONTROL[[#This Row],[VEHIDCODE]]</f>
        <v>item_diesel_ALCO_RSC_3_77732</v>
      </c>
      <c r="N876" s="21" t="str">
        <f>"str_"&amp;CONTROL[[#This Row],[VEHIDCODE]]</f>
        <v>str_diesel_ALCO_RSC_3_77732</v>
      </c>
      <c r="O876" s="7" t="b">
        <f>INDEX(PROPERTIES[IS_CONCEPT],MATCH(CONTROL[[#This Row],[VEHIDCODE]],PROPERTIES[VEHIDCODE],0))="IS_CONCEPT"</f>
        <v>0</v>
      </c>
      <c r="P876" s="7" t="b">
        <f>INDEX(PROPERTIES[EXCLUDE],MATCH(CONTROL[[#This Row],[VEHIDCODE]],PROPERTIES[VEHIDCODE],0))</f>
        <v>1</v>
      </c>
      <c r="Q8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7" spans="1:17" x14ac:dyDescent="0.35">
      <c r="A877" t="s">
        <v>3327</v>
      </c>
      <c r="B877" s="21" t="str">
        <f>MID(CONTROL[[#This Row],[VEHIDCODE]],FIND("_",CONTROL[[#This Row],[VEHIDCODE]])+1,LEN(CONTROL[[#This Row],[VEHIDCODE]]))</f>
        <v>EMD_Clyde_G8C</v>
      </c>
      <c r="C8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5171</v>
      </c>
      <c r="F877" s="30" t="s">
        <v>2479</v>
      </c>
      <c r="G877" s="32" t="s">
        <v>1784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ISNUMBER(MATCH(CONTROL[[#This Row],[VEHIDCODE]],TRACK_TYPES[VEHIDCODE],0))</f>
        <v>1</v>
      </c>
      <c r="K877" t="b">
        <f>ISNUMBER(MATCH(CONTROL[[#This Row],[VEHIDCODE]],PROPERTIES[VEHIDCODE],0))</f>
        <v>1</v>
      </c>
      <c r="L877" t="b">
        <f>ISNUMBER(MATCH(CONTROL[[#This Row],[VEHIDCODE]],GRAPHICS_PROPERTIES[VEHIDCODE],0))</f>
        <v>1</v>
      </c>
      <c r="M877" s="21" t="str">
        <f>"item_"&amp;CONTROL[[#This Row],[VEHIDCODE]]</f>
        <v>item_diesel_EMD_Clyde_G8C</v>
      </c>
      <c r="N877" s="21" t="str">
        <f>"str_"&amp;CONTROL[[#This Row],[VEHIDCODE]]</f>
        <v>str_diesel_EMD_Clyde_G8C</v>
      </c>
      <c r="O877" s="7" t="b">
        <f>INDEX(PROPERTIES[IS_CONCEPT],MATCH(CONTROL[[#This Row],[VEHIDCODE]],PROPERTIES[VEHIDCODE],0))="IS_CONCEPT"</f>
        <v>0</v>
      </c>
      <c r="P877" s="7" t="b">
        <f>INDEX(PROPERTIES[EXCLUDE],MATCH(CONTROL[[#This Row],[VEHIDCODE]],PROPERTIES[VEHIDCODE],0))</f>
        <v>0</v>
      </c>
      <c r="Q8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8" spans="1:17" x14ac:dyDescent="0.35">
      <c r="A878" s="2" t="s">
        <v>3328</v>
      </c>
      <c r="B878" s="21" t="str">
        <f>MID(CONTROL[[#This Row],[VEHIDCODE]],FIND("_",CONTROL[[#This Row],[VEHIDCODE]])+1,LEN(CONTROL[[#This Row],[VEHIDCODE]]))</f>
        <v>EMD_Clyde_G12</v>
      </c>
      <c r="C8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5172</v>
      </c>
      <c r="F878" s="30" t="s">
        <v>2480</v>
      </c>
      <c r="G878" t="s">
        <v>1785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ISNUMBER(MATCH(CONTROL[[#This Row],[VEHIDCODE]],TRACK_TYPES[VEHIDCODE],0))</f>
        <v>1</v>
      </c>
      <c r="K878" t="b">
        <f>ISNUMBER(MATCH(CONTROL[[#This Row],[VEHIDCODE]],PROPERTIES[VEHIDCODE],0))</f>
        <v>1</v>
      </c>
      <c r="L878" t="b">
        <f>ISNUMBER(MATCH(CONTROL[[#This Row],[VEHIDCODE]],GRAPHICS_PROPERTIES[VEHIDCODE],0))</f>
        <v>1</v>
      </c>
      <c r="M878" s="21" t="str">
        <f>"item_"&amp;CONTROL[[#This Row],[VEHIDCODE]]</f>
        <v>item_diesel_EMD_Clyde_G12</v>
      </c>
      <c r="N878" s="21" t="str">
        <f>"str_"&amp;CONTROL[[#This Row],[VEHIDCODE]]</f>
        <v>str_diesel_EMD_Clyde_G12</v>
      </c>
      <c r="O878" s="7" t="b">
        <f>INDEX(PROPERTIES[IS_CONCEPT],MATCH(CONTROL[[#This Row],[VEHIDCODE]],PROPERTIES[VEHIDCODE],0))="IS_CONCEPT"</f>
        <v>0</v>
      </c>
      <c r="P878" s="7" t="b">
        <f>INDEX(PROPERTIES[EXCLUDE],MATCH(CONTROL[[#This Row],[VEHIDCODE]],PROPERTIES[VEHIDCODE],0))</f>
        <v>1</v>
      </c>
      <c r="Q8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79" spans="1:17" x14ac:dyDescent="0.35">
      <c r="A879" s="2" t="s">
        <v>3329</v>
      </c>
      <c r="B879" s="21" t="str">
        <f>MID(CONTROL[[#This Row],[VEHIDCODE]],FIND("_",CONTROL[[#This Row],[VEHIDCODE]])+1,LEN(CONTROL[[#This Row],[VEHIDCODE]]))</f>
        <v>EMD_Clyde_G8</v>
      </c>
      <c r="C8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7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5173</v>
      </c>
      <c r="F879" s="30" t="s">
        <v>2482</v>
      </c>
      <c r="G879" t="s">
        <v>2481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ISNUMBER(MATCH(CONTROL[[#This Row],[VEHIDCODE]],TRACK_TYPES[VEHIDCODE],0))</f>
        <v>1</v>
      </c>
      <c r="K879" t="b">
        <f>ISNUMBER(MATCH(CONTROL[[#This Row],[VEHIDCODE]],PROPERTIES[VEHIDCODE],0))</f>
        <v>1</v>
      </c>
      <c r="L879" t="b">
        <f>ISNUMBER(MATCH(CONTROL[[#This Row],[VEHIDCODE]],GRAPHICS_PROPERTIES[VEHIDCODE],0))</f>
        <v>1</v>
      </c>
      <c r="M879" s="21" t="str">
        <f>"item_"&amp;CONTROL[[#This Row],[VEHIDCODE]]</f>
        <v>item_diesel_EMD_Clyde_G8</v>
      </c>
      <c r="N879" s="21" t="str">
        <f>"str_"&amp;CONTROL[[#This Row],[VEHIDCODE]]</f>
        <v>str_diesel_EMD_Clyde_G8</v>
      </c>
      <c r="O879" s="7" t="b">
        <f>INDEX(PROPERTIES[IS_CONCEPT],MATCH(CONTROL[[#This Row],[VEHIDCODE]],PROPERTIES[VEHIDCODE],0))="IS_CONCEPT"</f>
        <v>0</v>
      </c>
      <c r="P879" s="7" t="b">
        <f>INDEX(PROPERTIES[EXCLUDE],MATCH(CONTROL[[#This Row],[VEHIDCODE]],PROPERTIES[VEHIDCODE],0))</f>
        <v>0</v>
      </c>
      <c r="Q8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80" spans="1:17" x14ac:dyDescent="0.35">
      <c r="A880" t="s">
        <v>3330</v>
      </c>
      <c r="B880" s="21" t="str">
        <f>MID(CONTROL[[#This Row],[VEHIDCODE]],FIND("_",CONTROL[[#This Row],[VEHIDCODE]])+1,LEN(CONTROL[[#This Row],[VEHIDCODE]]))</f>
        <v>Goninan_47_Class</v>
      </c>
      <c r="C8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8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88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5174</v>
      </c>
      <c r="F880" s="30" t="s">
        <v>2483</v>
      </c>
      <c r="G880" s="32" t="s">
        <v>1786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ISNUMBER(MATCH(CONTROL[[#This Row],[VEHIDCODE]],TRACK_TYPES[VEHIDCODE],0))</f>
        <v>1</v>
      </c>
      <c r="K880" t="b">
        <f>ISNUMBER(MATCH(CONTROL[[#This Row],[VEHIDCODE]],PROPERTIES[VEHIDCODE],0))</f>
        <v>1</v>
      </c>
      <c r="L880" t="b">
        <f>ISNUMBER(MATCH(CONTROL[[#This Row],[VEHIDCODE]],GRAPHICS_PROPERTIES[VEHIDCODE],0))</f>
        <v>1</v>
      </c>
      <c r="M880" s="21" t="str">
        <f>"item_"&amp;CONTROL[[#This Row],[VEHIDCODE]]</f>
        <v>item_diesel_Goninan_47_Class</v>
      </c>
      <c r="N880" s="21" t="str">
        <f>"str_"&amp;CONTROL[[#This Row],[VEHIDCODE]]</f>
        <v>str_diesel_Goninan_47_Class</v>
      </c>
      <c r="O880" s="7" t="b">
        <f>INDEX(PROPERTIES[IS_CONCEPT],MATCH(CONTROL[[#This Row],[VEHIDCODE]],PROPERTIES[VEHIDCODE],0))="IS_CONCEPT"</f>
        <v>0</v>
      </c>
      <c r="P880" s="7" t="b">
        <f>INDEX(PROPERTIES[EXCLUDE],MATCH(CONTROL[[#This Row],[VEHIDCODE]],PROPERTIES[VEHIDCODE],0))</f>
        <v>0</v>
      </c>
      <c r="Q8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81" spans="1:17" x14ac:dyDescent="0.35">
      <c r="A881" t="s">
        <v>3331</v>
      </c>
      <c r="B881" s="21" t="str">
        <f>MID(CONTROL[[#This Row],[VEHIDCODE]],FIND("_",CONTROL[[#This Row],[VEHIDCODE]])+1,LEN(CONTROL[[#This Row],[VEHIDCODE]]))</f>
        <v>William_Fairbairn_2_2_2_Baroneza</v>
      </c>
      <c r="C8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4132</v>
      </c>
      <c r="F881" s="30" t="s">
        <v>2484</v>
      </c>
      <c r="G881" s="32" t="s">
        <v>1787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ISNUMBER(MATCH(CONTROL[[#This Row],[VEHIDCODE]],TRACK_TYPES[VEHIDCODE],0))</f>
        <v>1</v>
      </c>
      <c r="K881" t="b">
        <f>ISNUMBER(MATCH(CONTROL[[#This Row],[VEHIDCODE]],PROPERTIES[VEHIDCODE],0))</f>
        <v>1</v>
      </c>
      <c r="L881" t="b">
        <f>ISNUMBER(MATCH(CONTROL[[#This Row],[VEHIDCODE]],GRAPHICS_PROPERTIES[VEHIDCODE],0))</f>
        <v>1</v>
      </c>
      <c r="M881" s="21" t="str">
        <f>"item_"&amp;CONTROL[[#This Row],[VEHIDCODE]]</f>
        <v>item_steam_William_Fairbairn_2_2_2_Baroneza</v>
      </c>
      <c r="N881" s="21" t="str">
        <f>"str_"&amp;CONTROL[[#This Row],[VEHIDCODE]]</f>
        <v>str_steam_William_Fairbairn_2_2_2_Baroneza</v>
      </c>
      <c r="O881" s="7" t="b">
        <f>INDEX(PROPERTIES[IS_CONCEPT],MATCH(CONTROL[[#This Row],[VEHIDCODE]],PROPERTIES[VEHIDCODE],0))="IS_CONCEPT"</f>
        <v>0</v>
      </c>
      <c r="P881" s="7" t="b">
        <f>INDEX(PROPERTIES[EXCLUDE],MATCH(CONTROL[[#This Row],[VEHIDCODE]],PROPERTIES[VEHIDCODE],0))</f>
        <v>0</v>
      </c>
      <c r="Q8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2" spans="1:17" x14ac:dyDescent="0.35">
      <c r="A882" t="s">
        <v>3332</v>
      </c>
      <c r="B882" s="21" t="str">
        <f>MID(CONTROL[[#This Row],[VEHIDCODE]],FIND("_",CONTROL[[#This Row],[VEHIDCODE]])+1,LEN(CONTROL[[#This Row],[VEHIDCODE]]))</f>
        <v>Hunslet_0_4_0ST_La_Portena</v>
      </c>
      <c r="C8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4133</v>
      </c>
      <c r="F882" s="30" t="s">
        <v>2485</v>
      </c>
      <c r="G882" s="32" t="s">
        <v>1788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ISNUMBER(MATCH(CONTROL[[#This Row],[VEHIDCODE]],TRACK_TYPES[VEHIDCODE],0))</f>
        <v>1</v>
      </c>
      <c r="K882" t="b">
        <f>ISNUMBER(MATCH(CONTROL[[#This Row],[VEHIDCODE]],PROPERTIES[VEHIDCODE],0))</f>
        <v>1</v>
      </c>
      <c r="L882" t="b">
        <f>ISNUMBER(MATCH(CONTROL[[#This Row],[VEHIDCODE]],GRAPHICS_PROPERTIES[VEHIDCODE],0))</f>
        <v>1</v>
      </c>
      <c r="M882" s="21" t="str">
        <f>"item_"&amp;CONTROL[[#This Row],[VEHIDCODE]]</f>
        <v>item_steam_Hunslet_0_4_0ST_La_Portena</v>
      </c>
      <c r="N882" s="21" t="str">
        <f>"str_"&amp;CONTROL[[#This Row],[VEHIDCODE]]</f>
        <v>str_steam_Hunslet_0_4_0ST_La_Portena</v>
      </c>
      <c r="O882" s="7" t="b">
        <f>INDEX(PROPERTIES[IS_CONCEPT],MATCH(CONTROL[[#This Row],[VEHIDCODE]],PROPERTIES[VEHIDCODE],0))="IS_CONCEPT"</f>
        <v>0</v>
      </c>
      <c r="P882" s="7" t="b">
        <f>INDEX(PROPERTIES[EXCLUDE],MATCH(CONTROL[[#This Row],[VEHIDCODE]],PROPERTIES[VEHIDCODE],0))</f>
        <v>0</v>
      </c>
      <c r="Q8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3" spans="1:17" x14ac:dyDescent="0.35">
      <c r="A883" t="s">
        <v>3333</v>
      </c>
      <c r="B883" s="21" t="str">
        <f>MID(CONTROL[[#This Row],[VEHIDCODE]],FIND("_",CONTROL[[#This Row],[VEHIDCODE]])+1,LEN(CONTROL[[#This Row],[VEHIDCODE]]))</f>
        <v>Burnham_2_10_0_Dom_Pedro_Segundo_119</v>
      </c>
      <c r="C8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4134</v>
      </c>
      <c r="F883" s="30" t="s">
        <v>2486</v>
      </c>
      <c r="G883" t="s">
        <v>1789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ISNUMBER(MATCH(CONTROL[[#This Row],[VEHIDCODE]],TRACK_TYPES[VEHIDCODE],0))</f>
        <v>1</v>
      </c>
      <c r="K883" t="b">
        <f>ISNUMBER(MATCH(CONTROL[[#This Row],[VEHIDCODE]],PROPERTIES[VEHIDCODE],0))</f>
        <v>1</v>
      </c>
      <c r="L883" t="b">
        <f>ISNUMBER(MATCH(CONTROL[[#This Row],[VEHIDCODE]],GRAPHICS_PROPERTIES[VEHIDCODE],0))</f>
        <v>1</v>
      </c>
      <c r="M883" s="21" t="str">
        <f>"item_"&amp;CONTROL[[#This Row],[VEHIDCODE]]</f>
        <v>item_steam_Burnham_2_10_0_Dom_Pedro_Segundo_119</v>
      </c>
      <c r="N883" s="21" t="str">
        <f>"str_"&amp;CONTROL[[#This Row],[VEHIDCODE]]</f>
        <v>str_steam_Burnham_2_10_0_Dom_Pedro_Segundo_119</v>
      </c>
      <c r="O883" s="7" t="b">
        <f>INDEX(PROPERTIES[IS_CONCEPT],MATCH(CONTROL[[#This Row],[VEHIDCODE]],PROPERTIES[VEHIDCODE],0))="IS_CONCEPT"</f>
        <v>0</v>
      </c>
      <c r="P883" s="7" t="b">
        <f>INDEX(PROPERTIES[EXCLUDE],MATCH(CONTROL[[#This Row],[VEHIDCODE]],PROPERTIES[VEHIDCODE],0))</f>
        <v>0</v>
      </c>
      <c r="Q8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4" spans="1:17" x14ac:dyDescent="0.35">
      <c r="A884" t="s">
        <v>3334</v>
      </c>
      <c r="B884" s="21" t="str">
        <f>MID(CONTROL[[#This Row],[VEHIDCODE]],FIND("_",CONTROL[[#This Row],[VEHIDCODE]])+1,LEN(CONTROL[[#This Row],[VEHIDCODE]]))</f>
        <v>Baldwin_0_22C_No8_Monsefu</v>
      </c>
      <c r="C8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4135</v>
      </c>
      <c r="F884" s="30" t="s">
        <v>2487</v>
      </c>
      <c r="G884" t="s">
        <v>1790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ISNUMBER(MATCH(CONTROL[[#This Row],[VEHIDCODE]],TRACK_TYPES[VEHIDCODE],0))</f>
        <v>1</v>
      </c>
      <c r="K884" t="b">
        <f>ISNUMBER(MATCH(CONTROL[[#This Row],[VEHIDCODE]],PROPERTIES[VEHIDCODE],0))</f>
        <v>1</v>
      </c>
      <c r="L884" t="b">
        <f>ISNUMBER(MATCH(CONTROL[[#This Row],[VEHIDCODE]],GRAPHICS_PROPERTIES[VEHIDCODE],0))</f>
        <v>1</v>
      </c>
      <c r="M884" s="21" t="str">
        <f>"item_"&amp;CONTROL[[#This Row],[VEHIDCODE]]</f>
        <v>item_steam_Baldwin_0_22C_No8_Monsefu</v>
      </c>
      <c r="N884" s="21" t="str">
        <f>"str_"&amp;CONTROL[[#This Row],[VEHIDCODE]]</f>
        <v>str_steam_Baldwin_0_22C_No8_Monsefu</v>
      </c>
      <c r="O884" s="7" t="b">
        <f>INDEX(PROPERTIES[IS_CONCEPT],MATCH(CONTROL[[#This Row],[VEHIDCODE]],PROPERTIES[VEHIDCODE],0))="IS_CONCEPT"</f>
        <v>0</v>
      </c>
      <c r="P884" s="7" t="b">
        <f>INDEX(PROPERTIES[EXCLUDE],MATCH(CONTROL[[#This Row],[VEHIDCODE]],PROPERTIES[VEHIDCODE],0))</f>
        <v>0</v>
      </c>
      <c r="Q8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5" spans="1:17" x14ac:dyDescent="0.35">
      <c r="A885" t="s">
        <v>3335</v>
      </c>
      <c r="B885" s="21" t="str">
        <f>MID(CONTROL[[#This Row],[VEHIDCODE]],FIND("_",CONTROL[[#This Row],[VEHIDCODE]])+1,LEN(CONTROL[[#This Row],[VEHIDCODE]]))</f>
        <v>FCCP_Q_Class</v>
      </c>
      <c r="C8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4136</v>
      </c>
      <c r="F885" s="30" t="s">
        <v>3536</v>
      </c>
      <c r="G885" t="s">
        <v>3537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ISNUMBER(MATCH(CONTROL[[#This Row],[VEHIDCODE]],TRACK_TYPES[VEHIDCODE],0))</f>
        <v>1</v>
      </c>
      <c r="K885" t="b">
        <f>ISNUMBER(MATCH(CONTROL[[#This Row],[VEHIDCODE]],PROPERTIES[VEHIDCODE],0))</f>
        <v>1</v>
      </c>
      <c r="L885" t="b">
        <f>ISNUMBER(MATCH(CONTROL[[#This Row],[VEHIDCODE]],GRAPHICS_PROPERTIES[VEHIDCODE],0))</f>
        <v>1</v>
      </c>
      <c r="M885" s="21" t="str">
        <f>"item_"&amp;CONTROL[[#This Row],[VEHIDCODE]]</f>
        <v>item_steam_FCCP_Q_Class</v>
      </c>
      <c r="N885" s="21" t="str">
        <f>"str_"&amp;CONTROL[[#This Row],[VEHIDCODE]]</f>
        <v>str_steam_FCCP_Q_Class</v>
      </c>
      <c r="O885" s="7" t="b">
        <f>INDEX(PROPERTIES[IS_CONCEPT],MATCH(CONTROL[[#This Row],[VEHIDCODE]],PROPERTIES[VEHIDCODE],0))="IS_CONCEPT"</f>
        <v>0</v>
      </c>
      <c r="P885" s="7" t="b">
        <f>INDEX(PROPERTIES[EXCLUDE],MATCH(CONTROL[[#This Row],[VEHIDCODE]],PROPERTIES[VEHIDCODE],0))</f>
        <v>0</v>
      </c>
      <c r="Q8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6" spans="1:17" x14ac:dyDescent="0.35">
      <c r="A886" s="2" t="s">
        <v>3336</v>
      </c>
      <c r="B886" s="21" t="str">
        <f>MID(CONTROL[[#This Row],[VEHIDCODE]],FIND("_",CONTROL[[#This Row],[VEHIDCODE]])+1,LEN(CONTROL[[#This Row],[VEHIDCODE]]))</f>
        <v>NBLC_4_6_2_PS10_Class</v>
      </c>
      <c r="C8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4137</v>
      </c>
      <c r="F886" s="30" t="s">
        <v>2488</v>
      </c>
      <c r="G886" t="s">
        <v>1791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ISNUMBER(MATCH(CONTROL[[#This Row],[VEHIDCODE]],TRACK_TYPES[VEHIDCODE],0))</f>
        <v>1</v>
      </c>
      <c r="K886" t="b">
        <f>ISNUMBER(MATCH(CONTROL[[#This Row],[VEHIDCODE]],PROPERTIES[VEHIDCODE],0))</f>
        <v>1</v>
      </c>
      <c r="L886" t="b">
        <f>ISNUMBER(MATCH(CONTROL[[#This Row],[VEHIDCODE]],GRAPHICS_PROPERTIES[VEHIDCODE],0))</f>
        <v>1</v>
      </c>
      <c r="M886" s="21" t="str">
        <f>"item_"&amp;CONTROL[[#This Row],[VEHIDCODE]]</f>
        <v>item_steam_NBLC_4_6_2_PS10_Class</v>
      </c>
      <c r="N886" s="21" t="str">
        <f>"str_"&amp;CONTROL[[#This Row],[VEHIDCODE]]</f>
        <v>str_steam_NBLC_4_6_2_PS10_Class</v>
      </c>
      <c r="O886" s="7" t="b">
        <f>INDEX(PROPERTIES[IS_CONCEPT],MATCH(CONTROL[[#This Row],[VEHIDCODE]],PROPERTIES[VEHIDCODE],0))="IS_CONCEPT"</f>
        <v>0</v>
      </c>
      <c r="P886" s="7" t="b">
        <f>INDEX(PROPERTIES[EXCLUDE],MATCH(CONTROL[[#This Row],[VEHIDCODE]],PROPERTIES[VEHIDCODE],0))</f>
        <v>0</v>
      </c>
      <c r="Q8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87" spans="1:17" x14ac:dyDescent="0.35">
      <c r="A887" t="s">
        <v>3337</v>
      </c>
      <c r="B887" s="21" t="str">
        <f>MID(CONTROL[[#This Row],[VEHIDCODE]],FIND("_",CONTROL[[#This Row],[VEHIDCODE]])+1,LEN(CONTROL[[#This Row],[VEHIDCODE]]))</f>
        <v>Yorkshire_Engine_Co__4_8_4T_Nitrate_101</v>
      </c>
      <c r="C8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8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4138</v>
      </c>
      <c r="F887" s="30" t="s">
        <v>2489</v>
      </c>
      <c r="G887" t="s">
        <v>1792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ISNUMBER(MATCH(CONTROL[[#This Row],[VEHIDCODE]],TRACK_TYPES[VEHIDCODE],0))</f>
        <v>1</v>
      </c>
      <c r="K887" t="b">
        <f>ISNUMBER(MATCH(CONTROL[[#This Row],[VEHIDCODE]],PROPERTIES[VEHIDCODE],0))</f>
        <v>1</v>
      </c>
      <c r="L887" t="b">
        <f>ISNUMBER(MATCH(CONTROL[[#This Row],[VEHIDCODE]],GRAPHICS_PROPERTIES[VEHIDCODE],0))</f>
        <v>1</v>
      </c>
      <c r="M887" s="21" t="str">
        <f>"item_"&amp;CONTROL[[#This Row],[VEHIDCODE]]</f>
        <v>item_steam_Yorkshire_Engine_Co__4_8_4T_Nitrate_101</v>
      </c>
      <c r="N887" s="21" t="str">
        <f>"str_"&amp;CONTROL[[#This Row],[VEHIDCODE]]</f>
        <v>str_steam_Yorkshire_Engine_Co__4_8_4T_Nitrate_101</v>
      </c>
      <c r="O887" s="7" t="b">
        <f>INDEX(PROPERTIES[IS_CONCEPT],MATCH(CONTROL[[#This Row],[VEHIDCODE]],PROPERTIES[VEHIDCODE],0))="IS_CONCEPT"</f>
        <v>0</v>
      </c>
      <c r="P887" s="7" t="b">
        <f>INDEX(PROPERTIES[EXCLUDE],MATCH(CONTROL[[#This Row],[VEHIDCODE]],PROPERTIES[VEHIDCODE],0))</f>
        <v>0</v>
      </c>
      <c r="Q8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888" spans="1:17" x14ac:dyDescent="0.35">
      <c r="A888" t="s">
        <v>3338</v>
      </c>
      <c r="B888" s="21" t="str">
        <f>MID(CONTROL[[#This Row],[VEHIDCODE]],FIND("_",CONTROL[[#This Row],[VEHIDCODE]])+1,LEN(CONTROL[[#This Row],[VEHIDCODE]]))</f>
        <v>SLM_BBC_1_D_1</v>
      </c>
      <c r="C8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8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6143</v>
      </c>
      <c r="F888" s="30" t="s">
        <v>2257</v>
      </c>
      <c r="G888" t="s">
        <v>1793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ISNUMBER(MATCH(CONTROL[[#This Row],[VEHIDCODE]],TRACK_TYPES[VEHIDCODE],0))</f>
        <v>1</v>
      </c>
      <c r="K888" t="b">
        <f>ISNUMBER(MATCH(CONTROL[[#This Row],[VEHIDCODE]],PROPERTIES[VEHIDCODE],0))</f>
        <v>1</v>
      </c>
      <c r="L888" t="b">
        <f>ISNUMBER(MATCH(CONTROL[[#This Row],[VEHIDCODE]],GRAPHICS_PROPERTIES[VEHIDCODE],0))</f>
        <v>1</v>
      </c>
      <c r="M888" s="21" t="str">
        <f>"item_"&amp;CONTROL[[#This Row],[VEHIDCODE]]</f>
        <v>item_electric_SLM_BBC_1_D_1</v>
      </c>
      <c r="N888" s="21" t="str">
        <f>"str_"&amp;CONTROL[[#This Row],[VEHIDCODE]]</f>
        <v>str_electric_SLM_BBC_1_D_1</v>
      </c>
      <c r="O888" s="7" t="b">
        <f>INDEX(PROPERTIES[IS_CONCEPT],MATCH(CONTROL[[#This Row],[VEHIDCODE]],PROPERTIES[VEHIDCODE],0))="IS_CONCEPT"</f>
        <v>0</v>
      </c>
      <c r="P888" s="7" t="b">
        <f>INDEX(PROPERTIES[EXCLUDE],MATCH(CONTROL[[#This Row],[VEHIDCODE]],PROPERTIES[VEHIDCODE],0))</f>
        <v>0</v>
      </c>
      <c r="Q8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89" spans="1:17" x14ac:dyDescent="0.35">
      <c r="A889" t="s">
        <v>3339</v>
      </c>
      <c r="B889" s="21" t="str">
        <f>MID(CONTROL[[#This Row],[VEHIDCODE]],FIND("_",CONTROL[[#This Row],[VEHIDCODE]])+1,LEN(CONTROL[[#This Row],[VEHIDCODE]]))</f>
        <v>GE_2_C_C_2</v>
      </c>
      <c r="C8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8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6144</v>
      </c>
      <c r="F889" s="30" t="s">
        <v>1795</v>
      </c>
      <c r="G889" t="s">
        <v>1796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ISNUMBER(MATCH(CONTROL[[#This Row],[VEHIDCODE]],TRACK_TYPES[VEHIDCODE],0))</f>
        <v>1</v>
      </c>
      <c r="K889" t="b">
        <f>ISNUMBER(MATCH(CONTROL[[#This Row],[VEHIDCODE]],PROPERTIES[VEHIDCODE],0))</f>
        <v>1</v>
      </c>
      <c r="L889" t="b">
        <f>ISNUMBER(MATCH(CONTROL[[#This Row],[VEHIDCODE]],GRAPHICS_PROPERTIES[VEHIDCODE],0))</f>
        <v>1</v>
      </c>
      <c r="M889" s="21" t="str">
        <f>"item_"&amp;CONTROL[[#This Row],[VEHIDCODE]]</f>
        <v>item_electric_GE_2_C_C_2</v>
      </c>
      <c r="N889" s="21" t="str">
        <f>"str_"&amp;CONTROL[[#This Row],[VEHIDCODE]]</f>
        <v>str_electric_GE_2_C_C_2</v>
      </c>
      <c r="O889" s="7" t="b">
        <f>INDEX(PROPERTIES[IS_CONCEPT],MATCH(CONTROL[[#This Row],[VEHIDCODE]],PROPERTIES[VEHIDCODE],0))="IS_CONCEPT"</f>
        <v>0</v>
      </c>
      <c r="P889" s="7" t="b">
        <f>INDEX(PROPERTIES[EXCLUDE],MATCH(CONTROL[[#This Row],[VEHIDCODE]],PROPERTIES[VEHIDCODE],0))</f>
        <v>0</v>
      </c>
      <c r="Q8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90" spans="1:17" x14ac:dyDescent="0.35">
      <c r="A890" t="s">
        <v>3340</v>
      </c>
      <c r="B890" s="21" t="str">
        <f>MID(CONTROL[[#This Row],[VEHIDCODE]],FIND("_",CONTROL[[#This Row],[VEHIDCODE]])+1,LEN(CONTROL[[#This Row],[VEHIDCODE]]))</f>
        <v>Norris___Brothers_4_4_0_La_Copiapo</v>
      </c>
      <c r="C8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9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4139</v>
      </c>
      <c r="F890" s="30" t="s">
        <v>2490</v>
      </c>
      <c r="G890" t="s">
        <v>1798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ISNUMBER(MATCH(CONTROL[[#This Row],[VEHIDCODE]],TRACK_TYPES[VEHIDCODE],0))</f>
        <v>1</v>
      </c>
      <c r="K890" t="b">
        <f>ISNUMBER(MATCH(CONTROL[[#This Row],[VEHIDCODE]],PROPERTIES[VEHIDCODE],0))</f>
        <v>1</v>
      </c>
      <c r="L890" t="b">
        <f>ISNUMBER(MATCH(CONTROL[[#This Row],[VEHIDCODE]],GRAPHICS_PROPERTIES[VEHIDCODE],0))</f>
        <v>1</v>
      </c>
      <c r="M890" s="21" t="str">
        <f>"item_"&amp;CONTROL[[#This Row],[VEHIDCODE]]</f>
        <v>item_steam_Norris___Brothers_4_4_0_La_Copiapo</v>
      </c>
      <c r="N890" s="21" t="str">
        <f>"str_"&amp;CONTROL[[#This Row],[VEHIDCODE]]</f>
        <v>str_steam_Norris___Brothers_4_4_0_La_Copiapo</v>
      </c>
      <c r="O890" s="7" t="b">
        <f>INDEX(PROPERTIES[IS_CONCEPT],MATCH(CONTROL[[#This Row],[VEHIDCODE]],PROPERTIES[VEHIDCODE],0))="IS_CONCEPT"</f>
        <v>0</v>
      </c>
      <c r="P890" s="7" t="b">
        <f>INDEX(PROPERTIES[EXCLUDE],MATCH(CONTROL[[#This Row],[VEHIDCODE]],PROPERTIES[VEHIDCODE],0))</f>
        <v>0</v>
      </c>
      <c r="Q8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91" spans="1:17" x14ac:dyDescent="0.35">
      <c r="A891" t="s">
        <v>3341</v>
      </c>
      <c r="B891" s="21" t="str">
        <f>MID(CONTROL[[#This Row],[VEHIDCODE]],FIND("_",CONTROL[[#This Row],[VEHIDCODE]])+1,LEN(CONTROL[[#This Row],[VEHIDCODE]]))</f>
        <v>AEG_A1A_A1A</v>
      </c>
      <c r="C8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8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89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6145</v>
      </c>
      <c r="F891" s="30" t="s">
        <v>1799</v>
      </c>
      <c r="G891" t="s">
        <v>1800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ISNUMBER(MATCH(CONTROL[[#This Row],[VEHIDCODE]],TRACK_TYPES[VEHIDCODE],0))</f>
        <v>1</v>
      </c>
      <c r="K891" t="b">
        <f>ISNUMBER(MATCH(CONTROL[[#This Row],[VEHIDCODE]],PROPERTIES[VEHIDCODE],0))</f>
        <v>1</v>
      </c>
      <c r="L891" t="b">
        <f>ISNUMBER(MATCH(CONTROL[[#This Row],[VEHIDCODE]],GRAPHICS_PROPERTIES[VEHIDCODE],0))</f>
        <v>1</v>
      </c>
      <c r="M891" s="21" t="str">
        <f>"item_"&amp;CONTROL[[#This Row],[VEHIDCODE]]</f>
        <v>item_electric_AEG_A1A_A1A</v>
      </c>
      <c r="N891" s="21" t="str">
        <f>"str_"&amp;CONTROL[[#This Row],[VEHIDCODE]]</f>
        <v>str_electric_AEG_A1A_A1A</v>
      </c>
      <c r="O891" s="7" t="b">
        <f>INDEX(PROPERTIES[IS_CONCEPT],MATCH(CONTROL[[#This Row],[VEHIDCODE]],PROPERTIES[VEHIDCODE],0))="IS_CONCEPT"</f>
        <v>0</v>
      </c>
      <c r="P891" s="7" t="b">
        <f>INDEX(PROPERTIES[EXCLUDE],MATCH(CONTROL[[#This Row],[VEHIDCODE]],PROPERTIES[VEHIDCODE],0))</f>
        <v>0</v>
      </c>
      <c r="Q8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892" spans="1:17" x14ac:dyDescent="0.35">
      <c r="A892" t="s">
        <v>3683</v>
      </c>
      <c r="B892" s="21" t="str">
        <f>MID(CONTROL[[#This Row],[VEHIDCODE]],FIND("_",CONTROL[[#This Row],[VEHIDCODE]])+1,LEN(CONTROL[[#This Row],[VEHIDCODE]]))</f>
        <v>Ganz_Bariloche_DMU</v>
      </c>
      <c r="C8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7054</v>
      </c>
      <c r="F892" s="30" t="s">
        <v>3684</v>
      </c>
      <c r="G892" t="s">
        <v>1929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ISNUMBER(MATCH(CONTROL[[#This Row],[VEHIDCODE]],TRACK_TYPES[VEHIDCODE],0))</f>
        <v>1</v>
      </c>
      <c r="K892" t="b">
        <f>ISNUMBER(MATCH(CONTROL[[#This Row],[VEHIDCODE]],PROPERTIES[VEHIDCODE],0))</f>
        <v>1</v>
      </c>
      <c r="L892" t="b">
        <f>ISNUMBER(MATCH(CONTROL[[#This Row],[VEHIDCODE]],GRAPHICS_PROPERTIES[VEHIDCODE],0))</f>
        <v>1</v>
      </c>
      <c r="M892" s="21" t="str">
        <f>"item_"&amp;CONTROL[[#This Row],[VEHIDCODE]]</f>
        <v>item_dmu_Ganz_Bariloche_DMU</v>
      </c>
      <c r="N892" s="21" t="str">
        <f>"str_"&amp;CONTROL[[#This Row],[VEHIDCODE]]</f>
        <v>str_dmu_Ganz_Bariloche_DMU</v>
      </c>
      <c r="O892" s="7" t="b">
        <f>INDEX(PROPERTIES[IS_CONCEPT],MATCH(CONTROL[[#This Row],[VEHIDCODE]],PROPERTIES[VEHIDCODE],0))="IS_CONCEPT"</f>
        <v>0</v>
      </c>
      <c r="P892" s="7" t="b">
        <f>INDEX(PROPERTIES[EXCLUDE],MATCH(CONTROL[[#This Row],[VEHIDCODE]],PROPERTIES[VEHIDCODE],0))</f>
        <v>0</v>
      </c>
      <c r="Q8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3" spans="1:17" x14ac:dyDescent="0.35">
      <c r="A893" t="s">
        <v>3342</v>
      </c>
      <c r="B893" s="21" t="str">
        <f>MID(CONTROL[[#This Row],[VEHIDCODE]],FIND("_",CONTROL[[#This Row],[VEHIDCODE]])+1,LEN(CONTROL[[#This Row],[VEHIDCODE]]))</f>
        <v>Avonside_0_6_0ST_Sao_Paulo_No__13___14</v>
      </c>
      <c r="C8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8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89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4140</v>
      </c>
      <c r="F893" s="30" t="s">
        <v>2491</v>
      </c>
      <c r="G893" t="s">
        <v>1801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ISNUMBER(MATCH(CONTROL[[#This Row],[VEHIDCODE]],TRACK_TYPES[VEHIDCODE],0))</f>
        <v>1</v>
      </c>
      <c r="K893" t="b">
        <f>ISNUMBER(MATCH(CONTROL[[#This Row],[VEHIDCODE]],PROPERTIES[VEHIDCODE],0))</f>
        <v>1</v>
      </c>
      <c r="L893" t="b">
        <f>ISNUMBER(MATCH(CONTROL[[#This Row],[VEHIDCODE]],GRAPHICS_PROPERTIES[VEHIDCODE],0))</f>
        <v>1</v>
      </c>
      <c r="M893" s="21" t="str">
        <f>"item_"&amp;CONTROL[[#This Row],[VEHIDCODE]]</f>
        <v>item_steam_Avonside_0_6_0ST_Sao_Paulo_No__13___14</v>
      </c>
      <c r="N893" s="21" t="str">
        <f>"str_"&amp;CONTROL[[#This Row],[VEHIDCODE]]</f>
        <v>str_steam_Avonside_0_6_0ST_Sao_Paulo_No__13___14</v>
      </c>
      <c r="O893" s="7" t="b">
        <f>INDEX(PROPERTIES[IS_CONCEPT],MATCH(CONTROL[[#This Row],[VEHIDCODE]],PROPERTIES[VEHIDCODE],0))="IS_CONCEPT"</f>
        <v>0</v>
      </c>
      <c r="P893" s="7" t="b">
        <f>INDEX(PROPERTIES[EXCLUDE],MATCH(CONTROL[[#This Row],[VEHIDCODE]],PROPERTIES[VEHIDCODE],0))</f>
        <v>0</v>
      </c>
      <c r="Q8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894" spans="1:17" x14ac:dyDescent="0.35">
      <c r="A894" t="s">
        <v>3682</v>
      </c>
      <c r="B894" s="21" t="str">
        <f>MID(CONTROL[[#This Row],[VEHIDCODE]],FIND("_",CONTROL[[#This Row],[VEHIDCODE]])+1,LEN(CONTROL[[#This Row],[VEHIDCODE]]))</f>
        <v>Ganz_CMU_4701_Transandino</v>
      </c>
      <c r="C8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7055</v>
      </c>
      <c r="F894" s="30" t="s">
        <v>3685</v>
      </c>
      <c r="G894" t="s">
        <v>1802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ISNUMBER(MATCH(CONTROL[[#This Row],[VEHIDCODE]],TRACK_TYPES[VEHIDCODE],0))</f>
        <v>1</v>
      </c>
      <c r="K894" t="b">
        <f>ISNUMBER(MATCH(CONTROL[[#This Row],[VEHIDCODE]],PROPERTIES[VEHIDCODE],0))</f>
        <v>1</v>
      </c>
      <c r="L894" t="b">
        <f>ISNUMBER(MATCH(CONTROL[[#This Row],[VEHIDCODE]],GRAPHICS_PROPERTIES[VEHIDCODE],0))</f>
        <v>1</v>
      </c>
      <c r="M894" s="21" t="str">
        <f>"item_"&amp;CONTROL[[#This Row],[VEHIDCODE]]</f>
        <v>item_dmu_Ganz_CMU_4701_Transandino</v>
      </c>
      <c r="N894" s="21" t="str">
        <f>"str_"&amp;CONTROL[[#This Row],[VEHIDCODE]]</f>
        <v>str_dmu_Ganz_CMU_4701_Transandino</v>
      </c>
      <c r="O894" s="7" t="b">
        <f>INDEX(PROPERTIES[IS_CONCEPT],MATCH(CONTROL[[#This Row],[VEHIDCODE]],PROPERTIES[VEHIDCODE],0))="IS_CONCEPT"</f>
        <v>0</v>
      </c>
      <c r="P894" s="7" t="b">
        <f>INDEX(PROPERTIES[EXCLUDE],MATCH(CONTROL[[#This Row],[VEHIDCODE]],PROPERTIES[VEHIDCODE],0))</f>
        <v>0</v>
      </c>
      <c r="Q8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5" spans="1:17" x14ac:dyDescent="0.35">
      <c r="A895" t="s">
        <v>3343</v>
      </c>
      <c r="B895" s="21" t="str">
        <f>MID(CONTROL[[#This Row],[VEHIDCODE]],FIND("_",CONTROL[[#This Row],[VEHIDCODE]])+1,LEN(CONTROL[[#This Row],[VEHIDCODE]]))</f>
        <v>Kawasaki_Hitachi_AEZ_Railcar</v>
      </c>
      <c r="C8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9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8079</v>
      </c>
      <c r="F895" s="30" t="s">
        <v>2492</v>
      </c>
      <c r="G895" s="32" t="s">
        <v>1803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ISNUMBER(MATCH(CONTROL[[#This Row],[VEHIDCODE]],TRACK_TYPES[VEHIDCODE],0))</f>
        <v>1</v>
      </c>
      <c r="K895" t="b">
        <f>ISNUMBER(MATCH(CONTROL[[#This Row],[VEHIDCODE]],PROPERTIES[VEHIDCODE],0))</f>
        <v>1</v>
      </c>
      <c r="L895" t="b">
        <f>ISNUMBER(MATCH(CONTROL[[#This Row],[VEHIDCODE]],GRAPHICS_PROPERTIES[VEHIDCODE],0))</f>
        <v>1</v>
      </c>
      <c r="M895" s="21" t="str">
        <f>"item_"&amp;CONTROL[[#This Row],[VEHIDCODE]]</f>
        <v>item_emu_Kawasaki_Hitachi_AEZ_Railcar</v>
      </c>
      <c r="N895" s="21" t="str">
        <f>"str_"&amp;CONTROL[[#This Row],[VEHIDCODE]]</f>
        <v>str_emu_Kawasaki_Hitachi_AEZ_Railcar</v>
      </c>
      <c r="O895" s="7" t="b">
        <f>INDEX(PROPERTIES[IS_CONCEPT],MATCH(CONTROL[[#This Row],[VEHIDCODE]],PROPERTIES[VEHIDCODE],0))="IS_CONCEPT"</f>
        <v>0</v>
      </c>
      <c r="P895" s="7" t="b">
        <f>INDEX(PROPERTIES[EXCLUDE],MATCH(CONTROL[[#This Row],[VEHIDCODE]],PROPERTIES[VEHIDCODE],0))</f>
        <v>0</v>
      </c>
      <c r="Q8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6" spans="1:17" x14ac:dyDescent="0.35">
      <c r="A896" t="s">
        <v>3344</v>
      </c>
      <c r="B896" s="21" t="str">
        <f>MID(CONTROL[[#This Row],[VEHIDCODE]],FIND("_",CONTROL[[#This Row],[VEHIDCODE]])+1,LEN(CONTROL[[#This Row],[VEHIDCODE]]))</f>
        <v>BREL_GEC_Auckland_ART_Concept</v>
      </c>
      <c r="C8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8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89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8080</v>
      </c>
      <c r="F896" s="30" t="s">
        <v>1804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ISNUMBER(MATCH(CONTROL[[#This Row],[VEHIDCODE]],TRACK_TYPES[VEHIDCODE],0))</f>
        <v>1</v>
      </c>
      <c r="K896" t="b">
        <f>ISNUMBER(MATCH(CONTROL[[#This Row],[VEHIDCODE]],PROPERTIES[VEHIDCODE],0))</f>
        <v>1</v>
      </c>
      <c r="L896" t="b">
        <f>ISNUMBER(MATCH(CONTROL[[#This Row],[VEHIDCODE]],GRAPHICS_PROPERTIES[VEHIDCODE],0))</f>
        <v>1</v>
      </c>
      <c r="M896" s="21" t="str">
        <f>"item_"&amp;CONTROL[[#This Row],[VEHIDCODE]]</f>
        <v>item_emu_BREL_GEC_Auckland_ART_Concept</v>
      </c>
      <c r="N896" s="21" t="str">
        <f>"str_"&amp;CONTROL[[#This Row],[VEHIDCODE]]</f>
        <v>str_emu_BREL_GEC_Auckland_ART_Concept</v>
      </c>
      <c r="O896" s="7" t="b">
        <f>INDEX(PROPERTIES[IS_CONCEPT],MATCH(CONTROL[[#This Row],[VEHIDCODE]],PROPERTIES[VEHIDCODE],0))="IS_CONCEPT"</f>
        <v>1</v>
      </c>
      <c r="P896" s="7" t="b">
        <f>INDEX(PROPERTIES[EXCLUDE],MATCH(CONTROL[[#This Row],[VEHIDCODE]],PROPERTIES[VEHIDCODE],0))</f>
        <v>0</v>
      </c>
      <c r="Q8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7" spans="1:17" x14ac:dyDescent="0.35">
      <c r="A897" t="s">
        <v>3345</v>
      </c>
      <c r="B897" s="21" t="str">
        <f>MID(CONTROL[[#This Row],[VEHIDCODE]],FIND("_",CONTROL[[#This Row],[VEHIDCODE]])+1,LEN(CONTROL[[#This Row],[VEHIDCODE]]))</f>
        <v>Comeng_1100_Railcar</v>
      </c>
      <c r="C8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7056</v>
      </c>
      <c r="F897" s="30" t="s">
        <v>2493</v>
      </c>
      <c r="G897" t="s">
        <v>1805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ISNUMBER(MATCH(CONTROL[[#This Row],[VEHIDCODE]],TRACK_TYPES[VEHIDCODE],0))</f>
        <v>1</v>
      </c>
      <c r="K897" t="b">
        <f>ISNUMBER(MATCH(CONTROL[[#This Row],[VEHIDCODE]],PROPERTIES[VEHIDCODE],0))</f>
        <v>1</v>
      </c>
      <c r="L897" t="b">
        <f>ISNUMBER(MATCH(CONTROL[[#This Row],[VEHIDCODE]],GRAPHICS_PROPERTIES[VEHIDCODE],0))</f>
        <v>1</v>
      </c>
      <c r="M897" s="21" t="str">
        <f>"item_"&amp;CONTROL[[#This Row],[VEHIDCODE]]</f>
        <v>item_dmu_Comeng_1100_Railcar</v>
      </c>
      <c r="N897" s="21" t="str">
        <f>"str_"&amp;CONTROL[[#This Row],[VEHIDCODE]]</f>
        <v>str_dmu_Comeng_1100_Railcar</v>
      </c>
      <c r="O897" s="7" t="b">
        <f>INDEX(PROPERTIES[IS_CONCEPT],MATCH(CONTROL[[#This Row],[VEHIDCODE]],PROPERTIES[VEHIDCODE],0))="IS_CONCEPT"</f>
        <v>0</v>
      </c>
      <c r="P897" s="7" t="b">
        <f>INDEX(PROPERTIES[EXCLUDE],MATCH(CONTROL[[#This Row],[VEHIDCODE]],PROPERTIES[VEHIDCODE],0))</f>
        <v>0</v>
      </c>
      <c r="Q8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8" spans="1:17" x14ac:dyDescent="0.35">
      <c r="A898" t="s">
        <v>3346</v>
      </c>
      <c r="B898" s="21" t="str">
        <f>MID(CONTROL[[#This Row],[VEHIDCODE]],FIND("_",CONTROL[[#This Row],[VEHIDCODE]])+1,LEN(CONTROL[[#This Row],[VEHIDCODE]]))</f>
        <v>Thai_Comeng_XPT_Concept</v>
      </c>
      <c r="C8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7057</v>
      </c>
      <c r="F898" s="30" t="s">
        <v>1807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ISNUMBER(MATCH(CONTROL[[#This Row],[VEHIDCODE]],TRACK_TYPES[VEHIDCODE],0))</f>
        <v>1</v>
      </c>
      <c r="K898" t="b">
        <f>ISNUMBER(MATCH(CONTROL[[#This Row],[VEHIDCODE]],PROPERTIES[VEHIDCODE],0))</f>
        <v>1</v>
      </c>
      <c r="L898" t="b">
        <f>ISNUMBER(MATCH(CONTROL[[#This Row],[VEHIDCODE]],GRAPHICS_PROPERTIES[VEHIDCODE],0))</f>
        <v>1</v>
      </c>
      <c r="M898" s="21" t="str">
        <f>"item_"&amp;CONTROL[[#This Row],[VEHIDCODE]]</f>
        <v>item_dmu_Thai_Comeng_XPT_Concept</v>
      </c>
      <c r="N898" s="21" t="str">
        <f>"str_"&amp;CONTROL[[#This Row],[VEHIDCODE]]</f>
        <v>str_dmu_Thai_Comeng_XPT_Concept</v>
      </c>
      <c r="O898" s="7" t="b">
        <f>INDEX(PROPERTIES[IS_CONCEPT],MATCH(CONTROL[[#This Row],[VEHIDCODE]],PROPERTIES[VEHIDCODE],0))="IS_CONCEPT"</f>
        <v>1</v>
      </c>
      <c r="P898" s="7" t="b">
        <f>INDEX(PROPERTIES[EXCLUDE],MATCH(CONTROL[[#This Row],[VEHIDCODE]],PROPERTIES[VEHIDCODE],0))</f>
        <v>0</v>
      </c>
      <c r="Q8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899" spans="1:17" x14ac:dyDescent="0.35">
      <c r="A899" s="2" t="s">
        <v>3347</v>
      </c>
      <c r="B899" s="21" t="str">
        <f>MID(CONTROL[[#This Row],[VEHIDCODE]],FIND("_",CONTROL[[#This Row],[VEHIDCODE]])+1,LEN(CONTROL[[#This Row],[VEHIDCODE]]))</f>
        <v>Comeng_NSW_XPT</v>
      </c>
      <c r="C8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8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89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7058</v>
      </c>
      <c r="F899" s="30" t="s">
        <v>2494</v>
      </c>
      <c r="G899" t="s">
        <v>1808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ISNUMBER(MATCH(CONTROL[[#This Row],[VEHIDCODE]],TRACK_TYPES[VEHIDCODE],0))</f>
        <v>1</v>
      </c>
      <c r="K899" t="b">
        <f>ISNUMBER(MATCH(CONTROL[[#This Row],[VEHIDCODE]],PROPERTIES[VEHIDCODE],0))</f>
        <v>1</v>
      </c>
      <c r="L899" t="b">
        <f>ISNUMBER(MATCH(CONTROL[[#This Row],[VEHIDCODE]],GRAPHICS_PROPERTIES[VEHIDCODE],0))</f>
        <v>1</v>
      </c>
      <c r="M899" s="21" t="str">
        <f>"item_"&amp;CONTROL[[#This Row],[VEHIDCODE]]</f>
        <v>item_dmu_Comeng_NSW_XPT</v>
      </c>
      <c r="N899" s="21" t="str">
        <f>"str_"&amp;CONTROL[[#This Row],[VEHIDCODE]]</f>
        <v>str_dmu_Comeng_NSW_XPT</v>
      </c>
      <c r="O899" s="7" t="b">
        <f>INDEX(PROPERTIES[IS_CONCEPT],MATCH(CONTROL[[#This Row],[VEHIDCODE]],PROPERTIES[VEHIDCODE],0))="IS_CONCEPT"</f>
        <v>0</v>
      </c>
      <c r="P899" s="7" t="b">
        <f>INDEX(PROPERTIES[EXCLUDE],MATCH(CONTROL[[#This Row],[VEHIDCODE]],PROPERTIES[VEHIDCODE],0))</f>
        <v>0</v>
      </c>
      <c r="Q8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0" spans="1:17" x14ac:dyDescent="0.35">
      <c r="A900" t="s">
        <v>3348</v>
      </c>
      <c r="B900" s="21" t="str">
        <f>MID(CONTROL[[#This Row],[VEHIDCODE]],FIND("_",CONTROL[[#This Row],[VEHIDCODE]])+1,LEN(CONTROL[[#This Row],[VEHIDCODE]]))</f>
        <v>Tangara_V_Set_Hybrid_Concept</v>
      </c>
      <c r="C9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8081</v>
      </c>
      <c r="F900" s="30" t="s">
        <v>1809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ISNUMBER(MATCH(CONTROL[[#This Row],[VEHIDCODE]],TRACK_TYPES[VEHIDCODE],0))</f>
        <v>1</v>
      </c>
      <c r="K900" t="b">
        <f>ISNUMBER(MATCH(CONTROL[[#This Row],[VEHIDCODE]],PROPERTIES[VEHIDCODE],0))</f>
        <v>1</v>
      </c>
      <c r="L900" t="b">
        <f>ISNUMBER(MATCH(CONTROL[[#This Row],[VEHIDCODE]],GRAPHICS_PROPERTIES[VEHIDCODE],0))</f>
        <v>1</v>
      </c>
      <c r="M900" s="21" t="str">
        <f>"item_"&amp;CONTROL[[#This Row],[VEHIDCODE]]</f>
        <v>item_emu_Tangara_V_Set_Hybrid_Concept</v>
      </c>
      <c r="N900" s="21" t="str">
        <f>"str_"&amp;CONTROL[[#This Row],[VEHIDCODE]]</f>
        <v>str_emu_Tangara_V_Set_Hybrid_Concept</v>
      </c>
      <c r="O900" s="7" t="b">
        <f>INDEX(PROPERTIES[IS_CONCEPT],MATCH(CONTROL[[#This Row],[VEHIDCODE]],PROPERTIES[VEHIDCODE],0))="IS_CONCEPT"</f>
        <v>1</v>
      </c>
      <c r="P900" s="7" t="b">
        <f>INDEX(PROPERTIES[EXCLUDE],MATCH(CONTROL[[#This Row],[VEHIDCODE]],PROPERTIES[VEHIDCODE],0))</f>
        <v>0</v>
      </c>
      <c r="Q9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1" spans="1:17" x14ac:dyDescent="0.35">
      <c r="A901" t="s">
        <v>3349</v>
      </c>
      <c r="B901" s="21" t="str">
        <f>MID(CONTROL[[#This Row],[VEHIDCODE]],FIND("_",CONTROL[[#This Row],[VEHIDCODE]])+1,LEN(CONTROL[[#This Row],[VEHIDCODE]]))</f>
        <v>NSWGR_800_900_DEB</v>
      </c>
      <c r="C9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0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7059</v>
      </c>
      <c r="F901" s="30" t="s">
        <v>1810</v>
      </c>
      <c r="G901" t="s">
        <v>1811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ISNUMBER(MATCH(CONTROL[[#This Row],[VEHIDCODE]],TRACK_TYPES[VEHIDCODE],0))</f>
        <v>1</v>
      </c>
      <c r="K901" t="b">
        <f>ISNUMBER(MATCH(CONTROL[[#This Row],[VEHIDCODE]],PROPERTIES[VEHIDCODE],0))</f>
        <v>1</v>
      </c>
      <c r="L901" t="b">
        <f>ISNUMBER(MATCH(CONTROL[[#This Row],[VEHIDCODE]],GRAPHICS_PROPERTIES[VEHIDCODE],0))</f>
        <v>1</v>
      </c>
      <c r="M901" s="21" t="str">
        <f>"item_"&amp;CONTROL[[#This Row],[VEHIDCODE]]</f>
        <v>item_dmu_NSWGR_800_900_DEB</v>
      </c>
      <c r="N901" s="21" t="str">
        <f>"str_"&amp;CONTROL[[#This Row],[VEHIDCODE]]</f>
        <v>str_dmu_NSWGR_800_900_DEB</v>
      </c>
      <c r="O901" s="7" t="b">
        <f>INDEX(PROPERTIES[IS_CONCEPT],MATCH(CONTROL[[#This Row],[VEHIDCODE]],PROPERTIES[VEHIDCODE],0))="IS_CONCEPT"</f>
        <v>1</v>
      </c>
      <c r="P901" s="7" t="b">
        <f>INDEX(PROPERTIES[EXCLUDE],MATCH(CONTROL[[#This Row],[VEHIDCODE]],PROPERTIES[VEHIDCODE],0))</f>
        <v>0</v>
      </c>
      <c r="Q9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2" spans="1:17" x14ac:dyDescent="0.35">
      <c r="A902" t="s">
        <v>3350</v>
      </c>
      <c r="B902" s="21" t="str">
        <f>MID(CONTROL[[#This Row],[VEHIDCODE]],FIND("_",CONTROL[[#This Row],[VEHIDCODE]])+1,LEN(CONTROL[[#This Row],[VEHIDCODE]]))</f>
        <v>Goninan_Tangara_4D_Prototype</v>
      </c>
      <c r="C9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8082</v>
      </c>
      <c r="F902" s="30" t="s">
        <v>2495</v>
      </c>
      <c r="G902" t="s">
        <v>1812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ISNUMBER(MATCH(CONTROL[[#This Row],[VEHIDCODE]],TRACK_TYPES[VEHIDCODE],0))</f>
        <v>1</v>
      </c>
      <c r="K902" t="b">
        <f>ISNUMBER(MATCH(CONTROL[[#This Row],[VEHIDCODE]],PROPERTIES[VEHIDCODE],0))</f>
        <v>1</v>
      </c>
      <c r="L902" t="b">
        <f>ISNUMBER(MATCH(CONTROL[[#This Row],[VEHIDCODE]],GRAPHICS_PROPERTIES[VEHIDCODE],0))</f>
        <v>1</v>
      </c>
      <c r="M902" s="21" t="str">
        <f>"item_"&amp;CONTROL[[#This Row],[VEHIDCODE]]</f>
        <v>item_emu_Goninan_Tangara_4D_Prototype</v>
      </c>
      <c r="N902" s="21" t="str">
        <f>"str_"&amp;CONTROL[[#This Row],[VEHIDCODE]]</f>
        <v>str_emu_Goninan_Tangara_4D_Prototype</v>
      </c>
      <c r="O902" s="7" t="b">
        <f>INDEX(PROPERTIES[IS_CONCEPT],MATCH(CONTROL[[#This Row],[VEHIDCODE]],PROPERTIES[VEHIDCODE],0))="IS_CONCEPT"</f>
        <v>0</v>
      </c>
      <c r="P902" s="7" t="b">
        <f>INDEX(PROPERTIES[EXCLUDE],MATCH(CONTROL[[#This Row],[VEHIDCODE]],PROPERTIES[VEHIDCODE],0))</f>
        <v>0</v>
      </c>
      <c r="Q9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3" spans="1:17" x14ac:dyDescent="0.35">
      <c r="A903" t="s">
        <v>3351</v>
      </c>
      <c r="B903" s="21" t="str">
        <f>MID(CONTROL[[#This Row],[VEHIDCODE]],FIND("_",CONTROL[[#This Row],[VEHIDCODE]])+1,LEN(CONTROL[[#This Row],[VEHIDCODE]]))</f>
        <v>Goninan_Tangara_T_Set</v>
      </c>
      <c r="C9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8083</v>
      </c>
      <c r="F903" s="30" t="s">
        <v>2496</v>
      </c>
      <c r="G903" t="s">
        <v>1814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ISNUMBER(MATCH(CONTROL[[#This Row],[VEHIDCODE]],TRACK_TYPES[VEHIDCODE],0))</f>
        <v>1</v>
      </c>
      <c r="K903" t="b">
        <f>ISNUMBER(MATCH(CONTROL[[#This Row],[VEHIDCODE]],PROPERTIES[VEHIDCODE],0))</f>
        <v>1</v>
      </c>
      <c r="L903" t="b">
        <f>ISNUMBER(MATCH(CONTROL[[#This Row],[VEHIDCODE]],GRAPHICS_PROPERTIES[VEHIDCODE],0))</f>
        <v>1</v>
      </c>
      <c r="M903" s="21" t="str">
        <f>"item_"&amp;CONTROL[[#This Row],[VEHIDCODE]]</f>
        <v>item_emu_Goninan_Tangara_T_Set</v>
      </c>
      <c r="N903" s="21" t="str">
        <f>"str_"&amp;CONTROL[[#This Row],[VEHIDCODE]]</f>
        <v>str_emu_Goninan_Tangara_T_Set</v>
      </c>
      <c r="O903" s="7" t="b">
        <f>INDEX(PROPERTIES[IS_CONCEPT],MATCH(CONTROL[[#This Row],[VEHIDCODE]],PROPERTIES[VEHIDCODE],0))="IS_CONCEPT"</f>
        <v>0</v>
      </c>
      <c r="P903" s="7" t="b">
        <f>INDEX(PROPERTIES[EXCLUDE],MATCH(CONTROL[[#This Row],[VEHIDCODE]],PROPERTIES[VEHIDCODE],0))</f>
        <v>0</v>
      </c>
      <c r="Q9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4" spans="1:17" x14ac:dyDescent="0.35">
      <c r="A904" t="s">
        <v>3352</v>
      </c>
      <c r="B904" s="21" t="str">
        <f>MID(CONTROL[[#This Row],[VEHIDCODE]],FIND("_",CONTROL[[#This Row],[VEHIDCODE]])+1,LEN(CONTROL[[#This Row],[VEHIDCODE]]))</f>
        <v>NSWGR_600_700</v>
      </c>
      <c r="C9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0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7060</v>
      </c>
      <c r="F904" s="30" t="s">
        <v>1813</v>
      </c>
      <c r="G904" t="s">
        <v>1815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ISNUMBER(MATCH(CONTROL[[#This Row],[VEHIDCODE]],TRACK_TYPES[VEHIDCODE],0))</f>
        <v>1</v>
      </c>
      <c r="K904" t="b">
        <f>ISNUMBER(MATCH(CONTROL[[#This Row],[VEHIDCODE]],PROPERTIES[VEHIDCODE],0))</f>
        <v>1</v>
      </c>
      <c r="L904" t="b">
        <f>ISNUMBER(MATCH(CONTROL[[#This Row],[VEHIDCODE]],GRAPHICS_PROPERTIES[VEHIDCODE],0))</f>
        <v>1</v>
      </c>
      <c r="M904" s="21" t="str">
        <f>"item_"&amp;CONTROL[[#This Row],[VEHIDCODE]]</f>
        <v>item_dmu_NSWGR_600_700</v>
      </c>
      <c r="N904" s="21" t="str">
        <f>"str_"&amp;CONTROL[[#This Row],[VEHIDCODE]]</f>
        <v>str_dmu_NSWGR_600_700</v>
      </c>
      <c r="O904" s="7" t="b">
        <f>INDEX(PROPERTIES[IS_CONCEPT],MATCH(CONTROL[[#This Row],[VEHIDCODE]],PROPERTIES[VEHIDCODE],0))="IS_CONCEPT"</f>
        <v>0</v>
      </c>
      <c r="P904" s="7" t="b">
        <f>INDEX(PROPERTIES[EXCLUDE],MATCH(CONTROL[[#This Row],[VEHIDCODE]],PROPERTIES[VEHIDCODE],0))</f>
        <v>0</v>
      </c>
      <c r="Q9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5" spans="1:17" x14ac:dyDescent="0.35">
      <c r="A905" t="s">
        <v>3353</v>
      </c>
      <c r="B905" s="21" t="str">
        <f>MID(CONTROL[[#This Row],[VEHIDCODE]],FIND("_",CONTROL[[#This Row],[VEHIDCODE]])+1,LEN(CONTROL[[#This Row],[VEHIDCODE]]))</f>
        <v>Kawasaki_RM_Silver_Fern</v>
      </c>
      <c r="C9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0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7061</v>
      </c>
      <c r="F905" s="30" t="s">
        <v>2497</v>
      </c>
      <c r="G905" t="s">
        <v>1816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ISNUMBER(MATCH(CONTROL[[#This Row],[VEHIDCODE]],TRACK_TYPES[VEHIDCODE],0))</f>
        <v>1</v>
      </c>
      <c r="K905" t="b">
        <f>ISNUMBER(MATCH(CONTROL[[#This Row],[VEHIDCODE]],PROPERTIES[VEHIDCODE],0))</f>
        <v>1</v>
      </c>
      <c r="L905" t="b">
        <f>ISNUMBER(MATCH(CONTROL[[#This Row],[VEHIDCODE]],GRAPHICS_PROPERTIES[VEHIDCODE],0))</f>
        <v>1</v>
      </c>
      <c r="M905" s="21" t="str">
        <f>"item_"&amp;CONTROL[[#This Row],[VEHIDCODE]]</f>
        <v>item_dmu_Kawasaki_RM_Silver_Fern</v>
      </c>
      <c r="N905" s="21" t="str">
        <f>"str_"&amp;CONTROL[[#This Row],[VEHIDCODE]]</f>
        <v>str_dmu_Kawasaki_RM_Silver_Fern</v>
      </c>
      <c r="O905" s="7" t="b">
        <f>INDEX(PROPERTIES[IS_CONCEPT],MATCH(CONTROL[[#This Row],[VEHIDCODE]],PROPERTIES[VEHIDCODE],0))="IS_CONCEPT"</f>
        <v>0</v>
      </c>
      <c r="P905" s="7" t="b">
        <f>INDEX(PROPERTIES[EXCLUDE],MATCH(CONTROL[[#This Row],[VEHIDCODE]],PROPERTIES[VEHIDCODE],0))</f>
        <v>0</v>
      </c>
      <c r="Q9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6" spans="1:17" x14ac:dyDescent="0.35">
      <c r="A906" t="s">
        <v>3354</v>
      </c>
      <c r="B906" s="21" t="str">
        <f>MID(CONTROL[[#This Row],[VEHIDCODE]],FIND("_",CONTROL[[#This Row],[VEHIDCODE]])+1,LEN(CONTROL[[#This Row],[VEHIDCODE]]))</f>
        <v>Comeng_W_Class_Sputnik</v>
      </c>
      <c r="C9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8084</v>
      </c>
      <c r="F906" s="30" t="s">
        <v>2498</v>
      </c>
      <c r="G906" t="s">
        <v>1817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ISNUMBER(MATCH(CONTROL[[#This Row],[VEHIDCODE]],TRACK_TYPES[VEHIDCODE],0))</f>
        <v>1</v>
      </c>
      <c r="K906" t="b">
        <f>ISNUMBER(MATCH(CONTROL[[#This Row],[VEHIDCODE]],PROPERTIES[VEHIDCODE],0))</f>
        <v>1</v>
      </c>
      <c r="L906" t="b">
        <f>ISNUMBER(MATCH(CONTROL[[#This Row],[VEHIDCODE]],GRAPHICS_PROPERTIES[VEHIDCODE],0))</f>
        <v>1</v>
      </c>
      <c r="M906" s="21" t="str">
        <f>"item_"&amp;CONTROL[[#This Row],[VEHIDCODE]]</f>
        <v>item_emu_Comeng_W_Class_Sputnik</v>
      </c>
      <c r="N906" s="21" t="str">
        <f>"str_"&amp;CONTROL[[#This Row],[VEHIDCODE]]</f>
        <v>str_emu_Comeng_W_Class_Sputnik</v>
      </c>
      <c r="O906" s="7" t="b">
        <f>INDEX(PROPERTIES[IS_CONCEPT],MATCH(CONTROL[[#This Row],[VEHIDCODE]],PROPERTIES[VEHIDCODE],0))="IS_CONCEPT"</f>
        <v>0</v>
      </c>
      <c r="P906" s="7" t="b">
        <f>INDEX(PROPERTIES[EXCLUDE],MATCH(CONTROL[[#This Row],[VEHIDCODE]],PROPERTIES[VEHIDCODE],0))</f>
        <v>0</v>
      </c>
      <c r="Q9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7" spans="1:17" x14ac:dyDescent="0.35">
      <c r="A907" t="s">
        <v>3355</v>
      </c>
      <c r="B907" s="21" t="str">
        <f>MID(CONTROL[[#This Row],[VEHIDCODE]],FIND("_",CONTROL[[#This Row],[VEHIDCODE]])+1,LEN(CONTROL[[#This Row],[VEHIDCODE]]))</f>
        <v>Leeds_Clyde_Standard_EMU</v>
      </c>
      <c r="C9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8085</v>
      </c>
      <c r="F907" s="30" t="s">
        <v>2499</v>
      </c>
      <c r="G907" t="s">
        <v>1822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ISNUMBER(MATCH(CONTROL[[#This Row],[VEHIDCODE]],TRACK_TYPES[VEHIDCODE],0))</f>
        <v>1</v>
      </c>
      <c r="K907" t="b">
        <f>ISNUMBER(MATCH(CONTROL[[#This Row],[VEHIDCODE]],PROPERTIES[VEHIDCODE],0))</f>
        <v>1</v>
      </c>
      <c r="L907" t="b">
        <f>ISNUMBER(MATCH(CONTROL[[#This Row],[VEHIDCODE]],GRAPHICS_PROPERTIES[VEHIDCODE],0))</f>
        <v>1</v>
      </c>
      <c r="M907" s="21" t="str">
        <f>"item_"&amp;CONTROL[[#This Row],[VEHIDCODE]]</f>
        <v>item_emu_Leeds_Clyde_Standard_EMU</v>
      </c>
      <c r="N907" s="21" t="str">
        <f>"str_"&amp;CONTROL[[#This Row],[VEHIDCODE]]</f>
        <v>str_emu_Leeds_Clyde_Standard_EMU</v>
      </c>
      <c r="O907" s="7" t="b">
        <f>INDEX(PROPERTIES[IS_CONCEPT],MATCH(CONTROL[[#This Row],[VEHIDCODE]],PROPERTIES[VEHIDCODE],0))="IS_CONCEPT"</f>
        <v>0</v>
      </c>
      <c r="P907" s="7" t="b">
        <f>INDEX(PROPERTIES[EXCLUDE],MATCH(CONTROL[[#This Row],[VEHIDCODE]],PROPERTIES[VEHIDCODE],0))</f>
        <v>0</v>
      </c>
      <c r="Q9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8" spans="1:17" x14ac:dyDescent="0.35">
      <c r="A908" t="s">
        <v>3356</v>
      </c>
      <c r="B908" s="21" t="str">
        <f>MID(CONTROL[[#This Row],[VEHIDCODE]],FIND("_",CONTROL[[#This Row],[VEHIDCODE]])+1,LEN(CONTROL[[#This Row],[VEHIDCODE]]))</f>
        <v>NSWGR_Tulloch_EMU</v>
      </c>
      <c r="C9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8086</v>
      </c>
      <c r="F908" s="30" t="s">
        <v>1823</v>
      </c>
      <c r="G908" t="s">
        <v>1824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ISNUMBER(MATCH(CONTROL[[#This Row],[VEHIDCODE]],TRACK_TYPES[VEHIDCODE],0))</f>
        <v>1</v>
      </c>
      <c r="K908" t="b">
        <f>ISNUMBER(MATCH(CONTROL[[#This Row],[VEHIDCODE]],PROPERTIES[VEHIDCODE],0))</f>
        <v>1</v>
      </c>
      <c r="L908" t="b">
        <f>ISNUMBER(MATCH(CONTROL[[#This Row],[VEHIDCODE]],GRAPHICS_PROPERTIES[VEHIDCODE],0))</f>
        <v>1</v>
      </c>
      <c r="M908" s="21" t="str">
        <f>"item_"&amp;CONTROL[[#This Row],[VEHIDCODE]]</f>
        <v>item_emu_NSWGR_Tulloch_EMU</v>
      </c>
      <c r="N908" s="21" t="str">
        <f>"str_"&amp;CONTROL[[#This Row],[VEHIDCODE]]</f>
        <v>str_emu_NSWGR_Tulloch_EMU</v>
      </c>
      <c r="O908" s="7" t="b">
        <f>INDEX(PROPERTIES[IS_CONCEPT],MATCH(CONTROL[[#This Row],[VEHIDCODE]],PROPERTIES[VEHIDCODE],0))="IS_CONCEPT"</f>
        <v>0</v>
      </c>
      <c r="P908" s="7" t="b">
        <f>INDEX(PROPERTIES[EXCLUDE],MATCH(CONTROL[[#This Row],[VEHIDCODE]],PROPERTIES[VEHIDCODE],0))</f>
        <v>0</v>
      </c>
      <c r="Q9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09" spans="1:17" x14ac:dyDescent="0.35">
      <c r="A909" t="s">
        <v>3357</v>
      </c>
      <c r="B909" s="21" t="str">
        <f>MID(CONTROL[[#This Row],[VEHIDCODE]],FIND("_",CONTROL[[#This Row],[VEHIDCODE]])+1,LEN(CONTROL[[#This Row],[VEHIDCODE]]))</f>
        <v>Alstom_XTrapolis_100_Melbourne</v>
      </c>
      <c r="C9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0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8087</v>
      </c>
      <c r="F909" s="30" t="s">
        <v>2500</v>
      </c>
      <c r="G909" t="s">
        <v>1825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ISNUMBER(MATCH(CONTROL[[#This Row],[VEHIDCODE]],TRACK_TYPES[VEHIDCODE],0))</f>
        <v>1</v>
      </c>
      <c r="K909" t="b">
        <f>ISNUMBER(MATCH(CONTROL[[#This Row],[VEHIDCODE]],PROPERTIES[VEHIDCODE],0))</f>
        <v>1</v>
      </c>
      <c r="L909" t="b">
        <f>ISNUMBER(MATCH(CONTROL[[#This Row],[VEHIDCODE]],GRAPHICS_PROPERTIES[VEHIDCODE],0))</f>
        <v>1</v>
      </c>
      <c r="M909" s="21" t="str">
        <f>"item_"&amp;CONTROL[[#This Row],[VEHIDCODE]]</f>
        <v>item_emu_Alstom_XTrapolis_100_Melbourne</v>
      </c>
      <c r="N909" s="21" t="str">
        <f>"str_"&amp;CONTROL[[#This Row],[VEHIDCODE]]</f>
        <v>str_emu_Alstom_XTrapolis_100_Melbourne</v>
      </c>
      <c r="O909" s="7" t="b">
        <f>INDEX(PROPERTIES[IS_CONCEPT],MATCH(CONTROL[[#This Row],[VEHIDCODE]],PROPERTIES[VEHIDCODE],0))="IS_CONCEPT"</f>
        <v>0</v>
      </c>
      <c r="P909" s="7" t="b">
        <f>INDEX(PROPERTIES[EXCLUDE],MATCH(CONTROL[[#This Row],[VEHIDCODE]],PROPERTIES[VEHIDCODE],0))</f>
        <v>1</v>
      </c>
      <c r="Q9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10" spans="1:17" x14ac:dyDescent="0.35">
      <c r="A910" t="s">
        <v>1826</v>
      </c>
      <c r="B910" s="21" t="str">
        <f>MID(CONTROL[[#This Row],[VEHIDCODE]],FIND("_",CONTROL[[#This Row],[VEHIDCODE]])+1,LEN(CONTROL[[#This Row],[VEHIDCODE]]))</f>
        <v>Coach_Gen1_American_Style_NZAUS_Coach</v>
      </c>
      <c r="C9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11073</v>
      </c>
      <c r="F910" s="30" t="s">
        <v>3564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ISNUMBER(MATCH(CONTROL[[#This Row],[VEHIDCODE]],TRACK_TYPES[VEHIDCODE],0))</f>
        <v>1</v>
      </c>
      <c r="K910" t="b">
        <f>ISNUMBER(MATCH(CONTROL[[#This Row],[VEHIDCODE]],PROPERTIES[VEHIDCODE],0))</f>
        <v>1</v>
      </c>
      <c r="L910" t="b">
        <f>ISNUMBER(MATCH(CONTROL[[#This Row],[VEHIDCODE]],GRAPHICS_PROPERTIES[VEHIDCODE],0))</f>
        <v>1</v>
      </c>
      <c r="M910" s="21" t="str">
        <f>"item_"&amp;CONTROL[[#This Row],[VEHIDCODE]]</f>
        <v>item_mu_Coach_Gen1_American_Style_NZAUS_Coach</v>
      </c>
      <c r="N910" s="21" t="str">
        <f>"str_"&amp;CONTROL[[#This Row],[VEHIDCODE]]</f>
        <v>str_mu_Coach_Gen1_American_Style_NZAUS_Coach</v>
      </c>
      <c r="O910" s="7" t="b">
        <f>INDEX(PROPERTIES[IS_CONCEPT],MATCH(CONTROL[[#This Row],[VEHIDCODE]],PROPERTIES[VEHIDCODE],0))="IS_CONCEPT"</f>
        <v>0</v>
      </c>
      <c r="P910" s="7" t="b">
        <f>INDEX(PROPERTIES[EXCLUDE],MATCH(CONTROL[[#This Row],[VEHIDCODE]],PROPERTIES[VEHIDCODE],0))</f>
        <v>0</v>
      </c>
      <c r="Q9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1" spans="1:17" x14ac:dyDescent="0.35">
      <c r="A911" t="s">
        <v>1828</v>
      </c>
      <c r="B911" s="21" t="str">
        <f>MID(CONTROL[[#This Row],[VEHIDCODE]],FIND("_",CONTROL[[#This Row],[VEHIDCODE]])+1,LEN(CONTROL[[#This Row],[VEHIDCODE]]))</f>
        <v>Coach_Gen1_American_Style_NZAUS_Mail_Coach</v>
      </c>
      <c r="C9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11074</v>
      </c>
      <c r="F911" s="30" t="s">
        <v>3565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ISNUMBER(MATCH(CONTROL[[#This Row],[VEHIDCODE]],TRACK_TYPES[VEHIDCODE],0))</f>
        <v>1</v>
      </c>
      <c r="K911" t="b">
        <f>ISNUMBER(MATCH(CONTROL[[#This Row],[VEHIDCODE]],PROPERTIES[VEHIDCODE],0))</f>
        <v>1</v>
      </c>
      <c r="L911" t="b">
        <f>ISNUMBER(MATCH(CONTROL[[#This Row],[VEHIDCODE]],GRAPHICS_PROPERTIES[VEHIDCODE],0))</f>
        <v>1</v>
      </c>
      <c r="M911" s="21" t="str">
        <f>"item_"&amp;CONTROL[[#This Row],[VEHIDCODE]]</f>
        <v>item_mu_Coach_Gen1_American_Style_NZAUS_Mail_Coach</v>
      </c>
      <c r="N911" s="21" t="str">
        <f>"str_"&amp;CONTROL[[#This Row],[VEHIDCODE]]</f>
        <v>str_mu_Coach_Gen1_American_Style_NZAUS_Mail_Coach</v>
      </c>
      <c r="O911" s="7" t="b">
        <f>INDEX(PROPERTIES[IS_CONCEPT],MATCH(CONTROL[[#This Row],[VEHIDCODE]],PROPERTIES[VEHIDCODE],0))="IS_CONCEPT"</f>
        <v>0</v>
      </c>
      <c r="P911" s="7" t="b">
        <f>INDEX(PROPERTIES[EXCLUDE],MATCH(CONTROL[[#This Row],[VEHIDCODE]],PROPERTIES[VEHIDCODE],0))</f>
        <v>0</v>
      </c>
      <c r="Q9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2" spans="1:17" x14ac:dyDescent="0.35">
      <c r="A912" t="s">
        <v>1829</v>
      </c>
      <c r="B912" s="21" t="str">
        <f>MID(CONTROL[[#This Row],[VEHIDCODE]],FIND("_",CONTROL[[#This Row],[VEHIDCODE]])+1,LEN(CONTROL[[#This Row],[VEHIDCODE]]))</f>
        <v>Coach_Gen1_2_Axle_NZAUS_Coach</v>
      </c>
      <c r="C9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11075</v>
      </c>
      <c r="F912" s="30" t="s">
        <v>1831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ISNUMBER(MATCH(CONTROL[[#This Row],[VEHIDCODE]],TRACK_TYPES[VEHIDCODE],0))</f>
        <v>1</v>
      </c>
      <c r="K912" t="b">
        <f>ISNUMBER(MATCH(CONTROL[[#This Row],[VEHIDCODE]],PROPERTIES[VEHIDCODE],0))</f>
        <v>1</v>
      </c>
      <c r="L912" t="b">
        <f>ISNUMBER(MATCH(CONTROL[[#This Row],[VEHIDCODE]],GRAPHICS_PROPERTIES[VEHIDCODE],0))</f>
        <v>1</v>
      </c>
      <c r="M912" s="21" t="str">
        <f>"item_"&amp;CONTROL[[#This Row],[VEHIDCODE]]</f>
        <v>item_mu_Coach_Gen1_2_Axle_NZAUS_Coach</v>
      </c>
      <c r="N912" s="21" t="str">
        <f>"str_"&amp;CONTROL[[#This Row],[VEHIDCODE]]</f>
        <v>str_mu_Coach_Gen1_2_Axle_NZAUS_Coach</v>
      </c>
      <c r="O912" s="7" t="b">
        <f>INDEX(PROPERTIES[IS_CONCEPT],MATCH(CONTROL[[#This Row],[VEHIDCODE]],PROPERTIES[VEHIDCODE],0))="IS_CONCEPT"</f>
        <v>0</v>
      </c>
      <c r="P912" s="7" t="b">
        <f>INDEX(PROPERTIES[EXCLUDE],MATCH(CONTROL[[#This Row],[VEHIDCODE]],PROPERTIES[VEHIDCODE],0))</f>
        <v>0</v>
      </c>
      <c r="Q9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3" spans="1:17" x14ac:dyDescent="0.35">
      <c r="A913" t="s">
        <v>1830</v>
      </c>
      <c r="B913" s="21" t="str">
        <f>MID(CONTROL[[#This Row],[VEHIDCODE]],FIND("_",CONTROL[[#This Row],[VEHIDCODE]])+1,LEN(CONTROL[[#This Row],[VEHIDCODE]]))</f>
        <v>Coach_Gen1_2_Axle_NZAUS_Mail_Coach</v>
      </c>
      <c r="C9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11076</v>
      </c>
      <c r="F913" s="30" t="s">
        <v>1832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ISNUMBER(MATCH(CONTROL[[#This Row],[VEHIDCODE]],TRACK_TYPES[VEHIDCODE],0))</f>
        <v>1</v>
      </c>
      <c r="K913" t="b">
        <f>ISNUMBER(MATCH(CONTROL[[#This Row],[VEHIDCODE]],PROPERTIES[VEHIDCODE],0))</f>
        <v>1</v>
      </c>
      <c r="L913" t="b">
        <f>ISNUMBER(MATCH(CONTROL[[#This Row],[VEHIDCODE]],GRAPHICS_PROPERTIES[VEHIDCODE],0))</f>
        <v>1</v>
      </c>
      <c r="M913" s="21" t="str">
        <f>"item_"&amp;CONTROL[[#This Row],[VEHIDCODE]]</f>
        <v>item_mu_Coach_Gen1_2_Axle_NZAUS_Mail_Coach</v>
      </c>
      <c r="N913" s="21" t="str">
        <f>"str_"&amp;CONTROL[[#This Row],[VEHIDCODE]]</f>
        <v>str_mu_Coach_Gen1_2_Axle_NZAUS_Mail_Coach</v>
      </c>
      <c r="O913" s="7" t="b">
        <f>INDEX(PROPERTIES[IS_CONCEPT],MATCH(CONTROL[[#This Row],[VEHIDCODE]],PROPERTIES[VEHIDCODE],0))="IS_CONCEPT"</f>
        <v>0</v>
      </c>
      <c r="P913" s="7" t="b">
        <f>INDEX(PROPERTIES[EXCLUDE],MATCH(CONTROL[[#This Row],[VEHIDCODE]],PROPERTIES[VEHIDCODE],0))</f>
        <v>0</v>
      </c>
      <c r="Q9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4" spans="1:17" x14ac:dyDescent="0.35">
      <c r="A914" t="s">
        <v>1833</v>
      </c>
      <c r="B914" s="21" t="str">
        <f>MID(CONTROL[[#This Row],[VEHIDCODE]],FIND("_",CONTROL[[#This Row],[VEHIDCODE]])+1,LEN(CONTROL[[#This Row],[VEHIDCODE]]))</f>
        <v>Coach_Gen1_End_Platform_2_Axle_NZAUS_Coach</v>
      </c>
      <c r="C9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11077</v>
      </c>
      <c r="F914" s="30" t="s">
        <v>1835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ISNUMBER(MATCH(CONTROL[[#This Row],[VEHIDCODE]],TRACK_TYPES[VEHIDCODE],0))</f>
        <v>1</v>
      </c>
      <c r="K914" t="b">
        <f>ISNUMBER(MATCH(CONTROL[[#This Row],[VEHIDCODE]],PROPERTIES[VEHIDCODE],0))</f>
        <v>1</v>
      </c>
      <c r="L914" t="b">
        <f>ISNUMBER(MATCH(CONTROL[[#This Row],[VEHIDCODE]],GRAPHICS_PROPERTIES[VEHIDCODE],0))</f>
        <v>1</v>
      </c>
      <c r="M914" s="21" t="str">
        <f>"item_"&amp;CONTROL[[#This Row],[VEHIDCODE]]</f>
        <v>item_mu_Coach_Gen1_End_Platform_2_Axle_NZAUS_Coach</v>
      </c>
      <c r="N914" s="21" t="str">
        <f>"str_"&amp;CONTROL[[#This Row],[VEHIDCODE]]</f>
        <v>str_mu_Coach_Gen1_End_Platform_2_Axle_NZAUS_Coach</v>
      </c>
      <c r="O914" s="7" t="b">
        <f>INDEX(PROPERTIES[IS_CONCEPT],MATCH(CONTROL[[#This Row],[VEHIDCODE]],PROPERTIES[VEHIDCODE],0))="IS_CONCEPT"</f>
        <v>0</v>
      </c>
      <c r="P914" s="7" t="b">
        <f>INDEX(PROPERTIES[EXCLUDE],MATCH(CONTROL[[#This Row],[VEHIDCODE]],PROPERTIES[VEHIDCODE],0))</f>
        <v>0</v>
      </c>
      <c r="Q9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5" spans="1:17" x14ac:dyDescent="0.35">
      <c r="A915" t="s">
        <v>1834</v>
      </c>
      <c r="B915" s="21" t="str">
        <f>MID(CONTROL[[#This Row],[VEHIDCODE]],FIND("_",CONTROL[[#This Row],[VEHIDCODE]])+1,LEN(CONTROL[[#This Row],[VEHIDCODE]]))</f>
        <v>Coach_Gen1_Suburban_2_Axle_NZAUS_Coach</v>
      </c>
      <c r="C9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11078</v>
      </c>
      <c r="F915" s="30" t="s">
        <v>1836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ISNUMBER(MATCH(CONTROL[[#This Row],[VEHIDCODE]],TRACK_TYPES[VEHIDCODE],0))</f>
        <v>1</v>
      </c>
      <c r="K915" t="b">
        <f>ISNUMBER(MATCH(CONTROL[[#This Row],[VEHIDCODE]],PROPERTIES[VEHIDCODE],0))</f>
        <v>1</v>
      </c>
      <c r="L915" t="b">
        <f>ISNUMBER(MATCH(CONTROL[[#This Row],[VEHIDCODE]],GRAPHICS_PROPERTIES[VEHIDCODE],0))</f>
        <v>1</v>
      </c>
      <c r="M915" s="21" t="str">
        <f>"item_"&amp;CONTROL[[#This Row],[VEHIDCODE]]</f>
        <v>item_mu_Coach_Gen1_Suburban_2_Axle_NZAUS_Coach</v>
      </c>
      <c r="N915" s="21" t="str">
        <f>"str_"&amp;CONTROL[[#This Row],[VEHIDCODE]]</f>
        <v>str_mu_Coach_Gen1_Suburban_2_Axle_NZAUS_Coach</v>
      </c>
      <c r="O915" s="7" t="b">
        <f>INDEX(PROPERTIES[IS_CONCEPT],MATCH(CONTROL[[#This Row],[VEHIDCODE]],PROPERTIES[VEHIDCODE],0))="IS_CONCEPT"</f>
        <v>0</v>
      </c>
      <c r="P915" s="7" t="b">
        <f>INDEX(PROPERTIES[EXCLUDE],MATCH(CONTROL[[#This Row],[VEHIDCODE]],PROPERTIES[VEHIDCODE],0))</f>
        <v>0</v>
      </c>
      <c r="Q9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6" spans="1:17" x14ac:dyDescent="0.35">
      <c r="A916" t="s">
        <v>1837</v>
      </c>
      <c r="B916" s="21" t="str">
        <f>MID(CONTROL[[#This Row],[VEHIDCODE]],FIND("_",CONTROL[[#This Row],[VEHIDCODE]])+1,LEN(CONTROL[[#This Row],[VEHIDCODE]]))</f>
        <v>Coach_Gen4_BREL_Mk3_Coach</v>
      </c>
      <c r="C9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11079</v>
      </c>
      <c r="F916" s="30" t="s">
        <v>2501</v>
      </c>
      <c r="G916" t="s">
        <v>1839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ISNUMBER(MATCH(CONTROL[[#This Row],[VEHIDCODE]],TRACK_TYPES[VEHIDCODE],0))</f>
        <v>1</v>
      </c>
      <c r="K916" t="b">
        <f>ISNUMBER(MATCH(CONTROL[[#This Row],[VEHIDCODE]],PROPERTIES[VEHIDCODE],0))</f>
        <v>1</v>
      </c>
      <c r="L916" t="b">
        <f>ISNUMBER(MATCH(CONTROL[[#This Row],[VEHIDCODE]],GRAPHICS_PROPERTIES[VEHIDCODE],0))</f>
        <v>1</v>
      </c>
      <c r="M916" s="21" t="str">
        <f>"item_"&amp;CONTROL[[#This Row],[VEHIDCODE]]</f>
        <v>item_mu_Coach_Gen4_BREL_Mk3_Coach</v>
      </c>
      <c r="N916" s="21" t="str">
        <f>"str_"&amp;CONTROL[[#This Row],[VEHIDCODE]]</f>
        <v>str_mu_Coach_Gen4_BREL_Mk3_Coach</v>
      </c>
      <c r="O916" s="7" t="b">
        <f>INDEX(PROPERTIES[IS_CONCEPT],MATCH(CONTROL[[#This Row],[VEHIDCODE]],PROPERTIES[VEHIDCODE],0))="IS_CONCEPT"</f>
        <v>0</v>
      </c>
      <c r="P916" s="7" t="b">
        <f>INDEX(PROPERTIES[EXCLUDE],MATCH(CONTROL[[#This Row],[VEHIDCODE]],PROPERTIES[VEHIDCODE],0))</f>
        <v>0</v>
      </c>
      <c r="Q9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917" spans="1:17" x14ac:dyDescent="0.35">
      <c r="A917" t="s">
        <v>1838</v>
      </c>
      <c r="B917" s="21" t="str">
        <f>MID(CONTROL[[#This Row],[VEHIDCODE]],FIND("_",CONTROL[[#This Row],[VEHIDCODE]])+1,LEN(CONTROL[[#This Row],[VEHIDCODE]]))</f>
        <v>Coach_Gen4_BREL_Mk3_Mail_Coach</v>
      </c>
      <c r="C9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11080</v>
      </c>
      <c r="F917" s="30" t="s">
        <v>2502</v>
      </c>
      <c r="G917" t="s">
        <v>1839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ISNUMBER(MATCH(CONTROL[[#This Row],[VEHIDCODE]],TRACK_TYPES[VEHIDCODE],0))</f>
        <v>1</v>
      </c>
      <c r="K917" t="b">
        <f>ISNUMBER(MATCH(CONTROL[[#This Row],[VEHIDCODE]],PROPERTIES[VEHIDCODE],0))</f>
        <v>1</v>
      </c>
      <c r="L917" t="b">
        <f>ISNUMBER(MATCH(CONTROL[[#This Row],[VEHIDCODE]],GRAPHICS_PROPERTIES[VEHIDCODE],0))</f>
        <v>1</v>
      </c>
      <c r="M917" s="21" t="str">
        <f>"item_"&amp;CONTROL[[#This Row],[VEHIDCODE]]</f>
        <v>item_mu_Coach_Gen4_BREL_Mk3_Mail_Coach</v>
      </c>
      <c r="N917" s="21" t="str">
        <f>"str_"&amp;CONTROL[[#This Row],[VEHIDCODE]]</f>
        <v>str_mu_Coach_Gen4_BREL_Mk3_Mail_Coach</v>
      </c>
      <c r="O917" s="7" t="b">
        <f>INDEX(PROPERTIES[IS_CONCEPT],MATCH(CONTROL[[#This Row],[VEHIDCODE]],PROPERTIES[VEHIDCODE],0))="IS_CONCEPT"</f>
        <v>0</v>
      </c>
      <c r="P917" s="7" t="b">
        <f>INDEX(PROPERTIES[EXCLUDE],MATCH(CONTROL[[#This Row],[VEHIDCODE]],PROPERTIES[VEHIDCODE],0))</f>
        <v>0</v>
      </c>
      <c r="Q9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8" spans="1:17" x14ac:dyDescent="0.35">
      <c r="A918" t="s">
        <v>1840</v>
      </c>
      <c r="B918" s="21" t="str">
        <f>MID(CONTROL[[#This Row],[VEHIDCODE]],FIND("_",CONTROL[[#This Row],[VEHIDCODE]])+1,LEN(CONTROL[[#This Row],[VEHIDCODE]]))</f>
        <v>Coach_Gen4_Comeng_Suburban_Double_Deck_SA2000</v>
      </c>
      <c r="C9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11081</v>
      </c>
      <c r="F918" s="30" t="s">
        <v>1841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ISNUMBER(MATCH(CONTROL[[#This Row],[VEHIDCODE]],TRACK_TYPES[VEHIDCODE],0))</f>
        <v>1</v>
      </c>
      <c r="K918" t="b">
        <f>ISNUMBER(MATCH(CONTROL[[#This Row],[VEHIDCODE]],PROPERTIES[VEHIDCODE],0))</f>
        <v>1</v>
      </c>
      <c r="L918" t="b">
        <f>ISNUMBER(MATCH(CONTROL[[#This Row],[VEHIDCODE]],GRAPHICS_PROPERTIES[VEHIDCODE],0))</f>
        <v>1</v>
      </c>
      <c r="M918" s="21" t="str">
        <f>"item_"&amp;CONTROL[[#This Row],[VEHIDCODE]]</f>
        <v>item_mu_Coach_Gen4_Comeng_Suburban_Double_Deck_SA2000</v>
      </c>
      <c r="N918" s="21" t="str">
        <f>"str_"&amp;CONTROL[[#This Row],[VEHIDCODE]]</f>
        <v>str_mu_Coach_Gen4_Comeng_Suburban_Double_Deck_SA2000</v>
      </c>
      <c r="O918" s="7" t="b">
        <f>INDEX(PROPERTIES[IS_CONCEPT],MATCH(CONTROL[[#This Row],[VEHIDCODE]],PROPERTIES[VEHIDCODE],0))="IS_CONCEPT"</f>
        <v>1</v>
      </c>
      <c r="P918" s="7" t="b">
        <f>INDEX(PROPERTIES[EXCLUDE],MATCH(CONTROL[[#This Row],[VEHIDCODE]],PROPERTIES[VEHIDCODE],0))</f>
        <v>0</v>
      </c>
      <c r="Q9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19" spans="1:17" x14ac:dyDescent="0.35">
      <c r="A919" t="s">
        <v>1842</v>
      </c>
      <c r="B919" s="21" t="str">
        <f>MID(CONTROL[[#This Row],[VEHIDCODE]],FIND("_",CONTROL[[#This Row],[VEHIDCODE]])+1,LEN(CONTROL[[#This Row],[VEHIDCODE]]))</f>
        <v>Coach_Gen4_Gonian_4D_Concept</v>
      </c>
      <c r="C9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1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11082</v>
      </c>
      <c r="F919" s="30" t="s">
        <v>3538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ISNUMBER(MATCH(CONTROL[[#This Row],[VEHIDCODE]],TRACK_TYPES[VEHIDCODE],0))</f>
        <v>1</v>
      </c>
      <c r="K919" t="b">
        <f>ISNUMBER(MATCH(CONTROL[[#This Row],[VEHIDCODE]],PROPERTIES[VEHIDCODE],0))</f>
        <v>1</v>
      </c>
      <c r="L919" t="b">
        <f>ISNUMBER(MATCH(CONTROL[[#This Row],[VEHIDCODE]],GRAPHICS_PROPERTIES[VEHIDCODE],0))</f>
        <v>1</v>
      </c>
      <c r="M919" s="21" t="str">
        <f>"item_"&amp;CONTROL[[#This Row],[VEHIDCODE]]</f>
        <v>item_mu_Coach_Gen4_Gonian_4D_Concept</v>
      </c>
      <c r="N919" s="21" t="str">
        <f>"str_"&amp;CONTROL[[#This Row],[VEHIDCODE]]</f>
        <v>str_mu_Coach_Gen4_Gonian_4D_Concept</v>
      </c>
      <c r="O919" s="7" t="b">
        <f>INDEX(PROPERTIES[IS_CONCEPT],MATCH(CONTROL[[#This Row],[VEHIDCODE]],PROPERTIES[VEHIDCODE],0))="IS_CONCEPT"</f>
        <v>1</v>
      </c>
      <c r="P919" s="7" t="b">
        <f>INDEX(PROPERTIES[EXCLUDE],MATCH(CONTROL[[#This Row],[VEHIDCODE]],PROPERTIES[VEHIDCODE],0))</f>
        <v>0</v>
      </c>
      <c r="Q9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0" spans="1:17" x14ac:dyDescent="0.35">
      <c r="A920" s="2" t="s">
        <v>1843</v>
      </c>
      <c r="B920" s="21" t="str">
        <f>MID(CONTROL[[#This Row],[VEHIDCODE]],FIND("_",CONTROL[[#This Row],[VEHIDCODE]])+1,LEN(CONTROL[[#This Row],[VEHIDCODE]]))</f>
        <v>Coach_Gen4_Gonian_Tangara_Concept</v>
      </c>
      <c r="C9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11083</v>
      </c>
      <c r="F920" s="30" t="s">
        <v>1844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ISNUMBER(MATCH(CONTROL[[#This Row],[VEHIDCODE]],TRACK_TYPES[VEHIDCODE],0))</f>
        <v>1</v>
      </c>
      <c r="K920" t="b">
        <f>ISNUMBER(MATCH(CONTROL[[#This Row],[VEHIDCODE]],PROPERTIES[VEHIDCODE],0))</f>
        <v>1</v>
      </c>
      <c r="L920" t="b">
        <f>ISNUMBER(MATCH(CONTROL[[#This Row],[VEHIDCODE]],GRAPHICS_PROPERTIES[VEHIDCODE],0))</f>
        <v>1</v>
      </c>
      <c r="M920" s="21" t="str">
        <f>"item_"&amp;CONTROL[[#This Row],[VEHIDCODE]]</f>
        <v>item_mu_Coach_Gen4_Gonian_Tangara_Concept</v>
      </c>
      <c r="N920" s="21" t="str">
        <f>"str_"&amp;CONTROL[[#This Row],[VEHIDCODE]]</f>
        <v>str_mu_Coach_Gen4_Gonian_Tangara_Concept</v>
      </c>
      <c r="O920" s="7" t="b">
        <f>INDEX(PROPERTIES[IS_CONCEPT],MATCH(CONTROL[[#This Row],[VEHIDCODE]],PROPERTIES[VEHIDCODE],0))="IS_CONCEPT"</f>
        <v>1</v>
      </c>
      <c r="P920" s="7" t="b">
        <f>INDEX(PROPERTIES[EXCLUDE],MATCH(CONTROL[[#This Row],[VEHIDCODE]],PROPERTIES[VEHIDCODE],0))</f>
        <v>0</v>
      </c>
      <c r="Q9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1" spans="1:17" x14ac:dyDescent="0.35">
      <c r="A921" t="s">
        <v>1845</v>
      </c>
      <c r="B921" s="21" t="str">
        <f>MID(CONTROL[[#This Row],[VEHIDCODE]],FIND("_",CONTROL[[#This Row],[VEHIDCODE]])+1,LEN(CONTROL[[#This Row],[VEHIDCODE]]))</f>
        <v>Coach_Gen3_Hitachi_Nippon_Sharyo_Silver_Star_Coach</v>
      </c>
      <c r="C9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11084</v>
      </c>
      <c r="F921" s="30" t="s">
        <v>1846</v>
      </c>
      <c r="G921" t="s">
        <v>1867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ISNUMBER(MATCH(CONTROL[[#This Row],[VEHIDCODE]],TRACK_TYPES[VEHIDCODE],0))</f>
        <v>1</v>
      </c>
      <c r="K921" t="b">
        <f>ISNUMBER(MATCH(CONTROL[[#This Row],[VEHIDCODE]],PROPERTIES[VEHIDCODE],0))</f>
        <v>1</v>
      </c>
      <c r="L921" t="b">
        <f>ISNUMBER(MATCH(CONTROL[[#This Row],[VEHIDCODE]],GRAPHICS_PROPERTIES[VEHIDCODE],0))</f>
        <v>1</v>
      </c>
      <c r="M921" s="21" t="str">
        <f>"item_"&amp;CONTROL[[#This Row],[VEHIDCODE]]</f>
        <v>item_mu_Coach_Gen3_Hitachi_Nippon_Sharyo_Silver_Star_Coach</v>
      </c>
      <c r="N921" s="21" t="str">
        <f>"str_"&amp;CONTROL[[#This Row],[VEHIDCODE]]</f>
        <v>str_mu_Coach_Gen3_Hitachi_Nippon_Sharyo_Silver_Star_Coach</v>
      </c>
      <c r="O921" s="7" t="b">
        <f>INDEX(PROPERTIES[IS_CONCEPT],MATCH(CONTROL[[#This Row],[VEHIDCODE]],PROPERTIES[VEHIDCODE],0))="IS_CONCEPT"</f>
        <v>0</v>
      </c>
      <c r="P921" s="7" t="b">
        <f>INDEX(PROPERTIES[EXCLUDE],MATCH(CONTROL[[#This Row],[VEHIDCODE]],PROPERTIES[VEHIDCODE],0))</f>
        <v>0</v>
      </c>
      <c r="Q9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2" spans="1:17" x14ac:dyDescent="0.35">
      <c r="A922" t="s">
        <v>1847</v>
      </c>
      <c r="B922" s="21" t="str">
        <f>MID(CONTROL[[#This Row],[VEHIDCODE]],FIND("_",CONTROL[[#This Row],[VEHIDCODE]])+1,LEN(CONTROL[[#This Row],[VEHIDCODE]]))</f>
        <v>Coach_Gen3_Hitachi_Nippon_Sharyo_Silver_Star_Mail_Coach</v>
      </c>
      <c r="C9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11085</v>
      </c>
      <c r="F922" s="30" t="s">
        <v>1848</v>
      </c>
      <c r="G922" t="s">
        <v>1867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ISNUMBER(MATCH(CONTROL[[#This Row],[VEHIDCODE]],TRACK_TYPES[VEHIDCODE],0))</f>
        <v>1</v>
      </c>
      <c r="K922" t="b">
        <f>ISNUMBER(MATCH(CONTROL[[#This Row],[VEHIDCODE]],PROPERTIES[VEHIDCODE],0))</f>
        <v>1</v>
      </c>
      <c r="L922" t="b">
        <f>ISNUMBER(MATCH(CONTROL[[#This Row],[VEHIDCODE]],GRAPHICS_PROPERTIES[VEHIDCODE],0))</f>
        <v>1</v>
      </c>
      <c r="M922" s="21" t="str">
        <f>"item_"&amp;CONTROL[[#This Row],[VEHIDCODE]]</f>
        <v>item_mu_Coach_Gen3_Hitachi_Nippon_Sharyo_Silver_Star_Mail_Coach</v>
      </c>
      <c r="N922" s="21" t="str">
        <f>"str_"&amp;CONTROL[[#This Row],[VEHIDCODE]]</f>
        <v>str_mu_Coach_Gen3_Hitachi_Nippon_Sharyo_Silver_Star_Mail_Coach</v>
      </c>
      <c r="O922" s="7" t="b">
        <f>INDEX(PROPERTIES[IS_CONCEPT],MATCH(CONTROL[[#This Row],[VEHIDCODE]],PROPERTIES[VEHIDCODE],0))="IS_CONCEPT"</f>
        <v>0</v>
      </c>
      <c r="P922" s="7" t="b">
        <f>INDEX(PROPERTIES[EXCLUDE],MATCH(CONTROL[[#This Row],[VEHIDCODE]],PROPERTIES[VEHIDCODE],0))</f>
        <v>0</v>
      </c>
      <c r="Q9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3" spans="1:17" x14ac:dyDescent="0.35">
      <c r="A923" t="s">
        <v>1849</v>
      </c>
      <c r="B923" s="21" t="str">
        <f>MID(CONTROL[[#This Row],[VEHIDCODE]],FIND("_",CONTROL[[#This Row],[VEHIDCODE]])+1,LEN(CONTROL[[#This Row],[VEHIDCODE]]))</f>
        <v>Coach_Gen3_Comeng_High_Speed_Coach</v>
      </c>
      <c r="C9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11086</v>
      </c>
      <c r="F923" s="30" t="s">
        <v>1851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ISNUMBER(MATCH(CONTROL[[#This Row],[VEHIDCODE]],TRACK_TYPES[VEHIDCODE],0))</f>
        <v>1</v>
      </c>
      <c r="K923" t="b">
        <f>ISNUMBER(MATCH(CONTROL[[#This Row],[VEHIDCODE]],PROPERTIES[VEHIDCODE],0))</f>
        <v>1</v>
      </c>
      <c r="L923" t="b">
        <f>ISNUMBER(MATCH(CONTROL[[#This Row],[VEHIDCODE]],GRAPHICS_PROPERTIES[VEHIDCODE],0))</f>
        <v>1</v>
      </c>
      <c r="M923" s="21" t="str">
        <f>"item_"&amp;CONTROL[[#This Row],[VEHIDCODE]]</f>
        <v>item_mu_Coach_Gen3_Comeng_High_Speed_Coach</v>
      </c>
      <c r="N923" s="21" t="str">
        <f>"str_"&amp;CONTROL[[#This Row],[VEHIDCODE]]</f>
        <v>str_mu_Coach_Gen3_Comeng_High_Speed_Coach</v>
      </c>
      <c r="O923" s="7" t="b">
        <f>INDEX(PROPERTIES[IS_CONCEPT],MATCH(CONTROL[[#This Row],[VEHIDCODE]],PROPERTIES[VEHIDCODE],0))="IS_CONCEPT"</f>
        <v>0</v>
      </c>
      <c r="P923" s="7" t="b">
        <f>INDEX(PROPERTIES[EXCLUDE],MATCH(CONTROL[[#This Row],[VEHIDCODE]],PROPERTIES[VEHIDCODE],0))</f>
        <v>0</v>
      </c>
      <c r="Q9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4" spans="1:17" x14ac:dyDescent="0.35">
      <c r="A924" t="s">
        <v>1850</v>
      </c>
      <c r="B924" s="21" t="str">
        <f>MID(CONTROL[[#This Row],[VEHIDCODE]],FIND("_",CONTROL[[#This Row],[VEHIDCODE]])+1,LEN(CONTROL[[#This Row],[VEHIDCODE]]))</f>
        <v>Coach_Gen3_Comeng_High_Speed_Mail_Coach</v>
      </c>
      <c r="C9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11087</v>
      </c>
      <c r="F924" s="30" t="s">
        <v>1852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ISNUMBER(MATCH(CONTROL[[#This Row],[VEHIDCODE]],TRACK_TYPES[VEHIDCODE],0))</f>
        <v>1</v>
      </c>
      <c r="K924" t="b">
        <f>ISNUMBER(MATCH(CONTROL[[#This Row],[VEHIDCODE]],PROPERTIES[VEHIDCODE],0))</f>
        <v>1</v>
      </c>
      <c r="L924" t="b">
        <f>ISNUMBER(MATCH(CONTROL[[#This Row],[VEHIDCODE]],GRAPHICS_PROPERTIES[VEHIDCODE],0))</f>
        <v>1</v>
      </c>
      <c r="M924" s="21" t="str">
        <f>"item_"&amp;CONTROL[[#This Row],[VEHIDCODE]]</f>
        <v>item_mu_Coach_Gen3_Comeng_High_Speed_Mail_Coach</v>
      </c>
      <c r="N924" s="21" t="str">
        <f>"str_"&amp;CONTROL[[#This Row],[VEHIDCODE]]</f>
        <v>str_mu_Coach_Gen3_Comeng_High_Speed_Mail_Coach</v>
      </c>
      <c r="O924" s="7" t="b">
        <f>INDEX(PROPERTIES[IS_CONCEPT],MATCH(CONTROL[[#This Row],[VEHIDCODE]],PROPERTIES[VEHIDCODE],0))="IS_CONCEPT"</f>
        <v>0</v>
      </c>
      <c r="P924" s="7" t="b">
        <f>INDEX(PROPERTIES[EXCLUDE],MATCH(CONTROL[[#This Row],[VEHIDCODE]],PROPERTIES[VEHIDCODE],0))</f>
        <v>0</v>
      </c>
      <c r="Q9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5" spans="1:17" x14ac:dyDescent="0.35">
      <c r="A925" t="s">
        <v>1854</v>
      </c>
      <c r="B925" s="21" t="str">
        <f>MID(CONTROL[[#This Row],[VEHIDCODE]],FIND("_",CONTROL[[#This Row],[VEHIDCODE]])+1,LEN(CONTROL[[#This Row],[VEHIDCODE]]))</f>
        <v>Coach_Gen4_Comeng_HType_Suburban_Coach</v>
      </c>
      <c r="C9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9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11088</v>
      </c>
      <c r="F925" s="30" t="s">
        <v>1853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ISNUMBER(MATCH(CONTROL[[#This Row],[VEHIDCODE]],TRACK_TYPES[VEHIDCODE],0))</f>
        <v>1</v>
      </c>
      <c r="K925" t="b">
        <f>ISNUMBER(MATCH(CONTROL[[#This Row],[VEHIDCODE]],PROPERTIES[VEHIDCODE],0))</f>
        <v>1</v>
      </c>
      <c r="L925" t="b">
        <f>ISNUMBER(MATCH(CONTROL[[#This Row],[VEHIDCODE]],GRAPHICS_PROPERTIES[VEHIDCODE],0))</f>
        <v>1</v>
      </c>
      <c r="M925" s="21" t="str">
        <f>"item_"&amp;CONTROL[[#This Row],[VEHIDCODE]]</f>
        <v>item_mu_Coach_Gen4_Comeng_HType_Suburban_Coach</v>
      </c>
      <c r="N925" s="21" t="str">
        <f>"str_"&amp;CONTROL[[#This Row],[VEHIDCODE]]</f>
        <v>str_mu_Coach_Gen4_Comeng_HType_Suburban_Coach</v>
      </c>
      <c r="O925" s="7" t="b">
        <f>INDEX(PROPERTIES[IS_CONCEPT],MATCH(CONTROL[[#This Row],[VEHIDCODE]],PROPERTIES[VEHIDCODE],0))="IS_CONCEPT"</f>
        <v>0</v>
      </c>
      <c r="P925" s="7" t="b">
        <f>INDEX(PROPERTIES[EXCLUDE],MATCH(CONTROL[[#This Row],[VEHIDCODE]],PROPERTIES[VEHIDCODE],0))</f>
        <v>0</v>
      </c>
      <c r="Q9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6" spans="1:17" x14ac:dyDescent="0.35">
      <c r="A926" t="s">
        <v>1856</v>
      </c>
      <c r="B926" s="21" t="str">
        <f>MID(CONTROL[[#This Row],[VEHIDCODE]],FIND("_",CONTROL[[#This Row],[VEHIDCODE]])+1,LEN(CONTROL[[#This Row],[VEHIDCODE]]))</f>
        <v>Coach_Gen3_NSW_Tulloch_RUB_Stock_Coach</v>
      </c>
      <c r="C9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11089</v>
      </c>
      <c r="F926" s="30" t="s">
        <v>1855</v>
      </c>
      <c r="G926" t="s">
        <v>1824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ISNUMBER(MATCH(CONTROL[[#This Row],[VEHIDCODE]],TRACK_TYPES[VEHIDCODE],0))</f>
        <v>1</v>
      </c>
      <c r="K926" t="b">
        <f>ISNUMBER(MATCH(CONTROL[[#This Row],[VEHIDCODE]],PROPERTIES[VEHIDCODE],0))</f>
        <v>1</v>
      </c>
      <c r="L926" t="b">
        <f>ISNUMBER(MATCH(CONTROL[[#This Row],[VEHIDCODE]],GRAPHICS_PROPERTIES[VEHIDCODE],0))</f>
        <v>1</v>
      </c>
      <c r="M926" s="21" t="str">
        <f>"item_"&amp;CONTROL[[#This Row],[VEHIDCODE]]</f>
        <v>item_mu_Coach_Gen3_NSW_Tulloch_RUB_Stock_Coach</v>
      </c>
      <c r="N926" s="21" t="str">
        <f>"str_"&amp;CONTROL[[#This Row],[VEHIDCODE]]</f>
        <v>str_mu_Coach_Gen3_NSW_Tulloch_RUB_Stock_Coach</v>
      </c>
      <c r="O926" s="7" t="b">
        <f>INDEX(PROPERTIES[IS_CONCEPT],MATCH(CONTROL[[#This Row],[VEHIDCODE]],PROPERTIES[VEHIDCODE],0))="IS_CONCEPT"</f>
        <v>0</v>
      </c>
      <c r="P926" s="7" t="b">
        <f>INDEX(PROPERTIES[EXCLUDE],MATCH(CONTROL[[#This Row],[VEHIDCODE]],PROPERTIES[VEHIDCODE],0))</f>
        <v>0</v>
      </c>
      <c r="Q9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7" spans="1:17" x14ac:dyDescent="0.35">
      <c r="A927" t="s">
        <v>1857</v>
      </c>
      <c r="B927" s="21" t="str">
        <f>MID(CONTROL[[#This Row],[VEHIDCODE]],FIND("_",CONTROL[[#This Row],[VEHIDCODE]])+1,LEN(CONTROL[[#This Row],[VEHIDCODE]]))</f>
        <v>Coach_Gen3_NSW_Tulloch_RUB_Stock_Mail_Coach</v>
      </c>
      <c r="C9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11090</v>
      </c>
      <c r="F927" s="30" t="s">
        <v>1858</v>
      </c>
      <c r="G927" t="s">
        <v>1824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ISNUMBER(MATCH(CONTROL[[#This Row],[VEHIDCODE]],TRACK_TYPES[VEHIDCODE],0))</f>
        <v>1</v>
      </c>
      <c r="K927" t="b">
        <f>ISNUMBER(MATCH(CONTROL[[#This Row],[VEHIDCODE]],PROPERTIES[VEHIDCODE],0))</f>
        <v>1</v>
      </c>
      <c r="L927" t="b">
        <f>ISNUMBER(MATCH(CONTROL[[#This Row],[VEHIDCODE]],GRAPHICS_PROPERTIES[VEHIDCODE],0))</f>
        <v>1</v>
      </c>
      <c r="M927" s="21" t="str">
        <f>"item_"&amp;CONTROL[[#This Row],[VEHIDCODE]]</f>
        <v>item_mu_Coach_Gen3_NSW_Tulloch_RUB_Stock_Mail_Coach</v>
      </c>
      <c r="N927" s="21" t="str">
        <f>"str_"&amp;CONTROL[[#This Row],[VEHIDCODE]]</f>
        <v>str_mu_Coach_Gen3_NSW_Tulloch_RUB_Stock_Mail_Coach</v>
      </c>
      <c r="O927" s="7" t="b">
        <f>INDEX(PROPERTIES[IS_CONCEPT],MATCH(CONTROL[[#This Row],[VEHIDCODE]],PROPERTIES[VEHIDCODE],0))="IS_CONCEPT"</f>
        <v>0</v>
      </c>
      <c r="P927" s="7" t="b">
        <f>INDEX(PROPERTIES[EXCLUDE],MATCH(CONTROL[[#This Row],[VEHIDCODE]],PROPERTIES[VEHIDCODE],0))</f>
        <v>0</v>
      </c>
      <c r="Q9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8" spans="1:17" x14ac:dyDescent="0.35">
      <c r="A928" t="s">
        <v>1859</v>
      </c>
      <c r="B928" s="21" t="str">
        <f>MID(CONTROL[[#This Row],[VEHIDCODE]],FIND("_",CONTROL[[#This Row],[VEHIDCODE]])+1,LEN(CONTROL[[#This Row],[VEHIDCODE]]))</f>
        <v>Coach_Gen3_WAGR_AY_Suburban_Coach</v>
      </c>
      <c r="C9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11091</v>
      </c>
      <c r="F928" s="30" t="s">
        <v>1860</v>
      </c>
      <c r="G928" t="s">
        <v>1865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ISNUMBER(MATCH(CONTROL[[#This Row],[VEHIDCODE]],TRACK_TYPES[VEHIDCODE],0))</f>
        <v>1</v>
      </c>
      <c r="K928" t="b">
        <f>ISNUMBER(MATCH(CONTROL[[#This Row],[VEHIDCODE]],PROPERTIES[VEHIDCODE],0))</f>
        <v>1</v>
      </c>
      <c r="L928" t="b">
        <f>ISNUMBER(MATCH(CONTROL[[#This Row],[VEHIDCODE]],GRAPHICS_PROPERTIES[VEHIDCODE],0))</f>
        <v>1</v>
      </c>
      <c r="M928" s="21" t="str">
        <f>"item_"&amp;CONTROL[[#This Row],[VEHIDCODE]]</f>
        <v>item_mu_Coach_Gen3_WAGR_AY_Suburban_Coach</v>
      </c>
      <c r="N928" s="21" t="str">
        <f>"str_"&amp;CONTROL[[#This Row],[VEHIDCODE]]</f>
        <v>str_mu_Coach_Gen3_WAGR_AY_Suburban_Coach</v>
      </c>
      <c r="O928" s="7" t="b">
        <f>INDEX(PROPERTIES[IS_CONCEPT],MATCH(CONTROL[[#This Row],[VEHIDCODE]],PROPERTIES[VEHIDCODE],0))="IS_CONCEPT"</f>
        <v>0</v>
      </c>
      <c r="P928" s="7" t="b">
        <f>INDEX(PROPERTIES[EXCLUDE],MATCH(CONTROL[[#This Row],[VEHIDCODE]],PROPERTIES[VEHIDCODE],0))</f>
        <v>0</v>
      </c>
      <c r="Q9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29" spans="1:17" x14ac:dyDescent="0.35">
      <c r="A929" t="s">
        <v>1861</v>
      </c>
      <c r="B929" s="21" t="str">
        <f>MID(CONTROL[[#This Row],[VEHIDCODE]],FIND("_",CONTROL[[#This Row],[VEHIDCODE]])+1,LEN(CONTROL[[#This Row],[VEHIDCODE]]))</f>
        <v>Coach_Gen3_NZR_56ft_Coach</v>
      </c>
      <c r="C9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2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11092</v>
      </c>
      <c r="F929" s="30" t="s">
        <v>1863</v>
      </c>
      <c r="G929" t="s">
        <v>1866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ISNUMBER(MATCH(CONTROL[[#This Row],[VEHIDCODE]],TRACK_TYPES[VEHIDCODE],0))</f>
        <v>1</v>
      </c>
      <c r="K929" t="b">
        <f>ISNUMBER(MATCH(CONTROL[[#This Row],[VEHIDCODE]],PROPERTIES[VEHIDCODE],0))</f>
        <v>1</v>
      </c>
      <c r="L929" t="b">
        <f>ISNUMBER(MATCH(CONTROL[[#This Row],[VEHIDCODE]],GRAPHICS_PROPERTIES[VEHIDCODE],0))</f>
        <v>1</v>
      </c>
      <c r="M929" s="21" t="str">
        <f>"item_"&amp;CONTROL[[#This Row],[VEHIDCODE]]</f>
        <v>item_mu_Coach_Gen3_NZR_56ft_Coach</v>
      </c>
      <c r="N929" s="21" t="str">
        <f>"str_"&amp;CONTROL[[#This Row],[VEHIDCODE]]</f>
        <v>str_mu_Coach_Gen3_NZR_56ft_Coach</v>
      </c>
      <c r="O929" s="7" t="b">
        <f>INDEX(PROPERTIES[IS_CONCEPT],MATCH(CONTROL[[#This Row],[VEHIDCODE]],PROPERTIES[VEHIDCODE],0))="IS_CONCEPT"</f>
        <v>0</v>
      </c>
      <c r="P929" s="7" t="b">
        <f>INDEX(PROPERTIES[EXCLUDE],MATCH(CONTROL[[#This Row],[VEHIDCODE]],PROPERTIES[VEHIDCODE],0))</f>
        <v>0</v>
      </c>
      <c r="Q9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0" spans="1:17" x14ac:dyDescent="0.35">
      <c r="A930" t="s">
        <v>1862</v>
      </c>
      <c r="B930" s="21" t="str">
        <f>MID(CONTROL[[#This Row],[VEHIDCODE]],FIND("_",CONTROL[[#This Row],[VEHIDCODE]])+1,LEN(CONTROL[[#This Row],[VEHIDCODE]]))</f>
        <v>Coach_Gen3_NZR_56ft_Mail_Coach</v>
      </c>
      <c r="C9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9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11093</v>
      </c>
      <c r="F930" s="30" t="s">
        <v>1864</v>
      </c>
      <c r="G930" t="s">
        <v>1866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ISNUMBER(MATCH(CONTROL[[#This Row],[VEHIDCODE]],TRACK_TYPES[VEHIDCODE],0))</f>
        <v>1</v>
      </c>
      <c r="K930" t="b">
        <f>ISNUMBER(MATCH(CONTROL[[#This Row],[VEHIDCODE]],PROPERTIES[VEHIDCODE],0))</f>
        <v>1</v>
      </c>
      <c r="L930" t="b">
        <f>ISNUMBER(MATCH(CONTROL[[#This Row],[VEHIDCODE]],GRAPHICS_PROPERTIES[VEHIDCODE],0))</f>
        <v>1</v>
      </c>
      <c r="M930" s="21" t="str">
        <f>"item_"&amp;CONTROL[[#This Row],[VEHIDCODE]]</f>
        <v>item_mu_Coach_Gen3_NZR_56ft_Mail_Coach</v>
      </c>
      <c r="N930" s="21" t="str">
        <f>"str_"&amp;CONTROL[[#This Row],[VEHIDCODE]]</f>
        <v>str_mu_Coach_Gen3_NZR_56ft_Mail_Coach</v>
      </c>
      <c r="O930" s="7" t="b">
        <f>INDEX(PROPERTIES[IS_CONCEPT],MATCH(CONTROL[[#This Row],[VEHIDCODE]],PROPERTIES[VEHIDCODE],0))="IS_CONCEPT"</f>
        <v>0</v>
      </c>
      <c r="P930" s="7" t="b">
        <f>INDEX(PROPERTIES[EXCLUDE],MATCH(CONTROL[[#This Row],[VEHIDCODE]],PROPERTIES[VEHIDCODE],0))</f>
        <v>0</v>
      </c>
      <c r="Q9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1" spans="1:17" x14ac:dyDescent="0.35">
      <c r="A931" s="2" t="s">
        <v>1870</v>
      </c>
      <c r="B931" s="21" t="str">
        <f>MID(CONTROL[[#This Row],[VEHIDCODE]],FIND("_",CONTROL[[#This Row],[VEHIDCODE]])+1,LEN(CONTROL[[#This Row],[VEHIDCODE]]))</f>
        <v>Coach_Gen2_NZR_50ft_Coach</v>
      </c>
      <c r="C9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9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11094</v>
      </c>
      <c r="F931" s="30" t="s">
        <v>1868</v>
      </c>
      <c r="G931" t="s">
        <v>1869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ISNUMBER(MATCH(CONTROL[[#This Row],[VEHIDCODE]],TRACK_TYPES[VEHIDCODE],0))</f>
        <v>1</v>
      </c>
      <c r="K931" t="b">
        <f>ISNUMBER(MATCH(CONTROL[[#This Row],[VEHIDCODE]],PROPERTIES[VEHIDCODE],0))</f>
        <v>1</v>
      </c>
      <c r="L931" t="b">
        <f>ISNUMBER(MATCH(CONTROL[[#This Row],[VEHIDCODE]],GRAPHICS_PROPERTIES[VEHIDCODE],0))</f>
        <v>1</v>
      </c>
      <c r="M931" s="21" t="str">
        <f>"item_"&amp;CONTROL[[#This Row],[VEHIDCODE]]</f>
        <v>item_mu_Coach_Gen2_NZR_50ft_Coach</v>
      </c>
      <c r="N931" s="21" t="str">
        <f>"str_"&amp;CONTROL[[#This Row],[VEHIDCODE]]</f>
        <v>str_mu_Coach_Gen2_NZR_50ft_Coach</v>
      </c>
      <c r="O931" s="7" t="b">
        <f>INDEX(PROPERTIES[IS_CONCEPT],MATCH(CONTROL[[#This Row],[VEHIDCODE]],PROPERTIES[VEHIDCODE],0))="IS_CONCEPT"</f>
        <v>0</v>
      </c>
      <c r="P931" s="7" t="b">
        <f>INDEX(PROPERTIES[EXCLUDE],MATCH(CONTROL[[#This Row],[VEHIDCODE]],PROPERTIES[VEHIDCODE],0))</f>
        <v>0</v>
      </c>
      <c r="Q9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2" spans="1:17" x14ac:dyDescent="0.35">
      <c r="A932" s="2" t="s">
        <v>1871</v>
      </c>
      <c r="B932" s="21" t="str">
        <f>MID(CONTROL[[#This Row],[VEHIDCODE]],FIND("_",CONTROL[[#This Row],[VEHIDCODE]])+1,LEN(CONTROL[[#This Row],[VEHIDCODE]]))</f>
        <v>Coach_Gen2_NZR_50ft_Mail_Coach</v>
      </c>
      <c r="C9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9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11095</v>
      </c>
      <c r="F932" s="30" t="s">
        <v>1872</v>
      </c>
      <c r="G932" t="s">
        <v>1869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ISNUMBER(MATCH(CONTROL[[#This Row],[VEHIDCODE]],TRACK_TYPES[VEHIDCODE],0))</f>
        <v>1</v>
      </c>
      <c r="K932" t="b">
        <f>ISNUMBER(MATCH(CONTROL[[#This Row],[VEHIDCODE]],PROPERTIES[VEHIDCODE],0))</f>
        <v>1</v>
      </c>
      <c r="L932" t="b">
        <f>ISNUMBER(MATCH(CONTROL[[#This Row],[VEHIDCODE]],GRAPHICS_PROPERTIES[VEHIDCODE],0))</f>
        <v>1</v>
      </c>
      <c r="M932" s="21" t="str">
        <f>"item_"&amp;CONTROL[[#This Row],[VEHIDCODE]]</f>
        <v>item_mu_Coach_Gen2_NZR_50ft_Mail_Coach</v>
      </c>
      <c r="N932" s="21" t="str">
        <f>"str_"&amp;CONTROL[[#This Row],[VEHIDCODE]]</f>
        <v>str_mu_Coach_Gen2_NZR_50ft_Mail_Coach</v>
      </c>
      <c r="O932" s="7" t="b">
        <f>INDEX(PROPERTIES[IS_CONCEPT],MATCH(CONTROL[[#This Row],[VEHIDCODE]],PROPERTIES[VEHIDCODE],0))="IS_CONCEPT"</f>
        <v>0</v>
      </c>
      <c r="P932" s="7" t="b">
        <f>INDEX(PROPERTIES[EXCLUDE],MATCH(CONTROL[[#This Row],[VEHIDCODE]],PROPERTIES[VEHIDCODE],0))</f>
        <v>0</v>
      </c>
      <c r="Q9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3" spans="1:17" x14ac:dyDescent="0.35">
      <c r="A933" t="s">
        <v>1873</v>
      </c>
      <c r="B933" s="21" t="str">
        <f>MID(CONTROL[[#This Row],[VEHIDCODE]],FIND("_",CONTROL[[#This Row],[VEHIDCODE]])+1,LEN(CONTROL[[#This Row],[VEHIDCODE]]))</f>
        <v>Coach_Gen1_NSW_KA_Tram_Car</v>
      </c>
      <c r="C9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9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93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11096</v>
      </c>
      <c r="F933" s="30" t="s">
        <v>1874</v>
      </c>
      <c r="G933" t="s">
        <v>1875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ISNUMBER(MATCH(CONTROL[[#This Row],[VEHIDCODE]],TRACK_TYPES[VEHIDCODE],0))</f>
        <v>1</v>
      </c>
      <c r="K933" t="b">
        <f>ISNUMBER(MATCH(CONTROL[[#This Row],[VEHIDCODE]],PROPERTIES[VEHIDCODE],0))</f>
        <v>1</v>
      </c>
      <c r="L933" t="b">
        <f>ISNUMBER(MATCH(CONTROL[[#This Row],[VEHIDCODE]],GRAPHICS_PROPERTIES[VEHIDCODE],0))</f>
        <v>1</v>
      </c>
      <c r="M933" s="21" t="str">
        <f>"item_"&amp;CONTROL[[#This Row],[VEHIDCODE]]</f>
        <v>item_mu_Coach_Gen1_NSW_KA_Tram_Car</v>
      </c>
      <c r="N933" s="21" t="str">
        <f>"str_"&amp;CONTROL[[#This Row],[VEHIDCODE]]</f>
        <v>str_mu_Coach_Gen1_NSW_KA_Tram_Car</v>
      </c>
      <c r="O933" s="7" t="b">
        <f>INDEX(PROPERTIES[IS_CONCEPT],MATCH(CONTROL[[#This Row],[VEHIDCODE]],PROPERTIES[VEHIDCODE],0))="IS_CONCEPT"</f>
        <v>0</v>
      </c>
      <c r="P933" s="7" t="b">
        <f>INDEX(PROPERTIES[EXCLUDE],MATCH(CONTROL[[#This Row],[VEHIDCODE]],PROPERTIES[VEHIDCODE],0))</f>
        <v>0</v>
      </c>
      <c r="Q9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34" spans="1:17" x14ac:dyDescent="0.35">
      <c r="A934" t="s">
        <v>3358</v>
      </c>
      <c r="B934" s="21" t="str">
        <f>MID(CONTROL[[#This Row],[VEHIDCODE]],FIND("_",CONTROL[[#This Row],[VEHIDCODE]])+1,LEN(CONTROL[[#This Row],[VEHIDCODE]]))</f>
        <v>Comeng_86_Class</v>
      </c>
      <c r="C9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3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6146</v>
      </c>
      <c r="F934" s="30" t="s">
        <v>2503</v>
      </c>
      <c r="G934" s="32" t="s">
        <v>1876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ISNUMBER(MATCH(CONTROL[[#This Row],[VEHIDCODE]],TRACK_TYPES[VEHIDCODE],0))</f>
        <v>1</v>
      </c>
      <c r="K934" t="b">
        <f>ISNUMBER(MATCH(CONTROL[[#This Row],[VEHIDCODE]],PROPERTIES[VEHIDCODE],0))</f>
        <v>1</v>
      </c>
      <c r="L934" t="b">
        <f>ISNUMBER(MATCH(CONTROL[[#This Row],[VEHIDCODE]],GRAPHICS_PROPERTIES[VEHIDCODE],0))</f>
        <v>1</v>
      </c>
      <c r="M934" s="21" t="str">
        <f>"item_"&amp;CONTROL[[#This Row],[VEHIDCODE]]</f>
        <v>item_electric_Comeng_86_Class</v>
      </c>
      <c r="N934" s="21" t="str">
        <f>"str_"&amp;CONTROL[[#This Row],[VEHIDCODE]]</f>
        <v>str_electric_Comeng_86_Class</v>
      </c>
      <c r="O934" s="7" t="b">
        <f>INDEX(PROPERTIES[IS_CONCEPT],MATCH(CONTROL[[#This Row],[VEHIDCODE]],PROPERTIES[VEHIDCODE],0))="IS_CONCEPT"</f>
        <v>0</v>
      </c>
      <c r="P934" s="7" t="b">
        <f>INDEX(PROPERTIES[EXCLUDE],MATCH(CONTROL[[#This Row],[VEHIDCODE]],PROPERTIES[VEHIDCODE],0))</f>
        <v>0</v>
      </c>
      <c r="Q9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35" spans="1:17" x14ac:dyDescent="0.35">
      <c r="A935" t="s">
        <v>3232</v>
      </c>
      <c r="B935" s="21" t="str">
        <f>MID(CONTROL[[#This Row],[VEHIDCODE]],FIND("_",CONTROL[[#This Row],[VEHIDCODE]])+1,LEN(CONTROL[[#This Row],[VEHIDCODE]]))</f>
        <v>Ganz_MAVAG_EM_ET</v>
      </c>
      <c r="C9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3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8088</v>
      </c>
      <c r="F935" s="30" t="s">
        <v>2412</v>
      </c>
      <c r="G935" t="s">
        <v>1588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ISNUMBER(MATCH(CONTROL[[#This Row],[VEHIDCODE]],TRACK_TYPES[VEHIDCODE],0))</f>
        <v>1</v>
      </c>
      <c r="K935" t="b">
        <f>ISNUMBER(MATCH(CONTROL[[#This Row],[VEHIDCODE]],PROPERTIES[VEHIDCODE],0))</f>
        <v>1</v>
      </c>
      <c r="L935" t="b">
        <f>ISNUMBER(MATCH(CONTROL[[#This Row],[VEHIDCODE]],GRAPHICS_PROPERTIES[VEHIDCODE],0))</f>
        <v>1</v>
      </c>
      <c r="M935" s="21" t="str">
        <f>"item_"&amp;CONTROL[[#This Row],[VEHIDCODE]]</f>
        <v>item_emu_Ganz_MAVAG_EM_ET</v>
      </c>
      <c r="N935" s="21" t="str">
        <f>"str_"&amp;CONTROL[[#This Row],[VEHIDCODE]]</f>
        <v>str_emu_Ganz_MAVAG_EM_ET</v>
      </c>
      <c r="O935" s="7" t="b">
        <f>INDEX(PROPERTIES[IS_CONCEPT],MATCH(CONTROL[[#This Row],[VEHIDCODE]],PROPERTIES[VEHIDCODE],0))="IS_CONCEPT"</f>
        <v>0</v>
      </c>
      <c r="P935" s="7" t="b">
        <f>INDEX(PROPERTIES[EXCLUDE],MATCH(CONTROL[[#This Row],[VEHIDCODE]],PROPERTIES[VEHIDCODE],0))</f>
        <v>0</v>
      </c>
      <c r="Q9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36" spans="1:17" x14ac:dyDescent="0.35">
      <c r="A936" t="s">
        <v>3359</v>
      </c>
      <c r="B936" s="21" t="str">
        <f>MID(CONTROL[[#This Row],[VEHIDCODE]],FIND("_",CONTROL[[#This Row],[VEHIDCODE]])+1,LEN(CONTROL[[#This Row],[VEHIDCODE]]))</f>
        <v>EEC_DM_EMU</v>
      </c>
      <c r="C9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3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8089</v>
      </c>
      <c r="F936" s="30" t="s">
        <v>2504</v>
      </c>
      <c r="G936" t="s">
        <v>1877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ISNUMBER(MATCH(CONTROL[[#This Row],[VEHIDCODE]],TRACK_TYPES[VEHIDCODE],0))</f>
        <v>1</v>
      </c>
      <c r="K936" t="b">
        <f>ISNUMBER(MATCH(CONTROL[[#This Row],[VEHIDCODE]],PROPERTIES[VEHIDCODE],0))</f>
        <v>1</v>
      </c>
      <c r="L936" t="b">
        <f>ISNUMBER(MATCH(CONTROL[[#This Row],[VEHIDCODE]],GRAPHICS_PROPERTIES[VEHIDCODE],0))</f>
        <v>1</v>
      </c>
      <c r="M936" s="21" t="str">
        <f>"item_"&amp;CONTROL[[#This Row],[VEHIDCODE]]</f>
        <v>item_emu_EEC_DM_EMU</v>
      </c>
      <c r="N936" s="21" t="str">
        <f>"str_"&amp;CONTROL[[#This Row],[VEHIDCODE]]</f>
        <v>str_emu_EEC_DM_EMU</v>
      </c>
      <c r="O936" s="7" t="b">
        <f>INDEX(PROPERTIES[IS_CONCEPT],MATCH(CONTROL[[#This Row],[VEHIDCODE]],PROPERTIES[VEHIDCODE],0))="IS_CONCEPT"</f>
        <v>0</v>
      </c>
      <c r="P936" s="7" t="b">
        <f>INDEX(PROPERTIES[EXCLUDE],MATCH(CONTROL[[#This Row],[VEHIDCODE]],PROPERTIES[VEHIDCODE],0))</f>
        <v>0</v>
      </c>
      <c r="Q9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37" spans="1:17" x14ac:dyDescent="0.35">
      <c r="A937" t="s">
        <v>3360</v>
      </c>
      <c r="B937" s="21" t="str">
        <f>MID(CONTROL[[#This Row],[VEHIDCODE]],FIND("_",CONTROL[[#This Row],[VEHIDCODE]])+1,LEN(CONTROL[[#This Row],[VEHIDCODE]]))</f>
        <v>Hyundai_Rotem__Mitsui_Matangi</v>
      </c>
      <c r="C9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3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8090</v>
      </c>
      <c r="F937" s="30" t="s">
        <v>3521</v>
      </c>
      <c r="G937" t="s">
        <v>1878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ISNUMBER(MATCH(CONTROL[[#This Row],[VEHIDCODE]],TRACK_TYPES[VEHIDCODE],0))</f>
        <v>1</v>
      </c>
      <c r="K937" t="b">
        <f>ISNUMBER(MATCH(CONTROL[[#This Row],[VEHIDCODE]],PROPERTIES[VEHIDCODE],0))</f>
        <v>1</v>
      </c>
      <c r="L937" t="b">
        <f>ISNUMBER(MATCH(CONTROL[[#This Row],[VEHIDCODE]],GRAPHICS_PROPERTIES[VEHIDCODE],0))</f>
        <v>1</v>
      </c>
      <c r="M937" s="21" t="str">
        <f>"item_"&amp;CONTROL[[#This Row],[VEHIDCODE]]</f>
        <v>item_emu_Hyundai_Rotem__Mitsui_Matangi</v>
      </c>
      <c r="N937" s="21" t="str">
        <f>"str_"&amp;CONTROL[[#This Row],[VEHIDCODE]]</f>
        <v>str_emu_Hyundai_Rotem__Mitsui_Matangi</v>
      </c>
      <c r="O937" s="7" t="b">
        <f>INDEX(PROPERTIES[IS_CONCEPT],MATCH(CONTROL[[#This Row],[VEHIDCODE]],PROPERTIES[VEHIDCODE],0))="IS_CONCEPT"</f>
        <v>0</v>
      </c>
      <c r="P937" s="7" t="b">
        <f>INDEX(PROPERTIES[EXCLUDE],MATCH(CONTROL[[#This Row],[VEHIDCODE]],PROPERTIES[VEHIDCODE],0))</f>
        <v>0</v>
      </c>
      <c r="Q9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38" spans="1:17" x14ac:dyDescent="0.35">
      <c r="A938" t="s">
        <v>3361</v>
      </c>
      <c r="B938" s="21" t="str">
        <f>MID(CONTROL[[#This Row],[VEHIDCODE]],FIND("_",CONTROL[[#This Row],[VEHIDCODE]])+1,LEN(CONTROL[[#This Row],[VEHIDCODE]]))</f>
        <v>Ganz_Hunslet_Budapest_G2</v>
      </c>
      <c r="C9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93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9066</v>
      </c>
      <c r="F938" s="30" t="s">
        <v>2563</v>
      </c>
      <c r="G938" t="s">
        <v>1880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ISNUMBER(MATCH(CONTROL[[#This Row],[VEHIDCODE]],TRACK_TYPES[VEHIDCODE],0))</f>
        <v>1</v>
      </c>
      <c r="K938" t="b">
        <f>ISNUMBER(MATCH(CONTROL[[#This Row],[VEHIDCODE]],PROPERTIES[VEHIDCODE],0))</f>
        <v>1</v>
      </c>
      <c r="L938" t="b">
        <f>ISNUMBER(MATCH(CONTROL[[#This Row],[VEHIDCODE]],GRAPHICS_PROPERTIES[VEHIDCODE],0))</f>
        <v>1</v>
      </c>
      <c r="M938" s="21" t="str">
        <f>"item_"&amp;CONTROL[[#This Row],[VEHIDCODE]]</f>
        <v>item_mtro_Ganz_Hunslet_Budapest_G2</v>
      </c>
      <c r="N938" s="21" t="str">
        <f>"str_"&amp;CONTROL[[#This Row],[VEHIDCODE]]</f>
        <v>str_mtro_Ganz_Hunslet_Budapest_G2</v>
      </c>
      <c r="O938" s="7" t="b">
        <f>INDEX(PROPERTIES[IS_CONCEPT],MATCH(CONTROL[[#This Row],[VEHIDCODE]],PROPERTIES[VEHIDCODE],0))="IS_CONCEPT"</f>
        <v>0</v>
      </c>
      <c r="P938" s="7" t="b">
        <f>INDEX(PROPERTIES[EXCLUDE],MATCH(CONTROL[[#This Row],[VEHIDCODE]],PROPERTIES[VEHIDCODE],0))</f>
        <v>0</v>
      </c>
      <c r="Q9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939" spans="1:17" x14ac:dyDescent="0.35">
      <c r="A939" s="2" t="s">
        <v>3362</v>
      </c>
      <c r="B939" s="21" t="str">
        <f>MID(CONTROL[[#This Row],[VEHIDCODE]],FIND("_",CONTROL[[#This Row],[VEHIDCODE]])+1,LEN(CONTROL[[#This Row],[VEHIDCODE]]))</f>
        <v>BRC_W_NSU_Class</v>
      </c>
      <c r="C9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3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5175</v>
      </c>
      <c r="F939" s="30" t="s">
        <v>2505</v>
      </c>
      <c r="G939" t="s">
        <v>1881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ISNUMBER(MATCH(CONTROL[[#This Row],[VEHIDCODE]],TRACK_TYPES[VEHIDCODE],0))</f>
        <v>1</v>
      </c>
      <c r="K939" t="b">
        <f>ISNUMBER(MATCH(CONTROL[[#This Row],[VEHIDCODE]],PROPERTIES[VEHIDCODE],0))</f>
        <v>1</v>
      </c>
      <c r="L939" t="b">
        <f>ISNUMBER(MATCH(CONTROL[[#This Row],[VEHIDCODE]],GRAPHICS_PROPERTIES[VEHIDCODE],0))</f>
        <v>1</v>
      </c>
      <c r="M939" s="21" t="str">
        <f>"item_"&amp;CONTROL[[#This Row],[VEHIDCODE]]</f>
        <v>item_diesel_BRC_W_NSU_Class</v>
      </c>
      <c r="N939" s="21" t="str">
        <f>"str_"&amp;CONTROL[[#This Row],[VEHIDCODE]]</f>
        <v>str_diesel_BRC_W_NSU_Class</v>
      </c>
      <c r="O939" s="7" t="b">
        <f>INDEX(PROPERTIES[IS_CONCEPT],MATCH(CONTROL[[#This Row],[VEHIDCODE]],PROPERTIES[VEHIDCODE],0))="IS_CONCEPT"</f>
        <v>0</v>
      </c>
      <c r="P939" s="7" t="b">
        <f>INDEX(PROPERTIES[EXCLUDE],MATCH(CONTROL[[#This Row],[VEHIDCODE]],PROPERTIES[VEHIDCODE],0))</f>
        <v>0</v>
      </c>
      <c r="Q9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0" spans="1:17" x14ac:dyDescent="0.35">
      <c r="A940" t="s">
        <v>3363</v>
      </c>
      <c r="B940" s="21" t="str">
        <f>MID(CONTROL[[#This Row],[VEHIDCODE]],FIND("_",CONTROL[[#This Row],[VEHIDCODE]])+1,LEN(CONTROL[[#This Row],[VEHIDCODE]]))</f>
        <v>Itochu_Kinki_Kawasaki_SP1900</v>
      </c>
      <c r="C9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4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8091</v>
      </c>
      <c r="F940" s="30" t="s">
        <v>2506</v>
      </c>
      <c r="G940" t="s">
        <v>1883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ISNUMBER(MATCH(CONTROL[[#This Row],[VEHIDCODE]],TRACK_TYPES[VEHIDCODE],0))</f>
        <v>1</v>
      </c>
      <c r="K940" t="b">
        <f>ISNUMBER(MATCH(CONTROL[[#This Row],[VEHIDCODE]],PROPERTIES[VEHIDCODE],0))</f>
        <v>1</v>
      </c>
      <c r="L940" t="b">
        <f>ISNUMBER(MATCH(CONTROL[[#This Row],[VEHIDCODE]],GRAPHICS_PROPERTIES[VEHIDCODE],0))</f>
        <v>1</v>
      </c>
      <c r="M940" s="21" t="str">
        <f>"item_"&amp;CONTROL[[#This Row],[VEHIDCODE]]</f>
        <v>item_emu_Itochu_Kinki_Kawasaki_SP1900</v>
      </c>
      <c r="N940" s="21" t="str">
        <f>"str_"&amp;CONTROL[[#This Row],[VEHIDCODE]]</f>
        <v>str_emu_Itochu_Kinki_Kawasaki_SP1900</v>
      </c>
      <c r="O940" s="7" t="b">
        <f>INDEX(PROPERTIES[IS_CONCEPT],MATCH(CONTROL[[#This Row],[VEHIDCODE]],PROPERTIES[VEHIDCODE],0))="IS_CONCEPT"</f>
        <v>0</v>
      </c>
      <c r="P940" s="7" t="b">
        <f>INDEX(PROPERTIES[EXCLUDE],MATCH(CONTROL[[#This Row],[VEHIDCODE]],PROPERTIES[VEHIDCODE],0))</f>
        <v>0</v>
      </c>
      <c r="Q9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41" spans="1:17" x14ac:dyDescent="0.35">
      <c r="A941" t="s">
        <v>3364</v>
      </c>
      <c r="B941" s="21" t="str">
        <f>MID(CONTROL[[#This Row],[VEHIDCODE]],FIND("_",CONTROL[[#This Row],[VEHIDCODE]])+1,LEN(CONTROL[[#This Row],[VEHIDCODE]]))</f>
        <v>Alstom_CRRC_Datong_HXD2</v>
      </c>
      <c r="C9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6147</v>
      </c>
      <c r="F941" s="30" t="s">
        <v>2507</v>
      </c>
      <c r="G941" t="s">
        <v>1884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ISNUMBER(MATCH(CONTROL[[#This Row],[VEHIDCODE]],TRACK_TYPES[VEHIDCODE],0))</f>
        <v>1</v>
      </c>
      <c r="K941" t="b">
        <f>ISNUMBER(MATCH(CONTROL[[#This Row],[VEHIDCODE]],PROPERTIES[VEHIDCODE],0))</f>
        <v>1</v>
      </c>
      <c r="L941" t="b">
        <f>ISNUMBER(MATCH(CONTROL[[#This Row],[VEHIDCODE]],GRAPHICS_PROPERTIES[VEHIDCODE],0))</f>
        <v>1</v>
      </c>
      <c r="M941" s="21" t="str">
        <f>"item_"&amp;CONTROL[[#This Row],[VEHIDCODE]]</f>
        <v>item_electric_Alstom_CRRC_Datong_HXD2</v>
      </c>
      <c r="N941" s="21" t="str">
        <f>"str_"&amp;CONTROL[[#This Row],[VEHIDCODE]]</f>
        <v>str_electric_Alstom_CRRC_Datong_HXD2</v>
      </c>
      <c r="O941" s="7" t="b">
        <f>INDEX(PROPERTIES[IS_CONCEPT],MATCH(CONTROL[[#This Row],[VEHIDCODE]],PROPERTIES[VEHIDCODE],0))="IS_CONCEPT"</f>
        <v>0</v>
      </c>
      <c r="P941" s="7" t="b">
        <f>INDEX(PROPERTIES[EXCLUDE],MATCH(CONTROL[[#This Row],[VEHIDCODE]],PROPERTIES[VEHIDCODE],0))</f>
        <v>0</v>
      </c>
      <c r="Q9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942" spans="1:17" x14ac:dyDescent="0.35">
      <c r="A942" t="s">
        <v>3365</v>
      </c>
      <c r="B942" s="21" t="str">
        <f>MID(CONTROL[[#This Row],[VEHIDCODE]],FIND("_",CONTROL[[#This Row],[VEHIDCODE]])+1,LEN(CONTROL[[#This Row],[VEHIDCODE]]))</f>
        <v>CRRC_Qishuyan_DF11</v>
      </c>
      <c r="C9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4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5176</v>
      </c>
      <c r="F942" s="30" t="s">
        <v>2508</v>
      </c>
      <c r="G942" t="s">
        <v>1885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ISNUMBER(MATCH(CONTROL[[#This Row],[VEHIDCODE]],TRACK_TYPES[VEHIDCODE],0))</f>
        <v>1</v>
      </c>
      <c r="K942" t="b">
        <f>ISNUMBER(MATCH(CONTROL[[#This Row],[VEHIDCODE]],PROPERTIES[VEHIDCODE],0))</f>
        <v>1</v>
      </c>
      <c r="L942" t="b">
        <f>ISNUMBER(MATCH(CONTROL[[#This Row],[VEHIDCODE]],GRAPHICS_PROPERTIES[VEHIDCODE],0))</f>
        <v>1</v>
      </c>
      <c r="M942" s="21" t="str">
        <f>"item_"&amp;CONTROL[[#This Row],[VEHIDCODE]]</f>
        <v>item_diesel_CRRC_Qishuyan_DF11</v>
      </c>
      <c r="N942" s="21" t="str">
        <f>"str_"&amp;CONTROL[[#This Row],[VEHIDCODE]]</f>
        <v>str_diesel_CRRC_Qishuyan_DF11</v>
      </c>
      <c r="O942" s="7" t="b">
        <f>INDEX(PROPERTIES[IS_CONCEPT],MATCH(CONTROL[[#This Row],[VEHIDCODE]],PROPERTIES[VEHIDCODE],0))="IS_CONCEPT"</f>
        <v>0</v>
      </c>
      <c r="P942" s="7" t="b">
        <f>INDEX(PROPERTIES[EXCLUDE],MATCH(CONTROL[[#This Row],[VEHIDCODE]],PROPERTIES[VEHIDCODE],0))</f>
        <v>0</v>
      </c>
      <c r="Q9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3" spans="1:17" x14ac:dyDescent="0.35">
      <c r="A943" s="2" t="s">
        <v>3366</v>
      </c>
      <c r="B943" s="21" t="str">
        <f>MID(CONTROL[[#This Row],[VEHIDCODE]],FIND("_",CONTROL[[#This Row],[VEHIDCODE]])+1,LEN(CONTROL[[#This Row],[VEHIDCODE]]))</f>
        <v>Zhuzhou_SS8</v>
      </c>
      <c r="C9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6148</v>
      </c>
      <c r="F943" s="30" t="s">
        <v>2509</v>
      </c>
      <c r="G943" t="s">
        <v>1886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ISNUMBER(MATCH(CONTROL[[#This Row],[VEHIDCODE]],TRACK_TYPES[VEHIDCODE],0))</f>
        <v>1</v>
      </c>
      <c r="K943" t="b">
        <f>ISNUMBER(MATCH(CONTROL[[#This Row],[VEHIDCODE]],PROPERTIES[VEHIDCODE],0))</f>
        <v>1</v>
      </c>
      <c r="L943" t="b">
        <f>ISNUMBER(MATCH(CONTROL[[#This Row],[VEHIDCODE]],GRAPHICS_PROPERTIES[VEHIDCODE],0))</f>
        <v>1</v>
      </c>
      <c r="M943" s="21" t="str">
        <f>"item_"&amp;CONTROL[[#This Row],[VEHIDCODE]]</f>
        <v>item_electric_Zhuzhou_SS8</v>
      </c>
      <c r="N943" s="21" t="str">
        <f>"str_"&amp;CONTROL[[#This Row],[VEHIDCODE]]</f>
        <v>str_electric_Zhuzhou_SS8</v>
      </c>
      <c r="O943" s="7" t="b">
        <f>INDEX(PROPERTIES[IS_CONCEPT],MATCH(CONTROL[[#This Row],[VEHIDCODE]],PROPERTIES[VEHIDCODE],0))="IS_CONCEPT"</f>
        <v>0</v>
      </c>
      <c r="P943" s="7" t="b">
        <f>INDEX(PROPERTIES[EXCLUDE],MATCH(CONTROL[[#This Row],[VEHIDCODE]],PROPERTIES[VEHIDCODE],0))</f>
        <v>0</v>
      </c>
      <c r="Q9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4" spans="1:17" x14ac:dyDescent="0.35">
      <c r="A944" t="s">
        <v>3367</v>
      </c>
      <c r="B944" s="21" t="str">
        <f>MID(CONTROL[[#This Row],[VEHIDCODE]],FIND("_",CONTROL[[#This Row],[VEHIDCODE]])+1,LEN(CONTROL[[#This Row],[VEHIDCODE]]))</f>
        <v>Alstom_CRRC_Datong_HXD2B</v>
      </c>
      <c r="C9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6149</v>
      </c>
      <c r="F944" s="30" t="s">
        <v>2510</v>
      </c>
      <c r="G944" t="s">
        <v>1887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ISNUMBER(MATCH(CONTROL[[#This Row],[VEHIDCODE]],TRACK_TYPES[VEHIDCODE],0))</f>
        <v>1</v>
      </c>
      <c r="K944" t="b">
        <f>ISNUMBER(MATCH(CONTROL[[#This Row],[VEHIDCODE]],PROPERTIES[VEHIDCODE],0))</f>
        <v>1</v>
      </c>
      <c r="L944" t="b">
        <f>ISNUMBER(MATCH(CONTROL[[#This Row],[VEHIDCODE]],GRAPHICS_PROPERTIES[VEHIDCODE],0))</f>
        <v>1</v>
      </c>
      <c r="M944" s="21" t="str">
        <f>"item_"&amp;CONTROL[[#This Row],[VEHIDCODE]]</f>
        <v>item_electric_Alstom_CRRC_Datong_HXD2B</v>
      </c>
      <c r="N944" s="21" t="str">
        <f>"str_"&amp;CONTROL[[#This Row],[VEHIDCODE]]</f>
        <v>str_electric_Alstom_CRRC_Datong_HXD2B</v>
      </c>
      <c r="O944" s="7" t="b">
        <f>INDEX(PROPERTIES[IS_CONCEPT],MATCH(CONTROL[[#This Row],[VEHIDCODE]],PROPERTIES[VEHIDCODE],0))="IS_CONCEPT"</f>
        <v>0</v>
      </c>
      <c r="P944" s="7" t="b">
        <f>INDEX(PROPERTIES[EXCLUDE],MATCH(CONTROL[[#This Row],[VEHIDCODE]],PROPERTIES[VEHIDCODE],0))</f>
        <v>0</v>
      </c>
      <c r="Q9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5" spans="1:17" x14ac:dyDescent="0.35">
      <c r="A945" t="s">
        <v>3368</v>
      </c>
      <c r="B945" s="21" t="str">
        <f>MID(CONTROL[[#This Row],[VEHIDCODE]],FIND("_",CONTROL[[#This Row],[VEHIDCODE]])+1,LEN(CONTROL[[#This Row],[VEHIDCODE]]))</f>
        <v>CRRC_Dalian_HXD3D</v>
      </c>
      <c r="C9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4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6150</v>
      </c>
      <c r="F945" s="30" t="s">
        <v>2559</v>
      </c>
      <c r="G945" t="s">
        <v>1888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ISNUMBER(MATCH(CONTROL[[#This Row],[VEHIDCODE]],TRACK_TYPES[VEHIDCODE],0))</f>
        <v>1</v>
      </c>
      <c r="K945" t="b">
        <f>ISNUMBER(MATCH(CONTROL[[#This Row],[VEHIDCODE]],PROPERTIES[VEHIDCODE],0))</f>
        <v>1</v>
      </c>
      <c r="L945" t="b">
        <f>ISNUMBER(MATCH(CONTROL[[#This Row],[VEHIDCODE]],GRAPHICS_PROPERTIES[VEHIDCODE],0))</f>
        <v>1</v>
      </c>
      <c r="M945" s="21" t="str">
        <f>"item_"&amp;CONTROL[[#This Row],[VEHIDCODE]]</f>
        <v>item_electric_CRRC_Dalian_HXD3D</v>
      </c>
      <c r="N945" s="21" t="str">
        <f>"str_"&amp;CONTROL[[#This Row],[VEHIDCODE]]</f>
        <v>str_electric_CRRC_Dalian_HXD3D</v>
      </c>
      <c r="O945" s="7" t="b">
        <f>INDEX(PROPERTIES[IS_CONCEPT],MATCH(CONTROL[[#This Row],[VEHIDCODE]],PROPERTIES[VEHIDCODE],0))="IS_CONCEPT"</f>
        <v>0</v>
      </c>
      <c r="P945" s="7" t="b">
        <f>INDEX(PROPERTIES[EXCLUDE],MATCH(CONTROL[[#This Row],[VEHIDCODE]],PROPERTIES[VEHIDCODE],0))</f>
        <v>0</v>
      </c>
      <c r="Q9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6" spans="1:17" x14ac:dyDescent="0.35">
      <c r="A946" t="s">
        <v>3369</v>
      </c>
      <c r="B946" s="21" t="str">
        <f>MID(CONTROL[[#This Row],[VEHIDCODE]],FIND("_",CONTROL[[#This Row],[VEHIDCODE]])+1,LEN(CONTROL[[#This Row],[VEHIDCODE]]))</f>
        <v>CRRC_Dalian_DF4</v>
      </c>
      <c r="C9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4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5177</v>
      </c>
      <c r="F946" s="30" t="s">
        <v>2511</v>
      </c>
      <c r="G946" t="s">
        <v>1889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ISNUMBER(MATCH(CONTROL[[#This Row],[VEHIDCODE]],TRACK_TYPES[VEHIDCODE],0))</f>
        <v>1</v>
      </c>
      <c r="K946" t="b">
        <f>ISNUMBER(MATCH(CONTROL[[#This Row],[VEHIDCODE]],PROPERTIES[VEHIDCODE],0))</f>
        <v>1</v>
      </c>
      <c r="L946" t="b">
        <f>ISNUMBER(MATCH(CONTROL[[#This Row],[VEHIDCODE]],GRAPHICS_PROPERTIES[VEHIDCODE],0))</f>
        <v>1</v>
      </c>
      <c r="M946" s="21" t="str">
        <f>"item_"&amp;CONTROL[[#This Row],[VEHIDCODE]]</f>
        <v>item_diesel_CRRC_Dalian_DF4</v>
      </c>
      <c r="N946" s="21" t="str">
        <f>"str_"&amp;CONTROL[[#This Row],[VEHIDCODE]]</f>
        <v>str_diesel_CRRC_Dalian_DF4</v>
      </c>
      <c r="O946" s="7" t="b">
        <f>INDEX(PROPERTIES[IS_CONCEPT],MATCH(CONTROL[[#This Row],[VEHIDCODE]],PROPERTIES[VEHIDCODE],0))="IS_CONCEPT"</f>
        <v>0</v>
      </c>
      <c r="P946" s="7" t="b">
        <f>INDEX(PROPERTIES[EXCLUDE],MATCH(CONTROL[[#This Row],[VEHIDCODE]],PROPERTIES[VEHIDCODE],0))</f>
        <v>0</v>
      </c>
      <c r="Q9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47" spans="1:17" x14ac:dyDescent="0.35">
      <c r="A947" t="s">
        <v>3370</v>
      </c>
      <c r="B947" s="21" t="str">
        <f>MID(CONTROL[[#This Row],[VEHIDCODE]],FIND("_",CONTROL[[#This Row],[VEHIDCODE]])+1,LEN(CONTROL[[#This Row],[VEHIDCODE]]))</f>
        <v>Tangshan_Dalian_Sifang_DF5</v>
      </c>
      <c r="C9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4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5178</v>
      </c>
      <c r="F947" s="30" t="s">
        <v>2512</v>
      </c>
      <c r="G947" s="32" t="s">
        <v>1890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ISNUMBER(MATCH(CONTROL[[#This Row],[VEHIDCODE]],TRACK_TYPES[VEHIDCODE],0))</f>
        <v>1</v>
      </c>
      <c r="K947" t="b">
        <f>ISNUMBER(MATCH(CONTROL[[#This Row],[VEHIDCODE]],PROPERTIES[VEHIDCODE],0))</f>
        <v>1</v>
      </c>
      <c r="L947" t="b">
        <f>ISNUMBER(MATCH(CONTROL[[#This Row],[VEHIDCODE]],GRAPHICS_PROPERTIES[VEHIDCODE],0))</f>
        <v>1</v>
      </c>
      <c r="M947" s="21" t="str">
        <f>"item_"&amp;CONTROL[[#This Row],[VEHIDCODE]]</f>
        <v>item_diesel_Tangshan_Dalian_Sifang_DF5</v>
      </c>
      <c r="N947" s="21" t="str">
        <f>"str_"&amp;CONTROL[[#This Row],[VEHIDCODE]]</f>
        <v>str_diesel_Tangshan_Dalian_Sifang_DF5</v>
      </c>
      <c r="O947" s="7" t="b">
        <f>INDEX(PROPERTIES[IS_CONCEPT],MATCH(CONTROL[[#This Row],[VEHIDCODE]],PROPERTIES[VEHIDCODE],0))="IS_CONCEPT"</f>
        <v>0</v>
      </c>
      <c r="P947" s="7" t="b">
        <f>INDEX(PROPERTIES[EXCLUDE],MATCH(CONTROL[[#This Row],[VEHIDCODE]],PROPERTIES[VEHIDCODE],0))</f>
        <v>0</v>
      </c>
      <c r="Q9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948" spans="1:17" x14ac:dyDescent="0.35">
      <c r="A948" t="s">
        <v>3371</v>
      </c>
      <c r="B948" s="21" t="str">
        <f>MID(CONTROL[[#This Row],[VEHIDCODE]],FIND("_",CONTROL[[#This Row],[VEHIDCODE]])+1,LEN(CONTROL[[#This Row],[VEHIDCODE]]))</f>
        <v>Dalian_2_8_2_JS_Class</v>
      </c>
      <c r="C9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4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4141</v>
      </c>
      <c r="F948" s="30" t="s">
        <v>2513</v>
      </c>
      <c r="G948" t="s">
        <v>1891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ISNUMBER(MATCH(CONTROL[[#This Row],[VEHIDCODE]],TRACK_TYPES[VEHIDCODE],0))</f>
        <v>1</v>
      </c>
      <c r="K948" t="b">
        <f>ISNUMBER(MATCH(CONTROL[[#This Row],[VEHIDCODE]],PROPERTIES[VEHIDCODE],0))</f>
        <v>1</v>
      </c>
      <c r="L948" t="b">
        <f>ISNUMBER(MATCH(CONTROL[[#This Row],[VEHIDCODE]],GRAPHICS_PROPERTIES[VEHIDCODE],0))</f>
        <v>1</v>
      </c>
      <c r="M948" s="21" t="str">
        <f>"item_"&amp;CONTROL[[#This Row],[VEHIDCODE]]</f>
        <v>item_steam_Dalian_2_8_2_JS_Class</v>
      </c>
      <c r="N948" s="21" t="str">
        <f>"str_"&amp;CONTROL[[#This Row],[VEHIDCODE]]</f>
        <v>str_steam_Dalian_2_8_2_JS_Class</v>
      </c>
      <c r="O948" s="7" t="b">
        <f>INDEX(PROPERTIES[IS_CONCEPT],MATCH(CONTROL[[#This Row],[VEHIDCODE]],PROPERTIES[VEHIDCODE],0))="IS_CONCEPT"</f>
        <v>0</v>
      </c>
      <c r="P948" s="7" t="b">
        <f>INDEX(PROPERTIES[EXCLUDE],MATCH(CONTROL[[#This Row],[VEHIDCODE]],PROPERTIES[VEHIDCODE],0))</f>
        <v>0</v>
      </c>
      <c r="Q9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49" spans="1:17" x14ac:dyDescent="0.35">
      <c r="A949" t="s">
        <v>3372</v>
      </c>
      <c r="B949" s="21" t="str">
        <f>MID(CONTROL[[#This Row],[VEHIDCODE]],FIND("_",CONTROL[[#This Row],[VEHIDCODE]])+1,LEN(CONTROL[[#This Row],[VEHIDCODE]]))</f>
        <v>CSR_Sifang_4_6_2_RM</v>
      </c>
      <c r="C9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4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4142</v>
      </c>
      <c r="F949" s="30" t="s">
        <v>2555</v>
      </c>
      <c r="G949" t="s">
        <v>1892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ISNUMBER(MATCH(CONTROL[[#This Row],[VEHIDCODE]],TRACK_TYPES[VEHIDCODE],0))</f>
        <v>1</v>
      </c>
      <c r="K949" t="b">
        <f>ISNUMBER(MATCH(CONTROL[[#This Row],[VEHIDCODE]],PROPERTIES[VEHIDCODE],0))</f>
        <v>1</v>
      </c>
      <c r="L949" t="b">
        <f>ISNUMBER(MATCH(CONTROL[[#This Row],[VEHIDCODE]],GRAPHICS_PROPERTIES[VEHIDCODE],0))</f>
        <v>1</v>
      </c>
      <c r="M949" s="21" t="str">
        <f>"item_"&amp;CONTROL[[#This Row],[VEHIDCODE]]</f>
        <v>item_steam_CSR_Sifang_4_6_2_RM</v>
      </c>
      <c r="N949" s="21" t="str">
        <f>"str_"&amp;CONTROL[[#This Row],[VEHIDCODE]]</f>
        <v>str_steam_CSR_Sifang_4_6_2_RM</v>
      </c>
      <c r="O949" s="7" t="b">
        <f>INDEX(PROPERTIES[IS_CONCEPT],MATCH(CONTROL[[#This Row],[VEHIDCODE]],PROPERTIES[VEHIDCODE],0))="IS_CONCEPT"</f>
        <v>0</v>
      </c>
      <c r="P949" s="7" t="b">
        <f>INDEX(PROPERTIES[EXCLUDE],MATCH(CONTROL[[#This Row],[VEHIDCODE]],PROPERTIES[VEHIDCODE],0))</f>
        <v>0</v>
      </c>
      <c r="Q9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50" spans="1:17" x14ac:dyDescent="0.35">
      <c r="A950" t="s">
        <v>3373</v>
      </c>
      <c r="B950" s="21" t="str">
        <f>MID(CONTROL[[#This Row],[VEHIDCODE]],FIND("_",CONTROL[[#This Row],[VEHIDCODE]])+1,LEN(CONTROL[[#This Row],[VEHIDCODE]]))</f>
        <v>MAV_Ikarus_260</v>
      </c>
      <c r="C9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9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95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2047</v>
      </c>
      <c r="F950" s="30" t="s">
        <v>1893</v>
      </c>
      <c r="G950" t="s">
        <v>1894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ISNUMBER(MATCH(CONTROL[[#This Row],[VEHIDCODE]],TRACK_TYPES[VEHIDCODE],0))</f>
        <v>1</v>
      </c>
      <c r="K950" t="b">
        <f>ISNUMBER(MATCH(CONTROL[[#This Row],[VEHIDCODE]],PROPERTIES[VEHIDCODE],0))</f>
        <v>1</v>
      </c>
      <c r="L950" t="b">
        <f>ISNUMBER(MATCH(CONTROL[[#This Row],[VEHIDCODE]],GRAPHICS_PROPERTIES[VEHIDCODE],0))</f>
        <v>1</v>
      </c>
      <c r="M950" s="21" t="str">
        <f>"item_"&amp;CONTROL[[#This Row],[VEHIDCODE]]</f>
        <v>item_rbd_MAV_Ikarus_260</v>
      </c>
      <c r="N950" s="21" t="str">
        <f>"str_"&amp;CONTROL[[#This Row],[VEHIDCODE]]</f>
        <v>str_rbd_MAV_Ikarus_260</v>
      </c>
      <c r="O950" s="7" t="b">
        <f>INDEX(PROPERTIES[IS_CONCEPT],MATCH(CONTROL[[#This Row],[VEHIDCODE]],PROPERTIES[VEHIDCODE],0))="IS_CONCEPT"</f>
        <v>0</v>
      </c>
      <c r="P950" s="7" t="b">
        <f>INDEX(PROPERTIES[EXCLUDE],MATCH(CONTROL[[#This Row],[VEHIDCODE]],PROPERTIES[VEHIDCODE],0))</f>
        <v>0</v>
      </c>
      <c r="Q9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1" spans="1:17" x14ac:dyDescent="0.35">
      <c r="A951" s="2" t="s">
        <v>3374</v>
      </c>
      <c r="B951" s="21" t="str">
        <f>MID(CONTROL[[#This Row],[VEHIDCODE]],FIND("_",CONTROL[[#This Row],[VEHIDCODE]])+1,LEN(CONTROL[[#This Row],[VEHIDCODE]]))</f>
        <v>GE_ES43ACi</v>
      </c>
      <c r="C9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5179</v>
      </c>
      <c r="F951" s="30" t="s">
        <v>2027</v>
      </c>
      <c r="G951" t="s">
        <v>1319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ISNUMBER(MATCH(CONTROL[[#This Row],[VEHIDCODE]],TRACK_TYPES[VEHIDCODE],0))</f>
        <v>1</v>
      </c>
      <c r="K951" t="b">
        <f>ISNUMBER(MATCH(CONTROL[[#This Row],[VEHIDCODE]],PROPERTIES[VEHIDCODE],0))</f>
        <v>1</v>
      </c>
      <c r="L951" t="b">
        <f>ISNUMBER(MATCH(CONTROL[[#This Row],[VEHIDCODE]],GRAPHICS_PROPERTIES[VEHIDCODE],0))</f>
        <v>1</v>
      </c>
      <c r="M951" s="21" t="str">
        <f>"item_"&amp;CONTROL[[#This Row],[VEHIDCODE]]</f>
        <v>item_diesel_GE_ES43ACi</v>
      </c>
      <c r="N951" s="21" t="str">
        <f>"str_"&amp;CONTROL[[#This Row],[VEHIDCODE]]</f>
        <v>str_diesel_GE_ES43ACi</v>
      </c>
      <c r="O951" s="7" t="b">
        <f>INDEX(PROPERTIES[IS_CONCEPT],MATCH(CONTROL[[#This Row],[VEHIDCODE]],PROPERTIES[VEHIDCODE],0))="IS_CONCEPT"</f>
        <v>0</v>
      </c>
      <c r="P951" s="7" t="b">
        <f>INDEX(PROPERTIES[EXCLUDE],MATCH(CONTROL[[#This Row],[VEHIDCODE]],PROPERTIES[VEHIDCODE],0))</f>
        <v>0</v>
      </c>
      <c r="Q9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2" spans="1:17" x14ac:dyDescent="0.35">
      <c r="A952" t="s">
        <v>3375</v>
      </c>
      <c r="B952" s="21" t="str">
        <f>MID(CONTROL[[#This Row],[VEHIDCODE]],FIND("_",CONTROL[[#This Row],[VEHIDCODE]])+1,LEN(CONTROL[[#This Row],[VEHIDCODE]]))</f>
        <v>EMD_GP40</v>
      </c>
      <c r="C95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5180</v>
      </c>
      <c r="F952" s="30" t="s">
        <v>1900</v>
      </c>
      <c r="G952" t="s">
        <v>1895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ISNUMBER(MATCH(CONTROL[[#This Row],[VEHIDCODE]],TRACK_TYPES[VEHIDCODE],0))</f>
        <v>1</v>
      </c>
      <c r="K952" t="b">
        <f>ISNUMBER(MATCH(CONTROL[[#This Row],[VEHIDCODE]],PROPERTIES[VEHIDCODE],0))</f>
        <v>1</v>
      </c>
      <c r="L952" t="b">
        <f>ISNUMBER(MATCH(CONTROL[[#This Row],[VEHIDCODE]],GRAPHICS_PROPERTIES[VEHIDCODE],0))</f>
        <v>1</v>
      </c>
      <c r="M952" s="21" t="str">
        <f>"item_"&amp;CONTROL[[#This Row],[VEHIDCODE]]</f>
        <v>item_diesel_EMD_GP40</v>
      </c>
      <c r="N952" s="21" t="str">
        <f>"str_"&amp;CONTROL[[#This Row],[VEHIDCODE]]</f>
        <v>str_diesel_EMD_GP40</v>
      </c>
      <c r="O952" s="7" t="b">
        <f>INDEX(PROPERTIES[IS_CONCEPT],MATCH(CONTROL[[#This Row],[VEHIDCODE]],PROPERTIES[VEHIDCODE],0))="IS_CONCEPT"</f>
        <v>0</v>
      </c>
      <c r="P952" s="7" t="b">
        <f>INDEX(PROPERTIES[EXCLUDE],MATCH(CONTROL[[#This Row],[VEHIDCODE]],PROPERTIES[VEHIDCODE],0))</f>
        <v>0</v>
      </c>
      <c r="Q95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3" spans="1:17" x14ac:dyDescent="0.35">
      <c r="A953" t="s">
        <v>3376</v>
      </c>
      <c r="B953" s="21" t="str">
        <f>MID(CONTROL[[#This Row],[VEHIDCODE]],FIND("_",CONTROL[[#This Row],[VEHIDCODE]])+1,LEN(CONTROL[[#This Row],[VEHIDCODE]]))</f>
        <v>EMD_SD70</v>
      </c>
      <c r="C95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5181</v>
      </c>
      <c r="F953" s="30" t="s">
        <v>1896</v>
      </c>
      <c r="G953" t="s">
        <v>1288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ISNUMBER(MATCH(CONTROL[[#This Row],[VEHIDCODE]],TRACK_TYPES[VEHIDCODE],0))</f>
        <v>1</v>
      </c>
      <c r="K953" t="b">
        <f>ISNUMBER(MATCH(CONTROL[[#This Row],[VEHIDCODE]],PROPERTIES[VEHIDCODE],0))</f>
        <v>1</v>
      </c>
      <c r="L953" t="b">
        <f>ISNUMBER(MATCH(CONTROL[[#This Row],[VEHIDCODE]],GRAPHICS_PROPERTIES[VEHIDCODE],0))</f>
        <v>1</v>
      </c>
      <c r="M953" s="21" t="str">
        <f>"item_"&amp;CONTROL[[#This Row],[VEHIDCODE]]</f>
        <v>item_diesel_EMD_SD70</v>
      </c>
      <c r="N953" s="21" t="str">
        <f>"str_"&amp;CONTROL[[#This Row],[VEHIDCODE]]</f>
        <v>str_diesel_EMD_SD70</v>
      </c>
      <c r="O953" s="7" t="b">
        <f>INDEX(PROPERTIES[IS_CONCEPT],MATCH(CONTROL[[#This Row],[VEHIDCODE]],PROPERTIES[VEHIDCODE],0))="IS_CONCEPT"</f>
        <v>0</v>
      </c>
      <c r="P953" s="7" t="b">
        <f>INDEX(PROPERTIES[EXCLUDE],MATCH(CONTROL[[#This Row],[VEHIDCODE]],PROPERTIES[VEHIDCODE],0))</f>
        <v>0</v>
      </c>
      <c r="Q95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4" spans="1:17" x14ac:dyDescent="0.35">
      <c r="A954" s="2" t="s">
        <v>3377</v>
      </c>
      <c r="B954" s="21" t="str">
        <f>MID(CONTROL[[#This Row],[VEHIDCODE]],FIND("_",CONTROL[[#This Row],[VEHIDCODE]])+1,LEN(CONTROL[[#This Row],[VEHIDCODE]]))</f>
        <v>GE_C30_7_Dash_7</v>
      </c>
      <c r="C95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5182</v>
      </c>
      <c r="F954" s="30" t="s">
        <v>1970</v>
      </c>
      <c r="G954" t="s">
        <v>1897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ISNUMBER(MATCH(CONTROL[[#This Row],[VEHIDCODE]],TRACK_TYPES[VEHIDCODE],0))</f>
        <v>1</v>
      </c>
      <c r="K954" t="b">
        <f>ISNUMBER(MATCH(CONTROL[[#This Row],[VEHIDCODE]],PROPERTIES[VEHIDCODE],0))</f>
        <v>1</v>
      </c>
      <c r="L954" t="b">
        <f>ISNUMBER(MATCH(CONTROL[[#This Row],[VEHIDCODE]],GRAPHICS_PROPERTIES[VEHIDCODE],0))</f>
        <v>1</v>
      </c>
      <c r="M954" s="21" t="str">
        <f>"item_"&amp;CONTROL[[#This Row],[VEHIDCODE]]</f>
        <v>item_diesel_GE_C30_7_Dash_7</v>
      </c>
      <c r="N954" s="21" t="str">
        <f>"str_"&amp;CONTROL[[#This Row],[VEHIDCODE]]</f>
        <v>str_diesel_GE_C30_7_Dash_7</v>
      </c>
      <c r="O954" s="7" t="b">
        <f>INDEX(PROPERTIES[IS_CONCEPT],MATCH(CONTROL[[#This Row],[VEHIDCODE]],PROPERTIES[VEHIDCODE],0))="IS_CONCEPT"</f>
        <v>0</v>
      </c>
      <c r="P954" s="7" t="b">
        <f>INDEX(PROPERTIES[EXCLUDE],MATCH(CONTROL[[#This Row],[VEHIDCODE]],PROPERTIES[VEHIDCODE],0))</f>
        <v>0</v>
      </c>
      <c r="Q95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5" spans="1:17" x14ac:dyDescent="0.35">
      <c r="A955" s="2" t="s">
        <v>3378</v>
      </c>
      <c r="B955" s="21" t="str">
        <f>MID(CONTROL[[#This Row],[VEHIDCODE]],FIND("_",CONTROL[[#This Row],[VEHIDCODE]])+1,LEN(CONTROL[[#This Row],[VEHIDCODE]]))</f>
        <v>GE_C40_8_Dash_8</v>
      </c>
      <c r="C95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5183</v>
      </c>
      <c r="F955" s="30" t="s">
        <v>2514</v>
      </c>
      <c r="G955" t="s">
        <v>1898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ISNUMBER(MATCH(CONTROL[[#This Row],[VEHIDCODE]],TRACK_TYPES[VEHIDCODE],0))</f>
        <v>1</v>
      </c>
      <c r="K955" t="b">
        <f>ISNUMBER(MATCH(CONTROL[[#This Row],[VEHIDCODE]],PROPERTIES[VEHIDCODE],0))</f>
        <v>1</v>
      </c>
      <c r="L955" t="b">
        <f>ISNUMBER(MATCH(CONTROL[[#This Row],[VEHIDCODE]],GRAPHICS_PROPERTIES[VEHIDCODE],0))</f>
        <v>1</v>
      </c>
      <c r="M955" s="21" t="str">
        <f>"item_"&amp;CONTROL[[#This Row],[VEHIDCODE]]</f>
        <v>item_diesel_GE_C40_8_Dash_8</v>
      </c>
      <c r="N955" s="21" t="str">
        <f>"str_"&amp;CONTROL[[#This Row],[VEHIDCODE]]</f>
        <v>str_diesel_GE_C40_8_Dash_8</v>
      </c>
      <c r="O955" s="7" t="b">
        <f>INDEX(PROPERTIES[IS_CONCEPT],MATCH(CONTROL[[#This Row],[VEHIDCODE]],PROPERTIES[VEHIDCODE],0))="IS_CONCEPT"</f>
        <v>0</v>
      </c>
      <c r="P955" s="7" t="b">
        <f>INDEX(PROPERTIES[EXCLUDE],MATCH(CONTROL[[#This Row],[VEHIDCODE]],PROPERTIES[VEHIDCODE],0))</f>
        <v>0</v>
      </c>
      <c r="Q95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6" spans="1:17" x14ac:dyDescent="0.35">
      <c r="A956" t="s">
        <v>3379</v>
      </c>
      <c r="B956" s="21" t="str">
        <f>MID(CONTROL[[#This Row],[VEHIDCODE]],FIND("_",CONTROL[[#This Row],[VEHIDCODE]])+1,LEN(CONTROL[[#This Row],[VEHIDCODE]]))</f>
        <v>GE_C44_9W_Dash_9</v>
      </c>
      <c r="C95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5184</v>
      </c>
      <c r="F956" s="30" t="s">
        <v>1969</v>
      </c>
      <c r="G956" t="s">
        <v>1899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ISNUMBER(MATCH(CONTROL[[#This Row],[VEHIDCODE]],TRACK_TYPES[VEHIDCODE],0))</f>
        <v>1</v>
      </c>
      <c r="K956" t="b">
        <f>ISNUMBER(MATCH(CONTROL[[#This Row],[VEHIDCODE]],PROPERTIES[VEHIDCODE],0))</f>
        <v>1</v>
      </c>
      <c r="L956" t="b">
        <f>ISNUMBER(MATCH(CONTROL[[#This Row],[VEHIDCODE]],GRAPHICS_PROPERTIES[VEHIDCODE],0))</f>
        <v>1</v>
      </c>
      <c r="M956" s="21" t="str">
        <f>"item_"&amp;CONTROL[[#This Row],[VEHIDCODE]]</f>
        <v>item_diesel_GE_C44_9W_Dash_9</v>
      </c>
      <c r="N956" s="21" t="str">
        <f>"str_"&amp;CONTROL[[#This Row],[VEHIDCODE]]</f>
        <v>str_diesel_GE_C44_9W_Dash_9</v>
      </c>
      <c r="O956" s="7" t="b">
        <f>INDEX(PROPERTIES[IS_CONCEPT],MATCH(CONTROL[[#This Row],[VEHIDCODE]],PROPERTIES[VEHIDCODE],0))="IS_CONCEPT"</f>
        <v>0</v>
      </c>
      <c r="P956" s="7" t="b">
        <f>INDEX(PROPERTIES[EXCLUDE],MATCH(CONTROL[[#This Row],[VEHIDCODE]],PROPERTIES[VEHIDCODE],0))</f>
        <v>0</v>
      </c>
      <c r="Q95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7" spans="1:17" x14ac:dyDescent="0.35">
      <c r="A957" t="s">
        <v>3469</v>
      </c>
      <c r="B957" s="21" t="str">
        <f>MID(CONTROL[[#This Row],[VEHIDCODE]],FIND("_",CONTROL[[#This Row],[VEHIDCODE]])+1,LEN(CONTROL[[#This Row],[VEHIDCODE]]))</f>
        <v>EMD_GP40_DNU</v>
      </c>
      <c r="C95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5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5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5185</v>
      </c>
      <c r="F957" s="30" t="s">
        <v>1900</v>
      </c>
      <c r="G957" t="s">
        <v>1901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ISNUMBER(MATCH(CONTROL[[#This Row],[VEHIDCODE]],TRACK_TYPES[VEHIDCODE],0))</f>
        <v>1</v>
      </c>
      <c r="K957" t="b">
        <f>ISNUMBER(MATCH(CONTROL[[#This Row],[VEHIDCODE]],PROPERTIES[VEHIDCODE],0))</f>
        <v>1</v>
      </c>
      <c r="L957" t="b">
        <f>ISNUMBER(MATCH(CONTROL[[#This Row],[VEHIDCODE]],GRAPHICS_PROPERTIES[VEHIDCODE],0))</f>
        <v>1</v>
      </c>
      <c r="M957" s="21" t="str">
        <f>"item_"&amp;CONTROL[[#This Row],[VEHIDCODE]]</f>
        <v>item_diesel_EMD_GP40_DNU</v>
      </c>
      <c r="N957" s="21" t="str">
        <f>"str_"&amp;CONTROL[[#This Row],[VEHIDCODE]]</f>
        <v>str_diesel_EMD_GP40_DNU</v>
      </c>
      <c r="O957" s="7" t="b">
        <f>INDEX(PROPERTIES[IS_CONCEPT],MATCH(CONTROL[[#This Row],[VEHIDCODE]],PROPERTIES[VEHIDCODE],0))="IS_CONCEPT"</f>
        <v>0</v>
      </c>
      <c r="P957" s="7" t="b">
        <f>INDEX(PROPERTIES[EXCLUDE],MATCH(CONTROL[[#This Row],[VEHIDCODE]],PROPERTIES[VEHIDCODE],0))</f>
        <v>1</v>
      </c>
      <c r="Q95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58" spans="1:17" x14ac:dyDescent="0.35">
      <c r="A958" t="s">
        <v>3380</v>
      </c>
      <c r="B958" s="21" t="str">
        <f>MID(CONTROL[[#This Row],[VEHIDCODE]],FIND("_",CONTROL[[#This Row],[VEHIDCODE]])+1,LEN(CONTROL[[#This Row],[VEHIDCODE]]))</f>
        <v>Kitson_2_2_2_3166_3171</v>
      </c>
      <c r="C95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5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5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4143</v>
      </c>
      <c r="F958" s="30" t="s">
        <v>2515</v>
      </c>
      <c r="G958" t="s">
        <v>1903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ISNUMBER(MATCH(CONTROL[[#This Row],[VEHIDCODE]],TRACK_TYPES[VEHIDCODE],0))</f>
        <v>1</v>
      </c>
      <c r="K958" t="b">
        <f>ISNUMBER(MATCH(CONTROL[[#This Row],[VEHIDCODE]],PROPERTIES[VEHIDCODE],0))</f>
        <v>1</v>
      </c>
      <c r="L958" t="b">
        <f>ISNUMBER(MATCH(CONTROL[[#This Row],[VEHIDCODE]],GRAPHICS_PROPERTIES[VEHIDCODE],0))</f>
        <v>1</v>
      </c>
      <c r="M958" s="21" t="str">
        <f>"item_"&amp;CONTROL[[#This Row],[VEHIDCODE]]</f>
        <v>item_steam_Kitson_2_2_2_3166_3171</v>
      </c>
      <c r="N958" s="21" t="str">
        <f>"str_"&amp;CONTROL[[#This Row],[VEHIDCODE]]</f>
        <v>str_steam_Kitson_2_2_2_3166_3171</v>
      </c>
      <c r="O958" s="7" t="b">
        <f>INDEX(PROPERTIES[IS_CONCEPT],MATCH(CONTROL[[#This Row],[VEHIDCODE]],PROPERTIES[VEHIDCODE],0))="IS_CONCEPT"</f>
        <v>0</v>
      </c>
      <c r="P958" s="7" t="b">
        <f>INDEX(PROPERTIES[EXCLUDE],MATCH(CONTROL[[#This Row],[VEHIDCODE]],PROPERTIES[VEHIDCODE],0))</f>
        <v>0</v>
      </c>
      <c r="Q95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59" spans="1:17" x14ac:dyDescent="0.35">
      <c r="A959" t="s">
        <v>3381</v>
      </c>
      <c r="B959" s="21" t="str">
        <f>MID(CONTROL[[#This Row],[VEHIDCODE]],FIND("_",CONTROL[[#This Row],[VEHIDCODE]])+1,LEN(CONTROL[[#This Row],[VEHIDCODE]]))</f>
        <v>Burnham_2_6_0_15857_15871</v>
      </c>
      <c r="C95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5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5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4144</v>
      </c>
      <c r="F959" s="30" t="s">
        <v>2516</v>
      </c>
      <c r="G959" t="s">
        <v>1902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ISNUMBER(MATCH(CONTROL[[#This Row],[VEHIDCODE]],TRACK_TYPES[VEHIDCODE],0))</f>
        <v>1</v>
      </c>
      <c r="K959" t="b">
        <f>ISNUMBER(MATCH(CONTROL[[#This Row],[VEHIDCODE]],PROPERTIES[VEHIDCODE],0))</f>
        <v>1</v>
      </c>
      <c r="L959" t="b">
        <f>ISNUMBER(MATCH(CONTROL[[#This Row],[VEHIDCODE]],GRAPHICS_PROPERTIES[VEHIDCODE],0))</f>
        <v>1</v>
      </c>
      <c r="M959" s="21" t="str">
        <f>"item_"&amp;CONTROL[[#This Row],[VEHIDCODE]]</f>
        <v>item_steam_Burnham_2_6_0_15857_15871</v>
      </c>
      <c r="N959" s="21" t="str">
        <f>"str_"&amp;CONTROL[[#This Row],[VEHIDCODE]]</f>
        <v>str_steam_Burnham_2_6_0_15857_15871</v>
      </c>
      <c r="O959" s="7" t="b">
        <f>INDEX(PROPERTIES[IS_CONCEPT],MATCH(CONTROL[[#This Row],[VEHIDCODE]],PROPERTIES[VEHIDCODE],0))="IS_CONCEPT"</f>
        <v>0</v>
      </c>
      <c r="P959" s="7" t="b">
        <f>INDEX(PROPERTIES[EXCLUDE],MATCH(CONTROL[[#This Row],[VEHIDCODE]],PROPERTIES[VEHIDCODE],0))</f>
        <v>0</v>
      </c>
      <c r="Q95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0" spans="1:17" x14ac:dyDescent="0.35">
      <c r="A960" t="s">
        <v>3382</v>
      </c>
      <c r="B960" s="21" t="str">
        <f>MID(CONTROL[[#This Row],[VEHIDCODE]],FIND("_",CONTROL[[#This Row],[VEHIDCODE]])+1,LEN(CONTROL[[#This Row],[VEHIDCODE]]))</f>
        <v>SA_Franco_Belge_0_6_0_Class_4</v>
      </c>
      <c r="C96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4145</v>
      </c>
      <c r="F960" s="30" t="s">
        <v>2517</v>
      </c>
      <c r="G960" t="s">
        <v>1904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ISNUMBER(MATCH(CONTROL[[#This Row],[VEHIDCODE]],TRACK_TYPES[VEHIDCODE],0))</f>
        <v>1</v>
      </c>
      <c r="K960" t="b">
        <f>ISNUMBER(MATCH(CONTROL[[#This Row],[VEHIDCODE]],PROPERTIES[VEHIDCODE],0))</f>
        <v>1</v>
      </c>
      <c r="L960" t="b">
        <f>ISNUMBER(MATCH(CONTROL[[#This Row],[VEHIDCODE]],GRAPHICS_PROPERTIES[VEHIDCODE],0))</f>
        <v>1</v>
      </c>
      <c r="M960" s="21" t="str">
        <f>"item_"&amp;CONTROL[[#This Row],[VEHIDCODE]]</f>
        <v>item_steam_SA_Franco_Belge_0_6_0_Class_4</v>
      </c>
      <c r="N960" s="21" t="str">
        <f>"str_"&amp;CONTROL[[#This Row],[VEHIDCODE]]</f>
        <v>str_steam_SA_Franco_Belge_0_6_0_Class_4</v>
      </c>
      <c r="O960" s="7" t="b">
        <f>INDEX(PROPERTIES[IS_CONCEPT],MATCH(CONTROL[[#This Row],[VEHIDCODE]],PROPERTIES[VEHIDCODE],0))="IS_CONCEPT"</f>
        <v>0</v>
      </c>
      <c r="P960" s="7" t="b">
        <f>INDEX(PROPERTIES[EXCLUDE],MATCH(CONTROL[[#This Row],[VEHIDCODE]],PROPERTIES[VEHIDCODE],0))</f>
        <v>0</v>
      </c>
      <c r="Q96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61" spans="1:17" x14ac:dyDescent="0.35">
      <c r="A961" s="2" t="s">
        <v>3383</v>
      </c>
      <c r="B961" s="21" t="str">
        <f>MID(CONTROL[[#This Row],[VEHIDCODE]],FIND("_",CONTROL[[#This Row],[VEHIDCODE]])+1,LEN(CONTROL[[#This Row],[VEHIDCODE]]))</f>
        <v>ACME_Corp__Pegasus</v>
      </c>
      <c r="C96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src\Maglev</v>
      </c>
      <c r="D96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ID_RANGE_MAGLEV</v>
      </c>
      <c r="E96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15002</v>
      </c>
      <c r="F961" s="30" t="s">
        <v>2570</v>
      </c>
      <c r="G961" t="s">
        <v>1905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ISNUMBER(MATCH(CONTROL[[#This Row],[VEHIDCODE]],TRACK_TYPES[VEHIDCODE],0))</f>
        <v>1</v>
      </c>
      <c r="K961" t="b">
        <f>ISNUMBER(MATCH(CONTROL[[#This Row],[VEHIDCODE]],PROPERTIES[VEHIDCODE],0))</f>
        <v>1</v>
      </c>
      <c r="L961" t="b">
        <f>ISNUMBER(MATCH(CONTROL[[#This Row],[VEHIDCODE]],GRAPHICS_PROPERTIES[VEHIDCODE],0))</f>
        <v>1</v>
      </c>
      <c r="M961" s="21" t="str">
        <f>"item_"&amp;CONTROL[[#This Row],[VEHIDCODE]]</f>
        <v>item_mglv_ACME_Corp__Pegasus</v>
      </c>
      <c r="N961" s="21" t="str">
        <f>"str_"&amp;CONTROL[[#This Row],[VEHIDCODE]]</f>
        <v>str_mglv_ACME_Corp__Pegasus</v>
      </c>
      <c r="O961" s="7" t="b">
        <f>INDEX(PROPERTIES[IS_CONCEPT],MATCH(CONTROL[[#This Row],[VEHIDCODE]],PROPERTIES[VEHIDCODE],0))="IS_CONCEPT"</f>
        <v>1</v>
      </c>
      <c r="P961" s="7" t="b">
        <f>INDEX(PROPERTIES[EXCLUDE],MATCH(CONTROL[[#This Row],[VEHIDCODE]],PROPERTIES[VEHIDCODE],0))</f>
        <v>0</v>
      </c>
      <c r="Q96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62" spans="1:17" x14ac:dyDescent="0.35">
      <c r="A962" s="2" t="s">
        <v>3384</v>
      </c>
      <c r="B962" s="21" t="str">
        <f>MID(CONTROL[[#This Row],[VEHIDCODE]],FIND("_",CONTROL[[#This Row],[VEHIDCODE]])+1,LEN(CONTROL[[#This Row],[VEHIDCODE]]))</f>
        <v>ACME_Corp__Chimaera</v>
      </c>
      <c r="C96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src\MMU</v>
      </c>
      <c r="D96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ID_RANGE_MMU</v>
      </c>
      <c r="E96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10002</v>
      </c>
      <c r="F962" s="30" t="s">
        <v>2571</v>
      </c>
      <c r="G962" t="s">
        <v>1906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ISNUMBER(MATCH(CONTROL[[#This Row],[VEHIDCODE]],TRACK_TYPES[VEHIDCODE],0))</f>
        <v>1</v>
      </c>
      <c r="K962" t="b">
        <f>ISNUMBER(MATCH(CONTROL[[#This Row],[VEHIDCODE]],PROPERTIES[VEHIDCODE],0))</f>
        <v>1</v>
      </c>
      <c r="L962" t="b">
        <f>ISNUMBER(MATCH(CONTROL[[#This Row],[VEHIDCODE]],GRAPHICS_PROPERTIES[VEHIDCODE],0))</f>
        <v>1</v>
      </c>
      <c r="M962" s="21" t="str">
        <f>"item_"&amp;CONTROL[[#This Row],[VEHIDCODE]]</f>
        <v>item_mmu_ACME_Corp__Chimaera</v>
      </c>
      <c r="N962" s="21" t="str">
        <f>"str_"&amp;CONTROL[[#This Row],[VEHIDCODE]]</f>
        <v>str_mmu_ACME_Corp__Chimaera</v>
      </c>
      <c r="O962" s="7" t="b">
        <f>INDEX(PROPERTIES[IS_CONCEPT],MATCH(CONTROL[[#This Row],[VEHIDCODE]],PROPERTIES[VEHIDCODE],0))="IS_CONCEPT"</f>
        <v>1</v>
      </c>
      <c r="P962" s="7" t="b">
        <f>INDEX(PROPERTIES[EXCLUDE],MATCH(CONTROL[[#This Row],[VEHIDCODE]],PROPERTIES[VEHIDCODE],0))</f>
        <v>0</v>
      </c>
      <c r="Q96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63" spans="1:17" x14ac:dyDescent="0.35">
      <c r="A963" t="s">
        <v>1907</v>
      </c>
      <c r="B963" s="21" t="str">
        <f>MID(CONTROL[[#This Row],[VEHIDCODE]],FIND("_",CONTROL[[#This Row],[VEHIDCODE]])+1,LEN(CONTROL[[#This Row],[VEHIDCODE]]))</f>
        <v>coach_Gen7M_Chimaera_Passenger_Coach</v>
      </c>
      <c r="C96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src\Coaches_Maglev\Gen7M</v>
      </c>
      <c r="D96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ID_RANGE_COACHES_MGLV</v>
      </c>
      <c r="E96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13100</v>
      </c>
      <c r="F963" s="30" t="s">
        <v>2572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ISNUMBER(MATCH(CONTROL[[#This Row],[VEHIDCODE]],TRACK_TYPES[VEHIDCODE],0))</f>
        <v>1</v>
      </c>
      <c r="K963" t="b">
        <f>ISNUMBER(MATCH(CONTROL[[#This Row],[VEHIDCODE]],PROPERTIES[VEHIDCODE],0))</f>
        <v>1</v>
      </c>
      <c r="L963" t="b">
        <f>ISNUMBER(MATCH(CONTROL[[#This Row],[VEHIDCODE]],GRAPHICS_PROPERTIES[VEHIDCODE],0))</f>
        <v>1</v>
      </c>
      <c r="M963" s="21" t="str">
        <f>"item_"&amp;CONTROL[[#This Row],[VEHIDCODE]]</f>
        <v>item_mglv_coach_Gen7M_Chimaera_Passenger_Coach</v>
      </c>
      <c r="N963" s="21" t="str">
        <f>"str_"&amp;CONTROL[[#This Row],[VEHIDCODE]]</f>
        <v>str_mglv_coach_Gen7M_Chimaera_Passenger_Coach</v>
      </c>
      <c r="O963" s="7" t="b">
        <f>INDEX(PROPERTIES[IS_CONCEPT],MATCH(CONTROL[[#This Row],[VEHIDCODE]],PROPERTIES[VEHIDCODE],0))="IS_CONCEPT"</f>
        <v>1</v>
      </c>
      <c r="P963" s="7" t="b">
        <f>INDEX(PROPERTIES[EXCLUDE],MATCH(CONTROL[[#This Row],[VEHIDCODE]],PROPERTIES[VEHIDCODE],0))</f>
        <v>0</v>
      </c>
      <c r="Q96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64" spans="1:17" x14ac:dyDescent="0.35">
      <c r="A964" t="s">
        <v>1908</v>
      </c>
      <c r="B964" s="21" t="str">
        <f>MID(CONTROL[[#This Row],[VEHIDCODE]],FIND("_",CONTROL[[#This Row],[VEHIDCODE]])+1,LEN(CONTROL[[#This Row],[VEHIDCODE]]))</f>
        <v>coach_Gen7M_Chimaera_Mail_Coach</v>
      </c>
      <c r="C96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src\Coaches_Maglev\Gen7M</v>
      </c>
      <c r="D96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ID_RANGE_COACHES_MGLV</v>
      </c>
      <c r="E96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13101</v>
      </c>
      <c r="F964" s="30" t="s">
        <v>2573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ISNUMBER(MATCH(CONTROL[[#This Row],[VEHIDCODE]],TRACK_TYPES[VEHIDCODE],0))</f>
        <v>1</v>
      </c>
      <c r="K964" t="b">
        <f>ISNUMBER(MATCH(CONTROL[[#This Row],[VEHIDCODE]],PROPERTIES[VEHIDCODE],0))</f>
        <v>1</v>
      </c>
      <c r="L964" t="b">
        <f>ISNUMBER(MATCH(CONTROL[[#This Row],[VEHIDCODE]],GRAPHICS_PROPERTIES[VEHIDCODE],0))</f>
        <v>1</v>
      </c>
      <c r="M964" s="21" t="str">
        <f>"item_"&amp;CONTROL[[#This Row],[VEHIDCODE]]</f>
        <v>item_mglv_coach_Gen7M_Chimaera_Mail_Coach</v>
      </c>
      <c r="N964" s="21" t="str">
        <f>"str_"&amp;CONTROL[[#This Row],[VEHIDCODE]]</f>
        <v>str_mglv_coach_Gen7M_Chimaera_Mail_Coach</v>
      </c>
      <c r="O964" s="7" t="b">
        <f>INDEX(PROPERTIES[IS_CONCEPT],MATCH(CONTROL[[#This Row],[VEHIDCODE]],PROPERTIES[VEHIDCODE],0))="IS_CONCEPT"</f>
        <v>1</v>
      </c>
      <c r="P964" s="7" t="b">
        <f>INDEX(PROPERTIES[EXCLUDE],MATCH(CONTROL[[#This Row],[VEHIDCODE]],PROPERTIES[VEHIDCODE],0))</f>
        <v>0</v>
      </c>
      <c r="Q96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965" spans="1:17" x14ac:dyDescent="0.35">
      <c r="A965" t="s">
        <v>3385</v>
      </c>
      <c r="B965" s="21" t="str">
        <f>MID(CONTROL[[#This Row],[VEHIDCODE]],FIND("_",CONTROL[[#This Row],[VEHIDCODE]])+1,LEN(CONTROL[[#This Row],[VEHIDCODE]]))</f>
        <v>Sharp_BP_0_6_0_BDZ_142_150</v>
      </c>
      <c r="C96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4146</v>
      </c>
      <c r="F965" s="30" t="s">
        <v>2518</v>
      </c>
      <c r="G965" t="s">
        <v>1911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ISNUMBER(MATCH(CONTROL[[#This Row],[VEHIDCODE]],TRACK_TYPES[VEHIDCODE],0))</f>
        <v>1</v>
      </c>
      <c r="K965" t="b">
        <f>ISNUMBER(MATCH(CONTROL[[#This Row],[VEHIDCODE]],PROPERTIES[VEHIDCODE],0))</f>
        <v>1</v>
      </c>
      <c r="L965" t="b">
        <f>ISNUMBER(MATCH(CONTROL[[#This Row],[VEHIDCODE]],GRAPHICS_PROPERTIES[VEHIDCODE],0))</f>
        <v>1</v>
      </c>
      <c r="M965" s="21" t="str">
        <f>"item_"&amp;CONTROL[[#This Row],[VEHIDCODE]]</f>
        <v>item_steam_Sharp_BP_0_6_0_BDZ_142_150</v>
      </c>
      <c r="N965" s="21" t="str">
        <f>"str_"&amp;CONTROL[[#This Row],[VEHIDCODE]]</f>
        <v>str_steam_Sharp_BP_0_6_0_BDZ_142_150</v>
      </c>
      <c r="O965" s="7" t="b">
        <f>INDEX(PROPERTIES[IS_CONCEPT],MATCH(CONTROL[[#This Row],[VEHIDCODE]],PROPERTIES[VEHIDCODE],0))="IS_CONCEPT"</f>
        <v>0</v>
      </c>
      <c r="P965" s="7" t="b">
        <f>INDEX(PROPERTIES[EXCLUDE],MATCH(CONTROL[[#This Row],[VEHIDCODE]],PROPERTIES[VEHIDCODE],0))</f>
        <v>0</v>
      </c>
      <c r="Q96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6" spans="1:17" x14ac:dyDescent="0.35">
      <c r="A966" t="s">
        <v>3386</v>
      </c>
      <c r="B966" s="21" t="str">
        <f>MID(CONTROL[[#This Row],[VEHIDCODE]],FIND("_",CONTROL[[#This Row],[VEHIDCODE]])+1,LEN(CONTROL[[#This Row],[VEHIDCODE]]))</f>
        <v>MAVAG_4_4_2_Class_203</v>
      </c>
      <c r="C96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4147</v>
      </c>
      <c r="F966" s="30" t="s">
        <v>2519</v>
      </c>
      <c r="G966" t="s">
        <v>1912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ISNUMBER(MATCH(CONTROL[[#This Row],[VEHIDCODE]],TRACK_TYPES[VEHIDCODE],0))</f>
        <v>1</v>
      </c>
      <c r="K966" t="b">
        <f>ISNUMBER(MATCH(CONTROL[[#This Row],[VEHIDCODE]],PROPERTIES[VEHIDCODE],0))</f>
        <v>1</v>
      </c>
      <c r="L966" t="b">
        <f>ISNUMBER(MATCH(CONTROL[[#This Row],[VEHIDCODE]],GRAPHICS_PROPERTIES[VEHIDCODE],0))</f>
        <v>1</v>
      </c>
      <c r="M966" s="21" t="str">
        <f>"item_"&amp;CONTROL[[#This Row],[VEHIDCODE]]</f>
        <v>item_steam_MAVAG_4_4_2_Class_203</v>
      </c>
      <c r="N966" s="21" t="str">
        <f>"str_"&amp;CONTROL[[#This Row],[VEHIDCODE]]</f>
        <v>str_steam_MAVAG_4_4_2_Class_203</v>
      </c>
      <c r="O966" s="7" t="b">
        <f>INDEX(PROPERTIES[IS_CONCEPT],MATCH(CONTROL[[#This Row],[VEHIDCODE]],PROPERTIES[VEHIDCODE],0))="IS_CONCEPT"</f>
        <v>0</v>
      </c>
      <c r="P966" s="7" t="b">
        <f>INDEX(PROPERTIES[EXCLUDE],MATCH(CONTROL[[#This Row],[VEHIDCODE]],PROPERTIES[VEHIDCODE],0))</f>
        <v>0</v>
      </c>
      <c r="Q96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7" spans="1:17" x14ac:dyDescent="0.35">
      <c r="A967" t="s">
        <v>3387</v>
      </c>
      <c r="B967" s="21" t="str">
        <f>MID(CONTROL[[#This Row],[VEHIDCODE]],FIND("_",CONTROL[[#This Row],[VEHIDCODE]])+1,LEN(CONTROL[[#This Row],[VEHIDCODE]]))</f>
        <v>MAVAG_2_6_6_0_Class_601</v>
      </c>
      <c r="C96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6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6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4148</v>
      </c>
      <c r="F967" s="30" t="s">
        <v>2520</v>
      </c>
      <c r="G967" t="s">
        <v>1913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ISNUMBER(MATCH(CONTROL[[#This Row],[VEHIDCODE]],TRACK_TYPES[VEHIDCODE],0))</f>
        <v>1</v>
      </c>
      <c r="K967" t="b">
        <f>ISNUMBER(MATCH(CONTROL[[#This Row],[VEHIDCODE]],PROPERTIES[VEHIDCODE],0))</f>
        <v>1</v>
      </c>
      <c r="L967" t="b">
        <f>ISNUMBER(MATCH(CONTROL[[#This Row],[VEHIDCODE]],GRAPHICS_PROPERTIES[VEHIDCODE],0))</f>
        <v>1</v>
      </c>
      <c r="M967" s="21" t="str">
        <f>"item_"&amp;CONTROL[[#This Row],[VEHIDCODE]]</f>
        <v>item_steam_MAVAG_2_6_6_0_Class_601</v>
      </c>
      <c r="N967" s="21" t="str">
        <f>"str_"&amp;CONTROL[[#This Row],[VEHIDCODE]]</f>
        <v>str_steam_MAVAG_2_6_6_0_Class_601</v>
      </c>
      <c r="O967" s="7" t="b">
        <f>INDEX(PROPERTIES[IS_CONCEPT],MATCH(CONTROL[[#This Row],[VEHIDCODE]],PROPERTIES[VEHIDCODE],0))="IS_CONCEPT"</f>
        <v>0</v>
      </c>
      <c r="P967" s="7" t="b">
        <f>INDEX(PROPERTIES[EXCLUDE],MATCH(CONTROL[[#This Row],[VEHIDCODE]],PROPERTIES[VEHIDCODE],0))</f>
        <v>0</v>
      </c>
      <c r="Q96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68" spans="1:17" x14ac:dyDescent="0.35">
      <c r="A968" t="s">
        <v>3388</v>
      </c>
      <c r="B968" s="21" t="str">
        <f>MID(CONTROL[[#This Row],[VEHIDCODE]],FIND("_",CONTROL[[#This Row],[VEHIDCODE]])+1,LEN(CONTROL[[#This Row],[VEHIDCODE]]))</f>
        <v>Ganz_MAVAG_VM7_V40</v>
      </c>
      <c r="C96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6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6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6151</v>
      </c>
      <c r="F968" s="30" t="s">
        <v>2521</v>
      </c>
      <c r="G968" t="s">
        <v>1914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ISNUMBER(MATCH(CONTROL[[#This Row],[VEHIDCODE]],TRACK_TYPES[VEHIDCODE],0))</f>
        <v>1</v>
      </c>
      <c r="K968" t="b">
        <f>ISNUMBER(MATCH(CONTROL[[#This Row],[VEHIDCODE]],PROPERTIES[VEHIDCODE],0))</f>
        <v>1</v>
      </c>
      <c r="L968" t="b">
        <f>ISNUMBER(MATCH(CONTROL[[#This Row],[VEHIDCODE]],GRAPHICS_PROPERTIES[VEHIDCODE],0))</f>
        <v>1</v>
      </c>
      <c r="M968" s="21" t="str">
        <f>"item_"&amp;CONTROL[[#This Row],[VEHIDCODE]]</f>
        <v>item_electric_Ganz_MAVAG_VM7_V40</v>
      </c>
      <c r="N968" s="21" t="str">
        <f>"str_"&amp;CONTROL[[#This Row],[VEHIDCODE]]</f>
        <v>str_electric_Ganz_MAVAG_VM7_V40</v>
      </c>
      <c r="O968" s="7" t="b">
        <f>INDEX(PROPERTIES[IS_CONCEPT],MATCH(CONTROL[[#This Row],[VEHIDCODE]],PROPERTIES[VEHIDCODE],0))="IS_CONCEPT"</f>
        <v>0</v>
      </c>
      <c r="P968" s="7" t="b">
        <f>INDEX(PROPERTIES[EXCLUDE],MATCH(CONTROL[[#This Row],[VEHIDCODE]],PROPERTIES[VEHIDCODE],0))</f>
        <v>0</v>
      </c>
      <c r="Q96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69" spans="1:17" x14ac:dyDescent="0.35">
      <c r="A969" t="s">
        <v>3389</v>
      </c>
      <c r="B969" s="21" t="str">
        <f>MID(CONTROL[[#This Row],[VEHIDCODE]],FIND("_",CONTROL[[#This Row],[VEHIDCODE]])+1,LEN(CONTROL[[#This Row],[VEHIDCODE]]))</f>
        <v>PESA_111D</v>
      </c>
      <c r="C96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6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6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5186</v>
      </c>
      <c r="F969" s="30" t="s">
        <v>2028</v>
      </c>
      <c r="G969" t="s">
        <v>1915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ISNUMBER(MATCH(CONTROL[[#This Row],[VEHIDCODE]],TRACK_TYPES[VEHIDCODE],0))</f>
        <v>1</v>
      </c>
      <c r="K969" t="b">
        <f>ISNUMBER(MATCH(CONTROL[[#This Row],[VEHIDCODE]],PROPERTIES[VEHIDCODE],0))</f>
        <v>1</v>
      </c>
      <c r="L969" t="b">
        <f>ISNUMBER(MATCH(CONTROL[[#This Row],[VEHIDCODE]],GRAPHICS_PROPERTIES[VEHIDCODE],0))</f>
        <v>1</v>
      </c>
      <c r="M969" s="21" t="str">
        <f>"item_"&amp;CONTROL[[#This Row],[VEHIDCODE]]</f>
        <v>item_diesel_PESA_111D</v>
      </c>
      <c r="N969" s="21" t="str">
        <f>"str_"&amp;CONTROL[[#This Row],[VEHIDCODE]]</f>
        <v>str_diesel_PESA_111D</v>
      </c>
      <c r="O969" s="7" t="b">
        <f>INDEX(PROPERTIES[IS_CONCEPT],MATCH(CONTROL[[#This Row],[VEHIDCODE]],PROPERTIES[VEHIDCODE],0))="IS_CONCEPT"</f>
        <v>0</v>
      </c>
      <c r="P969" s="7" t="b">
        <f>INDEX(PROPERTIES[EXCLUDE],MATCH(CONTROL[[#This Row],[VEHIDCODE]],PROPERTIES[VEHIDCODE],0))</f>
        <v>0</v>
      </c>
      <c r="Q96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70" spans="1:17" x14ac:dyDescent="0.35">
      <c r="A970" t="s">
        <v>3390</v>
      </c>
      <c r="B970" s="21" t="str">
        <f>MID(CONTROL[[#This Row],[VEHIDCODE]],FIND("_",CONTROL[[#This Row],[VEHIDCODE]])+1,LEN(CONTROL[[#This Row],[VEHIDCODE]]))</f>
        <v>Stephenson_BP_2_2_2_LVCI_Class_1</v>
      </c>
      <c r="C97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4149</v>
      </c>
      <c r="F970" s="30" t="s">
        <v>2522</v>
      </c>
      <c r="G970" t="s">
        <v>1916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ISNUMBER(MATCH(CONTROL[[#This Row],[VEHIDCODE]],TRACK_TYPES[VEHIDCODE],0))</f>
        <v>1</v>
      </c>
      <c r="K970" t="b">
        <f>ISNUMBER(MATCH(CONTROL[[#This Row],[VEHIDCODE]],PROPERTIES[VEHIDCODE],0))</f>
        <v>1</v>
      </c>
      <c r="L970" t="b">
        <f>ISNUMBER(MATCH(CONTROL[[#This Row],[VEHIDCODE]],GRAPHICS_PROPERTIES[VEHIDCODE],0))</f>
        <v>1</v>
      </c>
      <c r="M970" s="21" t="str">
        <f>"item_"&amp;CONTROL[[#This Row],[VEHIDCODE]]</f>
        <v>item_steam_Stephenson_BP_2_2_2_LVCI_Class_1</v>
      </c>
      <c r="N970" s="21" t="str">
        <f>"str_"&amp;CONTROL[[#This Row],[VEHIDCODE]]</f>
        <v>str_steam_Stephenson_BP_2_2_2_LVCI_Class_1</v>
      </c>
      <c r="O970" s="7" t="b">
        <f>INDEX(PROPERTIES[IS_CONCEPT],MATCH(CONTROL[[#This Row],[VEHIDCODE]],PROPERTIES[VEHIDCODE],0))="IS_CONCEPT"</f>
        <v>0</v>
      </c>
      <c r="P970" s="7" t="b">
        <f>INDEX(PROPERTIES[EXCLUDE],MATCH(CONTROL[[#This Row],[VEHIDCODE]],PROPERTIES[VEHIDCODE],0))</f>
        <v>0</v>
      </c>
      <c r="Q97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TPL_03A</v>
      </c>
    </row>
    <row r="971" spans="1:17" x14ac:dyDescent="0.35">
      <c r="A971" t="s">
        <v>3391</v>
      </c>
      <c r="B971" s="21" t="str">
        <f>MID(CONTROL[[#This Row],[VEHIDCODE]],FIND("_",CONTROL[[#This Row],[VEHIDCODE]])+1,LEN(CONTROL[[#This Row],[VEHIDCODE]]))</f>
        <v>Babcock_4_6_2_2_6_4T_462</v>
      </c>
      <c r="C97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4150</v>
      </c>
      <c r="F971" s="30" t="s">
        <v>2523</v>
      </c>
      <c r="G971" t="s">
        <v>1917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ISNUMBER(MATCH(CONTROL[[#This Row],[VEHIDCODE]],TRACK_TYPES[VEHIDCODE],0))</f>
        <v>1</v>
      </c>
      <c r="K971" t="b">
        <f>ISNUMBER(MATCH(CONTROL[[#This Row],[VEHIDCODE]],PROPERTIES[VEHIDCODE],0))</f>
        <v>1</v>
      </c>
      <c r="L971" t="b">
        <f>ISNUMBER(MATCH(CONTROL[[#This Row],[VEHIDCODE]],GRAPHICS_PROPERTIES[VEHIDCODE],0))</f>
        <v>1</v>
      </c>
      <c r="M971" s="21" t="str">
        <f>"item_"&amp;CONTROL[[#This Row],[VEHIDCODE]]</f>
        <v>item_steam_Babcock_4_6_2_2_6_4T_462</v>
      </c>
      <c r="N971" s="21" t="str">
        <f>"str_"&amp;CONTROL[[#This Row],[VEHIDCODE]]</f>
        <v>str_steam_Babcock_4_6_2_2_6_4T_462</v>
      </c>
      <c r="O971" s="7" t="b">
        <f>INDEX(PROPERTIES[IS_CONCEPT],MATCH(CONTROL[[#This Row],[VEHIDCODE]],PROPERTIES[VEHIDCODE],0))="IS_CONCEPT"</f>
        <v>0</v>
      </c>
      <c r="P971" s="7" t="b">
        <f>INDEX(PROPERTIES[EXCLUDE],MATCH(CONTROL[[#This Row],[VEHIDCODE]],PROPERTIES[VEHIDCODE],0))</f>
        <v>0</v>
      </c>
      <c r="Q97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TPL_17C</v>
      </c>
    </row>
    <row r="972" spans="1:17" x14ac:dyDescent="0.35">
      <c r="A972" s="2" t="s">
        <v>3392</v>
      </c>
      <c r="B972" s="21" t="str">
        <f>MID(CONTROL[[#This Row],[VEHIDCODE]],FIND("_",CONTROL[[#This Row],[VEHIDCODE]])+1,LEN(CONTROL[[#This Row],[VEHIDCODE]]))</f>
        <v>Koechlin_0_6_0_030</v>
      </c>
      <c r="C97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4151</v>
      </c>
      <c r="F972" s="30" t="s">
        <v>2524</v>
      </c>
      <c r="G972" s="32" t="s">
        <v>1919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ISNUMBER(MATCH(CONTROL[[#This Row],[VEHIDCODE]],TRACK_TYPES[VEHIDCODE],0))</f>
        <v>1</v>
      </c>
      <c r="K972" t="b">
        <f>ISNUMBER(MATCH(CONTROL[[#This Row],[VEHIDCODE]],PROPERTIES[VEHIDCODE],0))</f>
        <v>1</v>
      </c>
      <c r="L972" t="b">
        <f>ISNUMBER(MATCH(CONTROL[[#This Row],[VEHIDCODE]],GRAPHICS_PROPERTIES[VEHIDCODE],0))</f>
        <v>1</v>
      </c>
      <c r="M972" s="21" t="str">
        <f>"item_"&amp;CONTROL[[#This Row],[VEHIDCODE]]</f>
        <v>item_steam_Koechlin_0_6_0_030</v>
      </c>
      <c r="N972" s="21" t="str">
        <f>"str_"&amp;CONTROL[[#This Row],[VEHIDCODE]]</f>
        <v>str_steam_Koechlin_0_6_0_030</v>
      </c>
      <c r="O972" s="7" t="b">
        <f>INDEX(PROPERTIES[IS_CONCEPT],MATCH(CONTROL[[#This Row],[VEHIDCODE]],PROPERTIES[VEHIDCODE],0))="IS_CONCEPT"</f>
        <v>0</v>
      </c>
      <c r="P972" s="7" t="b">
        <f>INDEX(PROPERTIES[EXCLUDE],MATCH(CONTROL[[#This Row],[VEHIDCODE]],PROPERTIES[VEHIDCODE],0))</f>
        <v>0</v>
      </c>
      <c r="Q97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73" spans="1:17" x14ac:dyDescent="0.35">
      <c r="A973" s="2" t="s">
        <v>3393</v>
      </c>
      <c r="B973" s="21" t="str">
        <f>MID(CONTROL[[#This Row],[VEHIDCODE]],FIND("_",CONTROL[[#This Row],[VEHIDCODE]])+1,LEN(CONTROL[[#This Row],[VEHIDCODE]]))</f>
        <v>Hanomag_ALCO_4_8_0_240</v>
      </c>
      <c r="C97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97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97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4152</v>
      </c>
      <c r="F973" s="30" t="s">
        <v>2525</v>
      </c>
      <c r="G973" t="s">
        <v>1920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ISNUMBER(MATCH(CONTROL[[#This Row],[VEHIDCODE]],TRACK_TYPES[VEHIDCODE],0))</f>
        <v>1</v>
      </c>
      <c r="K973" t="b">
        <f>ISNUMBER(MATCH(CONTROL[[#This Row],[VEHIDCODE]],PROPERTIES[VEHIDCODE],0))</f>
        <v>1</v>
      </c>
      <c r="L973" t="b">
        <f>ISNUMBER(MATCH(CONTROL[[#This Row],[VEHIDCODE]],GRAPHICS_PROPERTIES[VEHIDCODE],0))</f>
        <v>1</v>
      </c>
      <c r="M973" s="21" t="str">
        <f>"item_"&amp;CONTROL[[#This Row],[VEHIDCODE]]</f>
        <v>item_steam_Hanomag_ALCO_4_8_0_240</v>
      </c>
      <c r="N973" s="21" t="str">
        <f>"str_"&amp;CONTROL[[#This Row],[VEHIDCODE]]</f>
        <v>str_steam_Hanomag_ALCO_4_8_0_240</v>
      </c>
      <c r="O973" s="7" t="b">
        <f>INDEX(PROPERTIES[IS_CONCEPT],MATCH(CONTROL[[#This Row],[VEHIDCODE]],PROPERTIES[VEHIDCODE],0))="IS_CONCEPT"</f>
        <v>0</v>
      </c>
      <c r="P973" s="7" t="b">
        <f>INDEX(PROPERTIES[EXCLUDE],MATCH(CONTROL[[#This Row],[VEHIDCODE]],PROPERTIES[VEHIDCODE],0))</f>
        <v>0</v>
      </c>
      <c r="Q97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974" spans="1:17" x14ac:dyDescent="0.35">
      <c r="A974" t="s">
        <v>3394</v>
      </c>
      <c r="B974" s="21" t="str">
        <f>MID(CONTROL[[#This Row],[VEHIDCODE]],FIND("_",CONTROL[[#This Row],[VEHIDCODE]])+1,LEN(CONTROL[[#This Row],[VEHIDCODE]]))</f>
        <v>CRRC_Sifang_SFB_500</v>
      </c>
      <c r="C97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7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7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8092</v>
      </c>
      <c r="F974" s="30" t="s">
        <v>2526</v>
      </c>
      <c r="G974" t="s">
        <v>1921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ISNUMBER(MATCH(CONTROL[[#This Row],[VEHIDCODE]],TRACK_TYPES[VEHIDCODE],0))</f>
        <v>1</v>
      </c>
      <c r="K974" t="b">
        <f>ISNUMBER(MATCH(CONTROL[[#This Row],[VEHIDCODE]],PROPERTIES[VEHIDCODE],0))</f>
        <v>1</v>
      </c>
      <c r="L974" t="b">
        <f>ISNUMBER(MATCH(CONTROL[[#This Row],[VEHIDCODE]],GRAPHICS_PROPERTIES[VEHIDCODE],0))</f>
        <v>1</v>
      </c>
      <c r="M974" s="21" t="str">
        <f>"item_"&amp;CONTROL[[#This Row],[VEHIDCODE]]</f>
        <v>item_emu_CRRC_Sifang_SFB_500</v>
      </c>
      <c r="N974" s="21" t="str">
        <f>"str_"&amp;CONTROL[[#This Row],[VEHIDCODE]]</f>
        <v>str_emu_CRRC_Sifang_SFB_500</v>
      </c>
      <c r="O974" s="7" t="b">
        <f>INDEX(PROPERTIES[IS_CONCEPT],MATCH(CONTROL[[#This Row],[VEHIDCODE]],PROPERTIES[VEHIDCODE],0))="IS_CONCEPT"</f>
        <v>0</v>
      </c>
      <c r="P974" s="7" t="b">
        <f>INDEX(PROPERTIES[EXCLUDE],MATCH(CONTROL[[#This Row],[VEHIDCODE]],PROPERTIES[VEHIDCODE],0))</f>
        <v>0</v>
      </c>
      <c r="Q97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75" spans="1:17" x14ac:dyDescent="0.35">
      <c r="A975" t="s">
        <v>3395</v>
      </c>
      <c r="B975" s="21" t="str">
        <f>MID(CONTROL[[#This Row],[VEHIDCODE]],FIND("_",CONTROL[[#This Row],[VEHIDCODE]])+1,LEN(CONTROL[[#This Row],[VEHIDCODE]]))</f>
        <v>EMC_E3</v>
      </c>
      <c r="C97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5187</v>
      </c>
      <c r="F975" s="30" t="s">
        <v>1924</v>
      </c>
      <c r="G975" t="s">
        <v>1923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ISNUMBER(MATCH(CONTROL[[#This Row],[VEHIDCODE]],TRACK_TYPES[VEHIDCODE],0))</f>
        <v>1</v>
      </c>
      <c r="K975" t="b">
        <f>ISNUMBER(MATCH(CONTROL[[#This Row],[VEHIDCODE]],PROPERTIES[VEHIDCODE],0))</f>
        <v>1</v>
      </c>
      <c r="L975" t="b">
        <f>ISNUMBER(MATCH(CONTROL[[#This Row],[VEHIDCODE]],GRAPHICS_PROPERTIES[VEHIDCODE],0))</f>
        <v>1</v>
      </c>
      <c r="M975" s="21" t="str">
        <f>"item_"&amp;CONTROL[[#This Row],[VEHIDCODE]]</f>
        <v>item_diesel_EMC_E3</v>
      </c>
      <c r="N975" s="21" t="str">
        <f>"str_"&amp;CONTROL[[#This Row],[VEHIDCODE]]</f>
        <v>str_diesel_EMC_E3</v>
      </c>
      <c r="O975" s="7" t="b">
        <f>INDEX(PROPERTIES[IS_CONCEPT],MATCH(CONTROL[[#This Row],[VEHIDCODE]],PROPERTIES[VEHIDCODE],0))="IS_CONCEPT"</f>
        <v>0</v>
      </c>
      <c r="P975" s="7" t="b">
        <f>INDEX(PROPERTIES[EXCLUDE],MATCH(CONTROL[[#This Row],[VEHIDCODE]],PROPERTIES[VEHIDCODE],0))</f>
        <v>0</v>
      </c>
      <c r="Q97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976" spans="1:17" x14ac:dyDescent="0.35">
      <c r="A976" t="s">
        <v>3396</v>
      </c>
      <c r="B976" s="21" t="str">
        <f>MID(CONTROL[[#This Row],[VEHIDCODE]],FIND("_",CONTROL[[#This Row],[VEHIDCODE]])+1,LEN(CONTROL[[#This Row],[VEHIDCODE]]))</f>
        <v>EMD_FT</v>
      </c>
      <c r="C97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5188</v>
      </c>
      <c r="F976" s="30" t="s">
        <v>1925</v>
      </c>
      <c r="G976" t="s">
        <v>1926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ISNUMBER(MATCH(CONTROL[[#This Row],[VEHIDCODE]],TRACK_TYPES[VEHIDCODE],0))</f>
        <v>1</v>
      </c>
      <c r="K976" t="b">
        <f>ISNUMBER(MATCH(CONTROL[[#This Row],[VEHIDCODE]],PROPERTIES[VEHIDCODE],0))</f>
        <v>1</v>
      </c>
      <c r="L976" t="b">
        <f>ISNUMBER(MATCH(CONTROL[[#This Row],[VEHIDCODE]],GRAPHICS_PROPERTIES[VEHIDCODE],0))</f>
        <v>1</v>
      </c>
      <c r="M976" s="21" t="str">
        <f>"item_"&amp;CONTROL[[#This Row],[VEHIDCODE]]</f>
        <v>item_diesel_EMD_FT</v>
      </c>
      <c r="N976" s="21" t="str">
        <f>"str_"&amp;CONTROL[[#This Row],[VEHIDCODE]]</f>
        <v>str_diesel_EMD_FT</v>
      </c>
      <c r="O976" s="7" t="b">
        <f>INDEX(PROPERTIES[IS_CONCEPT],MATCH(CONTROL[[#This Row],[VEHIDCODE]],PROPERTIES[VEHIDCODE],0))="IS_CONCEPT"</f>
        <v>0</v>
      </c>
      <c r="P976" s="7" t="b">
        <f>INDEX(PROPERTIES[EXCLUDE],MATCH(CONTROL[[#This Row],[VEHIDCODE]],PROPERTIES[VEHIDCODE],0))</f>
        <v>0</v>
      </c>
      <c r="Q97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977" spans="1:17" x14ac:dyDescent="0.35">
      <c r="A977" t="s">
        <v>3397</v>
      </c>
      <c r="B977" s="21" t="str">
        <f>MID(CONTROL[[#This Row],[VEHIDCODE]],FIND("_",CONTROL[[#This Row],[VEHIDCODE]])+1,LEN(CONTROL[[#This Row],[VEHIDCODE]]))</f>
        <v>LTZ_TE109</v>
      </c>
      <c r="C97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5189</v>
      </c>
      <c r="F977" s="30" t="s">
        <v>1959</v>
      </c>
      <c r="G977" t="s">
        <v>1740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ISNUMBER(MATCH(CONTROL[[#This Row],[VEHIDCODE]],TRACK_TYPES[VEHIDCODE],0))</f>
        <v>1</v>
      </c>
      <c r="K977" t="b">
        <f>ISNUMBER(MATCH(CONTROL[[#This Row],[VEHIDCODE]],PROPERTIES[VEHIDCODE],0))</f>
        <v>1</v>
      </c>
      <c r="L977" t="b">
        <f>ISNUMBER(MATCH(CONTROL[[#This Row],[VEHIDCODE]],GRAPHICS_PROPERTIES[VEHIDCODE],0))</f>
        <v>1</v>
      </c>
      <c r="M977" s="21" t="str">
        <f>"item_"&amp;CONTROL[[#This Row],[VEHIDCODE]]</f>
        <v>item_diesel_LTZ_TE109</v>
      </c>
      <c r="N977" s="21" t="str">
        <f>"str_"&amp;CONTROL[[#This Row],[VEHIDCODE]]</f>
        <v>str_diesel_LTZ_TE109</v>
      </c>
      <c r="O977" s="7" t="b">
        <f>INDEX(PROPERTIES[IS_CONCEPT],MATCH(CONTROL[[#This Row],[VEHIDCODE]],PROPERTIES[VEHIDCODE],0))="IS_CONCEPT"</f>
        <v>0</v>
      </c>
      <c r="P977" s="7" t="b">
        <f>INDEX(PROPERTIES[EXCLUDE],MATCH(CONTROL[[#This Row],[VEHIDCODE]],PROPERTIES[VEHIDCODE],0))</f>
        <v>0</v>
      </c>
      <c r="Q97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78" spans="1:17" x14ac:dyDescent="0.35">
      <c r="A978" s="2" t="s">
        <v>3398</v>
      </c>
      <c r="B978" s="21" t="str">
        <f>MID(CONTROL[[#This Row],[VEHIDCODE]],FIND("_",CONTROL[[#This Row],[VEHIDCODE]])+1,LEN(CONTROL[[#This Row],[VEHIDCODE]]))</f>
        <v>Hitachi_Kawasaki_Shinkansen_Series_100</v>
      </c>
      <c r="C97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7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7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8093</v>
      </c>
      <c r="F978" s="30" t="s">
        <v>2527</v>
      </c>
      <c r="G978" t="s">
        <v>1927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ISNUMBER(MATCH(CONTROL[[#This Row],[VEHIDCODE]],TRACK_TYPES[VEHIDCODE],0))</f>
        <v>1</v>
      </c>
      <c r="K978" t="b">
        <f>ISNUMBER(MATCH(CONTROL[[#This Row],[VEHIDCODE]],PROPERTIES[VEHIDCODE],0))</f>
        <v>1</v>
      </c>
      <c r="L978" t="b">
        <f>ISNUMBER(MATCH(CONTROL[[#This Row],[VEHIDCODE]],GRAPHICS_PROPERTIES[VEHIDCODE],0))</f>
        <v>1</v>
      </c>
      <c r="M978" s="21" t="str">
        <f>"item_"&amp;CONTROL[[#This Row],[VEHIDCODE]]</f>
        <v>item_emu_Hitachi_Kawasaki_Shinkansen_Series_100</v>
      </c>
      <c r="N978" s="21" t="str">
        <f>"str_"&amp;CONTROL[[#This Row],[VEHIDCODE]]</f>
        <v>str_emu_Hitachi_Kawasaki_Shinkansen_Series_100</v>
      </c>
      <c r="O978" s="7" t="b">
        <f>INDEX(PROPERTIES[IS_CONCEPT],MATCH(CONTROL[[#This Row],[VEHIDCODE]],PROPERTIES[VEHIDCODE],0))="IS_CONCEPT"</f>
        <v>0</v>
      </c>
      <c r="P978" s="7" t="b">
        <f>INDEX(PROPERTIES[EXCLUDE],MATCH(CONTROL[[#This Row],[VEHIDCODE]],PROPERTIES[VEHIDCODE],0))</f>
        <v>0</v>
      </c>
      <c r="Q97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79" spans="1:17" x14ac:dyDescent="0.35">
      <c r="A979" t="s">
        <v>3399</v>
      </c>
      <c r="B979" s="21" t="str">
        <f>MID(CONTROL[[#This Row],[VEHIDCODE]],FIND("_",CONTROL[[#This Row],[VEHIDCODE]])+1,LEN(CONTROL[[#This Row],[VEHIDCODE]]))</f>
        <v>Krauss_Maffei_ML_2200</v>
      </c>
      <c r="C97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7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7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5190</v>
      </c>
      <c r="F979" s="30" t="s">
        <v>2557</v>
      </c>
      <c r="G979" t="s">
        <v>1928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ISNUMBER(MATCH(CONTROL[[#This Row],[VEHIDCODE]],TRACK_TYPES[VEHIDCODE],0))</f>
        <v>1</v>
      </c>
      <c r="K979" t="b">
        <f>ISNUMBER(MATCH(CONTROL[[#This Row],[VEHIDCODE]],PROPERTIES[VEHIDCODE],0))</f>
        <v>1</v>
      </c>
      <c r="L979" t="b">
        <f>ISNUMBER(MATCH(CONTROL[[#This Row],[VEHIDCODE]],GRAPHICS_PROPERTIES[VEHIDCODE],0))</f>
        <v>1</v>
      </c>
      <c r="M979" s="21" t="str">
        <f>"item_"&amp;CONTROL[[#This Row],[VEHIDCODE]]</f>
        <v>item_diesel_Krauss_Maffei_ML_2200</v>
      </c>
      <c r="N979" s="21" t="str">
        <f>"str_"&amp;CONTROL[[#This Row],[VEHIDCODE]]</f>
        <v>str_diesel_Krauss_Maffei_ML_2200</v>
      </c>
      <c r="O979" s="7" t="b">
        <f>INDEX(PROPERTIES[IS_CONCEPT],MATCH(CONTROL[[#This Row],[VEHIDCODE]],PROPERTIES[VEHIDCODE],0))="IS_CONCEPT"</f>
        <v>0</v>
      </c>
      <c r="P979" s="7" t="b">
        <f>INDEX(PROPERTIES[EXCLUDE],MATCH(CONTROL[[#This Row],[VEHIDCODE]],PROPERTIES[VEHIDCODE],0))</f>
        <v>0</v>
      </c>
      <c r="Q97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0" spans="1:17" x14ac:dyDescent="0.35">
      <c r="A980" t="s">
        <v>3400</v>
      </c>
      <c r="B980" s="21" t="str">
        <f>MID(CONTROL[[#This Row],[VEHIDCODE]],FIND("_",CONTROL[[#This Row],[VEHIDCODE]])+1,LEN(CONTROL[[#This Row],[VEHIDCODE]]))</f>
        <v>Ganz_Hargita_M440</v>
      </c>
      <c r="C98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8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8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7062</v>
      </c>
      <c r="F980" s="30" t="s">
        <v>2566</v>
      </c>
      <c r="G980" t="s">
        <v>1929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ISNUMBER(MATCH(CONTROL[[#This Row],[VEHIDCODE]],TRACK_TYPES[VEHIDCODE],0))</f>
        <v>1</v>
      </c>
      <c r="K980" t="b">
        <f>ISNUMBER(MATCH(CONTROL[[#This Row],[VEHIDCODE]],PROPERTIES[VEHIDCODE],0))</f>
        <v>1</v>
      </c>
      <c r="L980" t="b">
        <f>ISNUMBER(MATCH(CONTROL[[#This Row],[VEHIDCODE]],GRAPHICS_PROPERTIES[VEHIDCODE],0))</f>
        <v>1</v>
      </c>
      <c r="M980" s="21" t="str">
        <f>"item_"&amp;CONTROL[[#This Row],[VEHIDCODE]]</f>
        <v>item_dmu_Ganz_Hargita_M440</v>
      </c>
      <c r="N980" s="21" t="str">
        <f>"str_"&amp;CONTROL[[#This Row],[VEHIDCODE]]</f>
        <v>str_dmu_Ganz_Hargita_M440</v>
      </c>
      <c r="O980" s="7" t="b">
        <f>INDEX(PROPERTIES[IS_CONCEPT],MATCH(CONTROL[[#This Row],[VEHIDCODE]],PROPERTIES[VEHIDCODE],0))="IS_CONCEPT"</f>
        <v>0</v>
      </c>
      <c r="P980" s="7" t="b">
        <f>INDEX(PROPERTIES[EXCLUDE],MATCH(CONTROL[[#This Row],[VEHIDCODE]],PROPERTIES[VEHIDCODE],0))</f>
        <v>0</v>
      </c>
      <c r="Q98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981" spans="1:17" x14ac:dyDescent="0.35">
      <c r="A981" s="2" t="s">
        <v>3401</v>
      </c>
      <c r="B981" s="21" t="str">
        <f>MID(CONTROL[[#This Row],[VEHIDCODE]],FIND("_",CONTROL[[#This Row],[VEHIDCODE]])+1,LEN(CONTROL[[#This Row],[VEHIDCODE]]))</f>
        <v>SSW_Krauss_E44</v>
      </c>
      <c r="C98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6152</v>
      </c>
      <c r="F981" s="30" t="s">
        <v>2528</v>
      </c>
      <c r="G981" t="s">
        <v>1930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ISNUMBER(MATCH(CONTROL[[#This Row],[VEHIDCODE]],TRACK_TYPES[VEHIDCODE],0))</f>
        <v>1</v>
      </c>
      <c r="K981" t="b">
        <f>ISNUMBER(MATCH(CONTROL[[#This Row],[VEHIDCODE]],PROPERTIES[VEHIDCODE],0))</f>
        <v>1</v>
      </c>
      <c r="L981" t="b">
        <f>ISNUMBER(MATCH(CONTROL[[#This Row],[VEHIDCODE]],GRAPHICS_PROPERTIES[VEHIDCODE],0))</f>
        <v>1</v>
      </c>
      <c r="M981" s="21" t="str">
        <f>"item_"&amp;CONTROL[[#This Row],[VEHIDCODE]]</f>
        <v>item_electric_SSW_Krauss_E44</v>
      </c>
      <c r="N981" s="21" t="str">
        <f>"str_"&amp;CONTROL[[#This Row],[VEHIDCODE]]</f>
        <v>str_electric_SSW_Krauss_E44</v>
      </c>
      <c r="O981" s="7" t="b">
        <f>INDEX(PROPERTIES[IS_CONCEPT],MATCH(CONTROL[[#This Row],[VEHIDCODE]],PROPERTIES[VEHIDCODE],0))="IS_CONCEPT"</f>
        <v>0</v>
      </c>
      <c r="P981" s="7" t="b">
        <f>INDEX(PROPERTIES[EXCLUDE],MATCH(CONTROL[[#This Row],[VEHIDCODE]],PROPERTIES[VEHIDCODE],0))</f>
        <v>0</v>
      </c>
      <c r="Q98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2" spans="1:17" x14ac:dyDescent="0.35">
      <c r="A982" t="s">
        <v>3402</v>
      </c>
      <c r="B982" s="21" t="str">
        <f>MID(CONTROL[[#This Row],[VEHIDCODE]],FIND("_",CONTROL[[#This Row],[VEHIDCODE]])+1,LEN(CONTROL[[#This Row],[VEHIDCODE]]))</f>
        <v>PESA_111MS</v>
      </c>
      <c r="C98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6153</v>
      </c>
      <c r="F982" s="30" t="s">
        <v>1932</v>
      </c>
      <c r="G982" t="s">
        <v>1915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ISNUMBER(MATCH(CONTROL[[#This Row],[VEHIDCODE]],TRACK_TYPES[VEHIDCODE],0))</f>
        <v>1</v>
      </c>
      <c r="K982" t="b">
        <f>ISNUMBER(MATCH(CONTROL[[#This Row],[VEHIDCODE]],PROPERTIES[VEHIDCODE],0))</f>
        <v>1</v>
      </c>
      <c r="L982" t="b">
        <f>ISNUMBER(MATCH(CONTROL[[#This Row],[VEHIDCODE]],GRAPHICS_PROPERTIES[VEHIDCODE],0))</f>
        <v>1</v>
      </c>
      <c r="M982" s="21" t="str">
        <f>"item_"&amp;CONTROL[[#This Row],[VEHIDCODE]]</f>
        <v>item_electric_PESA_111MS</v>
      </c>
      <c r="N982" s="21" t="str">
        <f>"str_"&amp;CONTROL[[#This Row],[VEHIDCODE]]</f>
        <v>str_electric_PESA_111MS</v>
      </c>
      <c r="O982" s="7" t="b">
        <f>INDEX(PROPERTIES[IS_CONCEPT],MATCH(CONTROL[[#This Row],[VEHIDCODE]],PROPERTIES[VEHIDCODE],0))="IS_CONCEPT"</f>
        <v>0</v>
      </c>
      <c r="P982" s="7" t="b">
        <f>INDEX(PROPERTIES[EXCLUDE],MATCH(CONTROL[[#This Row],[VEHIDCODE]],PROPERTIES[VEHIDCODE],0))</f>
        <v>0</v>
      </c>
      <c r="Q98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3" spans="1:17" x14ac:dyDescent="0.35">
      <c r="A983" s="2" t="s">
        <v>3403</v>
      </c>
      <c r="B983" s="21" t="str">
        <f>MID(CONTROL[[#This Row],[VEHIDCODE]],FIND("_",CONTROL[[#This Row],[VEHIDCODE]])+1,LEN(CONTROL[[#This Row],[VEHIDCODE]]))</f>
        <v>Kolomna_VL19</v>
      </c>
      <c r="C98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6154</v>
      </c>
      <c r="F983" s="30" t="s">
        <v>2029</v>
      </c>
      <c r="G983" t="s">
        <v>1933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ISNUMBER(MATCH(CONTROL[[#This Row],[VEHIDCODE]],TRACK_TYPES[VEHIDCODE],0))</f>
        <v>1</v>
      </c>
      <c r="K983" t="b">
        <f>ISNUMBER(MATCH(CONTROL[[#This Row],[VEHIDCODE]],PROPERTIES[VEHIDCODE],0))</f>
        <v>1</v>
      </c>
      <c r="L983" t="b">
        <f>ISNUMBER(MATCH(CONTROL[[#This Row],[VEHIDCODE]],GRAPHICS_PROPERTIES[VEHIDCODE],0))</f>
        <v>1</v>
      </c>
      <c r="M983" s="21" t="str">
        <f>"item_"&amp;CONTROL[[#This Row],[VEHIDCODE]]</f>
        <v>item_electric_Kolomna_VL19</v>
      </c>
      <c r="N983" s="21" t="str">
        <f>"str_"&amp;CONTROL[[#This Row],[VEHIDCODE]]</f>
        <v>str_electric_Kolomna_VL19</v>
      </c>
      <c r="O983" s="7" t="b">
        <f>INDEX(PROPERTIES[IS_CONCEPT],MATCH(CONTROL[[#This Row],[VEHIDCODE]],PROPERTIES[VEHIDCODE],0))="IS_CONCEPT"</f>
        <v>0</v>
      </c>
      <c r="P983" s="7" t="b">
        <f>INDEX(PROPERTIES[EXCLUDE],MATCH(CONTROL[[#This Row],[VEHIDCODE]],PROPERTIES[VEHIDCODE],0))</f>
        <v>0</v>
      </c>
      <c r="Q98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4" spans="1:17" x14ac:dyDescent="0.35">
      <c r="A984" s="2" t="s">
        <v>3404</v>
      </c>
      <c r="B984" s="21" t="str">
        <f>MID(CONTROL[[#This Row],[VEHIDCODE]],FIND("_",CONTROL[[#This Row],[VEHIDCODE]])+1,LEN(CONTROL[[#This Row],[VEHIDCODE]]))</f>
        <v>AEG_Krupp_E18</v>
      </c>
      <c r="C98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6155</v>
      </c>
      <c r="F984" s="30" t="s">
        <v>2529</v>
      </c>
      <c r="G984" t="s">
        <v>1934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ISNUMBER(MATCH(CONTROL[[#This Row],[VEHIDCODE]],TRACK_TYPES[VEHIDCODE],0))</f>
        <v>1</v>
      </c>
      <c r="K984" t="b">
        <f>ISNUMBER(MATCH(CONTROL[[#This Row],[VEHIDCODE]],PROPERTIES[VEHIDCODE],0))</f>
        <v>1</v>
      </c>
      <c r="L984" t="b">
        <f>ISNUMBER(MATCH(CONTROL[[#This Row],[VEHIDCODE]],GRAPHICS_PROPERTIES[VEHIDCODE],0))</f>
        <v>1</v>
      </c>
      <c r="M984" s="21" t="str">
        <f>"item_"&amp;CONTROL[[#This Row],[VEHIDCODE]]</f>
        <v>item_electric_AEG_Krupp_E18</v>
      </c>
      <c r="N984" s="21" t="str">
        <f>"str_"&amp;CONTROL[[#This Row],[VEHIDCODE]]</f>
        <v>str_electric_AEG_Krupp_E18</v>
      </c>
      <c r="O984" s="7" t="b">
        <f>INDEX(PROPERTIES[IS_CONCEPT],MATCH(CONTROL[[#This Row],[VEHIDCODE]],PROPERTIES[VEHIDCODE],0))="IS_CONCEPT"</f>
        <v>0</v>
      </c>
      <c r="P984" s="7" t="b">
        <f>INDEX(PROPERTIES[EXCLUDE],MATCH(CONTROL[[#This Row],[VEHIDCODE]],PROPERTIES[VEHIDCODE],0))</f>
        <v>0</v>
      </c>
      <c r="Q98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5" spans="1:17" x14ac:dyDescent="0.35">
      <c r="A985" t="s">
        <v>3405</v>
      </c>
      <c r="B985" s="21" t="str">
        <f>MID(CONTROL[[#This Row],[VEHIDCODE]],FIND("_",CONTROL[[#This Row],[VEHIDCODE]])+1,LEN(CONTROL[[#This Row],[VEHIDCODE]]))</f>
        <v>Hitachi_Alstom_Zefiro_Class_895_HS2</v>
      </c>
      <c r="C98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8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8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8094</v>
      </c>
      <c r="F985" s="30" t="s">
        <v>2530</v>
      </c>
      <c r="G985" t="s">
        <v>1935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ISNUMBER(MATCH(CONTROL[[#This Row],[VEHIDCODE]],TRACK_TYPES[VEHIDCODE],0))</f>
        <v>1</v>
      </c>
      <c r="K985" t="b">
        <f>ISNUMBER(MATCH(CONTROL[[#This Row],[VEHIDCODE]],PROPERTIES[VEHIDCODE],0))</f>
        <v>1</v>
      </c>
      <c r="L985" t="b">
        <f>ISNUMBER(MATCH(CONTROL[[#This Row],[VEHIDCODE]],GRAPHICS_PROPERTIES[VEHIDCODE],0))</f>
        <v>1</v>
      </c>
      <c r="M985" s="21" t="str">
        <f>"item_"&amp;CONTROL[[#This Row],[VEHIDCODE]]</f>
        <v>item_emu_Hitachi_Alstom_Zefiro_Class_895_HS2</v>
      </c>
      <c r="N985" s="21" t="str">
        <f>"str_"&amp;CONTROL[[#This Row],[VEHIDCODE]]</f>
        <v>str_emu_Hitachi_Alstom_Zefiro_Class_895_HS2</v>
      </c>
      <c r="O985" s="7" t="b">
        <f>INDEX(PROPERTIES[IS_CONCEPT],MATCH(CONTROL[[#This Row],[VEHIDCODE]],PROPERTIES[VEHIDCODE],0))="IS_CONCEPT"</f>
        <v>0</v>
      </c>
      <c r="P985" s="7" t="b">
        <f>INDEX(PROPERTIES[EXCLUDE],MATCH(CONTROL[[#This Row],[VEHIDCODE]],PROPERTIES[VEHIDCODE],0))</f>
        <v>0</v>
      </c>
      <c r="Q98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86" spans="1:17" x14ac:dyDescent="0.35">
      <c r="A986" t="s">
        <v>3406</v>
      </c>
      <c r="B986" s="21" t="str">
        <f>MID(CONTROL[[#This Row],[VEHIDCODE]],FIND("_",CONTROL[[#This Row],[VEHIDCODE]])+1,LEN(CONTROL[[#This Row],[VEHIDCODE]]))</f>
        <v>EMD_JT22CW</v>
      </c>
      <c r="C98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8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8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5191</v>
      </c>
      <c r="F986" s="30" t="s">
        <v>1960</v>
      </c>
      <c r="G986" t="s">
        <v>1936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ISNUMBER(MATCH(CONTROL[[#This Row],[VEHIDCODE]],TRACK_TYPES[VEHIDCODE],0))</f>
        <v>1</v>
      </c>
      <c r="K986" t="b">
        <f>ISNUMBER(MATCH(CONTROL[[#This Row],[VEHIDCODE]],PROPERTIES[VEHIDCODE],0))</f>
        <v>1</v>
      </c>
      <c r="L986" t="b">
        <f>ISNUMBER(MATCH(CONTROL[[#This Row],[VEHIDCODE]],GRAPHICS_PROPERTIES[VEHIDCODE],0))</f>
        <v>1</v>
      </c>
      <c r="M986" s="21" t="str">
        <f>"item_"&amp;CONTROL[[#This Row],[VEHIDCODE]]</f>
        <v>item_diesel_EMD_JT22CW</v>
      </c>
      <c r="N986" s="21" t="str">
        <f>"str_"&amp;CONTROL[[#This Row],[VEHIDCODE]]</f>
        <v>str_diesel_EMD_JT22CW</v>
      </c>
      <c r="O986" s="7" t="b">
        <f>INDEX(PROPERTIES[IS_CONCEPT],MATCH(CONTROL[[#This Row],[VEHIDCODE]],PROPERTIES[VEHIDCODE],0))="IS_CONCEPT"</f>
        <v>0</v>
      </c>
      <c r="P986" s="7" t="b">
        <f>INDEX(PROPERTIES[EXCLUDE],MATCH(CONTROL[[#This Row],[VEHIDCODE]],PROPERTIES[VEHIDCODE],0))</f>
        <v>0</v>
      </c>
      <c r="Q98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7" spans="1:17" x14ac:dyDescent="0.35">
      <c r="A987" t="s">
        <v>3407</v>
      </c>
      <c r="B987" s="21" t="str">
        <f>MID(CONTROL[[#This Row],[VEHIDCODE]],FIND("_",CONTROL[[#This Row],[VEHIDCODE]])+1,LEN(CONTROL[[#This Row],[VEHIDCODE]]))</f>
        <v>RVR_DR1A</v>
      </c>
      <c r="C98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8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8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7063</v>
      </c>
      <c r="F987" s="30" t="s">
        <v>2556</v>
      </c>
      <c r="G987" t="s">
        <v>1944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ISNUMBER(MATCH(CONTROL[[#This Row],[VEHIDCODE]],TRACK_TYPES[VEHIDCODE],0))</f>
        <v>1</v>
      </c>
      <c r="K987" t="b">
        <f>ISNUMBER(MATCH(CONTROL[[#This Row],[VEHIDCODE]],PROPERTIES[VEHIDCODE],0))</f>
        <v>1</v>
      </c>
      <c r="L987" t="b">
        <f>ISNUMBER(MATCH(CONTROL[[#This Row],[VEHIDCODE]],GRAPHICS_PROPERTIES[VEHIDCODE],0))</f>
        <v>1</v>
      </c>
      <c r="M987" s="21" t="str">
        <f>"item_"&amp;CONTROL[[#This Row],[VEHIDCODE]]</f>
        <v>item_dmu_RVR_DR1A</v>
      </c>
      <c r="N987" s="21" t="str">
        <f>"str_"&amp;CONTROL[[#This Row],[VEHIDCODE]]</f>
        <v>str_dmu_RVR_DR1A</v>
      </c>
      <c r="O987" s="7" t="b">
        <f>INDEX(PROPERTIES[IS_CONCEPT],MATCH(CONTROL[[#This Row],[VEHIDCODE]],PROPERTIES[VEHIDCODE],0))="IS_CONCEPT"</f>
        <v>0</v>
      </c>
      <c r="P987" s="7" t="b">
        <f>INDEX(PROPERTIES[EXCLUDE],MATCH(CONTROL[[#This Row],[VEHIDCODE]],PROPERTIES[VEHIDCODE],0))</f>
        <v>0</v>
      </c>
      <c r="Q98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TPL_02D</v>
      </c>
    </row>
    <row r="988" spans="1:17" x14ac:dyDescent="0.35">
      <c r="A988" t="s">
        <v>3408</v>
      </c>
      <c r="B988" s="21" t="str">
        <f>MID(CONTROL[[#This Row],[VEHIDCODE]],FIND("_",CONTROL[[#This Row],[VEHIDCODE]])+1,LEN(CONTROL[[#This Row],[VEHIDCODE]]))</f>
        <v>ACME_Corp__HS001</v>
      </c>
      <c r="C98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6156</v>
      </c>
      <c r="F988" s="30" t="s">
        <v>2574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ISNUMBER(MATCH(CONTROL[[#This Row],[VEHIDCODE]],TRACK_TYPES[VEHIDCODE],0))</f>
        <v>1</v>
      </c>
      <c r="K988" t="b">
        <f>ISNUMBER(MATCH(CONTROL[[#This Row],[VEHIDCODE]],PROPERTIES[VEHIDCODE],0))</f>
        <v>1</v>
      </c>
      <c r="L988" t="b">
        <f>ISNUMBER(MATCH(CONTROL[[#This Row],[VEHIDCODE]],GRAPHICS_PROPERTIES[VEHIDCODE],0))</f>
        <v>1</v>
      </c>
      <c r="M988" s="21" t="str">
        <f>"item_"&amp;CONTROL[[#This Row],[VEHIDCODE]]</f>
        <v>item_electric_ACME_Corp__HS001</v>
      </c>
      <c r="N988" s="21" t="str">
        <f>"str_"&amp;CONTROL[[#This Row],[VEHIDCODE]]</f>
        <v>str_electric_ACME_Corp__HS001</v>
      </c>
      <c r="O988" s="7" t="b">
        <f>INDEX(PROPERTIES[IS_CONCEPT],MATCH(CONTROL[[#This Row],[VEHIDCODE]],PROPERTIES[VEHIDCODE],0))="IS_CONCEPT"</f>
        <v>1</v>
      </c>
      <c r="P988" s="7" t="b">
        <f>INDEX(PROPERTIES[EXCLUDE],MATCH(CONTROL[[#This Row],[VEHIDCODE]],PROPERTIES[VEHIDCODE],0))</f>
        <v>0</v>
      </c>
      <c r="Q98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89" spans="1:17" x14ac:dyDescent="0.35">
      <c r="A989" t="s">
        <v>3409</v>
      </c>
      <c r="B989" s="21" t="str">
        <f>MID(CONTROL[[#This Row],[VEHIDCODE]],FIND("_",CONTROL[[#This Row],[VEHIDCODE]])+1,LEN(CONTROL[[#This Row],[VEHIDCODE]]))</f>
        <v>ACME_Corp__HS002</v>
      </c>
      <c r="C98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8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8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6157</v>
      </c>
      <c r="F989" s="30" t="s">
        <v>2575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ISNUMBER(MATCH(CONTROL[[#This Row],[VEHIDCODE]],TRACK_TYPES[VEHIDCODE],0))</f>
        <v>1</v>
      </c>
      <c r="K989" t="b">
        <f>ISNUMBER(MATCH(CONTROL[[#This Row],[VEHIDCODE]],PROPERTIES[VEHIDCODE],0))</f>
        <v>1</v>
      </c>
      <c r="L989" t="b">
        <f>ISNUMBER(MATCH(CONTROL[[#This Row],[VEHIDCODE]],GRAPHICS_PROPERTIES[VEHIDCODE],0))</f>
        <v>1</v>
      </c>
      <c r="M989" s="21" t="str">
        <f>"item_"&amp;CONTROL[[#This Row],[VEHIDCODE]]</f>
        <v>item_electric_ACME_Corp__HS002</v>
      </c>
      <c r="N989" s="21" t="str">
        <f>"str_"&amp;CONTROL[[#This Row],[VEHIDCODE]]</f>
        <v>str_electric_ACME_Corp__HS002</v>
      </c>
      <c r="O989" s="7" t="b">
        <f>INDEX(PROPERTIES[IS_CONCEPT],MATCH(CONTROL[[#This Row],[VEHIDCODE]],PROPERTIES[VEHIDCODE],0))="IS_CONCEPT"</f>
        <v>1</v>
      </c>
      <c r="P989" s="7" t="b">
        <f>INDEX(PROPERTIES[EXCLUDE],MATCH(CONTROL[[#This Row],[VEHIDCODE]],PROPERTIES[VEHIDCODE],0))</f>
        <v>0</v>
      </c>
      <c r="Q98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TPL_03D</v>
      </c>
    </row>
    <row r="990" spans="1:17" x14ac:dyDescent="0.35">
      <c r="A990" t="s">
        <v>3410</v>
      </c>
      <c r="B990" s="21" t="str">
        <f>MID(CONTROL[[#This Row],[VEHIDCODE]],FIND("_",CONTROL[[#This Row],[VEHIDCODE]])+1,LEN(CONTROL[[#This Row],[VEHIDCODE]]))</f>
        <v>ACME_Corp__V200D_DMU</v>
      </c>
      <c r="C99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99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99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7064</v>
      </c>
      <c r="F990" s="30" t="s">
        <v>2576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ISNUMBER(MATCH(CONTROL[[#This Row],[VEHIDCODE]],TRACK_TYPES[VEHIDCODE],0))</f>
        <v>1</v>
      </c>
      <c r="K990" t="b">
        <f>ISNUMBER(MATCH(CONTROL[[#This Row],[VEHIDCODE]],PROPERTIES[VEHIDCODE],0))</f>
        <v>1</v>
      </c>
      <c r="L990" t="b">
        <f>ISNUMBER(MATCH(CONTROL[[#This Row],[VEHIDCODE]],GRAPHICS_PROPERTIES[VEHIDCODE],0))</f>
        <v>1</v>
      </c>
      <c r="M990" s="21" t="str">
        <f>"item_"&amp;CONTROL[[#This Row],[VEHIDCODE]]</f>
        <v>item_dmu_ACME_Corp__V200D_DMU</v>
      </c>
      <c r="N990" s="21" t="str">
        <f>"str_"&amp;CONTROL[[#This Row],[VEHIDCODE]]</f>
        <v>str_dmu_ACME_Corp__V200D_DMU</v>
      </c>
      <c r="O990" s="7" t="b">
        <f>INDEX(PROPERTIES[IS_CONCEPT],MATCH(CONTROL[[#This Row],[VEHIDCODE]],PROPERTIES[VEHIDCODE],0))="IS_CONCEPT"</f>
        <v>1</v>
      </c>
      <c r="P990" s="7" t="b">
        <f>INDEX(PROPERTIES[EXCLUDE],MATCH(CONTROL[[#This Row],[VEHIDCODE]],PROPERTIES[VEHIDCODE],0))</f>
        <v>0</v>
      </c>
      <c r="Q99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TPL_02G</v>
      </c>
    </row>
    <row r="991" spans="1:17" x14ac:dyDescent="0.35">
      <c r="A991" t="s">
        <v>3411</v>
      </c>
      <c r="B991" s="21" t="str">
        <f>MID(CONTROL[[#This Row],[VEHIDCODE]],FIND("_",CONTROL[[#This Row],[VEHIDCODE]])+1,LEN(CONTROL[[#This Row],[VEHIDCODE]]))</f>
        <v>ACME_Corp__V200E_EMU</v>
      </c>
      <c r="C99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9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9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8095</v>
      </c>
      <c r="F991" s="30" t="s">
        <v>2577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ISNUMBER(MATCH(CONTROL[[#This Row],[VEHIDCODE]],TRACK_TYPES[VEHIDCODE],0))</f>
        <v>1</v>
      </c>
      <c r="K991" t="b">
        <f>ISNUMBER(MATCH(CONTROL[[#This Row],[VEHIDCODE]],PROPERTIES[VEHIDCODE],0))</f>
        <v>1</v>
      </c>
      <c r="L991" t="b">
        <f>ISNUMBER(MATCH(CONTROL[[#This Row],[VEHIDCODE]],GRAPHICS_PROPERTIES[VEHIDCODE],0))</f>
        <v>1</v>
      </c>
      <c r="M991" s="21" t="str">
        <f>"item_"&amp;CONTROL[[#This Row],[VEHIDCODE]]</f>
        <v>item_emu_ACME_Corp__V200E_EMU</v>
      </c>
      <c r="N991" s="21" t="str">
        <f>"str_"&amp;CONTROL[[#This Row],[VEHIDCODE]]</f>
        <v>str_emu_ACME_Corp__V200E_EMU</v>
      </c>
      <c r="O991" s="7" t="b">
        <f>INDEX(PROPERTIES[IS_CONCEPT],MATCH(CONTROL[[#This Row],[VEHIDCODE]],PROPERTIES[VEHIDCODE],0))="IS_CONCEPT"</f>
        <v>1</v>
      </c>
      <c r="P991" s="7" t="b">
        <f>INDEX(PROPERTIES[EXCLUDE],MATCH(CONTROL[[#This Row],[VEHIDCODE]],PROPERTIES[VEHIDCODE],0))</f>
        <v>0</v>
      </c>
      <c r="Q99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TPL_02G</v>
      </c>
    </row>
    <row r="992" spans="1:17" x14ac:dyDescent="0.35">
      <c r="A992" t="s">
        <v>3412</v>
      </c>
      <c r="B992" s="21" t="str">
        <f>MID(CONTROL[[#This Row],[VEHIDCODE]],FIND("_",CONTROL[[#This Row],[VEHIDCODE]])+1,LEN(CONTROL[[#This Row],[VEHIDCODE]]))</f>
        <v>ACME_Corp__DD_CargoEMU</v>
      </c>
      <c r="C99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src\CargoEMU</v>
      </c>
      <c r="D99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ID_RANGE_CARGOEMU</v>
      </c>
      <c r="E99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14501</v>
      </c>
      <c r="F992" s="30" t="s">
        <v>2579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ISNUMBER(MATCH(CONTROL[[#This Row],[VEHIDCODE]],TRACK_TYPES[VEHIDCODE],0))</f>
        <v>1</v>
      </c>
      <c r="K992" t="b">
        <f>ISNUMBER(MATCH(CONTROL[[#This Row],[VEHIDCODE]],PROPERTIES[VEHIDCODE],0))</f>
        <v>1</v>
      </c>
      <c r="L992" t="b">
        <f>ISNUMBER(MATCH(CONTROL[[#This Row],[VEHIDCODE]],GRAPHICS_PROPERTIES[VEHIDCODE],0))</f>
        <v>1</v>
      </c>
      <c r="M992" s="21" t="str">
        <f>"item_"&amp;CONTROL[[#This Row],[VEHIDCODE]]</f>
        <v>item_cargoemu_ACME_Corp__DD_CargoEMU</v>
      </c>
      <c r="N992" s="21" t="str">
        <f>"str_"&amp;CONTROL[[#This Row],[VEHIDCODE]]</f>
        <v>str_cargoemu_ACME_Corp__DD_CargoEMU</v>
      </c>
      <c r="O992" s="7" t="b">
        <f>INDEX(PROPERTIES[IS_CONCEPT],MATCH(CONTROL[[#This Row],[VEHIDCODE]],PROPERTIES[VEHIDCODE],0))="IS_CONCEPT"</f>
        <v>1</v>
      </c>
      <c r="P992" s="7" t="b">
        <f>INDEX(PROPERTIES[EXCLUDE],MATCH(CONTROL[[#This Row],[VEHIDCODE]],PROPERTIES[VEHIDCODE],0))</f>
        <v>0</v>
      </c>
      <c r="Q99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TPL_42C</v>
      </c>
    </row>
    <row r="993" spans="1:17" x14ac:dyDescent="0.35">
      <c r="A993" t="s">
        <v>3413</v>
      </c>
      <c r="B993" s="21" t="str">
        <f>MID(CONTROL[[#This Row],[VEHIDCODE]],FIND("_",CONTROL[[#This Row],[VEHIDCODE]])+1,LEN(CONTROL[[#This Row],[VEHIDCODE]]))</f>
        <v>VEB_LKM_V180</v>
      </c>
      <c r="C99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5192</v>
      </c>
      <c r="F993" s="30" t="s">
        <v>3603</v>
      </c>
      <c r="G993" t="s">
        <v>2580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ISNUMBER(MATCH(CONTROL[[#This Row],[VEHIDCODE]],TRACK_TYPES[VEHIDCODE],0))</f>
        <v>1</v>
      </c>
      <c r="K993" t="b">
        <f>ISNUMBER(MATCH(CONTROL[[#This Row],[VEHIDCODE]],PROPERTIES[VEHIDCODE],0))</f>
        <v>1</v>
      </c>
      <c r="L993" t="b">
        <f>ISNUMBER(MATCH(CONTROL[[#This Row],[VEHIDCODE]],GRAPHICS_PROPERTIES[VEHIDCODE],0))</f>
        <v>1</v>
      </c>
      <c r="M993" s="21" t="str">
        <f>"item_"&amp;CONTROL[[#This Row],[VEHIDCODE]]</f>
        <v>item_diesel_VEB_LKM_V180</v>
      </c>
      <c r="N993" s="21" t="str">
        <f>"str_"&amp;CONTROL[[#This Row],[VEHIDCODE]]</f>
        <v>str_diesel_VEB_LKM_V180</v>
      </c>
      <c r="O993" s="7" t="b">
        <f>INDEX(PROPERTIES[IS_CONCEPT],MATCH(CONTROL[[#This Row],[VEHIDCODE]],PROPERTIES[VEHIDCODE],0))="IS_CONCEPT"</f>
        <v>0</v>
      </c>
      <c r="P993" s="7" t="b">
        <f>INDEX(PROPERTIES[EXCLUDE],MATCH(CONTROL[[#This Row],[VEHIDCODE]],PROPERTIES[VEHIDCODE],0))</f>
        <v>0</v>
      </c>
      <c r="Q99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4" spans="1:17" x14ac:dyDescent="0.35">
      <c r="A994" t="s">
        <v>3414</v>
      </c>
      <c r="B994" s="21" t="str">
        <f>MID(CONTROL[[#This Row],[VEHIDCODE]],FIND("_",CONTROL[[#This Row],[VEHIDCODE]])+1,LEN(CONTROL[[#This Row],[VEHIDCODE]]))</f>
        <v>PESA_43WE_DART</v>
      </c>
      <c r="C99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99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99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8096</v>
      </c>
      <c r="F994" s="30" t="s">
        <v>2582</v>
      </c>
      <c r="G994" t="s">
        <v>2581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ISNUMBER(MATCH(CONTROL[[#This Row],[VEHIDCODE]],TRACK_TYPES[VEHIDCODE],0))</f>
        <v>1</v>
      </c>
      <c r="K994" t="b">
        <f>ISNUMBER(MATCH(CONTROL[[#This Row],[VEHIDCODE]],PROPERTIES[VEHIDCODE],0))</f>
        <v>1</v>
      </c>
      <c r="L994" t="b">
        <f>ISNUMBER(MATCH(CONTROL[[#This Row],[VEHIDCODE]],GRAPHICS_PROPERTIES[VEHIDCODE],0))</f>
        <v>1</v>
      </c>
      <c r="M994" s="21" t="str">
        <f>"item_"&amp;CONTROL[[#This Row],[VEHIDCODE]]</f>
        <v>item_emu_PESA_43WE_DART</v>
      </c>
      <c r="N994" s="21" t="str">
        <f>"str_"&amp;CONTROL[[#This Row],[VEHIDCODE]]</f>
        <v>str_emu_PESA_43WE_DART</v>
      </c>
      <c r="O994" s="39" t="b">
        <f>INDEX(PROPERTIES[IS_CONCEPT],MATCH(CONTROL[[#This Row],[VEHIDCODE]],PROPERTIES[VEHIDCODE],0))="IS_CONCEPT"</f>
        <v>0</v>
      </c>
      <c r="P994" s="7" t="b">
        <f>INDEX(PROPERTIES[EXCLUDE],MATCH(CONTROL[[#This Row],[VEHIDCODE]],PROPERTIES[VEHIDCODE],0))</f>
        <v>0</v>
      </c>
      <c r="Q99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995" spans="1:17" x14ac:dyDescent="0.35">
      <c r="A995" t="s">
        <v>3415</v>
      </c>
      <c r="B995" s="21" t="str">
        <f>MID(CONTROL[[#This Row],[VEHIDCODE]],FIND("_",CONTROL[[#This Row],[VEHIDCODE]])+1,LEN(CONTROL[[#This Row],[VEHIDCODE]]))</f>
        <v>LEW_EL2</v>
      </c>
      <c r="C99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9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9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6158</v>
      </c>
      <c r="F995" s="30" t="s">
        <v>2583</v>
      </c>
      <c r="G995" t="s">
        <v>2584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ISNUMBER(MATCH(CONTROL[[#This Row],[VEHIDCODE]],TRACK_TYPES[VEHIDCODE],0))</f>
        <v>1</v>
      </c>
      <c r="K995" t="b">
        <f>ISNUMBER(MATCH(CONTROL[[#This Row],[VEHIDCODE]],PROPERTIES[VEHIDCODE],0))</f>
        <v>1</v>
      </c>
      <c r="L995" t="b">
        <f>ISNUMBER(MATCH(CONTROL[[#This Row],[VEHIDCODE]],GRAPHICS_PROPERTIES[VEHIDCODE],0))</f>
        <v>1</v>
      </c>
      <c r="M995" s="21" t="str">
        <f>"item_"&amp;CONTROL[[#This Row],[VEHIDCODE]]</f>
        <v>item_electric_LEW_EL2</v>
      </c>
      <c r="N995" s="21" t="str">
        <f>"str_"&amp;CONTROL[[#This Row],[VEHIDCODE]]</f>
        <v>str_electric_LEW_EL2</v>
      </c>
      <c r="O995" s="39" t="b">
        <f>INDEX(PROPERTIES[IS_CONCEPT],MATCH(CONTROL[[#This Row],[VEHIDCODE]],PROPERTIES[VEHIDCODE],0))="IS_CONCEPT"</f>
        <v>0</v>
      </c>
      <c r="P995" s="7" t="b">
        <f>INDEX(PROPERTIES[EXCLUDE],MATCH(CONTROL[[#This Row],[VEHIDCODE]],PROPERTIES[VEHIDCODE],0))</f>
        <v>0</v>
      </c>
      <c r="Q99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6" spans="1:17" x14ac:dyDescent="0.35">
      <c r="A996" t="s">
        <v>3416</v>
      </c>
      <c r="B996" s="21" t="str">
        <f>MID(CONTROL[[#This Row],[VEHIDCODE]],FIND("_",CONTROL[[#This Row],[VEHIDCODE]])+1,LEN(CONTROL[[#This Row],[VEHIDCODE]]))</f>
        <v>Pafawag_201E</v>
      </c>
      <c r="C99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99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99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6159</v>
      </c>
      <c r="F996" s="30" t="s">
        <v>2585</v>
      </c>
      <c r="G996" t="s">
        <v>2586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ISNUMBER(MATCH(CONTROL[[#This Row],[VEHIDCODE]],TRACK_TYPES[VEHIDCODE],0))</f>
        <v>1</v>
      </c>
      <c r="K996" t="b">
        <f>ISNUMBER(MATCH(CONTROL[[#This Row],[VEHIDCODE]],PROPERTIES[VEHIDCODE],0))</f>
        <v>1</v>
      </c>
      <c r="L996" t="b">
        <f>ISNUMBER(MATCH(CONTROL[[#This Row],[VEHIDCODE]],GRAPHICS_PROPERTIES[VEHIDCODE],0))</f>
        <v>1</v>
      </c>
      <c r="M996" s="21" t="str">
        <f>"item_"&amp;CONTROL[[#This Row],[VEHIDCODE]]</f>
        <v>item_electric_Pafawag_201E</v>
      </c>
      <c r="N996" s="21" t="str">
        <f>"str_"&amp;CONTROL[[#This Row],[VEHIDCODE]]</f>
        <v>str_electric_Pafawag_201E</v>
      </c>
      <c r="O996" s="39" t="b">
        <f>INDEX(PROPERTIES[IS_CONCEPT],MATCH(CONTROL[[#This Row],[VEHIDCODE]],PROPERTIES[VEHIDCODE],0))="IS_CONCEPT"</f>
        <v>0</v>
      </c>
      <c r="P996" s="7" t="b">
        <f>INDEX(PROPERTIES[EXCLUDE],MATCH(CONTROL[[#This Row],[VEHIDCODE]],PROPERTIES[VEHIDCODE],0))</f>
        <v>0</v>
      </c>
      <c r="Q99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7" spans="1:17" x14ac:dyDescent="0.35">
      <c r="A997" t="s">
        <v>3417</v>
      </c>
      <c r="B997" s="21" t="str">
        <f>MID(CONTROL[[#This Row],[VEHIDCODE]],FIND("_",CONTROL[[#This Row],[VEHIDCODE]])+1,LEN(CONTROL[[#This Row],[VEHIDCODE]]))</f>
        <v>NOHAB_AA16</v>
      </c>
      <c r="C99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5193</v>
      </c>
      <c r="F997" s="30" t="s">
        <v>2587</v>
      </c>
      <c r="G997" t="s">
        <v>2588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ISNUMBER(MATCH(CONTROL[[#This Row],[VEHIDCODE]],TRACK_TYPES[VEHIDCODE],0))</f>
        <v>1</v>
      </c>
      <c r="K997" t="b">
        <f>ISNUMBER(MATCH(CONTROL[[#This Row],[VEHIDCODE]],PROPERTIES[VEHIDCODE],0))</f>
        <v>1</v>
      </c>
      <c r="L997" t="b">
        <f>ISNUMBER(MATCH(CONTROL[[#This Row],[VEHIDCODE]],GRAPHICS_PROPERTIES[VEHIDCODE],0))</f>
        <v>1</v>
      </c>
      <c r="M997" s="21" t="str">
        <f>"item_"&amp;CONTROL[[#This Row],[VEHIDCODE]]</f>
        <v>item_diesel_NOHAB_AA16</v>
      </c>
      <c r="N997" s="21" t="str">
        <f>"str_"&amp;CONTROL[[#This Row],[VEHIDCODE]]</f>
        <v>str_diesel_NOHAB_AA16</v>
      </c>
      <c r="O997" s="39" t="b">
        <f>INDEX(PROPERTIES[IS_CONCEPT],MATCH(CONTROL[[#This Row],[VEHIDCODE]],PROPERTIES[VEHIDCODE],0))="IS_CONCEPT"</f>
        <v>0</v>
      </c>
      <c r="P997" s="7" t="b">
        <f>INDEX(PROPERTIES[EXCLUDE],MATCH(CONTROL[[#This Row],[VEHIDCODE]],PROPERTIES[VEHIDCODE],0))</f>
        <v>0</v>
      </c>
      <c r="Q99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8" spans="1:17" x14ac:dyDescent="0.35">
      <c r="A998" t="s">
        <v>3418</v>
      </c>
      <c r="B998" s="21" t="str">
        <f>MID(CONTROL[[#This Row],[VEHIDCODE]],FIND("_",CONTROL[[#This Row],[VEHIDCODE]])+1,LEN(CONTROL[[#This Row],[VEHIDCODE]]))</f>
        <v>LEW_V100</v>
      </c>
      <c r="C99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5194</v>
      </c>
      <c r="F998" s="30" t="s">
        <v>2589</v>
      </c>
      <c r="G998" t="s">
        <v>2590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ISNUMBER(MATCH(CONTROL[[#This Row],[VEHIDCODE]],TRACK_TYPES[VEHIDCODE],0))</f>
        <v>1</v>
      </c>
      <c r="K998" t="b">
        <f>ISNUMBER(MATCH(CONTROL[[#This Row],[VEHIDCODE]],PROPERTIES[VEHIDCODE],0))</f>
        <v>1</v>
      </c>
      <c r="L998" t="b">
        <f>ISNUMBER(MATCH(CONTROL[[#This Row],[VEHIDCODE]],GRAPHICS_PROPERTIES[VEHIDCODE],0))</f>
        <v>1</v>
      </c>
      <c r="M998" s="21" t="str">
        <f>"item_"&amp;CONTROL[[#This Row],[VEHIDCODE]]</f>
        <v>item_diesel_LEW_V100</v>
      </c>
      <c r="N998" s="21" t="str">
        <f>"str_"&amp;CONTROL[[#This Row],[VEHIDCODE]]</f>
        <v>str_diesel_LEW_V100</v>
      </c>
      <c r="O998" s="39" t="b">
        <f>INDEX(PROPERTIES[IS_CONCEPT],MATCH(CONTROL[[#This Row],[VEHIDCODE]],PROPERTIES[VEHIDCODE],0))="IS_CONCEPT"</f>
        <v>0</v>
      </c>
      <c r="P998" s="7" t="b">
        <f>INDEX(PROPERTIES[EXCLUDE],MATCH(CONTROL[[#This Row],[VEHIDCODE]],PROPERTIES[VEHIDCODE],0))</f>
        <v>0</v>
      </c>
      <c r="Q99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999" spans="1:17" x14ac:dyDescent="0.35">
      <c r="A999" t="s">
        <v>3419</v>
      </c>
      <c r="B999" s="21" t="str">
        <f>MID(CONTROL[[#This Row],[VEHIDCODE]],FIND("_",CONTROL[[#This Row],[VEHIDCODE]])+1,LEN(CONTROL[[#This Row],[VEHIDCODE]]))</f>
        <v>Fablok_6D</v>
      </c>
      <c r="C99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99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99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5195</v>
      </c>
      <c r="F999" s="30" t="s">
        <v>2612</v>
      </c>
      <c r="G999" t="s">
        <v>2615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ISNUMBER(MATCH(CONTROL[[#This Row],[VEHIDCODE]],TRACK_TYPES[VEHIDCODE],0))</f>
        <v>1</v>
      </c>
      <c r="K999" t="b">
        <f>ISNUMBER(MATCH(CONTROL[[#This Row],[VEHIDCODE]],PROPERTIES[VEHIDCODE],0))</f>
        <v>1</v>
      </c>
      <c r="L999" t="b">
        <f>ISNUMBER(MATCH(CONTROL[[#This Row],[VEHIDCODE]],GRAPHICS_PROPERTIES[VEHIDCODE],0))</f>
        <v>1</v>
      </c>
      <c r="M999" s="21" t="str">
        <f>"item_"&amp;CONTROL[[#This Row],[VEHIDCODE]]</f>
        <v>item_diesel_Fablok_6D</v>
      </c>
      <c r="N999" s="21" t="str">
        <f>"str_"&amp;CONTROL[[#This Row],[VEHIDCODE]]</f>
        <v>str_diesel_Fablok_6D</v>
      </c>
      <c r="O999" s="39" t="b">
        <f>INDEX(PROPERTIES[IS_CONCEPT],MATCH(CONTROL[[#This Row],[VEHIDCODE]],PROPERTIES[VEHIDCODE],0))="IS_CONCEPT"</f>
        <v>0</v>
      </c>
      <c r="P999" s="7" t="b">
        <f>INDEX(PROPERTIES[EXCLUDE],MATCH(CONTROL[[#This Row],[VEHIDCODE]],PROPERTIES[VEHIDCODE],0))</f>
        <v>0</v>
      </c>
      <c r="Q99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0" spans="1:17" x14ac:dyDescent="0.35">
      <c r="A1000" t="s">
        <v>3420</v>
      </c>
      <c r="B1000" s="21" t="str">
        <f>MID(CONTROL[[#This Row],[VEHIDCODE]],FIND("_",CONTROL[[#This Row],[VEHIDCODE]])+1,LEN(CONTROL[[#This Row],[VEHIDCODE]]))</f>
        <v>HCP_301D</v>
      </c>
      <c r="C100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0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0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5196</v>
      </c>
      <c r="F1000" s="30" t="s">
        <v>2616</v>
      </c>
      <c r="G1000" t="s">
        <v>2617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ISNUMBER(MATCH(CONTROL[[#This Row],[VEHIDCODE]],TRACK_TYPES[VEHIDCODE],0))</f>
        <v>1</v>
      </c>
      <c r="K1000" t="b">
        <f>ISNUMBER(MATCH(CONTROL[[#This Row],[VEHIDCODE]],PROPERTIES[VEHIDCODE],0))</f>
        <v>1</v>
      </c>
      <c r="L1000" t="b">
        <f>ISNUMBER(MATCH(CONTROL[[#This Row],[VEHIDCODE]],GRAPHICS_PROPERTIES[VEHIDCODE],0))</f>
        <v>1</v>
      </c>
      <c r="M1000" s="21" t="str">
        <f>"item_"&amp;CONTROL[[#This Row],[VEHIDCODE]]</f>
        <v>item_diesel_HCP_301D</v>
      </c>
      <c r="N1000" s="21" t="str">
        <f>"str_"&amp;CONTROL[[#This Row],[VEHIDCODE]]</f>
        <v>str_diesel_HCP_301D</v>
      </c>
      <c r="O1000" s="39" t="b">
        <f>INDEX(PROPERTIES[IS_CONCEPT],MATCH(CONTROL[[#This Row],[VEHIDCODE]],PROPERTIES[VEHIDCODE],0))="IS_CONCEPT"</f>
        <v>0</v>
      </c>
      <c r="P1000" s="7" t="b">
        <f>INDEX(PROPERTIES[EXCLUDE],MATCH(CONTROL[[#This Row],[VEHIDCODE]],PROPERTIES[VEHIDCODE],0))</f>
        <v>0</v>
      </c>
      <c r="Q100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1" spans="1:17" x14ac:dyDescent="0.35">
      <c r="A1001" t="s">
        <v>3421</v>
      </c>
      <c r="B1001" s="21" t="str">
        <f>MID(CONTROL[[#This Row],[VEHIDCODE]],FIND("_",CONTROL[[#This Row],[VEHIDCODE]])+1,LEN(CONTROL[[#This Row],[VEHIDCODE]]))</f>
        <v>Stadler_Flirt_PowerPack_DMU</v>
      </c>
      <c r="C100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src\DMU</v>
      </c>
      <c r="D100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ID_RANGE_DMU</v>
      </c>
      <c r="E100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7065</v>
      </c>
      <c r="F1001" s="30" t="s">
        <v>2614</v>
      </c>
      <c r="G1001" t="s">
        <v>2613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ISNUMBER(MATCH(CONTROL[[#This Row],[VEHIDCODE]],TRACK_TYPES[VEHIDCODE],0))</f>
        <v>1</v>
      </c>
      <c r="K1001" t="b">
        <f>ISNUMBER(MATCH(CONTROL[[#This Row],[VEHIDCODE]],PROPERTIES[VEHIDCODE],0))</f>
        <v>1</v>
      </c>
      <c r="L1001" t="b">
        <f>ISNUMBER(MATCH(CONTROL[[#This Row],[VEHIDCODE]],GRAPHICS_PROPERTIES[VEHIDCODE],0))</f>
        <v>1</v>
      </c>
      <c r="M1001" s="21" t="str">
        <f>"item_"&amp;CONTROL[[#This Row],[VEHIDCODE]]</f>
        <v>item_dmu_Stadler_Flirt_PowerPack_DMU</v>
      </c>
      <c r="N1001" s="21" t="str">
        <f>"str_"&amp;CONTROL[[#This Row],[VEHIDCODE]]</f>
        <v>str_dmu_Stadler_Flirt_PowerPack_DMU</v>
      </c>
      <c r="O1001" s="39" t="b">
        <f>INDEX(PROPERTIES[IS_CONCEPT],MATCH(CONTROL[[#This Row],[VEHIDCODE]],PROPERTIES[VEHIDCODE],0))="IS_CONCEPT"</f>
        <v>0</v>
      </c>
      <c r="P1001" s="7" t="b">
        <f>INDEX(PROPERTIES[EXCLUDE],MATCH(CONTROL[[#This Row],[VEHIDCODE]],PROPERTIES[VEHIDCODE],0))</f>
        <v>0</v>
      </c>
      <c r="Q100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TPL_02E</v>
      </c>
    </row>
    <row r="1002" spans="1:17" x14ac:dyDescent="0.35">
      <c r="A1002" t="s">
        <v>3422</v>
      </c>
      <c r="B1002" s="21" t="str">
        <f>MID(CONTROL[[#This Row],[VEHIDCODE]],FIND("_",CONTROL[[#This Row],[VEHIDCODE]])+1,LEN(CONTROL[[#This Row],[VEHIDCODE]]))</f>
        <v>JNR_Container_Bullet_Train_Concept</v>
      </c>
      <c r="C100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src\CargoEMU</v>
      </c>
      <c r="D100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ID_RANGE_CARGOEMU</v>
      </c>
      <c r="E100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14502</v>
      </c>
      <c r="F1002" s="30" t="s">
        <v>2618</v>
      </c>
      <c r="G1002" t="s">
        <v>2619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ISNUMBER(MATCH(CONTROL[[#This Row],[VEHIDCODE]],TRACK_TYPES[VEHIDCODE],0))</f>
        <v>1</v>
      </c>
      <c r="K1002" t="b">
        <f>ISNUMBER(MATCH(CONTROL[[#This Row],[VEHIDCODE]],PROPERTIES[VEHIDCODE],0))</f>
        <v>1</v>
      </c>
      <c r="L1002" t="b">
        <f>ISNUMBER(MATCH(CONTROL[[#This Row],[VEHIDCODE]],GRAPHICS_PROPERTIES[VEHIDCODE],0))</f>
        <v>1</v>
      </c>
      <c r="M1002" s="21" t="str">
        <f>"item_"&amp;CONTROL[[#This Row],[VEHIDCODE]]</f>
        <v>item_cargoemu_JNR_Container_Bullet_Train_Concept</v>
      </c>
      <c r="N1002" s="21" t="str">
        <f>"str_"&amp;CONTROL[[#This Row],[VEHIDCODE]]</f>
        <v>str_cargoemu_JNR_Container_Bullet_Train_Concept</v>
      </c>
      <c r="O1002" s="39" t="b">
        <f>INDEX(PROPERTIES[IS_CONCEPT],MATCH(CONTROL[[#This Row],[VEHIDCODE]],PROPERTIES[VEHIDCODE],0))="IS_CONCEPT"</f>
        <v>1</v>
      </c>
      <c r="P1002" s="7" t="b">
        <f>INDEX(PROPERTIES[EXCLUDE],MATCH(CONTROL[[#This Row],[VEHIDCODE]],PROPERTIES[VEHIDCODE],0))</f>
        <v>0</v>
      </c>
      <c r="Q100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TPL_42B</v>
      </c>
    </row>
    <row r="1003" spans="1:17" x14ac:dyDescent="0.35">
      <c r="A1003" t="s">
        <v>3423</v>
      </c>
      <c r="B1003" s="21" t="str">
        <f>MID(CONTROL[[#This Row],[VEHIDCODE]],FIND("_",CONTROL[[#This Row],[VEHIDCODE]])+1,LEN(CONTROL[[#This Row],[VEHIDCODE]]))</f>
        <v>Hitachi_WAG_6B_C</v>
      </c>
      <c r="C100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6160</v>
      </c>
      <c r="F1003" s="30" t="s">
        <v>2622</v>
      </c>
      <c r="G1003" t="s">
        <v>2623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ISNUMBER(MATCH(CONTROL[[#This Row],[VEHIDCODE]],TRACK_TYPES[VEHIDCODE],0))</f>
        <v>1</v>
      </c>
      <c r="K1003" t="b">
        <f>ISNUMBER(MATCH(CONTROL[[#This Row],[VEHIDCODE]],PROPERTIES[VEHIDCODE],0))</f>
        <v>1</v>
      </c>
      <c r="L1003" t="b">
        <f>ISNUMBER(MATCH(CONTROL[[#This Row],[VEHIDCODE]],GRAPHICS_PROPERTIES[VEHIDCODE],0))</f>
        <v>1</v>
      </c>
      <c r="M1003" s="21" t="str">
        <f>"item_"&amp;CONTROL[[#This Row],[VEHIDCODE]]</f>
        <v>item_electric_Hitachi_WAG_6B_C</v>
      </c>
      <c r="N1003" s="21" t="str">
        <f>"str_"&amp;CONTROL[[#This Row],[VEHIDCODE]]</f>
        <v>str_electric_Hitachi_WAG_6B_C</v>
      </c>
      <c r="O1003" s="39" t="b">
        <f>INDEX(PROPERTIES[IS_CONCEPT],MATCH(CONTROL[[#This Row],[VEHIDCODE]],PROPERTIES[VEHIDCODE],0))="IS_CONCEPT"</f>
        <v>0</v>
      </c>
      <c r="P1003" s="7" t="b">
        <f>INDEX(PROPERTIES[EXCLUDE],MATCH(CONTROL[[#This Row],[VEHIDCODE]],PROPERTIES[VEHIDCODE],0))</f>
        <v>0</v>
      </c>
      <c r="Q100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4" spans="1:17" x14ac:dyDescent="0.35">
      <c r="A1004" t="s">
        <v>3424</v>
      </c>
      <c r="B1004" s="21" t="str">
        <f>MID(CONTROL[[#This Row],[VEHIDCODE]],FIND("_",CONTROL[[#This Row],[VEHIDCODE]])+1,LEN(CONTROL[[#This Row],[VEHIDCODE]]))</f>
        <v>Toshiba_10E</v>
      </c>
      <c r="C100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6161</v>
      </c>
      <c r="F1004" s="30" t="s">
        <v>2624</v>
      </c>
      <c r="G1004" t="s">
        <v>2625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ISNUMBER(MATCH(CONTROL[[#This Row],[VEHIDCODE]],TRACK_TYPES[VEHIDCODE],0))</f>
        <v>1</v>
      </c>
      <c r="K1004" t="b">
        <f>ISNUMBER(MATCH(CONTROL[[#This Row],[VEHIDCODE]],PROPERTIES[VEHIDCODE],0))</f>
        <v>1</v>
      </c>
      <c r="L1004" t="b">
        <f>ISNUMBER(MATCH(CONTROL[[#This Row],[VEHIDCODE]],GRAPHICS_PROPERTIES[VEHIDCODE],0))</f>
        <v>1</v>
      </c>
      <c r="M1004" s="21" t="str">
        <f>"item_"&amp;CONTROL[[#This Row],[VEHIDCODE]]</f>
        <v>item_electric_Toshiba_10E</v>
      </c>
      <c r="N1004" s="21" t="str">
        <f>"str_"&amp;CONTROL[[#This Row],[VEHIDCODE]]</f>
        <v>str_electric_Toshiba_10E</v>
      </c>
      <c r="O1004" s="39" t="b">
        <f>INDEX(PROPERTIES[IS_CONCEPT],MATCH(CONTROL[[#This Row],[VEHIDCODE]],PROPERTIES[VEHIDCODE],0))="IS_CONCEPT"</f>
        <v>0</v>
      </c>
      <c r="P1004" s="7" t="b">
        <f>INDEX(PROPERTIES[EXCLUDE],MATCH(CONTROL[[#This Row],[VEHIDCODE]],PROPERTIES[VEHIDCODE],0))</f>
        <v>0</v>
      </c>
      <c r="Q100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5" spans="1:17" x14ac:dyDescent="0.35">
      <c r="A1005" s="2" t="s">
        <v>3425</v>
      </c>
      <c r="B1005" s="21" t="str">
        <f>MID(CONTROL[[#This Row],[VEHIDCODE]],FIND("_",CONTROL[[#This Row],[VEHIDCODE]])+1,LEN(CONTROL[[#This Row],[VEHIDCODE]]))</f>
        <v>GEC_9E</v>
      </c>
      <c r="C100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6162</v>
      </c>
      <c r="F1005" s="30" t="s">
        <v>2626</v>
      </c>
      <c r="G1005" t="s">
        <v>2627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ISNUMBER(MATCH(CONTROL[[#This Row],[VEHIDCODE]],TRACK_TYPES[VEHIDCODE],0))</f>
        <v>1</v>
      </c>
      <c r="K1005" t="b">
        <f>ISNUMBER(MATCH(CONTROL[[#This Row],[VEHIDCODE]],PROPERTIES[VEHIDCODE],0))</f>
        <v>1</v>
      </c>
      <c r="L1005" t="b">
        <f>ISNUMBER(MATCH(CONTROL[[#This Row],[VEHIDCODE]],GRAPHICS_PROPERTIES[VEHIDCODE],0))</f>
        <v>1</v>
      </c>
      <c r="M1005" s="21" t="str">
        <f>"item_"&amp;CONTROL[[#This Row],[VEHIDCODE]]</f>
        <v>item_electric_GEC_9E</v>
      </c>
      <c r="N1005" s="21" t="str">
        <f>"str_"&amp;CONTROL[[#This Row],[VEHIDCODE]]</f>
        <v>str_electric_GEC_9E</v>
      </c>
      <c r="O1005" s="39" t="b">
        <f>INDEX(PROPERTIES[IS_CONCEPT],MATCH(CONTROL[[#This Row],[VEHIDCODE]],PROPERTIES[VEHIDCODE],0))="IS_CONCEPT"</f>
        <v>0</v>
      </c>
      <c r="P1005" s="7" t="b">
        <f>INDEX(PROPERTIES[EXCLUDE],MATCH(CONTROL[[#This Row],[VEHIDCODE]],PROPERTIES[VEHIDCODE],0))</f>
        <v>0</v>
      </c>
      <c r="Q100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6" spans="1:17" x14ac:dyDescent="0.35">
      <c r="A1006" t="s">
        <v>3426</v>
      </c>
      <c r="B1006" s="21" t="str">
        <f>MID(CONTROL[[#This Row],[VEHIDCODE]],FIND("_",CONTROL[[#This Row],[VEHIDCODE]])+1,LEN(CONTROL[[#This Row],[VEHIDCODE]]))</f>
        <v>Hitachi_E1100</v>
      </c>
      <c r="C100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6163</v>
      </c>
      <c r="F1006" s="30" t="s">
        <v>2628</v>
      </c>
      <c r="G1006" t="s">
        <v>2629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ISNUMBER(MATCH(CONTROL[[#This Row],[VEHIDCODE]],TRACK_TYPES[VEHIDCODE],0))</f>
        <v>1</v>
      </c>
      <c r="K1006" t="b">
        <f>ISNUMBER(MATCH(CONTROL[[#This Row],[VEHIDCODE]],PROPERTIES[VEHIDCODE],0))</f>
        <v>1</v>
      </c>
      <c r="L1006" t="b">
        <f>ISNUMBER(MATCH(CONTROL[[#This Row],[VEHIDCODE]],GRAPHICS_PROPERTIES[VEHIDCODE],0))</f>
        <v>1</v>
      </c>
      <c r="M1006" s="21" t="str">
        <f>"item_"&amp;CONTROL[[#This Row],[VEHIDCODE]]</f>
        <v>item_electric_Hitachi_E1100</v>
      </c>
      <c r="N1006" s="21" t="str">
        <f>"str_"&amp;CONTROL[[#This Row],[VEHIDCODE]]</f>
        <v>str_electric_Hitachi_E1100</v>
      </c>
      <c r="O1006" s="39" t="b">
        <f>INDEX(PROPERTIES[IS_CONCEPT],MATCH(CONTROL[[#This Row],[VEHIDCODE]],PROPERTIES[VEHIDCODE],0))="IS_CONCEPT"</f>
        <v>0</v>
      </c>
      <c r="P1006" s="7" t="b">
        <f>INDEX(PROPERTIES[EXCLUDE],MATCH(CONTROL[[#This Row],[VEHIDCODE]],PROPERTIES[VEHIDCODE],0))</f>
        <v>0</v>
      </c>
      <c r="Q100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7" spans="1:17" x14ac:dyDescent="0.35">
      <c r="A1007" t="s">
        <v>3427</v>
      </c>
      <c r="B1007" s="21" t="str">
        <f>MID(CONTROL[[#This Row],[VEHIDCODE]],FIND("_",CONTROL[[#This Row],[VEHIDCODE]])+1,LEN(CONTROL[[#This Row],[VEHIDCODE]]))</f>
        <v>RDSO_CLW_WAM_4</v>
      </c>
      <c r="C100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6164</v>
      </c>
      <c r="F1007" s="30" t="s">
        <v>2630</v>
      </c>
      <c r="G1007" t="s">
        <v>2631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ISNUMBER(MATCH(CONTROL[[#This Row],[VEHIDCODE]],TRACK_TYPES[VEHIDCODE],0))</f>
        <v>1</v>
      </c>
      <c r="K1007" t="b">
        <f>ISNUMBER(MATCH(CONTROL[[#This Row],[VEHIDCODE]],PROPERTIES[VEHIDCODE],0))</f>
        <v>1</v>
      </c>
      <c r="L1007" t="b">
        <f>ISNUMBER(MATCH(CONTROL[[#This Row],[VEHIDCODE]],GRAPHICS_PROPERTIES[VEHIDCODE],0))</f>
        <v>1</v>
      </c>
      <c r="M1007" s="21" t="str">
        <f>"item_"&amp;CONTROL[[#This Row],[VEHIDCODE]]</f>
        <v>item_electric_RDSO_CLW_WAM_4</v>
      </c>
      <c r="N1007" s="21" t="str">
        <f>"str_"&amp;CONTROL[[#This Row],[VEHIDCODE]]</f>
        <v>str_electric_RDSO_CLW_WAM_4</v>
      </c>
      <c r="O1007" s="39" t="b">
        <f>INDEX(PROPERTIES[IS_CONCEPT],MATCH(CONTROL[[#This Row],[VEHIDCODE]],PROPERTIES[VEHIDCODE],0))="IS_CONCEPT"</f>
        <v>0</v>
      </c>
      <c r="P1007" s="7" t="b">
        <f>INDEX(PROPERTIES[EXCLUDE],MATCH(CONTROL[[#This Row],[VEHIDCODE]],PROPERTIES[VEHIDCODE],0))</f>
        <v>0</v>
      </c>
      <c r="Q100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8" spans="1:17" x14ac:dyDescent="0.35">
      <c r="A1008" t="s">
        <v>3428</v>
      </c>
      <c r="B1008" s="21" t="str">
        <f>MID(CONTROL[[#This Row],[VEHIDCODE]],FIND("_",CONTROL[[#This Row],[VEHIDCODE]])+1,LEN(CONTROL[[#This Row],[VEHIDCODE]]))</f>
        <v>Groupement_50_Hz_WAM_1</v>
      </c>
      <c r="C100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0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0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6165</v>
      </c>
      <c r="F1008" s="30" t="s">
        <v>2633</v>
      </c>
      <c r="G1008" t="s">
        <v>2634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ISNUMBER(MATCH(CONTROL[[#This Row],[VEHIDCODE]],TRACK_TYPES[VEHIDCODE],0))</f>
        <v>1</v>
      </c>
      <c r="K1008" t="b">
        <f>ISNUMBER(MATCH(CONTROL[[#This Row],[VEHIDCODE]],PROPERTIES[VEHIDCODE],0))</f>
        <v>1</v>
      </c>
      <c r="L1008" t="b">
        <f>ISNUMBER(MATCH(CONTROL[[#This Row],[VEHIDCODE]],GRAPHICS_PROPERTIES[VEHIDCODE],0))</f>
        <v>1</v>
      </c>
      <c r="M1008" s="21" t="str">
        <f>"item_"&amp;CONTROL[[#This Row],[VEHIDCODE]]</f>
        <v>item_electric_Groupement_50_Hz_WAM_1</v>
      </c>
      <c r="N1008" s="21" t="str">
        <f>"str_"&amp;CONTROL[[#This Row],[VEHIDCODE]]</f>
        <v>str_electric_Groupement_50_Hz_WAM_1</v>
      </c>
      <c r="O1008" s="39" t="b">
        <f>INDEX(PROPERTIES[IS_CONCEPT],MATCH(CONTROL[[#This Row],[VEHIDCODE]],PROPERTIES[VEHIDCODE],0))="IS_CONCEPT"</f>
        <v>0</v>
      </c>
      <c r="P1008" s="7" t="b">
        <f>INDEX(PROPERTIES[EXCLUDE],MATCH(CONTROL[[#This Row],[VEHIDCODE]],PROPERTIES[VEHIDCODE],0))</f>
        <v>0</v>
      </c>
      <c r="Q100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09" spans="1:17" x14ac:dyDescent="0.35">
      <c r="A1009" t="s">
        <v>3429</v>
      </c>
      <c r="B1009" s="21" t="str">
        <f>MID(CONTROL[[#This Row],[VEHIDCODE]],FIND("_",CONTROL[[#This Row],[VEHIDCODE]])+1,LEN(CONTROL[[#This Row],[VEHIDCODE]]))</f>
        <v>Baldwin_Lima_Hamilton_RF_615_E</v>
      </c>
      <c r="C100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0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0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5197</v>
      </c>
      <c r="F1009" s="30" t="s">
        <v>2635</v>
      </c>
      <c r="G1009" t="s">
        <v>2636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ISNUMBER(MATCH(CONTROL[[#This Row],[VEHIDCODE]],TRACK_TYPES[VEHIDCODE],0))</f>
        <v>1</v>
      </c>
      <c r="K1009" t="b">
        <f>ISNUMBER(MATCH(CONTROL[[#This Row],[VEHIDCODE]],PROPERTIES[VEHIDCODE],0))</f>
        <v>1</v>
      </c>
      <c r="L1009" t="b">
        <f>ISNUMBER(MATCH(CONTROL[[#This Row],[VEHIDCODE]],GRAPHICS_PROPERTIES[VEHIDCODE],0))</f>
        <v>1</v>
      </c>
      <c r="M1009" s="21" t="str">
        <f>"item_"&amp;CONTROL[[#This Row],[VEHIDCODE]]</f>
        <v>item_diesel_Baldwin_Lima_Hamilton_RF_615_E</v>
      </c>
      <c r="N1009" s="21" t="str">
        <f>"str_"&amp;CONTROL[[#This Row],[VEHIDCODE]]</f>
        <v>str_diesel_Baldwin_Lima_Hamilton_RF_615_E</v>
      </c>
      <c r="O1009" s="39" t="b">
        <f>INDEX(PROPERTIES[IS_CONCEPT],MATCH(CONTROL[[#This Row],[VEHIDCODE]],PROPERTIES[VEHIDCODE],0))="IS_CONCEPT"</f>
        <v>0</v>
      </c>
      <c r="P1009" s="7" t="b">
        <f>INDEX(PROPERTIES[EXCLUDE],MATCH(CONTROL[[#This Row],[VEHIDCODE]],PROPERTIES[VEHIDCODE],0))</f>
        <v>0</v>
      </c>
      <c r="Q100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0" spans="1:17" x14ac:dyDescent="0.35">
      <c r="A1010" t="s">
        <v>3430</v>
      </c>
      <c r="B1010" s="21" t="str">
        <f>MID(CONTROL[[#This Row],[VEHIDCODE]],FIND("_",CONTROL[[#This Row],[VEHIDCODE]])+1,LEN(CONTROL[[#This Row],[VEHIDCODE]]))</f>
        <v>EE_Dick__Kerr___Co_Vulcan_Foundry_DE2</v>
      </c>
      <c r="C101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5198</v>
      </c>
      <c r="F1010" s="30" t="s">
        <v>2637</v>
      </c>
      <c r="G1010" t="s">
        <v>2638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ISNUMBER(MATCH(CONTROL[[#This Row],[VEHIDCODE]],TRACK_TYPES[VEHIDCODE],0))</f>
        <v>1</v>
      </c>
      <c r="K1010" t="b">
        <f>ISNUMBER(MATCH(CONTROL[[#This Row],[VEHIDCODE]],PROPERTIES[VEHIDCODE],0))</f>
        <v>1</v>
      </c>
      <c r="L1010" t="b">
        <f>ISNUMBER(MATCH(CONTROL[[#This Row],[VEHIDCODE]],GRAPHICS_PROPERTIES[VEHIDCODE],0))</f>
        <v>1</v>
      </c>
      <c r="M1010" s="21" t="str">
        <f>"item_"&amp;CONTROL[[#This Row],[VEHIDCODE]]</f>
        <v>item_diesel_EE_Dick__Kerr___Co_Vulcan_Foundry_DE2</v>
      </c>
      <c r="N1010" s="21" t="str">
        <f>"str_"&amp;CONTROL[[#This Row],[VEHIDCODE]]</f>
        <v>str_diesel_EE_Dick__Kerr___Co_Vulcan_Foundry_DE2</v>
      </c>
      <c r="O1010" s="39" t="b">
        <f>INDEX(PROPERTIES[IS_CONCEPT],MATCH(CONTROL[[#This Row],[VEHIDCODE]],PROPERTIES[VEHIDCODE],0))="IS_CONCEPT"</f>
        <v>0</v>
      </c>
      <c r="P1010" s="7" t="b">
        <f>INDEX(PROPERTIES[EXCLUDE],MATCH(CONTROL[[#This Row],[VEHIDCODE]],PROPERTIES[VEHIDCODE],0))</f>
        <v>0</v>
      </c>
      <c r="Q101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1" spans="1:17" x14ac:dyDescent="0.35">
      <c r="A1011" t="s">
        <v>3479</v>
      </c>
      <c r="B1011" s="21" t="str">
        <f>MID(CONTROL[[#This Row],[VEHIDCODE]],FIND("_",CONTROL[[#This Row],[VEHIDCODE]])+1,LEN(CONTROL[[#This Row],[VEHIDCODE]]))</f>
        <v>Ingeteam_TD2000_series</v>
      </c>
      <c r="C101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5199</v>
      </c>
      <c r="F1011" s="30" t="s">
        <v>2640</v>
      </c>
      <c r="G1011" t="s">
        <v>2639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ISNUMBER(MATCH(CONTROL[[#This Row],[VEHIDCODE]],TRACK_TYPES[VEHIDCODE],0))</f>
        <v>1</v>
      </c>
      <c r="K1011" t="b">
        <f>ISNUMBER(MATCH(CONTROL[[#This Row],[VEHIDCODE]],PROPERTIES[VEHIDCODE],0))</f>
        <v>1</v>
      </c>
      <c r="L1011" t="b">
        <f>ISNUMBER(MATCH(CONTROL[[#This Row],[VEHIDCODE]],GRAPHICS_PROPERTIES[VEHIDCODE],0))</f>
        <v>1</v>
      </c>
      <c r="M1011" s="21" t="str">
        <f>"item_"&amp;CONTROL[[#This Row],[VEHIDCODE]]</f>
        <v>item_diesel_Ingeteam_TD2000_series</v>
      </c>
      <c r="N1011" s="21" t="str">
        <f>"str_"&amp;CONTROL[[#This Row],[VEHIDCODE]]</f>
        <v>str_diesel_Ingeteam_TD2000_series</v>
      </c>
      <c r="O1011" s="39" t="b">
        <f>INDEX(PROPERTIES[IS_CONCEPT],MATCH(CONTROL[[#This Row],[VEHIDCODE]],PROPERTIES[VEHIDCODE],0))="IS_CONCEPT"</f>
        <v>0</v>
      </c>
      <c r="P1011" s="7" t="b">
        <f>INDEX(PROPERTIES[EXCLUDE],MATCH(CONTROL[[#This Row],[VEHIDCODE]],PROPERTIES[VEHIDCODE],0))</f>
        <v>0</v>
      </c>
      <c r="Q101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2" spans="1:17" x14ac:dyDescent="0.35">
      <c r="A1012" s="2" t="s">
        <v>3471</v>
      </c>
      <c r="B1012" s="21" t="str">
        <f>MID(CONTROL[[#This Row],[VEHIDCODE]],FIND("_",CONTROL[[#This Row],[VEHIDCODE]])+1,LEN(CONTROL[[#This Row],[VEHIDCODE]]))</f>
        <v>Tulloch_0_6_0DM_W_Class</v>
      </c>
      <c r="C101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5200</v>
      </c>
      <c r="F1012" s="30" t="s">
        <v>2399</v>
      </c>
      <c r="G1012" t="s">
        <v>1633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ISNUMBER(MATCH(CONTROL[[#This Row],[VEHIDCODE]],TRACK_TYPES[VEHIDCODE],0))</f>
        <v>1</v>
      </c>
      <c r="K1012" t="b">
        <f>ISNUMBER(MATCH(CONTROL[[#This Row],[VEHIDCODE]],PROPERTIES[VEHIDCODE],0))</f>
        <v>1</v>
      </c>
      <c r="L1012" t="b">
        <f>ISNUMBER(MATCH(CONTROL[[#This Row],[VEHIDCODE]],GRAPHICS_PROPERTIES[VEHIDCODE],0))</f>
        <v>1</v>
      </c>
      <c r="M1012" s="21" t="str">
        <f>"item_"&amp;CONTROL[[#This Row],[VEHIDCODE]]</f>
        <v>item_diesel_Tulloch_0_6_0DM_W_Class</v>
      </c>
      <c r="N1012" s="21" t="str">
        <f>"str_"&amp;CONTROL[[#This Row],[VEHIDCODE]]</f>
        <v>str_diesel_Tulloch_0_6_0DM_W_Class</v>
      </c>
      <c r="O1012" s="39" t="b">
        <f>INDEX(PROPERTIES[IS_CONCEPT],MATCH(CONTROL[[#This Row],[VEHIDCODE]],PROPERTIES[VEHIDCODE],0))="IS_CONCEPT"</f>
        <v>0</v>
      </c>
      <c r="P1012" s="7" t="b">
        <f>INDEX(PROPERTIES[EXCLUDE],MATCH(CONTROL[[#This Row],[VEHIDCODE]],PROPERTIES[VEHIDCODE],0))</f>
        <v>0</v>
      </c>
      <c r="Q101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3" spans="1:17" x14ac:dyDescent="0.35">
      <c r="A1013" t="s">
        <v>3483</v>
      </c>
      <c r="B1013" s="21" t="str">
        <f>MID(CONTROL[[#This Row],[VEHIDCODE]],FIND("_",CONTROL[[#This Row],[VEHIDCODE]])+1,LEN(CONTROL[[#This Row],[VEHIDCODE]]))</f>
        <v>GE_289_Boxcab</v>
      </c>
      <c r="C101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6166</v>
      </c>
      <c r="F1013" s="30" t="s">
        <v>3488</v>
      </c>
      <c r="G1013" t="s">
        <v>3493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ISNUMBER(MATCH(CONTROL[[#This Row],[VEHIDCODE]],TRACK_TYPES[VEHIDCODE],0))</f>
        <v>1</v>
      </c>
      <c r="K1013" t="b">
        <f>ISNUMBER(MATCH(CONTROL[[#This Row],[VEHIDCODE]],PROPERTIES[VEHIDCODE],0))</f>
        <v>1</v>
      </c>
      <c r="L1013" t="b">
        <f>ISNUMBER(MATCH(CONTROL[[#This Row],[VEHIDCODE]],GRAPHICS_PROPERTIES[VEHIDCODE],0))</f>
        <v>1</v>
      </c>
      <c r="M1013" s="21" t="str">
        <f>"item_"&amp;CONTROL[[#This Row],[VEHIDCODE]]</f>
        <v>item_electric_GE_289_Boxcab</v>
      </c>
      <c r="N1013" s="21" t="str">
        <f>"str_"&amp;CONTROL[[#This Row],[VEHIDCODE]]</f>
        <v>str_electric_GE_289_Boxcab</v>
      </c>
      <c r="O1013" s="39" t="b">
        <f>INDEX(PROPERTIES[IS_CONCEPT],MATCH(CONTROL[[#This Row],[VEHIDCODE]],PROPERTIES[VEHIDCODE],0))="IS_CONCEPT"</f>
        <v>0</v>
      </c>
      <c r="P1013" s="7" t="b">
        <f>INDEX(PROPERTIES[EXCLUDE],MATCH(CONTROL[[#This Row],[VEHIDCODE]],PROPERTIES[VEHIDCODE],0))</f>
        <v>0</v>
      </c>
      <c r="Q101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4" spans="1:17" x14ac:dyDescent="0.35">
      <c r="A1014" t="s">
        <v>3486</v>
      </c>
      <c r="B1014" s="21" t="str">
        <f>MID(CONTROL[[#This Row],[VEHIDCODE]],FIND("_",CONTROL[[#This Row],[VEHIDCODE]])+1,LEN(CONTROL[[#This Row],[VEHIDCODE]]))</f>
        <v>Alsthom_EC_386</v>
      </c>
      <c r="C101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6167</v>
      </c>
      <c r="F1014" s="30" t="s">
        <v>3487</v>
      </c>
      <c r="G1014" t="s">
        <v>3489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ISNUMBER(MATCH(CONTROL[[#This Row],[VEHIDCODE]],TRACK_TYPES[VEHIDCODE],0))</f>
        <v>1</v>
      </c>
      <c r="K1014" t="b">
        <f>ISNUMBER(MATCH(CONTROL[[#This Row],[VEHIDCODE]],PROPERTIES[VEHIDCODE],0))</f>
        <v>1</v>
      </c>
      <c r="L1014" t="b">
        <f>ISNUMBER(MATCH(CONTROL[[#This Row],[VEHIDCODE]],GRAPHICS_PROPERTIES[VEHIDCODE],0))</f>
        <v>1</v>
      </c>
      <c r="M1014" s="21" t="str">
        <f>"item_"&amp;CONTROL[[#This Row],[VEHIDCODE]]</f>
        <v>item_electric_Alsthom_EC_386</v>
      </c>
      <c r="N1014" s="21" t="str">
        <f>"str_"&amp;CONTROL[[#This Row],[VEHIDCODE]]</f>
        <v>str_electric_Alsthom_EC_386</v>
      </c>
      <c r="O1014" s="39" t="b">
        <f>INDEX(PROPERTIES[IS_CONCEPT],MATCH(CONTROL[[#This Row],[VEHIDCODE]],PROPERTIES[VEHIDCODE],0))="IS_CONCEPT"</f>
        <v>0</v>
      </c>
      <c r="P1014" s="7" t="b">
        <f>INDEX(PROPERTIES[EXCLUDE],MATCH(CONTROL[[#This Row],[VEHIDCODE]],PROPERTIES[VEHIDCODE],0))</f>
        <v>0</v>
      </c>
      <c r="Q101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5" spans="1:17" x14ac:dyDescent="0.35">
      <c r="A1015" t="s">
        <v>3491</v>
      </c>
      <c r="B1015" s="21" t="str">
        <f>MID(CONTROL[[#This Row],[VEHIDCODE]],FIND("_",CONTROL[[#This Row],[VEHIDCODE]])+1,LEN(CONTROL[[#This Row],[VEHIDCODE]]))</f>
        <v>Chesta_Casagrande_E650</v>
      </c>
      <c r="C101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6168</v>
      </c>
      <c r="F1015" s="30" t="s">
        <v>3490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ISNUMBER(MATCH(CONTROL[[#This Row],[VEHIDCODE]],TRACK_TYPES[VEHIDCODE],0))</f>
        <v>1</v>
      </c>
      <c r="K1015" t="b">
        <f>ISNUMBER(MATCH(CONTROL[[#This Row],[VEHIDCODE]],PROPERTIES[VEHIDCODE],0))</f>
        <v>1</v>
      </c>
      <c r="L1015" t="b">
        <f>ISNUMBER(MATCH(CONTROL[[#This Row],[VEHIDCODE]],GRAPHICS_PROPERTIES[VEHIDCODE],0))</f>
        <v>1</v>
      </c>
      <c r="M1015" s="21" t="str">
        <f>"item_"&amp;CONTROL[[#This Row],[VEHIDCODE]]</f>
        <v>item_electric_Chesta_Casagrande_E650</v>
      </c>
      <c r="N1015" s="21" t="str">
        <f>"str_"&amp;CONTROL[[#This Row],[VEHIDCODE]]</f>
        <v>str_electric_Chesta_Casagrande_E650</v>
      </c>
      <c r="O1015" s="39" t="b">
        <f>INDEX(PROPERTIES[IS_CONCEPT],MATCH(CONTROL[[#This Row],[VEHIDCODE]],PROPERTIES[VEHIDCODE],0))="IS_CONCEPT"</f>
        <v>0</v>
      </c>
      <c r="P1015" s="7" t="b">
        <f>INDEX(PROPERTIES[EXCLUDE],MATCH(CONTROL[[#This Row],[VEHIDCODE]],PROPERTIES[VEHIDCODE],0))</f>
        <v>0</v>
      </c>
      <c r="Q101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6" spans="1:17" x14ac:dyDescent="0.35">
      <c r="A1016" t="s">
        <v>3484</v>
      </c>
      <c r="B1016" s="21" t="str">
        <f>MID(CONTROL[[#This Row],[VEHIDCODE]],FIND("_",CONTROL[[#This Row],[VEHIDCODE]])+1,LEN(CONTROL[[#This Row],[VEHIDCODE]]))</f>
        <v>Breda_Marelli_E32</v>
      </c>
      <c r="C101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1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6169</v>
      </c>
      <c r="F1016" s="30" t="s">
        <v>3485</v>
      </c>
      <c r="G1016" t="s">
        <v>3492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ISNUMBER(MATCH(CONTROL[[#This Row],[VEHIDCODE]],TRACK_TYPES[VEHIDCODE],0))</f>
        <v>1</v>
      </c>
      <c r="K1016" t="b">
        <f>ISNUMBER(MATCH(CONTROL[[#This Row],[VEHIDCODE]],PROPERTIES[VEHIDCODE],0))</f>
        <v>1</v>
      </c>
      <c r="L1016" t="b">
        <f>ISNUMBER(MATCH(CONTROL[[#This Row],[VEHIDCODE]],GRAPHICS_PROPERTIES[VEHIDCODE],0))</f>
        <v>1</v>
      </c>
      <c r="M1016" s="21" t="str">
        <f>"item_"&amp;CONTROL[[#This Row],[VEHIDCODE]]</f>
        <v>item_electric_Breda_Marelli_E32</v>
      </c>
      <c r="N1016" s="21" t="str">
        <f>"str_"&amp;CONTROL[[#This Row],[VEHIDCODE]]</f>
        <v>str_electric_Breda_Marelli_E32</v>
      </c>
      <c r="O1016" s="39" t="b">
        <f>INDEX(PROPERTIES[IS_CONCEPT],MATCH(CONTROL[[#This Row],[VEHIDCODE]],PROPERTIES[VEHIDCODE],0))="IS_CONCEPT"</f>
        <v>0</v>
      </c>
      <c r="P1016" s="7" t="b">
        <f>INDEX(PROPERTIES[EXCLUDE],MATCH(CONTROL[[#This Row],[VEHIDCODE]],PROPERTIES[VEHIDCODE],0))</f>
        <v>0</v>
      </c>
      <c r="Q101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7" spans="1:17" x14ac:dyDescent="0.35">
      <c r="A1017" t="s">
        <v>3494</v>
      </c>
      <c r="B1017" s="21" t="str">
        <f>MID(CONTROL[[#This Row],[VEHIDCODE]],FIND("_",CONTROL[[#This Row],[VEHIDCODE]])+1,LEN(CONTROL[[#This Row],[VEHIDCODE]]))</f>
        <v>GE_ES58ACi</v>
      </c>
      <c r="C101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1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1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5201</v>
      </c>
      <c r="F1017" s="30" t="s">
        <v>3495</v>
      </c>
      <c r="G1017" t="s">
        <v>1319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ISNUMBER(MATCH(CONTROL[[#This Row],[VEHIDCODE]],TRACK_TYPES[VEHIDCODE],0))</f>
        <v>1</v>
      </c>
      <c r="K1017" t="b">
        <f>ISNUMBER(MATCH(CONTROL[[#This Row],[VEHIDCODE]],PROPERTIES[VEHIDCODE],0))</f>
        <v>1</v>
      </c>
      <c r="L1017" t="b">
        <f>ISNUMBER(MATCH(CONTROL[[#This Row],[VEHIDCODE]],GRAPHICS_PROPERTIES[VEHIDCODE],0))</f>
        <v>1</v>
      </c>
      <c r="M1017" s="21" t="str">
        <f>"item_"&amp;CONTROL[[#This Row],[VEHIDCODE]]</f>
        <v>item_diesel_GE_ES58ACi</v>
      </c>
      <c r="N1017" s="21" t="str">
        <f>"str_"&amp;CONTROL[[#This Row],[VEHIDCODE]]</f>
        <v>str_diesel_GE_ES58ACi</v>
      </c>
      <c r="O1017" s="39" t="b">
        <f>INDEX(PROPERTIES[IS_CONCEPT],MATCH(CONTROL[[#This Row],[VEHIDCODE]],PROPERTIES[VEHIDCODE],0))="IS_CONCEPT"</f>
        <v>0</v>
      </c>
      <c r="P1017" s="7" t="b">
        <f>INDEX(PROPERTIES[EXCLUDE],MATCH(CONTROL[[#This Row],[VEHIDCODE]],PROPERTIES[VEHIDCODE],0))</f>
        <v>0</v>
      </c>
      <c r="Q101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18" spans="1:17" x14ac:dyDescent="0.35">
      <c r="A1018" t="s">
        <v>3694</v>
      </c>
      <c r="B1018" s="21" t="str">
        <f>MID(CONTROL[[#This Row],[VEHIDCODE]],FIND("_",CONTROL[[#This Row],[VEHIDCODE]])+1,LEN(CONTROL[[#This Row],[VEHIDCODE]]))</f>
        <v>Ganz_MAVAG_Ikarus_725_00</v>
      </c>
      <c r="C101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01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01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2048</v>
      </c>
      <c r="F1018" s="30" t="s">
        <v>3540</v>
      </c>
      <c r="G1018" t="s">
        <v>3534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ISNUMBER(MATCH(CONTROL[[#This Row],[VEHIDCODE]],TRACK_TYPES[VEHIDCODE],0))</f>
        <v>1</v>
      </c>
      <c r="K1018" t="b">
        <f>ISNUMBER(MATCH(CONTROL[[#This Row],[VEHIDCODE]],PROPERTIES[VEHIDCODE],0))</f>
        <v>1</v>
      </c>
      <c r="L1018" t="b">
        <f>ISNUMBER(MATCH(CONTROL[[#This Row],[VEHIDCODE]],GRAPHICS_PROPERTIES[VEHIDCODE],0))</f>
        <v>1</v>
      </c>
      <c r="M1018" s="21" t="str">
        <f>"item_"&amp;CONTROL[[#This Row],[VEHIDCODE]]</f>
        <v>item_rbd_Ganz_MAVAG_Ikarus_725_00</v>
      </c>
      <c r="N1018" s="21" t="str">
        <f>"str_"&amp;CONTROL[[#This Row],[VEHIDCODE]]</f>
        <v>str_rbd_Ganz_MAVAG_Ikarus_725_00</v>
      </c>
      <c r="O1018" s="39" t="b">
        <f>INDEX(PROPERTIES[IS_CONCEPT],MATCH(CONTROL[[#This Row],[VEHIDCODE]],PROPERTIES[VEHIDCODE],0))="IS_CONCEPT"</f>
        <v>0</v>
      </c>
      <c r="P1018" s="7" t="b">
        <f>INDEX(PROPERTIES[EXCLUDE],MATCH(CONTROL[[#This Row],[VEHIDCODE]],PROPERTIES[VEHIDCODE],0))</f>
        <v>0</v>
      </c>
      <c r="Q101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TPL_03E</v>
      </c>
    </row>
    <row r="1019" spans="1:17" x14ac:dyDescent="0.35">
      <c r="A1019" t="s">
        <v>3550</v>
      </c>
      <c r="B1019" s="21" t="str">
        <f>MID(CONTROL[[#This Row],[VEHIDCODE]],FIND("_",CONTROL[[#This Row],[VEHIDCODE]])+1,LEN(CONTROL[[#This Row],[VEHIDCODE]]))</f>
        <v>Alstom_Metropolis</v>
      </c>
      <c r="C101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1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ID_RANGE_MULTIMETRO</v>
      </c>
      <c r="E101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9067</v>
      </c>
      <c r="F1019" s="30" t="s">
        <v>3551</v>
      </c>
      <c r="G1019" t="s">
        <v>3552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ISNUMBER(MATCH(CONTROL[[#This Row],[VEHIDCODE]],TRACK_TYPES[VEHIDCODE],0))</f>
        <v>1</v>
      </c>
      <c r="K1019" t="b">
        <f>ISNUMBER(MATCH(CONTROL[[#This Row],[VEHIDCODE]],PROPERTIES[VEHIDCODE],0))</f>
        <v>1</v>
      </c>
      <c r="L1019" t="b">
        <f>ISNUMBER(MATCH(CONTROL[[#This Row],[VEHIDCODE]],GRAPHICS_PROPERTIES[VEHIDCODE],0))</f>
        <v>1</v>
      </c>
      <c r="M1019" s="21" t="str">
        <f>"item_"&amp;CONTROL[[#This Row],[VEHIDCODE]]</f>
        <v>item_mtro_Alstom_Metropolis</v>
      </c>
      <c r="N1019" s="21" t="str">
        <f>"str_"&amp;CONTROL[[#This Row],[VEHIDCODE]]</f>
        <v>str_mtro_Alstom_Metropolis</v>
      </c>
      <c r="O1019" s="39" t="b">
        <f>INDEX(PROPERTIES[IS_CONCEPT],MATCH(CONTROL[[#This Row],[VEHIDCODE]],PROPERTIES[VEHIDCODE],0))="IS_CONCEPT"</f>
        <v>0</v>
      </c>
      <c r="P1019" s="7" t="b">
        <f>INDEX(PROPERTIES[EXCLUDE],MATCH(CONTROL[[#This Row],[VEHIDCODE]],PROPERTIES[VEHIDCODE],0))</f>
        <v>0</v>
      </c>
      <c r="Q101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TPL_02C</v>
      </c>
    </row>
    <row r="1020" spans="1:17" x14ac:dyDescent="0.35">
      <c r="A1020" t="s">
        <v>3553</v>
      </c>
      <c r="B1020" s="21" t="str">
        <f>MID(CONTROL[[#This Row],[VEHIDCODE]],FIND("_",CONTROL[[#This Row],[VEHIDCODE]])+1,LEN(CONTROL[[#This Row],[VEHIDCODE]]))</f>
        <v>Sharp_2_2_2_Patriot</v>
      </c>
      <c r="C102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2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2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4153</v>
      </c>
      <c r="F1020" s="30" t="s">
        <v>3555</v>
      </c>
      <c r="G1020" t="s">
        <v>3554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ISNUMBER(MATCH(CONTROL[[#This Row],[VEHIDCODE]],TRACK_TYPES[VEHIDCODE],0))</f>
        <v>1</v>
      </c>
      <c r="K1020" t="b">
        <f>ISNUMBER(MATCH(CONTROL[[#This Row],[VEHIDCODE]],PROPERTIES[VEHIDCODE],0))</f>
        <v>1</v>
      </c>
      <c r="L1020" t="b">
        <f>ISNUMBER(MATCH(CONTROL[[#This Row],[VEHIDCODE]],GRAPHICS_PROPERTIES[VEHIDCODE],0))</f>
        <v>1</v>
      </c>
      <c r="M1020" s="21" t="str">
        <f>"item_"&amp;CONTROL[[#This Row],[VEHIDCODE]]</f>
        <v>item_steam_Sharp_2_2_2_Patriot</v>
      </c>
      <c r="N1020" s="21" t="str">
        <f>"str_"&amp;CONTROL[[#This Row],[VEHIDCODE]]</f>
        <v>str_steam_Sharp_2_2_2_Patriot</v>
      </c>
      <c r="O1020" s="39" t="b">
        <f>INDEX(PROPERTIES[IS_CONCEPT],MATCH(CONTROL[[#This Row],[VEHIDCODE]],PROPERTIES[VEHIDCODE],0))="IS_CONCEPT"</f>
        <v>0</v>
      </c>
      <c r="P1020" s="7" t="b">
        <f>INDEX(PROPERTIES[EXCLUDE],MATCH(CONTROL[[#This Row],[VEHIDCODE]],PROPERTIES[VEHIDCODE],0))</f>
        <v>0</v>
      </c>
      <c r="Q102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TPL_03C</v>
      </c>
    </row>
    <row r="1021" spans="1:17" x14ac:dyDescent="0.35">
      <c r="A1021" s="2" t="s">
        <v>3562</v>
      </c>
      <c r="B1021" s="21" t="str">
        <f>MID(CONTROL[[#This Row],[VEHIDCODE]],FIND("_",CONTROL[[#This Row],[VEHIDCODE]])+1,LEN(CONTROL[[#This Row],[VEHIDCODE]]))</f>
        <v>Coach_Gen2_Heavyweight_Regional_Coach</v>
      </c>
      <c r="C102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102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11097</v>
      </c>
      <c r="F1021" s="30" t="s">
        <v>3563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ISNUMBER(MATCH(CONTROL[[#This Row],[VEHIDCODE]],TRACK_TYPES[VEHIDCODE],0))</f>
        <v>1</v>
      </c>
      <c r="K1021" t="b">
        <f>ISNUMBER(MATCH(CONTROL[[#This Row],[VEHIDCODE]],PROPERTIES[VEHIDCODE],0))</f>
        <v>1</v>
      </c>
      <c r="L1021" t="b">
        <f>ISNUMBER(MATCH(CONTROL[[#This Row],[VEHIDCODE]],GRAPHICS_PROPERTIES[VEHIDCODE],0))</f>
        <v>1</v>
      </c>
      <c r="M1021" s="21" t="str">
        <f>"item_"&amp;CONTROL[[#This Row],[VEHIDCODE]]</f>
        <v>item_mu_Coach_Gen2_Heavyweight_Regional_Coach</v>
      </c>
      <c r="N1021" s="21" t="str">
        <f>"str_"&amp;CONTROL[[#This Row],[VEHIDCODE]]</f>
        <v>str_mu_Coach_Gen2_Heavyweight_Regional_Coach</v>
      </c>
      <c r="O1021" s="7" t="b">
        <f>INDEX(PROPERTIES[IS_CONCEPT],MATCH(CONTROL[[#This Row],[VEHIDCODE]],PROPERTIES[VEHIDCODE],0))="IS_CONCEPT"</f>
        <v>0</v>
      </c>
      <c r="P1021" s="7" t="b">
        <f>INDEX(PROPERTIES[EXCLUDE],MATCH(CONTROL[[#This Row],[VEHIDCODE]],PROPERTIES[VEHIDCODE],0))</f>
        <v>0</v>
      </c>
      <c r="Q102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2" spans="1:17" x14ac:dyDescent="0.35">
      <c r="A1022" t="s">
        <v>3567</v>
      </c>
      <c r="B1022" s="21" t="str">
        <f>MID(CONTROL[[#This Row],[VEHIDCODE]],FIND("_",CONTROL[[#This Row],[VEHIDCODE]])+1,LEN(CONTROL[[#This Row],[VEHIDCODE]]))</f>
        <v>Coach_Gen1_American_Style_Coach</v>
      </c>
      <c r="C102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102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11098</v>
      </c>
      <c r="F1022" s="30" t="s">
        <v>3568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ISNUMBER(MATCH(CONTROL[[#This Row],[VEHIDCODE]],TRACK_TYPES[VEHIDCODE],0))</f>
        <v>1</v>
      </c>
      <c r="K1022" t="b">
        <f>ISNUMBER(MATCH(CONTROL[[#This Row],[VEHIDCODE]],PROPERTIES[VEHIDCODE],0))</f>
        <v>1</v>
      </c>
      <c r="L1022" t="b">
        <f>ISNUMBER(MATCH(CONTROL[[#This Row],[VEHIDCODE]],GRAPHICS_PROPERTIES[VEHIDCODE],0))</f>
        <v>1</v>
      </c>
      <c r="M1022" s="21" t="str">
        <f>"item_"&amp;CONTROL[[#This Row],[VEHIDCODE]]</f>
        <v>item_mu_Coach_Gen1_American_Style_Coach</v>
      </c>
      <c r="N1022" s="21" t="str">
        <f>"str_"&amp;CONTROL[[#This Row],[VEHIDCODE]]</f>
        <v>str_mu_Coach_Gen1_American_Style_Coach</v>
      </c>
      <c r="O1022" s="39" t="b">
        <f>INDEX(PROPERTIES[IS_CONCEPT],MATCH(CONTROL[[#This Row],[VEHIDCODE]],PROPERTIES[VEHIDCODE],0))="IS_CONCEPT"</f>
        <v>0</v>
      </c>
      <c r="P1022" s="7" t="b">
        <f>INDEX(PROPERTIES[EXCLUDE],MATCH(CONTROL[[#This Row],[VEHIDCODE]],PROPERTIES[VEHIDCODE],0))</f>
        <v>0</v>
      </c>
      <c r="Q102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3" spans="1:17" x14ac:dyDescent="0.35">
      <c r="A1023" t="s">
        <v>3566</v>
      </c>
      <c r="B1023" s="21" t="str">
        <f>MID(CONTROL[[#This Row],[VEHIDCODE]],FIND("_",CONTROL[[#This Row],[VEHIDCODE]])+1,LEN(CONTROL[[#This Row],[VEHIDCODE]]))</f>
        <v>Coach_Gen1_American_Style_Mail_Coach</v>
      </c>
      <c r="C102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src\Coaches\Gen1</v>
      </c>
      <c r="D102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11099</v>
      </c>
      <c r="F1023" s="30" t="s">
        <v>3569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ISNUMBER(MATCH(CONTROL[[#This Row],[VEHIDCODE]],TRACK_TYPES[VEHIDCODE],0))</f>
        <v>1</v>
      </c>
      <c r="K1023" t="b">
        <f>ISNUMBER(MATCH(CONTROL[[#This Row],[VEHIDCODE]],PROPERTIES[VEHIDCODE],0))</f>
        <v>1</v>
      </c>
      <c r="L1023" t="b">
        <f>ISNUMBER(MATCH(CONTROL[[#This Row],[VEHIDCODE]],GRAPHICS_PROPERTIES[VEHIDCODE],0))</f>
        <v>1</v>
      </c>
      <c r="M1023" s="21" t="str">
        <f>"item_"&amp;CONTROL[[#This Row],[VEHIDCODE]]</f>
        <v>item_mu_Coach_Gen1_American_Style_Mail_Coach</v>
      </c>
      <c r="N1023" s="21" t="str">
        <f>"str_"&amp;CONTROL[[#This Row],[VEHIDCODE]]</f>
        <v>str_mu_Coach_Gen1_American_Style_Mail_Coach</v>
      </c>
      <c r="O1023" s="39" t="b">
        <f>INDEX(PROPERTIES[IS_CONCEPT],MATCH(CONTROL[[#This Row],[VEHIDCODE]],PROPERTIES[VEHIDCODE],0))="IS_CONCEPT"</f>
        <v>0</v>
      </c>
      <c r="P1023" s="7" t="b">
        <f>INDEX(PROPERTIES[EXCLUDE],MATCH(CONTROL[[#This Row],[VEHIDCODE]],PROPERTIES[VEHIDCODE],0))</f>
        <v>0</v>
      </c>
      <c r="Q102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4" spans="1:17" x14ac:dyDescent="0.35">
      <c r="A1024" s="2" t="s">
        <v>3573</v>
      </c>
      <c r="B1024" s="21" t="str">
        <f>MID(CONTROL[[#This Row],[VEHIDCODE]],FIND("_",CONTROL[[#This Row],[VEHIDCODE]])+1,LEN(CONTROL[[#This Row],[VEHIDCODE]]))</f>
        <v>Coach_Gen3_Steel_Lightweight_Commuter_Coach</v>
      </c>
      <c r="C102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2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2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11100</v>
      </c>
      <c r="F1024" s="30" t="s">
        <v>3574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ISNUMBER(MATCH(CONTROL[[#This Row],[VEHIDCODE]],TRACK_TYPES[VEHIDCODE],0))</f>
        <v>1</v>
      </c>
      <c r="K1024" t="b">
        <f>ISNUMBER(MATCH(CONTROL[[#This Row],[VEHIDCODE]],PROPERTIES[VEHIDCODE],0))</f>
        <v>1</v>
      </c>
      <c r="L1024" t="b">
        <f>ISNUMBER(MATCH(CONTROL[[#This Row],[VEHIDCODE]],GRAPHICS_PROPERTIES[VEHIDCODE],0))</f>
        <v>1</v>
      </c>
      <c r="M1024" s="21" t="str">
        <f>"item_"&amp;CONTROL[[#This Row],[VEHIDCODE]]</f>
        <v>item_mu_Coach_Gen3_Steel_Lightweight_Commuter_Coach</v>
      </c>
      <c r="N1024" s="21" t="str">
        <f>"str_"&amp;CONTROL[[#This Row],[VEHIDCODE]]</f>
        <v>str_mu_Coach_Gen3_Steel_Lightweight_Commuter_Coach</v>
      </c>
      <c r="O1024" s="39" t="b">
        <f>INDEX(PROPERTIES[IS_CONCEPT],MATCH(CONTROL[[#This Row],[VEHIDCODE]],PROPERTIES[VEHIDCODE],0))="IS_CONCEPT"</f>
        <v>0</v>
      </c>
      <c r="P1024" s="7" t="b">
        <f>INDEX(PROPERTIES[EXCLUDE],MATCH(CONTROL[[#This Row],[VEHIDCODE]],PROPERTIES[VEHIDCODE],0))</f>
        <v>0</v>
      </c>
      <c r="Q102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25" spans="1:17" x14ac:dyDescent="0.35">
      <c r="A1025" t="s">
        <v>3575</v>
      </c>
      <c r="B1025" s="21" t="str">
        <f>MID(CONTROL[[#This Row],[VEHIDCODE]],FIND("_",CONTROL[[#This Row],[VEHIDCODE]])+1,LEN(CONTROL[[#This Row],[VEHIDCODE]]))</f>
        <v>ALCO_GE_T_Motor</v>
      </c>
      <c r="C102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2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2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6170</v>
      </c>
      <c r="F1025" s="30" t="s">
        <v>3576</v>
      </c>
      <c r="G1025" t="s">
        <v>3577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ISNUMBER(MATCH(CONTROL[[#This Row],[VEHIDCODE]],TRACK_TYPES[VEHIDCODE],0))</f>
        <v>1</v>
      </c>
      <c r="K1025" t="b">
        <f>ISNUMBER(MATCH(CONTROL[[#This Row],[VEHIDCODE]],PROPERTIES[VEHIDCODE],0))</f>
        <v>1</v>
      </c>
      <c r="L1025" t="b">
        <f>ISNUMBER(MATCH(CONTROL[[#This Row],[VEHIDCODE]],GRAPHICS_PROPERTIES[VEHIDCODE],0))</f>
        <v>1</v>
      </c>
      <c r="M1025" s="21" t="str">
        <f>"item_"&amp;CONTROL[[#This Row],[VEHIDCODE]]</f>
        <v>item_electric_ALCO_GE_T_Motor</v>
      </c>
      <c r="N1025" s="21" t="str">
        <f>"str_"&amp;CONTROL[[#This Row],[VEHIDCODE]]</f>
        <v>str_electric_ALCO_GE_T_Motor</v>
      </c>
      <c r="O1025" s="39" t="b">
        <f>INDEX(PROPERTIES[IS_CONCEPT],MATCH(CONTROL[[#This Row],[VEHIDCODE]],PROPERTIES[VEHIDCODE],0))="IS_CONCEPT"</f>
        <v>0</v>
      </c>
      <c r="P1025" s="7" t="b">
        <f>INDEX(PROPERTIES[EXCLUDE],MATCH(CONTROL[[#This Row],[VEHIDCODE]],PROPERTIES[VEHIDCODE],0))</f>
        <v>0</v>
      </c>
      <c r="Q102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26" spans="1:17" x14ac:dyDescent="0.35">
      <c r="A1026" t="s">
        <v>3578</v>
      </c>
      <c r="B1026" s="21" t="str">
        <f>MID(CONTROL[[#This Row],[VEHIDCODE]],FIND("_",CONTROL[[#This Row],[VEHIDCODE]])+1,LEN(CONTROL[[#This Row],[VEHIDCODE]]))</f>
        <v>Altoona_Works_DD1</v>
      </c>
      <c r="C102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2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2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6171</v>
      </c>
      <c r="F1026" s="30" t="s">
        <v>3579</v>
      </c>
      <c r="G1026" t="s">
        <v>3580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ISNUMBER(MATCH(CONTROL[[#This Row],[VEHIDCODE]],TRACK_TYPES[VEHIDCODE],0))</f>
        <v>1</v>
      </c>
      <c r="K1026" t="b">
        <f>ISNUMBER(MATCH(CONTROL[[#This Row],[VEHIDCODE]],PROPERTIES[VEHIDCODE],0))</f>
        <v>1</v>
      </c>
      <c r="L1026" t="b">
        <f>ISNUMBER(MATCH(CONTROL[[#This Row],[VEHIDCODE]],GRAPHICS_PROPERTIES[VEHIDCODE],0))</f>
        <v>1</v>
      </c>
      <c r="M1026" s="21" t="str">
        <f>"item_"&amp;CONTROL[[#This Row],[VEHIDCODE]]</f>
        <v>item_electric_Altoona_Works_DD1</v>
      </c>
      <c r="N1026" s="21" t="str">
        <f>"str_"&amp;CONTROL[[#This Row],[VEHIDCODE]]</f>
        <v>str_electric_Altoona_Works_DD1</v>
      </c>
      <c r="O1026" s="39" t="b">
        <f>INDEX(PROPERTIES[IS_CONCEPT],MATCH(CONTROL[[#This Row],[VEHIDCODE]],PROPERTIES[VEHIDCODE],0))="IS_CONCEPT"</f>
        <v>0</v>
      </c>
      <c r="P1026" s="7" t="b">
        <f>INDEX(PROPERTIES[EXCLUDE],MATCH(CONTROL[[#This Row],[VEHIDCODE]],PROPERTIES[VEHIDCODE],0))</f>
        <v>0</v>
      </c>
      <c r="Q102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TPL_17E</v>
      </c>
    </row>
    <row r="1027" spans="1:17" x14ac:dyDescent="0.35">
      <c r="A1027" t="s">
        <v>3583</v>
      </c>
      <c r="B1027" s="21" t="str">
        <f>MID(CONTROL[[#This Row],[VEHIDCODE]],FIND("_",CONTROL[[#This Row],[VEHIDCODE]])+1,LEN(CONTROL[[#This Row],[VEHIDCODE]]))</f>
        <v>PRR_MP_70</v>
      </c>
      <c r="C102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2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2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8097</v>
      </c>
      <c r="F1027" s="30" t="s">
        <v>3582</v>
      </c>
      <c r="G1027" t="s">
        <v>3581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ISNUMBER(MATCH(CONTROL[[#This Row],[VEHIDCODE]],TRACK_TYPES[VEHIDCODE],0))</f>
        <v>1</v>
      </c>
      <c r="K1027" t="b">
        <f>ISNUMBER(MATCH(CONTROL[[#This Row],[VEHIDCODE]],PROPERTIES[VEHIDCODE],0))</f>
        <v>1</v>
      </c>
      <c r="L1027" t="b">
        <f>ISNUMBER(MATCH(CONTROL[[#This Row],[VEHIDCODE]],GRAPHICS_PROPERTIES[VEHIDCODE],0))</f>
        <v>1</v>
      </c>
      <c r="M1027" s="21" t="str">
        <f>"item_"&amp;CONTROL[[#This Row],[VEHIDCODE]]</f>
        <v>item_emu_PRR_MP_70</v>
      </c>
      <c r="N1027" s="21" t="str">
        <f>"str_"&amp;CONTROL[[#This Row],[VEHIDCODE]]</f>
        <v>str_emu_PRR_MP_70</v>
      </c>
      <c r="O1027" s="39" t="b">
        <f>INDEX(PROPERTIES[IS_CONCEPT],MATCH(CONTROL[[#This Row],[VEHIDCODE]],PROPERTIES[VEHIDCODE],0))="IS_CONCEPT"</f>
        <v>0</v>
      </c>
      <c r="P1027" s="7" t="b">
        <f>INDEX(PROPERTIES[EXCLUDE],MATCH(CONTROL[[#This Row],[VEHIDCODE]],PROPERTIES[VEHIDCODE],0))</f>
        <v>0</v>
      </c>
      <c r="Q102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28" spans="1:17" x14ac:dyDescent="0.35">
      <c r="A1028" t="s">
        <v>3584</v>
      </c>
      <c r="B1028" s="21" t="str">
        <f>MID(CONTROL[[#This Row],[VEHIDCODE]],FIND("_",CONTROL[[#This Row],[VEHIDCODE]])+1,LEN(CONTROL[[#This Row],[VEHIDCODE]]))</f>
        <v>Pullman_Standard_LIRR_MP75</v>
      </c>
      <c r="C102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2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2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8098</v>
      </c>
      <c r="F1028" s="30" t="s">
        <v>3585</v>
      </c>
      <c r="G1028" t="s">
        <v>3586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ISNUMBER(MATCH(CONTROL[[#This Row],[VEHIDCODE]],TRACK_TYPES[VEHIDCODE],0))</f>
        <v>1</v>
      </c>
      <c r="K1028" t="b">
        <f>ISNUMBER(MATCH(CONTROL[[#This Row],[VEHIDCODE]],PROPERTIES[VEHIDCODE],0))</f>
        <v>1</v>
      </c>
      <c r="L1028" t="b">
        <f>ISNUMBER(MATCH(CONTROL[[#This Row],[VEHIDCODE]],GRAPHICS_PROPERTIES[VEHIDCODE],0))</f>
        <v>1</v>
      </c>
      <c r="M1028" s="21" t="str">
        <f>"item_"&amp;CONTROL[[#This Row],[VEHIDCODE]]</f>
        <v>item_emu_Pullman_Standard_LIRR_MP75</v>
      </c>
      <c r="N1028" s="21" t="str">
        <f>"str_"&amp;CONTROL[[#This Row],[VEHIDCODE]]</f>
        <v>str_emu_Pullman_Standard_LIRR_MP75</v>
      </c>
      <c r="O1028" s="39" t="b">
        <f>INDEX(PROPERTIES[IS_CONCEPT],MATCH(CONTROL[[#This Row],[VEHIDCODE]],PROPERTIES[VEHIDCODE],0))="IS_CONCEPT"</f>
        <v>0</v>
      </c>
      <c r="P1028" s="7" t="b">
        <f>INDEX(PROPERTIES[EXCLUDE],MATCH(CONTROL[[#This Row],[VEHIDCODE]],PROPERTIES[VEHIDCODE],0))</f>
        <v>0</v>
      </c>
      <c r="Q102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29" spans="1:17" x14ac:dyDescent="0.35">
      <c r="A1029" t="s">
        <v>3588</v>
      </c>
      <c r="B1029" s="21" t="str">
        <f>MID(CONTROL[[#This Row],[VEHIDCODE]],FIND("_",CONTROL[[#This Row],[VEHIDCODE]])+1,LEN(CONTROL[[#This Row],[VEHIDCODE]]))</f>
        <v>ACF_NYCC_Heavyweight</v>
      </c>
      <c r="C102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src\Single_Metro</v>
      </c>
      <c r="D102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ID_RANGE_SINGLEMETRO</v>
      </c>
      <c r="E102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14004</v>
      </c>
      <c r="F1029" s="30" t="s">
        <v>3589</v>
      </c>
      <c r="G1029" t="s">
        <v>3587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ISNUMBER(MATCH(CONTROL[[#This Row],[VEHIDCODE]],TRACK_TYPES[VEHIDCODE],0))</f>
        <v>1</v>
      </c>
      <c r="K1029" t="b">
        <f>ISNUMBER(MATCH(CONTROL[[#This Row],[VEHIDCODE]],PROPERTIES[VEHIDCODE],0))</f>
        <v>1</v>
      </c>
      <c r="L1029" t="b">
        <f>ISNUMBER(MATCH(CONTROL[[#This Row],[VEHIDCODE]],GRAPHICS_PROPERTIES[VEHIDCODE],0))</f>
        <v>1</v>
      </c>
      <c r="M1029" s="21" t="str">
        <f>"item_"&amp;CONTROL[[#This Row],[VEHIDCODE]]</f>
        <v>item_singlemtro_ACF_NYCC_Heavyweight</v>
      </c>
      <c r="N1029" s="21" t="str">
        <f>"str_"&amp;CONTROL[[#This Row],[VEHIDCODE]]</f>
        <v>str_singlemtro_ACF_NYCC_Heavyweight</v>
      </c>
      <c r="O1029" s="39" t="b">
        <f>INDEX(PROPERTIES[IS_CONCEPT],MATCH(CONTROL[[#This Row],[VEHIDCODE]],PROPERTIES[VEHIDCODE],0))="IS_CONCEPT"</f>
        <v>0</v>
      </c>
      <c r="P1029" s="7" t="b">
        <f>INDEX(PROPERTIES[EXCLUDE],MATCH(CONTROL[[#This Row],[VEHIDCODE]],PROPERTIES[VEHIDCODE],0))</f>
        <v>0</v>
      </c>
      <c r="Q102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30" spans="1:17" x14ac:dyDescent="0.35">
      <c r="A1030" s="2" t="s">
        <v>3590</v>
      </c>
      <c r="B1030" s="21" t="str">
        <f>MID(CONTROL[[#This Row],[VEHIDCODE]],FIND("_",CONTROL[[#This Row],[VEHIDCODE]])+1,LEN(CONTROL[[#This Row],[VEHIDCODE]]))</f>
        <v>Coach_Gen3_Goerlitz_Doppelstockwagen_Articulated_Coach</v>
      </c>
      <c r="C103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3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11101</v>
      </c>
      <c r="F1030" s="30" t="s">
        <v>3591</v>
      </c>
      <c r="G1030" t="s">
        <v>3592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ISNUMBER(MATCH(CONTROL[[#This Row],[VEHIDCODE]],TRACK_TYPES[VEHIDCODE],0))</f>
        <v>1</v>
      </c>
      <c r="K1030" t="b">
        <f>ISNUMBER(MATCH(CONTROL[[#This Row],[VEHIDCODE]],PROPERTIES[VEHIDCODE],0))</f>
        <v>1</v>
      </c>
      <c r="L1030" t="b">
        <f>ISNUMBER(MATCH(CONTROL[[#This Row],[VEHIDCODE]],GRAPHICS_PROPERTIES[VEHIDCODE],0))</f>
        <v>1</v>
      </c>
      <c r="M1030" s="21" t="str">
        <f>"item_"&amp;CONTROL[[#This Row],[VEHIDCODE]]</f>
        <v>item_mu_Coach_Gen3_Goerlitz_Doppelstockwagen_Articulated_Coach</v>
      </c>
      <c r="N1030" s="21" t="str">
        <f>"str_"&amp;CONTROL[[#This Row],[VEHIDCODE]]</f>
        <v>str_mu_Coach_Gen3_Goerlitz_Doppelstockwagen_Articulated_Coach</v>
      </c>
      <c r="O1030" s="39" t="b">
        <f>INDEX(PROPERTIES[IS_CONCEPT],MATCH(CONTROL[[#This Row],[VEHIDCODE]],PROPERTIES[VEHIDCODE],0))="IS_CONCEPT"</f>
        <v>0</v>
      </c>
      <c r="P1030" s="7" t="b">
        <f>INDEX(PROPERTIES[EXCLUDE],MATCH(CONTROL[[#This Row],[VEHIDCODE]],PROPERTIES[VEHIDCODE],0))</f>
        <v>0</v>
      </c>
      <c r="Q103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TPL_04S</v>
      </c>
    </row>
    <row r="1031" spans="1:17" x14ac:dyDescent="0.35">
      <c r="A1031" s="2" t="s">
        <v>3595</v>
      </c>
      <c r="B1031" s="21" t="str">
        <f>MID(CONTROL[[#This Row],[VEHIDCODE]],FIND("_",CONTROL[[#This Row],[VEHIDCODE]])+1,LEN(CONTROL[[#This Row],[VEHIDCODE]]))</f>
        <v>PRR_MP54_3RL</v>
      </c>
      <c r="C103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3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3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8099</v>
      </c>
      <c r="F1031" s="30" t="s">
        <v>383</v>
      </c>
      <c r="G1031" t="s">
        <v>1568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ISNUMBER(MATCH(CONTROL[[#This Row],[VEHIDCODE]],TRACK_TYPES[VEHIDCODE],0))</f>
        <v>1</v>
      </c>
      <c r="K1031" t="b">
        <f>ISNUMBER(MATCH(CONTROL[[#This Row],[VEHIDCODE]],PROPERTIES[VEHIDCODE],0))</f>
        <v>1</v>
      </c>
      <c r="L1031" t="b">
        <f>ISNUMBER(MATCH(CONTROL[[#This Row],[VEHIDCODE]],GRAPHICS_PROPERTIES[VEHIDCODE],0))</f>
        <v>1</v>
      </c>
      <c r="M1031" s="21" t="str">
        <f>"item_"&amp;CONTROL[[#This Row],[VEHIDCODE]]</f>
        <v>item_emu_PRR_MP54_3RL</v>
      </c>
      <c r="N1031" s="21" t="str">
        <f>"str_"&amp;CONTROL[[#This Row],[VEHIDCODE]]</f>
        <v>str_emu_PRR_MP54_3RL</v>
      </c>
      <c r="O1031" s="7" t="b">
        <f>INDEX(PROPERTIES[IS_CONCEPT],MATCH(CONTROL[[#This Row],[VEHIDCODE]],PROPERTIES[VEHIDCODE],0))="IS_CONCEPT"</f>
        <v>0</v>
      </c>
      <c r="P1031" s="7" t="b">
        <f>INDEX(PROPERTIES[EXCLUDE],MATCH(CONTROL[[#This Row],[VEHIDCODE]],PROPERTIES[VEHIDCODE],0))</f>
        <v>0</v>
      </c>
      <c r="Q103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32" spans="1:17" x14ac:dyDescent="0.35">
      <c r="A1032" s="2" t="s">
        <v>3596</v>
      </c>
      <c r="B1032" s="21" t="str">
        <f>MID(CONTROL[[#This Row],[VEHIDCODE]],FIND("_",CONTROL[[#This Row],[VEHIDCODE]])+1,LEN(CONTROL[[#This Row],[VEHIDCODE]]))</f>
        <v>PRR_MP54_OHLE</v>
      </c>
      <c r="C103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src\EMU</v>
      </c>
      <c r="D103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ID_RANGE_EMU</v>
      </c>
      <c r="E103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8100</v>
      </c>
      <c r="F1032" s="30" t="s">
        <v>383</v>
      </c>
      <c r="G1032" t="s">
        <v>1568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ISNUMBER(MATCH(CONTROL[[#This Row],[VEHIDCODE]],TRACK_TYPES[VEHIDCODE],0))</f>
        <v>1</v>
      </c>
      <c r="K1032" t="b">
        <f>ISNUMBER(MATCH(CONTROL[[#This Row],[VEHIDCODE]],PROPERTIES[VEHIDCODE],0))</f>
        <v>1</v>
      </c>
      <c r="L1032" t="b">
        <f>ISNUMBER(MATCH(CONTROL[[#This Row],[VEHIDCODE]],GRAPHICS_PROPERTIES[VEHIDCODE],0))</f>
        <v>1</v>
      </c>
      <c r="M1032" s="21" t="str">
        <f>"item_"&amp;CONTROL[[#This Row],[VEHIDCODE]]</f>
        <v>item_emu_PRR_MP54_OHLE</v>
      </c>
      <c r="N1032" s="21" t="str">
        <f>"str_"&amp;CONTROL[[#This Row],[VEHIDCODE]]</f>
        <v>str_emu_PRR_MP54_OHLE</v>
      </c>
      <c r="O1032" s="7" t="b">
        <f>INDEX(PROPERTIES[IS_CONCEPT],MATCH(CONTROL[[#This Row],[VEHIDCODE]],PROPERTIES[VEHIDCODE],0))="IS_CONCEPT"</f>
        <v>0</v>
      </c>
      <c r="P1032" s="7" t="b">
        <f>INDEX(PROPERTIES[EXCLUDE],MATCH(CONTROL[[#This Row],[VEHIDCODE]],PROPERTIES[VEHIDCODE],0))</f>
        <v>0</v>
      </c>
      <c r="Q103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TPL_02A</v>
      </c>
    </row>
    <row r="1033" spans="1:17" x14ac:dyDescent="0.35">
      <c r="A1033" s="2" t="s">
        <v>3598</v>
      </c>
      <c r="B1033" s="21" t="str">
        <f>MID(CONTROL[[#This Row],[VEHIDCODE]],FIND("_",CONTROL[[#This Row],[VEHIDCODE]])+1,LEN(CONTROL[[#This Row],[VEHIDCODE]]))</f>
        <v>Coach_Gen2_PRR_MP54_Commuter_Coach</v>
      </c>
      <c r="C103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103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11102</v>
      </c>
      <c r="F1033" s="30" t="s">
        <v>3599</v>
      </c>
      <c r="G1033" t="s">
        <v>1568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ISNUMBER(MATCH(CONTROL[[#This Row],[VEHIDCODE]],TRACK_TYPES[VEHIDCODE],0))</f>
        <v>1</v>
      </c>
      <c r="K1033" t="b">
        <f>ISNUMBER(MATCH(CONTROL[[#This Row],[VEHIDCODE]],PROPERTIES[VEHIDCODE],0))</f>
        <v>1</v>
      </c>
      <c r="L1033" t="b">
        <f>ISNUMBER(MATCH(CONTROL[[#This Row],[VEHIDCODE]],GRAPHICS_PROPERTIES[VEHIDCODE],0))</f>
        <v>1</v>
      </c>
      <c r="M1033" s="21" t="str">
        <f>"item_"&amp;CONTROL[[#This Row],[VEHIDCODE]]</f>
        <v>item_mu_Coach_Gen2_PRR_MP54_Commuter_Coach</v>
      </c>
      <c r="N1033" s="21" t="str">
        <f>"str_"&amp;CONTROL[[#This Row],[VEHIDCODE]]</f>
        <v>str_mu_Coach_Gen2_PRR_MP54_Commuter_Coach</v>
      </c>
      <c r="O1033" s="39" t="b">
        <f>INDEX(PROPERTIES[IS_CONCEPT],MATCH(CONTROL[[#This Row],[VEHIDCODE]],PROPERTIES[VEHIDCODE],0))="IS_CONCEPT"</f>
        <v>0</v>
      </c>
      <c r="P1033" s="7" t="b">
        <f>INDEX(PROPERTIES[EXCLUDE],MATCH(CONTROL[[#This Row],[VEHIDCODE]],PROPERTIES[VEHIDCODE],0))</f>
        <v>0</v>
      </c>
      <c r="Q103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34" spans="1:17" x14ac:dyDescent="0.35">
      <c r="A1034" s="2" t="s">
        <v>3597</v>
      </c>
      <c r="B1034" s="21" t="str">
        <f>MID(CONTROL[[#This Row],[VEHIDCODE]],FIND("_",CONTROL[[#This Row],[VEHIDCODE]])+1,LEN(CONTROL[[#This Row],[VEHIDCODE]]))</f>
        <v>Coach_Gen2_PRR_MP54_Mail_Coach</v>
      </c>
      <c r="C103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src\Coaches\Gen2</v>
      </c>
      <c r="D103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11103</v>
      </c>
      <c r="F1034" s="30" t="s">
        <v>3600</v>
      </c>
      <c r="G1034" t="s">
        <v>1568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ISNUMBER(MATCH(CONTROL[[#This Row],[VEHIDCODE]],TRACK_TYPES[VEHIDCODE],0))</f>
        <v>1</v>
      </c>
      <c r="K1034" t="b">
        <f>ISNUMBER(MATCH(CONTROL[[#This Row],[VEHIDCODE]],PROPERTIES[VEHIDCODE],0))</f>
        <v>1</v>
      </c>
      <c r="L1034" t="b">
        <f>ISNUMBER(MATCH(CONTROL[[#This Row],[VEHIDCODE]],GRAPHICS_PROPERTIES[VEHIDCODE],0))</f>
        <v>1</v>
      </c>
      <c r="M1034" s="21" t="str">
        <f>"item_"&amp;CONTROL[[#This Row],[VEHIDCODE]]</f>
        <v>item_mu_Coach_Gen2_PRR_MP54_Mail_Coach</v>
      </c>
      <c r="N1034" s="21" t="str">
        <f>"str_"&amp;CONTROL[[#This Row],[VEHIDCODE]]</f>
        <v>str_mu_Coach_Gen2_PRR_MP54_Mail_Coach</v>
      </c>
      <c r="O1034" s="39" t="b">
        <f>INDEX(PROPERTIES[IS_CONCEPT],MATCH(CONTROL[[#This Row],[VEHIDCODE]],PROPERTIES[VEHIDCODE],0))="IS_CONCEPT"</f>
        <v>0</v>
      </c>
      <c r="P1034" s="7" t="b">
        <f>INDEX(PROPERTIES[EXCLUDE],MATCH(CONTROL[[#This Row],[VEHIDCODE]],PROPERTIES[VEHIDCODE],0))</f>
        <v>0</v>
      </c>
      <c r="Q103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35" spans="1:17" x14ac:dyDescent="0.35">
      <c r="A1035" s="2" t="s">
        <v>3604</v>
      </c>
      <c r="B1035" s="21" t="str">
        <f>MID(CONTROL[[#This Row],[VEHIDCODE]],FIND("_",CONTROL[[#This Row],[VEHIDCODE]])+1,LEN(CONTROL[[#This Row],[VEHIDCODE]]))</f>
        <v>Coach_Gen3_PRR_P70_Bilevel_Coach</v>
      </c>
      <c r="C103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3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3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11104</v>
      </c>
      <c r="F1035" s="30" t="s">
        <v>3605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ISNUMBER(MATCH(CONTROL[[#This Row],[VEHIDCODE]],TRACK_TYPES[VEHIDCODE],0))</f>
        <v>1</v>
      </c>
      <c r="K1035" t="b">
        <f>ISNUMBER(MATCH(CONTROL[[#This Row],[VEHIDCODE]],PROPERTIES[VEHIDCODE],0))</f>
        <v>1</v>
      </c>
      <c r="L1035" t="b">
        <f>ISNUMBER(MATCH(CONTROL[[#This Row],[VEHIDCODE]],GRAPHICS_PROPERTIES[VEHIDCODE],0))</f>
        <v>1</v>
      </c>
      <c r="M1035" s="21" t="str">
        <f>"item_"&amp;CONTROL[[#This Row],[VEHIDCODE]]</f>
        <v>item_mu_Coach_Gen3_PRR_P70_Bilevel_Coach</v>
      </c>
      <c r="N1035" s="21" t="str">
        <f>"str_"&amp;CONTROL[[#This Row],[VEHIDCODE]]</f>
        <v>str_mu_Coach_Gen3_PRR_P70_Bilevel_Coach</v>
      </c>
      <c r="O1035" s="39" t="b">
        <f>INDEX(PROPERTIES[IS_CONCEPT],MATCH(CONTROL[[#This Row],[VEHIDCODE]],PROPERTIES[VEHIDCODE],0))="IS_CONCEPT"</f>
        <v>1</v>
      </c>
      <c r="P1035" s="7" t="b">
        <f>INDEX(PROPERTIES[EXCLUDE],MATCH(CONTROL[[#This Row],[VEHIDCODE]],PROPERTIES[VEHIDCODE],0))</f>
        <v>0</v>
      </c>
      <c r="Q103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TPL_04A</v>
      </c>
    </row>
    <row r="1036" spans="1:17" x14ac:dyDescent="0.35">
      <c r="A1036" s="2" t="s">
        <v>3606</v>
      </c>
      <c r="B1036" s="21" t="str">
        <f>MID(CONTROL[[#This Row],[VEHIDCODE]],FIND("_",CONTROL[[#This Row],[VEHIDCODE]])+1,LEN(CONTROL[[#This Row],[VEHIDCODE]]))</f>
        <v>LTZ_TE10M</v>
      </c>
      <c r="C103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3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3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5202</v>
      </c>
      <c r="F1036" s="30" t="s">
        <v>2003</v>
      </c>
      <c r="G1036" t="s">
        <v>1309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ISNUMBER(MATCH(CONTROL[[#This Row],[VEHIDCODE]],TRACK_TYPES[VEHIDCODE],0))</f>
        <v>1</v>
      </c>
      <c r="K1036" t="b">
        <f>ISNUMBER(MATCH(CONTROL[[#This Row],[VEHIDCODE]],PROPERTIES[VEHIDCODE],0))</f>
        <v>1</v>
      </c>
      <c r="L1036" t="b">
        <f>ISNUMBER(MATCH(CONTROL[[#This Row],[VEHIDCODE]],GRAPHICS_PROPERTIES[VEHIDCODE],0))</f>
        <v>1</v>
      </c>
      <c r="M1036" s="21" t="str">
        <f>"item_"&amp;CONTROL[[#This Row],[VEHIDCODE]]</f>
        <v>item_diesel_LTZ_TE10M</v>
      </c>
      <c r="N1036" s="21" t="str">
        <f>"str_"&amp;CONTROL[[#This Row],[VEHIDCODE]]</f>
        <v>str_diesel_LTZ_TE10M</v>
      </c>
      <c r="O1036" s="39" t="b">
        <f>INDEX(PROPERTIES[IS_CONCEPT],MATCH(CONTROL[[#This Row],[VEHIDCODE]],PROPERTIES[VEHIDCODE],0))="IS_CONCEPT"</f>
        <v>0</v>
      </c>
      <c r="P1036" s="7" t="b">
        <f>INDEX(PROPERTIES[EXCLUDE],MATCH(CONTROL[[#This Row],[VEHIDCODE]],PROPERTIES[VEHIDCODE],0))</f>
        <v>0</v>
      </c>
      <c r="Q103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037" spans="1:17" x14ac:dyDescent="0.35">
      <c r="A1037" s="2" t="s">
        <v>3607</v>
      </c>
      <c r="B1037" s="21" t="str">
        <f>MID(CONTROL[[#This Row],[VEHIDCODE]],FIND("_",CONTROL[[#This Row],[VEHIDCODE]])+1,LEN(CONTROL[[#This Row],[VEHIDCODE]]))</f>
        <v>LTZ_TE126</v>
      </c>
      <c r="C103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3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3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5203</v>
      </c>
      <c r="F1037" s="30" t="s">
        <v>2004</v>
      </c>
      <c r="G1037" t="s">
        <v>3665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ISNUMBER(MATCH(CONTROL[[#This Row],[VEHIDCODE]],TRACK_TYPES[VEHIDCODE],0))</f>
        <v>1</v>
      </c>
      <c r="K1037" t="b">
        <f>ISNUMBER(MATCH(CONTROL[[#This Row],[VEHIDCODE]],PROPERTIES[VEHIDCODE],0))</f>
        <v>1</v>
      </c>
      <c r="L1037" t="b">
        <f>ISNUMBER(MATCH(CONTROL[[#This Row],[VEHIDCODE]],GRAPHICS_PROPERTIES[VEHIDCODE],0))</f>
        <v>1</v>
      </c>
      <c r="M1037" s="21" t="str">
        <f>"item_"&amp;CONTROL[[#This Row],[VEHIDCODE]]</f>
        <v>item_diesel_LTZ_TE126</v>
      </c>
      <c r="N1037" s="21" t="str">
        <f>"str_"&amp;CONTROL[[#This Row],[VEHIDCODE]]</f>
        <v>str_diesel_LTZ_TE126</v>
      </c>
      <c r="O1037" s="39" t="b">
        <f>INDEX(PROPERTIES[IS_CONCEPT],MATCH(CONTROL[[#This Row],[VEHIDCODE]],PROPERTIES[VEHIDCODE],0))="IS_CONCEPT"</f>
        <v>0</v>
      </c>
      <c r="P1037" s="7" t="b">
        <f>INDEX(PROPERTIES[EXCLUDE],MATCH(CONTROL[[#This Row],[VEHIDCODE]],PROPERTIES[VEHIDCODE],0))</f>
        <v>0</v>
      </c>
      <c r="Q103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TPL_32D</v>
      </c>
    </row>
    <row r="1038" spans="1:17" x14ac:dyDescent="0.35">
      <c r="A1038" s="2" t="s">
        <v>3608</v>
      </c>
      <c r="B1038" s="21" t="str">
        <f>MID(CONTROL[[#This Row],[VEHIDCODE]],FIND("_",CONTROL[[#This Row],[VEHIDCODE]])+1,LEN(CONTROL[[#This Row],[VEHIDCODE]]))</f>
        <v>LTZ_TE10Ut</v>
      </c>
      <c r="C103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3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3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5204</v>
      </c>
      <c r="F1038" s="30" t="s">
        <v>2005</v>
      </c>
      <c r="G1038" t="s">
        <v>1312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ISNUMBER(MATCH(CONTROL[[#This Row],[VEHIDCODE]],TRACK_TYPES[VEHIDCODE],0))</f>
        <v>1</v>
      </c>
      <c r="K1038" t="b">
        <f>ISNUMBER(MATCH(CONTROL[[#This Row],[VEHIDCODE]],PROPERTIES[VEHIDCODE],0))</f>
        <v>1</v>
      </c>
      <c r="L1038" t="b">
        <f>ISNUMBER(MATCH(CONTROL[[#This Row],[VEHIDCODE]],GRAPHICS_PROPERTIES[VEHIDCODE],0))</f>
        <v>1</v>
      </c>
      <c r="M1038" s="21" t="str">
        <f>"item_"&amp;CONTROL[[#This Row],[VEHIDCODE]]</f>
        <v>item_diesel_LTZ_TE10Ut</v>
      </c>
      <c r="N1038" s="21" t="str">
        <f>"str_"&amp;CONTROL[[#This Row],[VEHIDCODE]]</f>
        <v>str_diesel_LTZ_TE10Ut</v>
      </c>
      <c r="O1038" s="39" t="b">
        <f>INDEX(PROPERTIES[IS_CONCEPT],MATCH(CONTROL[[#This Row],[VEHIDCODE]],PROPERTIES[VEHIDCODE],0))="IS_CONCEPT"</f>
        <v>0</v>
      </c>
      <c r="P1038" s="7" t="b">
        <f>INDEX(PROPERTIES[EXCLUDE],MATCH(CONTROL[[#This Row],[VEHIDCODE]],PROPERTIES[VEHIDCODE],0))</f>
        <v>0</v>
      </c>
      <c r="Q103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039" spans="1:17" x14ac:dyDescent="0.35">
      <c r="A1039" t="s">
        <v>3648</v>
      </c>
      <c r="B1039" s="21" t="str">
        <f>MID(CONTROL[[#This Row],[VEHIDCODE]],FIND("_",CONTROL[[#This Row],[VEHIDCODE]])+1,LEN(CONTROL[[#This Row],[VEHIDCODE]]))</f>
        <v>Faur_A20DP</v>
      </c>
      <c r="C103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03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03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2049</v>
      </c>
      <c r="F1039" s="30" t="s">
        <v>3609</v>
      </c>
      <c r="G1039" t="s">
        <v>3610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ISNUMBER(MATCH(CONTROL[[#This Row],[VEHIDCODE]],TRACK_TYPES[VEHIDCODE],0))</f>
        <v>1</v>
      </c>
      <c r="K1039" t="b">
        <f>ISNUMBER(MATCH(CONTROL[[#This Row],[VEHIDCODE]],PROPERTIES[VEHIDCODE],0))</f>
        <v>1</v>
      </c>
      <c r="L1039" t="b">
        <f>ISNUMBER(MATCH(CONTROL[[#This Row],[VEHIDCODE]],GRAPHICS_PROPERTIES[VEHIDCODE],0))</f>
        <v>1</v>
      </c>
      <c r="M1039" s="21" t="str">
        <f>"item_"&amp;CONTROL[[#This Row],[VEHIDCODE]]</f>
        <v>item_rbd_Faur_A20DP</v>
      </c>
      <c r="N1039" s="21" t="str">
        <f>"str_"&amp;CONTROL[[#This Row],[VEHIDCODE]]</f>
        <v>str_rbd_Faur_A20DP</v>
      </c>
      <c r="O1039" s="39" t="b">
        <f>INDEX(PROPERTIES[IS_CONCEPT],MATCH(CONTROL[[#This Row],[VEHIDCODE]],PROPERTIES[VEHIDCODE],0))="IS_CONCEPT"</f>
        <v>0</v>
      </c>
      <c r="P1039" s="7" t="b">
        <f>INDEX(PROPERTIES[EXCLUDE],MATCH(CONTROL[[#This Row],[VEHIDCODE]],PROPERTIES[VEHIDCODE],0))</f>
        <v>0</v>
      </c>
      <c r="Q103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0" spans="1:17" x14ac:dyDescent="0.35">
      <c r="A1040" t="s">
        <v>3611</v>
      </c>
      <c r="B1040" s="21" t="str">
        <f>MID(CONTROL[[#This Row],[VEHIDCODE]],FIND("_",CONTROL[[#This Row],[VEHIDCODE]])+1,LEN(CONTROL[[#This Row],[VEHIDCODE]]))</f>
        <v>Coach_Gen4_Faur_AD20DP_Trailer</v>
      </c>
      <c r="C104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src\Coaches\Gen4</v>
      </c>
      <c r="D104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4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11105</v>
      </c>
      <c r="F1040" s="30" t="s">
        <v>3612</v>
      </c>
      <c r="G1040" t="s">
        <v>3610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ISNUMBER(MATCH(CONTROL[[#This Row],[VEHIDCODE]],TRACK_TYPES[VEHIDCODE],0))</f>
        <v>1</v>
      </c>
      <c r="K1040" t="b">
        <f>ISNUMBER(MATCH(CONTROL[[#This Row],[VEHIDCODE]],PROPERTIES[VEHIDCODE],0))</f>
        <v>1</v>
      </c>
      <c r="L1040" t="b">
        <f>ISNUMBER(MATCH(CONTROL[[#This Row],[VEHIDCODE]],GRAPHICS_PROPERTIES[VEHIDCODE],0))</f>
        <v>1</v>
      </c>
      <c r="M1040" s="21" t="str">
        <f>"item_"&amp;CONTROL[[#This Row],[VEHIDCODE]]</f>
        <v>item_mu_Coach_Gen4_Faur_AD20DP_Trailer</v>
      </c>
      <c r="N1040" s="21" t="str">
        <f>"str_"&amp;CONTROL[[#This Row],[VEHIDCODE]]</f>
        <v>str_mu_Coach_Gen4_Faur_AD20DP_Trailer</v>
      </c>
      <c r="O1040" s="39" t="b">
        <f>INDEX(PROPERTIES[IS_CONCEPT],MATCH(CONTROL[[#This Row],[VEHIDCODE]],PROPERTIES[VEHIDCODE],0))="IS_CONCEPT"</f>
        <v>0</v>
      </c>
      <c r="P1040" s="7" t="b">
        <f>INDEX(PROPERTIES[EXCLUDE],MATCH(CONTROL[[#This Row],[VEHIDCODE]],PROPERTIES[VEHIDCODE],0))</f>
        <v>0</v>
      </c>
      <c r="Q104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1041" spans="1:17" x14ac:dyDescent="0.35">
      <c r="A1041" t="s">
        <v>3613</v>
      </c>
      <c r="B1041" s="21" t="str">
        <f>MID(CONTROL[[#This Row],[VEHIDCODE]],FIND("_",CONTROL[[#This Row],[VEHIDCODE]])+1,LEN(CONTROL[[#This Row],[VEHIDCODE]]))</f>
        <v>Faur_L45H</v>
      </c>
      <c r="C104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4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4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5205</v>
      </c>
      <c r="F1041" s="30" t="s">
        <v>3614</v>
      </c>
      <c r="G1041" t="s">
        <v>3615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ISNUMBER(MATCH(CONTROL[[#This Row],[VEHIDCODE]],TRACK_TYPES[VEHIDCODE],0))</f>
        <v>1</v>
      </c>
      <c r="K1041" t="b">
        <f>ISNUMBER(MATCH(CONTROL[[#This Row],[VEHIDCODE]],PROPERTIES[VEHIDCODE],0))</f>
        <v>1</v>
      </c>
      <c r="L1041" t="b">
        <f>ISNUMBER(MATCH(CONTROL[[#This Row],[VEHIDCODE]],GRAPHICS_PROPERTIES[VEHIDCODE],0))</f>
        <v>1</v>
      </c>
      <c r="M1041" s="21" t="str">
        <f>"item_"&amp;CONTROL[[#This Row],[VEHIDCODE]]</f>
        <v>item_diesel_Faur_L45H</v>
      </c>
      <c r="N1041" s="21" t="str">
        <f>"str_"&amp;CONTROL[[#This Row],[VEHIDCODE]]</f>
        <v>str_diesel_Faur_L45H</v>
      </c>
      <c r="O1041" s="39" t="b">
        <f>INDEX(PROPERTIES[IS_CONCEPT],MATCH(CONTROL[[#This Row],[VEHIDCODE]],PROPERTIES[VEHIDCODE],0))="IS_CONCEPT"</f>
        <v>0</v>
      </c>
      <c r="P1041" s="7" t="b">
        <f>INDEX(PROPERTIES[EXCLUDE],MATCH(CONTROL[[#This Row],[VEHIDCODE]],PROPERTIES[VEHIDCODE],0))</f>
        <v>0</v>
      </c>
      <c r="Q104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2" spans="1:17" x14ac:dyDescent="0.35">
      <c r="A1042" s="2" t="s">
        <v>3617</v>
      </c>
      <c r="B1042" s="21" t="str">
        <f>MID(CONTROL[[#This Row],[VEHIDCODE]],FIND("_",CONTROL[[#This Row],[VEHIDCODE]])+1,LEN(CONTROL[[#This Row],[VEHIDCODE]]))</f>
        <v>Coach_Gen3_Pafawag_3Aw</v>
      </c>
      <c r="C1042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src\Coaches\Gen3</v>
      </c>
      <c r="D1042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ID_RANGE_COACHES</v>
      </c>
      <c r="E1042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11106</v>
      </c>
      <c r="F1042" s="30" t="s">
        <v>3616</v>
      </c>
      <c r="G1042" t="s">
        <v>3618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ISNUMBER(MATCH(CONTROL[[#This Row],[VEHIDCODE]],TRACK_TYPES[VEHIDCODE],0))</f>
        <v>1</v>
      </c>
      <c r="K1042" t="b">
        <f>ISNUMBER(MATCH(CONTROL[[#This Row],[VEHIDCODE]],PROPERTIES[VEHIDCODE],0))</f>
        <v>1</v>
      </c>
      <c r="L1042" t="b">
        <f>ISNUMBER(MATCH(CONTROL[[#This Row],[VEHIDCODE]],GRAPHICS_PROPERTIES[VEHIDCODE],0))</f>
        <v>1</v>
      </c>
      <c r="M1042" s="21" t="str">
        <f>"item_"&amp;CONTROL[[#This Row],[VEHIDCODE]]</f>
        <v>item_mu_Coach_Gen3_Pafawag_3Aw</v>
      </c>
      <c r="N1042" s="21" t="str">
        <f>"str_"&amp;CONTROL[[#This Row],[VEHIDCODE]]</f>
        <v>str_mu_Coach_Gen3_Pafawag_3Aw</v>
      </c>
      <c r="O1042" s="39" t="b">
        <f>INDEX(PROPERTIES[IS_CONCEPT],MATCH(CONTROL[[#This Row],[VEHIDCODE]],PROPERTIES[VEHIDCODE],0))="IS_CONCEPT"</f>
        <v>0</v>
      </c>
      <c r="P1042" s="7" t="b">
        <f>INDEX(PROPERTIES[EXCLUDE],MATCH(CONTROL[[#This Row],[VEHIDCODE]],PROPERTIES[VEHIDCODE],0))</f>
        <v>0</v>
      </c>
      <c r="Q1042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TPL_04U</v>
      </c>
    </row>
    <row r="1043" spans="1:17" x14ac:dyDescent="0.35">
      <c r="A1043" t="s">
        <v>3619</v>
      </c>
      <c r="B1043" s="21" t="str">
        <f>MID(CONTROL[[#This Row],[VEHIDCODE]],FIND("_",CONTROL[[#This Row],[VEHIDCODE]])+1,LEN(CONTROL[[#This Row],[VEHIDCODE]]))</f>
        <v>KMZ_TU7_TGM40</v>
      </c>
      <c r="C1043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43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43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5206</v>
      </c>
      <c r="F1043" s="30" t="s">
        <v>3620</v>
      </c>
      <c r="G1043" t="s">
        <v>3621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ISNUMBER(MATCH(CONTROL[[#This Row],[VEHIDCODE]],TRACK_TYPES[VEHIDCODE],0))</f>
        <v>1</v>
      </c>
      <c r="K1043" t="b">
        <f>ISNUMBER(MATCH(CONTROL[[#This Row],[VEHIDCODE]],PROPERTIES[VEHIDCODE],0))</f>
        <v>1</v>
      </c>
      <c r="L1043" t="b">
        <f>ISNUMBER(MATCH(CONTROL[[#This Row],[VEHIDCODE]],GRAPHICS_PROPERTIES[VEHIDCODE],0))</f>
        <v>1</v>
      </c>
      <c r="M1043" s="21" t="str">
        <f>"item_"&amp;CONTROL[[#This Row],[VEHIDCODE]]</f>
        <v>item_diesel_KMZ_TU7_TGM40</v>
      </c>
      <c r="N1043" s="21" t="str">
        <f>"str_"&amp;CONTROL[[#This Row],[VEHIDCODE]]</f>
        <v>str_diesel_KMZ_TU7_TGM40</v>
      </c>
      <c r="O1043" s="39" t="b">
        <f>INDEX(PROPERTIES[IS_CONCEPT],MATCH(CONTROL[[#This Row],[VEHIDCODE]],PROPERTIES[VEHIDCODE],0))="IS_CONCEPT"</f>
        <v>0</v>
      </c>
      <c r="P1043" s="7" t="b">
        <f>INDEX(PROPERTIES[EXCLUDE],MATCH(CONTROL[[#This Row],[VEHIDCODE]],PROPERTIES[VEHIDCODE],0))</f>
        <v>0</v>
      </c>
      <c r="Q1043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4" spans="1:17" x14ac:dyDescent="0.35">
      <c r="A1044" t="s">
        <v>3624</v>
      </c>
      <c r="B1044" s="21" t="str">
        <f>MID(CONTROL[[#This Row],[VEHIDCODE]],FIND("_",CONTROL[[#This Row],[VEHIDCODE]])+1,LEN(CONTROL[[#This Row],[VEHIDCODE]]))</f>
        <v>Alsthom_CC_7100</v>
      </c>
      <c r="C1044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4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4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6172</v>
      </c>
      <c r="F1044" s="30" t="s">
        <v>3623</v>
      </c>
      <c r="G1044" t="s">
        <v>3626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ISNUMBER(MATCH(CONTROL[[#This Row],[VEHIDCODE]],TRACK_TYPES[VEHIDCODE],0))</f>
        <v>1</v>
      </c>
      <c r="K1044" t="b">
        <f>ISNUMBER(MATCH(CONTROL[[#This Row],[VEHIDCODE]],PROPERTIES[VEHIDCODE],0))</f>
        <v>1</v>
      </c>
      <c r="L1044" t="b">
        <f>ISNUMBER(MATCH(CONTROL[[#This Row],[VEHIDCODE]],GRAPHICS_PROPERTIES[VEHIDCODE],0))</f>
        <v>1</v>
      </c>
      <c r="M1044" s="21" t="str">
        <f>"item_"&amp;CONTROL[[#This Row],[VEHIDCODE]]</f>
        <v>item_electric_Alsthom_CC_7100</v>
      </c>
      <c r="N1044" s="21" t="str">
        <f>"str_"&amp;CONTROL[[#This Row],[VEHIDCODE]]</f>
        <v>str_electric_Alsthom_CC_7100</v>
      </c>
      <c r="O1044" s="39" t="b">
        <f>INDEX(PROPERTIES[IS_CONCEPT],MATCH(CONTROL[[#This Row],[VEHIDCODE]],PROPERTIES[VEHIDCODE],0))="IS_CONCEPT"</f>
        <v>0</v>
      </c>
      <c r="P1044" s="7" t="b">
        <f>INDEX(PROPERTIES[EXCLUDE],MATCH(CONTROL[[#This Row],[VEHIDCODE]],PROPERTIES[VEHIDCODE],0))</f>
        <v>0</v>
      </c>
      <c r="Q1044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5" spans="1:17" x14ac:dyDescent="0.35">
      <c r="A1045" t="s">
        <v>3622</v>
      </c>
      <c r="B1045" s="21" t="str">
        <f>MID(CONTROL[[#This Row],[VEHIDCODE]],FIND("_",CONTROL[[#This Row],[VEHIDCODE]])+1,LEN(CONTROL[[#This Row],[VEHIDCODE]]))</f>
        <v>Alsthom_F_Series</v>
      </c>
      <c r="C1045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5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5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6173</v>
      </c>
      <c r="F1045" s="30" t="s">
        <v>3625</v>
      </c>
      <c r="G1045" t="s">
        <v>3627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ISNUMBER(MATCH(CONTROL[[#This Row],[VEHIDCODE]],TRACK_TYPES[VEHIDCODE],0))</f>
        <v>1</v>
      </c>
      <c r="K1045" t="b">
        <f>ISNUMBER(MATCH(CONTROL[[#This Row],[VEHIDCODE]],PROPERTIES[VEHIDCODE],0))</f>
        <v>1</v>
      </c>
      <c r="L1045" t="b">
        <f>ISNUMBER(MATCH(CONTROL[[#This Row],[VEHIDCODE]],GRAPHICS_PROPERTIES[VEHIDCODE],0))</f>
        <v>1</v>
      </c>
      <c r="M1045" s="21" t="str">
        <f>"item_"&amp;CONTROL[[#This Row],[VEHIDCODE]]</f>
        <v>item_electric_Alsthom_F_Series</v>
      </c>
      <c r="N1045" s="21" t="str">
        <f>"str_"&amp;CONTROL[[#This Row],[VEHIDCODE]]</f>
        <v>str_electric_Alsthom_F_Series</v>
      </c>
      <c r="O1045" s="39" t="b">
        <f>INDEX(PROPERTIES[IS_CONCEPT],MATCH(CONTROL[[#This Row],[VEHIDCODE]],PROPERTIES[VEHIDCODE],0))="IS_CONCEPT"</f>
        <v>0</v>
      </c>
      <c r="P1045" s="7" t="b">
        <f>INDEX(PROPERTIES[EXCLUDE],MATCH(CONTROL[[#This Row],[VEHIDCODE]],PROPERTIES[VEHIDCODE],0))</f>
        <v>0</v>
      </c>
      <c r="Q1045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6" spans="1:17" x14ac:dyDescent="0.35">
      <c r="A1046" t="s">
        <v>3668</v>
      </c>
      <c r="B1046" s="21" t="str">
        <f>MID(CONTROL[[#This Row],[VEHIDCODE]],FIND("_",CONTROL[[#This Row],[VEHIDCODE]])+1,LEN(CONTROL[[#This Row],[VEHIDCODE]]))</f>
        <v>Siemens_Vectron_MS</v>
      </c>
      <c r="C1046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6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6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6174</v>
      </c>
      <c r="F1046" s="30" t="s">
        <v>3638</v>
      </c>
      <c r="G1046" t="s">
        <v>3634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ISNUMBER(MATCH(CONTROL[[#This Row],[VEHIDCODE]],TRACK_TYPES[VEHIDCODE],0))</f>
        <v>1</v>
      </c>
      <c r="K1046" t="b">
        <f>ISNUMBER(MATCH(CONTROL[[#This Row],[VEHIDCODE]],PROPERTIES[VEHIDCODE],0))</f>
        <v>1</v>
      </c>
      <c r="L1046" t="b">
        <f>ISNUMBER(MATCH(CONTROL[[#This Row],[VEHIDCODE]],GRAPHICS_PROPERTIES[VEHIDCODE],0))</f>
        <v>1</v>
      </c>
      <c r="M1046" s="21" t="str">
        <f>"item_"&amp;CONTROL[[#This Row],[VEHIDCODE]]</f>
        <v>item_electric_Siemens_Vectron_MS</v>
      </c>
      <c r="N1046" s="21" t="str">
        <f>"str_"&amp;CONTROL[[#This Row],[VEHIDCODE]]</f>
        <v>str_electric_Siemens_Vectron_MS</v>
      </c>
      <c r="O1046" s="39" t="b">
        <f>INDEX(PROPERTIES[IS_CONCEPT],MATCH(CONTROL[[#This Row],[VEHIDCODE]],PROPERTIES[VEHIDCODE],0))="IS_CONCEPT"</f>
        <v>0</v>
      </c>
      <c r="P1046" s="7" t="b">
        <f>INDEX(PROPERTIES[EXCLUDE],MATCH(CONTROL[[#This Row],[VEHIDCODE]],PROPERTIES[VEHIDCODE],0))</f>
        <v>0</v>
      </c>
      <c r="Q1046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7" spans="1:17" x14ac:dyDescent="0.35">
      <c r="A1047" t="s">
        <v>3633</v>
      </c>
      <c r="B1047" s="21" t="str">
        <f>MID(CONTROL[[#This Row],[VEHIDCODE]],FIND("_",CONTROL[[#This Row],[VEHIDCODE]])+1,LEN(CONTROL[[#This Row],[VEHIDCODE]]))</f>
        <v>Siemens_Vectron_DE</v>
      </c>
      <c r="C1047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47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47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5207</v>
      </c>
      <c r="F1047" s="30" t="s">
        <v>3631</v>
      </c>
      <c r="G1047" t="s">
        <v>3634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ISNUMBER(MATCH(CONTROL[[#This Row],[VEHIDCODE]],TRACK_TYPES[VEHIDCODE],0))</f>
        <v>1</v>
      </c>
      <c r="K1047" t="b">
        <f>ISNUMBER(MATCH(CONTROL[[#This Row],[VEHIDCODE]],PROPERTIES[VEHIDCODE],0))</f>
        <v>1</v>
      </c>
      <c r="L1047" t="b">
        <f>ISNUMBER(MATCH(CONTROL[[#This Row],[VEHIDCODE]],GRAPHICS_PROPERTIES[VEHIDCODE],0))</f>
        <v>1</v>
      </c>
      <c r="M1047" s="21" t="str">
        <f>"item_"&amp;CONTROL[[#This Row],[VEHIDCODE]]</f>
        <v>item_diesel_Siemens_Vectron_DE</v>
      </c>
      <c r="N1047" s="21" t="str">
        <f>"str_"&amp;CONTROL[[#This Row],[VEHIDCODE]]</f>
        <v>str_diesel_Siemens_Vectron_DE</v>
      </c>
      <c r="O1047" s="39" t="b">
        <f>INDEX(PROPERTIES[IS_CONCEPT],MATCH(CONTROL[[#This Row],[VEHIDCODE]],PROPERTIES[VEHIDCODE],0))="IS_CONCEPT"</f>
        <v>0</v>
      </c>
      <c r="P1047" s="7" t="b">
        <f>INDEX(PROPERTIES[EXCLUDE],MATCH(CONTROL[[#This Row],[VEHIDCODE]],PROPERTIES[VEHIDCODE],0))</f>
        <v>0</v>
      </c>
      <c r="Q1047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8" spans="1:17" x14ac:dyDescent="0.35">
      <c r="A1048" t="s">
        <v>3630</v>
      </c>
      <c r="B1048" s="21" t="str">
        <f>MID(CONTROL[[#This Row],[VEHIDCODE]],FIND("_",CONTROL[[#This Row],[VEHIDCODE]])+1,LEN(CONTROL[[#This Row],[VEHIDCODE]]))</f>
        <v>Siemens_Vectron_Dual_Mode</v>
      </c>
      <c r="C1048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src\Electric</v>
      </c>
      <c r="D1048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ID_RANGE_ELECTRIC</v>
      </c>
      <c r="E1048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6175</v>
      </c>
      <c r="F1048" s="30" t="s">
        <v>3632</v>
      </c>
      <c r="G1048" t="s">
        <v>3634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ISNUMBER(MATCH(CONTROL[[#This Row],[VEHIDCODE]],TRACK_TYPES[VEHIDCODE],0))</f>
        <v>1</v>
      </c>
      <c r="K1048" t="b">
        <f>ISNUMBER(MATCH(CONTROL[[#This Row],[VEHIDCODE]],PROPERTIES[VEHIDCODE],0))</f>
        <v>1</v>
      </c>
      <c r="L1048" t="b">
        <f>ISNUMBER(MATCH(CONTROL[[#This Row],[VEHIDCODE]],GRAPHICS_PROPERTIES[VEHIDCODE],0))</f>
        <v>1</v>
      </c>
      <c r="M1048" s="21" t="str">
        <f>"item_"&amp;CONTROL[[#This Row],[VEHIDCODE]]</f>
        <v>item_electric_Siemens_Vectron_Dual_Mode</v>
      </c>
      <c r="N1048" s="21" t="str">
        <f>"str_"&amp;CONTROL[[#This Row],[VEHIDCODE]]</f>
        <v>str_electric_Siemens_Vectron_Dual_Mode</v>
      </c>
      <c r="O1048" s="39" t="b">
        <f>INDEX(PROPERTIES[IS_CONCEPT],MATCH(CONTROL[[#This Row],[VEHIDCODE]],PROPERTIES[VEHIDCODE],0))="IS_CONCEPT"</f>
        <v>0</v>
      </c>
      <c r="P1048" s="7" t="b">
        <f>INDEX(PROPERTIES[EXCLUDE],MATCH(CONTROL[[#This Row],[VEHIDCODE]],PROPERTIES[VEHIDCODE],0))</f>
        <v>0</v>
      </c>
      <c r="Q1048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TPL_01A</v>
      </c>
    </row>
    <row r="1049" spans="1:17" x14ac:dyDescent="0.35">
      <c r="A1049" t="s">
        <v>3651</v>
      </c>
      <c r="B1049" s="21" t="str">
        <f>MID(CONTROL[[#This Row],[VEHIDCODE]],FIND("_",CONTROL[[#This Row],[VEHIDCODE]])+1,LEN(CONTROL[[#This Row],[VEHIDCODE]]))</f>
        <v>Tours_Chapelon_2_12_0_160A</v>
      </c>
      <c r="C1049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src\Steam</v>
      </c>
      <c r="D1049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ID_RANGE_STEAM</v>
      </c>
      <c r="E1049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4154</v>
      </c>
      <c r="F1049" s="30" t="s">
        <v>3649</v>
      </c>
      <c r="G1049" t="s">
        <v>3650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ISNUMBER(MATCH(CONTROL[[#This Row],[VEHIDCODE]],TRACK_TYPES[VEHIDCODE],0))</f>
        <v>1</v>
      </c>
      <c r="K1049" t="b">
        <f>ISNUMBER(MATCH(CONTROL[[#This Row],[VEHIDCODE]],PROPERTIES[VEHIDCODE],0))</f>
        <v>1</v>
      </c>
      <c r="L1049" t="b">
        <f>ISNUMBER(MATCH(CONTROL[[#This Row],[VEHIDCODE]],GRAPHICS_PROPERTIES[VEHIDCODE],0))</f>
        <v>1</v>
      </c>
      <c r="M1049" s="21" t="str">
        <f>"item_"&amp;CONTROL[[#This Row],[VEHIDCODE]]</f>
        <v>item_steam_Tours_Chapelon_2_12_0_160A</v>
      </c>
      <c r="N1049" s="21" t="str">
        <f>"str_"&amp;CONTROL[[#This Row],[VEHIDCODE]]</f>
        <v>str_steam_Tours_Chapelon_2_12_0_160A</v>
      </c>
      <c r="O1049" s="39" t="b">
        <f>INDEX(PROPERTIES[IS_CONCEPT],MATCH(CONTROL[[#This Row],[VEHIDCODE]],PROPERTIES[VEHIDCODE],0))="IS_CONCEPT"</f>
        <v>0</v>
      </c>
      <c r="P1049" s="7" t="b">
        <f>INDEX(PROPERTIES[EXCLUDE],MATCH(CONTROL[[#This Row],[VEHIDCODE]],PROPERTIES[VEHIDCODE],0))</f>
        <v>0</v>
      </c>
      <c r="Q1049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TPL_03G</v>
      </c>
    </row>
    <row r="1050" spans="1:17" x14ac:dyDescent="0.35">
      <c r="A1050" t="s">
        <v>3666</v>
      </c>
      <c r="B1050" s="21" t="str">
        <f>MID(CONTROL[[#This Row],[VEHIDCODE]],FIND("_",CONTROL[[#This Row],[VEHIDCODE]])+1,LEN(CONTROL[[#This Row],[VEHIDCODE]]))</f>
        <v>LTZ_TE166</v>
      </c>
      <c r="C1050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src\Diesel</v>
      </c>
      <c r="D1050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ID_RANGE_DIESEL</v>
      </c>
      <c r="E1050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5208</v>
      </c>
      <c r="F1050" s="30" t="s">
        <v>3667</v>
      </c>
      <c r="G1050" t="s">
        <v>1311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ISNUMBER(MATCH(CONTROL[[#This Row],[VEHIDCODE]],TRACK_TYPES[VEHIDCODE],0))</f>
        <v>1</v>
      </c>
      <c r="K1050" t="b">
        <f>ISNUMBER(MATCH(CONTROL[[#This Row],[VEHIDCODE]],PROPERTIES[VEHIDCODE],0))</f>
        <v>1</v>
      </c>
      <c r="L1050" t="b">
        <f>ISNUMBER(MATCH(CONTROL[[#This Row],[VEHIDCODE]],GRAPHICS_PROPERTIES[VEHIDCODE],0))</f>
        <v>1</v>
      </c>
      <c r="M1050" s="21" t="str">
        <f>"item_"&amp;CONTROL[[#This Row],[VEHIDCODE]]</f>
        <v>item_diesel_LTZ_TE166</v>
      </c>
      <c r="N1050" s="21" t="str">
        <f>"str_"&amp;CONTROL[[#This Row],[VEHIDCODE]]</f>
        <v>str_diesel_LTZ_TE166</v>
      </c>
      <c r="O1050" s="39" t="b">
        <f>INDEX(PROPERTIES[IS_CONCEPT],MATCH(CONTROL[[#This Row],[VEHIDCODE]],PROPERTIES[VEHIDCODE],0))="IS_CONCEPT"</f>
        <v>0</v>
      </c>
      <c r="P1050" s="7" t="b">
        <f>INDEX(PROPERTIES[EXCLUDE],MATCH(CONTROL[[#This Row],[VEHIDCODE]],PROPERTIES[VEHIDCODE],0))</f>
        <v>0</v>
      </c>
      <c r="Q1050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TPL_03F</v>
      </c>
    </row>
    <row r="1051" spans="1:17" x14ac:dyDescent="0.35">
      <c r="A1051" t="s">
        <v>3691</v>
      </c>
      <c r="B1051" s="21" t="str">
        <f>MID(CONTROL[[#This Row],[VEHIDCODE]],FIND("_",CONTROL[[#This Row],[VEHIDCODE]])+1,LEN(CONTROL[[#This Row],[VEHIDCODE]]))</f>
        <v>Ganz_MAVAG_SN61</v>
      </c>
      <c r="C1051" t="str">
        <f>"src\"&amp;_xlfn.IFS(
SUBSTITUTE(CONTROL[[#This Row],[VEHID_ID_CATEGORY]],"ID_RANGE_","")="RBS","Railbus\Railbus_Steam",
SUBSTITUTE(CONTROL[[#This Row],[VEHID_ID_CATEGORY]],"ID_RANGE_","")="RBD","Railbus\Railbus_Diesel",
SUBSTITUTE(CONTROL[[#This Row],[VEHID_ID_CATEGORY]],"ID_RANGE_","")="RBE","Railbus\Railbus_Electric",
SUBSTITUTE(CONTROL[[#This Row],[VEHID_ID_CATEGORY]],"ID_RANGE_","")="RBM","Railbus\Railbus_Maglev",
SUBSTITUTE(CONTROL[[#This Row],[VEHID_ID_CATEGORY]],"ID_RANGE_","")="STEAM","Steam",
SUBSTITUTE(CONTROL[[#This Row],[VEHID_ID_CATEGORY]],"ID_RANGE_","")="DIESEL","Diesel",
OR(SUBSTITUTE(CONTROL[[#This Row],[VEHID_ID_CATEGORY]],"ID_RANGE_","")="ELECTRIC",SUBSTITUTE(CONTROL[[#This Row],[VEHID_ID_CATEGORY]],"ID_RANGE_","")="MULTIMETRO"),"Electric",
SUBSTITUTE(CONTROL[[#This Row],[VEHID_ID_CATEGORY]],"ID_RANGE_","")="MAGLEV","Maglev",
SUBSTITUTE(CONTROL[[#This Row],[VEHID_ID_CATEGORY]],"ID_RANGE_","")="MULTIMAGLEV","MMU",
SUBSTITUTE(CONTROL[[#This Row],[VEHID_ID_CATEGORY]],"ID_RANGE_","")="CARGODMU","CargoDMU",
SUBSTITUTE(CONTROL[[#This Row],[VEHID_ID_CATEGORY]],"ID_RANGE_","")="DMU","DMU",
SUBSTITUTE(CONTROL[[#This Row],[VEHID_ID_CATEGORY]],"ID_RANGE_","")="CARGOEMU","CargoEMU",
SUBSTITUTE(CONTROL[[#This Row],[VEHID_ID_CATEGORY]],"ID_RANGE_","")="EMU","EMU",
SUBSTITUTE(CONTROL[[#This Row],[VEHID_ID_CATEGORY]],"ID_RANGE_","")="MMU","MMU",
SUBSTITUTE(CONTROL[[#This Row],[VEHID_ID_CATEGORY]],"ID_RANGE_","")="SINGLEMETRO","Single_Metro",
OR(ISNUMBER(SEARCH("_powered",CONTROL[[#This Row],[VEHIDCODE]])),ISNUMBER(SEARCH("_unpowered",CONTROL[[#This Row],[VEHIDCODE]]))),"Special",
SUBSTITUTE(CONTROL[[#This Row],[VEHID_ID_CATEGORY]],"ID_RANGE_","")="WAGONS","wagons\"&amp;SUBSTITUTE(LEFT(SUBSTITUTE(MID(CONTROL[[#This Row],[VEHIDCODE]],FIND("|",SUBSTITUTE(CONTROL[[#This Row],[VEHIDCODE]],"_","|",2))+1,LEN(CONTROL[[#This Row],[VEHIDCODE]])),"Service_Car","Service#Car"),FIND("_",SUBSTITUTE(MID(CONTROL[[#This Row],[VEHIDCODE]],FIND("|",SUBSTITUTE(CONTROL[[#This Row],[VEHIDCODE]],"_","|",2))+1,LEN(CONTROL[[#This Row],[VEHIDCODE]])),"Service_Car","Service#Car"))-1),"#","_"),
SUBSTITUTE(CONTROL[[#This Row],[VEHID_ID_CATEGORY]],"ID_RANGE_","")="WAGONS_MGLV","Wagons_Maglev\"&amp;LEFT(MID(CONTROL[[#This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Row],[VEHID_ID_CATEGORY]],"ID_RANGE_","")="COACHES","Coaches\"&amp;LEFT(MID(CONTROL[[#This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Row],[VEHIDCODE]])))-1),
SUBSTITUTE(CONTROL[[#This Row],[VEHID_ID_CATEGORY]],"ID_RANGE_","")="COACHES_MGLV","Coaches_Maglev\"&amp;LEFT(MID(CONTROL[[#This Row],[VEHIDCODE]],FIND("|",SUBSTITUTE(CONTROL[[#This Row],[VEHIDCODE]],"_","|",2))+1,LEN(CONTROL[[#This Row],[VEHIDCODE]])),FIND("_",MID(CONTROL[[#This Row],[VEHIDCODE]],FIND("|",SUBSTITUTE(CONTROL[[#This Row],[VEHIDCODE]],"_","|",2))+1,LEN(CONTROL[[#This Row],[VEHIDCODE]])))-1)
)</f>
        <v>src\Railbus\Railbus_Diesel</v>
      </c>
      <c r="D1051" t="str">
        <f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LEFT(CONTROL[[#This Row],[VEHIDCODE]],FIND("_",CONTROL[[#This Row],[VEHIDCODE]])-1)="rbs","RBS",
LEFT(CONTROL[[#This Row],[VEHIDCODE]],FIND("_",CONTROL[[#This Row],[VEHIDCODE]])-1)="rbd","RBD",
LEFT(CONTROL[[#This Row],[VEHIDCODE]],FIND("_",CONTROL[[#This Row],[VEHIDCODE]])-1)="rbe","RBE",
LEFT(CONTROL[[#This Row],[VEHIDCODE]],FIND("_",CONTROL[[#This Row],[VEHIDCODE]])-1)="rbm","RBM",
LEFT(CONTROL[[#This Row],[VEHIDCODE]],FIND("_",CONTROL[[#This Row],[VEHIDCODE]])-1)="steam","STEAM",
LEFT(CONTROL[[#This Row],[VEHIDCODE]],FIND("_",CONTROL[[#This Row],[VEHIDCODE]])-1)="diesel","DIESEL",
LEFT(CONTROL[[#This Row],[VEHIDCODE]],FIND("_",CONTROL[[#This Row],[VEHIDCODE]])-1)="electric","ELECTRIC",
LEFT(CONTROL[[#This Row],[VEHIDCODE]],FIND("_",CONTROL[[#This Row],[VEHIDCODE]])-1)="mtro","MULTIMETRO",
LEFT(CONTROL[[#This Row],[VEHIDCODE]],FIND("_",CONTROL[[#This Row],[VEHIDCODE]])-1)="singlemtro","SINGLEMETRO",
LEFT(CONTROL[[#This Row],[VEHIDCODE]],FIND("_",CONTROL[[#This Row],[VEHIDCODE]])-1)="dmu","DMU",
LEFT(CONTROL[[#This Row],[VEHIDCODE]],FIND("_",CONTROL[[#This Row],[VEHIDCODE]])-1)="cargodmu","CARGODMU",
LEFT(CONTROL[[#This Row],[VEHIDCODE]],FIND("_",CONTROL[[#This Row],[VEHIDCODE]])-1)="emu","EMU",
LEFT(CONTROL[[#This Row],[VEHIDCODE]],FIND("_",CONTROL[[#This Row],[VEHIDCODE]])-1)="cargoemu","CARGOEMU",
LEFT(CONTROL[[#This Row],[VEHIDCODE]],FIND("|",SUBSTITUTE(CONTROL[[#This Row],[VEHIDCODE]],"_","|",2))-1)="mglv_Wagon","WAGONS_MGLV",
AND(LEFT(CONTROL[[#This Row],[VEHIDCODE]],FIND("_",CONTROL[[#This Row],[VEHIDCODE]])-1)="mglv",INDEX(PROPERTIES[DUAL_HEADED],MATCH(CONTROL[[#This Row],[VEHIDCODE]],PROPERTIES[VEHIDCODE],0))=0),"MAGLEV",
LEFT(CONTROL[[#This Row],[VEHIDCODE]],FIND("_",CONTROL[[#This Row],[VEHIDCODE]])-1)="mmu","MMU")</f>
        <v>ID_RANGE_RBD</v>
      </c>
      <c r="E1051">
        <f ca="1">IF(ISBLANK(CONTROL[[#This Row],[VEHIDCODE]]),"",IF(_xlfn.MAXIFS(INDIRECT("E2:E"&amp;ROW()-1,TRUE),INDIRECT("D2:D"&amp;ROW()-1,TRUE),CONTROL[[#This Row],[VEHID_ID_CATEGORY]])+1=1,INDEX(VEHICLE_ID_RANGES[Range Start],MATCH(CONTROL[[#This Row],[VEHID_ID_CATEGORY]],VEHICLE_ID_RANGES[ID Type],0)),_xlfn.MAXIFS(INDIRECT("E2:E"&amp;ROW()-1,TRUE),INDIRECT("D2:D"&amp;ROW()-1,TRUE),CONTROL[[#This Row],[VEHID_ID_CATEGORY]])+1))</f>
        <v>2050</v>
      </c>
      <c r="F1051" s="30" t="s">
        <v>3693</v>
      </c>
      <c r="G1051" t="s">
        <v>3692</v>
      </c>
      <c r="H1051" s="2" t="b">
        <f>AND(CONTROL[[#This Row],[IS_WAGON_OR_COACH]]=TRUE,OR(RIGHT(CONTROL[[#This Row],[VEHIDCODE]],7)="Powered",RIGHT(CONTROL[[#This Row],[VEHIDCODE]],9)="Unpowered"))</f>
        <v>0</v>
      </c>
      <c r="I10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1" t="b">
        <f>ISNUMBER(MATCH(CONTROL[[#This Row],[VEHIDCODE]],TRACK_TYPES[VEHIDCODE],0))</f>
        <v>1</v>
      </c>
      <c r="K1051" t="b">
        <f>ISNUMBER(MATCH(CONTROL[[#This Row],[VEHIDCODE]],PROPERTIES[VEHIDCODE],0))</f>
        <v>1</v>
      </c>
      <c r="L1051" t="b">
        <f>ISNUMBER(MATCH(CONTROL[[#This Row],[VEHIDCODE]],GRAPHICS_PROPERTIES[VEHIDCODE],0))</f>
        <v>1</v>
      </c>
      <c r="M1051" s="21" t="str">
        <f>"item_"&amp;CONTROL[[#This Row],[VEHIDCODE]]</f>
        <v>item_rbd_Ganz_MAVAG_SN61</v>
      </c>
      <c r="N1051" s="21" t="str">
        <f>"str_"&amp;CONTROL[[#This Row],[VEHIDCODE]]</f>
        <v>str_rbd_Ganz_MAVAG_SN61</v>
      </c>
      <c r="O1051" s="39" t="b">
        <f>INDEX(PROPERTIES[IS_CONCEPT],MATCH(CONTROL[[#This Row],[VEHIDCODE]],PROPERTIES[VEHIDCODE],0))="IS_CONCEPT"</f>
        <v>0</v>
      </c>
      <c r="P1051" s="7" t="b">
        <f>INDEX(PROPERTIES[EXCLUDE],MATCH(CONTROL[[#This Row],[VEHIDCODE]],PROPERTIES[VEHIDCODE],0))</f>
        <v>0</v>
      </c>
      <c r="Q1051" t="str">
        <f>INDEX(GRAPHICS_PROPERTIES[TEMPLATE_ID],MATCH(CONTROL[[#This Row],[VEHIDCODE]],GRAPHICS_PROPERTIES[VEHIDCODE],0))&amp;INDEX(GRAPHICS_PROPERTIES[TEMPLATE_AMENDMENT_CODE],MATCH(CONTROL[[#This Row],[VEHIDCODE]],GRAPHICS_PROPERTIES[VEHIDCODE],0))</f>
        <v>TPL_01H</v>
      </c>
    </row>
  </sheetData>
  <conditionalFormatting sqref="A1:A940 A974:A977 A985:A1029 A1031:A1048576">
    <cfRule type="containsText" dxfId="93" priority="37" operator="containsText" text=" ">
      <formula>NOT(ISERROR(SEARCH(" ",A1)))</formula>
    </cfRule>
  </conditionalFormatting>
  <conditionalFormatting sqref="A1:A1048576">
    <cfRule type="expression" dxfId="92" priority="3">
      <formula>$P1=TRUE</formula>
    </cfRule>
  </conditionalFormatting>
  <conditionalFormatting sqref="A942:A943">
    <cfRule type="containsText" dxfId="91" priority="32" operator="containsText" text=" ">
      <formula>NOT(ISERROR(SEARCH(" ",A942)))</formula>
    </cfRule>
  </conditionalFormatting>
  <conditionalFormatting sqref="A946:A950 A952:A953">
    <cfRule type="containsText" dxfId="90" priority="44" operator="containsText" text=" ">
      <formula>NOT(ISERROR(SEARCH(" ",A946)))</formula>
    </cfRule>
  </conditionalFormatting>
  <conditionalFormatting sqref="A956:A971">
    <cfRule type="containsText" dxfId="89" priority="30" operator="containsText" text=" ">
      <formula>NOT(ISERROR(SEARCH(" ",A956)))</formula>
    </cfRule>
  </conditionalFormatting>
  <conditionalFormatting sqref="A979:A982">
    <cfRule type="containsText" dxfId="88" priority="28" operator="containsText" text=" ">
      <formula>NOT(ISERROR(SEARCH(" ",A979)))</formula>
    </cfRule>
  </conditionalFormatting>
  <conditionalFormatting sqref="E2:E1048576">
    <cfRule type="duplicateValues" dxfId="87" priority="43"/>
  </conditionalFormatting>
  <conditionalFormatting sqref="E568">
    <cfRule type="cellIs" dxfId="86" priority="6" operator="equal">
      <formula>FALSE</formula>
    </cfRule>
  </conditionalFormatting>
  <conditionalFormatting sqref="E570:E586">
    <cfRule type="cellIs" dxfId="85" priority="7" operator="equal">
      <formula>FALSE</formula>
    </cfRule>
  </conditionalFormatting>
  <conditionalFormatting sqref="E1006:E1021">
    <cfRule type="cellIs" dxfId="84" priority="22" operator="equal">
      <formula>FALSE</formula>
    </cfRule>
  </conditionalFormatting>
  <conditionalFormatting sqref="F1:F1048576">
    <cfRule type="containsText" dxfId="83" priority="45" operator="containsText" text=")">
      <formula>NOT(ISERROR(SEARCH(")",F1)))</formula>
    </cfRule>
    <cfRule type="containsText" dxfId="82" priority="46" operator="containsText" text="(">
      <formula>NOT(ISERROR(SEARCH("(",F1)))</formula>
    </cfRule>
  </conditionalFormatting>
  <conditionalFormatting sqref="H2:I1051">
    <cfRule type="containsText" dxfId="81" priority="47" operator="containsText" text="FALSE">
      <formula>NOT(ISERROR(SEARCH("FALSE",H2)))</formula>
    </cfRule>
  </conditionalFormatting>
  <conditionalFormatting sqref="H1:L1 B2:E1051 J2:N1051">
    <cfRule type="cellIs" dxfId="80" priority="2" operator="equal">
      <formula>FALSE</formula>
    </cfRule>
  </conditionalFormatting>
  <conditionalFormatting sqref="M1:O1">
    <cfRule type="cellIs" dxfId="79" priority="49" operator="equal">
      <formula>FALSE</formula>
    </cfRule>
  </conditionalFormatting>
  <conditionalFormatting sqref="O2:P1048576">
    <cfRule type="cellIs" dxfId="78" priority="25" operator="equal">
      <formula>FALSE</formula>
    </cfRule>
  </conditionalFormatting>
  <conditionalFormatting sqref="P1">
    <cfRule type="cellIs" dxfId="77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V1051"/>
  <sheetViews>
    <sheetView tabSelected="1" zoomScale="85" zoomScaleNormal="85" workbookViewId="0">
      <pane xSplit="1" ySplit="1" topLeftCell="B898" activePane="bottomRight" state="frozen"/>
      <selection pane="topRight" activeCell="B1" sqref="B1"/>
      <selection pane="bottomLeft" activeCell="A2" sqref="A2"/>
      <selection pane="bottomRight" activeCell="V916" sqref="V916:V917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37" bestFit="1" customWidth="1"/>
    <col min="6" max="6" width="15.26953125" hidden="1" customWidth="1"/>
    <col min="7" max="7" width="15.26953125" style="37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3" width="11" hidden="1" customWidth="1"/>
    <col min="14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3" customWidth="1"/>
    <col min="42" max="45" width="8.81640625" style="47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bestFit="1" customWidth="1"/>
    <col min="63" max="63" width="17.453125" bestFit="1" customWidth="1"/>
    <col min="64" max="64" width="10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48" ht="61.5" customHeight="1" x14ac:dyDescent="0.35">
      <c r="A1" s="1" t="s">
        <v>0</v>
      </c>
      <c r="B1" s="1" t="s">
        <v>5</v>
      </c>
      <c r="C1" s="1" t="s">
        <v>1918</v>
      </c>
      <c r="D1" s="11" t="s">
        <v>2</v>
      </c>
      <c r="E1" s="38" t="s">
        <v>2558</v>
      </c>
      <c r="F1" s="1" t="s">
        <v>528</v>
      </c>
      <c r="G1" s="38" t="s">
        <v>1030</v>
      </c>
      <c r="H1" s="11" t="s">
        <v>3</v>
      </c>
      <c r="I1" s="1" t="s">
        <v>1</v>
      </c>
      <c r="J1" s="1" t="s">
        <v>4</v>
      </c>
      <c r="K1" s="1" t="s">
        <v>3654</v>
      </c>
      <c r="L1" s="1" t="s">
        <v>3652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48" t="s">
        <v>3643</v>
      </c>
      <c r="T1" s="48" t="s">
        <v>3641</v>
      </c>
      <c r="U1" s="48" t="s">
        <v>3642</v>
      </c>
      <c r="V1" s="1" t="s">
        <v>10</v>
      </c>
      <c r="W1" s="48" t="s">
        <v>3644</v>
      </c>
      <c r="X1" s="48" t="s">
        <v>3645</v>
      </c>
      <c r="Y1" s="48" t="s">
        <v>3646</v>
      </c>
      <c r="Z1" s="18" t="s">
        <v>1036</v>
      </c>
      <c r="AA1" s="18" t="s">
        <v>1037</v>
      </c>
      <c r="AB1" s="18" t="s">
        <v>1038</v>
      </c>
      <c r="AC1" s="11" t="s">
        <v>11</v>
      </c>
      <c r="AD1" s="11" t="s">
        <v>12</v>
      </c>
      <c r="AE1" s="5" t="s">
        <v>13</v>
      </c>
      <c r="AF1" s="5" t="s">
        <v>3653</v>
      </c>
      <c r="AG1" t="s">
        <v>46</v>
      </c>
      <c r="AH1" t="s">
        <v>47</v>
      </c>
      <c r="AI1" t="s">
        <v>48</v>
      </c>
      <c r="AJ1" s="2" t="s">
        <v>3509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0" t="s">
        <v>3635</v>
      </c>
      <c r="AP1" s="44" t="s">
        <v>3640</v>
      </c>
      <c r="AQ1" s="44" t="s">
        <v>3639</v>
      </c>
      <c r="AR1" s="44" t="s">
        <v>3656</v>
      </c>
      <c r="AS1" s="44" t="s">
        <v>3655</v>
      </c>
      <c r="AT1" s="3" t="s">
        <v>1879</v>
      </c>
      <c r="AU1" s="3" t="s">
        <v>3690</v>
      </c>
      <c r="AV1" s="1"/>
    </row>
    <row r="2" spans="1:48" x14ac:dyDescent="0.35">
      <c r="A2" s="2" t="s">
        <v>71</v>
      </c>
      <c r="B2">
        <v>2000</v>
      </c>
      <c r="D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" s="37" t="str">
        <f>INDEX(CONTROL[ENGLISH],MATCH(PROPERTIES[[#This Row],[VEHIDCODE]],CONTROL[VEHIDCODE],0))</f>
        <v>Maglev Unit Wagon</v>
      </c>
      <c r="G2" s="37" t="str">
        <f>_xlfn.IFNA(INDEX(COUNTRIES[COUNTRY_LABEL],MATCH(PROPERTIES[[#This Row],[COUNTRY]],COUNTRIES[COUNTRY_DESCRIPTION],0)),"")</f>
        <v/>
      </c>
      <c r="H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INDEX(LOADINGSPEEDDEF[SPEED],MATCH("LOADINGSPEEDDEF_"&amp;PROPERTIES[[#This Row],[LOADINGSPEED]],LOADINGSPEEDDEF[TYPE],0))</f>
        <v>60</v>
      </c>
      <c r="O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4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2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2" s="2" t="str">
        <f>SUBSTITUTE(SUBSTITUTE(PROPERTIES[[#This Row],[PURCHASECOST_VALUE]], "PURCHASECOST_", ""), "_VALUE", "")</f>
        <v>MMU</v>
      </c>
      <c r="AO2" s="41" t="b">
        <v>0</v>
      </c>
      <c r="AP2" s="45" t="b">
        <v>0</v>
      </c>
      <c r="AQ2" s="45" t="b">
        <v>0</v>
      </c>
      <c r="AR2" s="45">
        <v>0</v>
      </c>
      <c r="AS2" s="45" t="b">
        <v>0</v>
      </c>
      <c r="AT2" s="7" t="b">
        <v>0</v>
      </c>
      <c r="AU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3" spans="1:48" x14ac:dyDescent="0.35">
      <c r="A3" s="2" t="s">
        <v>72</v>
      </c>
      <c r="B3">
        <v>2000</v>
      </c>
      <c r="D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" s="37" t="str">
        <f>INDEX(CONTROL[ENGLISH],MATCH(PROPERTIES[[#This Row],[VEHIDCODE]],CONTROL[VEHIDCODE],0))</f>
        <v>Maglev Unit Wagon</v>
      </c>
      <c r="G3" s="37" t="str">
        <f>_xlfn.IFNA(INDEX(COUNTRIES[COUNTRY_LABEL],MATCH(PROPERTIES[[#This Row],[COUNTRY]],COUNTRIES[COUNTRY_DESCRIPTION],0)),"")</f>
        <v/>
      </c>
      <c r="H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INDEX(LOADINGSPEEDDEF[SPEED],MATCH("LOADINGSPEEDDEF_"&amp;PROPERTIES[[#This Row],[LOADINGSPEED]],LOADINGSPEEDDEF[TYPE],0))</f>
        <v>60</v>
      </c>
      <c r="O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4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3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3" s="2" t="str">
        <f>SUBSTITUTE(SUBSTITUTE(PROPERTIES[[#This Row],[PURCHASECOST_VALUE]], "PURCHASECOST_", ""), "_VALUE", "")</f>
        <v>MMU</v>
      </c>
      <c r="AO3" s="41" t="b">
        <v>0</v>
      </c>
      <c r="AP3" s="45" t="b">
        <v>0</v>
      </c>
      <c r="AQ3" s="45" t="b">
        <v>0</v>
      </c>
      <c r="AR3" s="45">
        <v>0</v>
      </c>
      <c r="AS3" s="45" t="b">
        <v>0</v>
      </c>
      <c r="AT3" s="7" t="b">
        <v>0</v>
      </c>
      <c r="AU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4" spans="1:48" x14ac:dyDescent="0.35">
      <c r="A4" s="2" t="s">
        <v>2641</v>
      </c>
      <c r="B4">
        <v>1903</v>
      </c>
      <c r="D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" s="37" t="str">
        <f>INDEX(CONTROL[ENGLISH],MATCH(PROPERTIES[[#This Row],[VEHIDCODE]],CONTROL[VEHIDCODE],0))</f>
        <v>Komarek NOLB 1</v>
      </c>
      <c r="F4" t="s">
        <v>540</v>
      </c>
      <c r="G4" s="37" t="str">
        <f>_xlfn.IFNA(INDEX(COUNTRIES[COUNTRY_LABEL],MATCH(PROPERTIES[[#This Row],[COUNTRY]],COUNTRIES[COUNTRY_DESCRIPTION],0)),"")</f>
        <v>AT</v>
      </c>
      <c r="H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INDEX(LOADINGSPEEDDEF[SPEED],MATCH("LOADINGSPEEDDEF_"&amp;PROPERTIES[[#This Row],[LOADINGSPEED]],LOADINGSPEEDDEF[TYPE],0))</f>
        <v>60</v>
      </c>
      <c r="O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4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4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1" t="b">
        <v>0</v>
      </c>
      <c r="AP4" s="45" t="b">
        <v>0</v>
      </c>
      <c r="AQ4" s="45" t="b">
        <v>0</v>
      </c>
      <c r="AR4" s="45">
        <v>0</v>
      </c>
      <c r="AS4" s="45" t="b">
        <v>0</v>
      </c>
      <c r="AT4" s="7" t="b">
        <v>0</v>
      </c>
      <c r="AU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" spans="1:48" x14ac:dyDescent="0.35">
      <c r="A5" s="2" t="s">
        <v>2642</v>
      </c>
      <c r="B5">
        <v>1906</v>
      </c>
      <c r="D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" s="37" t="str">
        <f>INDEX(CONTROL[ENGLISH],MATCH(PROPERTIES[[#This Row],[VEHIDCODE]],CONTROL[VEHIDCODE],0))</f>
        <v>Kerr, Stuart &amp; Co. 86</v>
      </c>
      <c r="F5" t="s">
        <v>636</v>
      </c>
      <c r="G5" s="37" t="str">
        <f>_xlfn.IFNA(INDEX(COUNTRIES[COUNTRY_LABEL],MATCH(PROPERTIES[[#This Row],[COUNTRY]],COUNTRIES[COUNTRY_DESCRIPTION],0)),"")</f>
        <v>IT</v>
      </c>
      <c r="H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INDEX(LOADINGSPEEDDEF[SPEED],MATCH("LOADINGSPEEDDEF_"&amp;PROPERTIES[[#This Row],[LOADINGSPEED]],LOADINGSPEEDDEF[TYPE],0))</f>
        <v>60</v>
      </c>
      <c r="O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4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5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1" t="b">
        <v>0</v>
      </c>
      <c r="AP5" s="45" t="b">
        <v>0</v>
      </c>
      <c r="AQ5" s="45" t="b">
        <v>0</v>
      </c>
      <c r="AR5" s="45">
        <v>0</v>
      </c>
      <c r="AS5" s="45" t="b">
        <v>0</v>
      </c>
      <c r="AT5" s="7" t="b">
        <v>0</v>
      </c>
      <c r="AU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" spans="1:48" x14ac:dyDescent="0.35">
      <c r="A6" s="2" t="s">
        <v>2643</v>
      </c>
      <c r="B6">
        <v>1883</v>
      </c>
      <c r="D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" s="37" t="str">
        <f>INDEX(CONTROL[ENGLISH],MATCH(PROPERTIES[[#This Row],[VEHIDCODE]],CONTROL[VEHIDCODE],0))</f>
        <v>Victorian Railways Rowan Railmotor</v>
      </c>
      <c r="F6" t="s">
        <v>541</v>
      </c>
      <c r="G6" s="37" t="str">
        <f>_xlfn.IFNA(INDEX(COUNTRIES[COUNTRY_LABEL],MATCH(PROPERTIES[[#This Row],[COUNTRY]],COUNTRIES[COUNTRY_DESCRIPTION],0)),"")</f>
        <v>AU</v>
      </c>
      <c r="H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INDEX(LOADINGSPEEDDEF[SPEED],MATCH("LOADINGSPEEDDEF_"&amp;PROPERTIES[[#This Row],[LOADINGSPEED]],LOADINGSPEEDDEF[TYPE],0))</f>
        <v>60</v>
      </c>
      <c r="O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4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6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1" t="b">
        <v>0</v>
      </c>
      <c r="AP6" s="45" t="b">
        <v>0</v>
      </c>
      <c r="AQ6" s="45" t="b">
        <v>0</v>
      </c>
      <c r="AR6" s="45">
        <v>0</v>
      </c>
      <c r="AS6" s="45" t="b">
        <v>0</v>
      </c>
      <c r="AT6" s="7" t="b">
        <v>0</v>
      </c>
      <c r="AU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" spans="1:48" x14ac:dyDescent="0.35">
      <c r="A7" s="2" t="s">
        <v>2644</v>
      </c>
      <c r="B7">
        <v>1902</v>
      </c>
      <c r="D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" s="37" t="str">
        <f>INDEX(CONTROL[ENGLISH],MATCH(PROPERTIES[[#This Row],[VEHIDCODE]],CONTROL[VEHIDCODE],0))</f>
        <v>Esslingen Czm 1/2</v>
      </c>
      <c r="F7" t="s">
        <v>570</v>
      </c>
      <c r="G7" s="37" t="str">
        <f>_xlfn.IFNA(INDEX(COUNTRIES[COUNTRY_LABEL],MATCH(PROPERTIES[[#This Row],[COUNTRY]],COUNTRIES[COUNTRY_DESCRIPTION],0)),"")</f>
        <v>CH</v>
      </c>
      <c r="H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INDEX(LOADINGSPEEDDEF[SPEED],MATCH("LOADINGSPEEDDEF_"&amp;PROPERTIES[[#This Row],[LOADINGSPEED]],LOADINGSPEEDDEF[TYPE],0))</f>
        <v>60</v>
      </c>
      <c r="O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4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1" t="b">
        <v>0</v>
      </c>
      <c r="AP7" s="45" t="b">
        <v>0</v>
      </c>
      <c r="AQ7" s="45" t="b">
        <v>0</v>
      </c>
      <c r="AR7" s="45">
        <v>0</v>
      </c>
      <c r="AS7" s="45" t="b">
        <v>0</v>
      </c>
      <c r="AT7" s="7" t="b">
        <v>0</v>
      </c>
      <c r="AU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" spans="1:48" x14ac:dyDescent="0.35">
      <c r="A8" s="2" t="s">
        <v>2645</v>
      </c>
      <c r="B8">
        <v>1906</v>
      </c>
      <c r="D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" s="37" t="str">
        <f>INDEX(CONTROL[ENGLISH],MATCH(PROPERTIES[[#This Row],[VEHIDCODE]],CONTROL[VEHIDCODE],0))</f>
        <v>Maffei MCCi</v>
      </c>
      <c r="F8" t="s">
        <v>584</v>
      </c>
      <c r="G8" s="37" t="str">
        <f>_xlfn.IFNA(INDEX(COUNTRIES[COUNTRY_LABEL],MATCH(PROPERTIES[[#This Row],[COUNTRY]],COUNTRIES[COUNTRY_DESCRIPTION],0)),"")</f>
        <v>DE</v>
      </c>
      <c r="H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INDEX(LOADINGSPEEDDEF[SPEED],MATCH("LOADINGSPEEDDEF_"&amp;PROPERTIES[[#This Row],[LOADINGSPEED]],LOADINGSPEEDDEF[TYPE],0))</f>
        <v>60</v>
      </c>
      <c r="O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4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8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1" t="b">
        <v>0</v>
      </c>
      <c r="AP8" s="45" t="b">
        <v>0</v>
      </c>
      <c r="AQ8" s="45" t="b">
        <v>0</v>
      </c>
      <c r="AR8" s="45">
        <v>0</v>
      </c>
      <c r="AS8" s="45" t="b">
        <v>0</v>
      </c>
      <c r="AT8" s="7" t="b">
        <v>0</v>
      </c>
      <c r="AU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9" spans="1:48" x14ac:dyDescent="0.35">
      <c r="A9" s="2" t="s">
        <v>2646</v>
      </c>
      <c r="B9">
        <v>1906</v>
      </c>
      <c r="D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" s="37" t="str">
        <f>INDEX(CONTROL[ENGLISH],MATCH(PROPERTIES[[#This Row],[VEHIDCODE]],CONTROL[VEHIDCODE],0))</f>
        <v>Kitson &amp; Co. CSAR Railmotor</v>
      </c>
      <c r="F9" t="s">
        <v>771</v>
      </c>
      <c r="G9" s="37" t="str">
        <f>_xlfn.IFNA(INDEX(COUNTRIES[COUNTRY_LABEL],MATCH(PROPERTIES[[#This Row],[COUNTRY]],COUNTRIES[COUNTRY_DESCRIPTION],0)),"")</f>
        <v>ZA</v>
      </c>
      <c r="H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INDEX(LOADINGSPEEDDEF[SPEED],MATCH("LOADINGSPEEDDEF_"&amp;PROPERTIES[[#This Row],[LOADINGSPEED]],LOADINGSPEEDDEF[TYPE],0))</f>
        <v>60</v>
      </c>
      <c r="O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4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9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1" t="b">
        <v>0</v>
      </c>
      <c r="AP9" s="45" t="b">
        <v>0</v>
      </c>
      <c r="AQ9" s="45" t="b">
        <v>0</v>
      </c>
      <c r="AR9" s="45">
        <v>0</v>
      </c>
      <c r="AS9" s="45" t="b">
        <v>0</v>
      </c>
      <c r="AT9" s="7" t="b">
        <v>0</v>
      </c>
      <c r="AU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TPL_32B</v>
      </c>
    </row>
    <row r="10" spans="1:48" x14ac:dyDescent="0.35">
      <c r="A10" s="2" t="s">
        <v>2647</v>
      </c>
      <c r="B10">
        <v>1912</v>
      </c>
      <c r="D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" s="37" t="str">
        <f>INDEX(CONTROL[ENGLISH],MATCH(PROPERTIES[[#This Row],[VEHIDCODE]],CONTROL[VEHIDCODE],0))</f>
        <v>Kerr, Stuart &amp; Co. Motor Car 3</v>
      </c>
      <c r="F10" t="s">
        <v>541</v>
      </c>
      <c r="G10" s="37" t="str">
        <f>_xlfn.IFNA(INDEX(COUNTRIES[COUNTRY_LABEL],MATCH(PROPERTIES[[#This Row],[COUNTRY]],COUNTRIES[COUNTRY_DESCRIPTION],0)),"")</f>
        <v>AU</v>
      </c>
      <c r="H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INDEX(LOADINGSPEEDDEF[SPEED],MATCH("LOADINGSPEEDDEF_"&amp;PROPERTIES[[#This Row],[LOADINGSPEED]],LOADINGSPEEDDEF[TYPE],0))</f>
        <v>60</v>
      </c>
      <c r="O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4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10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1" t="b">
        <v>0</v>
      </c>
      <c r="AP10" s="45" t="b">
        <v>0</v>
      </c>
      <c r="AQ10" s="45" t="b">
        <v>0</v>
      </c>
      <c r="AR10" s="45">
        <v>0</v>
      </c>
      <c r="AS10" s="45" t="b">
        <v>0</v>
      </c>
      <c r="AT10" s="7" t="b">
        <v>0</v>
      </c>
      <c r="AU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" spans="1:48" x14ac:dyDescent="0.35">
      <c r="A11" s="2" t="s">
        <v>2648</v>
      </c>
      <c r="B11">
        <v>1880</v>
      </c>
      <c r="D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" s="37" t="str">
        <f>INDEX(CONTROL[ENGLISH],MATCH(PROPERTIES[[#This Row],[VEHIDCODE]],CONTROL[VEHIDCODE],0))</f>
        <v>KkStB 4.0</v>
      </c>
      <c r="F11" t="s">
        <v>540</v>
      </c>
      <c r="G11" s="37" t="str">
        <f>_xlfn.IFNA(INDEX(COUNTRIES[COUNTRY_LABEL],MATCH(PROPERTIES[[#This Row],[COUNTRY]],COUNTRIES[COUNTRY_DESCRIPTION],0)),"")</f>
        <v>AT</v>
      </c>
      <c r="H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INDEX(LOADINGSPEEDDEF[SPEED],MATCH("LOADINGSPEEDDEF_"&amp;PROPERTIES[[#This Row],[LOADINGSPEED]],LOADINGSPEEDDEF[TYPE],0))</f>
        <v>20</v>
      </c>
      <c r="O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4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11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1" t="b">
        <v>0</v>
      </c>
      <c r="AP11" s="45" t="b">
        <v>0</v>
      </c>
      <c r="AQ11" s="45" t="b">
        <v>0</v>
      </c>
      <c r="AR11" s="45">
        <v>0</v>
      </c>
      <c r="AS11" s="45" t="b">
        <v>0</v>
      </c>
      <c r="AT11" s="7" t="b">
        <v>0</v>
      </c>
      <c r="AU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" spans="1:48" x14ac:dyDescent="0.35">
      <c r="A12" s="2" t="s">
        <v>2649</v>
      </c>
      <c r="B12">
        <v>1922</v>
      </c>
      <c r="D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" s="37" t="str">
        <f>INDEX(CONTROL[ENGLISH],MATCH(PROPERTIES[[#This Row],[VEHIDCODE]],CONTROL[VEHIDCODE],0))</f>
        <v>AEC Railmotor RM1</v>
      </c>
      <c r="F12" t="s">
        <v>541</v>
      </c>
      <c r="G12" s="37" t="str">
        <f>_xlfn.IFNA(INDEX(COUNTRIES[COUNTRY_LABEL],MATCH(PROPERTIES[[#This Row],[COUNTRY]],COUNTRIES[COUNTRY_DESCRIPTION],0)),"")</f>
        <v>AU</v>
      </c>
      <c r="H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INDEX(LOADINGSPEEDDEF[SPEED],MATCH("LOADINGSPEEDDEF_"&amp;PROPERTIES[[#This Row],[LOADINGSPEED]],LOADINGSPEEDDEF[TYPE],0))</f>
        <v>60</v>
      </c>
      <c r="O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4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1" t="b">
        <v>0</v>
      </c>
      <c r="AP12" s="45" t="b">
        <v>0</v>
      </c>
      <c r="AQ12" s="45" t="b">
        <v>0</v>
      </c>
      <c r="AR12" s="45">
        <v>0</v>
      </c>
      <c r="AS12" s="45" t="b">
        <v>0</v>
      </c>
      <c r="AT12" s="7" t="b">
        <v>0</v>
      </c>
      <c r="AU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3" spans="1:48" x14ac:dyDescent="0.35">
      <c r="A13" s="2" t="s">
        <v>2650</v>
      </c>
      <c r="B13">
        <v>1932</v>
      </c>
      <c r="D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" s="37" t="str">
        <f>INDEX(CONTROL[ENGLISH],MATCH(PROPERTIES[[#This Row],[VEHIDCODE]],CONTROL[VEHIDCODE],0))</f>
        <v>VT133 Wismar Railcar</v>
      </c>
      <c r="F13" t="s">
        <v>584</v>
      </c>
      <c r="G13" s="37" t="str">
        <f>_xlfn.IFNA(INDEX(COUNTRIES[COUNTRY_LABEL],MATCH(PROPERTIES[[#This Row],[COUNTRY]],COUNTRIES[COUNTRY_DESCRIPTION],0)),"")</f>
        <v>DE</v>
      </c>
      <c r="H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INDEX(LOADINGSPEEDDEF[SPEED],MATCH("LOADINGSPEEDDEF_"&amp;PROPERTIES[[#This Row],[LOADINGSPEED]],LOADINGSPEEDDEF[TYPE],0))</f>
        <v>60</v>
      </c>
      <c r="O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4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1" t="b">
        <v>0</v>
      </c>
      <c r="AP13" s="45" t="b">
        <v>0</v>
      </c>
      <c r="AQ13" s="45" t="b">
        <v>0</v>
      </c>
      <c r="AR13" s="45">
        <v>0</v>
      </c>
      <c r="AS13" s="45" t="b">
        <v>0</v>
      </c>
      <c r="AT13" s="7" t="b">
        <v>0</v>
      </c>
      <c r="AU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4" spans="1:48" x14ac:dyDescent="0.35">
      <c r="A14" s="2" t="s">
        <v>2651</v>
      </c>
      <c r="B14">
        <v>1934</v>
      </c>
      <c r="D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" s="37" t="str">
        <f>INDEX(CONTROL[ENGLISH],MATCH(PROPERTIES[[#This Row],[VEHIDCODE]],CONTROL[VEHIDCODE],0))</f>
        <v>AEC Railcar</v>
      </c>
      <c r="F14" t="s">
        <v>603</v>
      </c>
      <c r="G14" s="37" t="str">
        <f>_xlfn.IFNA(INDEX(COUNTRIES[COUNTRY_LABEL],MATCH(PROPERTIES[[#This Row],[COUNTRY]],COUNTRIES[COUNTRY_DESCRIPTION],0)),"")</f>
        <v>GB</v>
      </c>
      <c r="H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INDEX(LOADINGSPEEDDEF[SPEED],MATCH("LOADINGSPEEDDEF_"&amp;PROPERTIES[[#This Row],[LOADINGSPEED]],LOADINGSPEEDDEF[TYPE],0))</f>
        <v>60</v>
      </c>
      <c r="O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4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1" t="b">
        <v>0</v>
      </c>
      <c r="AP14" s="45" t="b">
        <v>0</v>
      </c>
      <c r="AQ14" s="45" t="b">
        <v>0</v>
      </c>
      <c r="AR14" s="45">
        <v>0</v>
      </c>
      <c r="AS14" s="45" t="b">
        <v>0</v>
      </c>
      <c r="AT14" s="7" t="b">
        <v>0</v>
      </c>
      <c r="AU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5" spans="1:48" x14ac:dyDescent="0.35">
      <c r="A15" s="2" t="s">
        <v>2652</v>
      </c>
      <c r="B15">
        <v>1935</v>
      </c>
      <c r="D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" s="37" t="str">
        <f>INDEX(CONTROL[ENGLISH],MATCH(PROPERTIES[[#This Row],[VEHIDCODE]],CONTROL[VEHIDCODE],0))</f>
        <v>Simmering VT42</v>
      </c>
      <c r="F15" t="s">
        <v>540</v>
      </c>
      <c r="G15" s="37" t="str">
        <f>_xlfn.IFNA(INDEX(COUNTRIES[COUNTRY_LABEL],MATCH(PROPERTIES[[#This Row],[COUNTRY]],COUNTRIES[COUNTRY_DESCRIPTION],0)),"")</f>
        <v>AT</v>
      </c>
      <c r="H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INDEX(LOADINGSPEEDDEF[SPEED],MATCH("LOADINGSPEEDDEF_"&amp;PROPERTIES[[#This Row],[LOADINGSPEED]],LOADINGSPEEDDEF[TYPE],0))</f>
        <v>60</v>
      </c>
      <c r="O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4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1" t="b">
        <v>0</v>
      </c>
      <c r="AP15" s="45" t="b">
        <v>1</v>
      </c>
      <c r="AQ15" s="45" t="b">
        <v>0</v>
      </c>
      <c r="AR15" s="45">
        <v>0</v>
      </c>
      <c r="AS15" s="45" t="b">
        <v>0</v>
      </c>
      <c r="AT15" s="7" t="b">
        <v>0</v>
      </c>
      <c r="AU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6" spans="1:48" x14ac:dyDescent="0.35">
      <c r="A16" s="2" t="s">
        <v>2653</v>
      </c>
      <c r="B16">
        <v>1940</v>
      </c>
      <c r="D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" s="37" t="str">
        <f>INDEX(CONTROL[ENGLISH],MATCH(PROPERTIES[[#This Row],[VEHIDCODE]],CONTROL[VEHIDCODE],0))</f>
        <v>Hutt RM31</v>
      </c>
      <c r="F16" t="s">
        <v>697</v>
      </c>
      <c r="G16" s="37" t="str">
        <f>_xlfn.IFNA(INDEX(COUNTRIES[COUNTRY_LABEL],MATCH(PROPERTIES[[#This Row],[COUNTRY]],COUNTRIES[COUNTRY_DESCRIPTION],0)),"")</f>
        <v>NZ</v>
      </c>
      <c r="H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INDEX(LOADINGSPEEDDEF[SPEED],MATCH("LOADINGSPEEDDEF_"&amp;PROPERTIES[[#This Row],[LOADINGSPEED]],LOADINGSPEEDDEF[TYPE],0))</f>
        <v>60</v>
      </c>
      <c r="O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4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1" t="b">
        <v>0</v>
      </c>
      <c r="AP16" s="45" t="b">
        <v>1</v>
      </c>
      <c r="AQ16" s="45" t="b">
        <v>0</v>
      </c>
      <c r="AR16" s="45">
        <v>0</v>
      </c>
      <c r="AS16" s="45" t="b">
        <v>0</v>
      </c>
      <c r="AT16" s="7" t="b">
        <v>0</v>
      </c>
      <c r="AU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7" spans="1:47" x14ac:dyDescent="0.35">
      <c r="A17" s="2" t="s">
        <v>2654</v>
      </c>
      <c r="B17">
        <v>1948</v>
      </c>
      <c r="D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" s="37" t="str">
        <f>INDEX(CONTROL[ENGLISH],MATCH(PROPERTIES[[#This Row],[VEHIDCODE]],CONTROL[VEHIDCODE],0))</f>
        <v>NOHAB CP 0100</v>
      </c>
      <c r="F17" t="s">
        <v>710</v>
      </c>
      <c r="G17" s="37" t="str">
        <f>_xlfn.IFNA(INDEX(COUNTRIES[COUNTRY_LABEL],MATCH(PROPERTIES[[#This Row],[COUNTRY]],COUNTRIES[COUNTRY_DESCRIPTION],0)),"")</f>
        <v>PT</v>
      </c>
      <c r="H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INDEX(LOADINGSPEEDDEF[SPEED],MATCH("LOADINGSPEEDDEF_"&amp;PROPERTIES[[#This Row],[LOADINGSPEED]],LOADINGSPEEDDEF[TYPE],0))</f>
        <v>60</v>
      </c>
      <c r="O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4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1" t="b">
        <v>0</v>
      </c>
      <c r="AP17" s="45" t="b">
        <v>1</v>
      </c>
      <c r="AQ17" s="45" t="b">
        <v>0</v>
      </c>
      <c r="AR17" s="45">
        <v>0</v>
      </c>
      <c r="AS17" s="45" t="b">
        <v>0</v>
      </c>
      <c r="AT17" s="7" t="b">
        <v>0</v>
      </c>
      <c r="AU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8" spans="1:47" x14ac:dyDescent="0.35">
      <c r="A18" s="2" t="s">
        <v>2655</v>
      </c>
      <c r="B18">
        <v>1949</v>
      </c>
      <c r="D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" s="37" t="str">
        <f>INDEX(CONTROL[ENGLISH],MATCH(PROPERTIES[[#This Row],[VEHIDCODE]],CONTROL[VEHIDCODE],0))</f>
        <v>Budd RDC</v>
      </c>
      <c r="F18" t="s">
        <v>757</v>
      </c>
      <c r="G18" s="37" t="str">
        <f>_xlfn.IFNA(INDEX(COUNTRIES[COUNTRY_LABEL],MATCH(PROPERTIES[[#This Row],[COUNTRY]],COUNTRIES[COUNTRY_DESCRIPTION],0)),"")</f>
        <v>US</v>
      </c>
      <c r="H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INDEX(LOADINGSPEEDDEF[SPEED],MATCH("LOADINGSPEEDDEF_"&amp;PROPERTIES[[#This Row],[LOADINGSPEED]],LOADINGSPEEDDEF[TYPE],0))</f>
        <v>60</v>
      </c>
      <c r="O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4">
        <v>0</v>
      </c>
      <c r="AF18" s="6">
        <v>0</v>
      </c>
      <c r="AG18" t="s">
        <v>240</v>
      </c>
      <c r="AH18" t="s">
        <v>1939</v>
      </c>
      <c r="AI18" t="s">
        <v>229</v>
      </c>
      <c r="AJ18" s="2" t="s">
        <v>229</v>
      </c>
      <c r="AK18" s="2" t="s">
        <v>244</v>
      </c>
      <c r="AL1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1" t="b">
        <v>0</v>
      </c>
      <c r="AP18" s="45" t="b">
        <v>1</v>
      </c>
      <c r="AQ18" s="45" t="b">
        <v>0</v>
      </c>
      <c r="AR18" s="45">
        <v>0</v>
      </c>
      <c r="AS18" s="45" t="b">
        <v>0</v>
      </c>
      <c r="AT18" s="7" t="b">
        <v>0</v>
      </c>
      <c r="AU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19" spans="1:47" x14ac:dyDescent="0.35">
      <c r="A19" s="2" t="s">
        <v>2656</v>
      </c>
      <c r="B19">
        <v>1953</v>
      </c>
      <c r="D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" s="37" t="str">
        <f>INDEX(CONTROL[ENGLISH],MATCH(PROPERTIES[[#This Row],[VEHIDCODE]],CONTROL[VEHIDCODE],0))</f>
        <v>Uerdingen railbus</v>
      </c>
      <c r="F19" t="s">
        <v>584</v>
      </c>
      <c r="G19" s="37" t="str">
        <f>_xlfn.IFNA(INDEX(COUNTRIES[COUNTRY_LABEL],MATCH(PROPERTIES[[#This Row],[COUNTRY]],COUNTRIES[COUNTRY_DESCRIPTION],0)),"")</f>
        <v>DE</v>
      </c>
      <c r="H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INDEX(LOADINGSPEEDDEF[SPEED],MATCH("LOADINGSPEEDDEF_"&amp;PROPERTIES[[#This Row],[LOADINGSPEED]],LOADINGSPEEDDEF[TYPE],0))</f>
        <v>60</v>
      </c>
      <c r="O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4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1" t="b">
        <v>0</v>
      </c>
      <c r="AP19" s="45" t="b">
        <v>1</v>
      </c>
      <c r="AQ19" s="45" t="b">
        <v>0</v>
      </c>
      <c r="AR19" s="45">
        <v>0</v>
      </c>
      <c r="AS19" s="45" t="b">
        <v>0</v>
      </c>
      <c r="AT19" s="7" t="b">
        <v>0</v>
      </c>
      <c r="AU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0" spans="1:47" x14ac:dyDescent="0.35">
      <c r="A20" s="2" t="s">
        <v>2657</v>
      </c>
      <c r="B20">
        <v>1959</v>
      </c>
      <c r="D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" s="37" t="str">
        <f>INDEX(CONTROL[ENGLISH],MATCH(PROPERTIES[[#This Row],[VEHIDCODE]],CONTROL[VEHIDCODE],0))</f>
        <v>MaK GDT</v>
      </c>
      <c r="F20" t="s">
        <v>584</v>
      </c>
      <c r="G20" s="37" t="str">
        <f>_xlfn.IFNA(INDEX(COUNTRIES[COUNTRY_LABEL],MATCH(PROPERTIES[[#This Row],[COUNTRY]],COUNTRIES[COUNTRY_DESCRIPTION],0)),"")</f>
        <v>DE</v>
      </c>
      <c r="H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INDEX(LOADINGSPEEDDEF[SPEED],MATCH("LOADINGSPEEDDEF_"&amp;PROPERTIES[[#This Row],[LOADINGSPEED]],LOADINGSPEEDDEF[TYPE],0))</f>
        <v>60</v>
      </c>
      <c r="O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4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1" t="b">
        <v>0</v>
      </c>
      <c r="AP20" s="45" t="b">
        <v>1</v>
      </c>
      <c r="AQ20" s="45" t="b">
        <v>0</v>
      </c>
      <c r="AR20" s="45">
        <v>0</v>
      </c>
      <c r="AS20" s="45" t="b">
        <v>0</v>
      </c>
      <c r="AT20" s="7" t="b">
        <v>0</v>
      </c>
      <c r="AU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1" spans="1:47" x14ac:dyDescent="0.35">
      <c r="A21" s="2" t="s">
        <v>2658</v>
      </c>
      <c r="B21">
        <v>1954</v>
      </c>
      <c r="D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" s="37" t="str">
        <f>INDEX(CONTROL[ENGLISH],MATCH(PROPERTIES[[#This Row],[VEHIDCODE]],CONTROL[VEHIDCODE],0))</f>
        <v>Allan 'Kameel'</v>
      </c>
      <c r="F21" t="s">
        <v>692</v>
      </c>
      <c r="G21" s="37" t="str">
        <f>_xlfn.IFNA(INDEX(COUNTRIES[COUNTRY_LABEL],MATCH(PROPERTIES[[#This Row],[COUNTRY]],COUNTRIES[COUNTRY_DESCRIPTION],0)),"")</f>
        <v>NL</v>
      </c>
      <c r="H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INDEX(LOADINGSPEEDDEF[SPEED],MATCH("LOADINGSPEEDDEF_"&amp;PROPERTIES[[#This Row],[LOADINGSPEED]],LOADINGSPEEDDEF[TYPE],0))</f>
        <v>60</v>
      </c>
      <c r="O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4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1" t="b">
        <v>0</v>
      </c>
      <c r="AP21" s="45" t="b">
        <v>1</v>
      </c>
      <c r="AQ21" s="45" t="b">
        <v>0</v>
      </c>
      <c r="AR21" s="45">
        <v>0</v>
      </c>
      <c r="AS21" s="45" t="b">
        <v>0</v>
      </c>
      <c r="AT21" s="7" t="b">
        <v>0</v>
      </c>
      <c r="AU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2" spans="1:47" x14ac:dyDescent="0.35">
      <c r="A22" s="2" t="s">
        <v>2659</v>
      </c>
      <c r="B22">
        <v>1984</v>
      </c>
      <c r="D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" s="37" t="str">
        <f>INDEX(CONTROL[ENGLISH],MATCH(PROPERTIES[[#This Row],[VEHIDCODE]],CONTROL[VEHIDCODE],0))</f>
        <v>NS DH1</v>
      </c>
      <c r="F22" t="s">
        <v>692</v>
      </c>
      <c r="G22" s="37" t="str">
        <f>_xlfn.IFNA(INDEX(COUNTRIES[COUNTRY_LABEL],MATCH(PROPERTIES[[#This Row],[COUNTRY]],COUNTRIES[COUNTRY_DESCRIPTION],0)),"")</f>
        <v>NL</v>
      </c>
      <c r="H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INDEX(LOADINGSPEEDDEF[SPEED],MATCH("LOADINGSPEEDDEF_"&amp;PROPERTIES[[#This Row],[LOADINGSPEED]],LOADINGSPEEDDEF[TYPE],0))</f>
        <v>60</v>
      </c>
      <c r="O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4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1" t="b">
        <v>0</v>
      </c>
      <c r="AP22" s="45" t="b">
        <v>1</v>
      </c>
      <c r="AQ22" s="45" t="b">
        <v>0</v>
      </c>
      <c r="AR22" s="45">
        <v>0</v>
      </c>
      <c r="AS22" s="45" t="b">
        <v>0</v>
      </c>
      <c r="AT22" s="7" t="b">
        <v>0</v>
      </c>
      <c r="AU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3" spans="1:47" x14ac:dyDescent="0.35">
      <c r="A23" s="2" t="s">
        <v>2660</v>
      </c>
      <c r="B23">
        <v>1987</v>
      </c>
      <c r="D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" s="37" t="str">
        <f>INDEX(CONTROL[ENGLISH],MATCH(PROPERTIES[[#This Row],[VEHIDCODE]],CONTROL[VEHIDCODE],0))</f>
        <v>Jenbacher Werke 5047</v>
      </c>
      <c r="F23" t="s">
        <v>540</v>
      </c>
      <c r="G23" s="37" t="str">
        <f>_xlfn.IFNA(INDEX(COUNTRIES[COUNTRY_LABEL],MATCH(PROPERTIES[[#This Row],[COUNTRY]],COUNTRIES[COUNTRY_DESCRIPTION],0)),"")</f>
        <v>AT</v>
      </c>
      <c r="H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INDEX(LOADINGSPEEDDEF[SPEED],MATCH("LOADINGSPEEDDEF_"&amp;PROPERTIES[[#This Row],[LOADINGSPEED]],LOADINGSPEEDDEF[TYPE],0))</f>
        <v>60</v>
      </c>
      <c r="O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4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1" t="b">
        <v>0</v>
      </c>
      <c r="AP23" s="45" t="b">
        <v>1</v>
      </c>
      <c r="AQ23" s="45" t="b">
        <v>0</v>
      </c>
      <c r="AR23" s="45">
        <v>0</v>
      </c>
      <c r="AS23" s="45" t="b">
        <v>0</v>
      </c>
      <c r="AT23" s="7" t="b">
        <v>0</v>
      </c>
      <c r="AU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4" spans="1:47" x14ac:dyDescent="0.35">
      <c r="A24" s="2" t="s">
        <v>2661</v>
      </c>
      <c r="B24">
        <v>1991</v>
      </c>
      <c r="D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" s="37" t="str">
        <f>INDEX(CONTROL[ENGLISH],MATCH(PROPERTIES[[#This Row],[VEHIDCODE]],CONTROL[VEHIDCODE],0))</f>
        <v>Hunslet-Barclay 'Super Sprinter'</v>
      </c>
      <c r="F24" t="s">
        <v>603</v>
      </c>
      <c r="G24" s="37" t="str">
        <f>_xlfn.IFNA(INDEX(COUNTRIES[COUNTRY_LABEL],MATCH(PROPERTIES[[#This Row],[COUNTRY]],COUNTRIES[COUNTRY_DESCRIPTION],0)),"")</f>
        <v>GB</v>
      </c>
      <c r="H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INDEX(LOADINGSPEEDDEF[SPEED],MATCH("LOADINGSPEEDDEF_"&amp;PROPERTIES[[#This Row],[LOADINGSPEED]],LOADINGSPEEDDEF[TYPE],0))</f>
        <v>60</v>
      </c>
      <c r="O2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4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1" t="b">
        <v>0</v>
      </c>
      <c r="AP24" s="45" t="b">
        <v>1</v>
      </c>
      <c r="AQ24" s="45" t="b">
        <v>0</v>
      </c>
      <c r="AR24" s="45">
        <v>0</v>
      </c>
      <c r="AS24" s="45" t="b">
        <v>0</v>
      </c>
      <c r="AT24" s="7" t="b">
        <v>0</v>
      </c>
      <c r="AU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5" spans="1:47" x14ac:dyDescent="0.35">
      <c r="A25" s="2" t="s">
        <v>2662</v>
      </c>
      <c r="B25">
        <v>1996</v>
      </c>
      <c r="D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" s="37" t="str">
        <f>INDEX(CONTROL[ENGLISH],MATCH(PROPERTIES[[#This Row],[VEHIDCODE]],CONTROL[VEHIDCODE],0))</f>
        <v>Vagonka Studenka 809</v>
      </c>
      <c r="F25" t="s">
        <v>583</v>
      </c>
      <c r="G25" s="37" t="str">
        <f>_xlfn.IFNA(INDEX(COUNTRIES[COUNTRY_LABEL],MATCH(PROPERTIES[[#This Row],[COUNTRY]],COUNTRIES[COUNTRY_DESCRIPTION],0)),"")</f>
        <v>CZ</v>
      </c>
      <c r="H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INDEX(LOADINGSPEEDDEF[SPEED],MATCH("LOADINGSPEEDDEF_"&amp;PROPERTIES[[#This Row],[LOADINGSPEED]],LOADINGSPEEDDEF[TYPE],0))</f>
        <v>60</v>
      </c>
      <c r="O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4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1" t="b">
        <v>0</v>
      </c>
      <c r="AP25" s="45" t="b">
        <v>1</v>
      </c>
      <c r="AQ25" s="45" t="b">
        <v>0</v>
      </c>
      <c r="AR25" s="45">
        <v>0</v>
      </c>
      <c r="AS25" s="45" t="b">
        <v>0</v>
      </c>
      <c r="AT25" s="7" t="b">
        <v>0</v>
      </c>
      <c r="AU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6" spans="1:47" x14ac:dyDescent="0.35">
      <c r="A26" s="2" t="s">
        <v>2663</v>
      </c>
      <c r="B26">
        <v>1996</v>
      </c>
      <c r="D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" s="37" t="str">
        <f>INDEX(CONTROL[ENGLISH],MATCH(PROPERTIES[[#This Row],[VEHIDCODE]],CONTROL[VEHIDCODE],0))</f>
        <v>DWA 670</v>
      </c>
      <c r="F26" t="s">
        <v>584</v>
      </c>
      <c r="G26" s="37" t="str">
        <f>_xlfn.IFNA(INDEX(COUNTRIES[COUNTRY_LABEL],MATCH(PROPERTIES[[#This Row],[COUNTRY]],COUNTRIES[COUNTRY_DESCRIPTION],0)),"")</f>
        <v>DE</v>
      </c>
      <c r="H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INDEX(LOADINGSPEEDDEF[SPEED],MATCH("LOADINGSPEEDDEF_"&amp;PROPERTIES[[#This Row],[LOADINGSPEED]],LOADINGSPEEDDEF[TYPE],0))</f>
        <v>60</v>
      </c>
      <c r="O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4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1" t="b">
        <v>0</v>
      </c>
      <c r="AP26" s="45" t="b">
        <v>1</v>
      </c>
      <c r="AQ26" s="45" t="b">
        <v>0</v>
      </c>
      <c r="AR26" s="45">
        <v>0</v>
      </c>
      <c r="AS26" s="45" t="b">
        <v>0</v>
      </c>
      <c r="AT26" s="7" t="b">
        <v>0</v>
      </c>
      <c r="AU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7" spans="1:47" x14ac:dyDescent="0.35">
      <c r="A27" s="2" t="s">
        <v>2664</v>
      </c>
      <c r="B27">
        <v>1997</v>
      </c>
      <c r="D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" s="37" t="str">
        <f>INDEX(CONTROL[ENGLISH],MATCH(PROPERTIES[[#This Row],[VEHIDCODE]],CONTROL[VEHIDCODE],0))</f>
        <v>RVR AR2</v>
      </c>
      <c r="F27" t="s">
        <v>659</v>
      </c>
      <c r="G27" s="37" t="str">
        <f>_xlfn.IFNA(INDEX(COUNTRIES[COUNTRY_LABEL],MATCH(PROPERTIES[[#This Row],[COUNTRY]],COUNTRIES[COUNTRY_DESCRIPTION],0)),"")</f>
        <v>LT</v>
      </c>
      <c r="H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INDEX(LOADINGSPEEDDEF[SPEED],MATCH("LOADINGSPEEDDEF_"&amp;PROPERTIES[[#This Row],[LOADINGSPEED]],LOADINGSPEEDDEF[TYPE],0))</f>
        <v>60</v>
      </c>
      <c r="O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4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1" t="b">
        <v>0</v>
      </c>
      <c r="AP27" s="45" t="b">
        <v>1</v>
      </c>
      <c r="AQ27" s="45" t="b">
        <v>0</v>
      </c>
      <c r="AR27" s="45">
        <v>0</v>
      </c>
      <c r="AS27" s="45" t="b">
        <v>0</v>
      </c>
      <c r="AT27" s="7" t="b">
        <v>0</v>
      </c>
      <c r="AU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8" spans="1:47" x14ac:dyDescent="0.35">
      <c r="A28" s="2" t="s">
        <v>2665</v>
      </c>
      <c r="B28">
        <v>1902</v>
      </c>
      <c r="D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" s="37" t="str">
        <f>INDEX(CONTROL[ENGLISH],MATCH(PROPERTIES[[#This Row],[VEHIDCODE]],CONTROL[VEHIDCODE],0))</f>
        <v>Austro-Daimler Z1</v>
      </c>
      <c r="F28" t="s">
        <v>540</v>
      </c>
      <c r="G28" s="37" t="str">
        <f>_xlfn.IFNA(INDEX(COUNTRIES[COUNTRY_LABEL],MATCH(PROPERTIES[[#This Row],[COUNTRY]],COUNTRIES[COUNTRY_DESCRIPTION],0)),"")</f>
        <v>AT</v>
      </c>
      <c r="H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INDEX(LOADINGSPEEDDEF[SPEED],MATCH("LOADINGSPEEDDEF_"&amp;PROPERTIES[[#This Row],[LOADINGSPEED]],LOADINGSPEEDDEF[TYPE],0))</f>
        <v>60</v>
      </c>
      <c r="O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4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1" t="b">
        <v>0</v>
      </c>
      <c r="AP28" s="45" t="b">
        <v>0</v>
      </c>
      <c r="AQ28" s="45" t="b">
        <v>0</v>
      </c>
      <c r="AR28" s="45">
        <v>0</v>
      </c>
      <c r="AS28" s="45" t="b">
        <v>0</v>
      </c>
      <c r="AT28" s="7" t="b">
        <v>0</v>
      </c>
      <c r="AU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29" spans="1:47" x14ac:dyDescent="0.35">
      <c r="A29" s="2" t="s">
        <v>2666</v>
      </c>
      <c r="B29">
        <v>1909</v>
      </c>
      <c r="D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" s="37" t="str">
        <f>INDEX(CONTROL[ENGLISH],MATCH(PROPERTIES[[#This Row],[VEHIDCODE]],CONTROL[VEHIDCODE],0))</f>
        <v>McKeen Motor Car 70</v>
      </c>
      <c r="F29" t="s">
        <v>757</v>
      </c>
      <c r="G29" s="37" t="str">
        <f>_xlfn.IFNA(INDEX(COUNTRIES[COUNTRY_LABEL],MATCH(PROPERTIES[[#This Row],[COUNTRY]],COUNTRIES[COUNTRY_DESCRIPTION],0)),"")</f>
        <v>US</v>
      </c>
      <c r="H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INDEX(LOADINGSPEEDDEF[SPEED],MATCH("LOADINGSPEEDDEF_"&amp;PROPERTIES[[#This Row],[LOADINGSPEED]],LOADINGSPEEDDEF[TYPE],0))</f>
        <v>60</v>
      </c>
      <c r="O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4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2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1" t="b">
        <v>0</v>
      </c>
      <c r="AP29" s="45" t="b">
        <v>0</v>
      </c>
      <c r="AQ29" s="45" t="b">
        <v>0</v>
      </c>
      <c r="AR29" s="45">
        <v>0</v>
      </c>
      <c r="AS29" s="45" t="b">
        <v>0</v>
      </c>
      <c r="AT29" s="7" t="b">
        <v>0</v>
      </c>
      <c r="AU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0" spans="1:47" x14ac:dyDescent="0.35">
      <c r="A30" s="2" t="s">
        <v>2667</v>
      </c>
      <c r="B30">
        <v>1914</v>
      </c>
      <c r="D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0" s="37" t="str">
        <f>INDEX(CONTROL[ENGLISH],MATCH(PROPERTIES[[#This Row],[VEHIDCODE]],CONTROL[VEHIDCODE],0))</f>
        <v>BBC DET 1-2 'Sächsischer'</v>
      </c>
      <c r="F30" t="s">
        <v>584</v>
      </c>
      <c r="G30" s="37" t="str">
        <f>_xlfn.IFNA(INDEX(COUNTRIES[COUNTRY_LABEL],MATCH(PROPERTIES[[#This Row],[COUNTRY]],COUNTRIES[COUNTRY_DESCRIPTION],0)),"")</f>
        <v>DE</v>
      </c>
      <c r="H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INDEX(LOADINGSPEEDDEF[SPEED],MATCH("LOADINGSPEEDDEF_"&amp;PROPERTIES[[#This Row],[LOADINGSPEED]],LOADINGSPEEDDEF[TYPE],0))</f>
        <v>60</v>
      </c>
      <c r="O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4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1" t="b">
        <v>0</v>
      </c>
      <c r="AP30" s="45" t="b">
        <v>0</v>
      </c>
      <c r="AQ30" s="45" t="b">
        <v>0</v>
      </c>
      <c r="AR30" s="45">
        <v>0</v>
      </c>
      <c r="AS30" s="45" t="b">
        <v>0</v>
      </c>
      <c r="AT30" s="7" t="b">
        <v>0</v>
      </c>
      <c r="AU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1" spans="1:47" x14ac:dyDescent="0.35">
      <c r="A31" s="2" t="s">
        <v>2668</v>
      </c>
      <c r="B31">
        <v>1921</v>
      </c>
      <c r="D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1" s="37" t="str">
        <f>INDEX(CONTROL[ENGLISH],MATCH(PROPERTIES[[#This Row],[VEHIDCODE]],CONTROL[VEHIDCODE],0))</f>
        <v>WC&amp;PR Drewry Railcar</v>
      </c>
      <c r="F31" t="s">
        <v>603</v>
      </c>
      <c r="G31" s="37" t="str">
        <f>_xlfn.IFNA(INDEX(COUNTRIES[COUNTRY_LABEL],MATCH(PROPERTIES[[#This Row],[COUNTRY]],COUNTRIES[COUNTRY_DESCRIPTION],0)),"")</f>
        <v>GB</v>
      </c>
      <c r="H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INDEX(LOADINGSPEEDDEF[SPEED],MATCH("LOADINGSPEEDDEF_"&amp;PROPERTIES[[#This Row],[LOADINGSPEED]],LOADINGSPEEDDEF[TYPE],0))</f>
        <v>60</v>
      </c>
      <c r="O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4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1" t="b">
        <v>0</v>
      </c>
      <c r="AP31" s="45" t="b">
        <v>0</v>
      </c>
      <c r="AQ31" s="45" t="b">
        <v>0</v>
      </c>
      <c r="AR31" s="45">
        <v>0</v>
      </c>
      <c r="AS31" s="45" t="b">
        <v>0</v>
      </c>
      <c r="AT31" s="7" t="b">
        <v>0</v>
      </c>
      <c r="AU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2" spans="1:47" x14ac:dyDescent="0.35">
      <c r="A32" s="2" t="s">
        <v>2669</v>
      </c>
      <c r="B32">
        <v>1922</v>
      </c>
      <c r="C32">
        <v>1955</v>
      </c>
      <c r="D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2" s="37" t="str">
        <f>INDEX(CONTROL[ENGLISH],MATCH(PROPERTIES[[#This Row],[VEHIDCODE]],CONTROL[VEHIDCODE],0))</f>
        <v>LHW BSt 6001</v>
      </c>
      <c r="F32" t="s">
        <v>584</v>
      </c>
      <c r="G32" s="37" t="str">
        <f>_xlfn.IFNA(INDEX(COUNTRIES[COUNTRY_LABEL],MATCH(PROPERTIES[[#This Row],[COUNTRY]],COUNTRIES[COUNTRY_DESCRIPTION],0)),"")</f>
        <v>DE</v>
      </c>
      <c r="H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INDEX(LOADINGSPEEDDEF[SPEED],MATCH("LOADINGSPEEDDEF_"&amp;PROPERTIES[[#This Row],[LOADINGSPEED]],LOADINGSPEEDDEF[TYPE],0))</f>
        <v>60</v>
      </c>
      <c r="O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4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1" t="b">
        <v>0</v>
      </c>
      <c r="AP32" s="45" t="b">
        <v>0</v>
      </c>
      <c r="AQ32" s="45" t="b">
        <v>0</v>
      </c>
      <c r="AR32" s="45">
        <v>0</v>
      </c>
      <c r="AS32" s="45" t="b">
        <v>0</v>
      </c>
      <c r="AT32" s="7" t="b">
        <v>0</v>
      </c>
      <c r="AU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3" spans="1:47" x14ac:dyDescent="0.35">
      <c r="A33" s="2" t="s">
        <v>2670</v>
      </c>
      <c r="B33">
        <v>1928</v>
      </c>
      <c r="C33">
        <v>1981</v>
      </c>
      <c r="D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3" s="37" t="str">
        <f>INDEX(CONTROL[ENGLISH],MATCH(PROPERTIES[[#This Row],[VEHIDCODE]],CONTROL[VEHIDCODE],0))</f>
        <v>EMC DERM</v>
      </c>
      <c r="F33" t="s">
        <v>541</v>
      </c>
      <c r="G33" s="37" t="str">
        <f>_xlfn.IFNA(INDEX(COUNTRIES[COUNTRY_LABEL],MATCH(PROPERTIES[[#This Row],[COUNTRY]],COUNTRIES[COUNTRY_DESCRIPTION],0)),"")</f>
        <v>AU</v>
      </c>
      <c r="H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INDEX(LOADINGSPEEDDEF[SPEED],MATCH("LOADINGSPEEDDEF_"&amp;PROPERTIES[[#This Row],[LOADINGSPEED]],LOADINGSPEEDDEF[TYPE],0))</f>
        <v>60</v>
      </c>
      <c r="O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4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1" t="b">
        <v>0</v>
      </c>
      <c r="AP33" s="45" t="b">
        <v>0</v>
      </c>
      <c r="AQ33" s="45" t="b">
        <v>0</v>
      </c>
      <c r="AR33" s="45">
        <v>0</v>
      </c>
      <c r="AS33" s="45" t="b">
        <v>0</v>
      </c>
      <c r="AT33" s="7" t="b">
        <v>0</v>
      </c>
      <c r="AU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4" spans="1:47" x14ac:dyDescent="0.35">
      <c r="A34" s="2" t="s">
        <v>2671</v>
      </c>
      <c r="B34">
        <v>1930</v>
      </c>
      <c r="C34">
        <v>1958</v>
      </c>
      <c r="D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4" s="37" t="str">
        <f>INDEX(CONTROL[ENGLISH],MATCH(PROPERTIES[[#This Row],[VEHIDCODE]],CONTROL[VEHIDCODE],0))</f>
        <v>Tatra M120.4</v>
      </c>
      <c r="F34" t="s">
        <v>583</v>
      </c>
      <c r="G34" s="37" t="str">
        <f>_xlfn.IFNA(INDEX(COUNTRIES[COUNTRY_LABEL],MATCH(PROPERTIES[[#This Row],[COUNTRY]],COUNTRIES[COUNTRY_DESCRIPTION],0)),"")</f>
        <v>CZ</v>
      </c>
      <c r="H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INDEX(LOADINGSPEEDDEF[SPEED],MATCH("LOADINGSPEEDDEF_"&amp;PROPERTIES[[#This Row],[LOADINGSPEED]],LOADINGSPEEDDEF[TYPE],0))</f>
        <v>60</v>
      </c>
      <c r="O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4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1" t="b">
        <v>0</v>
      </c>
      <c r="AP34" s="45" t="b">
        <v>1</v>
      </c>
      <c r="AQ34" s="45" t="b">
        <v>0</v>
      </c>
      <c r="AR34" s="45">
        <v>0</v>
      </c>
      <c r="AS34" s="45" t="b">
        <v>0</v>
      </c>
      <c r="AT34" s="7" t="b">
        <v>0</v>
      </c>
      <c r="AU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5" spans="1:47" x14ac:dyDescent="0.35">
      <c r="A35" s="2" t="s">
        <v>2672</v>
      </c>
      <c r="B35">
        <v>1930</v>
      </c>
      <c r="C35">
        <v>1939</v>
      </c>
      <c r="D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" s="37" t="str">
        <f>INDEX(CONTROL[ENGLISH],MATCH(PROPERTIES[[#This Row],[VEHIDCODE]],CONTROL[VEHIDCODE],0))</f>
        <v>Franz Kruckenberg Schienenzeppelin</v>
      </c>
      <c r="F35" t="s">
        <v>584</v>
      </c>
      <c r="G35" s="37" t="str">
        <f>_xlfn.IFNA(INDEX(COUNTRIES[COUNTRY_LABEL],MATCH(PROPERTIES[[#This Row],[COUNTRY]],COUNTRIES[COUNTRY_DESCRIPTION],0)),"")</f>
        <v>DE</v>
      </c>
      <c r="H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INDEX(LOADINGSPEEDDEF[SPEED],MATCH("LOADINGSPEEDDEF_"&amp;PROPERTIES[[#This Row],[LOADINGSPEED]],LOADINGSPEEDDEF[TYPE],0))</f>
        <v>20</v>
      </c>
      <c r="O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4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1" t="b">
        <v>0</v>
      </c>
      <c r="AP35" s="45" t="b">
        <v>0</v>
      </c>
      <c r="AQ35" s="45" t="b">
        <v>0</v>
      </c>
      <c r="AR35" s="45">
        <v>0</v>
      </c>
      <c r="AS35" s="45" t="b">
        <v>0</v>
      </c>
      <c r="AT35" s="7" t="b">
        <v>0</v>
      </c>
      <c r="AU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6" spans="1:47" x14ac:dyDescent="0.35">
      <c r="A36" s="2" t="s">
        <v>2673</v>
      </c>
      <c r="B36">
        <v>1935</v>
      </c>
      <c r="C36">
        <v>1969</v>
      </c>
      <c r="D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" s="37" t="str">
        <f>INDEX(CONTROL[ENGLISH],MATCH(PROPERTIES[[#This Row],[VEHIDCODE]],CONTROL[VEHIDCODE],0))</f>
        <v>DSB MO Serie 1</v>
      </c>
      <c r="F36" t="s">
        <v>586</v>
      </c>
      <c r="G36" s="37" t="str">
        <f>_xlfn.IFNA(INDEX(COUNTRIES[COUNTRY_LABEL],MATCH(PROPERTIES[[#This Row],[COUNTRY]],COUNTRIES[COUNTRY_DESCRIPTION],0)),"")</f>
        <v>DK</v>
      </c>
      <c r="H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INDEX(LOADINGSPEEDDEF[SPEED],MATCH("LOADINGSPEEDDEF_"&amp;PROPERTIES[[#This Row],[LOADINGSPEED]],LOADINGSPEEDDEF[TYPE],0))</f>
        <v>60</v>
      </c>
      <c r="O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4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1" t="b">
        <v>0</v>
      </c>
      <c r="AP36" s="45" t="b">
        <v>1</v>
      </c>
      <c r="AQ36" s="45" t="b">
        <v>0</v>
      </c>
      <c r="AR36" s="45">
        <v>0</v>
      </c>
      <c r="AS36" s="45" t="b">
        <v>0</v>
      </c>
      <c r="AT36" s="7" t="b">
        <v>0</v>
      </c>
      <c r="AU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7" spans="1:47" x14ac:dyDescent="0.35">
      <c r="A37" s="2" t="s">
        <v>2674</v>
      </c>
      <c r="B37">
        <v>1935</v>
      </c>
      <c r="C37">
        <v>1955</v>
      </c>
      <c r="D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" s="37" t="str">
        <f>INDEX(CONTROL[ENGLISH],MATCH(PROPERTIES[[#This Row],[VEHIDCODE]],CONTROL[VEHIDCODE],0))</f>
        <v>Strommens Kristine Valdresdatter</v>
      </c>
      <c r="F37" t="s">
        <v>693</v>
      </c>
      <c r="G37" s="37" t="str">
        <f>_xlfn.IFNA(INDEX(COUNTRIES[COUNTRY_LABEL],MATCH(PROPERTIES[[#This Row],[COUNTRY]],COUNTRIES[COUNTRY_DESCRIPTION],0)),"")</f>
        <v>NO</v>
      </c>
      <c r="H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INDEX(LOADINGSPEEDDEF[SPEED],MATCH("LOADINGSPEEDDEF_"&amp;PROPERTIES[[#This Row],[LOADINGSPEED]],LOADINGSPEEDDEF[TYPE],0))</f>
        <v>60</v>
      </c>
      <c r="O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4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1" t="b">
        <v>0</v>
      </c>
      <c r="AP37" s="45" t="b">
        <v>1</v>
      </c>
      <c r="AQ37" s="45" t="b">
        <v>0</v>
      </c>
      <c r="AR37" s="45">
        <v>0</v>
      </c>
      <c r="AS37" s="45" t="b">
        <v>0</v>
      </c>
      <c r="AT37" s="7" t="b">
        <v>0</v>
      </c>
      <c r="AU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8" spans="1:47" x14ac:dyDescent="0.35">
      <c r="A38" s="2" t="s">
        <v>2675</v>
      </c>
      <c r="B38">
        <v>1936</v>
      </c>
      <c r="C38">
        <v>1953</v>
      </c>
      <c r="D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" s="37" t="str">
        <f>INDEX(CONTROL[ENGLISH],MATCH(PROPERTIES[[#This Row],[VEHIDCODE]],CONTROL[VEHIDCODE],0))</f>
        <v>Tatra M290</v>
      </c>
      <c r="F38" t="s">
        <v>583</v>
      </c>
      <c r="G38" s="37" t="str">
        <f>_xlfn.IFNA(INDEX(COUNTRIES[COUNTRY_LABEL],MATCH(PROPERTIES[[#This Row],[COUNTRY]],COUNTRIES[COUNTRY_DESCRIPTION],0)),"")</f>
        <v>CZ</v>
      </c>
      <c r="H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INDEX(LOADINGSPEEDDEF[SPEED],MATCH("LOADINGSPEEDDEF_"&amp;PROPERTIES[[#This Row],[LOADINGSPEED]],LOADINGSPEEDDEF[TYPE],0))</f>
        <v>60</v>
      </c>
      <c r="O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4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1" t="b">
        <v>0</v>
      </c>
      <c r="AP38" s="45" t="b">
        <v>0</v>
      </c>
      <c r="AQ38" s="45" t="b">
        <v>0</v>
      </c>
      <c r="AR38" s="45">
        <v>0</v>
      </c>
      <c r="AS38" s="45" t="b">
        <v>0</v>
      </c>
      <c r="AT38" s="7" t="b">
        <v>0</v>
      </c>
      <c r="AU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39" spans="1:47" x14ac:dyDescent="0.35">
      <c r="A39" s="2" t="s">
        <v>2676</v>
      </c>
      <c r="B39">
        <v>1937</v>
      </c>
      <c r="C39">
        <v>1950</v>
      </c>
      <c r="D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" s="37" t="str">
        <f>INDEX(CONTROL[ENGLISH],MATCH(PROPERTIES[[#This Row],[VEHIDCODE]],CONTROL[VEHIDCODE],0))</f>
        <v>Werkspoor DM37</v>
      </c>
      <c r="F39" t="s">
        <v>692</v>
      </c>
      <c r="G39" s="37" t="str">
        <f>_xlfn.IFNA(INDEX(COUNTRIES[COUNTRY_LABEL],MATCH(PROPERTIES[[#This Row],[COUNTRY]],COUNTRIES[COUNTRY_DESCRIPTION],0)),"")</f>
        <v>NL</v>
      </c>
      <c r="H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INDEX(LOADINGSPEEDDEF[SPEED],MATCH("LOADINGSPEEDDEF_"&amp;PROPERTIES[[#This Row],[LOADINGSPEED]],LOADINGSPEEDDEF[TYPE],0))</f>
        <v>60</v>
      </c>
      <c r="O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4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3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1" t="b">
        <v>0</v>
      </c>
      <c r="AP39" s="45" t="b">
        <v>1</v>
      </c>
      <c r="AQ39" s="45" t="b">
        <v>0</v>
      </c>
      <c r="AR39" s="45">
        <v>0</v>
      </c>
      <c r="AS39" s="45" t="b">
        <v>0</v>
      </c>
      <c r="AT39" s="7" t="b">
        <v>0</v>
      </c>
      <c r="AU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0" spans="1:47" x14ac:dyDescent="0.35">
      <c r="A40" s="2" t="s">
        <v>2677</v>
      </c>
      <c r="B40">
        <v>1938</v>
      </c>
      <c r="C40">
        <v>1983</v>
      </c>
      <c r="D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" s="37" t="str">
        <f>INDEX(CONTROL[ENGLISH],MATCH(PROPERTIES[[#This Row],[VEHIDCODE]],CONTROL[VEHIDCODE],0))</f>
        <v>Eveleigh 400 Class</v>
      </c>
      <c r="F40" t="s">
        <v>541</v>
      </c>
      <c r="G40" s="37" t="str">
        <f>_xlfn.IFNA(INDEX(COUNTRIES[COUNTRY_LABEL],MATCH(PROPERTIES[[#This Row],[COUNTRY]],COUNTRIES[COUNTRY_DESCRIPTION],0)),"")</f>
        <v>AU</v>
      </c>
      <c r="H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INDEX(LOADINGSPEEDDEF[SPEED],MATCH("LOADINGSPEEDDEF_"&amp;PROPERTIES[[#This Row],[LOADINGSPEED]],LOADINGSPEEDDEF[TYPE],0))</f>
        <v>60</v>
      </c>
      <c r="O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4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1" t="b">
        <v>0</v>
      </c>
      <c r="AP40" s="45" t="b">
        <v>0</v>
      </c>
      <c r="AQ40" s="45" t="b">
        <v>0</v>
      </c>
      <c r="AR40" s="45">
        <v>0</v>
      </c>
      <c r="AS40" s="45" t="b">
        <v>0</v>
      </c>
      <c r="AT40" s="7" t="b">
        <v>0</v>
      </c>
      <c r="AU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1" spans="1:47" x14ac:dyDescent="0.35">
      <c r="A41" s="2" t="s">
        <v>2678</v>
      </c>
      <c r="B41">
        <v>1941</v>
      </c>
      <c r="C41">
        <v>1980</v>
      </c>
      <c r="D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" s="37" t="str">
        <f>INDEX(CONTROL[ENGLISH],MATCH(PROPERTIES[[#This Row],[VEHIDCODE]],CONTROL[VEHIDCODE],0))</f>
        <v>Vale do Vouga ME51-55</v>
      </c>
      <c r="F41" t="s">
        <v>710</v>
      </c>
      <c r="G41" s="37" t="str">
        <f>_xlfn.IFNA(INDEX(COUNTRIES[COUNTRY_LABEL],MATCH(PROPERTIES[[#This Row],[COUNTRY]],COUNTRIES[COUNTRY_DESCRIPTION],0)),"")</f>
        <v>PT</v>
      </c>
      <c r="H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INDEX(LOADINGSPEEDDEF[SPEED],MATCH("LOADINGSPEEDDEF_"&amp;PROPERTIES[[#This Row],[LOADINGSPEED]],LOADINGSPEEDDEF[TYPE],0))</f>
        <v>60</v>
      </c>
      <c r="O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4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1" t="b">
        <v>0</v>
      </c>
      <c r="AP41" s="45" t="b">
        <v>0</v>
      </c>
      <c r="AQ41" s="45" t="b">
        <v>0</v>
      </c>
      <c r="AR41" s="45">
        <v>0</v>
      </c>
      <c r="AS41" s="45" t="b">
        <v>0</v>
      </c>
      <c r="AT41" s="7" t="b">
        <v>0</v>
      </c>
      <c r="AU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2" spans="1:47" x14ac:dyDescent="0.35">
      <c r="A42" s="2" t="s">
        <v>2679</v>
      </c>
      <c r="B42">
        <v>1954</v>
      </c>
      <c r="C42">
        <v>1984</v>
      </c>
      <c r="D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" s="37" t="str">
        <f>INDEX(CONTROL[ENGLISH],MATCH(PROPERTIES[[#This Row],[VEHIDCODE]],CONTROL[VEHIDCODE],0))</f>
        <v>Ateliers Germain 42/43</v>
      </c>
      <c r="F42" t="s">
        <v>548</v>
      </c>
      <c r="G42" s="37" t="str">
        <f>_xlfn.IFNA(INDEX(COUNTRIES[COUNTRY_LABEL],MATCH(PROPERTIES[[#This Row],[COUNTRY]],COUNTRIES[COUNTRY_DESCRIPTION],0)),"")</f>
        <v>BE</v>
      </c>
      <c r="H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INDEX(LOADINGSPEEDDEF[SPEED],MATCH("LOADINGSPEEDDEF_"&amp;PROPERTIES[[#This Row],[LOADINGSPEED]],LOADINGSPEEDDEF[TYPE],0))</f>
        <v>60</v>
      </c>
      <c r="O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4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2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1" t="b">
        <v>0</v>
      </c>
      <c r="AP42" s="45" t="b">
        <v>1</v>
      </c>
      <c r="AQ42" s="45" t="b">
        <v>0</v>
      </c>
      <c r="AR42" s="45">
        <v>0</v>
      </c>
      <c r="AS42" s="45" t="b">
        <v>0</v>
      </c>
      <c r="AT42" s="7" t="b">
        <v>0</v>
      </c>
      <c r="AU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3" spans="1:47" x14ac:dyDescent="0.35">
      <c r="A43" s="2" t="s">
        <v>2680</v>
      </c>
      <c r="B43">
        <v>1960</v>
      </c>
      <c r="D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" s="37" t="str">
        <f>INDEX(CONTROL[ENGLISH],MATCH(PROPERTIES[[#This Row],[VEHIDCODE]],CONTROL[VEHIDCODE],0))</f>
        <v>SGP 77783/1960</v>
      </c>
      <c r="F43" t="s">
        <v>550</v>
      </c>
      <c r="G43" s="37" t="str">
        <f>_xlfn.IFNA(INDEX(COUNTRIES[COUNTRY_LABEL],MATCH(PROPERTIES[[#This Row],[COUNTRY]],COUNTRIES[COUNTRY_DESCRIPTION],0)),"")</f>
        <v>BG</v>
      </c>
      <c r="H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INDEX(LOADINGSPEEDDEF[SPEED],MATCH("LOADINGSPEEDDEF_"&amp;PROPERTIES[[#This Row],[LOADINGSPEED]],LOADINGSPEEDDEF[TYPE],0))</f>
        <v>60</v>
      </c>
      <c r="O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4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1" t="b">
        <v>0</v>
      </c>
      <c r="AP43" s="45" t="b">
        <v>1</v>
      </c>
      <c r="AQ43" s="45" t="b">
        <v>0</v>
      </c>
      <c r="AR43" s="45">
        <v>0</v>
      </c>
      <c r="AS43" s="45" t="b">
        <v>0</v>
      </c>
      <c r="AT43" s="7" t="b">
        <v>0</v>
      </c>
      <c r="AU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4" spans="1:47" x14ac:dyDescent="0.35">
      <c r="A44" s="2" t="s">
        <v>2681</v>
      </c>
      <c r="B44">
        <v>1962</v>
      </c>
      <c r="D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" s="37" t="str">
        <f>INDEX(CONTROL[ENGLISH],MATCH(PROPERTIES[[#This Row],[VEHIDCODE]],CONTROL[VEHIDCODE],0))</f>
        <v>Ferrostaal-Esslingen AA.71</v>
      </c>
      <c r="F44" t="s">
        <v>615</v>
      </c>
      <c r="G44" s="37" t="str">
        <f>_xlfn.IFNA(INDEX(COUNTRIES[COUNTRY_LABEL],MATCH(PROPERTIES[[#This Row],[COUNTRY]],COUNTRIES[COUNTRY_DESCRIPTION],0)),"")</f>
        <v>GR</v>
      </c>
      <c r="H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INDEX(LOADINGSPEEDDEF[SPEED],MATCH("LOADINGSPEEDDEF_"&amp;PROPERTIES[[#This Row],[LOADINGSPEED]],LOADINGSPEEDDEF[TYPE],0))</f>
        <v>60</v>
      </c>
      <c r="O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4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1" t="b">
        <v>0</v>
      </c>
      <c r="AP44" s="45" t="b">
        <v>1</v>
      </c>
      <c r="AQ44" s="45" t="b">
        <v>0</v>
      </c>
      <c r="AR44" s="45">
        <v>0</v>
      </c>
      <c r="AS44" s="45" t="b">
        <v>0</v>
      </c>
      <c r="AT44" s="7" t="b">
        <v>0</v>
      </c>
      <c r="AU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5" spans="1:47" x14ac:dyDescent="0.35">
      <c r="A45" s="2" t="s">
        <v>2682</v>
      </c>
      <c r="B45">
        <v>1975</v>
      </c>
      <c r="D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" s="37" t="str">
        <f>INDEX(CONTROL[ENGLISH],MATCH(PROPERTIES[[#This Row],[VEHIDCODE]],CONTROL[VEHIDCODE],0))</f>
        <v>Alsthom Z-431</v>
      </c>
      <c r="F45" t="s">
        <v>748</v>
      </c>
      <c r="G45" s="37" t="str">
        <f>_xlfn.IFNA(INDEX(COUNTRIES[COUNTRY_LABEL],MATCH(PROPERTIES[[#This Row],[COUNTRY]],COUNTRIES[COUNTRY_DESCRIPTION],0)),"")</f>
        <v>TN</v>
      </c>
      <c r="H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INDEX(LOADINGSPEEDDEF[SPEED],MATCH("LOADINGSPEEDDEF_"&amp;PROPERTIES[[#This Row],[LOADINGSPEED]],LOADINGSPEEDDEF[TYPE],0))</f>
        <v>60</v>
      </c>
      <c r="O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4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5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1" t="b">
        <v>0</v>
      </c>
      <c r="AP45" s="45" t="b">
        <v>1</v>
      </c>
      <c r="AQ45" s="45" t="b">
        <v>0</v>
      </c>
      <c r="AR45" s="45">
        <v>0</v>
      </c>
      <c r="AS45" s="45" t="b">
        <v>0</v>
      </c>
      <c r="AT45" s="7" t="b">
        <v>0</v>
      </c>
      <c r="AU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6" spans="1:47" x14ac:dyDescent="0.35">
      <c r="A46" s="2" t="s">
        <v>2683</v>
      </c>
      <c r="B46">
        <v>1979</v>
      </c>
      <c r="C46">
        <v>2000</v>
      </c>
      <c r="D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6" s="37" t="str">
        <f>INDEX(CONTROL[ENGLISH],MATCH(PROPERTIES[[#This Row],[VEHIDCODE]],CONTROL[VEHIDCODE],0))</f>
        <v>Budd SPV-2000</v>
      </c>
      <c r="F46" t="s">
        <v>757</v>
      </c>
      <c r="G46" s="37" t="str">
        <f>_xlfn.IFNA(INDEX(COUNTRIES[COUNTRY_LABEL],MATCH(PROPERTIES[[#This Row],[COUNTRY]],COUNTRIES[COUNTRY_DESCRIPTION],0)),"")</f>
        <v>US</v>
      </c>
      <c r="H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INDEX(LOADINGSPEEDDEF[SPEED],MATCH("LOADINGSPEEDDEF_"&amp;PROPERTIES[[#This Row],[LOADINGSPEED]],LOADINGSPEEDDEF[TYPE],0))</f>
        <v>60</v>
      </c>
      <c r="O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4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1" t="b">
        <v>0</v>
      </c>
      <c r="AP46" s="45" t="b">
        <v>1</v>
      </c>
      <c r="AQ46" s="45" t="b">
        <v>0</v>
      </c>
      <c r="AR46" s="45">
        <v>0</v>
      </c>
      <c r="AS46" s="45" t="b">
        <v>0</v>
      </c>
      <c r="AT46" s="7" t="b">
        <v>0</v>
      </c>
      <c r="AU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7" spans="1:47" x14ac:dyDescent="0.35">
      <c r="A47" s="2" t="s">
        <v>2684</v>
      </c>
      <c r="B47">
        <v>2005</v>
      </c>
      <c r="D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7" s="37" t="str">
        <f>INDEX(CONTROL[ENGLISH],MATCH(PROPERTIES[[#This Row],[VEHIDCODE]],CONTROL[VEHIDCODE],0))</f>
        <v>CKD Vagonka Dm12</v>
      </c>
      <c r="F47" t="s">
        <v>597</v>
      </c>
      <c r="G47" s="37" t="str">
        <f>_xlfn.IFNA(INDEX(COUNTRIES[COUNTRY_LABEL],MATCH(PROPERTIES[[#This Row],[COUNTRY]],COUNTRIES[COUNTRY_DESCRIPTION],0)),"")</f>
        <v>FI</v>
      </c>
      <c r="H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INDEX(LOADINGSPEEDDEF[SPEED],MATCH("LOADINGSPEEDDEF_"&amp;PROPERTIES[[#This Row],[LOADINGSPEED]],LOADINGSPEEDDEF[TYPE],0))</f>
        <v>60</v>
      </c>
      <c r="O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4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1" t="b">
        <v>0</v>
      </c>
      <c r="AP47" s="45" t="b">
        <v>1</v>
      </c>
      <c r="AQ47" s="45" t="b">
        <v>0</v>
      </c>
      <c r="AR47" s="45">
        <v>0</v>
      </c>
      <c r="AS47" s="45" t="b">
        <v>0</v>
      </c>
      <c r="AT47" s="7" t="b">
        <v>0</v>
      </c>
      <c r="AU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8" spans="1:47" x14ac:dyDescent="0.35">
      <c r="A48" s="2" t="s">
        <v>3446</v>
      </c>
      <c r="B48">
        <v>2011</v>
      </c>
      <c r="D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8" s="37" t="str">
        <f>INDEX(CONTROL[ENGLISH],MATCH(PROPERTIES[[#This Row],[VEHIDCODE]],CONTROL[VEHIDCODE],0))</f>
        <v>Stadler Regio-Shuttle RS1</v>
      </c>
      <c r="F48" t="s">
        <v>583</v>
      </c>
      <c r="G48" s="37" t="str">
        <f>_xlfn.IFNA(INDEX(COUNTRIES[COUNTRY_LABEL],MATCH(PROPERTIES[[#This Row],[COUNTRY]],COUNTRIES[COUNTRY_DESCRIPTION],0)),"")</f>
        <v>CZ</v>
      </c>
      <c r="H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INDEX(LOADINGSPEEDDEF[SPEED],MATCH("LOADINGSPEEDDEF_"&amp;PROPERTIES[[#This Row],[LOADINGSPEED]],LOADINGSPEEDDEF[TYPE],0))</f>
        <v>60</v>
      </c>
      <c r="O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4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1" t="b">
        <v>0</v>
      </c>
      <c r="AP48" s="45" t="b">
        <v>1</v>
      </c>
      <c r="AQ48" s="45" t="b">
        <v>0</v>
      </c>
      <c r="AR48" s="45">
        <v>0</v>
      </c>
      <c r="AS48" s="45" t="b">
        <v>0</v>
      </c>
      <c r="AT48" s="7" t="b">
        <v>0</v>
      </c>
      <c r="AU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49" spans="1:47" x14ac:dyDescent="0.35">
      <c r="A49" s="2" t="s">
        <v>2685</v>
      </c>
      <c r="B49">
        <v>1956</v>
      </c>
      <c r="D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9" s="37" t="str">
        <f>INDEX(CONTROL[ENGLISH],MATCH(PROPERTIES[[#This Row],[VEHIDCODE]],CONTROL[VEHIDCODE],0))</f>
        <v>Fiat Ferroviaria ALn 668.1400</v>
      </c>
      <c r="F49" t="s">
        <v>636</v>
      </c>
      <c r="G49" s="37" t="str">
        <f>_xlfn.IFNA(INDEX(COUNTRIES[COUNTRY_LABEL],MATCH(PROPERTIES[[#This Row],[COUNTRY]],COUNTRIES[COUNTRY_DESCRIPTION],0)),"")</f>
        <v>IT</v>
      </c>
      <c r="H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INDEX(LOADINGSPEEDDEF[SPEED],MATCH("LOADINGSPEEDDEF_"&amp;PROPERTIES[[#This Row],[LOADINGSPEED]],LOADINGSPEEDDEF[TYPE],0))</f>
        <v>60</v>
      </c>
      <c r="O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4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4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1" t="b">
        <v>0</v>
      </c>
      <c r="AP49" s="45" t="b">
        <v>1</v>
      </c>
      <c r="AQ49" s="45" t="b">
        <v>0</v>
      </c>
      <c r="AR49" s="45">
        <v>0</v>
      </c>
      <c r="AS49" s="45" t="b">
        <v>0</v>
      </c>
      <c r="AT49" s="7" t="b">
        <v>0</v>
      </c>
      <c r="AU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0" spans="1:47" x14ac:dyDescent="0.35">
      <c r="A50" s="2" t="s">
        <v>2686</v>
      </c>
      <c r="B50">
        <v>1903</v>
      </c>
      <c r="C50">
        <v>1937</v>
      </c>
      <c r="D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0" s="37" t="str">
        <f>INDEX(CONTROL[ENGLISH],MATCH(PROPERTIES[[#This Row],[VEHIDCODE]],CONTROL[VEHIDCODE],0))</f>
        <v>Ringhoffer 40.001</v>
      </c>
      <c r="F50" t="s">
        <v>583</v>
      </c>
      <c r="G50" s="37" t="str">
        <f>_xlfn.IFNA(INDEX(COUNTRIES[COUNTRY_LABEL],MATCH(PROPERTIES[[#This Row],[COUNTRY]],COUNTRIES[COUNTRY_DESCRIPTION],0)),"")</f>
        <v>CZ</v>
      </c>
      <c r="H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INDEX(LOADINGSPEEDDEF[SPEED],MATCH("LOADINGSPEEDDEF_"&amp;PROPERTIES[[#This Row],[LOADINGSPEED]],LOADINGSPEEDDEF[TYPE],0))</f>
        <v>60</v>
      </c>
      <c r="O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4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0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1" t="b">
        <v>0</v>
      </c>
      <c r="AP50" s="45" t="b">
        <v>0</v>
      </c>
      <c r="AQ50" s="45" t="b">
        <v>0</v>
      </c>
      <c r="AR50" s="45">
        <v>0</v>
      </c>
      <c r="AS50" s="45" t="b">
        <v>0</v>
      </c>
      <c r="AT50" s="7" t="b">
        <v>0</v>
      </c>
      <c r="AU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1" spans="1:47" x14ac:dyDescent="0.35">
      <c r="A51" s="2" t="s">
        <v>2687</v>
      </c>
      <c r="B51">
        <v>1960</v>
      </c>
      <c r="C51">
        <v>2006</v>
      </c>
      <c r="D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1" s="37" t="str">
        <f>INDEX(CONTROL[ENGLISH],MATCH(PROPERTIES[[#This Row],[VEHIDCODE]],CONTROL[VEHIDCODE],0))</f>
        <v>Decauville Z 7100</v>
      </c>
      <c r="F51" t="s">
        <v>602</v>
      </c>
      <c r="G51" s="37" t="str">
        <f>_xlfn.IFNA(INDEX(COUNTRIES[COUNTRY_LABEL],MATCH(PROPERTIES[[#This Row],[COUNTRY]],COUNTRIES[COUNTRY_DESCRIPTION],0)),"")</f>
        <v>FR</v>
      </c>
      <c r="H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INDEX(LOADINGSPEEDDEF[SPEED],MATCH("LOADINGSPEEDDEF_"&amp;PROPERTIES[[#This Row],[LOADINGSPEED]],LOADINGSPEEDDEF[TYPE],0))</f>
        <v>60</v>
      </c>
      <c r="O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4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1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1" t="b">
        <v>0</v>
      </c>
      <c r="AP51" s="45" t="b">
        <v>1</v>
      </c>
      <c r="AQ51" s="45" t="b">
        <v>0</v>
      </c>
      <c r="AR51" s="45">
        <v>0</v>
      </c>
      <c r="AS51" s="45" t="b">
        <v>0</v>
      </c>
      <c r="AT51" s="7" t="b">
        <v>0</v>
      </c>
      <c r="AU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2" spans="1:47" x14ac:dyDescent="0.35">
      <c r="A52" s="2" t="s">
        <v>2688</v>
      </c>
      <c r="B52">
        <v>1930</v>
      </c>
      <c r="C52">
        <v>1980</v>
      </c>
      <c r="D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2" s="37" t="str">
        <f>INDEX(CONTROL[ENGLISH],MATCH(PROPERTIES[[#This Row],[VEHIDCODE]],CONTROL[VEHIDCODE],0))</f>
        <v>HAWA/AEG Kleinbahn Nr. 1-3</v>
      </c>
      <c r="F52" t="s">
        <v>584</v>
      </c>
      <c r="G52" s="37" t="str">
        <f>_xlfn.IFNA(INDEX(COUNTRIES[COUNTRY_LABEL],MATCH(PROPERTIES[[#This Row],[COUNTRY]],COUNTRIES[COUNTRY_DESCRIPTION],0)),"")</f>
        <v>DE</v>
      </c>
      <c r="H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INDEX(LOADINGSPEEDDEF[SPEED],MATCH("LOADINGSPEEDDEF_"&amp;PROPERTIES[[#This Row],[LOADINGSPEED]],LOADINGSPEEDDEF[TYPE],0))</f>
        <v>60</v>
      </c>
      <c r="O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4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1" t="b">
        <v>0</v>
      </c>
      <c r="AP52" s="45" t="b">
        <v>0</v>
      </c>
      <c r="AQ52" s="45" t="b">
        <v>0</v>
      </c>
      <c r="AR52" s="45">
        <v>0</v>
      </c>
      <c r="AS52" s="45" t="b">
        <v>0</v>
      </c>
      <c r="AT52" s="7" t="b">
        <v>0</v>
      </c>
      <c r="AU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3" spans="1:47" x14ac:dyDescent="0.35">
      <c r="A53" s="2" t="s">
        <v>3463</v>
      </c>
      <c r="B53">
        <v>1982</v>
      </c>
      <c r="C53">
        <v>2008</v>
      </c>
      <c r="D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3" s="37" t="str">
        <f>INDEX(CONTROL[ENGLISH],MATCH(PROPERTIES[[#This Row],[VEHIDCODE]],CONTROL[VEHIDCODE],0))</f>
        <v>RAW Schoneweide 479.201</v>
      </c>
      <c r="F53" t="s">
        <v>584</v>
      </c>
      <c r="G53" s="37" t="str">
        <f>_xlfn.IFNA(INDEX(COUNTRIES[COUNTRY_LABEL],MATCH(PROPERTIES[[#This Row],[COUNTRY]],COUNTRIES[COUNTRY_DESCRIPTION],0)),"")</f>
        <v>DE</v>
      </c>
      <c r="H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INDEX(LOADINGSPEEDDEF[SPEED],MATCH("LOADINGSPEEDDEF_"&amp;PROPERTIES[[#This Row],[LOADINGSPEED]],LOADINGSPEEDDEF[TYPE],0))</f>
        <v>60</v>
      </c>
      <c r="O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4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1" t="b">
        <v>0</v>
      </c>
      <c r="AP53" s="45" t="b">
        <v>0</v>
      </c>
      <c r="AQ53" s="45" t="b">
        <v>0</v>
      </c>
      <c r="AR53" s="45">
        <v>0</v>
      </c>
      <c r="AS53" s="45" t="b">
        <v>0</v>
      </c>
      <c r="AT53" s="7" t="b">
        <v>0</v>
      </c>
      <c r="AU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4" spans="1:47" x14ac:dyDescent="0.35">
      <c r="A54" s="2" t="s">
        <v>2689</v>
      </c>
      <c r="B54">
        <v>1930</v>
      </c>
      <c r="C54">
        <v>1970</v>
      </c>
      <c r="D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4" s="37" t="str">
        <f>INDEX(CONTROL[ENGLISH],MATCH(PROPERTIES[[#This Row],[VEHIDCODE]],CONTROL[VEHIDCODE],0))</f>
        <v>Studenka 425.95</v>
      </c>
      <c r="F54" t="s">
        <v>727</v>
      </c>
      <c r="G54" s="37" t="str">
        <f>_xlfn.IFNA(INDEX(COUNTRIES[COUNTRY_LABEL],MATCH(PROPERTIES[[#This Row],[COUNTRY]],COUNTRIES[COUNTRY_DESCRIPTION],0)),"")</f>
        <v>SK</v>
      </c>
      <c r="H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INDEX(LOADINGSPEEDDEF[SPEED],MATCH("LOADINGSPEEDDEF_"&amp;PROPERTIES[[#This Row],[LOADINGSPEED]],LOADINGSPEEDDEF[TYPE],0))</f>
        <v>60</v>
      </c>
      <c r="O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4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1" t="b">
        <v>0</v>
      </c>
      <c r="AP54" s="45" t="b">
        <v>1</v>
      </c>
      <c r="AQ54" s="45" t="b">
        <v>0</v>
      </c>
      <c r="AR54" s="45">
        <v>0</v>
      </c>
      <c r="AS54" s="45" t="b">
        <v>0</v>
      </c>
      <c r="AT54" s="7" t="b">
        <v>0</v>
      </c>
      <c r="AU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5" spans="1:47" x14ac:dyDescent="0.35">
      <c r="A55" s="2" t="s">
        <v>2690</v>
      </c>
      <c r="B55">
        <v>1949</v>
      </c>
      <c r="C55">
        <v>2005</v>
      </c>
      <c r="D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5" s="37" t="str">
        <f>INDEX(CONTROL[ENGLISH],MATCH(PROPERTIES[[#This Row],[VEHIDCODE]],CONTROL[VEHIDCODE],0))</f>
        <v>Pozzuoli - OCREN OM ALe 840</v>
      </c>
      <c r="F55" t="s">
        <v>636</v>
      </c>
      <c r="G55" s="37" t="str">
        <f>_xlfn.IFNA(INDEX(COUNTRIES[COUNTRY_LABEL],MATCH(PROPERTIES[[#This Row],[COUNTRY]],COUNTRIES[COUNTRY_DESCRIPTION],0)),"")</f>
        <v>IT</v>
      </c>
      <c r="H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INDEX(LOADINGSPEEDDEF[SPEED],MATCH("LOADINGSPEEDDEF_"&amp;PROPERTIES[[#This Row],[LOADINGSPEED]],LOADINGSPEEDDEF[TYPE],0))</f>
        <v>60</v>
      </c>
      <c r="O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4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1" t="b">
        <v>0</v>
      </c>
      <c r="AP55" s="45" t="b">
        <v>1</v>
      </c>
      <c r="AQ55" s="45" t="b">
        <v>0</v>
      </c>
      <c r="AR55" s="45">
        <v>0</v>
      </c>
      <c r="AS55" s="45" t="b">
        <v>0</v>
      </c>
      <c r="AT55" s="7" t="b">
        <v>0</v>
      </c>
      <c r="AU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" spans="1:47" x14ac:dyDescent="0.35">
      <c r="A56" s="2" t="s">
        <v>2691</v>
      </c>
      <c r="B56">
        <v>1981</v>
      </c>
      <c r="D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" s="37" t="str">
        <f>INDEX(CONTROL[ENGLISH],MATCH(PROPERTIES[[#This Row],[VEHIDCODE]],CONTROL[VEHIDCODE],0))</f>
        <v>Stanga ALe 80</v>
      </c>
      <c r="F56" t="s">
        <v>636</v>
      </c>
      <c r="G56" s="37" t="str">
        <f>_xlfn.IFNA(INDEX(COUNTRIES[COUNTRY_LABEL],MATCH(PROPERTIES[[#This Row],[COUNTRY]],COUNTRIES[COUNTRY_DESCRIPTION],0)),"")</f>
        <v>IT</v>
      </c>
      <c r="H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INDEX(LOADINGSPEEDDEF[SPEED],MATCH("LOADINGSPEEDDEF_"&amp;PROPERTIES[[#This Row],[LOADINGSPEED]],LOADINGSPEEDDEF[TYPE],0))</f>
        <v>60</v>
      </c>
      <c r="O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4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6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1" t="b">
        <v>0</v>
      </c>
      <c r="AP56" s="45" t="b">
        <v>1</v>
      </c>
      <c r="AQ56" s="45" t="b">
        <v>0</v>
      </c>
      <c r="AR56" s="45">
        <v>0</v>
      </c>
      <c r="AS56" s="45" t="b">
        <v>0</v>
      </c>
      <c r="AT56" s="7" t="b">
        <v>0</v>
      </c>
      <c r="AU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7" spans="1:47" x14ac:dyDescent="0.35">
      <c r="A57" s="2" t="s">
        <v>2692</v>
      </c>
      <c r="B57">
        <v>1950</v>
      </c>
      <c r="C57">
        <v>2002</v>
      </c>
      <c r="D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" s="37" t="str">
        <f>INDEX(CONTROL[ENGLISH],MATCH(PROPERTIES[[#This Row],[VEHIDCODE]],CONTROL[VEHIDCODE],0))</f>
        <v>FS E.623</v>
      </c>
      <c r="F57" t="s">
        <v>636</v>
      </c>
      <c r="G57" s="37" t="str">
        <f>_xlfn.IFNA(INDEX(COUNTRIES[COUNTRY_LABEL],MATCH(PROPERTIES[[#This Row],[COUNTRY]],COUNTRIES[COUNTRY_DESCRIPTION],0)),"")</f>
        <v>IT</v>
      </c>
      <c r="H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INDEX(LOADINGSPEEDDEF[SPEED],MATCH("LOADINGSPEEDDEF_"&amp;PROPERTIES[[#This Row],[LOADINGSPEED]],LOADINGSPEEDDEF[TYPE],0))</f>
        <v>60</v>
      </c>
      <c r="O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4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7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1" t="b">
        <v>0</v>
      </c>
      <c r="AP57" s="45" t="b">
        <v>0</v>
      </c>
      <c r="AQ57" s="45" t="b">
        <v>0</v>
      </c>
      <c r="AR57" s="45">
        <v>0</v>
      </c>
      <c r="AS57" s="45" t="b">
        <v>0</v>
      </c>
      <c r="AT57" s="7" t="b">
        <v>0</v>
      </c>
      <c r="AU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" spans="1:47" x14ac:dyDescent="0.35">
      <c r="A58" s="2" t="s">
        <v>2693</v>
      </c>
      <c r="B58">
        <v>1927</v>
      </c>
      <c r="D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" s="37" t="str">
        <f>INDEX(CONTROL[ENGLISH],MATCH(PROPERTIES[[#This Row],[VEHIDCODE]],CONTROL[VEHIDCODE],0))</f>
        <v>ONCF ZAB1000</v>
      </c>
      <c r="F58" t="s">
        <v>663</v>
      </c>
      <c r="G58" s="37" t="str">
        <f>_xlfn.IFNA(INDEX(COUNTRIES[COUNTRY_LABEL],MATCH(PROPERTIES[[#This Row],[COUNTRY]],COUNTRIES[COUNTRY_DESCRIPTION],0)),"")</f>
        <v>MA</v>
      </c>
      <c r="H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INDEX(LOADINGSPEEDDEF[SPEED],MATCH("LOADINGSPEEDDEF_"&amp;PROPERTIES[[#This Row],[LOADINGSPEED]],LOADINGSPEEDDEF[TYPE],0))</f>
        <v>60</v>
      </c>
      <c r="O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4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8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1" t="b">
        <v>0</v>
      </c>
      <c r="AP58" s="45" t="b">
        <v>0</v>
      </c>
      <c r="AQ58" s="45" t="b">
        <v>0</v>
      </c>
      <c r="AR58" s="45">
        <v>0</v>
      </c>
      <c r="AS58" s="45" t="b">
        <v>0</v>
      </c>
      <c r="AT58" s="7" t="b">
        <v>0</v>
      </c>
      <c r="AU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" spans="1:47" x14ac:dyDescent="0.35">
      <c r="A59" s="2" t="s">
        <v>2694</v>
      </c>
      <c r="B59">
        <v>2005</v>
      </c>
      <c r="D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" s="37" t="str">
        <f>INDEX(CONTROL[ENGLISH],MATCH(PROPERTIES[[#This Row],[VEHIDCODE]],CONTROL[VEHIDCODE],0))</f>
        <v>Pesa 308B</v>
      </c>
      <c r="F59" t="s">
        <v>705</v>
      </c>
      <c r="G59" s="37" t="str">
        <f>_xlfn.IFNA(INDEX(COUNTRIES[COUNTRY_LABEL],MATCH(PROPERTIES[[#This Row],[COUNTRY]],COUNTRIES[COUNTRY_DESCRIPTION],0)),"")</f>
        <v>PL</v>
      </c>
      <c r="H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INDEX(LOADINGSPEEDDEF[SPEED],MATCH("LOADINGSPEEDDEF_"&amp;PROPERTIES[[#This Row],[LOADINGSPEED]],LOADINGSPEEDDEF[TYPE],0))</f>
        <v>60</v>
      </c>
      <c r="O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4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1" t="b">
        <v>0</v>
      </c>
      <c r="AP59" s="45" t="b">
        <v>1</v>
      </c>
      <c r="AQ59" s="45" t="b">
        <v>0</v>
      </c>
      <c r="AR59" s="45">
        <v>0</v>
      </c>
      <c r="AS59" s="45" t="b">
        <v>0</v>
      </c>
      <c r="AT59" s="7" t="b">
        <v>0</v>
      </c>
      <c r="AU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0" spans="1:47" x14ac:dyDescent="0.35">
      <c r="A60" s="2" t="s">
        <v>2695</v>
      </c>
      <c r="B60">
        <v>1989</v>
      </c>
      <c r="C60">
        <v>2017</v>
      </c>
      <c r="D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" s="37" t="str">
        <f>INDEX(CONTROL[ENGLISH],MATCH(PROPERTIES[[#This Row],[VEHIDCODE]],CONTROL[VEHIDCODE],0))</f>
        <v>Franz Knotz 4855</v>
      </c>
      <c r="F60" t="s">
        <v>540</v>
      </c>
      <c r="G60" s="37" t="str">
        <f>_xlfn.IFNA(INDEX(COUNTRIES[COUNTRY_LABEL],MATCH(PROPERTIES[[#This Row],[COUNTRY]],COUNTRIES[COUNTRY_DESCRIPTION],0)),"")</f>
        <v>AT</v>
      </c>
      <c r="H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INDEX(LOADINGSPEEDDEF[SPEED],MATCH("LOADINGSPEEDDEF_"&amp;PROPERTIES[[#This Row],[LOADINGSPEED]],LOADINGSPEEDDEF[TYPE],0))</f>
        <v>60</v>
      </c>
      <c r="O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4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0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1" t="b">
        <v>0</v>
      </c>
      <c r="AP60" s="45" t="b">
        <v>1</v>
      </c>
      <c r="AQ60" s="45" t="b">
        <v>0</v>
      </c>
      <c r="AR60" s="45">
        <v>0</v>
      </c>
      <c r="AS60" s="45" t="b">
        <v>0</v>
      </c>
      <c r="AT60" s="7" t="b">
        <v>0</v>
      </c>
      <c r="AU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1" spans="1:47" x14ac:dyDescent="0.35">
      <c r="A61" s="2" t="s">
        <v>2696</v>
      </c>
      <c r="B61">
        <v>2001</v>
      </c>
      <c r="C61">
        <v>2030</v>
      </c>
      <c r="D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" s="37" t="str">
        <f>INDEX(CONTROL[ENGLISH],MATCH(PROPERTIES[[#This Row],[VEHIDCODE]],CONTROL[VEHIDCODE],0))</f>
        <v>Lindner/Talbot ET 10.109</v>
      </c>
      <c r="F61" t="s">
        <v>540</v>
      </c>
      <c r="G61" s="37" t="str">
        <f>_xlfn.IFNA(INDEX(COUNTRIES[COUNTRY_LABEL],MATCH(PROPERTIES[[#This Row],[COUNTRY]],COUNTRIES[COUNTRY_DESCRIPTION],0)),"")</f>
        <v>AT</v>
      </c>
      <c r="H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INDEX(LOADINGSPEEDDEF[SPEED],MATCH("LOADINGSPEEDDEF_"&amp;PROPERTIES[[#This Row],[LOADINGSPEED]],LOADINGSPEEDDEF[TYPE],0))</f>
        <v>60</v>
      </c>
      <c r="O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4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1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1" t="b">
        <v>0</v>
      </c>
      <c r="AP61" s="45" t="b">
        <v>1</v>
      </c>
      <c r="AQ61" s="45" t="b">
        <v>0</v>
      </c>
      <c r="AR61" s="45">
        <v>0</v>
      </c>
      <c r="AS61" s="45" t="b">
        <v>0</v>
      </c>
      <c r="AT61" s="7" t="b">
        <v>0</v>
      </c>
      <c r="AU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2" spans="1:47" x14ac:dyDescent="0.35">
      <c r="A62" s="2" t="s">
        <v>2697</v>
      </c>
      <c r="B62">
        <v>1927</v>
      </c>
      <c r="C62">
        <v>1977</v>
      </c>
      <c r="D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2" s="37" t="str">
        <f>INDEX(CONTROL[ENGLISH],MATCH(PROPERTIES[[#This Row],[VEHIDCODE]],CONTROL[VEHIDCODE],0))</f>
        <v>Waggonfabrik Fuchs ET 85</v>
      </c>
      <c r="F62" t="s">
        <v>584</v>
      </c>
      <c r="G62" s="37" t="str">
        <f>_xlfn.IFNA(INDEX(COUNTRIES[COUNTRY_LABEL],MATCH(PROPERTIES[[#This Row],[COUNTRY]],COUNTRIES[COUNTRY_DESCRIPTION],0)),"")</f>
        <v>DE</v>
      </c>
      <c r="H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INDEX(LOADINGSPEEDDEF[SPEED],MATCH("LOADINGSPEEDDEF_"&amp;PROPERTIES[[#This Row],[LOADINGSPEED]],LOADINGSPEEDDEF[TYPE],0))</f>
        <v>60</v>
      </c>
      <c r="O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4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1" t="b">
        <v>0</v>
      </c>
      <c r="AP62" s="45" t="b">
        <v>0</v>
      </c>
      <c r="AQ62" s="45" t="b">
        <v>0</v>
      </c>
      <c r="AR62" s="45">
        <v>0</v>
      </c>
      <c r="AS62" s="45" t="b">
        <v>0</v>
      </c>
      <c r="AT62" s="7" t="b">
        <v>0</v>
      </c>
      <c r="AU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3" spans="1:47" x14ac:dyDescent="0.35">
      <c r="A63" s="2" t="s">
        <v>2698</v>
      </c>
      <c r="B63">
        <v>1955</v>
      </c>
      <c r="C63">
        <v>1987</v>
      </c>
      <c r="D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" s="37" t="str">
        <f>INDEX(CONTROL[ENGLISH],MATCH(PROPERTIES[[#This Row],[VEHIDCODE]],CONTROL[VEHIDCODE],0))</f>
        <v>ASJ Y6</v>
      </c>
      <c r="F63" t="s">
        <v>722</v>
      </c>
      <c r="G63" s="37" t="str">
        <f>_xlfn.IFNA(INDEX(COUNTRIES[COUNTRY_LABEL],MATCH(PROPERTIES[[#This Row],[COUNTRY]],COUNTRIES[COUNTRY_DESCRIPTION],0)),"")</f>
        <v>SE</v>
      </c>
      <c r="H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INDEX(LOADINGSPEEDDEF[SPEED],MATCH("LOADINGSPEEDDEF_"&amp;PROPERTIES[[#This Row],[LOADINGSPEED]],LOADINGSPEEDDEF[TYPE],0))</f>
        <v>60</v>
      </c>
      <c r="O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4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1" t="b">
        <v>0</v>
      </c>
      <c r="AP63" s="45" t="b">
        <v>1</v>
      </c>
      <c r="AQ63" s="45" t="b">
        <v>0</v>
      </c>
      <c r="AR63" s="45">
        <v>0</v>
      </c>
      <c r="AS63" s="45" t="b">
        <v>0</v>
      </c>
      <c r="AT63" s="7" t="b">
        <v>0</v>
      </c>
      <c r="AU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" spans="1:47" x14ac:dyDescent="0.35">
      <c r="A64" s="2" t="s">
        <v>2699</v>
      </c>
      <c r="B64">
        <v>1963</v>
      </c>
      <c r="C64">
        <v>2012</v>
      </c>
      <c r="D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" s="37" t="str">
        <f>INDEX(CONTROL[ENGLISH],MATCH(PROPERTIES[[#This Row],[VEHIDCODE]],CONTROL[VEHIDCODE],0))</f>
        <v>Budd Silverliner II</v>
      </c>
      <c r="F64" t="s">
        <v>757</v>
      </c>
      <c r="G64" s="37" t="str">
        <f>_xlfn.IFNA(INDEX(COUNTRIES[COUNTRY_LABEL],MATCH(PROPERTIES[[#This Row],[COUNTRY]],COUNTRIES[COUNTRY_DESCRIPTION],0)),"")</f>
        <v>US</v>
      </c>
      <c r="H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INDEX(LOADINGSPEEDDEF[SPEED],MATCH("LOADINGSPEEDDEF_"&amp;PROPERTIES[[#This Row],[LOADINGSPEED]],LOADINGSPEEDDEF[TYPE],0))</f>
        <v>60</v>
      </c>
      <c r="O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4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1" t="b">
        <v>0</v>
      </c>
      <c r="AP64" s="45" t="b">
        <v>1</v>
      </c>
      <c r="AQ64" s="45" t="b">
        <v>0</v>
      </c>
      <c r="AR64" s="45">
        <v>0</v>
      </c>
      <c r="AS64" s="45" t="b">
        <v>0</v>
      </c>
      <c r="AT64" s="7" t="b">
        <v>0</v>
      </c>
      <c r="AU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5" spans="1:47" x14ac:dyDescent="0.35">
      <c r="A65" s="2" t="s">
        <v>2700</v>
      </c>
      <c r="B65">
        <v>2010</v>
      </c>
      <c r="D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" s="37" t="str">
        <f>INDEX(CONTROL[ENGLISH],MATCH(PROPERTIES[[#This Row],[VEHIDCODE]],CONTROL[VEHIDCODE],0))</f>
        <v>Hyundai Rotem Silverliner V</v>
      </c>
      <c r="F65" t="s">
        <v>757</v>
      </c>
      <c r="G65" s="37" t="str">
        <f>_xlfn.IFNA(INDEX(COUNTRIES[COUNTRY_LABEL],MATCH(PROPERTIES[[#This Row],[COUNTRY]],COUNTRIES[COUNTRY_DESCRIPTION],0)),"")</f>
        <v>US</v>
      </c>
      <c r="H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INDEX(LOADINGSPEEDDEF[SPEED],MATCH("LOADINGSPEEDDEF_"&amp;PROPERTIES[[#This Row],[LOADINGSPEED]],LOADINGSPEEDDEF[TYPE],0))</f>
        <v>20</v>
      </c>
      <c r="O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4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6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1" t="b">
        <v>0</v>
      </c>
      <c r="AP65" s="45" t="b">
        <v>1</v>
      </c>
      <c r="AQ65" s="45" t="b">
        <v>0</v>
      </c>
      <c r="AR65" s="45">
        <v>0</v>
      </c>
      <c r="AS65" s="45" t="b">
        <v>0</v>
      </c>
      <c r="AT65" s="7" t="b">
        <v>0</v>
      </c>
      <c r="AU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6" spans="1:47" x14ac:dyDescent="0.35">
      <c r="A66" s="2" t="s">
        <v>2701</v>
      </c>
      <c r="B66">
        <v>1835</v>
      </c>
      <c r="C66">
        <v>1869</v>
      </c>
      <c r="D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" s="37" t="str">
        <f>INDEX(CONTROL[ENGLISH],MATCH(PROPERTIES[[#This Row],[VEHIDCODE]],CONTROL[VEHIDCODE],0))</f>
        <v>John Cockerill &amp; Cie. Le Belge</v>
      </c>
      <c r="F66" t="s">
        <v>548</v>
      </c>
      <c r="G66" s="37" t="str">
        <f>_xlfn.IFNA(INDEX(COUNTRIES[COUNTRY_LABEL],MATCH(PROPERTIES[[#This Row],[COUNTRY]],COUNTRIES[COUNTRY_DESCRIPTION],0)),"")</f>
        <v>BE</v>
      </c>
      <c r="H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INDEX(LOADINGSPEEDDEF[SPEED],MATCH("LOADINGSPEEDDEF_"&amp;PROPERTIES[[#This Row],[LOADINGSPEED]],LOADINGSPEEDDEF[TYPE],0))</f>
        <v>20</v>
      </c>
      <c r="O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4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1" t="b">
        <v>0</v>
      </c>
      <c r="AP66" s="45" t="b">
        <v>0</v>
      </c>
      <c r="AQ66" s="45" t="b">
        <v>0</v>
      </c>
      <c r="AR66" s="45">
        <v>0</v>
      </c>
      <c r="AS66" s="45" t="b">
        <v>0</v>
      </c>
      <c r="AT66" s="7" t="b">
        <v>0</v>
      </c>
      <c r="AU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7" spans="1:47" x14ac:dyDescent="0.35">
      <c r="A67" s="2" t="s">
        <v>2702</v>
      </c>
      <c r="B67">
        <v>1857</v>
      </c>
      <c r="D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" s="37" t="str">
        <f>INDEX(CONTROL[ENGLISH],MATCH(PROPERTIES[[#This Row],[VEHIDCODE]],CONTROL[VEHIDCODE],0))</f>
        <v>Breese, Kneeland &amp; Co. 4-4-0 'No 1'</v>
      </c>
      <c r="F67" t="s">
        <v>757</v>
      </c>
      <c r="G67" s="37" t="str">
        <f>_xlfn.IFNA(INDEX(COUNTRIES[COUNTRY_LABEL],MATCH(PROPERTIES[[#This Row],[COUNTRY]],COUNTRIES[COUNTRY_DESCRIPTION],0)),"")</f>
        <v>US</v>
      </c>
      <c r="H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INDEX(LOADINGSPEEDDEF[SPEED],MATCH("LOADINGSPEEDDEF_"&amp;PROPERTIES[[#This Row],[LOADINGSPEED]],LOADINGSPEEDDEF[TYPE],0))</f>
        <v>20</v>
      </c>
      <c r="O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4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1" t="b">
        <v>0</v>
      </c>
      <c r="AP67" s="45" t="b">
        <v>0</v>
      </c>
      <c r="AQ67" s="45" t="b">
        <v>0</v>
      </c>
      <c r="AR67" s="45">
        <v>0</v>
      </c>
      <c r="AS67" s="45" t="b">
        <v>0</v>
      </c>
      <c r="AT67" s="7" t="b">
        <v>0</v>
      </c>
      <c r="AU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8" spans="1:47" x14ac:dyDescent="0.35">
      <c r="A68" s="2" t="s">
        <v>2703</v>
      </c>
      <c r="B68">
        <v>1854</v>
      </c>
      <c r="C68">
        <v>1886</v>
      </c>
      <c r="D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" s="37" t="str">
        <f>INDEX(CONTROL[ENGLISH],MATCH(PROPERTIES[[#This Row],[VEHIDCODE]],CONTROL[VEHIDCODE],0))</f>
        <v>Esslingen Ec 2/5</v>
      </c>
      <c r="F68" t="s">
        <v>570</v>
      </c>
      <c r="G68" s="37" t="str">
        <f>_xlfn.IFNA(INDEX(COUNTRIES[COUNTRY_LABEL],MATCH(PROPERTIES[[#This Row],[COUNTRY]],COUNTRIES[COUNTRY_DESCRIPTION],0)),"")</f>
        <v>CH</v>
      </c>
      <c r="H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INDEX(LOADINGSPEEDDEF[SPEED],MATCH("LOADINGSPEEDDEF_"&amp;PROPERTIES[[#This Row],[LOADINGSPEED]],LOADINGSPEEDDEF[TYPE],0))</f>
        <v>20</v>
      </c>
      <c r="O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4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1" t="b">
        <v>0</v>
      </c>
      <c r="AP68" s="45" t="b">
        <v>0</v>
      </c>
      <c r="AQ68" s="45" t="b">
        <v>0</v>
      </c>
      <c r="AR68" s="45">
        <v>0</v>
      </c>
      <c r="AS68" s="45" t="b">
        <v>0</v>
      </c>
      <c r="AT68" s="7" t="b">
        <v>0</v>
      </c>
      <c r="AU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9" spans="1:47" x14ac:dyDescent="0.35">
      <c r="A69" s="2" t="s">
        <v>2704</v>
      </c>
      <c r="B69">
        <v>1869</v>
      </c>
      <c r="D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" s="37" t="str">
        <f>INDEX(CONTROL[ENGLISH],MATCH(PROPERTIES[[#This Row],[VEHIDCODE]],CONTROL[VEHIDCODE],0))</f>
        <v>Baldwin Class D 4-6-0 'Ten-wheeler'</v>
      </c>
      <c r="F69" t="s">
        <v>757</v>
      </c>
      <c r="G69" s="37" t="str">
        <f>_xlfn.IFNA(INDEX(COUNTRIES[COUNTRY_LABEL],MATCH(PROPERTIES[[#This Row],[COUNTRY]],COUNTRIES[COUNTRY_DESCRIPTION],0)),"")</f>
        <v>US</v>
      </c>
      <c r="H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INDEX(LOADINGSPEEDDEF[SPEED],MATCH("LOADINGSPEEDDEF_"&amp;PROPERTIES[[#This Row],[LOADINGSPEED]],LOADINGSPEEDDEF[TYPE],0))</f>
        <v>20</v>
      </c>
      <c r="O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4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1" t="b">
        <v>0</v>
      </c>
      <c r="AP69" s="45" t="b">
        <v>0</v>
      </c>
      <c r="AQ69" s="45" t="b">
        <v>0</v>
      </c>
      <c r="AR69" s="45">
        <v>0</v>
      </c>
      <c r="AS69" s="45" t="b">
        <v>0</v>
      </c>
      <c r="AT69" s="7" t="b">
        <v>0</v>
      </c>
      <c r="AU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0" spans="1:47" x14ac:dyDescent="0.35">
      <c r="A70" s="2" t="s">
        <v>2705</v>
      </c>
      <c r="B70">
        <v>1875</v>
      </c>
      <c r="D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" s="37" t="str">
        <f>INDEX(CONTROL[ENGLISH],MATCH(PROPERTIES[[#This Row],[VEHIDCODE]],CONTROL[VEHIDCODE],0))</f>
        <v>Baldwin 2-8-0 'Consolidation'</v>
      </c>
      <c r="F70" t="s">
        <v>757</v>
      </c>
      <c r="G70" s="37" t="str">
        <f>_xlfn.IFNA(INDEX(COUNTRIES[COUNTRY_LABEL],MATCH(PROPERTIES[[#This Row],[COUNTRY]],COUNTRIES[COUNTRY_DESCRIPTION],0)),"")</f>
        <v>US</v>
      </c>
      <c r="H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INDEX(LOADINGSPEEDDEF[SPEED],MATCH("LOADINGSPEEDDEF_"&amp;PROPERTIES[[#This Row],[LOADINGSPEED]],LOADINGSPEEDDEF[TYPE],0))</f>
        <v>20</v>
      </c>
      <c r="O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4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1" t="b">
        <v>0</v>
      </c>
      <c r="AP70" s="45" t="b">
        <v>0</v>
      </c>
      <c r="AQ70" s="45" t="b">
        <v>0</v>
      </c>
      <c r="AR70" s="45">
        <v>0</v>
      </c>
      <c r="AS70" s="45" t="b">
        <v>0</v>
      </c>
      <c r="AT70" s="7" t="b">
        <v>0</v>
      </c>
      <c r="AU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1" spans="1:47" x14ac:dyDescent="0.35">
      <c r="A71" s="2" t="s">
        <v>2706</v>
      </c>
      <c r="B71">
        <v>1885</v>
      </c>
      <c r="C71">
        <v>1937</v>
      </c>
      <c r="D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" s="37" t="str">
        <f>INDEX(CONTROL[ENGLISH],MATCH(PROPERTIES[[#This Row],[VEHIDCODE]],CONTROL[VEHIDCODE],0))</f>
        <v>MAV 377</v>
      </c>
      <c r="F71" t="s">
        <v>626</v>
      </c>
      <c r="G71" s="37" t="str">
        <f>_xlfn.IFNA(INDEX(COUNTRIES[COUNTRY_LABEL],MATCH(PROPERTIES[[#This Row],[COUNTRY]],COUNTRIES[COUNTRY_DESCRIPTION],0)),"")</f>
        <v>HU</v>
      </c>
      <c r="H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INDEX(LOADINGSPEEDDEF[SPEED],MATCH("LOADINGSPEEDDEF_"&amp;PROPERTIES[[#This Row],[LOADINGSPEED]],LOADINGSPEEDDEF[TYPE],0))</f>
        <v>20</v>
      </c>
      <c r="O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4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1" t="b">
        <v>0</v>
      </c>
      <c r="AP71" s="45" t="b">
        <v>0</v>
      </c>
      <c r="AQ71" s="45" t="b">
        <v>0</v>
      </c>
      <c r="AR71" s="45">
        <v>0</v>
      </c>
      <c r="AS71" s="45" t="b">
        <v>0</v>
      </c>
      <c r="AT71" s="7" t="b">
        <v>0</v>
      </c>
      <c r="AU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2" spans="1:47" x14ac:dyDescent="0.35">
      <c r="A72" s="2" t="s">
        <v>2707</v>
      </c>
      <c r="B72">
        <v>1897</v>
      </c>
      <c r="C72">
        <v>1968</v>
      </c>
      <c r="D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" s="37" t="str">
        <f>INDEX(CONTROL[ENGLISH],MATCH(PROPERTIES[[#This Row],[VEHIDCODE]],CONTROL[VEHIDCODE],0))</f>
        <v>Krauss KkStB 99</v>
      </c>
      <c r="F72" t="s">
        <v>540</v>
      </c>
      <c r="G72" s="37" t="str">
        <f>_xlfn.IFNA(INDEX(COUNTRIES[COUNTRY_LABEL],MATCH(PROPERTIES[[#This Row],[COUNTRY]],COUNTRIES[COUNTRY_DESCRIPTION],0)),"")</f>
        <v>AT</v>
      </c>
      <c r="H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INDEX(LOADINGSPEEDDEF[SPEED],MATCH("LOADINGSPEEDDEF_"&amp;PROPERTIES[[#This Row],[LOADINGSPEED]],LOADINGSPEEDDEF[TYPE],0))</f>
        <v>20</v>
      </c>
      <c r="O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4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1" t="b">
        <v>0</v>
      </c>
      <c r="AP72" s="45" t="b">
        <v>0</v>
      </c>
      <c r="AQ72" s="45" t="b">
        <v>0</v>
      </c>
      <c r="AR72" s="45">
        <v>0</v>
      </c>
      <c r="AS72" s="45" t="b">
        <v>0</v>
      </c>
      <c r="AT72" s="7" t="b">
        <v>0</v>
      </c>
      <c r="AU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3" spans="1:47" x14ac:dyDescent="0.35">
      <c r="A73" s="2" t="s">
        <v>2708</v>
      </c>
      <c r="B73">
        <v>1900</v>
      </c>
      <c r="C73">
        <v>1962</v>
      </c>
      <c r="D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" s="37" t="str">
        <f>INDEX(CONTROL[ENGLISH],MATCH(PROPERTIES[[#This Row],[VEHIDCODE]],CONTROL[VEHIDCODE],0))</f>
        <v>McIntosh [Caledonian Railway] 439</v>
      </c>
      <c r="F73" t="s">
        <v>603</v>
      </c>
      <c r="G73" s="37" t="str">
        <f>_xlfn.IFNA(INDEX(COUNTRIES[COUNTRY_LABEL],MATCH(PROPERTIES[[#This Row],[COUNTRY]],COUNTRIES[COUNTRY_DESCRIPTION],0)),"")</f>
        <v>GB</v>
      </c>
      <c r="H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INDEX(LOADINGSPEEDDEF[SPEED],MATCH("LOADINGSPEEDDEF_"&amp;PROPERTIES[[#This Row],[LOADINGSPEED]],LOADINGSPEEDDEF[TYPE],0))</f>
        <v>20</v>
      </c>
      <c r="O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4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1" t="b">
        <v>0</v>
      </c>
      <c r="AP73" s="45" t="b">
        <v>0</v>
      </c>
      <c r="AQ73" s="45" t="b">
        <v>0</v>
      </c>
      <c r="AR73" s="45">
        <v>0</v>
      </c>
      <c r="AS73" s="45" t="b">
        <v>0</v>
      </c>
      <c r="AT73" s="7" t="b">
        <v>0</v>
      </c>
      <c r="AU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4" spans="1:47" x14ac:dyDescent="0.35">
      <c r="A74" s="2" t="s">
        <v>2709</v>
      </c>
      <c r="B74">
        <v>1902</v>
      </c>
      <c r="C74">
        <v>1933</v>
      </c>
      <c r="D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" s="37" t="str">
        <f>INDEX(CONTROL[ENGLISH],MATCH(PROPERTIES[[#This Row],[VEHIDCODE]],CONTROL[VEHIDCODE],0))</f>
        <v>SLM Winterthur A 3/5</v>
      </c>
      <c r="F74" t="s">
        <v>570</v>
      </c>
      <c r="G74" s="37" t="str">
        <f>_xlfn.IFNA(INDEX(COUNTRIES[COUNTRY_LABEL],MATCH(PROPERTIES[[#This Row],[COUNTRY]],COUNTRIES[COUNTRY_DESCRIPTION],0)),"")</f>
        <v>CH</v>
      </c>
      <c r="H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INDEX(LOADINGSPEEDDEF[SPEED],MATCH("LOADINGSPEEDDEF_"&amp;PROPERTIES[[#This Row],[LOADINGSPEED]],LOADINGSPEEDDEF[TYPE],0))</f>
        <v>20</v>
      </c>
      <c r="O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4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1" t="b">
        <v>0</v>
      </c>
      <c r="AP74" s="45" t="b">
        <v>0</v>
      </c>
      <c r="AQ74" s="45" t="b">
        <v>0</v>
      </c>
      <c r="AR74" s="45">
        <v>0</v>
      </c>
      <c r="AS74" s="45" t="b">
        <v>0</v>
      </c>
      <c r="AT74" s="7" t="b">
        <v>0</v>
      </c>
      <c r="AU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5" spans="1:47" x14ac:dyDescent="0.35">
      <c r="A75" s="2" t="s">
        <v>2710</v>
      </c>
      <c r="B75">
        <v>1902</v>
      </c>
      <c r="C75">
        <v>1951</v>
      </c>
      <c r="D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" s="37" t="str">
        <f>INDEX(CONTROL[ENGLISH],MATCH(PROPERTIES[[#This Row],[VEHIDCODE]],CONTROL[VEHIDCODE],0))</f>
        <v>SLM Winterthur E 3/3</v>
      </c>
      <c r="F75" t="s">
        <v>570</v>
      </c>
      <c r="G75" s="37" t="str">
        <f>_xlfn.IFNA(INDEX(COUNTRIES[COUNTRY_LABEL],MATCH(PROPERTIES[[#This Row],[COUNTRY]],COUNTRIES[COUNTRY_DESCRIPTION],0)),"")</f>
        <v>CH</v>
      </c>
      <c r="H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INDEX(LOADINGSPEEDDEF[SPEED],MATCH("LOADINGSPEEDDEF_"&amp;PROPERTIES[[#This Row],[LOADINGSPEED]],LOADINGSPEEDDEF[TYPE],0))</f>
        <v>20</v>
      </c>
      <c r="O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4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1" t="b">
        <v>0</v>
      </c>
      <c r="AP75" s="45" t="b">
        <v>0</v>
      </c>
      <c r="AQ75" s="45" t="b">
        <v>0</v>
      </c>
      <c r="AR75" s="45">
        <v>0</v>
      </c>
      <c r="AS75" s="45" t="b">
        <v>0</v>
      </c>
      <c r="AT75" s="7" t="b">
        <v>0</v>
      </c>
      <c r="AU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6" spans="1:47" x14ac:dyDescent="0.35">
      <c r="A76" s="2" t="s">
        <v>2711</v>
      </c>
      <c r="B76">
        <v>1910</v>
      </c>
      <c r="C76">
        <v>1960</v>
      </c>
      <c r="D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" s="37" t="str">
        <f>INDEX(CONTROL[ENGLISH],MATCH(PROPERTIES[[#This Row],[VEHIDCODE]],CONTROL[VEHIDCODE],0))</f>
        <v>Krauss 299</v>
      </c>
      <c r="F76" t="s">
        <v>540</v>
      </c>
      <c r="G76" s="37" t="str">
        <f>_xlfn.IFNA(INDEX(COUNTRIES[COUNTRY_LABEL],MATCH(PROPERTIES[[#This Row],[COUNTRY]],COUNTRIES[COUNTRY_DESCRIPTION],0)),"")</f>
        <v>AT</v>
      </c>
      <c r="H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INDEX(LOADINGSPEEDDEF[SPEED],MATCH("LOADINGSPEEDDEF_"&amp;PROPERTIES[[#This Row],[LOADINGSPEED]],LOADINGSPEEDDEF[TYPE],0))</f>
        <v>20</v>
      </c>
      <c r="O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4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1" t="b">
        <v>0</v>
      </c>
      <c r="AP76" s="45" t="b">
        <v>0</v>
      </c>
      <c r="AQ76" s="45" t="b">
        <v>0</v>
      </c>
      <c r="AR76" s="45">
        <v>0</v>
      </c>
      <c r="AS76" s="45" t="b">
        <v>0</v>
      </c>
      <c r="AT76" s="7" t="b">
        <v>0</v>
      </c>
      <c r="AU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7" spans="1:47" x14ac:dyDescent="0.35">
      <c r="A77" s="2" t="s">
        <v>2712</v>
      </c>
      <c r="B77">
        <v>1908</v>
      </c>
      <c r="C77">
        <v>1968</v>
      </c>
      <c r="D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" s="37" t="str">
        <f>INDEX(CONTROL[ENGLISH],MATCH(PROPERTIES[[#This Row],[VEHIDCODE]],CONTROL[VEHIDCODE],0))</f>
        <v>NZR X</v>
      </c>
      <c r="F77" t="s">
        <v>697</v>
      </c>
      <c r="G77" s="37" t="str">
        <f>_xlfn.IFNA(INDEX(COUNTRIES[COUNTRY_LABEL],MATCH(PROPERTIES[[#This Row],[COUNTRY]],COUNTRIES[COUNTRY_DESCRIPTION],0)),"")</f>
        <v>NZ</v>
      </c>
      <c r="H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INDEX(LOADINGSPEEDDEF[SPEED],MATCH("LOADINGSPEEDDEF_"&amp;PROPERTIES[[#This Row],[LOADINGSPEED]],LOADINGSPEEDDEF[TYPE],0))</f>
        <v>20</v>
      </c>
      <c r="O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4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1" t="b">
        <v>0</v>
      </c>
      <c r="AP77" s="45" t="b">
        <v>0</v>
      </c>
      <c r="AQ77" s="45" t="b">
        <v>0</v>
      </c>
      <c r="AR77" s="45">
        <v>0</v>
      </c>
      <c r="AS77" s="45" t="b">
        <v>0</v>
      </c>
      <c r="AT77" s="7" t="b">
        <v>0</v>
      </c>
      <c r="AU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8" spans="1:47" x14ac:dyDescent="0.35">
      <c r="A78" s="2" t="s">
        <v>3442</v>
      </c>
      <c r="B78">
        <v>1914</v>
      </c>
      <c r="C78">
        <v>1970</v>
      </c>
      <c r="D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" s="37" t="str">
        <f>INDEX(CONTROL[ENGLISH],MATCH(PROPERTIES[[#This Row],[VEHIDCODE]],CONTROL[VEHIDCODE],0))</f>
        <v>MAVAG 375</v>
      </c>
      <c r="F78" t="s">
        <v>624</v>
      </c>
      <c r="G78" s="37" t="str">
        <f>_xlfn.IFNA(INDEX(COUNTRIES[COUNTRY_LABEL],MATCH(PROPERTIES[[#This Row],[COUNTRY]],COUNTRIES[COUNTRY_DESCRIPTION],0)),"")</f>
        <v>HR</v>
      </c>
      <c r="H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INDEX(LOADINGSPEEDDEF[SPEED],MATCH("LOADINGSPEEDDEF_"&amp;PROPERTIES[[#This Row],[LOADINGSPEED]],LOADINGSPEEDDEF[TYPE],0))</f>
        <v>20</v>
      </c>
      <c r="O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4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1" t="b">
        <v>0</v>
      </c>
      <c r="AP78" s="45" t="b">
        <v>0</v>
      </c>
      <c r="AQ78" s="45" t="b">
        <v>0</v>
      </c>
      <c r="AR78" s="45">
        <v>0</v>
      </c>
      <c r="AS78" s="45" t="b">
        <v>0</v>
      </c>
      <c r="AT78" s="7" t="b">
        <v>0</v>
      </c>
      <c r="AU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9" spans="1:47" x14ac:dyDescent="0.35">
      <c r="A79" s="2" t="s">
        <v>2713</v>
      </c>
      <c r="B79">
        <v>1916</v>
      </c>
      <c r="C79">
        <v>1978</v>
      </c>
      <c r="D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" s="37" t="str">
        <f>INDEX(CONTROL[ENGLISH],MATCH(PROPERTIES[[#This Row],[VEHIDCODE]],CONTROL[VEHIDCODE],0))</f>
        <v>FS 880</v>
      </c>
      <c r="F79" t="s">
        <v>636</v>
      </c>
      <c r="G79" s="37" t="str">
        <f>_xlfn.IFNA(INDEX(COUNTRIES[COUNTRY_LABEL],MATCH(PROPERTIES[[#This Row],[COUNTRY]],COUNTRIES[COUNTRY_DESCRIPTION],0)),"")</f>
        <v>IT</v>
      </c>
      <c r="H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INDEX(LOADINGSPEEDDEF[SPEED],MATCH("LOADINGSPEEDDEF_"&amp;PROPERTIES[[#This Row],[LOADINGSPEED]],LOADINGSPEEDDEF[TYPE],0))</f>
        <v>20</v>
      </c>
      <c r="O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4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1" t="b">
        <v>0</v>
      </c>
      <c r="AP79" s="45" t="b">
        <v>0</v>
      </c>
      <c r="AQ79" s="45" t="b">
        <v>0</v>
      </c>
      <c r="AR79" s="45">
        <v>0</v>
      </c>
      <c r="AS79" s="45" t="b">
        <v>0</v>
      </c>
      <c r="AT79" s="7" t="b">
        <v>0</v>
      </c>
      <c r="AU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0" spans="1:47" x14ac:dyDescent="0.35">
      <c r="A80" s="2" t="s">
        <v>2714</v>
      </c>
      <c r="B80">
        <v>1910</v>
      </c>
      <c r="D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" s="37" t="str">
        <f>INDEX(CONTROL[ENGLISH],MATCH(PROPERTIES[[#This Row],[VEHIDCODE]],CONTROL[VEHIDCODE],0))</f>
        <v>FCNEA 11B 2-8-0</v>
      </c>
      <c r="F80" t="s">
        <v>538</v>
      </c>
      <c r="G80" s="37" t="str">
        <f>_xlfn.IFNA(INDEX(COUNTRIES[COUNTRY_LABEL],MATCH(PROPERTIES[[#This Row],[COUNTRY]],COUNTRIES[COUNTRY_DESCRIPTION],0)),"")</f>
        <v>AR</v>
      </c>
      <c r="H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INDEX(LOADINGSPEEDDEF[SPEED],MATCH("LOADINGSPEEDDEF_"&amp;PROPERTIES[[#This Row],[LOADINGSPEED]],LOADINGSPEEDDEF[TYPE],0))</f>
        <v>20</v>
      </c>
      <c r="O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4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1" t="b">
        <v>0</v>
      </c>
      <c r="AP80" s="45" t="b">
        <v>0</v>
      </c>
      <c r="AQ80" s="45" t="b">
        <v>0</v>
      </c>
      <c r="AR80" s="45">
        <v>0</v>
      </c>
      <c r="AS80" s="45" t="b">
        <v>0</v>
      </c>
      <c r="AT80" s="7" t="b">
        <v>0</v>
      </c>
      <c r="AU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1" spans="1:47" x14ac:dyDescent="0.35">
      <c r="A81" s="2" t="s">
        <v>2715</v>
      </c>
      <c r="B81">
        <v>1913</v>
      </c>
      <c r="C81">
        <v>1971</v>
      </c>
      <c r="D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" s="37" t="str">
        <f>INDEX(CONTROL[ENGLISH],MATCH(PROPERTIES[[#This Row],[VEHIDCODE]],CONTROL[VEHIDCODE],0))</f>
        <v>Schneider et Cie 140C</v>
      </c>
      <c r="F81" t="s">
        <v>602</v>
      </c>
      <c r="G81" s="37" t="str">
        <f>_xlfn.IFNA(INDEX(COUNTRIES[COUNTRY_LABEL],MATCH(PROPERTIES[[#This Row],[COUNTRY]],COUNTRIES[COUNTRY_DESCRIPTION],0)),"")</f>
        <v>FR</v>
      </c>
      <c r="H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INDEX(LOADINGSPEEDDEF[SPEED],MATCH("LOADINGSPEEDDEF_"&amp;PROPERTIES[[#This Row],[LOADINGSPEED]],LOADINGSPEEDDEF[TYPE],0))</f>
        <v>20</v>
      </c>
      <c r="O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4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1" t="b">
        <v>0</v>
      </c>
      <c r="AP81" s="45" t="b">
        <v>0</v>
      </c>
      <c r="AQ81" s="45" t="b">
        <v>0</v>
      </c>
      <c r="AR81" s="45">
        <v>0</v>
      </c>
      <c r="AS81" s="45" t="b">
        <v>0</v>
      </c>
      <c r="AT81" s="7" t="b">
        <v>0</v>
      </c>
      <c r="AU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2" spans="1:47" x14ac:dyDescent="0.35">
      <c r="A82" s="2" t="s">
        <v>3464</v>
      </c>
      <c r="B82">
        <v>1911</v>
      </c>
      <c r="C82">
        <v>1971</v>
      </c>
      <c r="D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" s="37" t="str">
        <f>INDEX(CONTROL[ENGLISH],MATCH(PROPERTIES[[#This Row],[VEHIDCODE]],CONTROL[VEHIDCODE],0))</f>
        <v>Union Giesserei 2-8-2T</v>
      </c>
      <c r="F82" t="s">
        <v>602</v>
      </c>
      <c r="G82" s="37" t="str">
        <f>_xlfn.IFNA(INDEX(COUNTRIES[COUNTRY_LABEL],MATCH(PROPERTIES[[#This Row],[COUNTRY]],COUNTRIES[COUNTRY_DESCRIPTION],0)),"")</f>
        <v>FR</v>
      </c>
      <c r="H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INDEX(LOADINGSPEEDDEF[SPEED],MATCH("LOADINGSPEEDDEF_"&amp;PROPERTIES[[#This Row],[LOADINGSPEED]],LOADINGSPEEDDEF[TYPE],0))</f>
        <v>20</v>
      </c>
      <c r="O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4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1" t="b">
        <v>0</v>
      </c>
      <c r="AP82" s="45" t="b">
        <v>0</v>
      </c>
      <c r="AQ82" s="45" t="b">
        <v>0</v>
      </c>
      <c r="AR82" s="45">
        <v>0</v>
      </c>
      <c r="AS82" s="45" t="b">
        <v>0</v>
      </c>
      <c r="AT82" s="7" t="b">
        <v>0</v>
      </c>
      <c r="AU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" spans="1:47" x14ac:dyDescent="0.35">
      <c r="A83" s="2" t="s">
        <v>2716</v>
      </c>
      <c r="B83">
        <v>1928</v>
      </c>
      <c r="C83">
        <v>1959</v>
      </c>
      <c r="D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" s="37" t="str">
        <f>INDEX(CONTROL[ENGLISH],MATCH(PROPERTIES[[#This Row],[VEHIDCODE]],CONTROL[VEHIDCODE],0))</f>
        <v>GWR 4900 'Hall'</v>
      </c>
      <c r="F83" t="s">
        <v>603</v>
      </c>
      <c r="G83" s="37" t="str">
        <f>_xlfn.IFNA(INDEX(COUNTRIES[COUNTRY_LABEL],MATCH(PROPERTIES[[#This Row],[COUNTRY]],COUNTRIES[COUNTRY_DESCRIPTION],0)),"")</f>
        <v>GB</v>
      </c>
      <c r="H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INDEX(LOADINGSPEEDDEF[SPEED],MATCH("LOADINGSPEEDDEF_"&amp;PROPERTIES[[#This Row],[LOADINGSPEED]],LOADINGSPEEDDEF[TYPE],0))</f>
        <v>20</v>
      </c>
      <c r="O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4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1" t="b">
        <v>0</v>
      </c>
      <c r="AP83" s="45" t="b">
        <v>0</v>
      </c>
      <c r="AQ83" s="45" t="b">
        <v>0</v>
      </c>
      <c r="AR83" s="45">
        <v>0</v>
      </c>
      <c r="AS83" s="45" t="b">
        <v>0</v>
      </c>
      <c r="AT83" s="7" t="b">
        <v>0</v>
      </c>
      <c r="AU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" spans="1:47" x14ac:dyDescent="0.35">
      <c r="A84" s="2" t="s">
        <v>2717</v>
      </c>
      <c r="B84">
        <v>1929</v>
      </c>
      <c r="C84">
        <v>1956</v>
      </c>
      <c r="D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" s="37" t="str">
        <f>INDEX(CONTROL[ENGLISH],MATCH(PROPERTIES[[#This Row],[VEHIDCODE]],CONTROL[VEHIDCODE],0))</f>
        <v>GWR 5700 'Pannier'</v>
      </c>
      <c r="F84" t="s">
        <v>603</v>
      </c>
      <c r="G84" s="37" t="str">
        <f>_xlfn.IFNA(INDEX(COUNTRIES[COUNTRY_LABEL],MATCH(PROPERTIES[[#This Row],[COUNTRY]],COUNTRIES[COUNTRY_DESCRIPTION],0)),"")</f>
        <v>GB</v>
      </c>
      <c r="H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INDEX(LOADINGSPEEDDEF[SPEED],MATCH("LOADINGSPEEDDEF_"&amp;PROPERTIES[[#This Row],[LOADINGSPEED]],LOADINGSPEEDDEF[TYPE],0))</f>
        <v>20</v>
      </c>
      <c r="O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4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1" t="b">
        <v>0</v>
      </c>
      <c r="AP84" s="45" t="b">
        <v>0</v>
      </c>
      <c r="AQ84" s="45" t="b">
        <v>0</v>
      </c>
      <c r="AR84" s="45">
        <v>0</v>
      </c>
      <c r="AS84" s="45" t="b">
        <v>0</v>
      </c>
      <c r="AT84" s="7" t="b">
        <v>0</v>
      </c>
      <c r="AU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5" spans="1:47" x14ac:dyDescent="0.35">
      <c r="A85" s="2" t="s">
        <v>2718</v>
      </c>
      <c r="B85">
        <v>1930</v>
      </c>
      <c r="C85">
        <v>1957</v>
      </c>
      <c r="D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" s="37" t="str">
        <f>INDEX(CONTROL[ENGLISH],MATCH(PROPERTIES[[#This Row],[VEHIDCODE]],CONTROL[VEHIDCODE],0))</f>
        <v>Henschel &amp; Sohn series 6300</v>
      </c>
      <c r="F85" t="s">
        <v>692</v>
      </c>
      <c r="G85" s="37" t="str">
        <f>_xlfn.IFNA(INDEX(COUNTRIES[COUNTRY_LABEL],MATCH(PROPERTIES[[#This Row],[COUNTRY]],COUNTRIES[COUNTRY_DESCRIPTION],0)),"")</f>
        <v>NL</v>
      </c>
      <c r="H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INDEX(LOADINGSPEEDDEF[SPEED],MATCH("LOADINGSPEEDDEF_"&amp;PROPERTIES[[#This Row],[LOADINGSPEED]],LOADINGSPEEDDEF[TYPE],0))</f>
        <v>20</v>
      </c>
      <c r="O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4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1" t="b">
        <v>0</v>
      </c>
      <c r="AP85" s="45" t="b">
        <v>0</v>
      </c>
      <c r="AQ85" s="45" t="b">
        <v>0</v>
      </c>
      <c r="AR85" s="45">
        <v>0</v>
      </c>
      <c r="AS85" s="45" t="b">
        <v>0</v>
      </c>
      <c r="AT85" s="7" t="b">
        <v>0</v>
      </c>
      <c r="AU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6" spans="1:47" x14ac:dyDescent="0.35">
      <c r="A86" s="2" t="s">
        <v>2719</v>
      </c>
      <c r="B86">
        <v>1930</v>
      </c>
      <c r="C86">
        <v>1957</v>
      </c>
      <c r="D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" s="37" t="str">
        <f>INDEX(CONTROL[ENGLISH],MATCH(PROPERTIES[[#This Row],[VEHIDCODE]],CONTROL[VEHIDCODE],0))</f>
        <v>Baldwin 5000 'Madame Queen'</v>
      </c>
      <c r="F86" t="s">
        <v>757</v>
      </c>
      <c r="G86" s="37" t="str">
        <f>_xlfn.IFNA(INDEX(COUNTRIES[COUNTRY_LABEL],MATCH(PROPERTIES[[#This Row],[COUNTRY]],COUNTRIES[COUNTRY_DESCRIPTION],0)),"")</f>
        <v>US</v>
      </c>
      <c r="H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INDEX(LOADINGSPEEDDEF[SPEED],MATCH("LOADINGSPEEDDEF_"&amp;PROPERTIES[[#This Row],[LOADINGSPEED]],LOADINGSPEEDDEF[TYPE],0))</f>
        <v>20</v>
      </c>
      <c r="O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4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1" t="b">
        <v>0</v>
      </c>
      <c r="AP86" s="45" t="b">
        <v>0</v>
      </c>
      <c r="AQ86" s="45" t="b">
        <v>0</v>
      </c>
      <c r="AR86" s="45">
        <v>0</v>
      </c>
      <c r="AS86" s="45" t="b">
        <v>0</v>
      </c>
      <c r="AT86" s="7" t="b">
        <v>0</v>
      </c>
      <c r="AU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7" spans="1:47" x14ac:dyDescent="0.35">
      <c r="A87" s="2" t="s">
        <v>2720</v>
      </c>
      <c r="B87">
        <v>1910</v>
      </c>
      <c r="C87">
        <v>1954</v>
      </c>
      <c r="D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" s="37" t="str">
        <f>INDEX(CONTROL[ENGLISH],MATCH(PROPERTIES[[#This Row],[VEHIDCODE]],CONTROL[VEHIDCODE],0))</f>
        <v>Schwartzkopff S 10 'Prussian'</v>
      </c>
      <c r="F87" t="s">
        <v>584</v>
      </c>
      <c r="G87" s="37" t="str">
        <f>_xlfn.IFNA(INDEX(COUNTRIES[COUNTRY_LABEL],MATCH(PROPERTIES[[#This Row],[COUNTRY]],COUNTRIES[COUNTRY_DESCRIPTION],0)),"")</f>
        <v>DE</v>
      </c>
      <c r="H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INDEX(LOADINGSPEEDDEF[SPEED],MATCH("LOADINGSPEEDDEF_"&amp;PROPERTIES[[#This Row],[LOADINGSPEED]],LOADINGSPEEDDEF[TYPE],0))</f>
        <v>20</v>
      </c>
      <c r="O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4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1" t="b">
        <v>0</v>
      </c>
      <c r="AP87" s="45" t="b">
        <v>0</v>
      </c>
      <c r="AQ87" s="45" t="b">
        <v>0</v>
      </c>
      <c r="AR87" s="45">
        <v>0</v>
      </c>
      <c r="AS87" s="45" t="b">
        <v>0</v>
      </c>
      <c r="AT87" s="7" t="b">
        <v>0</v>
      </c>
      <c r="AU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" spans="1:47" x14ac:dyDescent="0.35">
      <c r="A88" s="2" t="s">
        <v>2721</v>
      </c>
      <c r="B88">
        <v>1934</v>
      </c>
      <c r="C88">
        <v>1961</v>
      </c>
      <c r="D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" s="37" t="str">
        <f>INDEX(CONTROL[ENGLISH],MATCH(PROPERTIES[[#This Row],[VEHIDCODE]],CONTROL[VEHIDCODE],0))</f>
        <v>LMS 5MT 'Black Five'</v>
      </c>
      <c r="F88" t="s">
        <v>603</v>
      </c>
      <c r="G88" s="37" t="str">
        <f>_xlfn.IFNA(INDEX(COUNTRIES[COUNTRY_LABEL],MATCH(PROPERTIES[[#This Row],[COUNTRY]],COUNTRIES[COUNTRY_DESCRIPTION],0)),"")</f>
        <v>GB</v>
      </c>
      <c r="H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INDEX(LOADINGSPEEDDEF[SPEED],MATCH("LOADINGSPEEDDEF_"&amp;PROPERTIES[[#This Row],[LOADINGSPEED]],LOADINGSPEEDDEF[TYPE],0))</f>
        <v>20</v>
      </c>
      <c r="O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4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1" t="b">
        <v>0</v>
      </c>
      <c r="AP88" s="45" t="b">
        <v>0</v>
      </c>
      <c r="AQ88" s="45" t="b">
        <v>0</v>
      </c>
      <c r="AR88" s="45">
        <v>0</v>
      </c>
      <c r="AS88" s="45" t="b">
        <v>0</v>
      </c>
      <c r="AT88" s="7" t="b">
        <v>0</v>
      </c>
      <c r="AU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" spans="1:47" x14ac:dyDescent="0.35">
      <c r="A89" s="2" t="s">
        <v>2722</v>
      </c>
      <c r="B89">
        <v>1935</v>
      </c>
      <c r="D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" s="37" t="str">
        <f>INDEX(CONTROL[ENGLISH],MATCH(PROPERTIES[[#This Row],[VEHIDCODE]],CONTROL[VEHIDCODE],0))</f>
        <v>Kolomna 9P</v>
      </c>
      <c r="F89" t="s">
        <v>716</v>
      </c>
      <c r="G89" s="37" t="str">
        <f>_xlfn.IFNA(INDEX(COUNTRIES[COUNTRY_LABEL],MATCH(PROPERTIES[[#This Row],[COUNTRY]],COUNTRIES[COUNTRY_DESCRIPTION],0)),"")</f>
        <v>RU</v>
      </c>
      <c r="H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INDEX(LOADINGSPEEDDEF[SPEED],MATCH("LOADINGSPEEDDEF_"&amp;PROPERTIES[[#This Row],[LOADINGSPEED]],LOADINGSPEEDDEF[TYPE],0))</f>
        <v>20</v>
      </c>
      <c r="O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4">
        <v>0</v>
      </c>
      <c r="AF89" s="6">
        <v>0</v>
      </c>
      <c r="AG89" t="s">
        <v>1943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1" t="b">
        <v>0</v>
      </c>
      <c r="AP89" s="45" t="b">
        <v>0</v>
      </c>
      <c r="AQ89" s="45" t="b">
        <v>0</v>
      </c>
      <c r="AR89" s="45">
        <v>0</v>
      </c>
      <c r="AS89" s="45" t="b">
        <v>0</v>
      </c>
      <c r="AT89" s="7" t="b">
        <v>0</v>
      </c>
      <c r="AU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0" spans="1:47" x14ac:dyDescent="0.35">
      <c r="A90" s="2" t="s">
        <v>2723</v>
      </c>
      <c r="B90">
        <v>1935</v>
      </c>
      <c r="C90">
        <v>1962</v>
      </c>
      <c r="D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0" s="37" t="str">
        <f>INDEX(CONTROL[ENGLISH],MATCH(PROPERTIES[[#This Row],[VEHIDCODE]],CONTROL[VEHIDCODE],0))</f>
        <v>LNER A4 'Gresley'</v>
      </c>
      <c r="F90" t="s">
        <v>603</v>
      </c>
      <c r="G90" s="37" t="str">
        <f>_xlfn.IFNA(INDEX(COUNTRIES[COUNTRY_LABEL],MATCH(PROPERTIES[[#This Row],[COUNTRY]],COUNTRIES[COUNTRY_DESCRIPTION],0)),"")</f>
        <v>GB</v>
      </c>
      <c r="H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INDEX(LOADINGSPEEDDEF[SPEED],MATCH("LOADINGSPEEDDEF_"&amp;PROPERTIES[[#This Row],[LOADINGSPEED]],LOADINGSPEEDDEF[TYPE],0))</f>
        <v>20</v>
      </c>
      <c r="O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4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1" t="b">
        <v>0</v>
      </c>
      <c r="AP90" s="45" t="b">
        <v>0</v>
      </c>
      <c r="AQ90" s="45" t="b">
        <v>0</v>
      </c>
      <c r="AR90" s="45">
        <v>0</v>
      </c>
      <c r="AS90" s="45" t="b">
        <v>0</v>
      </c>
      <c r="AT90" s="7" t="b">
        <v>0</v>
      </c>
      <c r="AU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1" spans="1:47" x14ac:dyDescent="0.35">
      <c r="A91" s="2" t="s">
        <v>2724</v>
      </c>
      <c r="B91">
        <v>1937</v>
      </c>
      <c r="C91">
        <v>1959</v>
      </c>
      <c r="D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" s="37" t="str">
        <f>INDEX(CONTROL[ENGLISH],MATCH(PROPERTIES[[#This Row],[VEHIDCODE]],CONTROL[VEHIDCODE],0))</f>
        <v>MLW 'Royal Hudson'</v>
      </c>
      <c r="F91" t="s">
        <v>565</v>
      </c>
      <c r="G91" s="37" t="str">
        <f>_xlfn.IFNA(INDEX(COUNTRIES[COUNTRY_LABEL],MATCH(PROPERTIES[[#This Row],[COUNTRY]],COUNTRIES[COUNTRY_DESCRIPTION],0)),"")</f>
        <v>CA</v>
      </c>
      <c r="H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INDEX(LOADINGSPEEDDEF[SPEED],MATCH("LOADINGSPEEDDEF_"&amp;PROPERTIES[[#This Row],[LOADINGSPEED]],LOADINGSPEEDDEF[TYPE],0))</f>
        <v>20</v>
      </c>
      <c r="O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4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1" t="b">
        <v>0</v>
      </c>
      <c r="AP91" s="45" t="b">
        <v>0</v>
      </c>
      <c r="AQ91" s="45" t="b">
        <v>0</v>
      </c>
      <c r="AR91" s="45">
        <v>0</v>
      </c>
      <c r="AS91" s="45" t="b">
        <v>0</v>
      </c>
      <c r="AT91" s="7" t="b">
        <v>0</v>
      </c>
      <c r="AU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2" spans="1:47" x14ac:dyDescent="0.35">
      <c r="A92" s="2" t="s">
        <v>2725</v>
      </c>
      <c r="B92">
        <v>1937</v>
      </c>
      <c r="C92">
        <v>1972</v>
      </c>
      <c r="D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" s="37" t="str">
        <f>INDEX(CONTROL[ENGLISH],MATCH(PROPERTIES[[#This Row],[VEHIDCODE]],CONTROL[VEHIDCODE],0))</f>
        <v>NOHAB 4-6-2 'F'</v>
      </c>
      <c r="F92" t="s">
        <v>586</v>
      </c>
      <c r="G92" s="37" t="str">
        <f>_xlfn.IFNA(INDEX(COUNTRIES[COUNTRY_LABEL],MATCH(PROPERTIES[[#This Row],[COUNTRY]],COUNTRIES[COUNTRY_DESCRIPTION],0)),"")</f>
        <v>DK</v>
      </c>
      <c r="H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INDEX(LOADINGSPEEDDEF[SPEED],MATCH("LOADINGSPEEDDEF_"&amp;PROPERTIES[[#This Row],[LOADINGSPEED]],LOADINGSPEEDDEF[TYPE],0))</f>
        <v>20</v>
      </c>
      <c r="O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4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1" t="b">
        <v>0</v>
      </c>
      <c r="AP92" s="45" t="b">
        <v>0</v>
      </c>
      <c r="AQ92" s="45" t="b">
        <v>0</v>
      </c>
      <c r="AR92" s="45">
        <v>0</v>
      </c>
      <c r="AS92" s="45" t="b">
        <v>0</v>
      </c>
      <c r="AT92" s="7" t="b">
        <v>0</v>
      </c>
      <c r="AU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3" spans="1:47" x14ac:dyDescent="0.35">
      <c r="A93" s="2" t="s">
        <v>2726</v>
      </c>
      <c r="B93">
        <v>1942</v>
      </c>
      <c r="C93">
        <v>1962</v>
      </c>
      <c r="D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" s="37" t="str">
        <f>INDEX(CONTROL[ENGLISH],MATCH(PROPERTIES[[#This Row],[VEHIDCODE]],CONTROL[VEHIDCODE],0))</f>
        <v>GGL/HAS 52</v>
      </c>
      <c r="F93" t="s">
        <v>584</v>
      </c>
      <c r="G93" s="37" t="str">
        <f>_xlfn.IFNA(INDEX(COUNTRIES[COUNTRY_LABEL],MATCH(PROPERTIES[[#This Row],[COUNTRY]],COUNTRIES[COUNTRY_DESCRIPTION],0)),"")</f>
        <v>DE</v>
      </c>
      <c r="H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INDEX(LOADINGSPEEDDEF[SPEED],MATCH("LOADINGSPEEDDEF_"&amp;PROPERTIES[[#This Row],[LOADINGSPEED]],LOADINGSPEEDDEF[TYPE],0))</f>
        <v>20</v>
      </c>
      <c r="O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4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1" t="b">
        <v>0</v>
      </c>
      <c r="AP93" s="45" t="b">
        <v>0</v>
      </c>
      <c r="AQ93" s="45" t="b">
        <v>0</v>
      </c>
      <c r="AR93" s="45">
        <v>0</v>
      </c>
      <c r="AS93" s="45" t="b">
        <v>0</v>
      </c>
      <c r="AT93" s="7" t="b">
        <v>0</v>
      </c>
      <c r="AU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4" spans="1:47" x14ac:dyDescent="0.35">
      <c r="A94" s="2" t="s">
        <v>2727</v>
      </c>
      <c r="B94">
        <v>1948</v>
      </c>
      <c r="C94">
        <v>1962</v>
      </c>
      <c r="D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" s="37" t="str">
        <f>INDEX(CONTROL[ENGLISH],MATCH(PROPERTIES[[#This Row],[VEHIDCODE]],CONTROL[VEHIDCODE],0))</f>
        <v>Doncaster/Darlington 'Peppercorn'</v>
      </c>
      <c r="F94" t="s">
        <v>603</v>
      </c>
      <c r="G94" s="37" t="str">
        <f>_xlfn.IFNA(INDEX(COUNTRIES[COUNTRY_LABEL],MATCH(PROPERTIES[[#This Row],[COUNTRY]],COUNTRIES[COUNTRY_DESCRIPTION],0)),"")</f>
        <v>GB</v>
      </c>
      <c r="H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INDEX(LOADINGSPEEDDEF[SPEED],MATCH("LOADINGSPEEDDEF_"&amp;PROPERTIES[[#This Row],[LOADINGSPEED]],LOADINGSPEEDDEF[TYPE],0))</f>
        <v>20</v>
      </c>
      <c r="O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4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1" t="b">
        <v>0</v>
      </c>
      <c r="AP94" s="45" t="b">
        <v>0</v>
      </c>
      <c r="AQ94" s="45" t="b">
        <v>0</v>
      </c>
      <c r="AR94" s="45">
        <v>0</v>
      </c>
      <c r="AS94" s="45" t="b">
        <v>0</v>
      </c>
      <c r="AT94" s="7" t="b">
        <v>0</v>
      </c>
      <c r="AU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" spans="1:47" x14ac:dyDescent="0.35">
      <c r="A95" s="2" t="s">
        <v>2728</v>
      </c>
      <c r="B95">
        <v>1953</v>
      </c>
      <c r="C95">
        <v>1973</v>
      </c>
      <c r="D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" s="37" t="str">
        <f>INDEX(CONTROL[ENGLISH],MATCH(PROPERTIES[[#This Row],[VEHIDCODE]],CONTROL[VEHIDCODE],0))</f>
        <v>Henschel &amp; Sohn 'Condenser'</v>
      </c>
      <c r="F95" t="s">
        <v>771</v>
      </c>
      <c r="G95" s="37" t="str">
        <f>_xlfn.IFNA(INDEX(COUNTRIES[COUNTRY_LABEL],MATCH(PROPERTIES[[#This Row],[COUNTRY]],COUNTRIES[COUNTRY_DESCRIPTION],0)),"")</f>
        <v>ZA</v>
      </c>
      <c r="H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INDEX(LOADINGSPEEDDEF[SPEED],MATCH("LOADINGSPEEDDEF_"&amp;PROPERTIES[[#This Row],[LOADINGSPEED]],LOADINGSPEEDDEF[TYPE],0))</f>
        <v>20</v>
      </c>
      <c r="O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4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1" t="b">
        <v>0</v>
      </c>
      <c r="AP95" s="45" t="b">
        <v>0</v>
      </c>
      <c r="AQ95" s="45" t="b">
        <v>0</v>
      </c>
      <c r="AR95" s="45">
        <v>0</v>
      </c>
      <c r="AS95" s="45" t="b">
        <v>0</v>
      </c>
      <c r="AT95" s="7" t="b">
        <v>0</v>
      </c>
      <c r="AU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" spans="1:47" x14ac:dyDescent="0.35">
      <c r="A96" s="2" t="s">
        <v>2729</v>
      </c>
      <c r="B96">
        <v>1954</v>
      </c>
      <c r="C96">
        <v>1965</v>
      </c>
      <c r="D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" s="37" t="str">
        <f>INDEX(CONTROL[ENGLISH],MATCH(PROPERTIES[[#This Row],[VEHIDCODE]],CONTROL[VEHIDCODE],0))</f>
        <v>Kolomna P36</v>
      </c>
      <c r="F96" t="s">
        <v>716</v>
      </c>
      <c r="G96" s="37" t="str">
        <f>_xlfn.IFNA(INDEX(COUNTRIES[COUNTRY_LABEL],MATCH(PROPERTIES[[#This Row],[COUNTRY]],COUNTRIES[COUNTRY_DESCRIPTION],0)),"")</f>
        <v>RU</v>
      </c>
      <c r="H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INDEX(LOADINGSPEEDDEF[SPEED],MATCH("LOADINGSPEEDDEF_"&amp;PROPERTIES[[#This Row],[LOADINGSPEED]],LOADINGSPEEDDEF[TYPE],0))</f>
        <v>20</v>
      </c>
      <c r="O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4">
        <v>0</v>
      </c>
      <c r="AF96" s="6">
        <v>6</v>
      </c>
      <c r="AG96" t="s">
        <v>1943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1" t="b">
        <v>0</v>
      </c>
      <c r="AP96" s="45" t="b">
        <v>0</v>
      </c>
      <c r="AQ96" s="45" t="b">
        <v>0</v>
      </c>
      <c r="AR96" s="45">
        <v>0</v>
      </c>
      <c r="AS96" s="45" t="b">
        <v>0</v>
      </c>
      <c r="AT96" s="7" t="b">
        <v>0</v>
      </c>
      <c r="AU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7" spans="1:47" x14ac:dyDescent="0.35">
      <c r="A97" s="2" t="s">
        <v>2730</v>
      </c>
      <c r="B97">
        <v>1934</v>
      </c>
      <c r="C97">
        <v>1968</v>
      </c>
      <c r="D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" s="37" t="str">
        <f>INDEX(CONTROL[ENGLISH],MATCH(PROPERTIES[[#This Row],[VEHIDCODE]],CONTROL[VEHIDCODE],0))</f>
        <v>ANF/DEL 150B</v>
      </c>
      <c r="F97" t="s">
        <v>602</v>
      </c>
      <c r="G97" s="37" t="str">
        <f>_xlfn.IFNA(INDEX(COUNTRIES[COUNTRY_LABEL],MATCH(PROPERTIES[[#This Row],[COUNTRY]],COUNTRIES[COUNTRY_DESCRIPTION],0)),"")</f>
        <v>FR</v>
      </c>
      <c r="H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INDEX(LOADINGSPEEDDEF[SPEED],MATCH("LOADINGSPEEDDEF_"&amp;PROPERTIES[[#This Row],[LOADINGSPEED]],LOADINGSPEEDDEF[TYPE],0))</f>
        <v>20</v>
      </c>
      <c r="O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4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1" t="b">
        <v>0</v>
      </c>
      <c r="AP97" s="45" t="b">
        <v>0</v>
      </c>
      <c r="AQ97" s="45" t="b">
        <v>0</v>
      </c>
      <c r="AR97" s="45">
        <v>0</v>
      </c>
      <c r="AS97" s="45" t="b">
        <v>0</v>
      </c>
      <c r="AT97" s="7" t="b">
        <v>0</v>
      </c>
      <c r="AU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8" spans="1:47" x14ac:dyDescent="0.35">
      <c r="A98" s="2" t="s">
        <v>2731</v>
      </c>
      <c r="B98">
        <v>1908</v>
      </c>
      <c r="C98">
        <v>1972</v>
      </c>
      <c r="D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" s="37" t="str">
        <f>INDEX(CONTROL[ENGLISH],MATCH(PROPERTIES[[#This Row],[VEHIDCODE]],CONTROL[VEHIDCODE],0))</f>
        <v>Henschel 895</v>
      </c>
      <c r="F98" t="s">
        <v>636</v>
      </c>
      <c r="G98" s="37" t="str">
        <f>_xlfn.IFNA(INDEX(COUNTRIES[COUNTRY_LABEL],MATCH(PROPERTIES[[#This Row],[COUNTRY]],COUNTRIES[COUNTRY_DESCRIPTION],0)),"")</f>
        <v>IT</v>
      </c>
      <c r="H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INDEX(LOADINGSPEEDDEF[SPEED],MATCH("LOADINGSPEEDDEF_"&amp;PROPERTIES[[#This Row],[LOADINGSPEED]],LOADINGSPEEDDEF[TYPE],0))</f>
        <v>20</v>
      </c>
      <c r="O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4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1" t="b">
        <v>0</v>
      </c>
      <c r="AP98" s="45" t="b">
        <v>0</v>
      </c>
      <c r="AQ98" s="45" t="b">
        <v>0</v>
      </c>
      <c r="AR98" s="45">
        <v>0</v>
      </c>
      <c r="AS98" s="45" t="b">
        <v>0</v>
      </c>
      <c r="AT98" s="7" t="b">
        <v>0</v>
      </c>
      <c r="AU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9" spans="1:47" x14ac:dyDescent="0.35">
      <c r="A99" s="2" t="s">
        <v>2732</v>
      </c>
      <c r="B99">
        <v>1934</v>
      </c>
      <c r="C99">
        <v>1939</v>
      </c>
      <c r="D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" s="37" t="str">
        <f>INDEX(CONTROL[ENGLISH],MATCH(PROPERTIES[[#This Row],[VEHIDCODE]],CONTROL[VEHIDCODE],0))</f>
        <v>H. Cegielski OKz32</v>
      </c>
      <c r="F99" t="s">
        <v>705</v>
      </c>
      <c r="G99" s="37" t="str">
        <f>_xlfn.IFNA(INDEX(COUNTRIES[COUNTRY_LABEL],MATCH(PROPERTIES[[#This Row],[COUNTRY]],COUNTRIES[COUNTRY_DESCRIPTION],0)),"")</f>
        <v>PL</v>
      </c>
      <c r="H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INDEX(LOADINGSPEEDDEF[SPEED],MATCH("LOADINGSPEEDDEF_"&amp;PROPERTIES[[#This Row],[LOADINGSPEED]],LOADINGSPEEDDEF[TYPE],0))</f>
        <v>20</v>
      </c>
      <c r="O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4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1" t="b">
        <v>0</v>
      </c>
      <c r="AP99" s="45" t="b">
        <v>0</v>
      </c>
      <c r="AQ99" s="45" t="b">
        <v>0</v>
      </c>
      <c r="AR99" s="45">
        <v>0</v>
      </c>
      <c r="AS99" s="45" t="b">
        <v>0</v>
      </c>
      <c r="AT99" s="7" t="b">
        <v>0</v>
      </c>
      <c r="AU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0" spans="1:47" x14ac:dyDescent="0.35">
      <c r="A100" s="2" t="s">
        <v>2733</v>
      </c>
      <c r="B100">
        <v>1913</v>
      </c>
      <c r="C100">
        <v>1968</v>
      </c>
      <c r="D1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" s="37" t="str">
        <f>INDEX(CONTROL[ENGLISH],MATCH(PROPERTIES[[#This Row],[VEHIDCODE]],CONTROL[VEHIDCODE],0))</f>
        <v>SLM C 5/6 'Elephant'</v>
      </c>
      <c r="F100" t="s">
        <v>570</v>
      </c>
      <c r="G100" s="37" t="str">
        <f>_xlfn.IFNA(INDEX(COUNTRIES[COUNTRY_LABEL],MATCH(PROPERTIES[[#This Row],[COUNTRY]],COUNTRIES[COUNTRY_DESCRIPTION],0)),"")</f>
        <v>CH</v>
      </c>
      <c r="H1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INDEX(LOADINGSPEEDDEF[SPEED],MATCH("LOADINGSPEEDDEF_"&amp;PROPERTIES[[#This Row],[LOADINGSPEED]],LOADINGSPEEDDEF[TYPE],0))</f>
        <v>20</v>
      </c>
      <c r="O1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4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1" t="b">
        <v>0</v>
      </c>
      <c r="AP100" s="45" t="b">
        <v>0</v>
      </c>
      <c r="AQ100" s="45" t="b">
        <v>0</v>
      </c>
      <c r="AR100" s="45">
        <v>0</v>
      </c>
      <c r="AS100" s="45" t="b">
        <v>0</v>
      </c>
      <c r="AT100" s="7" t="b">
        <v>0</v>
      </c>
      <c r="AU1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1" spans="1:47" x14ac:dyDescent="0.35">
      <c r="A101" s="2" t="s">
        <v>2734</v>
      </c>
      <c r="B101">
        <v>1941</v>
      </c>
      <c r="C101">
        <v>1959</v>
      </c>
      <c r="D1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" s="37" t="str">
        <f>INDEX(CONTROL[ENGLISH],MATCH(PROPERTIES[[#This Row],[VEHIDCODE]],CONTROL[VEHIDCODE],0))</f>
        <v>ALCO series 4000 4-8-8-4 'Big Boy'</v>
      </c>
      <c r="F101" t="s">
        <v>757</v>
      </c>
      <c r="G101" s="37" t="str">
        <f>_xlfn.IFNA(INDEX(COUNTRIES[COUNTRY_LABEL],MATCH(PROPERTIES[[#This Row],[COUNTRY]],COUNTRIES[COUNTRY_DESCRIPTION],0)),"")</f>
        <v>US</v>
      </c>
      <c r="H1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INDEX(LOADINGSPEEDDEF[SPEED],MATCH("LOADINGSPEEDDEF_"&amp;PROPERTIES[[#This Row],[LOADINGSPEED]],LOADINGSPEEDDEF[TYPE],0))</f>
        <v>20</v>
      </c>
      <c r="O1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4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1" t="b">
        <v>0</v>
      </c>
      <c r="AP101" s="45" t="b">
        <v>0</v>
      </c>
      <c r="AQ101" s="45" t="b">
        <v>0</v>
      </c>
      <c r="AR101" s="45">
        <v>0</v>
      </c>
      <c r="AS101" s="45" t="b">
        <v>0</v>
      </c>
      <c r="AT101" s="7" t="b">
        <v>0</v>
      </c>
      <c r="AU1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TPL_03G</v>
      </c>
    </row>
    <row r="102" spans="1:47" x14ac:dyDescent="0.35">
      <c r="A102" s="2" t="s">
        <v>2735</v>
      </c>
      <c r="B102">
        <v>1889</v>
      </c>
      <c r="C102">
        <v>1935</v>
      </c>
      <c r="D1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" s="37" t="str">
        <f>INDEX(CONTROL[ENGLISH],MATCH(PROPERTIES[[#This Row],[VEHIDCODE]],CONTROL[VEHIDCODE],0))</f>
        <v>Sharp, Stewart &amp; Co. 4-4-0 3557-3565</v>
      </c>
      <c r="F102" t="s">
        <v>692</v>
      </c>
      <c r="G102" s="37" t="str">
        <f>_xlfn.IFNA(INDEX(COUNTRIES[COUNTRY_LABEL],MATCH(PROPERTIES[[#This Row],[COUNTRY]],COUNTRIES[COUNTRY_DESCRIPTION],0)),"")</f>
        <v>NL</v>
      </c>
      <c r="H1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INDEX(LOADINGSPEEDDEF[SPEED],MATCH("LOADINGSPEEDDEF_"&amp;PROPERTIES[[#This Row],[LOADINGSPEED]],LOADINGSPEEDDEF[TYPE],0))</f>
        <v>20</v>
      </c>
      <c r="O1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4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1" t="b">
        <v>0</v>
      </c>
      <c r="AP102" s="45" t="b">
        <v>0</v>
      </c>
      <c r="AQ102" s="45" t="b">
        <v>0</v>
      </c>
      <c r="AR102" s="45">
        <v>0</v>
      </c>
      <c r="AS102" s="45" t="b">
        <v>0</v>
      </c>
      <c r="AT102" s="7" t="b">
        <v>0</v>
      </c>
      <c r="AU1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3" spans="1:47" x14ac:dyDescent="0.35">
      <c r="A103" s="2" t="s">
        <v>2736</v>
      </c>
      <c r="B103">
        <v>1846</v>
      </c>
      <c r="C103">
        <v>1870</v>
      </c>
      <c r="D1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" s="37" t="str">
        <f>INDEX(CONTROL[ENGLISH],MATCH(PROPERTIES[[#This Row],[VEHIDCODE]],CONTROL[VEHIDCODE],0))</f>
        <v>GWR Iron Duke</v>
      </c>
      <c r="F103" t="s">
        <v>603</v>
      </c>
      <c r="G103" s="37" t="str">
        <f>_xlfn.IFNA(INDEX(COUNTRIES[COUNTRY_LABEL],MATCH(PROPERTIES[[#This Row],[COUNTRY]],COUNTRIES[COUNTRY_DESCRIPTION],0)),"")</f>
        <v>GB</v>
      </c>
      <c r="H1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INDEX(LOADINGSPEEDDEF[SPEED],MATCH("LOADINGSPEEDDEF_"&amp;PROPERTIES[[#This Row],[LOADINGSPEED]],LOADINGSPEEDDEF[TYPE],0))</f>
        <v>20</v>
      </c>
      <c r="O1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4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1" t="b">
        <v>0</v>
      </c>
      <c r="AP103" s="45" t="b">
        <v>0</v>
      </c>
      <c r="AQ103" s="45" t="b">
        <v>0</v>
      </c>
      <c r="AR103" s="45">
        <v>0</v>
      </c>
      <c r="AS103" s="45" t="b">
        <v>0</v>
      </c>
      <c r="AT103" s="7" t="b">
        <v>0</v>
      </c>
      <c r="AU1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4" spans="1:47" x14ac:dyDescent="0.35">
      <c r="A104" s="2" t="s">
        <v>2737</v>
      </c>
      <c r="B104">
        <v>1855</v>
      </c>
      <c r="C104">
        <v>1877</v>
      </c>
      <c r="D1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" s="37" t="str">
        <f>INDEX(CONTROL[ENGLISH],MATCH(PROPERTIES[[#This Row],[VEHIDCODE]],CONTROL[VEHIDCODE],0))</f>
        <v>Stephenson 0-4-2 'Locomotive No.1'</v>
      </c>
      <c r="F104" t="s">
        <v>541</v>
      </c>
      <c r="G104" s="37" t="str">
        <f>_xlfn.IFNA(INDEX(COUNTRIES[COUNTRY_LABEL],MATCH(PROPERTIES[[#This Row],[COUNTRY]],COUNTRIES[COUNTRY_DESCRIPTION],0)),"")</f>
        <v>AU</v>
      </c>
      <c r="H1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INDEX(LOADINGSPEEDDEF[SPEED],MATCH("LOADINGSPEEDDEF_"&amp;PROPERTIES[[#This Row],[LOADINGSPEED]],LOADINGSPEEDDEF[TYPE],0))</f>
        <v>20</v>
      </c>
      <c r="O1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4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1" t="b">
        <v>0</v>
      </c>
      <c r="AP104" s="45" t="b">
        <v>0</v>
      </c>
      <c r="AQ104" s="45" t="b">
        <v>0</v>
      </c>
      <c r="AR104" s="45">
        <v>0</v>
      </c>
      <c r="AS104" s="45" t="b">
        <v>0</v>
      </c>
      <c r="AT104" s="7" t="b">
        <v>0</v>
      </c>
      <c r="AU1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5" spans="1:47" x14ac:dyDescent="0.35">
      <c r="A105" s="2" t="s">
        <v>2738</v>
      </c>
      <c r="B105">
        <v>1872</v>
      </c>
      <c r="C105">
        <v>1912</v>
      </c>
      <c r="D1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5" s="37" t="str">
        <f>INDEX(CONTROL[ENGLISH],MATCH(PROPERTIES[[#This Row],[VEHIDCODE]],CONTROL[VEHIDCODE],0))</f>
        <v>Cooke 4-2-2 'T. D. Judah'</v>
      </c>
      <c r="F105" t="s">
        <v>757</v>
      </c>
      <c r="G105" s="37" t="str">
        <f>_xlfn.IFNA(INDEX(COUNTRIES[COUNTRY_LABEL],MATCH(PROPERTIES[[#This Row],[COUNTRY]],COUNTRIES[COUNTRY_DESCRIPTION],0)),"")</f>
        <v>US</v>
      </c>
      <c r="H1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INDEX(LOADINGSPEEDDEF[SPEED],MATCH("LOADINGSPEEDDEF_"&amp;PROPERTIES[[#This Row],[LOADINGSPEED]],LOADINGSPEEDDEF[TYPE],0))</f>
        <v>20</v>
      </c>
      <c r="O1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4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1" t="b">
        <v>0</v>
      </c>
      <c r="AP105" s="45" t="b">
        <v>0</v>
      </c>
      <c r="AQ105" s="45" t="b">
        <v>0</v>
      </c>
      <c r="AR105" s="45">
        <v>0</v>
      </c>
      <c r="AS105" s="45" t="b">
        <v>0</v>
      </c>
      <c r="AT105" s="7" t="b">
        <v>0</v>
      </c>
      <c r="AU1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6" spans="1:47" x14ac:dyDescent="0.35">
      <c r="A106" s="2" t="s">
        <v>2739</v>
      </c>
      <c r="B106">
        <v>1865</v>
      </c>
      <c r="C106">
        <v>1917</v>
      </c>
      <c r="D1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6" s="37" t="str">
        <f>INDEX(CONTROL[ENGLISH],MATCH(PROPERTIES[[#This Row],[VEHIDCODE]],CONTROL[VEHIDCODE],0))</f>
        <v>Beyer, P &amp; Co. 2-4-0 SS 9-16, 21-78</v>
      </c>
      <c r="F106" t="s">
        <v>692</v>
      </c>
      <c r="G106" s="37" t="str">
        <f>_xlfn.IFNA(INDEX(COUNTRIES[COUNTRY_LABEL],MATCH(PROPERTIES[[#This Row],[COUNTRY]],COUNTRIES[COUNTRY_DESCRIPTION],0)),"")</f>
        <v>NL</v>
      </c>
      <c r="H1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INDEX(LOADINGSPEEDDEF[SPEED],MATCH("LOADINGSPEEDDEF_"&amp;PROPERTIES[[#This Row],[LOADINGSPEED]],LOADINGSPEEDDEF[TYPE],0))</f>
        <v>20</v>
      </c>
      <c r="O1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4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1" t="b">
        <v>0</v>
      </c>
      <c r="AP106" s="45" t="b">
        <v>0</v>
      </c>
      <c r="AQ106" s="45" t="b">
        <v>0</v>
      </c>
      <c r="AR106" s="45">
        <v>0</v>
      </c>
      <c r="AS106" s="45" t="b">
        <v>0</v>
      </c>
      <c r="AT106" s="7" t="b">
        <v>0</v>
      </c>
      <c r="AU1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7" spans="1:47" x14ac:dyDescent="0.35">
      <c r="A107" s="2" t="s">
        <v>2740</v>
      </c>
      <c r="B107">
        <v>1876</v>
      </c>
      <c r="C107">
        <v>1970</v>
      </c>
      <c r="D1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7" s="37" t="str">
        <f>INDEX(CONTROL[ENGLISH],MATCH(PROPERTIES[[#This Row],[VEHIDCODE]],CONTROL[VEHIDCODE],0))</f>
        <v>Beyer, P &amp; Co. 2-6-0T 1702-1706</v>
      </c>
      <c r="F107" t="s">
        <v>771</v>
      </c>
      <c r="G107" s="37" t="str">
        <f>_xlfn.IFNA(INDEX(COUNTRIES[COUNTRY_LABEL],MATCH(PROPERTIES[[#This Row],[COUNTRY]],COUNTRIES[COUNTRY_DESCRIPTION],0)),"")</f>
        <v>ZA</v>
      </c>
      <c r="H1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INDEX(LOADINGSPEEDDEF[SPEED],MATCH("LOADINGSPEEDDEF_"&amp;PROPERTIES[[#This Row],[LOADINGSPEED]],LOADINGSPEEDDEF[TYPE],0))</f>
        <v>20</v>
      </c>
      <c r="O1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4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1" t="b">
        <v>0</v>
      </c>
      <c r="AP107" s="45" t="b">
        <v>0</v>
      </c>
      <c r="AQ107" s="45" t="b">
        <v>0</v>
      </c>
      <c r="AR107" s="45">
        <v>0</v>
      </c>
      <c r="AS107" s="45" t="b">
        <v>0</v>
      </c>
      <c r="AT107" s="7" t="b">
        <v>0</v>
      </c>
      <c r="AU1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8" spans="1:47" x14ac:dyDescent="0.35">
      <c r="A108" s="2" t="s">
        <v>2741</v>
      </c>
      <c r="B108">
        <v>1881</v>
      </c>
      <c r="C108">
        <v>1932</v>
      </c>
      <c r="D1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8" s="37" t="str">
        <f>INDEX(CONTROL[ENGLISH],MATCH(PROPERTIES[[#This Row],[VEHIDCODE]],CONTROL[VEHIDCODE],0))</f>
        <v>Beyer, P &amp; Co. 2-6-0 2073-2092</v>
      </c>
      <c r="F108" t="s">
        <v>541</v>
      </c>
      <c r="G108" s="37" t="str">
        <f>_xlfn.IFNA(INDEX(COUNTRIES[COUNTRY_LABEL],MATCH(PROPERTIES[[#This Row],[COUNTRY]],COUNTRIES[COUNTRY_DESCRIPTION],0)),"")</f>
        <v>AU</v>
      </c>
      <c r="H1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INDEX(LOADINGSPEEDDEF[SPEED],MATCH("LOADINGSPEEDDEF_"&amp;PROPERTIES[[#This Row],[LOADINGSPEED]],LOADINGSPEEDDEF[TYPE],0))</f>
        <v>20</v>
      </c>
      <c r="O1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4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1" t="b">
        <v>0</v>
      </c>
      <c r="AP108" s="45" t="b">
        <v>0</v>
      </c>
      <c r="AQ108" s="45" t="b">
        <v>0</v>
      </c>
      <c r="AR108" s="45">
        <v>0</v>
      </c>
      <c r="AS108" s="45" t="b">
        <v>0</v>
      </c>
      <c r="AT108" s="7" t="b">
        <v>0</v>
      </c>
      <c r="AU1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09" spans="1:47" x14ac:dyDescent="0.35">
      <c r="A109" s="2" t="s">
        <v>2742</v>
      </c>
      <c r="B109">
        <v>1886</v>
      </c>
      <c r="C109">
        <v>1915</v>
      </c>
      <c r="D1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9" s="37" t="str">
        <f>INDEX(CONTROL[ENGLISH],MATCH(PROPERTIES[[#This Row],[VEHIDCODE]],CONTROL[VEHIDCODE],0))</f>
        <v>Canadian Pacific 374</v>
      </c>
      <c r="F109" t="s">
        <v>565</v>
      </c>
      <c r="G109" s="37" t="str">
        <f>_xlfn.IFNA(INDEX(COUNTRIES[COUNTRY_LABEL],MATCH(PROPERTIES[[#This Row],[COUNTRY]],COUNTRIES[COUNTRY_DESCRIPTION],0)),"")</f>
        <v>CA</v>
      </c>
      <c r="H1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INDEX(LOADINGSPEEDDEF[SPEED],MATCH("LOADINGSPEEDDEF_"&amp;PROPERTIES[[#This Row],[LOADINGSPEED]],LOADINGSPEEDDEF[TYPE],0))</f>
        <v>20</v>
      </c>
      <c r="O1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4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1" t="b">
        <v>0</v>
      </c>
      <c r="AP109" s="45" t="b">
        <v>0</v>
      </c>
      <c r="AQ109" s="45" t="b">
        <v>0</v>
      </c>
      <c r="AR109" s="45">
        <v>0</v>
      </c>
      <c r="AS109" s="45" t="b">
        <v>0</v>
      </c>
      <c r="AT109" s="7" t="b">
        <v>0</v>
      </c>
      <c r="AU1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0" spans="1:47" x14ac:dyDescent="0.35">
      <c r="A110" s="2" t="s">
        <v>2743</v>
      </c>
      <c r="B110">
        <v>1887</v>
      </c>
      <c r="D1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0" s="37" t="str">
        <f>INDEX(CONTROL[ENGLISH],MATCH(PROPERTIES[[#This Row],[VEHIDCODE]],CONTROL[VEHIDCODE],0))</f>
        <v>Nasmyth, Wilson &amp; Co. '35-tonner' 4-6-0T</v>
      </c>
      <c r="F110" t="s">
        <v>771</v>
      </c>
      <c r="G110" s="37" t="str">
        <f>_xlfn.IFNA(INDEX(COUNTRIES[COUNTRY_LABEL],MATCH(PROPERTIES[[#This Row],[COUNTRY]],COUNTRIES[COUNTRY_DESCRIPTION],0)),"")</f>
        <v>ZA</v>
      </c>
      <c r="H1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INDEX(LOADINGSPEEDDEF[SPEED],MATCH("LOADINGSPEEDDEF_"&amp;PROPERTIES[[#This Row],[LOADINGSPEED]],LOADINGSPEEDDEF[TYPE],0))</f>
        <v>20</v>
      </c>
      <c r="O1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4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1" t="b">
        <v>0</v>
      </c>
      <c r="AP110" s="45" t="b">
        <v>0</v>
      </c>
      <c r="AQ110" s="45" t="b">
        <v>0</v>
      </c>
      <c r="AR110" s="45">
        <v>0</v>
      </c>
      <c r="AS110" s="45" t="b">
        <v>0</v>
      </c>
      <c r="AT110" s="7" t="b">
        <v>0</v>
      </c>
      <c r="AU1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1" spans="1:47" x14ac:dyDescent="0.35">
      <c r="A111" s="2" t="s">
        <v>2744</v>
      </c>
      <c r="B111">
        <v>1891</v>
      </c>
      <c r="C111">
        <v>1958</v>
      </c>
      <c r="D1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1" s="37" t="str">
        <f>INDEX(CONTROL[ENGLISH],MATCH(PROPERTIES[[#This Row],[VEHIDCODE]],CONTROL[VEHIDCODE],0))</f>
        <v>Schneider RENFE 040</v>
      </c>
      <c r="F111" t="s">
        <v>595</v>
      </c>
      <c r="G111" s="37" t="str">
        <f>_xlfn.IFNA(INDEX(COUNTRIES[COUNTRY_LABEL],MATCH(PROPERTIES[[#This Row],[COUNTRY]],COUNTRIES[COUNTRY_DESCRIPTION],0)),"")</f>
        <v>ES</v>
      </c>
      <c r="H1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INDEX(LOADINGSPEEDDEF[SPEED],MATCH("LOADINGSPEEDDEF_"&amp;PROPERTIES[[#This Row],[LOADINGSPEED]],LOADINGSPEEDDEF[TYPE],0))</f>
        <v>20</v>
      </c>
      <c r="O1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4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1" t="b">
        <v>0</v>
      </c>
      <c r="AP111" s="45" t="b">
        <v>0</v>
      </c>
      <c r="AQ111" s="45" t="b">
        <v>0</v>
      </c>
      <c r="AR111" s="45">
        <v>0</v>
      </c>
      <c r="AS111" s="45" t="b">
        <v>0</v>
      </c>
      <c r="AT111" s="7" t="b">
        <v>0</v>
      </c>
      <c r="AU1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2" spans="1:47" x14ac:dyDescent="0.35">
      <c r="A112" s="2" t="s">
        <v>2745</v>
      </c>
      <c r="B112">
        <v>1892</v>
      </c>
      <c r="C112">
        <v>1930</v>
      </c>
      <c r="D1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2" s="37" t="str">
        <f>INDEX(CONTROL[ENGLISH],MATCH(PROPERTIES[[#This Row],[VEHIDCODE]],CONTROL[VEHIDCODE],0))</f>
        <v>Sächsische Maschinenfabrik IV K</v>
      </c>
      <c r="F112" t="s">
        <v>584</v>
      </c>
      <c r="G112" s="37" t="str">
        <f>_xlfn.IFNA(INDEX(COUNTRIES[COUNTRY_LABEL],MATCH(PROPERTIES[[#This Row],[COUNTRY]],COUNTRIES[COUNTRY_DESCRIPTION],0)),"")</f>
        <v>DE</v>
      </c>
      <c r="H1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INDEX(LOADINGSPEEDDEF[SPEED],MATCH("LOADINGSPEEDDEF_"&amp;PROPERTIES[[#This Row],[LOADINGSPEED]],LOADINGSPEEDDEF[TYPE],0))</f>
        <v>20</v>
      </c>
      <c r="O1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4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1" t="b">
        <v>0</v>
      </c>
      <c r="AP112" s="45" t="b">
        <v>0</v>
      </c>
      <c r="AQ112" s="45" t="b">
        <v>0</v>
      </c>
      <c r="AR112" s="45">
        <v>0</v>
      </c>
      <c r="AS112" s="45" t="b">
        <v>0</v>
      </c>
      <c r="AT112" s="7" t="b">
        <v>0</v>
      </c>
      <c r="AU1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3" spans="1:47" x14ac:dyDescent="0.35">
      <c r="A113" s="2" t="s">
        <v>2746</v>
      </c>
      <c r="B113">
        <v>1893</v>
      </c>
      <c r="C113">
        <v>1927</v>
      </c>
      <c r="D1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3" s="37" t="str">
        <f>INDEX(CONTROL[ENGLISH],MATCH(PROPERTIES[[#This Row],[VEHIDCODE]],CONTROL[VEHIDCODE],0))</f>
        <v>Hanomag S 3</v>
      </c>
      <c r="F113" t="s">
        <v>584</v>
      </c>
      <c r="G113" s="37" t="str">
        <f>_xlfn.IFNA(INDEX(COUNTRIES[COUNTRY_LABEL],MATCH(PROPERTIES[[#This Row],[COUNTRY]],COUNTRIES[COUNTRY_DESCRIPTION],0)),"")</f>
        <v>DE</v>
      </c>
      <c r="H1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INDEX(LOADINGSPEEDDEF[SPEED],MATCH("LOADINGSPEEDDEF_"&amp;PROPERTIES[[#This Row],[LOADINGSPEED]],LOADINGSPEEDDEF[TYPE],0))</f>
        <v>20</v>
      </c>
      <c r="O1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4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1" t="b">
        <v>0</v>
      </c>
      <c r="AP113" s="45" t="b">
        <v>0</v>
      </c>
      <c r="AQ113" s="45" t="b">
        <v>0</v>
      </c>
      <c r="AR113" s="45">
        <v>0</v>
      </c>
      <c r="AS113" s="45" t="b">
        <v>0</v>
      </c>
      <c r="AT113" s="7" t="b">
        <v>0</v>
      </c>
      <c r="AU1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4" spans="1:47" x14ac:dyDescent="0.35">
      <c r="A114" s="2" t="s">
        <v>2747</v>
      </c>
      <c r="B114">
        <v>1894</v>
      </c>
      <c r="C114">
        <v>1929</v>
      </c>
      <c r="D1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4" s="37" t="str">
        <f>INDEX(CONTROL[ENGLISH],MATCH(PROPERTIES[[#This Row],[VEHIDCODE]],CONTROL[VEHIDCODE],0))</f>
        <v>Thune XXIa</v>
      </c>
      <c r="F114" t="s">
        <v>693</v>
      </c>
      <c r="G114" s="37" t="str">
        <f>_xlfn.IFNA(INDEX(COUNTRIES[COUNTRY_LABEL],MATCH(PROPERTIES[[#This Row],[COUNTRY]],COUNTRIES[COUNTRY_DESCRIPTION],0)),"")</f>
        <v>NO</v>
      </c>
      <c r="H1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INDEX(LOADINGSPEEDDEF[SPEED],MATCH("LOADINGSPEEDDEF_"&amp;PROPERTIES[[#This Row],[LOADINGSPEED]],LOADINGSPEEDDEF[TYPE],0))</f>
        <v>20</v>
      </c>
      <c r="O1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4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1" t="b">
        <v>0</v>
      </c>
      <c r="AP114" s="45" t="b">
        <v>0</v>
      </c>
      <c r="AQ114" s="45" t="b">
        <v>0</v>
      </c>
      <c r="AR114" s="45">
        <v>0</v>
      </c>
      <c r="AS114" s="45" t="b">
        <v>0</v>
      </c>
      <c r="AT114" s="7" t="b">
        <v>0</v>
      </c>
      <c r="AU1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5" spans="1:47" x14ac:dyDescent="0.35">
      <c r="A115" s="2" t="s">
        <v>2748</v>
      </c>
      <c r="B115">
        <v>1895</v>
      </c>
      <c r="C115">
        <v>1940</v>
      </c>
      <c r="D1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5" s="37" t="str">
        <f>INDEX(CONTROL[ENGLISH],MATCH(PROPERTIES[[#This Row],[VEHIDCODE]],CONTROL[VEHIDCODE],0))</f>
        <v>PRR D16</v>
      </c>
      <c r="F115" t="s">
        <v>757</v>
      </c>
      <c r="G115" s="37" t="str">
        <f>_xlfn.IFNA(INDEX(COUNTRIES[COUNTRY_LABEL],MATCH(PROPERTIES[[#This Row],[COUNTRY]],COUNTRIES[COUNTRY_DESCRIPTION],0)),"")</f>
        <v>US</v>
      </c>
      <c r="H1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INDEX(LOADINGSPEEDDEF[SPEED],MATCH("LOADINGSPEEDDEF_"&amp;PROPERTIES[[#This Row],[LOADINGSPEED]],LOADINGSPEEDDEF[TYPE],0))</f>
        <v>20</v>
      </c>
      <c r="O1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4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1" t="b">
        <v>0</v>
      </c>
      <c r="AP115" s="45" t="b">
        <v>0</v>
      </c>
      <c r="AQ115" s="45" t="b">
        <v>0</v>
      </c>
      <c r="AR115" s="45">
        <v>0</v>
      </c>
      <c r="AS115" s="45" t="b">
        <v>0</v>
      </c>
      <c r="AT115" s="7" t="b">
        <v>0</v>
      </c>
      <c r="AU1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6" spans="1:47" x14ac:dyDescent="0.35">
      <c r="A116" s="2" t="s">
        <v>2749</v>
      </c>
      <c r="B116">
        <v>1901</v>
      </c>
      <c r="C116">
        <v>1936</v>
      </c>
      <c r="D1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6" s="37" t="str">
        <f>INDEX(CONTROL[ENGLISH],MATCH(PROPERTIES[[#This Row],[VEHIDCODE]],CONTROL[VEHIDCODE],0))</f>
        <v>Machinefabriek Breda 661-667</v>
      </c>
      <c r="F116" t="s">
        <v>692</v>
      </c>
      <c r="G116" s="37" t="str">
        <f>_xlfn.IFNA(INDEX(COUNTRIES[COUNTRY_LABEL],MATCH(PROPERTIES[[#This Row],[COUNTRY]],COUNTRIES[COUNTRY_DESCRIPTION],0)),"")</f>
        <v>NL</v>
      </c>
      <c r="H1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INDEX(LOADINGSPEEDDEF[SPEED],MATCH("LOADINGSPEEDDEF_"&amp;PROPERTIES[[#This Row],[LOADINGSPEED]],LOADINGSPEEDDEF[TYPE],0))</f>
        <v>20</v>
      </c>
      <c r="O1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4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1" t="b">
        <v>0</v>
      </c>
      <c r="AP116" s="45" t="b">
        <v>0</v>
      </c>
      <c r="AQ116" s="45" t="b">
        <v>0</v>
      </c>
      <c r="AR116" s="45">
        <v>0</v>
      </c>
      <c r="AS116" s="45" t="b">
        <v>0</v>
      </c>
      <c r="AT116" s="7" t="b">
        <v>0</v>
      </c>
      <c r="AU1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17" spans="1:47" x14ac:dyDescent="0.35">
      <c r="A117" s="2" t="s">
        <v>2750</v>
      </c>
      <c r="B117">
        <v>1910</v>
      </c>
      <c r="C117">
        <v>1926</v>
      </c>
      <c r="D1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7" s="37" t="str">
        <f>INDEX(CONTROL[ENGLISH],MATCH(PROPERTIES[[#This Row],[VEHIDCODE]],CONTROL[VEHIDCODE],0))</f>
        <v>ALCO 46581 2-6-6-2 'Mallet'</v>
      </c>
      <c r="F117" t="s">
        <v>771</v>
      </c>
      <c r="G117" s="37" t="str">
        <f>_xlfn.IFNA(INDEX(COUNTRIES[COUNTRY_LABEL],MATCH(PROPERTIES[[#This Row],[COUNTRY]],COUNTRIES[COUNTRY_DESCRIPTION],0)),"")</f>
        <v>ZA</v>
      </c>
      <c r="H1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INDEX(LOADINGSPEEDDEF[SPEED],MATCH("LOADINGSPEEDDEF_"&amp;PROPERTIES[[#This Row],[LOADINGSPEED]],LOADINGSPEEDDEF[TYPE],0))</f>
        <v>20</v>
      </c>
      <c r="O1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4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1" t="b">
        <v>0</v>
      </c>
      <c r="AP117" s="45" t="b">
        <v>0</v>
      </c>
      <c r="AQ117" s="45" t="b">
        <v>0</v>
      </c>
      <c r="AR117" s="45">
        <v>0</v>
      </c>
      <c r="AS117" s="45" t="b">
        <v>0</v>
      </c>
      <c r="AT117" s="7" t="b">
        <v>0</v>
      </c>
      <c r="AU1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8" spans="1:47" x14ac:dyDescent="0.35">
      <c r="A118" s="2" t="s">
        <v>2751</v>
      </c>
      <c r="B118">
        <v>1911</v>
      </c>
      <c r="C118">
        <v>1937</v>
      </c>
      <c r="D1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8" s="37" t="str">
        <f>INDEX(CONTROL[ENGLISH],MATCH(PROPERTIES[[#This Row],[VEHIDCODE]],CONTROL[VEHIDCODE],0))</f>
        <v>Orenstein &amp; Koppel 2-8-0 '8-Tender'</v>
      </c>
      <c r="F118" t="s">
        <v>686</v>
      </c>
      <c r="G118" s="37" t="str">
        <f>_xlfn.IFNA(INDEX(COUNTRIES[COUNTRY_LABEL],MATCH(PROPERTIES[[#This Row],[COUNTRY]],COUNTRIES[COUNTRY_DESCRIPTION],0)),"")</f>
        <v>NA</v>
      </c>
      <c r="H1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INDEX(LOADINGSPEEDDEF[SPEED],MATCH("LOADINGSPEEDDEF_"&amp;PROPERTIES[[#This Row],[LOADINGSPEED]],LOADINGSPEEDDEF[TYPE],0))</f>
        <v>20</v>
      </c>
      <c r="O1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4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1" t="b">
        <v>0</v>
      </c>
      <c r="AP118" s="45" t="b">
        <v>0</v>
      </c>
      <c r="AQ118" s="45" t="b">
        <v>0</v>
      </c>
      <c r="AR118" s="45">
        <v>0</v>
      </c>
      <c r="AS118" s="45" t="b">
        <v>0</v>
      </c>
      <c r="AT118" s="7" t="b">
        <v>0</v>
      </c>
      <c r="AU1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19" spans="1:47" x14ac:dyDescent="0.35">
      <c r="A119" s="2" t="s">
        <v>2752</v>
      </c>
      <c r="B119">
        <v>1915</v>
      </c>
      <c r="C119">
        <v>1957</v>
      </c>
      <c r="D1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19" s="37" t="str">
        <f>INDEX(CONTROL[ENGLISH],MATCH(PROPERTIES[[#This Row],[VEHIDCODE]],CONTROL[VEHIDCODE],0))</f>
        <v>Stratford Works L77 'LNER N7'</v>
      </c>
      <c r="F119" t="s">
        <v>603</v>
      </c>
      <c r="G119" s="37" t="str">
        <f>_xlfn.IFNA(INDEX(COUNTRIES[COUNTRY_LABEL],MATCH(PROPERTIES[[#This Row],[COUNTRY]],COUNTRIES[COUNTRY_DESCRIPTION],0)),"")</f>
        <v>GB</v>
      </c>
      <c r="H1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INDEX(LOADINGSPEEDDEF[SPEED],MATCH("LOADINGSPEEDDEF_"&amp;PROPERTIES[[#This Row],[LOADINGSPEED]],LOADINGSPEEDDEF[TYPE],0))</f>
        <v>20</v>
      </c>
      <c r="O1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4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1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1" t="b">
        <v>0</v>
      </c>
      <c r="AP119" s="45" t="b">
        <v>0</v>
      </c>
      <c r="AQ119" s="45" t="b">
        <v>0</v>
      </c>
      <c r="AR119" s="45">
        <v>0</v>
      </c>
      <c r="AS119" s="45" t="b">
        <v>0</v>
      </c>
      <c r="AT119" s="7" t="b">
        <v>0</v>
      </c>
      <c r="AU1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0" spans="1:47" x14ac:dyDescent="0.35">
      <c r="A120" s="2" t="s">
        <v>2753</v>
      </c>
      <c r="B120">
        <v>1918</v>
      </c>
      <c r="C120">
        <v>1967</v>
      </c>
      <c r="D1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0" s="37" t="str">
        <f>INDEX(CONTROL[ENGLISH],MATCH(PROPERTIES[[#This Row],[VEHIDCODE]],CONTROL[VEHIDCODE],0))</f>
        <v>Sächsische Maschinenfabrik XX HV</v>
      </c>
      <c r="F120" t="s">
        <v>584</v>
      </c>
      <c r="G120" s="37" t="str">
        <f>_xlfn.IFNA(INDEX(COUNTRIES[COUNTRY_LABEL],MATCH(PROPERTIES[[#This Row],[COUNTRY]],COUNTRIES[COUNTRY_DESCRIPTION],0)),"")</f>
        <v>DE</v>
      </c>
      <c r="H1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INDEX(LOADINGSPEEDDEF[SPEED],MATCH("LOADINGSPEEDDEF_"&amp;PROPERTIES[[#This Row],[LOADINGSPEED]],LOADINGSPEEDDEF[TYPE],0))</f>
        <v>20</v>
      </c>
      <c r="O1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4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1" t="b">
        <v>0</v>
      </c>
      <c r="AP120" s="45" t="b">
        <v>0</v>
      </c>
      <c r="AQ120" s="45" t="b">
        <v>0</v>
      </c>
      <c r="AR120" s="45">
        <v>0</v>
      </c>
      <c r="AS120" s="45" t="b">
        <v>0</v>
      </c>
      <c r="AT120" s="7" t="b">
        <v>0</v>
      </c>
      <c r="AU1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1" spans="1:47" x14ac:dyDescent="0.35">
      <c r="A121" s="2" t="s">
        <v>2754</v>
      </c>
      <c r="B121">
        <v>1921</v>
      </c>
      <c r="C121">
        <v>1954</v>
      </c>
      <c r="D1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1" s="37" t="str">
        <f>INDEX(CONTROL[ENGLISH],MATCH(PROPERTIES[[#This Row],[VEHIDCODE]],CONTROL[VEHIDCODE],0))</f>
        <v>Beyer, P &amp; Co. 2-4-0 SS 9-16</v>
      </c>
      <c r="F121" t="s">
        <v>548</v>
      </c>
      <c r="G121" s="37" t="str">
        <f>_xlfn.IFNA(INDEX(COUNTRIES[COUNTRY_LABEL],MATCH(PROPERTIES[[#This Row],[COUNTRY]],COUNTRIES[COUNTRY_DESCRIPTION],0)),"")</f>
        <v>BE</v>
      </c>
      <c r="H1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INDEX(LOADINGSPEEDDEF[SPEED],MATCH("LOADINGSPEEDDEF_"&amp;PROPERTIES[[#This Row],[LOADINGSPEED]],LOADINGSPEEDDEF[TYPE],0))</f>
        <v>20</v>
      </c>
      <c r="O1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4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1" t="b">
        <v>0</v>
      </c>
      <c r="AP121" s="45" t="b">
        <v>0</v>
      </c>
      <c r="AQ121" s="45" t="b">
        <v>0</v>
      </c>
      <c r="AR121" s="45">
        <v>0</v>
      </c>
      <c r="AS121" s="45" t="b">
        <v>0</v>
      </c>
      <c r="AT121" s="7" t="b">
        <v>0</v>
      </c>
      <c r="AU1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2" spans="1:47" x14ac:dyDescent="0.35">
      <c r="A122" s="2" t="s">
        <v>2755</v>
      </c>
      <c r="B122">
        <v>1922</v>
      </c>
      <c r="C122">
        <v>1967</v>
      </c>
      <c r="D1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2" s="37" t="str">
        <f>INDEX(CONTROL[ENGLISH],MATCH(PROPERTIES[[#This Row],[VEHIDCODE]],CONTROL[VEHIDCODE],0))</f>
        <v>Beyer, P &amp; Co. 2-6-0 6112-6113</v>
      </c>
      <c r="F122" t="s">
        <v>628</v>
      </c>
      <c r="G122" s="37" t="str">
        <f>_xlfn.IFNA(INDEX(COUNTRIES[COUNTRY_LABEL],MATCH(PROPERTIES[[#This Row],[COUNTRY]],COUNTRIES[COUNTRY_DESCRIPTION],0)),"")</f>
        <v>IE</v>
      </c>
      <c r="H1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INDEX(LOADINGSPEEDDEF[SPEED],MATCH("LOADINGSPEEDDEF_"&amp;PROPERTIES[[#This Row],[LOADINGSPEED]],LOADINGSPEEDDEF[TYPE],0))</f>
        <v>20</v>
      </c>
      <c r="O1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4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1" t="b">
        <v>0</v>
      </c>
      <c r="AP122" s="45" t="b">
        <v>0</v>
      </c>
      <c r="AQ122" s="45" t="b">
        <v>0</v>
      </c>
      <c r="AR122" s="45">
        <v>0</v>
      </c>
      <c r="AS122" s="45" t="b">
        <v>0</v>
      </c>
      <c r="AT122" s="7" t="b">
        <v>0</v>
      </c>
      <c r="AU1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3" spans="1:47" x14ac:dyDescent="0.35">
      <c r="A123" s="2" t="s">
        <v>2756</v>
      </c>
      <c r="B123">
        <v>1922</v>
      </c>
      <c r="C123">
        <v>1955</v>
      </c>
      <c r="D1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3" s="37" t="str">
        <f>INDEX(CONTROL[ENGLISH],MATCH(PROPERTIES[[#This Row],[VEHIDCODE]],CONTROL[VEHIDCODE],0))</f>
        <v>Baldwin 10-32-E 55246</v>
      </c>
      <c r="F123" t="s">
        <v>757</v>
      </c>
      <c r="G123" s="37" t="str">
        <f>_xlfn.IFNA(INDEX(COUNTRIES[COUNTRY_LABEL],MATCH(PROPERTIES[[#This Row],[COUNTRY]],COUNTRIES[COUNTRY_DESCRIPTION],0)),"")</f>
        <v>US</v>
      </c>
      <c r="H1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INDEX(LOADINGSPEEDDEF[SPEED],MATCH("LOADINGSPEEDDEF_"&amp;PROPERTIES[[#This Row],[LOADINGSPEED]],LOADINGSPEEDDEF[TYPE],0))</f>
        <v>20</v>
      </c>
      <c r="O1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4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1" t="b">
        <v>0</v>
      </c>
      <c r="AP123" s="45" t="b">
        <v>0</v>
      </c>
      <c r="AQ123" s="45" t="b">
        <v>0</v>
      </c>
      <c r="AR123" s="45">
        <v>0</v>
      </c>
      <c r="AS123" s="45" t="b">
        <v>0</v>
      </c>
      <c r="AT123" s="7" t="b">
        <v>0</v>
      </c>
      <c r="AU1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4" spans="1:47" x14ac:dyDescent="0.35">
      <c r="A124" s="2" t="s">
        <v>3447</v>
      </c>
      <c r="B124">
        <v>1923</v>
      </c>
      <c r="C124">
        <v>1947</v>
      </c>
      <c r="D1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4" s="37" t="str">
        <f>INDEX(CONTROL[ENGLISH],MATCH(PROPERTIES[[#This Row],[VEHIDCODE]],CONTROL[VEHIDCODE],0))</f>
        <v xml:space="preserve">Canadian National U-1-a </v>
      </c>
      <c r="F124" t="s">
        <v>565</v>
      </c>
      <c r="G124" s="37" t="str">
        <f>_xlfn.IFNA(INDEX(COUNTRIES[COUNTRY_LABEL],MATCH(PROPERTIES[[#This Row],[COUNTRY]],COUNTRIES[COUNTRY_DESCRIPTION],0)),"")</f>
        <v>CA</v>
      </c>
      <c r="H1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INDEX(LOADINGSPEEDDEF[SPEED],MATCH("LOADINGSPEEDDEF_"&amp;PROPERTIES[[#This Row],[LOADINGSPEED]],LOADINGSPEEDDEF[TYPE],0))</f>
        <v>20</v>
      </c>
      <c r="O1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4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1" t="b">
        <v>0</v>
      </c>
      <c r="AP124" s="45" t="b">
        <v>0</v>
      </c>
      <c r="AQ124" s="45" t="b">
        <v>0</v>
      </c>
      <c r="AR124" s="45">
        <v>0</v>
      </c>
      <c r="AS124" s="45" t="b">
        <v>0</v>
      </c>
      <c r="AT124" s="7" t="b">
        <v>0</v>
      </c>
      <c r="AU1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5" spans="1:47" x14ac:dyDescent="0.35">
      <c r="A125" s="2" t="s">
        <v>2757</v>
      </c>
      <c r="B125">
        <v>1927</v>
      </c>
      <c r="C125">
        <v>1983</v>
      </c>
      <c r="D1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5" s="37" t="str">
        <f>INDEX(CONTROL[ENGLISH],MATCH(PROPERTIES[[#This Row],[VEHIDCODE]],CONTROL[VEHIDCODE],0))</f>
        <v>Vulcan Foundry 4-6-2 Class XB</v>
      </c>
      <c r="F125" t="s">
        <v>631</v>
      </c>
      <c r="G125" s="37" t="str">
        <f>_xlfn.IFNA(INDEX(COUNTRIES[COUNTRY_LABEL],MATCH(PROPERTIES[[#This Row],[COUNTRY]],COUNTRIES[COUNTRY_DESCRIPTION],0)),"")</f>
        <v>IN</v>
      </c>
      <c r="H1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INDEX(LOADINGSPEEDDEF[SPEED],MATCH("LOADINGSPEEDDEF_"&amp;PROPERTIES[[#This Row],[LOADINGSPEED]],LOADINGSPEEDDEF[TYPE],0))</f>
        <v>20</v>
      </c>
      <c r="O1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4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1" t="b">
        <v>0</v>
      </c>
      <c r="AP125" s="45" t="b">
        <v>0</v>
      </c>
      <c r="AQ125" s="45" t="b">
        <v>0</v>
      </c>
      <c r="AR125" s="45">
        <v>0</v>
      </c>
      <c r="AS125" s="45" t="b">
        <v>0</v>
      </c>
      <c r="AT125" s="7" t="b">
        <v>0</v>
      </c>
      <c r="AU1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6" spans="1:47" x14ac:dyDescent="0.35">
      <c r="A126" s="2" t="s">
        <v>2758</v>
      </c>
      <c r="B126">
        <v>1940</v>
      </c>
      <c r="C126">
        <v>1967</v>
      </c>
      <c r="D1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6" s="37" t="str">
        <f>INDEX(CONTROL[ENGLISH],MATCH(PROPERTIES[[#This Row],[VEHIDCODE]],CONTROL[VEHIDCODE],0))</f>
        <v>Robert Stephenson 4-6-2 6982-6985</v>
      </c>
      <c r="F126" t="s">
        <v>633</v>
      </c>
      <c r="G126" s="37" t="str">
        <f>_xlfn.IFNA(INDEX(COUNTRIES[COUNTRY_LABEL],MATCH(PROPERTIES[[#This Row],[COUNTRY]],COUNTRIES[COUNTRY_DESCRIPTION],0)),"")</f>
        <v>IQ</v>
      </c>
      <c r="H1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INDEX(LOADINGSPEEDDEF[SPEED],MATCH("LOADINGSPEEDDEF_"&amp;PROPERTIES[[#This Row],[LOADINGSPEED]],LOADINGSPEEDDEF[TYPE],0))</f>
        <v>20</v>
      </c>
      <c r="O1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4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1" t="b">
        <v>0</v>
      </c>
      <c r="AP126" s="45" t="b">
        <v>0</v>
      </c>
      <c r="AQ126" s="45" t="b">
        <v>0</v>
      </c>
      <c r="AR126" s="45">
        <v>0</v>
      </c>
      <c r="AS126" s="45" t="b">
        <v>0</v>
      </c>
      <c r="AT126" s="7" t="b">
        <v>0</v>
      </c>
      <c r="AU1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27" spans="1:47" x14ac:dyDescent="0.35">
      <c r="A127" s="2" t="s">
        <v>2759</v>
      </c>
      <c r="B127">
        <v>1924</v>
      </c>
      <c r="D1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7" s="37" t="str">
        <f>INDEX(CONTROL[ENGLISH],MATCH(PROPERTIES[[#This Row],[VEHIDCODE]],CONTROL[VEHIDCODE],0))</f>
        <v>LMS Fowler 3F WD 0-6-0T</v>
      </c>
      <c r="F127" t="s">
        <v>603</v>
      </c>
      <c r="G127" s="37" t="str">
        <f>_xlfn.IFNA(INDEX(COUNTRIES[COUNTRY_LABEL],MATCH(PROPERTIES[[#This Row],[COUNTRY]],COUNTRIES[COUNTRY_DESCRIPTION],0)),"")</f>
        <v>GB</v>
      </c>
      <c r="H1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INDEX(LOADINGSPEEDDEF[SPEED],MATCH("LOADINGSPEEDDEF_"&amp;PROPERTIES[[#This Row],[LOADINGSPEED]],LOADINGSPEEDDEF[TYPE],0))</f>
        <v>20</v>
      </c>
      <c r="O1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4">
        <v>0</v>
      </c>
      <c r="AF127" s="6">
        <v>0</v>
      </c>
      <c r="AG127" t="s">
        <v>233</v>
      </c>
      <c r="AH127" t="s">
        <v>1942</v>
      </c>
      <c r="AI127" t="s">
        <v>229</v>
      </c>
      <c r="AJ127" s="2" t="s">
        <v>229</v>
      </c>
      <c r="AK127" s="2" t="s">
        <v>244</v>
      </c>
      <c r="AL12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1" t="b">
        <v>0</v>
      </c>
      <c r="AP127" s="45" t="b">
        <v>0</v>
      </c>
      <c r="AQ127" s="45" t="b">
        <v>0</v>
      </c>
      <c r="AR127" s="45">
        <v>0</v>
      </c>
      <c r="AS127" s="45" t="b">
        <v>0</v>
      </c>
      <c r="AT127" s="7" t="b">
        <v>0</v>
      </c>
      <c r="AU1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8" spans="1:47" x14ac:dyDescent="0.35">
      <c r="A128" s="2" t="s">
        <v>2760</v>
      </c>
      <c r="B128">
        <v>1949</v>
      </c>
      <c r="C128">
        <v>1963</v>
      </c>
      <c r="D1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8" s="37" t="str">
        <f>INDEX(CONTROL[ENGLISH],MATCH(PROPERTIES[[#This Row],[VEHIDCODE]],CONTROL[VEHIDCODE],0))</f>
        <v>Swindon Works 381</v>
      </c>
      <c r="F128" t="s">
        <v>603</v>
      </c>
      <c r="G128" s="37" t="str">
        <f>_xlfn.IFNA(INDEX(COUNTRIES[COUNTRY_LABEL],MATCH(PROPERTIES[[#This Row],[COUNTRY]],COUNTRIES[COUNTRY_DESCRIPTION],0)),"")</f>
        <v>GB</v>
      </c>
      <c r="H1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INDEX(LOADINGSPEEDDEF[SPEED],MATCH("LOADINGSPEEDDEF_"&amp;PROPERTIES[[#This Row],[LOADINGSPEED]],LOADINGSPEEDDEF[TYPE],0))</f>
        <v>20</v>
      </c>
      <c r="O1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4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1" t="b">
        <v>0</v>
      </c>
      <c r="AP128" s="45" t="b">
        <v>0</v>
      </c>
      <c r="AQ128" s="45" t="b">
        <v>0</v>
      </c>
      <c r="AR128" s="45">
        <v>0</v>
      </c>
      <c r="AS128" s="45" t="b">
        <v>0</v>
      </c>
      <c r="AT128" s="7" t="b">
        <v>0</v>
      </c>
      <c r="AU1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29" spans="1:47" x14ac:dyDescent="0.35">
      <c r="A129" s="2" t="s">
        <v>2761</v>
      </c>
      <c r="B129">
        <v>1951</v>
      </c>
      <c r="C129">
        <v>1956</v>
      </c>
      <c r="D1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29" s="37" t="str">
        <f>INDEX(CONTROL[ENGLISH],MATCH(PROPERTIES[[#This Row],[VEHIDCODE]],CONTROL[VEHIDCODE],0))</f>
        <v>North British LC R 4-6-4 Hudson</v>
      </c>
      <c r="F129" t="s">
        <v>541</v>
      </c>
      <c r="G129" s="37" t="str">
        <f>_xlfn.IFNA(INDEX(COUNTRIES[COUNTRY_LABEL],MATCH(PROPERTIES[[#This Row],[COUNTRY]],COUNTRIES[COUNTRY_DESCRIPTION],0)),"")</f>
        <v>AU</v>
      </c>
      <c r="H1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INDEX(LOADINGSPEEDDEF[SPEED],MATCH("LOADINGSPEEDDEF_"&amp;PROPERTIES[[#This Row],[LOADINGSPEED]],LOADINGSPEEDDEF[TYPE],0))</f>
        <v>20</v>
      </c>
      <c r="O1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4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2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1" t="b">
        <v>0</v>
      </c>
      <c r="AP129" s="45" t="b">
        <v>0</v>
      </c>
      <c r="AQ129" s="45" t="b">
        <v>0</v>
      </c>
      <c r="AR129" s="45">
        <v>0</v>
      </c>
      <c r="AS129" s="45" t="b">
        <v>0</v>
      </c>
      <c r="AT129" s="7" t="b">
        <v>0</v>
      </c>
      <c r="AU1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0" spans="1:47" x14ac:dyDescent="0.35">
      <c r="A130" s="2" t="s">
        <v>2762</v>
      </c>
      <c r="B130">
        <v>1952</v>
      </c>
      <c r="C130">
        <v>1976</v>
      </c>
      <c r="D1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0" s="37" t="str">
        <f>INDEX(CONTROL[ENGLISH],MATCH(PROPERTIES[[#This Row],[VEHIDCODE]],CONTROL[VEHIDCODE],0))</f>
        <v>VEB 2-10-2T 99.77-79</v>
      </c>
      <c r="F130" t="s">
        <v>584</v>
      </c>
      <c r="G130" s="37" t="str">
        <f>_xlfn.IFNA(INDEX(COUNTRIES[COUNTRY_LABEL],MATCH(PROPERTIES[[#This Row],[COUNTRY]],COUNTRIES[COUNTRY_DESCRIPTION],0)),"")</f>
        <v>DE</v>
      </c>
      <c r="H1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INDEX(LOADINGSPEEDDEF[SPEED],MATCH("LOADINGSPEEDDEF_"&amp;PROPERTIES[[#This Row],[LOADINGSPEED]],LOADINGSPEEDDEF[TYPE],0))</f>
        <v>20</v>
      </c>
      <c r="O1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4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1" t="b">
        <v>0</v>
      </c>
      <c r="AP130" s="45" t="b">
        <v>0</v>
      </c>
      <c r="AQ130" s="45" t="b">
        <v>0</v>
      </c>
      <c r="AR130" s="45">
        <v>0</v>
      </c>
      <c r="AS130" s="45" t="b">
        <v>0</v>
      </c>
      <c r="AT130" s="7" t="b">
        <v>0</v>
      </c>
      <c r="AU1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1" spans="1:47" x14ac:dyDescent="0.35">
      <c r="A131" s="2" t="s">
        <v>2763</v>
      </c>
      <c r="B131">
        <v>1961</v>
      </c>
      <c r="C131">
        <v>1967</v>
      </c>
      <c r="D1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1" s="37" t="str">
        <f>INDEX(CONTROL[ENGLISH],MATCH(PROPERTIES[[#This Row],[VEHIDCODE]],CONTROL[VEHIDCODE],0))</f>
        <v xml:space="preserve">RAW Meiningen 4-6-2 89 </v>
      </c>
      <c r="F131" t="s">
        <v>584</v>
      </c>
      <c r="G131" s="37" t="str">
        <f>_xlfn.IFNA(INDEX(COUNTRIES[COUNTRY_LABEL],MATCH(PROPERTIES[[#This Row],[COUNTRY]],COUNTRIES[COUNTRY_DESCRIPTION],0)),"")</f>
        <v>DE</v>
      </c>
      <c r="H1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INDEX(LOADINGSPEEDDEF[SPEED],MATCH("LOADINGSPEEDDEF_"&amp;PROPERTIES[[#This Row],[LOADINGSPEED]],LOADINGSPEEDDEF[TYPE],0))</f>
        <v>20</v>
      </c>
      <c r="O1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4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1" t="b">
        <v>0</v>
      </c>
      <c r="AP131" s="45" t="b">
        <v>0</v>
      </c>
      <c r="AQ131" s="45" t="b">
        <v>0</v>
      </c>
      <c r="AR131" s="45">
        <v>0</v>
      </c>
      <c r="AS131" s="45" t="b">
        <v>0</v>
      </c>
      <c r="AT131" s="7" t="b">
        <v>0</v>
      </c>
      <c r="AU1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2" spans="1:47" x14ac:dyDescent="0.35">
      <c r="A132" s="2" t="s">
        <v>2764</v>
      </c>
      <c r="B132">
        <v>1923</v>
      </c>
      <c r="C132">
        <v>1969</v>
      </c>
      <c r="D1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2" s="37" t="str">
        <f>INDEX(CONTROL[ENGLISH],MATCH(PROPERTIES[[#This Row],[VEHIDCODE]],CONTROL[VEHIDCODE],0))</f>
        <v>NZR 4-6-4T 'WAB'</v>
      </c>
      <c r="F132" t="s">
        <v>697</v>
      </c>
      <c r="G132" s="37" t="str">
        <f>_xlfn.IFNA(INDEX(COUNTRIES[COUNTRY_LABEL],MATCH(PROPERTIES[[#This Row],[COUNTRY]],COUNTRIES[COUNTRY_DESCRIPTION],0)),"")</f>
        <v>NZ</v>
      </c>
      <c r="H1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INDEX(LOADINGSPEEDDEF[SPEED],MATCH("LOADINGSPEEDDEF_"&amp;PROPERTIES[[#This Row],[LOADINGSPEED]],LOADINGSPEEDDEF[TYPE],0))</f>
        <v>20</v>
      </c>
      <c r="O1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4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1" t="b">
        <v>0</v>
      </c>
      <c r="AP132" s="45" t="b">
        <v>0</v>
      </c>
      <c r="AQ132" s="45" t="b">
        <v>0</v>
      </c>
      <c r="AR132" s="45">
        <v>0</v>
      </c>
      <c r="AS132" s="45" t="b">
        <v>0</v>
      </c>
      <c r="AT132" s="7" t="b">
        <v>0</v>
      </c>
      <c r="AU1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3" spans="1:47" x14ac:dyDescent="0.35">
      <c r="A133" s="2" t="s">
        <v>2765</v>
      </c>
      <c r="B133">
        <v>1929</v>
      </c>
      <c r="C133">
        <v>1957</v>
      </c>
      <c r="D1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3" s="37" t="str">
        <f>INDEX(CONTROL[ENGLISH],MATCH(PROPERTIES[[#This Row],[VEHIDCODE]],CONTROL[VEHIDCODE],0))</f>
        <v>Clyde 4-8-2 'D57'</v>
      </c>
      <c r="F133" t="s">
        <v>541</v>
      </c>
      <c r="G133" s="37" t="str">
        <f>_xlfn.IFNA(INDEX(COUNTRIES[COUNTRY_LABEL],MATCH(PROPERTIES[[#This Row],[COUNTRY]],COUNTRIES[COUNTRY_DESCRIPTION],0)),"")</f>
        <v>AU</v>
      </c>
      <c r="H1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INDEX(LOADINGSPEEDDEF[SPEED],MATCH("LOADINGSPEEDDEF_"&amp;PROPERTIES[[#This Row],[LOADINGSPEED]],LOADINGSPEEDDEF[TYPE],0))</f>
        <v>20</v>
      </c>
      <c r="O1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4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1" t="b">
        <v>0</v>
      </c>
      <c r="AP133" s="45" t="b">
        <v>0</v>
      </c>
      <c r="AQ133" s="45" t="b">
        <v>0</v>
      </c>
      <c r="AR133" s="45">
        <v>0</v>
      </c>
      <c r="AS133" s="45" t="b">
        <v>0</v>
      </c>
      <c r="AT133" s="7" t="b">
        <v>0</v>
      </c>
      <c r="AU1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4" spans="1:47" x14ac:dyDescent="0.35">
      <c r="A134" s="2" t="s">
        <v>2766</v>
      </c>
      <c r="B134">
        <v>1943</v>
      </c>
      <c r="C134">
        <v>1961</v>
      </c>
      <c r="D1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4" s="37" t="str">
        <f>INDEX(CONTROL[ENGLISH],MATCH(PROPERTIES[[#This Row],[VEHIDCODE]],CONTROL[VEHIDCODE],0))</f>
        <v>Islington Railway Workshops 81-92 520</v>
      </c>
      <c r="F134" t="s">
        <v>541</v>
      </c>
      <c r="G134" s="37" t="str">
        <f>_xlfn.IFNA(INDEX(COUNTRIES[COUNTRY_LABEL],MATCH(PROPERTIES[[#This Row],[COUNTRY]],COUNTRIES[COUNTRY_DESCRIPTION],0)),"")</f>
        <v>AU</v>
      </c>
      <c r="H1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INDEX(LOADINGSPEEDDEF[SPEED],MATCH("LOADINGSPEEDDEF_"&amp;PROPERTIES[[#This Row],[LOADINGSPEED]],LOADINGSPEEDDEF[TYPE],0))</f>
        <v>20</v>
      </c>
      <c r="O1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4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1" t="b">
        <v>0</v>
      </c>
      <c r="AP134" s="45" t="b">
        <v>0</v>
      </c>
      <c r="AQ134" s="45" t="b">
        <v>0</v>
      </c>
      <c r="AR134" s="45">
        <v>0</v>
      </c>
      <c r="AS134" s="45" t="b">
        <v>0</v>
      </c>
      <c r="AT134" s="7" t="b">
        <v>0</v>
      </c>
      <c r="AU1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5" spans="1:47" x14ac:dyDescent="0.35">
      <c r="A135" s="2" t="s">
        <v>2767</v>
      </c>
      <c r="B135">
        <v>1952</v>
      </c>
      <c r="C135">
        <v>1969</v>
      </c>
      <c r="D1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5" s="37" t="str">
        <f>INDEX(CONTROL[ENGLISH],MATCH(PROPERTIES[[#This Row],[VEHIDCODE]],CONTROL[VEHIDCODE],0))</f>
        <v>Beyer, P &amp; Co. 4-8-4+4-8-4 7473-7497</v>
      </c>
      <c r="F135" t="s">
        <v>541</v>
      </c>
      <c r="G135" s="37" t="str">
        <f>_xlfn.IFNA(INDEX(COUNTRIES[COUNTRY_LABEL],MATCH(PROPERTIES[[#This Row],[COUNTRY]],COUNTRIES[COUNTRY_DESCRIPTION],0)),"")</f>
        <v>AU</v>
      </c>
      <c r="H1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INDEX(LOADINGSPEEDDEF[SPEED],MATCH("LOADINGSPEEDDEF_"&amp;PROPERTIES[[#This Row],[LOADINGSPEED]],LOADINGSPEEDDEF[TYPE],0))</f>
        <v>20</v>
      </c>
      <c r="O1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4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1" t="b">
        <v>0</v>
      </c>
      <c r="AP135" s="45" t="b">
        <v>0</v>
      </c>
      <c r="AQ135" s="45" t="b">
        <v>0</v>
      </c>
      <c r="AR135" s="45">
        <v>0</v>
      </c>
      <c r="AS135" s="45" t="b">
        <v>0</v>
      </c>
      <c r="AT135" s="7" t="b">
        <v>0</v>
      </c>
      <c r="AU1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36" spans="1:47" x14ac:dyDescent="0.35">
      <c r="A136" s="2" t="s">
        <v>2768</v>
      </c>
      <c r="B136">
        <v>1910</v>
      </c>
      <c r="D1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6" s="37" t="str">
        <f>INDEX(CONTROL[ENGLISH],MATCH(PROPERTIES[[#This Row],[VEHIDCODE]],CONTROL[VEHIDCODE],0))</f>
        <v>AFE N1 2-6-0</v>
      </c>
      <c r="F136" t="s">
        <v>758</v>
      </c>
      <c r="G136" s="37" t="str">
        <f>_xlfn.IFNA(INDEX(COUNTRIES[COUNTRY_LABEL],MATCH(PROPERTIES[[#This Row],[COUNTRY]],COUNTRIES[COUNTRY_DESCRIPTION],0)),"")</f>
        <v>UY</v>
      </c>
      <c r="H1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INDEX(LOADINGSPEEDDEF[SPEED],MATCH("LOADINGSPEEDDEF_"&amp;PROPERTIES[[#This Row],[LOADINGSPEED]],LOADINGSPEEDDEF[TYPE],0))</f>
        <v>20</v>
      </c>
      <c r="O1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4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1" t="b">
        <v>0</v>
      </c>
      <c r="AP136" s="45" t="b">
        <v>0</v>
      </c>
      <c r="AQ136" s="45" t="b">
        <v>0</v>
      </c>
      <c r="AR136" s="45">
        <v>0</v>
      </c>
      <c r="AS136" s="45" t="b">
        <v>0</v>
      </c>
      <c r="AT136" s="7" t="b">
        <v>0</v>
      </c>
      <c r="AU1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7" spans="1:47" x14ac:dyDescent="0.35">
      <c r="A137" s="2" t="s">
        <v>2769</v>
      </c>
      <c r="B137">
        <v>1930</v>
      </c>
      <c r="D1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7" s="37" t="str">
        <f>INDEX(CONTROL[ENGLISH],MATCH(PROPERTIES[[#This Row],[VEHIDCODE]],CONTROL[VEHIDCODE],0))</f>
        <v>Sir Armstrong Whithworth &amp; Co. PS11</v>
      </c>
      <c r="F137" t="s">
        <v>538</v>
      </c>
      <c r="G137" s="37" t="str">
        <f>_xlfn.IFNA(INDEX(COUNTRIES[COUNTRY_LABEL],MATCH(PROPERTIES[[#This Row],[COUNTRY]],COUNTRIES[COUNTRY_DESCRIPTION],0)),"")</f>
        <v>AR</v>
      </c>
      <c r="H1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INDEX(LOADINGSPEEDDEF[SPEED],MATCH("LOADINGSPEEDDEF_"&amp;PROPERTIES[[#This Row],[LOADINGSPEED]],LOADINGSPEEDDEF[TYPE],0))</f>
        <v>20</v>
      </c>
      <c r="O1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4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1" t="b">
        <v>0</v>
      </c>
      <c r="AP137" s="45" t="b">
        <v>0</v>
      </c>
      <c r="AQ137" s="45" t="b">
        <v>0</v>
      </c>
      <c r="AR137" s="45">
        <v>0</v>
      </c>
      <c r="AS137" s="45" t="b">
        <v>0</v>
      </c>
      <c r="AT137" s="7" t="b">
        <v>0</v>
      </c>
      <c r="AU1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38" spans="1:47" x14ac:dyDescent="0.35">
      <c r="A138" s="2" t="s">
        <v>2770</v>
      </c>
      <c r="B138">
        <v>1873</v>
      </c>
      <c r="C138">
        <v>1909</v>
      </c>
      <c r="D1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8" s="37" t="str">
        <f>INDEX(CONTROL[ENGLISH],MATCH(PROPERTIES[[#This Row],[VEHIDCODE]],CONTROL[VEHIDCODE],0))</f>
        <v>Alexander Chaplin &amp; Co. 1584 0-4-0VB</v>
      </c>
      <c r="F138" t="s">
        <v>771</v>
      </c>
      <c r="G138" s="37" t="str">
        <f>_xlfn.IFNA(INDEX(COUNTRIES[COUNTRY_LABEL],MATCH(PROPERTIES[[#This Row],[COUNTRY]],COUNTRIES[COUNTRY_DESCRIPTION],0)),"")</f>
        <v>ZA</v>
      </c>
      <c r="H1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INDEX(LOADINGSPEEDDEF[SPEED],MATCH("LOADINGSPEEDDEF_"&amp;PROPERTIES[[#This Row],[LOADINGSPEED]],LOADINGSPEEDDEF[TYPE],0))</f>
        <v>20</v>
      </c>
      <c r="O1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4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1" t="b">
        <v>0</v>
      </c>
      <c r="AP138" s="45" t="b">
        <v>0</v>
      </c>
      <c r="AQ138" s="45" t="b">
        <v>0</v>
      </c>
      <c r="AR138" s="45">
        <v>0</v>
      </c>
      <c r="AS138" s="45" t="b">
        <v>0</v>
      </c>
      <c r="AT138" s="7" t="b">
        <v>0</v>
      </c>
      <c r="AU1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39" spans="1:47" x14ac:dyDescent="0.35">
      <c r="A139" s="2" t="s">
        <v>2771</v>
      </c>
      <c r="B139">
        <v>1895</v>
      </c>
      <c r="C139">
        <v>1935</v>
      </c>
      <c r="D1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39" s="37" t="str">
        <f>INDEX(CONTROL[ENGLISH],MATCH(PROPERTIES[[#This Row],[VEHIDCODE]],CONTROL[VEHIDCODE],0))</f>
        <v>Falcon Engine and Car Works F2</v>
      </c>
      <c r="F139" t="s">
        <v>685</v>
      </c>
      <c r="G139" s="37" t="str">
        <f>_xlfn.IFNA(INDEX(COUNTRIES[COUNTRY_LABEL],MATCH(PROPERTIES[[#This Row],[COUNTRY]],COUNTRIES[COUNTRY_DESCRIPTION],0)),"")</f>
        <v>MZ</v>
      </c>
      <c r="H1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INDEX(LOADINGSPEEDDEF[SPEED],MATCH("LOADINGSPEEDDEF_"&amp;PROPERTIES[[#This Row],[LOADINGSPEED]],LOADINGSPEEDDEF[TYPE],0))</f>
        <v>20</v>
      </c>
      <c r="O1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4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3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1" t="b">
        <v>0</v>
      </c>
      <c r="AP139" s="45" t="b">
        <v>0</v>
      </c>
      <c r="AQ139" s="45" t="b">
        <v>0</v>
      </c>
      <c r="AR139" s="45">
        <v>0</v>
      </c>
      <c r="AS139" s="45" t="b">
        <v>0</v>
      </c>
      <c r="AT139" s="7" t="b">
        <v>0</v>
      </c>
      <c r="AU1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0" spans="1:47" x14ac:dyDescent="0.35">
      <c r="A140" s="2" t="s">
        <v>2772</v>
      </c>
      <c r="B140">
        <v>1911</v>
      </c>
      <c r="D1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0" s="37" t="str">
        <f>INDEX(CONTROL[ENGLISH],MATCH(PROPERTIES[[#This Row],[VEHIDCODE]],CONTROL[VEHIDCODE],0))</f>
        <v>Ansaldo R.440 'Mallet'</v>
      </c>
      <c r="F140" t="s">
        <v>594</v>
      </c>
      <c r="G140" s="37" t="str">
        <f>_xlfn.IFNA(INDEX(COUNTRIES[COUNTRY_LABEL],MATCH(PROPERTIES[[#This Row],[COUNTRY]],COUNTRIES[COUNTRY_DESCRIPTION],0)),"")</f>
        <v>ER</v>
      </c>
      <c r="H1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INDEX(LOADINGSPEEDDEF[SPEED],MATCH("LOADINGSPEEDDEF_"&amp;PROPERTIES[[#This Row],[LOADINGSPEED]],LOADINGSPEEDDEF[TYPE],0))</f>
        <v>20</v>
      </c>
      <c r="O1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4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1" t="b">
        <v>0</v>
      </c>
      <c r="AP140" s="45" t="b">
        <v>0</v>
      </c>
      <c r="AQ140" s="45" t="b">
        <v>0</v>
      </c>
      <c r="AR140" s="45">
        <v>0</v>
      </c>
      <c r="AS140" s="45" t="b">
        <v>0</v>
      </c>
      <c r="AT140" s="7" t="b">
        <v>0</v>
      </c>
      <c r="AU1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41" spans="1:47" x14ac:dyDescent="0.35">
      <c r="A141" s="2" t="s">
        <v>2773</v>
      </c>
      <c r="B141">
        <v>1923</v>
      </c>
      <c r="D1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1" s="37" t="str">
        <f>INDEX(CONTROL[ENGLISH],MATCH(PROPERTIES[[#This Row],[VEHIDCODE]],CONTROL[VEHIDCODE],0))</f>
        <v>Beyer, P &amp; Co. 4-8-0 6128-6133</v>
      </c>
      <c r="F141" t="s">
        <v>641</v>
      </c>
      <c r="G141" s="37" t="str">
        <f>_xlfn.IFNA(INDEX(COUNTRIES[COUNTRY_LABEL],MATCH(PROPERTIES[[#This Row],[COUNTRY]],COUNTRIES[COUNTRY_DESCRIPTION],0)),"")</f>
        <v>KE</v>
      </c>
      <c r="H1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INDEX(LOADINGSPEEDDEF[SPEED],MATCH("LOADINGSPEEDDEF_"&amp;PROPERTIES[[#This Row],[LOADINGSPEED]],LOADINGSPEEDDEF[TYPE],0))</f>
        <v>20</v>
      </c>
      <c r="O1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4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1" t="b">
        <v>0</v>
      </c>
      <c r="AP141" s="45" t="b">
        <v>0</v>
      </c>
      <c r="AQ141" s="45" t="b">
        <v>0</v>
      </c>
      <c r="AR141" s="45">
        <v>0</v>
      </c>
      <c r="AS141" s="45" t="b">
        <v>0</v>
      </c>
      <c r="AT141" s="7" t="b">
        <v>0</v>
      </c>
      <c r="AU1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2" spans="1:47" x14ac:dyDescent="0.35">
      <c r="A142" s="2" t="s">
        <v>2774</v>
      </c>
      <c r="B142">
        <v>1928</v>
      </c>
      <c r="D1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2" s="37" t="str">
        <f>INDEX(CONTROL[ENGLISH],MATCH(PROPERTIES[[#This Row],[VEHIDCODE]],CONTROL[VEHIDCODE],0))</f>
        <v>Vulcan Foundry 4-8-2 4318-4320</v>
      </c>
      <c r="F142" t="s">
        <v>641</v>
      </c>
      <c r="G142" s="37" t="str">
        <f>_xlfn.IFNA(INDEX(COUNTRIES[COUNTRY_LABEL],MATCH(PROPERTIES[[#This Row],[COUNTRY]],COUNTRIES[COUNTRY_DESCRIPTION],0)),"")</f>
        <v>KE</v>
      </c>
      <c r="H1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INDEX(LOADINGSPEEDDEF[SPEED],MATCH("LOADINGSPEEDDEF_"&amp;PROPERTIES[[#This Row],[LOADINGSPEED]],LOADINGSPEEDDEF[TYPE],0))</f>
        <v>20</v>
      </c>
      <c r="O1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4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1" t="b">
        <v>0</v>
      </c>
      <c r="AP142" s="45" t="b">
        <v>0</v>
      </c>
      <c r="AQ142" s="45" t="b">
        <v>0</v>
      </c>
      <c r="AR142" s="45">
        <v>0</v>
      </c>
      <c r="AS142" s="45" t="b">
        <v>0</v>
      </c>
      <c r="AT142" s="7" t="b">
        <v>0</v>
      </c>
      <c r="AU1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3" spans="1:47" x14ac:dyDescent="0.35">
      <c r="A143" s="2" t="s">
        <v>2775</v>
      </c>
      <c r="B143">
        <v>1940</v>
      </c>
      <c r="C143">
        <v>1975</v>
      </c>
      <c r="D1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3" s="37" t="str">
        <f>INDEX(CONTROL[ENGLISH],MATCH(PROPERTIES[[#This Row],[VEHIDCODE]],CONTROL[VEHIDCODE],0))</f>
        <v>Beyer, P &amp; Co. 4-6-4+4-6-4 '15th'</v>
      </c>
      <c r="F143" t="s">
        <v>773</v>
      </c>
      <c r="G143" s="37" t="str">
        <f>_xlfn.IFNA(INDEX(COUNTRIES[COUNTRY_LABEL],MATCH(PROPERTIES[[#This Row],[COUNTRY]],COUNTRIES[COUNTRY_DESCRIPTION],0)),"")</f>
        <v>ZW</v>
      </c>
      <c r="H1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INDEX(LOADINGSPEEDDEF[SPEED],MATCH("LOADINGSPEEDDEF_"&amp;PROPERTIES[[#This Row],[LOADINGSPEED]],LOADINGSPEEDDEF[TYPE],0))</f>
        <v>20</v>
      </c>
      <c r="O1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4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1" t="b">
        <v>0</v>
      </c>
      <c r="AP143" s="45" t="b">
        <v>0</v>
      </c>
      <c r="AQ143" s="45" t="b">
        <v>0</v>
      </c>
      <c r="AR143" s="45">
        <v>0</v>
      </c>
      <c r="AS143" s="45" t="b">
        <v>0</v>
      </c>
      <c r="AT143" s="7" t="b">
        <v>0</v>
      </c>
      <c r="AU1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44" spans="1:47" x14ac:dyDescent="0.35">
      <c r="A144" s="2" t="s">
        <v>2776</v>
      </c>
      <c r="B144">
        <v>1953</v>
      </c>
      <c r="C144">
        <v>1988</v>
      </c>
      <c r="D1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4" s="37" t="str">
        <f>INDEX(CONTROL[ENGLISH],MATCH(PROPERTIES[[#This Row],[VEHIDCODE]],CONTROL[VEHIDCODE],0))</f>
        <v>Beyer, P &amp; Co. 4-8-2+2-8-4 7550-7552</v>
      </c>
      <c r="F144" t="s">
        <v>771</v>
      </c>
      <c r="G144" s="37" t="str">
        <f>_xlfn.IFNA(INDEX(COUNTRIES[COUNTRY_LABEL],MATCH(PROPERTIES[[#This Row],[COUNTRY]],COUNTRIES[COUNTRY_DESCRIPTION],0)),"")</f>
        <v>ZA</v>
      </c>
      <c r="H1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INDEX(LOADINGSPEEDDEF[SPEED],MATCH("LOADINGSPEEDDEF_"&amp;PROPERTIES[[#This Row],[LOADINGSPEED]],LOADINGSPEEDDEF[TYPE],0))</f>
        <v>20</v>
      </c>
      <c r="O1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4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1" t="b">
        <v>0</v>
      </c>
      <c r="AP144" s="45" t="b">
        <v>0</v>
      </c>
      <c r="AQ144" s="45" t="b">
        <v>0</v>
      </c>
      <c r="AR144" s="45">
        <v>0</v>
      </c>
      <c r="AS144" s="45" t="b">
        <v>0</v>
      </c>
      <c r="AT144" s="7" t="b">
        <v>0</v>
      </c>
      <c r="AU1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145" spans="1:47" x14ac:dyDescent="0.35">
      <c r="A145" s="2" t="s">
        <v>2777</v>
      </c>
      <c r="B145">
        <v>1955</v>
      </c>
      <c r="D1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5" s="37" t="str">
        <f>INDEX(CONTROL[ENGLISH],MATCH(PROPERTIES[[#This Row],[VEHIDCODE]],CONTROL[VEHIDCODE],0))</f>
        <v>Vulcan Foundry 2-8-4 6228</v>
      </c>
      <c r="F145" t="s">
        <v>641</v>
      </c>
      <c r="G145" s="37" t="str">
        <f>_xlfn.IFNA(INDEX(COUNTRIES[COUNTRY_LABEL],MATCH(PROPERTIES[[#This Row],[COUNTRY]],COUNTRIES[COUNTRY_DESCRIPTION],0)),"")</f>
        <v>KE</v>
      </c>
      <c r="H1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INDEX(LOADINGSPEEDDEF[SPEED],MATCH("LOADINGSPEEDDEF_"&amp;PROPERTIES[[#This Row],[LOADINGSPEED]],LOADINGSPEEDDEF[TYPE],0))</f>
        <v>20</v>
      </c>
      <c r="O1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4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1" t="b">
        <v>0</v>
      </c>
      <c r="AP145" s="45" t="b">
        <v>0</v>
      </c>
      <c r="AQ145" s="45" t="b">
        <v>0</v>
      </c>
      <c r="AR145" s="45">
        <v>0</v>
      </c>
      <c r="AS145" s="45" t="b">
        <v>0</v>
      </c>
      <c r="AT145" s="7" t="b">
        <v>0</v>
      </c>
      <c r="AU1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6" spans="1:47" x14ac:dyDescent="0.35">
      <c r="A146" s="2" t="s">
        <v>2778</v>
      </c>
      <c r="B146">
        <v>1855</v>
      </c>
      <c r="C146">
        <v>1909</v>
      </c>
      <c r="D1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6" s="37" t="str">
        <f>INDEX(CONTROL[ENGLISH],MATCH(PROPERTIES[[#This Row],[VEHIDCODE]],CONTROL[VEHIDCODE],0))</f>
        <v>Kitson 2-2-2WT 481 'Fairy Queen'</v>
      </c>
      <c r="F146" t="s">
        <v>631</v>
      </c>
      <c r="G146" s="37" t="str">
        <f>_xlfn.IFNA(INDEX(COUNTRIES[COUNTRY_LABEL],MATCH(PROPERTIES[[#This Row],[COUNTRY]],COUNTRIES[COUNTRY_DESCRIPTION],0)),"")</f>
        <v>IN</v>
      </c>
      <c r="H1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INDEX(LOADINGSPEEDDEF[SPEED],MATCH("LOADINGSPEEDDEF_"&amp;PROPERTIES[[#This Row],[LOADINGSPEED]],LOADINGSPEEDDEF[TYPE],0))</f>
        <v>20</v>
      </c>
      <c r="O1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4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1" t="b">
        <v>0</v>
      </c>
      <c r="AP146" s="45" t="b">
        <v>0</v>
      </c>
      <c r="AQ146" s="45" t="b">
        <v>0</v>
      </c>
      <c r="AR146" s="45">
        <v>0</v>
      </c>
      <c r="AS146" s="45" t="b">
        <v>0</v>
      </c>
      <c r="AT146" s="7" t="b">
        <v>0</v>
      </c>
      <c r="AU1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47" spans="1:47" x14ac:dyDescent="0.35">
      <c r="A147" s="2" t="s">
        <v>2779</v>
      </c>
      <c r="B147">
        <v>1889</v>
      </c>
      <c r="D1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7" s="37" t="str">
        <f>INDEX(CONTROL[ENGLISH],MATCH(PROPERTIES[[#This Row],[VEHIDCODE]],CONTROL[VEHIDCODE],0))</f>
        <v>Sharp, Stewart &amp; Co. 0-4-0ST DHR B</v>
      </c>
      <c r="F147" t="s">
        <v>631</v>
      </c>
      <c r="G147" s="37" t="str">
        <f>_xlfn.IFNA(INDEX(COUNTRIES[COUNTRY_LABEL],MATCH(PROPERTIES[[#This Row],[COUNTRY]],COUNTRIES[COUNTRY_DESCRIPTION],0)),"")</f>
        <v>IN</v>
      </c>
      <c r="H1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INDEX(LOADINGSPEEDDEF[SPEED],MATCH("LOADINGSPEEDDEF_"&amp;PROPERTIES[[#This Row],[LOADINGSPEED]],LOADINGSPEEDDEF[TYPE],0))</f>
        <v>20</v>
      </c>
      <c r="O1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4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1" t="b">
        <v>0</v>
      </c>
      <c r="AP147" s="45" t="b">
        <v>0</v>
      </c>
      <c r="AQ147" s="45" t="b">
        <v>0</v>
      </c>
      <c r="AR147" s="45">
        <v>0</v>
      </c>
      <c r="AS147" s="45" t="b">
        <v>0</v>
      </c>
      <c r="AT147" s="7" t="b">
        <v>0</v>
      </c>
      <c r="AU1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8" spans="1:47" x14ac:dyDescent="0.35">
      <c r="A148" s="2" t="s">
        <v>2780</v>
      </c>
      <c r="B148">
        <v>1895</v>
      </c>
      <c r="D1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8" s="37" t="str">
        <f>INDEX(CONTROL[ENGLISH],MATCH(PROPERTIES[[#This Row],[VEHIDCODE]],CONTROL[VEHIDCODE],0))</f>
        <v>Baldwin 2-8-0 Sentetsu Sorii</v>
      </c>
      <c r="F148" t="s">
        <v>575</v>
      </c>
      <c r="G148" s="37" t="str">
        <f>_xlfn.IFNA(INDEX(COUNTRIES[COUNTRY_LABEL],MATCH(PROPERTIES[[#This Row],[COUNTRY]],COUNTRIES[COUNTRY_DESCRIPTION],0)),"")</f>
        <v>CN</v>
      </c>
      <c r="H1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INDEX(LOADINGSPEEDDEF[SPEED],MATCH("LOADINGSPEEDDEF_"&amp;PROPERTIES[[#This Row],[LOADINGSPEED]],LOADINGSPEEDDEF[TYPE],0))</f>
        <v>20</v>
      </c>
      <c r="O1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4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1" t="b">
        <v>0</v>
      </c>
      <c r="AP148" s="45" t="b">
        <v>0</v>
      </c>
      <c r="AQ148" s="45" t="b">
        <v>0</v>
      </c>
      <c r="AR148" s="45">
        <v>0</v>
      </c>
      <c r="AS148" s="45" t="b">
        <v>0</v>
      </c>
      <c r="AT148" s="7" t="b">
        <v>0</v>
      </c>
      <c r="AU1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49" spans="1:47" x14ac:dyDescent="0.35">
      <c r="A149" s="2" t="s">
        <v>2781</v>
      </c>
      <c r="B149">
        <v>1906</v>
      </c>
      <c r="C149">
        <v>1936</v>
      </c>
      <c r="D1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49" s="37" t="str">
        <f>INDEX(CONTROL[ENGLISH],MATCH(PROPERTIES[[#This Row],[VEHIDCODE]],CONTROL[VEHIDCODE],0))</f>
        <v>Putilov 4-6-0 U</v>
      </c>
      <c r="F149" t="s">
        <v>716</v>
      </c>
      <c r="G149" s="37" t="str">
        <f>_xlfn.IFNA(INDEX(COUNTRIES[COUNTRY_LABEL],MATCH(PROPERTIES[[#This Row],[COUNTRY]],COUNTRIES[COUNTRY_DESCRIPTION],0)),"")</f>
        <v>RU</v>
      </c>
      <c r="H1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INDEX(LOADINGSPEEDDEF[SPEED],MATCH("LOADINGSPEEDDEF_"&amp;PROPERTIES[[#This Row],[LOADINGSPEED]],LOADINGSPEEDDEF[TYPE],0))</f>
        <v>20</v>
      </c>
      <c r="O1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4">
        <v>0</v>
      </c>
      <c r="AF149" s="6">
        <v>3</v>
      </c>
      <c r="AG149" t="s">
        <v>1943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4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1" t="b">
        <v>0</v>
      </c>
      <c r="AP149" s="45" t="b">
        <v>0</v>
      </c>
      <c r="AQ149" s="45" t="b">
        <v>0</v>
      </c>
      <c r="AR149" s="45">
        <v>0</v>
      </c>
      <c r="AS149" s="45" t="b">
        <v>0</v>
      </c>
      <c r="AT149" s="7" t="b">
        <v>0</v>
      </c>
      <c r="AU1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0" spans="1:47" x14ac:dyDescent="0.35">
      <c r="A150" s="2" t="s">
        <v>2782</v>
      </c>
      <c r="B150">
        <v>1915</v>
      </c>
      <c r="C150">
        <v>1970</v>
      </c>
      <c r="D1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0" s="37" t="str">
        <f>INDEX(CONTROL[ENGLISH],MATCH(PROPERTIES[[#This Row],[VEHIDCODE]],CONTROL[VEHIDCODE],0))</f>
        <v>Baldwin 12-44 F 2-10-0 'Ye'</v>
      </c>
      <c r="F150" t="s">
        <v>716</v>
      </c>
      <c r="G150" s="37" t="str">
        <f>_xlfn.IFNA(INDEX(COUNTRIES[COUNTRY_LABEL],MATCH(PROPERTIES[[#This Row],[COUNTRY]],COUNTRIES[COUNTRY_DESCRIPTION],0)),"")</f>
        <v>RU</v>
      </c>
      <c r="H1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INDEX(LOADINGSPEEDDEF[SPEED],MATCH("LOADINGSPEEDDEF_"&amp;PROPERTIES[[#This Row],[LOADINGSPEED]],LOADINGSPEEDDEF[TYPE],0))</f>
        <v>20</v>
      </c>
      <c r="O1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4">
        <v>0</v>
      </c>
      <c r="AF150" s="6">
        <v>3</v>
      </c>
      <c r="AG150" t="s">
        <v>1943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1" t="b">
        <v>0</v>
      </c>
      <c r="AP150" s="45" t="b">
        <v>0</v>
      </c>
      <c r="AQ150" s="45" t="b">
        <v>0</v>
      </c>
      <c r="AR150" s="45">
        <v>0</v>
      </c>
      <c r="AS150" s="45" t="b">
        <v>0</v>
      </c>
      <c r="AT150" s="7" t="b">
        <v>0</v>
      </c>
      <c r="AU1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1" spans="1:47" x14ac:dyDescent="0.35">
      <c r="A151" s="2" t="s">
        <v>2783</v>
      </c>
      <c r="B151">
        <v>1918</v>
      </c>
      <c r="C151">
        <v>1960</v>
      </c>
      <c r="D1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1" s="37" t="str">
        <f>INDEX(CONTROL[ENGLISH],MATCH(PROPERTIES[[#This Row],[VEHIDCODE]],CONTROL[VEHIDCODE],0))</f>
        <v>Baldwin 4-6-0 50201</v>
      </c>
      <c r="F151" t="s">
        <v>629</v>
      </c>
      <c r="G151" s="37" t="str">
        <f>_xlfn.IFNA(INDEX(COUNTRIES[COUNTRY_LABEL],MATCH(PROPERTIES[[#This Row],[COUNTRY]],COUNTRIES[COUNTRY_DESCRIPTION],0)),"")</f>
        <v>IL</v>
      </c>
      <c r="H1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INDEX(LOADINGSPEEDDEF[SPEED],MATCH("LOADINGSPEEDDEF_"&amp;PROPERTIES[[#This Row],[LOADINGSPEED]],LOADINGSPEEDDEF[TYPE],0))</f>
        <v>20</v>
      </c>
      <c r="O1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4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1" t="b">
        <v>0</v>
      </c>
      <c r="AP151" s="45" t="b">
        <v>0</v>
      </c>
      <c r="AQ151" s="45" t="b">
        <v>0</v>
      </c>
      <c r="AR151" s="45">
        <v>0</v>
      </c>
      <c r="AS151" s="45" t="b">
        <v>0</v>
      </c>
      <c r="AT151" s="7" t="b">
        <v>0</v>
      </c>
      <c r="AU1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2" spans="1:47" x14ac:dyDescent="0.35">
      <c r="A152" s="2" t="s">
        <v>2784</v>
      </c>
      <c r="B152">
        <v>1923</v>
      </c>
      <c r="C152">
        <v>1968</v>
      </c>
      <c r="D1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2" s="37" t="str">
        <f>INDEX(CONTROL[ENGLISH],MATCH(PROPERTIES[[#This Row],[VEHIDCODE]],CONTROL[VEHIDCODE],0))</f>
        <v>FS 480</v>
      </c>
      <c r="F152" t="s">
        <v>636</v>
      </c>
      <c r="G152" s="37" t="str">
        <f>_xlfn.IFNA(INDEX(COUNTRIES[COUNTRY_LABEL],MATCH(PROPERTIES[[#This Row],[COUNTRY]],COUNTRIES[COUNTRY_DESCRIPTION],0)),"")</f>
        <v>IT</v>
      </c>
      <c r="H1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INDEX(LOADINGSPEEDDEF[SPEED],MATCH("LOADINGSPEEDDEF_"&amp;PROPERTIES[[#This Row],[LOADINGSPEED]],LOADINGSPEEDDEF[TYPE],0))</f>
        <v>20</v>
      </c>
      <c r="O1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4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1" t="b">
        <v>0</v>
      </c>
      <c r="AP152" s="45" t="b">
        <v>0</v>
      </c>
      <c r="AQ152" s="45" t="b">
        <v>0</v>
      </c>
      <c r="AR152" s="45">
        <v>0</v>
      </c>
      <c r="AS152" s="45" t="b">
        <v>0</v>
      </c>
      <c r="AT152" s="7" t="b">
        <v>0</v>
      </c>
      <c r="AU1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3" spans="1:47" x14ac:dyDescent="0.35">
      <c r="A153" s="2" t="s">
        <v>2785</v>
      </c>
      <c r="B153">
        <v>1928</v>
      </c>
      <c r="C153">
        <v>1960</v>
      </c>
      <c r="D1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3" s="37" t="str">
        <f>INDEX(CONTROL[ENGLISH],MATCH(PROPERTIES[[#This Row],[VEHIDCODE]],CONTROL[VEHIDCODE],0))</f>
        <v>FS 691</v>
      </c>
      <c r="F153" t="s">
        <v>636</v>
      </c>
      <c r="G153" s="37" t="str">
        <f>_xlfn.IFNA(INDEX(COUNTRIES[COUNTRY_LABEL],MATCH(PROPERTIES[[#This Row],[COUNTRY]],COUNTRIES[COUNTRY_DESCRIPTION],0)),"")</f>
        <v>IT</v>
      </c>
      <c r="H1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INDEX(LOADINGSPEEDDEF[SPEED],MATCH("LOADINGSPEEDDEF_"&amp;PROPERTIES[[#This Row],[LOADINGSPEED]],LOADINGSPEEDDEF[TYPE],0))</f>
        <v>20</v>
      </c>
      <c r="O1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4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1" t="b">
        <v>0</v>
      </c>
      <c r="AP153" s="45" t="b">
        <v>0</v>
      </c>
      <c r="AQ153" s="45" t="b">
        <v>0</v>
      </c>
      <c r="AR153" s="45">
        <v>0</v>
      </c>
      <c r="AS153" s="45" t="b">
        <v>0</v>
      </c>
      <c r="AT153" s="7" t="b">
        <v>0</v>
      </c>
      <c r="AU1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4" spans="1:47" x14ac:dyDescent="0.35">
      <c r="A154" s="2" t="s">
        <v>2786</v>
      </c>
      <c r="B154">
        <v>1943</v>
      </c>
      <c r="C154">
        <v>1975</v>
      </c>
      <c r="D1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4" s="37" t="str">
        <f>INDEX(CONTROL[ENGLISH],MATCH(PROPERTIES[[#This Row],[VEHIDCODE]],CONTROL[VEHIDCODE],0))</f>
        <v>North British Lb 2-10-0</v>
      </c>
      <c r="F154" t="s">
        <v>615</v>
      </c>
      <c r="G154" s="37" t="str">
        <f>_xlfn.IFNA(INDEX(COUNTRIES[COUNTRY_LABEL],MATCH(PROPERTIES[[#This Row],[COUNTRY]],COUNTRIES[COUNTRY_DESCRIPTION],0)),"")</f>
        <v>GR</v>
      </c>
      <c r="H1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INDEX(LOADINGSPEEDDEF[SPEED],MATCH("LOADINGSPEEDDEF_"&amp;PROPERTIES[[#This Row],[LOADINGSPEED]],LOADINGSPEEDDEF[TYPE],0))</f>
        <v>20</v>
      </c>
      <c r="O1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4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1" t="b">
        <v>0</v>
      </c>
      <c r="AP154" s="45" t="b">
        <v>0</v>
      </c>
      <c r="AQ154" s="45" t="b">
        <v>0</v>
      </c>
      <c r="AR154" s="45">
        <v>0</v>
      </c>
      <c r="AS154" s="45" t="b">
        <v>0</v>
      </c>
      <c r="AT154" s="7" t="b">
        <v>0</v>
      </c>
      <c r="AU1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5" spans="1:47" x14ac:dyDescent="0.35">
      <c r="A155" s="2" t="s">
        <v>2787</v>
      </c>
      <c r="B155">
        <v>1951</v>
      </c>
      <c r="D1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5" s="37" t="str">
        <f>INDEX(CONTROL[ENGLISH],MATCH(PROPERTIES[[#This Row],[VEHIDCODE]],CONTROL[VEHIDCODE],0))</f>
        <v>ALCO/Baldwin 2-8-0 'USATC S160'</v>
      </c>
      <c r="F155" t="s">
        <v>534</v>
      </c>
      <c r="G155" s="37" t="str">
        <f>_xlfn.IFNA(INDEX(COUNTRIES[COUNTRY_LABEL],MATCH(PROPERTIES[[#This Row],[COUNTRY]],COUNTRIES[COUNTRY_DESCRIPTION],0)),"")</f>
        <v>AL</v>
      </c>
      <c r="H1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INDEX(LOADINGSPEEDDEF[SPEED],MATCH("LOADINGSPEEDDEF_"&amp;PROPERTIES[[#This Row],[LOADINGSPEED]],LOADINGSPEEDDEF[TYPE],0))</f>
        <v>20</v>
      </c>
      <c r="O1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4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1" t="b">
        <v>0</v>
      </c>
      <c r="AP155" s="45" t="b">
        <v>0</v>
      </c>
      <c r="AQ155" s="45" t="b">
        <v>0</v>
      </c>
      <c r="AR155" s="45">
        <v>0</v>
      </c>
      <c r="AS155" s="45" t="b">
        <v>0</v>
      </c>
      <c r="AT155" s="7" t="b">
        <v>0</v>
      </c>
      <c r="AU1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56" spans="1:47" x14ac:dyDescent="0.35">
      <c r="A156" s="2" t="s">
        <v>3466</v>
      </c>
      <c r="B156">
        <v>1955</v>
      </c>
      <c r="D1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6" s="37" t="str">
        <f>INDEX(CONTROL[ENGLISH],MATCH(PROPERTIES[[#This Row],[VEHIDCODE]],CONTROL[VEHIDCODE],0))</f>
        <v>RENFE 4-8-4 242F 'Confederacion'</v>
      </c>
      <c r="F156" t="s">
        <v>595</v>
      </c>
      <c r="G156" s="37" t="str">
        <f>_xlfn.IFNA(INDEX(COUNTRIES[COUNTRY_LABEL],MATCH(PROPERTIES[[#This Row],[COUNTRY]],COUNTRIES[COUNTRY_DESCRIPTION],0)),"")</f>
        <v>ES</v>
      </c>
      <c r="H1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INDEX(LOADINGSPEEDDEF[SPEED],MATCH("LOADINGSPEEDDEF_"&amp;PROPERTIES[[#This Row],[LOADINGSPEED]],LOADINGSPEEDDEF[TYPE],0))</f>
        <v>20</v>
      </c>
      <c r="O1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4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1" t="b">
        <v>0</v>
      </c>
      <c r="AP156" s="45" t="b">
        <v>0</v>
      </c>
      <c r="AQ156" s="45" t="b">
        <v>0</v>
      </c>
      <c r="AR156" s="45">
        <v>0</v>
      </c>
      <c r="AS156" s="45" t="b">
        <v>0</v>
      </c>
      <c r="AT156" s="7" t="b">
        <v>0</v>
      </c>
      <c r="AU1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7" spans="1:47" x14ac:dyDescent="0.35">
      <c r="A157" s="2" t="s">
        <v>2788</v>
      </c>
      <c r="B157">
        <v>1910</v>
      </c>
      <c r="C157">
        <v>1973</v>
      </c>
      <c r="D1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7" s="37" t="str">
        <f>INDEX(CONTROL[ENGLISH],MATCH(PROPERTIES[[#This Row],[VEHIDCODE]],CONTROL[VEHIDCODE],0))</f>
        <v>Skoda 6Lo</v>
      </c>
      <c r="F157" t="s">
        <v>583</v>
      </c>
      <c r="G157" s="37" t="str">
        <f>_xlfn.IFNA(INDEX(COUNTRIES[COUNTRY_LABEL],MATCH(PROPERTIES[[#This Row],[COUNTRY]],COUNTRIES[COUNTRY_DESCRIPTION],0)),"")</f>
        <v>CZ</v>
      </c>
      <c r="H1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INDEX(LOADINGSPEEDDEF[SPEED],MATCH("LOADINGSPEEDDEF_"&amp;PROPERTIES[[#This Row],[LOADINGSPEED]],LOADINGSPEEDDEF[TYPE],0))</f>
        <v>20</v>
      </c>
      <c r="O1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4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1" t="b">
        <v>0</v>
      </c>
      <c r="AP157" s="45" t="b">
        <v>0</v>
      </c>
      <c r="AQ157" s="45" t="b">
        <v>0</v>
      </c>
      <c r="AR157" s="45">
        <v>0</v>
      </c>
      <c r="AS157" s="45" t="b">
        <v>0</v>
      </c>
      <c r="AT157" s="7" t="b">
        <v>0</v>
      </c>
      <c r="AU1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8" spans="1:47" x14ac:dyDescent="0.35">
      <c r="A158" s="2" t="s">
        <v>2789</v>
      </c>
      <c r="B158">
        <v>1923</v>
      </c>
      <c r="C158">
        <v>1955</v>
      </c>
      <c r="D1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8" s="37" t="str">
        <f>INDEX(CONTROL[ENGLISH],MATCH(PROPERTIES[[#This Row],[VEHIDCODE]],CONTROL[VEHIDCODE],0))</f>
        <v>Hanomag/Fablok 4-6-0 Ok22</v>
      </c>
      <c r="F158" t="s">
        <v>705</v>
      </c>
      <c r="G158" s="37" t="str">
        <f>_xlfn.IFNA(INDEX(COUNTRIES[COUNTRY_LABEL],MATCH(PROPERTIES[[#This Row],[COUNTRY]],COUNTRIES[COUNTRY_DESCRIPTION],0)),"")</f>
        <v>PL</v>
      </c>
      <c r="H1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INDEX(LOADINGSPEEDDEF[SPEED],MATCH("LOADINGSPEEDDEF_"&amp;PROPERTIES[[#This Row],[LOADINGSPEED]],LOADINGSPEEDDEF[TYPE],0))</f>
        <v>20</v>
      </c>
      <c r="O1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4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1" t="b">
        <v>0</v>
      </c>
      <c r="AP158" s="45" t="b">
        <v>0</v>
      </c>
      <c r="AQ158" s="45" t="b">
        <v>0</v>
      </c>
      <c r="AR158" s="45">
        <v>0</v>
      </c>
      <c r="AS158" s="45" t="b">
        <v>0</v>
      </c>
      <c r="AT158" s="7" t="b">
        <v>0</v>
      </c>
      <c r="AU1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59" spans="1:47" x14ac:dyDescent="0.35">
      <c r="A159" s="2" t="s">
        <v>2790</v>
      </c>
      <c r="B159">
        <v>1924</v>
      </c>
      <c r="C159">
        <v>1980</v>
      </c>
      <c r="D1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59" s="37" t="str">
        <f>INDEX(CONTROL[ENGLISH],MATCH(PROPERTIES[[#This Row],[VEHIDCODE]],CONTROL[VEHIDCODE],0))</f>
        <v>MAVAG 4-8-0 424</v>
      </c>
      <c r="F159" t="s">
        <v>624</v>
      </c>
      <c r="G159" s="37" t="str">
        <f>_xlfn.IFNA(INDEX(COUNTRIES[COUNTRY_LABEL],MATCH(PROPERTIES[[#This Row],[COUNTRY]],COUNTRIES[COUNTRY_DESCRIPTION],0)),"")</f>
        <v>HR</v>
      </c>
      <c r="H1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INDEX(LOADINGSPEEDDEF[SPEED],MATCH("LOADINGSPEEDDEF_"&amp;PROPERTIES[[#This Row],[LOADINGSPEED]],LOADINGSPEEDDEF[TYPE],0))</f>
        <v>20</v>
      </c>
      <c r="O1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4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5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1" t="b">
        <v>0</v>
      </c>
      <c r="AP159" s="45" t="b">
        <v>0</v>
      </c>
      <c r="AQ159" s="45" t="b">
        <v>0</v>
      </c>
      <c r="AR159" s="45">
        <v>0</v>
      </c>
      <c r="AS159" s="45" t="b">
        <v>0</v>
      </c>
      <c r="AT159" s="7" t="b">
        <v>0</v>
      </c>
      <c r="AU1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0" spans="1:47" x14ac:dyDescent="0.35">
      <c r="A160" s="2" t="s">
        <v>2791</v>
      </c>
      <c r="B160">
        <v>1936</v>
      </c>
      <c r="C160">
        <v>1961</v>
      </c>
      <c r="D1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0" s="37" t="str">
        <f>INDEX(CONTROL[ENGLISH],MATCH(PROPERTIES[[#This Row],[VEHIDCODE]],CONTROL[VEHIDCODE],0))</f>
        <v>MAVAG 4-4-4T 242</v>
      </c>
      <c r="F160" t="s">
        <v>626</v>
      </c>
      <c r="G160" s="37" t="str">
        <f>_xlfn.IFNA(INDEX(COUNTRIES[COUNTRY_LABEL],MATCH(PROPERTIES[[#This Row],[COUNTRY]],COUNTRIES[COUNTRY_DESCRIPTION],0)),"")</f>
        <v>HU</v>
      </c>
      <c r="H1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INDEX(LOADINGSPEEDDEF[SPEED],MATCH("LOADINGSPEEDDEF_"&amp;PROPERTIES[[#This Row],[LOADINGSPEED]],LOADINGSPEEDDEF[TYPE],0))</f>
        <v>20</v>
      </c>
      <c r="O1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4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1" t="b">
        <v>0</v>
      </c>
      <c r="AP160" s="45" t="b">
        <v>0</v>
      </c>
      <c r="AQ160" s="45" t="b">
        <v>0</v>
      </c>
      <c r="AR160" s="45">
        <v>0</v>
      </c>
      <c r="AS160" s="45" t="b">
        <v>0</v>
      </c>
      <c r="AT160" s="7" t="b">
        <v>0</v>
      </c>
      <c r="AU1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61" spans="1:47" x14ac:dyDescent="0.35">
      <c r="A161" s="2" t="s">
        <v>2792</v>
      </c>
      <c r="B161">
        <v>1946</v>
      </c>
      <c r="C161">
        <v>1961</v>
      </c>
      <c r="D1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1" s="37" t="str">
        <f>INDEX(CONTROL[ENGLISH],MATCH(PROPERTIES[[#This Row],[VEHIDCODE]],CONTROL[VEHIDCODE],0))</f>
        <v>Vulcan Foundry 2-8-0 'Liberation'</v>
      </c>
      <c r="F161" t="s">
        <v>583</v>
      </c>
      <c r="G161" s="37" t="str">
        <f>_xlfn.IFNA(INDEX(COUNTRIES[COUNTRY_LABEL],MATCH(PROPERTIES[[#This Row],[COUNTRY]],COUNTRIES[COUNTRY_DESCRIPTION],0)),"")</f>
        <v>CZ</v>
      </c>
      <c r="H1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INDEX(LOADINGSPEEDDEF[SPEED],MATCH("LOADINGSPEEDDEF_"&amp;PROPERTIES[[#This Row],[LOADINGSPEED]],LOADINGSPEEDDEF[TYPE],0))</f>
        <v>20</v>
      </c>
      <c r="O1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4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1" t="b">
        <v>0</v>
      </c>
      <c r="AP161" s="45" t="b">
        <v>0</v>
      </c>
      <c r="AQ161" s="45" t="b">
        <v>0</v>
      </c>
      <c r="AR161" s="45">
        <v>0</v>
      </c>
      <c r="AS161" s="45" t="b">
        <v>0</v>
      </c>
      <c r="AT161" s="7" t="b">
        <v>0</v>
      </c>
      <c r="AU1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2" spans="1:47" x14ac:dyDescent="0.35">
      <c r="A162" s="2" t="s">
        <v>2793</v>
      </c>
      <c r="B162">
        <v>1951</v>
      </c>
      <c r="D1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2" s="37" t="str">
        <f>INDEX(CONTROL[ENGLISH],MATCH(PROPERTIES[[#This Row],[VEHIDCODE]],CONTROL[VEHIDCODE],0))</f>
        <v>Fablok 2-6-2 OI49</v>
      </c>
      <c r="F162" t="s">
        <v>705</v>
      </c>
      <c r="G162" s="37" t="str">
        <f>_xlfn.IFNA(INDEX(COUNTRIES[COUNTRY_LABEL],MATCH(PROPERTIES[[#This Row],[COUNTRY]],COUNTRIES[COUNTRY_DESCRIPTION],0)),"")</f>
        <v>PL</v>
      </c>
      <c r="H1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INDEX(LOADINGSPEEDDEF[SPEED],MATCH("LOADINGSPEEDDEF_"&amp;PROPERTIES[[#This Row],[LOADINGSPEED]],LOADINGSPEEDDEF[TYPE],0))</f>
        <v>20</v>
      </c>
      <c r="O1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4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1" t="b">
        <v>0</v>
      </c>
      <c r="AP162" s="45" t="b">
        <v>0</v>
      </c>
      <c r="AQ162" s="45" t="b">
        <v>0</v>
      </c>
      <c r="AR162" s="45">
        <v>0</v>
      </c>
      <c r="AS162" s="45" t="b">
        <v>0</v>
      </c>
      <c r="AT162" s="7" t="b">
        <v>0</v>
      </c>
      <c r="AU1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3" spans="1:47" x14ac:dyDescent="0.35">
      <c r="A163" s="2" t="s">
        <v>2794</v>
      </c>
      <c r="B163">
        <v>1911</v>
      </c>
      <c r="C163">
        <v>1950</v>
      </c>
      <c r="D1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3" s="37" t="str">
        <f>INDEX(CONTROL[ENGLISH],MATCH(PROPERTIES[[#This Row],[VEHIDCODE]],CONTROL[VEHIDCODE],0))</f>
        <v>Floridsdorf 2-6-2 KkStB 310</v>
      </c>
      <c r="F163" t="s">
        <v>540</v>
      </c>
      <c r="G163" s="37" t="str">
        <f>_xlfn.IFNA(INDEX(COUNTRIES[COUNTRY_LABEL],MATCH(PROPERTIES[[#This Row],[COUNTRY]],COUNTRIES[COUNTRY_DESCRIPTION],0)),"")</f>
        <v>AT</v>
      </c>
      <c r="H1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INDEX(LOADINGSPEEDDEF[SPEED],MATCH("LOADINGSPEEDDEF_"&amp;PROPERTIES[[#This Row],[LOADINGSPEED]],LOADINGSPEEDDEF[TYPE],0))</f>
        <v>20</v>
      </c>
      <c r="O1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4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1" t="b">
        <v>0</v>
      </c>
      <c r="AP163" s="45" t="b">
        <v>0</v>
      </c>
      <c r="AQ163" s="45" t="b">
        <v>0</v>
      </c>
      <c r="AR163" s="45">
        <v>0</v>
      </c>
      <c r="AS163" s="45" t="b">
        <v>0</v>
      </c>
      <c r="AT163" s="7" t="b">
        <v>0</v>
      </c>
      <c r="AU1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4" spans="1:47" x14ac:dyDescent="0.35">
      <c r="A164" s="2" t="s">
        <v>2795</v>
      </c>
      <c r="B164">
        <v>1941</v>
      </c>
      <c r="C164">
        <v>1956</v>
      </c>
      <c r="D1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4" s="37" t="str">
        <f>INDEX(CONTROL[ENGLISH],MATCH(PROPERTIES[[#This Row],[VEHIDCODE]],CONTROL[VEHIDCODE],0))</f>
        <v>Lima  4-8-4 7798-7817 'Daylight'</v>
      </c>
      <c r="F164" t="s">
        <v>757</v>
      </c>
      <c r="G164" s="37" t="str">
        <f>_xlfn.IFNA(INDEX(COUNTRIES[COUNTRY_LABEL],MATCH(PROPERTIES[[#This Row],[COUNTRY]],COUNTRIES[COUNTRY_DESCRIPTION],0)),"")</f>
        <v>US</v>
      </c>
      <c r="H1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INDEX(LOADINGSPEEDDEF[SPEED],MATCH("LOADINGSPEEDDEF_"&amp;PROPERTIES[[#This Row],[LOADINGSPEED]],LOADINGSPEEDDEF[TYPE],0))</f>
        <v>20</v>
      </c>
      <c r="O1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4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1" t="b">
        <v>0</v>
      </c>
      <c r="AP164" s="45" t="b">
        <v>0</v>
      </c>
      <c r="AQ164" s="45" t="b">
        <v>0</v>
      </c>
      <c r="AR164" s="45">
        <v>0</v>
      </c>
      <c r="AS164" s="45" t="b">
        <v>0</v>
      </c>
      <c r="AT164" s="7" t="b">
        <v>0</v>
      </c>
      <c r="AU1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5" spans="1:47" x14ac:dyDescent="0.35">
      <c r="A165" s="2" t="s">
        <v>2796</v>
      </c>
      <c r="B165">
        <v>1866</v>
      </c>
      <c r="C165">
        <v>1937</v>
      </c>
      <c r="D1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5" s="37" t="str">
        <f>INDEX(CONTROL[ENGLISH],MATCH(PROPERTIES[[#This Row],[VEHIDCODE]],CONTROL[VEHIDCODE],0))</f>
        <v>GS&amp;WR 0-6-0 '101'</v>
      </c>
      <c r="F165" t="s">
        <v>628</v>
      </c>
      <c r="G165" s="37" t="str">
        <f>_xlfn.IFNA(INDEX(COUNTRIES[COUNTRY_LABEL],MATCH(PROPERTIES[[#This Row],[COUNTRY]],COUNTRIES[COUNTRY_DESCRIPTION],0)),"")</f>
        <v>IE</v>
      </c>
      <c r="H1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INDEX(LOADINGSPEEDDEF[SPEED],MATCH("LOADINGSPEEDDEF_"&amp;PROPERTIES[[#This Row],[LOADINGSPEED]],LOADINGSPEEDDEF[TYPE],0))</f>
        <v>20</v>
      </c>
      <c r="O1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4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1" t="b">
        <v>0</v>
      </c>
      <c r="AP165" s="45" t="b">
        <v>0</v>
      </c>
      <c r="AQ165" s="45" t="b">
        <v>0</v>
      </c>
      <c r="AR165" s="45">
        <v>0</v>
      </c>
      <c r="AS165" s="45" t="b">
        <v>0</v>
      </c>
      <c r="AT165" s="7" t="b">
        <v>0</v>
      </c>
      <c r="AU1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6" spans="1:47" x14ac:dyDescent="0.35">
      <c r="A166" s="2" t="s">
        <v>2797</v>
      </c>
      <c r="B166">
        <v>1918</v>
      </c>
      <c r="C166">
        <v>1944</v>
      </c>
      <c r="D1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6" s="37" t="str">
        <f>INDEX(CONTROL[ENGLISH],MATCH(PROPERTIES[[#This Row],[VEHIDCODE]],CONTROL[VEHIDCODE],0))</f>
        <v>ALCO 2-8-2 5100-5194 'Light Mikado'</v>
      </c>
      <c r="F166" t="s">
        <v>757</v>
      </c>
      <c r="G166" s="37" t="str">
        <f>_xlfn.IFNA(INDEX(COUNTRIES[COUNTRY_LABEL],MATCH(PROPERTIES[[#This Row],[COUNTRY]],COUNTRIES[COUNTRY_DESCRIPTION],0)),"")</f>
        <v>US</v>
      </c>
      <c r="H1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INDEX(LOADINGSPEEDDEF[SPEED],MATCH("LOADINGSPEEDDEF_"&amp;PROPERTIES[[#This Row],[LOADINGSPEED]],LOADINGSPEEDDEF[TYPE],0))</f>
        <v>20</v>
      </c>
      <c r="O1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4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1" t="b">
        <v>0</v>
      </c>
      <c r="AP166" s="45" t="b">
        <v>0</v>
      </c>
      <c r="AQ166" s="45" t="b">
        <v>0</v>
      </c>
      <c r="AR166" s="45">
        <v>0</v>
      </c>
      <c r="AS166" s="45" t="b">
        <v>0</v>
      </c>
      <c r="AT166" s="7" t="b">
        <v>0</v>
      </c>
      <c r="AU1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7" spans="1:47" x14ac:dyDescent="0.35">
      <c r="A167" s="2" t="s">
        <v>2798</v>
      </c>
      <c r="B167">
        <v>1871</v>
      </c>
      <c r="D1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7" s="37" t="str">
        <f>INDEX(CONTROL[ENGLISH],MATCH(PROPERTIES[[#This Row],[VEHIDCODE]],CONTROL[VEHIDCODE],0))</f>
        <v>FCGR [BAGS] No. 315 2-4-0T</v>
      </c>
      <c r="F167" t="s">
        <v>538</v>
      </c>
      <c r="G167" s="37" t="str">
        <f>_xlfn.IFNA(INDEX(COUNTRIES[COUNTRY_LABEL],MATCH(PROPERTIES[[#This Row],[COUNTRY]],COUNTRIES[COUNTRY_DESCRIPTION],0)),"")</f>
        <v>AR</v>
      </c>
      <c r="H1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INDEX(LOADINGSPEEDDEF[SPEED],MATCH("LOADINGSPEEDDEF_"&amp;PROPERTIES[[#This Row],[LOADINGSPEED]],LOADINGSPEEDDEF[TYPE],0))</f>
        <v>20</v>
      </c>
      <c r="O1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4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1" t="b">
        <v>0</v>
      </c>
      <c r="AP167" s="45" t="b">
        <v>0</v>
      </c>
      <c r="AQ167" s="45" t="b">
        <v>0</v>
      </c>
      <c r="AR167" s="45">
        <v>0</v>
      </c>
      <c r="AS167" s="45" t="b">
        <v>0</v>
      </c>
      <c r="AT167" s="7" t="b">
        <v>0</v>
      </c>
      <c r="AU1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68" spans="1:47" x14ac:dyDescent="0.35">
      <c r="A168" s="2" t="s">
        <v>2799</v>
      </c>
      <c r="B168">
        <v>1914</v>
      </c>
      <c r="C168">
        <v>1967</v>
      </c>
      <c r="D1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8" s="37" t="str">
        <f>INDEX(CONTROL[ENGLISH],MATCH(PROPERTIES[[#This Row],[VEHIDCODE]],CONTROL[VEHIDCODE],0))</f>
        <v>Eveleigh 4-6-0 'C35'</v>
      </c>
      <c r="F168" t="s">
        <v>541</v>
      </c>
      <c r="G168" s="37" t="str">
        <f>_xlfn.IFNA(INDEX(COUNTRIES[COUNTRY_LABEL],MATCH(PROPERTIES[[#This Row],[COUNTRY]],COUNTRIES[COUNTRY_DESCRIPTION],0)),"")</f>
        <v>AU</v>
      </c>
      <c r="H1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INDEX(LOADINGSPEEDDEF[SPEED],MATCH("LOADINGSPEEDDEF_"&amp;PROPERTIES[[#This Row],[LOADINGSPEED]],LOADINGSPEEDDEF[TYPE],0))</f>
        <v>20</v>
      </c>
      <c r="O1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4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1" t="b">
        <v>0</v>
      </c>
      <c r="AP168" s="45" t="b">
        <v>0</v>
      </c>
      <c r="AQ168" s="45" t="b">
        <v>0</v>
      </c>
      <c r="AR168" s="45">
        <v>0</v>
      </c>
      <c r="AS168" s="45" t="b">
        <v>0</v>
      </c>
      <c r="AT168" s="7" t="b">
        <v>0</v>
      </c>
      <c r="AU1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69" spans="1:47" x14ac:dyDescent="0.35">
      <c r="A169" s="2" t="s">
        <v>2800</v>
      </c>
      <c r="B169">
        <v>1945</v>
      </c>
      <c r="C169">
        <v>1966</v>
      </c>
      <c r="D1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69" s="37" t="str">
        <f>INDEX(CONTROL[ENGLISH],MATCH(PROPERTIES[[#This Row],[VEHIDCODE]],CONTROL[VEHIDCODE],0))</f>
        <v>ALCO 2-8-0 74707-74785 'Type 29'</v>
      </c>
      <c r="F169" t="s">
        <v>548</v>
      </c>
      <c r="G169" s="37" t="str">
        <f>_xlfn.IFNA(INDEX(COUNTRIES[COUNTRY_LABEL],MATCH(PROPERTIES[[#This Row],[COUNTRY]],COUNTRIES[COUNTRY_DESCRIPTION],0)),"")</f>
        <v>BE</v>
      </c>
      <c r="H1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INDEX(LOADINGSPEEDDEF[SPEED],MATCH("LOADINGSPEEDDEF_"&amp;PROPERTIES[[#This Row],[LOADINGSPEED]],LOADINGSPEEDDEF[TYPE],0))</f>
        <v>20</v>
      </c>
      <c r="O1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4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6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1" t="b">
        <v>0</v>
      </c>
      <c r="AP169" s="45" t="b">
        <v>0</v>
      </c>
      <c r="AQ169" s="45" t="b">
        <v>0</v>
      </c>
      <c r="AR169" s="45">
        <v>0</v>
      </c>
      <c r="AS169" s="45" t="b">
        <v>0</v>
      </c>
      <c r="AT169" s="7" t="b">
        <v>0</v>
      </c>
      <c r="AU1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0" spans="1:47" x14ac:dyDescent="0.35">
      <c r="A170" s="2" t="s">
        <v>2801</v>
      </c>
      <c r="B170">
        <v>1954</v>
      </c>
      <c r="D1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0" s="37" t="str">
        <f>INDEX(CONTROL[ENGLISH],MATCH(PROPERTIES[[#This Row],[VEHIDCODE]],CONTROL[VEHIDCODE],0))</f>
        <v>FCAB 4-8-2 Vulcan 'Mountain'</v>
      </c>
      <c r="F170" t="s">
        <v>573</v>
      </c>
      <c r="G170" s="37" t="str">
        <f>_xlfn.IFNA(INDEX(COUNTRIES[COUNTRY_LABEL],MATCH(PROPERTIES[[#This Row],[COUNTRY]],COUNTRIES[COUNTRY_DESCRIPTION],0)),"")</f>
        <v>CL</v>
      </c>
      <c r="H1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INDEX(LOADINGSPEEDDEF[SPEED],MATCH("LOADINGSPEEDDEF_"&amp;PROPERTIES[[#This Row],[LOADINGSPEED]],LOADINGSPEEDDEF[TYPE],0))</f>
        <v>20</v>
      </c>
      <c r="O1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4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1" t="b">
        <v>0</v>
      </c>
      <c r="AP170" s="45" t="b">
        <v>0</v>
      </c>
      <c r="AQ170" s="45" t="b">
        <v>1</v>
      </c>
      <c r="AR170" s="45">
        <v>0</v>
      </c>
      <c r="AS170" s="45" t="b">
        <v>0</v>
      </c>
      <c r="AT170" s="7" t="b">
        <v>1</v>
      </c>
      <c r="AU1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1" spans="1:47" x14ac:dyDescent="0.35">
      <c r="A171" s="2" t="s">
        <v>2802</v>
      </c>
      <c r="B171">
        <v>1956</v>
      </c>
      <c r="C171">
        <v>2010</v>
      </c>
      <c r="D1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1" s="37" t="str">
        <f>INDEX(CONTROL[ENGLISH],MATCH(PROPERTIES[[#This Row],[VEHIDCODE]],CONTROL[VEHIDCODE],0))</f>
        <v>Datong QJ 2-10-2 101-3602</v>
      </c>
      <c r="F171" t="s">
        <v>575</v>
      </c>
      <c r="G171" s="37" t="str">
        <f>_xlfn.IFNA(INDEX(COUNTRIES[COUNTRY_LABEL],MATCH(PROPERTIES[[#This Row],[COUNTRY]],COUNTRIES[COUNTRY_DESCRIPTION],0)),"")</f>
        <v>CN</v>
      </c>
      <c r="H1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INDEX(LOADINGSPEEDDEF[SPEED],MATCH("LOADINGSPEEDDEF_"&amp;PROPERTIES[[#This Row],[LOADINGSPEED]],LOADINGSPEEDDEF[TYPE],0))</f>
        <v>20</v>
      </c>
      <c r="O1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4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1" t="b">
        <v>0</v>
      </c>
      <c r="AP171" s="45" t="b">
        <v>0</v>
      </c>
      <c r="AQ171" s="45" t="b">
        <v>0</v>
      </c>
      <c r="AR171" s="45">
        <v>0</v>
      </c>
      <c r="AS171" s="45" t="b">
        <v>0</v>
      </c>
      <c r="AT171" s="7" t="b">
        <v>0</v>
      </c>
      <c r="AU1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172" spans="1:47" x14ac:dyDescent="0.35">
      <c r="A172" s="2" t="s">
        <v>2803</v>
      </c>
      <c r="B172">
        <v>1930</v>
      </c>
      <c r="C172">
        <v>1967</v>
      </c>
      <c r="D1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2" s="37" t="str">
        <f>INDEX(CONTROL[ENGLISH],MATCH(PROPERTIES[[#This Row],[VEHIDCODE]],CONTROL[VEHIDCODE],0))</f>
        <v>DB Kof II/DB 322</v>
      </c>
      <c r="F172" t="s">
        <v>584</v>
      </c>
      <c r="G172" s="37" t="str">
        <f>_xlfn.IFNA(INDEX(COUNTRIES[COUNTRY_LABEL],MATCH(PROPERTIES[[#This Row],[COUNTRY]],COUNTRIES[COUNTRY_DESCRIPTION],0)),"")</f>
        <v>DE</v>
      </c>
      <c r="H1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INDEX(LOADINGSPEEDDEF[SPEED],MATCH("LOADINGSPEEDDEF_"&amp;PROPERTIES[[#This Row],[LOADINGSPEED]],LOADINGSPEEDDEF[TYPE],0))</f>
        <v>20</v>
      </c>
      <c r="O1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4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1" t="b">
        <v>0</v>
      </c>
      <c r="AP172" s="45" t="b">
        <v>0</v>
      </c>
      <c r="AQ172" s="45" t="b">
        <v>0</v>
      </c>
      <c r="AR172" s="45">
        <v>0</v>
      </c>
      <c r="AS172" s="45" t="b">
        <v>0</v>
      </c>
      <c r="AT172" s="7" t="b">
        <v>0</v>
      </c>
      <c r="AU1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3" spans="1:47" x14ac:dyDescent="0.35">
      <c r="A173" s="2" t="s">
        <v>2804</v>
      </c>
      <c r="B173">
        <v>1931</v>
      </c>
      <c r="D1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3" s="37" t="str">
        <f>INDEX(CONTROL[ENGLISH],MATCH(PROPERTIES[[#This Row],[VEHIDCODE]],CONTROL[VEHIDCODE],0))</f>
        <v>CNJ ALCo-GE-IR Boxcab 100T</v>
      </c>
      <c r="F173" t="s">
        <v>757</v>
      </c>
      <c r="G173" s="37" t="str">
        <f>_xlfn.IFNA(INDEX(COUNTRIES[COUNTRY_LABEL],MATCH(PROPERTIES[[#This Row],[COUNTRY]],COUNTRIES[COUNTRY_DESCRIPTION],0)),"")</f>
        <v>US</v>
      </c>
      <c r="H1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INDEX(LOADINGSPEEDDEF[SPEED],MATCH("LOADINGSPEEDDEF_"&amp;PROPERTIES[[#This Row],[LOADINGSPEED]],LOADINGSPEEDDEF[TYPE],0))</f>
        <v>20</v>
      </c>
      <c r="O1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4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1" t="b">
        <v>0</v>
      </c>
      <c r="AP173" s="45" t="b">
        <v>0</v>
      </c>
      <c r="AQ173" s="45" t="b">
        <v>0</v>
      </c>
      <c r="AR173" s="45">
        <v>0</v>
      </c>
      <c r="AS173" s="45" t="b">
        <v>0</v>
      </c>
      <c r="AT173" s="7" t="b">
        <v>0</v>
      </c>
      <c r="AU1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4" spans="1:47" x14ac:dyDescent="0.35">
      <c r="A174" s="2" t="s">
        <v>2805</v>
      </c>
      <c r="B174">
        <v>1934</v>
      </c>
      <c r="C174">
        <v>2008</v>
      </c>
      <c r="D1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4" s="37" t="str">
        <f>INDEX(CONTROL[ENGLISH],MATCH(PROPERTIES[[#This Row],[VEHIDCODE]],CONTROL[VEHIDCODE],0))</f>
        <v>Werkspoor 200 'Sik'</v>
      </c>
      <c r="F174" t="s">
        <v>692</v>
      </c>
      <c r="G174" s="37" t="str">
        <f>_xlfn.IFNA(INDEX(COUNTRIES[COUNTRY_LABEL],MATCH(PROPERTIES[[#This Row],[COUNTRY]],COUNTRIES[COUNTRY_DESCRIPTION],0)),"")</f>
        <v>NL</v>
      </c>
      <c r="H1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INDEX(LOADINGSPEEDDEF[SPEED],MATCH("LOADINGSPEEDDEF_"&amp;PROPERTIES[[#This Row],[LOADINGSPEED]],LOADINGSPEEDDEF[TYPE],0))</f>
        <v>20</v>
      </c>
      <c r="O1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4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1" t="b">
        <v>0</v>
      </c>
      <c r="AP174" s="45" t="b">
        <v>0</v>
      </c>
      <c r="AQ174" s="45" t="b">
        <v>0</v>
      </c>
      <c r="AR174" s="45">
        <v>0</v>
      </c>
      <c r="AS174" s="45" t="b">
        <v>0</v>
      </c>
      <c r="AT174" s="7" t="b">
        <v>0</v>
      </c>
      <c r="AU1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5" spans="1:47" x14ac:dyDescent="0.35">
      <c r="A175" s="2" t="s">
        <v>2806</v>
      </c>
      <c r="B175">
        <v>1936</v>
      </c>
      <c r="C175">
        <v>1979</v>
      </c>
      <c r="D1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5" s="37" t="str">
        <f>INDEX(CONTROL[ENGLISH],MATCH(PROPERTIES[[#This Row],[VEHIDCODE]],CONTROL[VEHIDCODE],0))</f>
        <v>BMAG 'WR 200 B 14'</v>
      </c>
      <c r="F175" t="s">
        <v>584</v>
      </c>
      <c r="G175" s="37" t="str">
        <f>_xlfn.IFNA(INDEX(COUNTRIES[COUNTRY_LABEL],MATCH(PROPERTIES[[#This Row],[COUNTRY]],COUNTRIES[COUNTRY_DESCRIPTION],0)),"")</f>
        <v>DE</v>
      </c>
      <c r="H1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INDEX(LOADINGSPEEDDEF[SPEED],MATCH("LOADINGSPEEDDEF_"&amp;PROPERTIES[[#This Row],[LOADINGSPEED]],LOADINGSPEEDDEF[TYPE],0))</f>
        <v>20</v>
      </c>
      <c r="O1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4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1" t="b">
        <v>0</v>
      </c>
      <c r="AP175" s="45" t="b">
        <v>0</v>
      </c>
      <c r="AQ175" s="45" t="b">
        <v>0</v>
      </c>
      <c r="AR175" s="45">
        <v>0</v>
      </c>
      <c r="AS175" s="45" t="b">
        <v>0</v>
      </c>
      <c r="AT175" s="7" t="b">
        <v>0</v>
      </c>
      <c r="AU1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76" spans="1:47" x14ac:dyDescent="0.35">
      <c r="A176" s="2" t="s">
        <v>2807</v>
      </c>
      <c r="B176">
        <v>1941</v>
      </c>
      <c r="C176">
        <v>1978</v>
      </c>
      <c r="D1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6" s="37" t="str">
        <f>INDEX(CONTROL[ENGLISH],MATCH(PROPERTIES[[#This Row],[VEHIDCODE]],CONTROL[VEHIDCODE],0))</f>
        <v>BBC/SLM Am 4/6</v>
      </c>
      <c r="F176" t="s">
        <v>570</v>
      </c>
      <c r="G176" s="37" t="str">
        <f>_xlfn.IFNA(INDEX(COUNTRIES[COUNTRY_LABEL],MATCH(PROPERTIES[[#This Row],[COUNTRY]],COUNTRIES[COUNTRY_DESCRIPTION],0)),"")</f>
        <v>CH</v>
      </c>
      <c r="H1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INDEX(LOADINGSPEEDDEF[SPEED],MATCH("LOADINGSPEEDDEF_"&amp;PROPERTIES[[#This Row],[LOADINGSPEED]],LOADINGSPEEDDEF[TYPE],0))</f>
        <v>20</v>
      </c>
      <c r="O1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4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2" t="s">
        <v>3636</v>
      </c>
      <c r="AP176" s="45" t="b">
        <v>0</v>
      </c>
      <c r="AQ176" s="45" t="b">
        <v>0</v>
      </c>
      <c r="AR176" s="45">
        <v>0</v>
      </c>
      <c r="AS176" s="45" t="b">
        <v>0</v>
      </c>
      <c r="AT176" s="7" t="b">
        <v>0</v>
      </c>
      <c r="AU1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7" spans="1:47" x14ac:dyDescent="0.35">
      <c r="A177" s="2" t="s">
        <v>2808</v>
      </c>
      <c r="B177">
        <v>1943</v>
      </c>
      <c r="C177">
        <v>1979</v>
      </c>
      <c r="D1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7" s="37" t="str">
        <f>INDEX(CONTROL[ENGLISH],MATCH(PROPERTIES[[#This Row],[VEHIDCODE]],CONTROL[VEHIDCODE],0))</f>
        <v>GE 44-ton switcher</v>
      </c>
      <c r="F177" t="s">
        <v>541</v>
      </c>
      <c r="G177" s="37" t="str">
        <f>_xlfn.IFNA(INDEX(COUNTRIES[COUNTRY_LABEL],MATCH(PROPERTIES[[#This Row],[COUNTRY]],COUNTRIES[COUNTRY_DESCRIPTION],0)),"")</f>
        <v>AU</v>
      </c>
      <c r="H1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INDEX(LOADINGSPEEDDEF[SPEED],MATCH("LOADINGSPEEDDEF_"&amp;PROPERTIES[[#This Row],[LOADINGSPEED]],LOADINGSPEEDDEF[TYPE],0))</f>
        <v>20</v>
      </c>
      <c r="O1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4">
        <v>0</v>
      </c>
      <c r="AF177" s="6">
        <v>0</v>
      </c>
      <c r="AG177" t="s">
        <v>1939</v>
      </c>
      <c r="AH177" t="s">
        <v>240</v>
      </c>
      <c r="AI177" t="s">
        <v>1942</v>
      </c>
      <c r="AJ177" s="2" t="s">
        <v>1942</v>
      </c>
      <c r="AK177" s="2" t="s">
        <v>244</v>
      </c>
      <c r="AL1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1" t="b">
        <v>0</v>
      </c>
      <c r="AP177" s="45" t="b">
        <v>0</v>
      </c>
      <c r="AQ177" s="45" t="b">
        <v>0</v>
      </c>
      <c r="AR177" s="45">
        <v>0</v>
      </c>
      <c r="AS177" s="45" t="b">
        <v>0</v>
      </c>
      <c r="AT177" s="7" t="b">
        <v>0</v>
      </c>
      <c r="AU1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8" spans="1:47" x14ac:dyDescent="0.35">
      <c r="A178" s="2" t="s">
        <v>2809</v>
      </c>
      <c r="B178">
        <v>1940</v>
      </c>
      <c r="D1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8" s="37" t="str">
        <f>INDEX(CONTROL[ENGLISH],MATCH(PROPERTIES[[#This Row],[VEHIDCODE]],CONTROL[VEHIDCODE],0))</f>
        <v>ALCO S-2</v>
      </c>
      <c r="F178" t="s">
        <v>757</v>
      </c>
      <c r="G178" s="37" t="str">
        <f>_xlfn.IFNA(INDEX(COUNTRIES[COUNTRY_LABEL],MATCH(PROPERTIES[[#This Row],[COUNTRY]],COUNTRIES[COUNTRY_DESCRIPTION],0)),"")</f>
        <v>US</v>
      </c>
      <c r="H1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INDEX(LOADINGSPEEDDEF[SPEED],MATCH("LOADINGSPEEDDEF_"&amp;PROPERTIES[[#This Row],[LOADINGSPEED]],LOADINGSPEEDDEF[TYPE],0))</f>
        <v>20</v>
      </c>
      <c r="O1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4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1" t="b">
        <v>0</v>
      </c>
      <c r="AP178" s="45" t="b">
        <v>0</v>
      </c>
      <c r="AQ178" s="45" t="b">
        <v>0</v>
      </c>
      <c r="AR178" s="45">
        <v>0</v>
      </c>
      <c r="AS178" s="45" t="b">
        <v>0</v>
      </c>
      <c r="AT178" s="7" t="b">
        <v>0</v>
      </c>
      <c r="AU1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79" spans="1:47" x14ac:dyDescent="0.35">
      <c r="A179" s="2" t="s">
        <v>2810</v>
      </c>
      <c r="B179">
        <v>1946</v>
      </c>
      <c r="C179">
        <v>1991</v>
      </c>
      <c r="D1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79" s="37" t="str">
        <f>INDEX(CONTROL[ENGLISH],MATCH(PROPERTIES[[#This Row],[VEHIDCODE]],CONTROL[VEHIDCODE],0))</f>
        <v>EMD F3</v>
      </c>
      <c r="F179" t="s">
        <v>757</v>
      </c>
      <c r="G179" s="37" t="str">
        <f>_xlfn.IFNA(INDEX(COUNTRIES[COUNTRY_LABEL],MATCH(PROPERTIES[[#This Row],[COUNTRY]],COUNTRIES[COUNTRY_DESCRIPTION],0)),"")</f>
        <v>US</v>
      </c>
      <c r="H1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INDEX(LOADINGSPEEDDEF[SPEED],MATCH("LOADINGSPEEDDEF_"&amp;PROPERTIES[[#This Row],[LOADINGSPEED]],LOADINGSPEEDDEF[TYPE],0))</f>
        <v>20</v>
      </c>
      <c r="O1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4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1" t="b">
        <v>0</v>
      </c>
      <c r="AP179" s="45" t="b">
        <v>0</v>
      </c>
      <c r="AQ179" s="45" t="b">
        <v>0</v>
      </c>
      <c r="AR179" s="45">
        <v>0</v>
      </c>
      <c r="AS179" s="45" t="b">
        <v>0</v>
      </c>
      <c r="AT179" s="7" t="b">
        <v>0</v>
      </c>
      <c r="AU1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0" spans="1:47" x14ac:dyDescent="0.35">
      <c r="A180" s="2" t="s">
        <v>2811</v>
      </c>
      <c r="B180">
        <v>1949</v>
      </c>
      <c r="C180">
        <v>1975</v>
      </c>
      <c r="D1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0" s="37" t="str">
        <f>INDEX(CONTROL[ENGLISH],MATCH(PROPERTIES[[#This Row],[VEHIDCODE]],CONTROL[VEHIDCODE],0))</f>
        <v>EMD E8</v>
      </c>
      <c r="F180" t="s">
        <v>757</v>
      </c>
      <c r="G180" s="37" t="str">
        <f>_xlfn.IFNA(INDEX(COUNTRIES[COUNTRY_LABEL],MATCH(PROPERTIES[[#This Row],[COUNTRY]],COUNTRIES[COUNTRY_DESCRIPTION],0)),"")</f>
        <v>US</v>
      </c>
      <c r="H1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INDEX(LOADINGSPEEDDEF[SPEED],MATCH("LOADINGSPEEDDEF_"&amp;PROPERTIES[[#This Row],[LOADINGSPEED]],LOADINGSPEEDDEF[TYPE],0))</f>
        <v>20</v>
      </c>
      <c r="O1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4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1" t="b">
        <v>0</v>
      </c>
      <c r="AP180" s="45" t="b">
        <v>0</v>
      </c>
      <c r="AQ180" s="45" t="b">
        <v>0</v>
      </c>
      <c r="AR180" s="45">
        <v>0</v>
      </c>
      <c r="AS180" s="45" t="b">
        <v>0</v>
      </c>
      <c r="AT180" s="7" t="b">
        <v>0</v>
      </c>
      <c r="AU1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1" spans="1:47" x14ac:dyDescent="0.35">
      <c r="A181" s="2" t="s">
        <v>2812</v>
      </c>
      <c r="B181">
        <v>1950</v>
      </c>
      <c r="D1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1" s="37" t="str">
        <f>INDEX(CONTROL[ENGLISH],MATCH(PROPERTIES[[#This Row],[VEHIDCODE]],CONTROL[VEHIDCODE],0))</f>
        <v>ALCO RS-3</v>
      </c>
      <c r="F181" t="s">
        <v>558</v>
      </c>
      <c r="G181" s="37" t="str">
        <f>_xlfn.IFNA(INDEX(COUNTRIES[COUNTRY_LABEL],MATCH(PROPERTIES[[#This Row],[COUNTRY]],COUNTRIES[COUNTRY_DESCRIPTION],0)),"")</f>
        <v>BR</v>
      </c>
      <c r="H1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INDEX(LOADINGSPEEDDEF[SPEED],MATCH("LOADINGSPEEDDEF_"&amp;PROPERTIES[[#This Row],[LOADINGSPEED]],LOADINGSPEEDDEF[TYPE],0))</f>
        <v>20</v>
      </c>
      <c r="O1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4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1" t="b">
        <v>0</v>
      </c>
      <c r="AP181" s="45" t="b">
        <v>0</v>
      </c>
      <c r="AQ181" s="45" t="b">
        <v>0</v>
      </c>
      <c r="AR181" s="45">
        <v>0</v>
      </c>
      <c r="AS181" s="45" t="b">
        <v>0</v>
      </c>
      <c r="AT181" s="7" t="b">
        <v>0</v>
      </c>
      <c r="AU1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2" spans="1:47" x14ac:dyDescent="0.35">
      <c r="A182" s="2" t="s">
        <v>2813</v>
      </c>
      <c r="B182">
        <v>1950</v>
      </c>
      <c r="C182">
        <v>2000</v>
      </c>
      <c r="D1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2" s="37" t="str">
        <f>INDEX(CONTROL[ENGLISH],MATCH(PROPERTIES[[#This Row],[VEHIDCODE]],CONTROL[VEHIDCODE],0))</f>
        <v>English Electric 'Bakkie'</v>
      </c>
      <c r="F182" t="s">
        <v>692</v>
      </c>
      <c r="G182" s="37" t="str">
        <f>_xlfn.IFNA(INDEX(COUNTRIES[COUNTRY_LABEL],MATCH(PROPERTIES[[#This Row],[COUNTRY]],COUNTRIES[COUNTRY_DESCRIPTION],0)),"")</f>
        <v>NL</v>
      </c>
      <c r="H1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INDEX(LOADINGSPEEDDEF[SPEED],MATCH("LOADINGSPEEDDEF_"&amp;PROPERTIES[[#This Row],[LOADINGSPEED]],LOADINGSPEEDDEF[TYPE],0))</f>
        <v>20</v>
      </c>
      <c r="O1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4">
        <v>0</v>
      </c>
      <c r="AF182" s="6">
        <v>0</v>
      </c>
      <c r="AG182" t="s">
        <v>1942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1" t="b">
        <v>0</v>
      </c>
      <c r="AP182" s="45" t="b">
        <v>0</v>
      </c>
      <c r="AQ182" s="45" t="b">
        <v>0</v>
      </c>
      <c r="AR182" s="45">
        <v>0</v>
      </c>
      <c r="AS182" s="45" t="b">
        <v>0</v>
      </c>
      <c r="AT182" s="7" t="b">
        <v>0</v>
      </c>
      <c r="AU1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83" spans="1:47" x14ac:dyDescent="0.35">
      <c r="A183" s="2" t="s">
        <v>2814</v>
      </c>
      <c r="B183">
        <v>1950</v>
      </c>
      <c r="C183">
        <v>1966</v>
      </c>
      <c r="D1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3" s="37" t="str">
        <f>INDEX(CONTROL[ENGLISH],MATCH(PROPERTIES[[#This Row],[VEHIDCODE]],CONTROL[VEHIDCODE],0))</f>
        <v>Baldwin RF-16 'Sharknose'</v>
      </c>
      <c r="F183" t="s">
        <v>757</v>
      </c>
      <c r="G183" s="37" t="str">
        <f>_xlfn.IFNA(INDEX(COUNTRIES[COUNTRY_LABEL],MATCH(PROPERTIES[[#This Row],[COUNTRY]],COUNTRIES[COUNTRY_DESCRIPTION],0)),"")</f>
        <v>US</v>
      </c>
      <c r="H1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INDEX(LOADINGSPEEDDEF[SPEED],MATCH("LOADINGSPEEDDEF_"&amp;PROPERTIES[[#This Row],[LOADINGSPEED]],LOADINGSPEEDDEF[TYPE],0))</f>
        <v>20</v>
      </c>
      <c r="O1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4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1" t="b">
        <v>0</v>
      </c>
      <c r="AP183" s="45" t="b">
        <v>0</v>
      </c>
      <c r="AQ183" s="45" t="b">
        <v>0</v>
      </c>
      <c r="AR183" s="45">
        <v>0</v>
      </c>
      <c r="AS183" s="45" t="b">
        <v>0</v>
      </c>
      <c r="AT183" s="7" t="b">
        <v>0</v>
      </c>
      <c r="AU1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84" spans="1:47" x14ac:dyDescent="0.35">
      <c r="A184" s="2" t="s">
        <v>2815</v>
      </c>
      <c r="B184">
        <v>1952</v>
      </c>
      <c r="D1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4" s="37" t="str">
        <f>INDEX(CONTROL[ENGLISH],MATCH(PROPERTIES[[#This Row],[VEHIDCODE]],CONTROL[VEHIDCODE],0))</f>
        <v>AFE 1500</v>
      </c>
      <c r="F184" t="s">
        <v>758</v>
      </c>
      <c r="G184" s="37" t="str">
        <f>_xlfn.IFNA(INDEX(COUNTRIES[COUNTRY_LABEL],MATCH(PROPERTIES[[#This Row],[COUNTRY]],COUNTRIES[COUNTRY_DESCRIPTION],0)),"")</f>
        <v>UY</v>
      </c>
      <c r="H1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INDEX(LOADINGSPEEDDEF[SPEED],MATCH("LOADINGSPEEDDEF_"&amp;PROPERTIES[[#This Row],[LOADINGSPEED]],LOADINGSPEEDDEF[TYPE],0))</f>
        <v>20</v>
      </c>
      <c r="O1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4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1" t="b">
        <v>0</v>
      </c>
      <c r="AP184" s="45" t="b">
        <v>0</v>
      </c>
      <c r="AQ184" s="45" t="b">
        <v>0</v>
      </c>
      <c r="AR184" s="45">
        <v>0</v>
      </c>
      <c r="AS184" s="45" t="b">
        <v>0</v>
      </c>
      <c r="AT184" s="7" t="b">
        <v>0</v>
      </c>
      <c r="AU1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5" spans="1:47" x14ac:dyDescent="0.35">
      <c r="A185" s="2" t="s">
        <v>2816</v>
      </c>
      <c r="B185">
        <v>1953</v>
      </c>
      <c r="C185">
        <v>1975</v>
      </c>
      <c r="D1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5" s="37" t="str">
        <f>INDEX(CONTROL[ENGLISH],MATCH(PROPERTIES[[#This Row],[VEHIDCODE]],CONTROL[VEHIDCODE],0))</f>
        <v>FM H-24-66 'Trainmaster'</v>
      </c>
      <c r="F185" t="s">
        <v>565</v>
      </c>
      <c r="G185" s="37" t="str">
        <f>_xlfn.IFNA(INDEX(COUNTRIES[COUNTRY_LABEL],MATCH(PROPERTIES[[#This Row],[COUNTRY]],COUNTRIES[COUNTRY_DESCRIPTION],0)),"")</f>
        <v>CA</v>
      </c>
      <c r="H1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INDEX(LOADINGSPEEDDEF[SPEED],MATCH("LOADINGSPEEDDEF_"&amp;PROPERTIES[[#This Row],[LOADINGSPEED]],LOADINGSPEEDDEF[TYPE],0))</f>
        <v>20</v>
      </c>
      <c r="O1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4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1" t="b">
        <v>0</v>
      </c>
      <c r="AP185" s="45" t="b">
        <v>0</v>
      </c>
      <c r="AQ185" s="45" t="b">
        <v>0</v>
      </c>
      <c r="AR185" s="45">
        <v>0</v>
      </c>
      <c r="AS185" s="45" t="b">
        <v>0</v>
      </c>
      <c r="AT185" s="7" t="b">
        <v>0</v>
      </c>
      <c r="AU1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6" spans="1:47" x14ac:dyDescent="0.35">
      <c r="A186" s="2" t="s">
        <v>2817</v>
      </c>
      <c r="B186">
        <v>1953</v>
      </c>
      <c r="C186">
        <v>2030</v>
      </c>
      <c r="D1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6" s="37" t="str">
        <f>INDEX(CONTROL[ENGLISH],MATCH(PROPERTIES[[#This Row],[VEHIDCODE]],CONTROL[VEHIDCODE],0))</f>
        <v>BR Class 08 0-6-0DE</v>
      </c>
      <c r="F186" t="s">
        <v>657</v>
      </c>
      <c r="G186" s="37" t="str">
        <f>_xlfn.IFNA(INDEX(COUNTRIES[COUNTRY_LABEL],MATCH(PROPERTIES[[#This Row],[COUNTRY]],COUNTRIES[COUNTRY_DESCRIPTION],0)),"")</f>
        <v>LR</v>
      </c>
      <c r="H1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INDEX(LOADINGSPEEDDEF[SPEED],MATCH("LOADINGSPEEDDEF_"&amp;PROPERTIES[[#This Row],[LOADINGSPEED]],LOADINGSPEEDDEF[TYPE],0))</f>
        <v>20</v>
      </c>
      <c r="O1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4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1" t="b">
        <v>0</v>
      </c>
      <c r="AP186" s="45" t="b">
        <v>0</v>
      </c>
      <c r="AQ186" s="45" t="b">
        <v>0</v>
      </c>
      <c r="AR186" s="45">
        <v>0</v>
      </c>
      <c r="AS186" s="45" t="b">
        <v>0</v>
      </c>
      <c r="AT186" s="7" t="b">
        <v>0</v>
      </c>
      <c r="AU1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87" spans="1:47" x14ac:dyDescent="0.35">
      <c r="A187" s="2" t="s">
        <v>2818</v>
      </c>
      <c r="B187">
        <v>1954</v>
      </c>
      <c r="C187">
        <v>2003</v>
      </c>
      <c r="D1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7" s="37" t="str">
        <f>INDEX(CONTROL[ENGLISH],MATCH(PROPERTIES[[#This Row],[VEHIDCODE]],CONTROL[VEHIDCODE],0))</f>
        <v>Jenbacher Werke 2060</v>
      </c>
      <c r="F187" t="s">
        <v>540</v>
      </c>
      <c r="G187" s="37" t="str">
        <f>_xlfn.IFNA(INDEX(COUNTRIES[COUNTRY_LABEL],MATCH(PROPERTIES[[#This Row],[COUNTRY]],COUNTRIES[COUNTRY_DESCRIPTION],0)),"")</f>
        <v>AT</v>
      </c>
      <c r="H1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INDEX(LOADINGSPEEDDEF[SPEED],MATCH("LOADINGSPEEDDEF_"&amp;PROPERTIES[[#This Row],[LOADINGSPEED]],LOADINGSPEEDDEF[TYPE],0))</f>
        <v>20</v>
      </c>
      <c r="O1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4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1" t="b">
        <v>0</v>
      </c>
      <c r="AP187" s="45" t="b">
        <v>0</v>
      </c>
      <c r="AQ187" s="45" t="b">
        <v>0</v>
      </c>
      <c r="AR187" s="45">
        <v>0</v>
      </c>
      <c r="AS187" s="45" t="b">
        <v>0</v>
      </c>
      <c r="AT187" s="7" t="b">
        <v>0</v>
      </c>
      <c r="AU1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8" spans="1:47" x14ac:dyDescent="0.35">
      <c r="A188" s="2" t="s">
        <v>2819</v>
      </c>
      <c r="B188">
        <v>1954</v>
      </c>
      <c r="D1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8" s="37" t="str">
        <f>INDEX(CONTROL[ENGLISH],MATCH(PROPERTIES[[#This Row],[VEHIDCODE]],CONTROL[VEHIDCODE],0))</f>
        <v>EMD SW1200</v>
      </c>
      <c r="F188" t="s">
        <v>565</v>
      </c>
      <c r="G188" s="37" t="str">
        <f>_xlfn.IFNA(INDEX(COUNTRIES[COUNTRY_LABEL],MATCH(PROPERTIES[[#This Row],[COUNTRY]],COUNTRIES[COUNTRY_DESCRIPTION],0)),"")</f>
        <v>CA</v>
      </c>
      <c r="H1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INDEX(LOADINGSPEEDDEF[SPEED],MATCH("LOADINGSPEEDDEF_"&amp;PROPERTIES[[#This Row],[LOADINGSPEED]],LOADINGSPEEDDEF[TYPE],0))</f>
        <v>20</v>
      </c>
      <c r="O1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4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1" t="b">
        <v>0</v>
      </c>
      <c r="AP188" s="45" t="b">
        <v>0</v>
      </c>
      <c r="AQ188" s="45" t="b">
        <v>0</v>
      </c>
      <c r="AR188" s="45">
        <v>0</v>
      </c>
      <c r="AS188" s="45" t="b">
        <v>0</v>
      </c>
      <c r="AT188" s="7" t="b">
        <v>0</v>
      </c>
      <c r="AU1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89" spans="1:47" x14ac:dyDescent="0.35">
      <c r="A189" s="2" t="s">
        <v>2820</v>
      </c>
      <c r="B189">
        <v>1954</v>
      </c>
      <c r="C189">
        <v>1997</v>
      </c>
      <c r="D1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89" s="37" t="str">
        <f>INDEX(CONTROL[ENGLISH],MATCH(PROPERTIES[[#This Row],[VEHIDCODE]],CONTROL[VEHIDCODE],0))</f>
        <v>EMD FP9</v>
      </c>
      <c r="F189" t="s">
        <v>565</v>
      </c>
      <c r="G189" s="37" t="str">
        <f>_xlfn.IFNA(INDEX(COUNTRIES[COUNTRY_LABEL],MATCH(PROPERTIES[[#This Row],[COUNTRY]],COUNTRIES[COUNTRY_DESCRIPTION],0)),"")</f>
        <v>CA</v>
      </c>
      <c r="H1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INDEX(LOADINGSPEEDDEF[SPEED],MATCH("LOADINGSPEEDDEF_"&amp;PROPERTIES[[#This Row],[LOADINGSPEED]],LOADINGSPEEDDEF[TYPE],0))</f>
        <v>20</v>
      </c>
      <c r="O1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4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8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1" t="b">
        <v>0</v>
      </c>
      <c r="AP189" s="45" t="b">
        <v>0</v>
      </c>
      <c r="AQ189" s="45" t="b">
        <v>0</v>
      </c>
      <c r="AR189" s="45">
        <v>0</v>
      </c>
      <c r="AS189" s="45" t="b">
        <v>0</v>
      </c>
      <c r="AT189" s="7" t="b">
        <v>0</v>
      </c>
      <c r="AU1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190" spans="1:47" x14ac:dyDescent="0.35">
      <c r="A190" s="2" t="s">
        <v>2821</v>
      </c>
      <c r="B190">
        <v>1954</v>
      </c>
      <c r="C190">
        <v>2030</v>
      </c>
      <c r="D1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0" s="37" t="str">
        <f>INDEX(CONTROL[ENGLISH],MATCH(PROPERTIES[[#This Row],[VEHIDCODE]],CONTROL[VEHIDCODE],0))</f>
        <v>Ganz-MAVAG DVM2 'M44'</v>
      </c>
      <c r="F190" t="s">
        <v>626</v>
      </c>
      <c r="G190" s="37" t="str">
        <f>_xlfn.IFNA(INDEX(COUNTRIES[COUNTRY_LABEL],MATCH(PROPERTIES[[#This Row],[COUNTRY]],COUNTRIES[COUNTRY_DESCRIPTION],0)),"")</f>
        <v>HU</v>
      </c>
      <c r="H1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INDEX(LOADINGSPEEDDEF[SPEED],MATCH("LOADINGSPEEDDEF_"&amp;PROPERTIES[[#This Row],[LOADINGSPEED]],LOADINGSPEEDDEF[TYPE],0))</f>
        <v>20</v>
      </c>
      <c r="O19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4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1" t="b">
        <v>0</v>
      </c>
      <c r="AP190" s="45" t="b">
        <v>0</v>
      </c>
      <c r="AQ190" s="45" t="b">
        <v>0</v>
      </c>
      <c r="AR190" s="45">
        <v>0</v>
      </c>
      <c r="AS190" s="45" t="b">
        <v>0</v>
      </c>
      <c r="AT190" s="7" t="b">
        <v>0</v>
      </c>
      <c r="AU1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1" spans="1:47" x14ac:dyDescent="0.35">
      <c r="A191" s="2" t="s">
        <v>3431</v>
      </c>
      <c r="B191">
        <v>1955</v>
      </c>
      <c r="C191">
        <v>2030</v>
      </c>
      <c r="D1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1" s="37" t="str">
        <f>INDEX(CONTROL[ENGLISH],MATCH(PROPERTIES[[#This Row],[VEHIDCODE]],CONTROL[VEHIDCODE],0))</f>
        <v>Raba M 030 'M28 Nyünyüke'</v>
      </c>
      <c r="F191" t="s">
        <v>626</v>
      </c>
      <c r="G191" s="37" t="str">
        <f>_xlfn.IFNA(INDEX(COUNTRIES[COUNTRY_LABEL],MATCH(PROPERTIES[[#This Row],[COUNTRY]],COUNTRIES[COUNTRY_DESCRIPTION],0)),"")</f>
        <v>HU</v>
      </c>
      <c r="H1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INDEX(LOADINGSPEEDDEF[SPEED],MATCH("LOADINGSPEEDDEF_"&amp;PROPERTIES[[#This Row],[LOADINGSPEED]],LOADINGSPEEDDEF[TYPE],0))</f>
        <v>20</v>
      </c>
      <c r="O19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4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1" t="b">
        <v>0</v>
      </c>
      <c r="AP191" s="45" t="b">
        <v>0</v>
      </c>
      <c r="AQ191" s="45" t="b">
        <v>0</v>
      </c>
      <c r="AR191" s="45">
        <v>0</v>
      </c>
      <c r="AS191" s="45" t="b">
        <v>0</v>
      </c>
      <c r="AT191" s="7" t="b">
        <v>0</v>
      </c>
      <c r="AU1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2" spans="1:47" x14ac:dyDescent="0.35">
      <c r="A192" s="2" t="s">
        <v>3432</v>
      </c>
      <c r="B192">
        <v>1956</v>
      </c>
      <c r="C192">
        <v>1994</v>
      </c>
      <c r="D1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2" s="37" t="str">
        <f>INDEX(CONTROL[ENGLISH],MATCH(PROPERTIES[[#This Row],[VEHIDCODE]],CONTROL[VEHIDCODE],0))</f>
        <v>Cockerill-Sambre HLD serie 83</v>
      </c>
      <c r="F192" t="s">
        <v>548</v>
      </c>
      <c r="G192" s="37" t="str">
        <f>_xlfn.IFNA(INDEX(COUNTRIES[COUNTRY_LABEL],MATCH(PROPERTIES[[#This Row],[COUNTRY]],COUNTRIES[COUNTRY_DESCRIPTION],0)),"")</f>
        <v>BE</v>
      </c>
      <c r="H1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INDEX(LOADINGSPEEDDEF[SPEED],MATCH("LOADINGSPEEDDEF_"&amp;PROPERTIES[[#This Row],[LOADINGSPEED]],LOADINGSPEEDDEF[TYPE],0))</f>
        <v>20</v>
      </c>
      <c r="O1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4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1" t="b">
        <v>0</v>
      </c>
      <c r="AP192" s="45" t="b">
        <v>0</v>
      </c>
      <c r="AQ192" s="45" t="b">
        <v>0</v>
      </c>
      <c r="AR192" s="45">
        <v>0</v>
      </c>
      <c r="AS192" s="45" t="b">
        <v>0</v>
      </c>
      <c r="AT192" s="7" t="b">
        <v>0</v>
      </c>
      <c r="AU1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93" spans="1:47" x14ac:dyDescent="0.35">
      <c r="A193" s="2" t="s">
        <v>2822</v>
      </c>
      <c r="B193">
        <v>1956</v>
      </c>
      <c r="C193">
        <v>1984</v>
      </c>
      <c r="D1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3" s="37" t="str">
        <f>INDEX(CONTROL[ENGLISH],MATCH(PROPERTIES[[#This Row],[VEHIDCODE]],CONTROL[VEHIDCODE],0))</f>
        <v>Krauss-Maffei V200</v>
      </c>
      <c r="F193" t="s">
        <v>584</v>
      </c>
      <c r="G193" s="37" t="str">
        <f>_xlfn.IFNA(INDEX(COUNTRIES[COUNTRY_LABEL],MATCH(PROPERTIES[[#This Row],[COUNTRY]],COUNTRIES[COUNTRY_DESCRIPTION],0)),"")</f>
        <v>DE</v>
      </c>
      <c r="H1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INDEX(LOADINGSPEEDDEF[SPEED],MATCH("LOADINGSPEEDDEF_"&amp;PROPERTIES[[#This Row],[LOADINGSPEED]],LOADINGSPEEDDEF[TYPE],0))</f>
        <v>20</v>
      </c>
      <c r="O1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4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1" t="b">
        <v>0</v>
      </c>
      <c r="AP193" s="45" t="b">
        <v>0</v>
      </c>
      <c r="AQ193" s="45" t="b">
        <v>0</v>
      </c>
      <c r="AR193" s="45">
        <v>0</v>
      </c>
      <c r="AS193" s="45" t="b">
        <v>0</v>
      </c>
      <c r="AT193" s="7" t="b">
        <v>0</v>
      </c>
      <c r="AU1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4" spans="1:47" x14ac:dyDescent="0.35">
      <c r="A194" s="2" t="s">
        <v>2823</v>
      </c>
      <c r="B194">
        <v>1956</v>
      </c>
      <c r="C194">
        <v>2014</v>
      </c>
      <c r="D1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4" s="37" t="str">
        <f>INDEX(CONTROL[ENGLISH],MATCH(PROPERTIES[[#This Row],[VEHIDCODE]],CONTROL[VEHIDCODE],0))</f>
        <v>EMD FL9</v>
      </c>
      <c r="F194" t="s">
        <v>757</v>
      </c>
      <c r="G194" s="37" t="str">
        <f>_xlfn.IFNA(INDEX(COUNTRIES[COUNTRY_LABEL],MATCH(PROPERTIES[[#This Row],[COUNTRY]],COUNTRIES[COUNTRY_DESCRIPTION],0)),"")</f>
        <v>US</v>
      </c>
      <c r="H1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INDEX(LOADINGSPEEDDEF[SPEED],MATCH("LOADINGSPEEDDEF_"&amp;PROPERTIES[[#This Row],[LOADINGSPEED]],LOADINGSPEEDDEF[TYPE],0))</f>
        <v>20</v>
      </c>
      <c r="O1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4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1" t="b">
        <v>0</v>
      </c>
      <c r="AP194" s="45" t="b">
        <v>0</v>
      </c>
      <c r="AQ194" s="45" t="b">
        <v>0</v>
      </c>
      <c r="AR194" s="45">
        <v>0</v>
      </c>
      <c r="AS194" s="45" t="b">
        <v>0</v>
      </c>
      <c r="AT194" s="7" t="b">
        <v>0</v>
      </c>
      <c r="AU1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5" spans="1:47" x14ac:dyDescent="0.35">
      <c r="A195" s="2" t="s">
        <v>2824</v>
      </c>
      <c r="B195">
        <v>1958</v>
      </c>
      <c r="C195">
        <v>1989</v>
      </c>
      <c r="D1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5" s="37" t="str">
        <f>INDEX(CONTROL[ENGLISH],MATCH(PROPERTIES[[#This Row],[VEHIDCODE]],CONTROL[VEHIDCODE],0))</f>
        <v>CKD T 435.0</v>
      </c>
      <c r="F195" t="s">
        <v>583</v>
      </c>
      <c r="G195" s="37" t="str">
        <f>_xlfn.IFNA(INDEX(COUNTRIES[COUNTRY_LABEL],MATCH(PROPERTIES[[#This Row],[COUNTRY]],COUNTRIES[COUNTRY_DESCRIPTION],0)),"")</f>
        <v>CZ</v>
      </c>
      <c r="H1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INDEX(LOADINGSPEEDDEF[SPEED],MATCH("LOADINGSPEEDDEF_"&amp;PROPERTIES[[#This Row],[LOADINGSPEED]],LOADINGSPEEDDEF[TYPE],0))</f>
        <v>20</v>
      </c>
      <c r="O1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4">
        <v>0</v>
      </c>
      <c r="AF195" s="6">
        <v>0</v>
      </c>
      <c r="AG195" t="s">
        <v>1940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1" t="b">
        <v>0</v>
      </c>
      <c r="AP195" s="45" t="b">
        <v>0</v>
      </c>
      <c r="AQ195" s="45" t="b">
        <v>0</v>
      </c>
      <c r="AR195" s="45">
        <v>0</v>
      </c>
      <c r="AS195" s="45" t="b">
        <v>0</v>
      </c>
      <c r="AT195" s="7" t="b">
        <v>0</v>
      </c>
      <c r="AU1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6" spans="1:47" x14ac:dyDescent="0.35">
      <c r="A196" s="2" t="s">
        <v>2825</v>
      </c>
      <c r="B196">
        <v>1959</v>
      </c>
      <c r="C196">
        <v>1972</v>
      </c>
      <c r="D1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6" s="37" t="str">
        <f>INDEX(CONTROL[ENGLISH],MATCH(PROPERTIES[[#This Row],[VEHIDCODE]],CONTROL[VEHIDCODE],0))</f>
        <v>Valmet/Lokomo Dr12</v>
      </c>
      <c r="F196" t="s">
        <v>597</v>
      </c>
      <c r="G196" s="37" t="str">
        <f>_xlfn.IFNA(INDEX(COUNTRIES[COUNTRY_LABEL],MATCH(PROPERTIES[[#This Row],[COUNTRY]],COUNTRIES[COUNTRY_DESCRIPTION],0)),"")</f>
        <v>FI</v>
      </c>
      <c r="H1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INDEX(LOADINGSPEEDDEF[SPEED],MATCH("LOADINGSPEEDDEF_"&amp;PROPERTIES[[#This Row],[LOADINGSPEED]],LOADINGSPEEDDEF[TYPE],0))</f>
        <v>20</v>
      </c>
      <c r="O1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4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1" t="b">
        <v>0</v>
      </c>
      <c r="AP196" s="45" t="b">
        <v>0</v>
      </c>
      <c r="AQ196" s="45" t="b">
        <v>0</v>
      </c>
      <c r="AR196" s="45">
        <v>0</v>
      </c>
      <c r="AS196" s="45" t="b">
        <v>0</v>
      </c>
      <c r="AT196" s="7" t="b">
        <v>0</v>
      </c>
      <c r="AU1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7" spans="1:47" x14ac:dyDescent="0.35">
      <c r="A197" s="2" t="s">
        <v>2826</v>
      </c>
      <c r="B197">
        <v>1959</v>
      </c>
      <c r="D1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7" s="37" t="str">
        <f>INDEX(CONTROL[ENGLISH],MATCH(PROPERTIES[[#This Row],[VEHIDCODE]],CONTROL[VEHIDCODE],0))</f>
        <v>Electroputre 060-DA</v>
      </c>
      <c r="F197" t="s">
        <v>714</v>
      </c>
      <c r="G197" s="37" t="str">
        <f>_xlfn.IFNA(INDEX(COUNTRIES[COUNTRY_LABEL],MATCH(PROPERTIES[[#This Row],[COUNTRY]],COUNTRIES[COUNTRY_DESCRIPTION],0)),"")</f>
        <v>RO</v>
      </c>
      <c r="H1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INDEX(LOADINGSPEEDDEF[SPEED],MATCH("LOADINGSPEEDDEF_"&amp;PROPERTIES[[#This Row],[LOADINGSPEED]],LOADINGSPEEDDEF[TYPE],0))</f>
        <v>20</v>
      </c>
      <c r="O1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4">
        <v>0</v>
      </c>
      <c r="AF197" s="6">
        <v>0</v>
      </c>
      <c r="AG197" t="s">
        <v>1940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1" t="b">
        <v>0</v>
      </c>
      <c r="AP197" s="45" t="b">
        <v>0</v>
      </c>
      <c r="AQ197" s="45" t="b">
        <v>0</v>
      </c>
      <c r="AR197" s="45">
        <v>0</v>
      </c>
      <c r="AS197" s="45" t="b">
        <v>0</v>
      </c>
      <c r="AT197" s="7" t="b">
        <v>0</v>
      </c>
      <c r="AU1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98" spans="1:47" x14ac:dyDescent="0.35">
      <c r="A198" s="2" t="s">
        <v>2827</v>
      </c>
      <c r="B198">
        <v>1960</v>
      </c>
      <c r="C198">
        <v>2030</v>
      </c>
      <c r="D1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8" s="37" t="str">
        <f>INDEX(CONTROL[ENGLISH],MATCH(PROPERTIES[[#This Row],[VEHIDCODE]],CONTROL[VEHIDCODE],0))</f>
        <v>EMD GL8</v>
      </c>
      <c r="F198" t="s">
        <v>757</v>
      </c>
      <c r="G198" s="37" t="str">
        <f>_xlfn.IFNA(INDEX(COUNTRIES[COUNTRY_LABEL],MATCH(PROPERTIES[[#This Row],[COUNTRY]],COUNTRIES[COUNTRY_DESCRIPTION],0)),"")</f>
        <v>US</v>
      </c>
      <c r="H1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INDEX(LOADINGSPEEDDEF[SPEED],MATCH("LOADINGSPEEDDEF_"&amp;PROPERTIES[[#This Row],[LOADINGSPEED]],LOADINGSPEEDDEF[TYPE],0))</f>
        <v>20</v>
      </c>
      <c r="O1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4">
        <v>0</v>
      </c>
      <c r="AF198" s="6">
        <v>0</v>
      </c>
      <c r="AG198" t="s">
        <v>237</v>
      </c>
      <c r="AH198" t="s">
        <v>1939</v>
      </c>
      <c r="AI198" t="s">
        <v>233</v>
      </c>
      <c r="AJ198" s="2" t="s">
        <v>234</v>
      </c>
      <c r="AK198" s="2" t="s">
        <v>244</v>
      </c>
      <c r="AL1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1" t="b">
        <v>0</v>
      </c>
      <c r="AP198" s="45" t="b">
        <v>0</v>
      </c>
      <c r="AQ198" s="45" t="b">
        <v>0</v>
      </c>
      <c r="AR198" s="45">
        <v>0</v>
      </c>
      <c r="AS198" s="45" t="b">
        <v>0</v>
      </c>
      <c r="AT198" s="7" t="b">
        <v>0</v>
      </c>
      <c r="AU1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99" spans="1:47" x14ac:dyDescent="0.35">
      <c r="A199" s="2" t="s">
        <v>2828</v>
      </c>
      <c r="B199">
        <v>1960</v>
      </c>
      <c r="C199">
        <v>1980</v>
      </c>
      <c r="D1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99" s="37" t="str">
        <f>INDEX(CONTROL[ENGLISH],MATCH(PROPERTIES[[#This Row],[VEHIDCODE]],CONTROL[VEHIDCODE],0))</f>
        <v>Krauss-Maffei ML 4000</v>
      </c>
      <c r="F199" t="s">
        <v>558</v>
      </c>
      <c r="G199" s="37" t="str">
        <f>_xlfn.IFNA(INDEX(COUNTRIES[COUNTRY_LABEL],MATCH(PROPERTIES[[#This Row],[COUNTRY]],COUNTRIES[COUNTRY_DESCRIPTION],0)),"")</f>
        <v>BR</v>
      </c>
      <c r="H1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INDEX(LOADINGSPEEDDEF[SPEED],MATCH("LOADINGSPEEDDEF_"&amp;PROPERTIES[[#This Row],[LOADINGSPEED]],LOADINGSPEEDDEF[TYPE],0))</f>
        <v>20</v>
      </c>
      <c r="O1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4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1" t="b">
        <v>0</v>
      </c>
      <c r="AP199" s="45" t="b">
        <v>0</v>
      </c>
      <c r="AQ199" s="45" t="b">
        <v>0</v>
      </c>
      <c r="AR199" s="45">
        <v>0</v>
      </c>
      <c r="AS199" s="45" t="b">
        <v>0</v>
      </c>
      <c r="AT199" s="7" t="b">
        <v>0</v>
      </c>
      <c r="AU1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0" spans="1:47" x14ac:dyDescent="0.35">
      <c r="A200" s="2" t="s">
        <v>2829</v>
      </c>
      <c r="B200">
        <v>1960</v>
      </c>
      <c r="C200">
        <v>2019</v>
      </c>
      <c r="D2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0" s="37" t="str">
        <f>INDEX(CONTROL[ENGLISH],MATCH(PROPERTIES[[#This Row],[VEHIDCODE]],CONTROL[VEHIDCODE],0))</f>
        <v>Kolomna TEP60</v>
      </c>
      <c r="F200" t="s">
        <v>716</v>
      </c>
      <c r="G200" s="37" t="str">
        <f>_xlfn.IFNA(INDEX(COUNTRIES[COUNTRY_LABEL],MATCH(PROPERTIES[[#This Row],[COUNTRY]],COUNTRIES[COUNTRY_DESCRIPTION],0)),"")</f>
        <v>RU</v>
      </c>
      <c r="H2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INDEX(LOADINGSPEEDDEF[SPEED],MATCH("LOADINGSPEEDDEF_"&amp;PROPERTIES[[#This Row],[LOADINGSPEED]],LOADINGSPEEDDEF[TYPE],0))</f>
        <v>20</v>
      </c>
      <c r="O2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4">
        <v>0</v>
      </c>
      <c r="AF200" s="6">
        <v>0</v>
      </c>
      <c r="AG200" t="s">
        <v>1943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1" t="b">
        <v>0</v>
      </c>
      <c r="AP200" s="45" t="b">
        <v>0</v>
      </c>
      <c r="AQ200" s="45" t="b">
        <v>0</v>
      </c>
      <c r="AR200" s="45">
        <v>0</v>
      </c>
      <c r="AS200" s="45" t="b">
        <v>0</v>
      </c>
      <c r="AT200" s="7" t="b">
        <v>0</v>
      </c>
      <c r="AU2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1" spans="1:47" x14ac:dyDescent="0.35">
      <c r="A201" s="2" t="s">
        <v>2830</v>
      </c>
      <c r="B201">
        <v>1961</v>
      </c>
      <c r="C201">
        <v>2003</v>
      </c>
      <c r="D2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1" s="37" t="str">
        <f>INDEX(CONTROL[ENGLISH],MATCH(PROPERTIES[[#This Row],[VEHIDCODE]],CONTROL[VEHIDCODE],0))</f>
        <v>BN/ACEC 62</v>
      </c>
      <c r="F201" t="s">
        <v>548</v>
      </c>
      <c r="G201" s="37" t="str">
        <f>_xlfn.IFNA(INDEX(COUNTRIES[COUNTRY_LABEL],MATCH(PROPERTIES[[#This Row],[COUNTRY]],COUNTRIES[COUNTRY_DESCRIPTION],0)),"")</f>
        <v>BE</v>
      </c>
      <c r="H2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INDEX(LOADINGSPEEDDEF[SPEED],MATCH("LOADINGSPEEDDEF_"&amp;PROPERTIES[[#This Row],[LOADINGSPEED]],LOADINGSPEEDDEF[TYPE],0))</f>
        <v>20</v>
      </c>
      <c r="O2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4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1" t="b">
        <v>0</v>
      </c>
      <c r="AP201" s="45" t="b">
        <v>0</v>
      </c>
      <c r="AQ201" s="45" t="b">
        <v>0</v>
      </c>
      <c r="AR201" s="45">
        <v>0</v>
      </c>
      <c r="AS201" s="45" t="b">
        <v>0</v>
      </c>
      <c r="AT201" s="7" t="b">
        <v>0</v>
      </c>
      <c r="AU2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2" spans="1:47" x14ac:dyDescent="0.35">
      <c r="A202" s="2" t="s">
        <v>2831</v>
      </c>
      <c r="B202">
        <v>1960</v>
      </c>
      <c r="C202">
        <v>2001</v>
      </c>
      <c r="D2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2" s="37" t="str">
        <f>INDEX(CONTROL[ENGLISH],MATCH(PROPERTIES[[#This Row],[VEHIDCODE]],CONTROL[VEHIDCODE],0))</f>
        <v>MaK 100</v>
      </c>
      <c r="F202" t="s">
        <v>586</v>
      </c>
      <c r="G202" s="37" t="str">
        <f>_xlfn.IFNA(INDEX(COUNTRIES[COUNTRY_LABEL],MATCH(PROPERTIES[[#This Row],[COUNTRY]],COUNTRIES[COUNTRY_DESCRIPTION],0)),"")</f>
        <v>DK</v>
      </c>
      <c r="H2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INDEX(LOADINGSPEEDDEF[SPEED],MATCH("LOADINGSPEEDDEF_"&amp;PROPERTIES[[#This Row],[LOADINGSPEED]],LOADINGSPEEDDEF[TYPE],0))</f>
        <v>20</v>
      </c>
      <c r="O2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4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1" t="b">
        <v>0</v>
      </c>
      <c r="AP202" s="45" t="b">
        <v>0</v>
      </c>
      <c r="AQ202" s="45" t="b">
        <v>0</v>
      </c>
      <c r="AR202" s="45">
        <v>0</v>
      </c>
      <c r="AS202" s="45" t="b">
        <v>0</v>
      </c>
      <c r="AT202" s="7" t="b">
        <v>0</v>
      </c>
      <c r="AU2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3" spans="1:47" x14ac:dyDescent="0.35">
      <c r="A203" s="2" t="s">
        <v>2832</v>
      </c>
      <c r="B203">
        <v>1963</v>
      </c>
      <c r="C203">
        <v>2023</v>
      </c>
      <c r="D2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3" s="37" t="str">
        <f>INDEX(CONTROL[ENGLISH],MATCH(PROPERTIES[[#This Row],[VEHIDCODE]],CONTROL[VEHIDCODE],0))</f>
        <v>ALCO DL560C 'WDM-2'</v>
      </c>
      <c r="F203" t="s">
        <v>631</v>
      </c>
      <c r="G203" s="37" t="str">
        <f>_xlfn.IFNA(INDEX(COUNTRIES[COUNTRY_LABEL],MATCH(PROPERTIES[[#This Row],[COUNTRY]],COUNTRIES[COUNTRY_DESCRIPTION],0)),"")</f>
        <v>IN</v>
      </c>
      <c r="H2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INDEX(LOADINGSPEEDDEF[SPEED],MATCH("LOADINGSPEEDDEF_"&amp;PROPERTIES[[#This Row],[LOADINGSPEED]],LOADINGSPEEDDEF[TYPE],0))</f>
        <v>20</v>
      </c>
      <c r="O2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4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1" t="b">
        <v>0</v>
      </c>
      <c r="AP203" s="45" t="b">
        <v>0</v>
      </c>
      <c r="AQ203" s="45" t="b">
        <v>0</v>
      </c>
      <c r="AR203" s="45">
        <v>0</v>
      </c>
      <c r="AS203" s="45" t="b">
        <v>0</v>
      </c>
      <c r="AT203" s="7" t="b">
        <v>0</v>
      </c>
      <c r="AU2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4" spans="1:47" x14ac:dyDescent="0.35">
      <c r="A204" s="2" t="s">
        <v>2833</v>
      </c>
      <c r="B204">
        <v>1964</v>
      </c>
      <c r="C204">
        <v>1968</v>
      </c>
      <c r="D2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4" s="37" t="str">
        <f>INDEX(CONTROL[ENGLISH],MATCH(PROPERTIES[[#This Row],[VEHIDCODE]],CONTROL[VEHIDCODE],0))</f>
        <v>BR 14 0-6-0DH</v>
      </c>
      <c r="F204" t="s">
        <v>603</v>
      </c>
      <c r="G204" s="37" t="str">
        <f>_xlfn.IFNA(INDEX(COUNTRIES[COUNTRY_LABEL],MATCH(PROPERTIES[[#This Row],[COUNTRY]],COUNTRIES[COUNTRY_DESCRIPTION],0)),"")</f>
        <v>GB</v>
      </c>
      <c r="H2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INDEX(LOADINGSPEEDDEF[SPEED],MATCH("LOADINGSPEEDDEF_"&amp;PROPERTIES[[#This Row],[LOADINGSPEED]],LOADINGSPEEDDEF[TYPE],0))</f>
        <v>20</v>
      </c>
      <c r="O2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4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1" t="b">
        <v>0</v>
      </c>
      <c r="AP204" s="45" t="b">
        <v>0</v>
      </c>
      <c r="AQ204" s="45" t="b">
        <v>0</v>
      </c>
      <c r="AR204" s="45">
        <v>0</v>
      </c>
      <c r="AS204" s="45" t="b">
        <v>0</v>
      </c>
      <c r="AT204" s="7" t="b">
        <v>0</v>
      </c>
      <c r="AU2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05" spans="1:47" x14ac:dyDescent="0.35">
      <c r="A205" s="2" t="s">
        <v>2834</v>
      </c>
      <c r="B205">
        <v>1964</v>
      </c>
      <c r="D2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5" s="37" t="str">
        <f>INDEX(CONTROL[ENGLISH],MATCH(PROPERTIES[[#This Row],[VEHIDCODE]],CONTROL[VEHIDCODE],0))</f>
        <v>CKD T-669</v>
      </c>
      <c r="F205" t="s">
        <v>716</v>
      </c>
      <c r="G205" s="37" t="str">
        <f>_xlfn.IFNA(INDEX(COUNTRIES[COUNTRY_LABEL],MATCH(PROPERTIES[[#This Row],[COUNTRY]],COUNTRIES[COUNTRY_DESCRIPTION],0)),"")</f>
        <v>RU</v>
      </c>
      <c r="H2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INDEX(LOADINGSPEEDDEF[SPEED],MATCH("LOADINGSPEEDDEF_"&amp;PROPERTIES[[#This Row],[LOADINGSPEED]],LOADINGSPEEDDEF[TYPE],0))</f>
        <v>20</v>
      </c>
      <c r="O2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4">
        <v>0</v>
      </c>
      <c r="AF205" s="6">
        <v>0</v>
      </c>
      <c r="AG205" t="s">
        <v>1943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1" t="b">
        <v>0</v>
      </c>
      <c r="AP205" s="45" t="b">
        <v>0</v>
      </c>
      <c r="AQ205" s="45" t="b">
        <v>0</v>
      </c>
      <c r="AR205" s="45">
        <v>0</v>
      </c>
      <c r="AS205" s="45" t="b">
        <v>0</v>
      </c>
      <c r="AT205" s="7" t="b">
        <v>0</v>
      </c>
      <c r="AU2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6" spans="1:47" x14ac:dyDescent="0.35">
      <c r="A206" s="2" t="s">
        <v>2835</v>
      </c>
      <c r="B206">
        <v>1984</v>
      </c>
      <c r="C206">
        <v>2009</v>
      </c>
      <c r="D2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6" s="37" t="str">
        <f>INDEX(CONTROL[ENGLISH],MATCH(PROPERTIES[[#This Row],[VEHIDCODE]],CONTROL[VEHIDCODE],0))</f>
        <v>UGOFE GM-EMD J16CW/AC</v>
      </c>
      <c r="F206" t="s">
        <v>538</v>
      </c>
      <c r="G206" s="37" t="str">
        <f>_xlfn.IFNA(INDEX(COUNTRIES[COUNTRY_LABEL],MATCH(PROPERTIES[[#This Row],[COUNTRY]],COUNTRIES[COUNTRY_DESCRIPTION],0)),"")</f>
        <v>AR</v>
      </c>
      <c r="H2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INDEX(LOADINGSPEEDDEF[SPEED],MATCH("LOADINGSPEEDDEF_"&amp;PROPERTIES[[#This Row],[LOADINGSPEED]],LOADINGSPEEDDEF[TYPE],0))</f>
        <v>20</v>
      </c>
      <c r="O2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4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1" t="b">
        <v>0</v>
      </c>
      <c r="AP206" s="45" t="b">
        <v>0</v>
      </c>
      <c r="AQ206" s="45" t="b">
        <v>0</v>
      </c>
      <c r="AR206" s="45">
        <v>0</v>
      </c>
      <c r="AS206" s="45" t="b">
        <v>0</v>
      </c>
      <c r="AT206" s="7" t="b">
        <v>0</v>
      </c>
      <c r="AU2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7" spans="1:47" x14ac:dyDescent="0.35">
      <c r="A207" s="2" t="s">
        <v>2836</v>
      </c>
      <c r="B207">
        <v>1965</v>
      </c>
      <c r="C207">
        <v>1996</v>
      </c>
      <c r="D2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7" s="37" t="str">
        <f>INDEX(CONTROL[ENGLISH],MATCH(PROPERTIES[[#This Row],[VEHIDCODE]],CONTROL[VEHIDCODE],0))</f>
        <v>LTZ M62</v>
      </c>
      <c r="F207" t="s">
        <v>716</v>
      </c>
      <c r="G207" s="37" t="str">
        <f>_xlfn.IFNA(INDEX(COUNTRIES[COUNTRY_LABEL],MATCH(PROPERTIES[[#This Row],[COUNTRY]],COUNTRIES[COUNTRY_DESCRIPTION],0)),"")</f>
        <v>RU</v>
      </c>
      <c r="H2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INDEX(LOADINGSPEEDDEF[SPEED],MATCH("LOADINGSPEEDDEF_"&amp;PROPERTIES[[#This Row],[LOADINGSPEED]],LOADINGSPEEDDEF[TYPE],0))</f>
        <v>20</v>
      </c>
      <c r="O2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4">
        <v>0</v>
      </c>
      <c r="AF207" s="6">
        <v>0</v>
      </c>
      <c r="AG207" t="s">
        <v>1943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1" t="b">
        <v>0</v>
      </c>
      <c r="AP207" s="45" t="b">
        <v>0</v>
      </c>
      <c r="AQ207" s="45" t="b">
        <v>0</v>
      </c>
      <c r="AR207" s="45">
        <v>0</v>
      </c>
      <c r="AS207" s="45" t="b">
        <v>0</v>
      </c>
      <c r="AT207" s="7" t="b">
        <v>0</v>
      </c>
      <c r="AU2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8" spans="1:47" x14ac:dyDescent="0.35">
      <c r="A208" s="2" t="s">
        <v>2837</v>
      </c>
      <c r="B208">
        <v>1969</v>
      </c>
      <c r="C208">
        <v>2015</v>
      </c>
      <c r="D2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8" s="37" t="str">
        <f>INDEX(CONTROL[ENGLISH],MATCH(PROPERTIES[[#This Row],[VEHIDCODE]],CONTROL[VEHIDCODE],0))</f>
        <v>EMD/Clyde J26C</v>
      </c>
      <c r="F208" t="s">
        <v>541</v>
      </c>
      <c r="G208" s="37" t="str">
        <f>_xlfn.IFNA(INDEX(COUNTRIES[COUNTRY_LABEL],MATCH(PROPERTIES[[#This Row],[COUNTRY]],COUNTRIES[COUNTRY_DESCRIPTION],0)),"")</f>
        <v>AU</v>
      </c>
      <c r="H2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INDEX(LOADINGSPEEDDEF[SPEED],MATCH("LOADINGSPEEDDEF_"&amp;PROPERTIES[[#This Row],[LOADINGSPEED]],LOADINGSPEEDDEF[TYPE],0))</f>
        <v>20</v>
      </c>
      <c r="O2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4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1" t="b">
        <v>0</v>
      </c>
      <c r="AP208" s="45" t="b">
        <v>0</v>
      </c>
      <c r="AQ208" s="45" t="b">
        <v>0</v>
      </c>
      <c r="AR208" s="45">
        <v>0</v>
      </c>
      <c r="AS208" s="45" t="b">
        <v>0</v>
      </c>
      <c r="AT208" s="7" t="b">
        <v>0</v>
      </c>
      <c r="AU2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09" spans="1:47" x14ac:dyDescent="0.35">
      <c r="A209" s="2" t="s">
        <v>2838</v>
      </c>
      <c r="B209">
        <v>1969</v>
      </c>
      <c r="D2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09" s="37" t="str">
        <f>INDEX(CONTROL[ENGLISH],MATCH(PROPERTIES[[#This Row],[VEHIDCODE]],CONTROL[VEHIDCODE],0))</f>
        <v>GE G22</v>
      </c>
      <c r="F209" t="s">
        <v>592</v>
      </c>
      <c r="G209" s="37" t="str">
        <f>_xlfn.IFNA(INDEX(COUNTRIES[COUNTRY_LABEL],MATCH(PROPERTIES[[#This Row],[COUNTRY]],COUNTRIES[COUNTRY_DESCRIPTION],0)),"")</f>
        <v>EG</v>
      </c>
      <c r="H2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INDEX(LOADINGSPEEDDEF[SPEED],MATCH("LOADINGSPEEDDEF_"&amp;PROPERTIES[[#This Row],[LOADINGSPEED]],LOADINGSPEEDDEF[TYPE],0))</f>
        <v>20</v>
      </c>
      <c r="O2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4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0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1" t="b">
        <v>0</v>
      </c>
      <c r="AP209" s="45" t="b">
        <v>0</v>
      </c>
      <c r="AQ209" s="45" t="b">
        <v>0</v>
      </c>
      <c r="AR209" s="45">
        <v>0</v>
      </c>
      <c r="AS209" s="45" t="b">
        <v>0</v>
      </c>
      <c r="AT209" s="7" t="b">
        <v>0</v>
      </c>
      <c r="AU2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0" spans="1:47" x14ac:dyDescent="0.35">
      <c r="A210" s="2" t="s">
        <v>2839</v>
      </c>
      <c r="B210">
        <v>1969</v>
      </c>
      <c r="C210">
        <v>1986</v>
      </c>
      <c r="D2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0" s="37" t="str">
        <f>INDEX(CONTROL[ENGLISH],MATCH(PROPERTIES[[#This Row],[VEHIDCODE]],CONTROL[VEHIDCODE],0))</f>
        <v>EMD DDA40X</v>
      </c>
      <c r="F210" t="s">
        <v>757</v>
      </c>
      <c r="G210" s="37" t="str">
        <f>_xlfn.IFNA(INDEX(COUNTRIES[COUNTRY_LABEL],MATCH(PROPERTIES[[#This Row],[COUNTRY]],COUNTRIES[COUNTRY_DESCRIPTION],0)),"")</f>
        <v>US</v>
      </c>
      <c r="H2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INDEX(LOADINGSPEEDDEF[SPEED],MATCH("LOADINGSPEEDDEF_"&amp;PROPERTIES[[#This Row],[LOADINGSPEED]],LOADINGSPEEDDEF[TYPE],0))</f>
        <v>20</v>
      </c>
      <c r="O2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4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1" t="b">
        <v>0</v>
      </c>
      <c r="AP210" s="45" t="b">
        <v>0</v>
      </c>
      <c r="AQ210" s="45" t="b">
        <v>0</v>
      </c>
      <c r="AR210" s="45">
        <v>0</v>
      </c>
      <c r="AS210" s="45" t="b">
        <v>0</v>
      </c>
      <c r="AT210" s="7" t="b">
        <v>0</v>
      </c>
      <c r="AU2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211" spans="1:47" x14ac:dyDescent="0.35">
      <c r="A211" s="2" t="s">
        <v>2840</v>
      </c>
      <c r="B211">
        <v>1970</v>
      </c>
      <c r="C211">
        <v>2030</v>
      </c>
      <c r="D2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1" s="37" t="str">
        <f>INDEX(CONTROL[ENGLISH],MATCH(PROPERTIES[[#This Row],[VEHIDCODE]],CONTROL[VEHIDCODE],0))</f>
        <v>EMD/Clyde GL26C</v>
      </c>
      <c r="F211" t="s">
        <v>541</v>
      </c>
      <c r="G211" s="37" t="str">
        <f>_xlfn.IFNA(INDEX(COUNTRIES[COUNTRY_LABEL],MATCH(PROPERTIES[[#This Row],[COUNTRY]],COUNTRIES[COUNTRY_DESCRIPTION],0)),"")</f>
        <v>AU</v>
      </c>
      <c r="H2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INDEX(LOADINGSPEEDDEF[SPEED],MATCH("LOADINGSPEEDDEF_"&amp;PROPERTIES[[#This Row],[LOADINGSPEED]],LOADINGSPEEDDEF[TYPE],0))</f>
        <v>20</v>
      </c>
      <c r="O2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4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1" t="b">
        <v>0</v>
      </c>
      <c r="AP211" s="45" t="b">
        <v>0</v>
      </c>
      <c r="AQ211" s="45" t="b">
        <v>0</v>
      </c>
      <c r="AR211" s="45">
        <v>0</v>
      </c>
      <c r="AS211" s="45" t="b">
        <v>0</v>
      </c>
      <c r="AT211" s="7" t="b">
        <v>0</v>
      </c>
      <c r="AU2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2" spans="1:47" x14ac:dyDescent="0.35">
      <c r="A212" s="2" t="s">
        <v>2841</v>
      </c>
      <c r="B212">
        <v>1972</v>
      </c>
      <c r="C212">
        <v>2030</v>
      </c>
      <c r="D2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2" s="37" t="str">
        <f>INDEX(CONTROL[ENGLISH],MATCH(PROPERTIES[[#This Row],[VEHIDCODE]],CONTROL[VEHIDCODE],0))</f>
        <v>EMD G26</v>
      </c>
      <c r="F212" t="s">
        <v>757</v>
      </c>
      <c r="G212" s="37" t="str">
        <f>_xlfn.IFNA(INDEX(COUNTRIES[COUNTRY_LABEL],MATCH(PROPERTIES[[#This Row],[COUNTRY]],COUNTRIES[COUNTRY_DESCRIPTION],0)),"")</f>
        <v>US</v>
      </c>
      <c r="H2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INDEX(LOADINGSPEEDDEF[SPEED],MATCH("LOADINGSPEEDDEF_"&amp;PROPERTIES[[#This Row],[LOADINGSPEED]],LOADINGSPEEDDEF[TYPE],0))</f>
        <v>20</v>
      </c>
      <c r="O21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4">
        <v>0</v>
      </c>
      <c r="AF212" s="6">
        <v>0</v>
      </c>
      <c r="AG212" t="s">
        <v>236</v>
      </c>
      <c r="AH212" t="s">
        <v>233</v>
      </c>
      <c r="AI212" t="s">
        <v>1939</v>
      </c>
      <c r="AJ212" s="2" t="s">
        <v>237</v>
      </c>
      <c r="AK212" s="2" t="s">
        <v>244</v>
      </c>
      <c r="AL21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1" t="b">
        <v>0</v>
      </c>
      <c r="AP212" s="45" t="b">
        <v>0</v>
      </c>
      <c r="AQ212" s="45" t="b">
        <v>0</v>
      </c>
      <c r="AR212" s="45">
        <v>0</v>
      </c>
      <c r="AS212" s="45" t="b">
        <v>0</v>
      </c>
      <c r="AT212" s="7" t="b">
        <v>0</v>
      </c>
      <c r="AU2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3" spans="1:47" x14ac:dyDescent="0.35">
      <c r="A213" s="2" t="s">
        <v>2842</v>
      </c>
      <c r="B213">
        <v>1972</v>
      </c>
      <c r="D2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3" s="37" t="str">
        <f>INDEX(CONTROL[ENGLISH],MATCH(PROPERTIES[[#This Row],[VEHIDCODE]],CONTROL[VEHIDCODE],0))</f>
        <v>Henschel TGOJ V4</v>
      </c>
      <c r="F213" t="s">
        <v>722</v>
      </c>
      <c r="G213" s="37" t="str">
        <f>_xlfn.IFNA(INDEX(COUNTRIES[COUNTRY_LABEL],MATCH(PROPERTIES[[#This Row],[COUNTRY]],COUNTRIES[COUNTRY_DESCRIPTION],0)),"")</f>
        <v>SE</v>
      </c>
      <c r="H2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INDEX(LOADINGSPEEDDEF[SPEED],MATCH("LOADINGSPEEDDEF_"&amp;PROPERTIES[[#This Row],[LOADINGSPEED]],LOADINGSPEEDDEF[TYPE],0))</f>
        <v>20</v>
      </c>
      <c r="O2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4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1" t="b">
        <v>0</v>
      </c>
      <c r="AP213" s="45" t="b">
        <v>0</v>
      </c>
      <c r="AQ213" s="45" t="b">
        <v>0</v>
      </c>
      <c r="AR213" s="45">
        <v>0</v>
      </c>
      <c r="AS213" s="45" t="b">
        <v>0</v>
      </c>
      <c r="AT213" s="7" t="b">
        <v>0</v>
      </c>
      <c r="AU2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4" spans="1:47" x14ac:dyDescent="0.35">
      <c r="A214" s="2" t="s">
        <v>2843</v>
      </c>
      <c r="B214">
        <v>1973</v>
      </c>
      <c r="C214">
        <v>1998</v>
      </c>
      <c r="D2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4" s="37" t="str">
        <f>INDEX(CONTROL[ENGLISH],MATCH(PROPERTIES[[#This Row],[VEHIDCODE]],CONTROL[VEHIDCODE],0))</f>
        <v>MLW M420W</v>
      </c>
      <c r="F214" t="s">
        <v>565</v>
      </c>
      <c r="G214" s="37" t="str">
        <f>_xlfn.IFNA(INDEX(COUNTRIES[COUNTRY_LABEL],MATCH(PROPERTIES[[#This Row],[COUNTRY]],COUNTRIES[COUNTRY_DESCRIPTION],0)),"")</f>
        <v>CA</v>
      </c>
      <c r="H2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INDEX(LOADINGSPEEDDEF[SPEED],MATCH("LOADINGSPEEDDEF_"&amp;PROPERTIES[[#This Row],[LOADINGSPEED]],LOADINGSPEEDDEF[TYPE],0))</f>
        <v>20</v>
      </c>
      <c r="O2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4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1" t="b">
        <v>0</v>
      </c>
      <c r="AP214" s="45" t="b">
        <v>0</v>
      </c>
      <c r="AQ214" s="45" t="b">
        <v>0</v>
      </c>
      <c r="AR214" s="45">
        <v>0</v>
      </c>
      <c r="AS214" s="45" t="b">
        <v>0</v>
      </c>
      <c r="AT214" s="7" t="b">
        <v>0</v>
      </c>
      <c r="AU2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5" spans="1:47" x14ac:dyDescent="0.35">
      <c r="A215" s="2" t="s">
        <v>2844</v>
      </c>
      <c r="B215">
        <v>1973</v>
      </c>
      <c r="C215">
        <v>1977</v>
      </c>
      <c r="D2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5" s="37" t="str">
        <f>INDEX(CONTROL[ENGLISH],MATCH(PROPERTIES[[#This Row],[VEHIDCODE]],CONTROL[VEHIDCODE],0))</f>
        <v>EMD SDP-40F</v>
      </c>
      <c r="F215" t="s">
        <v>757</v>
      </c>
      <c r="G215" s="37" t="str">
        <f>_xlfn.IFNA(INDEX(COUNTRIES[COUNTRY_LABEL],MATCH(PROPERTIES[[#This Row],[COUNTRY]],COUNTRIES[COUNTRY_DESCRIPTION],0)),"")</f>
        <v>US</v>
      </c>
      <c r="H2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INDEX(LOADINGSPEEDDEF[SPEED],MATCH("LOADINGSPEEDDEF_"&amp;PROPERTIES[[#This Row],[LOADINGSPEED]],LOADINGSPEEDDEF[TYPE],0))</f>
        <v>20</v>
      </c>
      <c r="O2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4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1" t="b">
        <v>0</v>
      </c>
      <c r="AP215" s="45" t="b">
        <v>0</v>
      </c>
      <c r="AQ215" s="45" t="b">
        <v>0</v>
      </c>
      <c r="AR215" s="45">
        <v>0</v>
      </c>
      <c r="AS215" s="45" t="b">
        <v>0</v>
      </c>
      <c r="AT215" s="7" t="b">
        <v>0</v>
      </c>
      <c r="AU2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16" spans="1:47" x14ac:dyDescent="0.35">
      <c r="A216" s="2" t="s">
        <v>2845</v>
      </c>
      <c r="B216">
        <v>1976</v>
      </c>
      <c r="C216">
        <v>2010</v>
      </c>
      <c r="D2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6" s="37" t="str">
        <f>INDEX(CONTROL[ENGLISH],MATCH(PROPERTIES[[#This Row],[VEHIDCODE]],CONTROL[VEHIDCODE],0))</f>
        <v>Sifang DFH3</v>
      </c>
      <c r="F216" t="s">
        <v>575</v>
      </c>
      <c r="G216" s="37" t="str">
        <f>_xlfn.IFNA(INDEX(COUNTRIES[COUNTRY_LABEL],MATCH(PROPERTIES[[#This Row],[COUNTRY]],COUNTRIES[COUNTRY_DESCRIPTION],0)),"")</f>
        <v>CN</v>
      </c>
      <c r="H2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INDEX(LOADINGSPEEDDEF[SPEED],MATCH("LOADINGSPEEDDEF_"&amp;PROPERTIES[[#This Row],[LOADINGSPEED]],LOADINGSPEEDDEF[TYPE],0))</f>
        <v>20</v>
      </c>
      <c r="O2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4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1" t="b">
        <v>0</v>
      </c>
      <c r="AP216" s="45" t="b">
        <v>0</v>
      </c>
      <c r="AQ216" s="45" t="b">
        <v>0</v>
      </c>
      <c r="AR216" s="45">
        <v>0</v>
      </c>
      <c r="AS216" s="45" t="b">
        <v>0</v>
      </c>
      <c r="AT216" s="7" t="b">
        <v>0</v>
      </c>
      <c r="AU2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7" spans="1:47" x14ac:dyDescent="0.35">
      <c r="A217" s="2" t="s">
        <v>2846</v>
      </c>
      <c r="B217">
        <v>1972</v>
      </c>
      <c r="D2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7" s="37" t="str">
        <f>INDEX(CONTROL[ENGLISH],MATCH(PROPERTIES[[#This Row],[VEHIDCODE]],CONTROL[VEHIDCODE],0))</f>
        <v>EMD F40PH</v>
      </c>
      <c r="F217" t="s">
        <v>757</v>
      </c>
      <c r="G217" s="37" t="str">
        <f>_xlfn.IFNA(INDEX(COUNTRIES[COUNTRY_LABEL],MATCH(PROPERTIES[[#This Row],[COUNTRY]],COUNTRIES[COUNTRY_DESCRIPTION],0)),"")</f>
        <v>US</v>
      </c>
      <c r="H2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INDEX(LOADINGSPEEDDEF[SPEED],MATCH("LOADINGSPEEDDEF_"&amp;PROPERTIES[[#This Row],[LOADINGSPEED]],LOADINGSPEEDDEF[TYPE],0))</f>
        <v>20</v>
      </c>
      <c r="O2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4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1" t="b">
        <v>0</v>
      </c>
      <c r="AP217" s="45" t="b">
        <v>0</v>
      </c>
      <c r="AQ217" s="45" t="b">
        <v>0</v>
      </c>
      <c r="AR217" s="45">
        <v>0</v>
      </c>
      <c r="AS217" s="45" t="b">
        <v>0</v>
      </c>
      <c r="AT217" s="7" t="b">
        <v>0</v>
      </c>
      <c r="AU2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18" spans="1:47" x14ac:dyDescent="0.35">
      <c r="A218" s="2" t="s">
        <v>2847</v>
      </c>
      <c r="B218">
        <v>1981</v>
      </c>
      <c r="C218">
        <v>2015</v>
      </c>
      <c r="D2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8" s="37" t="str">
        <f>INDEX(CONTROL[ENGLISH],MATCH(PROPERTIES[[#This Row],[VEHIDCODE]],CONTROL[VEHIDCODE],0))</f>
        <v>Sorefame/Alsthom 1900</v>
      </c>
      <c r="F218" t="s">
        <v>710</v>
      </c>
      <c r="G218" s="37" t="str">
        <f>_xlfn.IFNA(INDEX(COUNTRIES[COUNTRY_LABEL],MATCH(PROPERTIES[[#This Row],[COUNTRY]],COUNTRIES[COUNTRY_DESCRIPTION],0)),"")</f>
        <v>PT</v>
      </c>
      <c r="H2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INDEX(LOADINGSPEEDDEF[SPEED],MATCH("LOADINGSPEEDDEF_"&amp;PROPERTIES[[#This Row],[LOADINGSPEED]],LOADINGSPEEDDEF[TYPE],0))</f>
        <v>20</v>
      </c>
      <c r="O2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4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1" t="b">
        <v>0</v>
      </c>
      <c r="AP218" s="45" t="b">
        <v>0</v>
      </c>
      <c r="AQ218" s="45" t="b">
        <v>0</v>
      </c>
      <c r="AR218" s="45">
        <v>0</v>
      </c>
      <c r="AS218" s="45" t="b">
        <v>0</v>
      </c>
      <c r="AT218" s="7" t="b">
        <v>0</v>
      </c>
      <c r="AU2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19" spans="1:47" x14ac:dyDescent="0.35">
      <c r="A219" s="2" t="s">
        <v>2848</v>
      </c>
      <c r="B219">
        <v>1985</v>
      </c>
      <c r="C219">
        <v>2025</v>
      </c>
      <c r="D2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19" s="37" t="str">
        <f>INDEX(CONTROL[ENGLISH],MATCH(PROPERTIES[[#This Row],[VEHIDCODE]],CONTROL[VEHIDCODE],0))</f>
        <v>Valmet Oy Dr16</v>
      </c>
      <c r="F219" t="s">
        <v>597</v>
      </c>
      <c r="G219" s="37" t="str">
        <f>_xlfn.IFNA(INDEX(COUNTRIES[COUNTRY_LABEL],MATCH(PROPERTIES[[#This Row],[COUNTRY]],COUNTRIES[COUNTRY_DESCRIPTION],0)),"")</f>
        <v>FI</v>
      </c>
      <c r="H2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INDEX(LOADINGSPEEDDEF[SPEED],MATCH("LOADINGSPEEDDEF_"&amp;PROPERTIES[[#This Row],[LOADINGSPEED]],LOADINGSPEEDDEF[TYPE],0))</f>
        <v>20</v>
      </c>
      <c r="O2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4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1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1" t="b">
        <v>0</v>
      </c>
      <c r="AP219" s="45" t="b">
        <v>0</v>
      </c>
      <c r="AQ219" s="45" t="b">
        <v>0</v>
      </c>
      <c r="AR219" s="45">
        <v>0</v>
      </c>
      <c r="AS219" s="45" t="b">
        <v>0</v>
      </c>
      <c r="AT219" s="7" t="b">
        <v>0</v>
      </c>
      <c r="AU2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0" spans="1:47" x14ac:dyDescent="0.35">
      <c r="A220" s="2" t="s">
        <v>2849</v>
      </c>
      <c r="B220">
        <v>1988</v>
      </c>
      <c r="C220">
        <v>2007</v>
      </c>
      <c r="D2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0" s="37" t="str">
        <f>INDEX(CONTROL[ENGLISH],MATCH(PROPERTIES[[#This Row],[VEHIDCODE]],CONTROL[VEHIDCODE],0))</f>
        <v>Kolomna TEP80</v>
      </c>
      <c r="F220" t="s">
        <v>716</v>
      </c>
      <c r="G220" s="37" t="str">
        <f>_xlfn.IFNA(INDEX(COUNTRIES[COUNTRY_LABEL],MATCH(PROPERTIES[[#This Row],[COUNTRY]],COUNTRIES[COUNTRY_DESCRIPTION],0)),"")</f>
        <v>RU</v>
      </c>
      <c r="H2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INDEX(LOADINGSPEEDDEF[SPEED],MATCH("LOADINGSPEEDDEF_"&amp;PROPERTIES[[#This Row],[LOADINGSPEED]],LOADINGSPEEDDEF[TYPE],0))</f>
        <v>20</v>
      </c>
      <c r="O2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4">
        <v>0</v>
      </c>
      <c r="AF220" s="6">
        <v>0</v>
      </c>
      <c r="AG220" t="s">
        <v>1940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1" t="b">
        <v>0</v>
      </c>
      <c r="AP220" s="45" t="b">
        <v>0</v>
      </c>
      <c r="AQ220" s="45" t="b">
        <v>0</v>
      </c>
      <c r="AR220" s="45">
        <v>0</v>
      </c>
      <c r="AS220" s="45" t="b">
        <v>0</v>
      </c>
      <c r="AT220" s="7" t="b">
        <v>0</v>
      </c>
      <c r="AU2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1" spans="1:47" x14ac:dyDescent="0.35">
      <c r="A221" s="2" t="s">
        <v>2850</v>
      </c>
      <c r="B221">
        <v>1992</v>
      </c>
      <c r="C221">
        <v>2022</v>
      </c>
      <c r="D2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1" s="37" t="str">
        <f>INDEX(CONTROL[ENGLISH],MATCH(PROPERTIES[[#This Row],[VEHIDCODE]],CONTROL[VEHIDCODE],0))</f>
        <v>EMD/Clyde JT46C</v>
      </c>
      <c r="F221" t="s">
        <v>541</v>
      </c>
      <c r="G221" s="37" t="str">
        <f>_xlfn.IFNA(INDEX(COUNTRIES[COUNTRY_LABEL],MATCH(PROPERTIES[[#This Row],[COUNTRY]],COUNTRIES[COUNTRY_DESCRIPTION],0)),"")</f>
        <v>AU</v>
      </c>
      <c r="H2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INDEX(LOADINGSPEEDDEF[SPEED],MATCH("LOADINGSPEEDDEF_"&amp;PROPERTIES[[#This Row],[LOADINGSPEED]],LOADINGSPEEDDEF[TYPE],0))</f>
        <v>20</v>
      </c>
      <c r="O2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4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1" t="b">
        <v>0</v>
      </c>
      <c r="AP221" s="45" t="b">
        <v>0</v>
      </c>
      <c r="AQ221" s="45" t="b">
        <v>0</v>
      </c>
      <c r="AR221" s="45">
        <v>0</v>
      </c>
      <c r="AS221" s="45" t="b">
        <v>0</v>
      </c>
      <c r="AT221" s="7" t="b">
        <v>0</v>
      </c>
      <c r="AU2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2" spans="1:47" x14ac:dyDescent="0.35">
      <c r="A222" s="2" t="s">
        <v>2851</v>
      </c>
      <c r="B222">
        <v>1992</v>
      </c>
      <c r="D2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2" s="37" t="str">
        <f>INDEX(CONTROL[ENGLISH],MATCH(PROPERTIES[[#This Row],[VEHIDCODE]],CONTROL[VEHIDCODE],0))</f>
        <v>GE P42DC 'Genesis'</v>
      </c>
      <c r="F222" t="s">
        <v>757</v>
      </c>
      <c r="G222" s="37" t="str">
        <f>_xlfn.IFNA(INDEX(COUNTRIES[COUNTRY_LABEL],MATCH(PROPERTIES[[#This Row],[COUNTRY]],COUNTRIES[COUNTRY_DESCRIPTION],0)),"")</f>
        <v>US</v>
      </c>
      <c r="H2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INDEX(LOADINGSPEEDDEF[SPEED],MATCH("LOADINGSPEEDDEF_"&amp;PROPERTIES[[#This Row],[LOADINGSPEED]],LOADINGSPEEDDEF[TYPE],0))</f>
        <v>20</v>
      </c>
      <c r="O2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4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1" t="b">
        <v>0</v>
      </c>
      <c r="AP222" s="45" t="b">
        <v>0</v>
      </c>
      <c r="AQ222" s="45" t="b">
        <v>0</v>
      </c>
      <c r="AR222" s="45">
        <v>0</v>
      </c>
      <c r="AS222" s="45" t="b">
        <v>0</v>
      </c>
      <c r="AT222" s="7" t="b">
        <v>0</v>
      </c>
      <c r="AU2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223" spans="1:47" x14ac:dyDescent="0.35">
      <c r="A223" s="2" t="s">
        <v>2852</v>
      </c>
      <c r="B223">
        <v>1994</v>
      </c>
      <c r="D2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3" s="37" t="str">
        <f>INDEX(CONTROL[ENGLISH],MATCH(PROPERTIES[[#This Row],[VEHIDCODE]],CONTROL[VEHIDCODE],0))</f>
        <v>Tulomsas TCDD DH7000</v>
      </c>
      <c r="F223" t="s">
        <v>1027</v>
      </c>
      <c r="G223" s="37" t="str">
        <f>_xlfn.IFNA(INDEX(COUNTRIES[COUNTRY_LABEL],MATCH(PROPERTIES[[#This Row],[COUNTRY]],COUNTRIES[COUNTRY_DESCRIPTION],0)),"")</f>
        <v>TR</v>
      </c>
      <c r="H2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INDEX(LOADINGSPEEDDEF[SPEED],MATCH("LOADINGSPEEDDEF_"&amp;PROPERTIES[[#This Row],[LOADINGSPEED]],LOADINGSPEEDDEF[TYPE],0))</f>
        <v>20</v>
      </c>
      <c r="O2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4">
        <v>0</v>
      </c>
      <c r="AF223" s="6">
        <v>0</v>
      </c>
      <c r="AG223" t="s">
        <v>1940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1" t="b">
        <v>0</v>
      </c>
      <c r="AP223" s="45" t="b">
        <v>0</v>
      </c>
      <c r="AQ223" s="45" t="b">
        <v>0</v>
      </c>
      <c r="AR223" s="45">
        <v>0</v>
      </c>
      <c r="AS223" s="45" t="b">
        <v>0</v>
      </c>
      <c r="AT223" s="7" t="b">
        <v>0</v>
      </c>
      <c r="AU2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4" spans="1:47" x14ac:dyDescent="0.35">
      <c r="A224" s="2" t="s">
        <v>2853</v>
      </c>
      <c r="B224">
        <v>1995</v>
      </c>
      <c r="D2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4" s="37" t="str">
        <f>INDEX(CONTROL[ENGLISH],MATCH(PROPERTIES[[#This Row],[VEHIDCODE]],CONTROL[VEHIDCODE],0))</f>
        <v>GE U20C</v>
      </c>
      <c r="F224" t="s">
        <v>538</v>
      </c>
      <c r="G224" s="37" t="str">
        <f>_xlfn.IFNA(INDEX(COUNTRIES[COUNTRY_LABEL],MATCH(PROPERTIES[[#This Row],[COUNTRY]],COUNTRIES[COUNTRY_DESCRIPTION],0)),"")</f>
        <v>AR</v>
      </c>
      <c r="H2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INDEX(LOADINGSPEEDDEF[SPEED],MATCH("LOADINGSPEEDDEF_"&amp;PROPERTIES[[#This Row],[LOADINGSPEED]],LOADINGSPEEDDEF[TYPE],0))</f>
        <v>20</v>
      </c>
      <c r="O22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4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1" t="b">
        <v>0</v>
      </c>
      <c r="AP224" s="45" t="b">
        <v>0</v>
      </c>
      <c r="AQ224" s="45" t="b">
        <v>0</v>
      </c>
      <c r="AR224" s="45">
        <v>0</v>
      </c>
      <c r="AS224" s="45" t="b">
        <v>0</v>
      </c>
      <c r="AT224" s="7" t="b">
        <v>0</v>
      </c>
      <c r="AU2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5" spans="1:47" x14ac:dyDescent="0.35">
      <c r="A225" s="2" t="s">
        <v>3434</v>
      </c>
      <c r="B225">
        <v>1999</v>
      </c>
      <c r="D2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5" s="37" t="str">
        <f>INDEX(CONTROL[ENGLISH],MATCH(PROPERTIES[[#This Row],[VEHIDCODE]],CONTROL[VEHIDCODE],0))</f>
        <v>Vossloh Siemens serie 77/78</v>
      </c>
      <c r="F225" t="s">
        <v>548</v>
      </c>
      <c r="G225" s="37" t="str">
        <f>_xlfn.IFNA(INDEX(COUNTRIES[COUNTRY_LABEL],MATCH(PROPERTIES[[#This Row],[COUNTRY]],COUNTRIES[COUNTRY_DESCRIPTION],0)),"")</f>
        <v>BE</v>
      </c>
      <c r="H2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INDEX(LOADINGSPEEDDEF[SPEED],MATCH("LOADINGSPEEDDEF_"&amp;PROPERTIES[[#This Row],[LOADINGSPEED]],LOADINGSPEEDDEF[TYPE],0))</f>
        <v>20</v>
      </c>
      <c r="O2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4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1" t="b">
        <v>0</v>
      </c>
      <c r="AP225" s="45" t="b">
        <v>0</v>
      </c>
      <c r="AQ225" s="45" t="b">
        <v>0</v>
      </c>
      <c r="AR225" s="45">
        <v>0</v>
      </c>
      <c r="AS225" s="45" t="b">
        <v>0</v>
      </c>
      <c r="AT225" s="7" t="b">
        <v>0</v>
      </c>
      <c r="AU2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6" spans="1:47" x14ac:dyDescent="0.35">
      <c r="A226" s="2" t="s">
        <v>2854</v>
      </c>
      <c r="B226">
        <v>1998</v>
      </c>
      <c r="D2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6" s="37" t="str">
        <f>INDEX(CONTROL[ENGLISH],MATCH(PROPERTIES[[#This Row],[VEHIDCODE]],CONTROL[VEHIDCODE],0))</f>
        <v>EMD JT42CWRM</v>
      </c>
      <c r="F226" t="s">
        <v>603</v>
      </c>
      <c r="G226" s="37" t="str">
        <f>_xlfn.IFNA(INDEX(COUNTRIES[COUNTRY_LABEL],MATCH(PROPERTIES[[#This Row],[COUNTRY]],COUNTRIES[COUNTRY_DESCRIPTION],0)),"")</f>
        <v>GB</v>
      </c>
      <c r="H2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INDEX(LOADINGSPEEDDEF[SPEED],MATCH("LOADINGSPEEDDEF_"&amp;PROPERTIES[[#This Row],[LOADINGSPEED]],LOADINGSPEEDDEF[TYPE],0))</f>
        <v>20</v>
      </c>
      <c r="O2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4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1" t="b">
        <v>0</v>
      </c>
      <c r="AP226" s="45" t="b">
        <v>0</v>
      </c>
      <c r="AQ226" s="45" t="b">
        <v>0</v>
      </c>
      <c r="AR226" s="45">
        <v>0</v>
      </c>
      <c r="AS226" s="45" t="b">
        <v>0</v>
      </c>
      <c r="AT226" s="7" t="b">
        <v>0</v>
      </c>
      <c r="AU2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7" spans="1:47" x14ac:dyDescent="0.35">
      <c r="A227" s="2" t="s">
        <v>2855</v>
      </c>
      <c r="B227">
        <v>1999</v>
      </c>
      <c r="C227">
        <v>2025</v>
      </c>
      <c r="D2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7" s="37" t="str">
        <f>INDEX(CONTROL[ENGLISH],MATCH(PROPERTIES[[#This Row],[VEHIDCODE]],CONTROL[VEHIDCODE],0))</f>
        <v>EMD JT42HW-HS</v>
      </c>
      <c r="F227" t="s">
        <v>603</v>
      </c>
      <c r="G227" s="37" t="str">
        <f>_xlfn.IFNA(INDEX(COUNTRIES[COUNTRY_LABEL],MATCH(PROPERTIES[[#This Row],[COUNTRY]],COUNTRIES[COUNTRY_DESCRIPTION],0)),"")</f>
        <v>GB</v>
      </c>
      <c r="H2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INDEX(LOADINGSPEEDDEF[SPEED],MATCH("LOADINGSPEEDDEF_"&amp;PROPERTIES[[#This Row],[LOADINGSPEED]],LOADINGSPEEDDEF[TYPE],0))</f>
        <v>20</v>
      </c>
      <c r="O2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4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1" t="b">
        <v>0</v>
      </c>
      <c r="AP227" s="45" t="b">
        <v>0</v>
      </c>
      <c r="AQ227" s="45" t="b">
        <v>0</v>
      </c>
      <c r="AR227" s="45">
        <v>0</v>
      </c>
      <c r="AS227" s="45" t="b">
        <v>0</v>
      </c>
      <c r="AT227" s="7" t="b">
        <v>0</v>
      </c>
      <c r="AU2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8" spans="1:47" x14ac:dyDescent="0.35">
      <c r="A228" s="2" t="s">
        <v>2856</v>
      </c>
      <c r="B228">
        <v>2002</v>
      </c>
      <c r="D2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8" s="37" t="str">
        <f>INDEX(CONTROL[ENGLISH],MATCH(PROPERTIES[[#This Row],[VEHIDCODE]],CONTROL[VEHIDCODE],0))</f>
        <v>Alstom DE43CA 'Prima'</v>
      </c>
      <c r="F228" t="s">
        <v>634</v>
      </c>
      <c r="G228" s="37" t="str">
        <f>_xlfn.IFNA(INDEX(COUNTRIES[COUNTRY_LABEL],MATCH(PROPERTIES[[#This Row],[COUNTRY]],COUNTRIES[COUNTRY_DESCRIPTION],0)),"")</f>
        <v>IR</v>
      </c>
      <c r="H2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INDEX(LOADINGSPEEDDEF[SPEED],MATCH("LOADINGSPEEDDEF_"&amp;PROPERTIES[[#This Row],[LOADINGSPEED]],LOADINGSPEEDDEF[TYPE],0))</f>
        <v>20</v>
      </c>
      <c r="O22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4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1" t="b">
        <v>0</v>
      </c>
      <c r="AP228" s="45" t="b">
        <v>0</v>
      </c>
      <c r="AQ228" s="45" t="b">
        <v>0</v>
      </c>
      <c r="AR228" s="45">
        <v>0</v>
      </c>
      <c r="AS228" s="45" t="b">
        <v>0</v>
      </c>
      <c r="AT228" s="7" t="b">
        <v>0</v>
      </c>
      <c r="AU2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29" spans="1:47" x14ac:dyDescent="0.35">
      <c r="A229" s="2" t="s">
        <v>2857</v>
      </c>
      <c r="B229">
        <v>2006</v>
      </c>
      <c r="D2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29" s="37" t="str">
        <f>INDEX(CONTROL[ENGLISH],MATCH(PROPERTIES[[#This Row],[VEHIDCODE]],CONTROL[VEHIDCODE],0))</f>
        <v>LTZ TEP150</v>
      </c>
      <c r="F229" t="s">
        <v>754</v>
      </c>
      <c r="G229" s="37" t="str">
        <f>_xlfn.IFNA(INDEX(COUNTRIES[COUNTRY_LABEL],MATCH(PROPERTIES[[#This Row],[COUNTRY]],COUNTRIES[COUNTRY_DESCRIPTION],0)),"")</f>
        <v>UA</v>
      </c>
      <c r="H2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INDEX(LOADINGSPEEDDEF[SPEED],MATCH("LOADINGSPEEDDEF_"&amp;PROPERTIES[[#This Row],[LOADINGSPEED]],LOADINGSPEEDDEF[TYPE],0))</f>
        <v>20</v>
      </c>
      <c r="O2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4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2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1" t="b">
        <v>0</v>
      </c>
      <c r="AP229" s="45" t="b">
        <v>0</v>
      </c>
      <c r="AQ229" s="45" t="b">
        <v>0</v>
      </c>
      <c r="AR229" s="45">
        <v>0</v>
      </c>
      <c r="AS229" s="45" t="b">
        <v>0</v>
      </c>
      <c r="AT229" s="7" t="b">
        <v>0</v>
      </c>
      <c r="AU2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0" spans="1:47" x14ac:dyDescent="0.35">
      <c r="A230" s="2" t="s">
        <v>2858</v>
      </c>
      <c r="B230">
        <v>2008</v>
      </c>
      <c r="D2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0" s="37" t="str">
        <f>INDEX(CONTROL[ENGLISH],MATCH(PROPERTIES[[#This Row],[VEHIDCODE]],CONTROL[VEHIDCODE],0))</f>
        <v>GE/CRRC Qishuyan ES59ACi</v>
      </c>
      <c r="F230" t="s">
        <v>575</v>
      </c>
      <c r="G230" s="37" t="str">
        <f>_xlfn.IFNA(INDEX(COUNTRIES[COUNTRY_LABEL],MATCH(PROPERTIES[[#This Row],[COUNTRY]],COUNTRIES[COUNTRY_DESCRIPTION],0)),"")</f>
        <v>CN</v>
      </c>
      <c r="H2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INDEX(LOADINGSPEEDDEF[SPEED],MATCH("LOADINGSPEEDDEF_"&amp;PROPERTIES[[#This Row],[LOADINGSPEED]],LOADINGSPEEDDEF[TYPE],0))</f>
        <v>20</v>
      </c>
      <c r="O23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4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1" t="b">
        <v>0</v>
      </c>
      <c r="AP230" s="45" t="b">
        <v>0</v>
      </c>
      <c r="AQ230" s="45" t="b">
        <v>0</v>
      </c>
      <c r="AR230" s="45">
        <v>0</v>
      </c>
      <c r="AS230" s="45" t="b">
        <v>0</v>
      </c>
      <c r="AT230" s="7" t="b">
        <v>0</v>
      </c>
      <c r="AU2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1" spans="1:47" x14ac:dyDescent="0.35">
      <c r="A231" s="2" t="s">
        <v>2859</v>
      </c>
      <c r="B231">
        <v>2010</v>
      </c>
      <c r="D2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1" s="37" t="str">
        <f>INDEX(CONTROL[ENGLISH],MATCH(PROPERTIES[[#This Row],[VEHIDCODE]],CONTROL[VEHIDCODE],0))</f>
        <v>Voith Gravita 10 BB</v>
      </c>
      <c r="F231" t="s">
        <v>584</v>
      </c>
      <c r="G231" s="37" t="str">
        <f>_xlfn.IFNA(INDEX(COUNTRIES[COUNTRY_LABEL],MATCH(PROPERTIES[[#This Row],[COUNTRY]],COUNTRIES[COUNTRY_DESCRIPTION],0)),"")</f>
        <v>DE</v>
      </c>
      <c r="H2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INDEX(LOADINGSPEEDDEF[SPEED],MATCH("LOADINGSPEEDDEF_"&amp;PROPERTIES[[#This Row],[LOADINGSPEED]],LOADINGSPEEDDEF[TYPE],0))</f>
        <v>20</v>
      </c>
      <c r="O23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4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1" t="b">
        <v>0</v>
      </c>
      <c r="AP231" s="45" t="b">
        <v>0</v>
      </c>
      <c r="AQ231" s="45" t="b">
        <v>0</v>
      </c>
      <c r="AR231" s="45">
        <v>0</v>
      </c>
      <c r="AS231" s="45" t="b">
        <v>0</v>
      </c>
      <c r="AT231" s="7" t="b">
        <v>0</v>
      </c>
      <c r="AU2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2" spans="1:47" x14ac:dyDescent="0.35">
      <c r="A232" s="2" t="s">
        <v>2860</v>
      </c>
      <c r="B232">
        <v>2011</v>
      </c>
      <c r="D2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2" s="37" t="str">
        <f>INDEX(CONTROL[ENGLISH],MATCH(PROPERTIES[[#This Row],[VEHIDCODE]],CONTROL[VEHIDCODE],0))</f>
        <v>Voronezh/VNIIZHT GT1</v>
      </c>
      <c r="F232" t="s">
        <v>716</v>
      </c>
      <c r="G232" s="37" t="str">
        <f>_xlfn.IFNA(INDEX(COUNTRIES[COUNTRY_LABEL],MATCH(PROPERTIES[[#This Row],[COUNTRY]],COUNTRIES[COUNTRY_DESCRIPTION],0)),"")</f>
        <v>RU</v>
      </c>
      <c r="H2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INDEX(LOADINGSPEEDDEF[SPEED],MATCH("LOADINGSPEEDDEF_"&amp;PROPERTIES[[#This Row],[LOADINGSPEED]],LOADINGSPEEDDEF[TYPE],0))</f>
        <v>20</v>
      </c>
      <c r="O23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4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2" t="s">
        <v>3636</v>
      </c>
      <c r="AP232" s="45" t="b">
        <v>0</v>
      </c>
      <c r="AQ232" s="45" t="b">
        <v>0</v>
      </c>
      <c r="AR232" s="45">
        <v>0</v>
      </c>
      <c r="AS232" s="45" t="b">
        <v>0</v>
      </c>
      <c r="AT232" s="7" t="b">
        <v>0</v>
      </c>
      <c r="AU2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33" spans="1:47" x14ac:dyDescent="0.35">
      <c r="A233" s="2" t="s">
        <v>2861</v>
      </c>
      <c r="B233">
        <v>2003</v>
      </c>
      <c r="D2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3" s="37" t="str">
        <f>INDEX(CONTROL[ENGLISH],MATCH(PROPERTIES[[#This Row],[VEHIDCODE]],CONTROL[VEHIDCODE],0))</f>
        <v>Siemens ER20 'Eurorunner'</v>
      </c>
      <c r="F233" t="s">
        <v>621</v>
      </c>
      <c r="G233" s="37" t="str">
        <f>_xlfn.IFNA(INDEX(COUNTRIES[COUNTRY_LABEL],MATCH(PROPERTIES[[#This Row],[COUNTRY]],COUNTRIES[COUNTRY_DESCRIPTION],0)),"")</f>
        <v>HK</v>
      </c>
      <c r="H2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INDEX(LOADINGSPEEDDEF[SPEED],MATCH("LOADINGSPEEDDEF_"&amp;PROPERTIES[[#This Row],[LOADINGSPEED]],LOADINGSPEEDDEF[TYPE],0))</f>
        <v>20</v>
      </c>
      <c r="O23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4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1" t="b">
        <v>0</v>
      </c>
      <c r="AP233" s="45" t="b">
        <v>0</v>
      </c>
      <c r="AQ233" s="45" t="b">
        <v>0</v>
      </c>
      <c r="AR233" s="45">
        <v>0</v>
      </c>
      <c r="AS233" s="45" t="b">
        <v>0</v>
      </c>
      <c r="AT233" s="7" t="b">
        <v>0</v>
      </c>
      <c r="AU2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4" spans="1:47" x14ac:dyDescent="0.35">
      <c r="A234" s="2" t="s">
        <v>2862</v>
      </c>
      <c r="B234">
        <v>2010</v>
      </c>
      <c r="D2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4" s="37" t="str">
        <f>INDEX(CONTROL[ENGLISH],MATCH(PROPERTIES[[#This Row],[VEHIDCODE]],CONTROL[VEHIDCODE],0))</f>
        <v>Voith Maxima 40 CC</v>
      </c>
      <c r="F234" t="s">
        <v>584</v>
      </c>
      <c r="G234" s="37" t="str">
        <f>_xlfn.IFNA(INDEX(COUNTRIES[COUNTRY_LABEL],MATCH(PROPERTIES[[#This Row],[COUNTRY]],COUNTRIES[COUNTRY_DESCRIPTION],0)),"")</f>
        <v>DE</v>
      </c>
      <c r="H2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INDEX(LOADINGSPEEDDEF[SPEED],MATCH("LOADINGSPEEDDEF_"&amp;PROPERTIES[[#This Row],[LOADINGSPEED]],LOADINGSPEEDDEF[TYPE],0))</f>
        <v>20</v>
      </c>
      <c r="O2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4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1" t="b">
        <v>0</v>
      </c>
      <c r="AP234" s="45" t="b">
        <v>0</v>
      </c>
      <c r="AQ234" s="45" t="b">
        <v>0</v>
      </c>
      <c r="AR234" s="45">
        <v>0</v>
      </c>
      <c r="AS234" s="45" t="b">
        <v>0</v>
      </c>
      <c r="AT234" s="7" t="b">
        <v>0</v>
      </c>
      <c r="AU2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5" spans="1:47" x14ac:dyDescent="0.35">
      <c r="A235" s="2" t="s">
        <v>2863</v>
      </c>
      <c r="B235">
        <v>1926</v>
      </c>
      <c r="D2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5" s="37" t="str">
        <f>INDEX(CONTROL[ENGLISH],MATCH(PROPERTIES[[#This Row],[VEHIDCODE]],CONTROL[VEHIDCODE],0))</f>
        <v>Hohenzollern Emch3</v>
      </c>
      <c r="F235" t="s">
        <v>716</v>
      </c>
      <c r="G235" s="37" t="str">
        <f>_xlfn.IFNA(INDEX(COUNTRIES[COUNTRY_LABEL],MATCH(PROPERTIES[[#This Row],[COUNTRY]],COUNTRIES[COUNTRY_DESCRIPTION],0)),"")</f>
        <v>RU</v>
      </c>
      <c r="H2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INDEX(LOADINGSPEEDDEF[SPEED],MATCH("LOADINGSPEEDDEF_"&amp;PROPERTIES[[#This Row],[LOADINGSPEED]],LOADINGSPEEDDEF[TYPE],0))</f>
        <v>20</v>
      </c>
      <c r="O2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4">
        <v>0</v>
      </c>
      <c r="AF235" s="6">
        <v>0</v>
      </c>
      <c r="AG235" t="s">
        <v>1940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1" t="b">
        <v>0</v>
      </c>
      <c r="AP235" s="45" t="b">
        <v>0</v>
      </c>
      <c r="AQ235" s="45" t="b">
        <v>0</v>
      </c>
      <c r="AR235" s="45">
        <v>0</v>
      </c>
      <c r="AS235" s="45" t="b">
        <v>0</v>
      </c>
      <c r="AT235" s="7" t="b">
        <v>0</v>
      </c>
      <c r="AU2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36" spans="1:47" x14ac:dyDescent="0.35">
      <c r="A236" s="2" t="s">
        <v>2864</v>
      </c>
      <c r="B236">
        <v>1928</v>
      </c>
      <c r="D2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6" s="37" t="str">
        <f>INDEX(CONTROL[ENGLISH],MATCH(PROPERTIES[[#This Row],[VEHIDCODE]],CONTROL[VEHIDCODE],0))</f>
        <v>Canadian Locomotive Company V-1</v>
      </c>
      <c r="F236" t="s">
        <v>565</v>
      </c>
      <c r="G236" s="37" t="str">
        <f>_xlfn.IFNA(INDEX(COUNTRIES[COUNTRY_LABEL],MATCH(PROPERTIES[[#This Row],[COUNTRY]],COUNTRIES[COUNTRY_DESCRIPTION],0)),"")</f>
        <v>CA</v>
      </c>
      <c r="H2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INDEX(LOADINGSPEEDDEF[SPEED],MATCH("LOADINGSPEEDDEF_"&amp;PROPERTIES[[#This Row],[LOADINGSPEED]],LOADINGSPEEDDEF[TYPE],0))</f>
        <v>20</v>
      </c>
      <c r="O2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4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1" t="b">
        <v>0</v>
      </c>
      <c r="AP236" s="45" t="b">
        <v>0</v>
      </c>
      <c r="AQ236" s="45" t="b">
        <v>0</v>
      </c>
      <c r="AR236" s="45">
        <v>0</v>
      </c>
      <c r="AS236" s="45" t="b">
        <v>0</v>
      </c>
      <c r="AT236" s="7" t="b">
        <v>0</v>
      </c>
      <c r="AU2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37" spans="1:47" x14ac:dyDescent="0.35">
      <c r="A237" s="2" t="s">
        <v>2865</v>
      </c>
      <c r="B237">
        <v>1932</v>
      </c>
      <c r="C237">
        <v>1960</v>
      </c>
      <c r="D2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7" s="37" t="str">
        <f>INDEX(CONTROL[ENGLISH],MATCH(PROPERTIES[[#This Row],[VEHIDCODE]],CONTROL[VEHIDCODE],0))</f>
        <v>LMS 7051 Diesel Shunter</v>
      </c>
      <c r="F237" t="s">
        <v>603</v>
      </c>
      <c r="G237" s="37" t="str">
        <f>_xlfn.IFNA(INDEX(COUNTRIES[COUNTRY_LABEL],MATCH(PROPERTIES[[#This Row],[COUNTRY]],COUNTRIES[COUNTRY_DESCRIPTION],0)),"")</f>
        <v>GB</v>
      </c>
      <c r="H2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INDEX(LOADINGSPEEDDEF[SPEED],MATCH("LOADINGSPEEDDEF_"&amp;PROPERTIES[[#This Row],[LOADINGSPEED]],LOADINGSPEEDDEF[TYPE],0))</f>
        <v>20</v>
      </c>
      <c r="O2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4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1" t="b">
        <v>0</v>
      </c>
      <c r="AP237" s="45" t="b">
        <v>0</v>
      </c>
      <c r="AQ237" s="45" t="b">
        <v>0</v>
      </c>
      <c r="AR237" s="45">
        <v>0</v>
      </c>
      <c r="AS237" s="45" t="b">
        <v>0</v>
      </c>
      <c r="AT237" s="7" t="b">
        <v>0</v>
      </c>
      <c r="AU2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38" spans="1:47" x14ac:dyDescent="0.35">
      <c r="A238" s="2" t="s">
        <v>2866</v>
      </c>
      <c r="B238">
        <v>1937</v>
      </c>
      <c r="C238">
        <v>1957</v>
      </c>
      <c r="D2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8" s="37" t="str">
        <f>INDEX(CONTROL[ENGLISH],MATCH(PROPERTIES[[#This Row],[VEHIDCODE]],CONTROL[VEHIDCODE],0))</f>
        <v>EMC TA</v>
      </c>
      <c r="F238" t="s">
        <v>757</v>
      </c>
      <c r="G238" s="37" t="str">
        <f>_xlfn.IFNA(INDEX(COUNTRIES[COUNTRY_LABEL],MATCH(PROPERTIES[[#This Row],[COUNTRY]],COUNTRIES[COUNTRY_DESCRIPTION],0)),"")</f>
        <v>US</v>
      </c>
      <c r="H2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INDEX(LOADINGSPEEDDEF[SPEED],MATCH("LOADINGSPEEDDEF_"&amp;PROPERTIES[[#This Row],[LOADINGSPEED]],LOADINGSPEEDDEF[TYPE],0))</f>
        <v>20</v>
      </c>
      <c r="O2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4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1" t="b">
        <v>0</v>
      </c>
      <c r="AP238" s="45" t="b">
        <v>0</v>
      </c>
      <c r="AQ238" s="45" t="b">
        <v>0</v>
      </c>
      <c r="AR238" s="45">
        <v>0</v>
      </c>
      <c r="AS238" s="45" t="b">
        <v>0</v>
      </c>
      <c r="AT238" s="7" t="b">
        <v>0</v>
      </c>
      <c r="AU2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39" spans="1:47" x14ac:dyDescent="0.35">
      <c r="A239" s="2" t="s">
        <v>2867</v>
      </c>
      <c r="B239">
        <v>1939</v>
      </c>
      <c r="C239">
        <v>1960</v>
      </c>
      <c r="D2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39" s="37" t="str">
        <f>INDEX(CONTROL[ENGLISH],MATCH(PROPERTIES[[#This Row],[VEHIDCODE]],CONTROL[VEHIDCODE],0))</f>
        <v>Baldwin VO-660</v>
      </c>
      <c r="F239" t="s">
        <v>757</v>
      </c>
      <c r="G239" s="37" t="str">
        <f>_xlfn.IFNA(INDEX(COUNTRIES[COUNTRY_LABEL],MATCH(PROPERTIES[[#This Row],[COUNTRY]],COUNTRIES[COUNTRY_DESCRIPTION],0)),"")</f>
        <v>US</v>
      </c>
      <c r="H2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INDEX(LOADINGSPEEDDEF[SPEED],MATCH("LOADINGSPEEDDEF_"&amp;PROPERTIES[[#This Row],[LOADINGSPEED]],LOADINGSPEEDDEF[TYPE],0))</f>
        <v>20</v>
      </c>
      <c r="O2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4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3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1" t="b">
        <v>0</v>
      </c>
      <c r="AP239" s="45" t="b">
        <v>0</v>
      </c>
      <c r="AQ239" s="45" t="b">
        <v>0</v>
      </c>
      <c r="AR239" s="45">
        <v>0</v>
      </c>
      <c r="AS239" s="45" t="b">
        <v>0</v>
      </c>
      <c r="AT239" s="7" t="b">
        <v>0</v>
      </c>
      <c r="AU2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0" spans="1:47" x14ac:dyDescent="0.35">
      <c r="A240" s="2" t="s">
        <v>2868</v>
      </c>
      <c r="B240">
        <v>1939</v>
      </c>
      <c r="C240">
        <v>1964</v>
      </c>
      <c r="D2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0" s="37" t="str">
        <f>INDEX(CONTROL[ENGLISH],MATCH(PROPERTIES[[#This Row],[VEHIDCODE]],CONTROL[VEHIDCODE],0))</f>
        <v>LMS No. 7080 'D3/7'</v>
      </c>
      <c r="F240" t="s">
        <v>603</v>
      </c>
      <c r="G240" s="37" t="str">
        <f>_xlfn.IFNA(INDEX(COUNTRIES[COUNTRY_LABEL],MATCH(PROPERTIES[[#This Row],[COUNTRY]],COUNTRIES[COUNTRY_DESCRIPTION],0)),"")</f>
        <v>GB</v>
      </c>
      <c r="H2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INDEX(LOADINGSPEEDDEF[SPEED],MATCH("LOADINGSPEEDDEF_"&amp;PROPERTIES[[#This Row],[LOADINGSPEED]],LOADINGSPEEDDEF[TYPE],0))</f>
        <v>20</v>
      </c>
      <c r="O2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4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1" t="b">
        <v>0</v>
      </c>
      <c r="AP240" s="45" t="b">
        <v>0</v>
      </c>
      <c r="AQ240" s="45" t="b">
        <v>0</v>
      </c>
      <c r="AR240" s="45">
        <v>0</v>
      </c>
      <c r="AS240" s="45" t="b">
        <v>0</v>
      </c>
      <c r="AT240" s="7" t="b">
        <v>0</v>
      </c>
      <c r="AU2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41" spans="1:47" x14ac:dyDescent="0.35">
      <c r="A241" s="2" t="s">
        <v>2869</v>
      </c>
      <c r="B241">
        <v>1939</v>
      </c>
      <c r="C241">
        <v>1988</v>
      </c>
      <c r="D2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1" s="37" t="str">
        <f>INDEX(CONTROL[ENGLISH],MATCH(PROPERTIES[[#This Row],[VEHIDCODE]],CONTROL[VEHIDCODE],0))</f>
        <v>Queensland Railways DL</v>
      </c>
      <c r="F241" t="s">
        <v>541</v>
      </c>
      <c r="G241" s="37" t="str">
        <f>_xlfn.IFNA(INDEX(COUNTRIES[COUNTRY_LABEL],MATCH(PROPERTIES[[#This Row],[COUNTRY]],COUNTRIES[COUNTRY_DESCRIPTION],0)),"")</f>
        <v>AU</v>
      </c>
      <c r="H2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INDEX(LOADINGSPEEDDEF[SPEED],MATCH("LOADINGSPEEDDEF_"&amp;PROPERTIES[[#This Row],[LOADINGSPEED]],LOADINGSPEEDDEF[TYPE],0))</f>
        <v>20</v>
      </c>
      <c r="O2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4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1" t="b">
        <v>0</v>
      </c>
      <c r="AP241" s="45" t="b">
        <v>0</v>
      </c>
      <c r="AQ241" s="45" t="b">
        <v>0</v>
      </c>
      <c r="AR241" s="45">
        <v>0</v>
      </c>
      <c r="AS241" s="45" t="b">
        <v>0</v>
      </c>
      <c r="AT241" s="7" t="b">
        <v>0</v>
      </c>
      <c r="AU2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42" spans="1:47" x14ac:dyDescent="0.35">
      <c r="A242" s="2" t="s">
        <v>2870</v>
      </c>
      <c r="B242">
        <v>1944</v>
      </c>
      <c r="D2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2" s="37" t="str">
        <f>INDEX(CONTROL[ENGLISH],MATCH(PROPERTIES[[#This Row],[VEHIDCODE]],CONTROL[VEHIDCODE],0))</f>
        <v>FM H-10-44</v>
      </c>
      <c r="F242" t="s">
        <v>757</v>
      </c>
      <c r="G242" s="37" t="str">
        <f>_xlfn.IFNA(INDEX(COUNTRIES[COUNTRY_LABEL],MATCH(PROPERTIES[[#This Row],[COUNTRY]],COUNTRIES[COUNTRY_DESCRIPTION],0)),"")</f>
        <v>US</v>
      </c>
      <c r="H2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INDEX(LOADINGSPEEDDEF[SPEED],MATCH("LOADINGSPEEDDEF_"&amp;PROPERTIES[[#This Row],[LOADINGSPEED]],LOADINGSPEEDDEF[TYPE],0))</f>
        <v>20</v>
      </c>
      <c r="O2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4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1" t="b">
        <v>0</v>
      </c>
      <c r="AP242" s="45" t="b">
        <v>0</v>
      </c>
      <c r="AQ242" s="45" t="b">
        <v>0</v>
      </c>
      <c r="AR242" s="45">
        <v>0</v>
      </c>
      <c r="AS242" s="45" t="b">
        <v>0</v>
      </c>
      <c r="AT242" s="7" t="b">
        <v>0</v>
      </c>
      <c r="AU2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3" spans="1:47" x14ac:dyDescent="0.35">
      <c r="A243" s="2" t="s">
        <v>2871</v>
      </c>
      <c r="B243">
        <v>1948</v>
      </c>
      <c r="D2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3" s="37" t="str">
        <f>INDEX(CONTROL[ENGLISH],MATCH(PROPERTIES[[#This Row],[VEHIDCODE]],CONTROL[VEHIDCODE],0))</f>
        <v>Baldwin DRS6-4-1000</v>
      </c>
      <c r="F243" t="s">
        <v>589</v>
      </c>
      <c r="G243" s="37" t="str">
        <f>_xlfn.IFNA(INDEX(COUNTRIES[COUNTRY_LABEL],MATCH(PROPERTIES[[#This Row],[COUNTRY]],COUNTRIES[COUNTRY_DESCRIPTION],0)),"")</f>
        <v>DZ</v>
      </c>
      <c r="H2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INDEX(LOADINGSPEEDDEF[SPEED],MATCH("LOADINGSPEEDDEF_"&amp;PROPERTIES[[#This Row],[LOADINGSPEED]],LOADINGSPEEDDEF[TYPE],0))</f>
        <v>20</v>
      </c>
      <c r="O2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4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1" t="b">
        <v>0</v>
      </c>
      <c r="AP243" s="45" t="b">
        <v>0</v>
      </c>
      <c r="AQ243" s="45" t="b">
        <v>0</v>
      </c>
      <c r="AR243" s="45">
        <v>0</v>
      </c>
      <c r="AS243" s="45" t="b">
        <v>0</v>
      </c>
      <c r="AT243" s="7" t="b">
        <v>0</v>
      </c>
      <c r="AU2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4" spans="1:47" x14ac:dyDescent="0.35">
      <c r="A244" s="2" t="s">
        <v>2872</v>
      </c>
      <c r="B244">
        <v>1950</v>
      </c>
      <c r="C244">
        <v>1974</v>
      </c>
      <c r="D2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4" s="37" t="str">
        <f>INDEX(CONTROL[ENGLISH],MATCH(PROPERTIES[[#This Row],[VEHIDCODE]],CONTROL[VEHIDCODE],0))</f>
        <v>CIE 113</v>
      </c>
      <c r="F244" t="s">
        <v>628</v>
      </c>
      <c r="G244" s="37" t="str">
        <f>_xlfn.IFNA(INDEX(COUNTRIES[COUNTRY_LABEL],MATCH(PROPERTIES[[#This Row],[COUNTRY]],COUNTRIES[COUNTRY_DESCRIPTION],0)),"")</f>
        <v>IE</v>
      </c>
      <c r="H2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INDEX(LOADINGSPEEDDEF[SPEED],MATCH("LOADINGSPEEDDEF_"&amp;PROPERTIES[[#This Row],[LOADINGSPEED]],LOADINGSPEEDDEF[TYPE],0))</f>
        <v>20</v>
      </c>
      <c r="O2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4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1" t="b">
        <v>0</v>
      </c>
      <c r="AP244" s="45" t="b">
        <v>0</v>
      </c>
      <c r="AQ244" s="45" t="b">
        <v>0</v>
      </c>
      <c r="AR244" s="45">
        <v>0</v>
      </c>
      <c r="AS244" s="45" t="b">
        <v>0</v>
      </c>
      <c r="AT244" s="7" t="b">
        <v>0</v>
      </c>
      <c r="AU2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5" spans="1:47" x14ac:dyDescent="0.35">
      <c r="A245" s="2" t="s">
        <v>2873</v>
      </c>
      <c r="B245">
        <v>1950</v>
      </c>
      <c r="C245">
        <v>1970</v>
      </c>
      <c r="D2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5" s="37" t="str">
        <f>INDEX(CONTROL[ENGLISH],MATCH(PROPERTIES[[#This Row],[VEHIDCODE]],CONTROL[VEHIDCODE],0))</f>
        <v>Baldwin AS-616</v>
      </c>
      <c r="F245" t="s">
        <v>558</v>
      </c>
      <c r="G245" s="37" t="str">
        <f>_xlfn.IFNA(INDEX(COUNTRIES[COUNTRY_LABEL],MATCH(PROPERTIES[[#This Row],[COUNTRY]],COUNTRIES[COUNTRY_DESCRIPTION],0)),"")</f>
        <v>BR</v>
      </c>
      <c r="H2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INDEX(LOADINGSPEEDDEF[SPEED],MATCH("LOADINGSPEEDDEF_"&amp;PROPERTIES[[#This Row],[LOADINGSPEED]],LOADINGSPEEDDEF[TYPE],0))</f>
        <v>20</v>
      </c>
      <c r="O2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4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1" t="b">
        <v>0</v>
      </c>
      <c r="AP245" s="45" t="b">
        <v>0</v>
      </c>
      <c r="AQ245" s="45" t="b">
        <v>0</v>
      </c>
      <c r="AR245" s="45">
        <v>0</v>
      </c>
      <c r="AS245" s="45" t="b">
        <v>0</v>
      </c>
      <c r="AT245" s="7" t="b">
        <v>0</v>
      </c>
      <c r="AU2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6" spans="1:47" x14ac:dyDescent="0.35">
      <c r="A246" s="2" t="s">
        <v>2874</v>
      </c>
      <c r="B246">
        <v>1950</v>
      </c>
      <c r="C246">
        <v>1970</v>
      </c>
      <c r="D2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6" s="37" t="str">
        <f>INDEX(CONTROL[ENGLISH],MATCH(PROPERTIES[[#This Row],[VEHIDCODE]],CONTROL[VEHIDCODE],0))</f>
        <v>FM H-16-44</v>
      </c>
      <c r="F246" t="s">
        <v>683</v>
      </c>
      <c r="G246" s="37" t="str">
        <f>_xlfn.IFNA(INDEX(COUNTRIES[COUNTRY_LABEL],MATCH(PROPERTIES[[#This Row],[COUNTRY]],COUNTRIES[COUNTRY_DESCRIPTION],0)),"")</f>
        <v>MX</v>
      </c>
      <c r="H2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INDEX(LOADINGSPEEDDEF[SPEED],MATCH("LOADINGSPEEDDEF_"&amp;PROPERTIES[[#This Row],[LOADINGSPEED]],LOADINGSPEEDDEF[TYPE],0))</f>
        <v>20</v>
      </c>
      <c r="O2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4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1" t="b">
        <v>0</v>
      </c>
      <c r="AP246" s="45" t="b">
        <v>0</v>
      </c>
      <c r="AQ246" s="45" t="b">
        <v>0</v>
      </c>
      <c r="AR246" s="45">
        <v>0</v>
      </c>
      <c r="AS246" s="45" t="b">
        <v>0</v>
      </c>
      <c r="AT246" s="7" t="b">
        <v>0</v>
      </c>
      <c r="AU2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7" spans="1:47" x14ac:dyDescent="0.35">
      <c r="A247" s="2" t="s">
        <v>2875</v>
      </c>
      <c r="B247">
        <v>1951</v>
      </c>
      <c r="C247">
        <v>1979</v>
      </c>
      <c r="D2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7" s="37" t="str">
        <f>INDEX(CONTROL[ENGLISH],MATCH(PROPERTIES[[#This Row],[VEHIDCODE]],CONTROL[VEHIDCODE],0))</f>
        <v>Islington Railway Workshops SAR 900</v>
      </c>
      <c r="F247" t="s">
        <v>541</v>
      </c>
      <c r="G247" s="37" t="str">
        <f>_xlfn.IFNA(INDEX(COUNTRIES[COUNTRY_LABEL],MATCH(PROPERTIES[[#This Row],[COUNTRY]],COUNTRIES[COUNTRY_DESCRIPTION],0)),"")</f>
        <v>AU</v>
      </c>
      <c r="H2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INDEX(LOADINGSPEEDDEF[SPEED],MATCH("LOADINGSPEEDDEF_"&amp;PROPERTIES[[#This Row],[LOADINGSPEED]],LOADINGSPEEDDEF[TYPE],0))</f>
        <v>20</v>
      </c>
      <c r="O2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4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1" t="b">
        <v>0</v>
      </c>
      <c r="AP247" s="45" t="b">
        <v>0</v>
      </c>
      <c r="AQ247" s="45" t="b">
        <v>0</v>
      </c>
      <c r="AR247" s="45">
        <v>0</v>
      </c>
      <c r="AS247" s="45" t="b">
        <v>0</v>
      </c>
      <c r="AT247" s="7" t="b">
        <v>0</v>
      </c>
      <c r="AU2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8" spans="1:47" x14ac:dyDescent="0.35">
      <c r="A248" s="2" t="s">
        <v>2876</v>
      </c>
      <c r="B248">
        <v>1954</v>
      </c>
      <c r="C248">
        <v>2030</v>
      </c>
      <c r="D2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8" s="37" t="str">
        <f>INDEX(CONTROL[ENGLISH],MATCH(PROPERTIES[[#This Row],[VEHIDCODE]],CONTROL[VEHIDCODE],0))</f>
        <v>EMD G12</v>
      </c>
      <c r="F248" t="s">
        <v>757</v>
      </c>
      <c r="G248" s="37" t="str">
        <f>_xlfn.IFNA(INDEX(COUNTRIES[COUNTRY_LABEL],MATCH(PROPERTIES[[#This Row],[COUNTRY]],COUNTRIES[COUNTRY_DESCRIPTION],0)),"")</f>
        <v>US</v>
      </c>
      <c r="H2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INDEX(LOADINGSPEEDDEF[SPEED],MATCH("LOADINGSPEEDDEF_"&amp;PROPERTIES[[#This Row],[LOADINGSPEED]],LOADINGSPEEDDEF[TYPE],0))</f>
        <v>20</v>
      </c>
      <c r="O2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4">
        <v>0</v>
      </c>
      <c r="AF248" s="6">
        <v>0</v>
      </c>
      <c r="AG248" t="s">
        <v>1939</v>
      </c>
      <c r="AH248" t="s">
        <v>240</v>
      </c>
      <c r="AI248" t="s">
        <v>233</v>
      </c>
      <c r="AJ248" s="2" t="s">
        <v>1942</v>
      </c>
      <c r="AK248" s="2" t="s">
        <v>244</v>
      </c>
      <c r="AL24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1" t="b">
        <v>0</v>
      </c>
      <c r="AP248" s="45" t="b">
        <v>0</v>
      </c>
      <c r="AQ248" s="45" t="b">
        <v>0</v>
      </c>
      <c r="AR248" s="45">
        <v>0</v>
      </c>
      <c r="AS248" s="45" t="b">
        <v>0</v>
      </c>
      <c r="AT248" s="7" t="b">
        <v>0</v>
      </c>
      <c r="AU2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49" spans="1:47" x14ac:dyDescent="0.35">
      <c r="A249" s="2" t="s">
        <v>2877</v>
      </c>
      <c r="B249">
        <v>1955</v>
      </c>
      <c r="C249">
        <v>1973</v>
      </c>
      <c r="D2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49" s="37" t="str">
        <f>INDEX(CONTROL[ENGLISH],MATCH(PROPERTIES[[#This Row],[VEHIDCODE]],CONTROL[VEHIDCODE],0))</f>
        <v>Metropolitan-Vickers/CIE 001</v>
      </c>
      <c r="F249" t="s">
        <v>628</v>
      </c>
      <c r="G249" s="37" t="str">
        <f>_xlfn.IFNA(INDEX(COUNTRIES[COUNTRY_LABEL],MATCH(PROPERTIES[[#This Row],[COUNTRY]],COUNTRIES[COUNTRY_DESCRIPTION],0)),"")</f>
        <v>IE</v>
      </c>
      <c r="H2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INDEX(LOADINGSPEEDDEF[SPEED],MATCH("LOADINGSPEEDDEF_"&amp;PROPERTIES[[#This Row],[LOADINGSPEED]],LOADINGSPEEDDEF[TYPE],0))</f>
        <v>20</v>
      </c>
      <c r="O2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4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4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1" t="b">
        <v>0</v>
      </c>
      <c r="AP249" s="45" t="b">
        <v>0</v>
      </c>
      <c r="AQ249" s="45" t="b">
        <v>0</v>
      </c>
      <c r="AR249" s="45">
        <v>0</v>
      </c>
      <c r="AS249" s="45" t="b">
        <v>0</v>
      </c>
      <c r="AT249" s="7" t="b">
        <v>0</v>
      </c>
      <c r="AU2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0" spans="1:47" x14ac:dyDescent="0.35">
      <c r="A250" s="2" t="s">
        <v>2878</v>
      </c>
      <c r="B250">
        <v>1957</v>
      </c>
      <c r="C250">
        <v>2030</v>
      </c>
      <c r="D2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0" s="37" t="str">
        <f>INDEX(CONTROL[ENGLISH],MATCH(PROPERTIES[[#This Row],[VEHIDCODE]],CONTROL[VEHIDCODE],0))</f>
        <v>Fiat Grandi Motori D.341</v>
      </c>
      <c r="F250" t="s">
        <v>636</v>
      </c>
      <c r="G250" s="37" t="str">
        <f>_xlfn.IFNA(INDEX(COUNTRIES[COUNTRY_LABEL],MATCH(PROPERTIES[[#This Row],[COUNTRY]],COUNTRIES[COUNTRY_DESCRIPTION],0)),"")</f>
        <v>IT</v>
      </c>
      <c r="H2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INDEX(LOADINGSPEEDDEF[SPEED],MATCH("LOADINGSPEEDDEF_"&amp;PROPERTIES[[#This Row],[LOADINGSPEED]],LOADINGSPEEDDEF[TYPE],0))</f>
        <v>20</v>
      </c>
      <c r="O2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4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1" t="b">
        <v>0</v>
      </c>
      <c r="AP250" s="45" t="b">
        <v>0</v>
      </c>
      <c r="AQ250" s="45" t="b">
        <v>0</v>
      </c>
      <c r="AR250" s="45">
        <v>0</v>
      </c>
      <c r="AS250" s="45" t="b">
        <v>0</v>
      </c>
      <c r="AT250" s="7" t="b">
        <v>0</v>
      </c>
      <c r="AU2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1" spans="1:47" x14ac:dyDescent="0.35">
      <c r="A251" s="2" t="s">
        <v>2879</v>
      </c>
      <c r="B251">
        <v>1957</v>
      </c>
      <c r="C251">
        <v>1987</v>
      </c>
      <c r="D2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1" s="37" t="str">
        <f>INDEX(CONTROL[ENGLISH],MATCH(PROPERTIES[[#This Row],[VEHIDCODE]],CONTROL[VEHIDCODE],0))</f>
        <v>ALCO/AE Goodwin DL-500B</v>
      </c>
      <c r="F251" t="s">
        <v>541</v>
      </c>
      <c r="G251" s="37" t="str">
        <f>_xlfn.IFNA(INDEX(COUNTRIES[COUNTRY_LABEL],MATCH(PROPERTIES[[#This Row],[COUNTRY]],COUNTRIES[COUNTRY_DESCRIPTION],0)),"")</f>
        <v>AU</v>
      </c>
      <c r="H2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INDEX(LOADINGSPEEDDEF[SPEED],MATCH("LOADINGSPEEDDEF_"&amp;PROPERTIES[[#This Row],[LOADINGSPEED]],LOADINGSPEEDDEF[TYPE],0))</f>
        <v>20</v>
      </c>
      <c r="O2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4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1" t="b">
        <v>0</v>
      </c>
      <c r="AP251" s="45" t="b">
        <v>0</v>
      </c>
      <c r="AQ251" s="45" t="b">
        <v>1</v>
      </c>
      <c r="AR251" s="45">
        <v>0</v>
      </c>
      <c r="AS251" s="45" t="b">
        <v>0</v>
      </c>
      <c r="AT251" s="7" t="b">
        <v>1</v>
      </c>
      <c r="AU2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2" spans="1:47" x14ac:dyDescent="0.35">
      <c r="A252" s="2" t="s">
        <v>2880</v>
      </c>
      <c r="B252">
        <v>1959</v>
      </c>
      <c r="C252">
        <v>1971</v>
      </c>
      <c r="D2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2" s="37" t="str">
        <f>INDEX(CONTROL[ENGLISH],MATCH(PROPERTIES[[#This Row],[VEHIDCODE]],CONTROL[VEHIDCODE],0))</f>
        <v>Henschel DH-1420</v>
      </c>
      <c r="F252" t="s">
        <v>773</v>
      </c>
      <c r="G252" s="37" t="str">
        <f>_xlfn.IFNA(INDEX(COUNTRIES[COUNTRY_LABEL],MATCH(PROPERTIES[[#This Row],[COUNTRY]],COUNTRIES[COUNTRY_DESCRIPTION],0)),"")</f>
        <v>ZW</v>
      </c>
      <c r="H2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INDEX(LOADINGSPEEDDEF[SPEED],MATCH("LOADINGSPEEDDEF_"&amp;PROPERTIES[[#This Row],[LOADINGSPEED]],LOADINGSPEEDDEF[TYPE],0))</f>
        <v>20</v>
      </c>
      <c r="O2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4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1" t="b">
        <v>0</v>
      </c>
      <c r="AP252" s="45" t="b">
        <v>0</v>
      </c>
      <c r="AQ252" s="45" t="b">
        <v>0</v>
      </c>
      <c r="AR252" s="45">
        <v>0</v>
      </c>
      <c r="AS252" s="45" t="b">
        <v>0</v>
      </c>
      <c r="AT252" s="7" t="b">
        <v>0</v>
      </c>
      <c r="AU2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3" spans="1:47" x14ac:dyDescent="0.35">
      <c r="A253" s="2" t="s">
        <v>2881</v>
      </c>
      <c r="B253">
        <v>1960</v>
      </c>
      <c r="C253">
        <v>1998</v>
      </c>
      <c r="D2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3" s="37" t="str">
        <f>INDEX(CONTROL[ENGLISH],MATCH(PROPERTIES[[#This Row],[VEHIDCODE]],CONTROL[VEHIDCODE],0))</f>
        <v>EMD SD18</v>
      </c>
      <c r="F253" t="s">
        <v>757</v>
      </c>
      <c r="G253" s="37" t="str">
        <f>_xlfn.IFNA(INDEX(COUNTRIES[COUNTRY_LABEL],MATCH(PROPERTIES[[#This Row],[COUNTRY]],COUNTRIES[COUNTRY_DESCRIPTION],0)),"")</f>
        <v>US</v>
      </c>
      <c r="H2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INDEX(LOADINGSPEEDDEF[SPEED],MATCH("LOADINGSPEEDDEF_"&amp;PROPERTIES[[#This Row],[LOADINGSPEED]],LOADINGSPEEDDEF[TYPE],0))</f>
        <v>20</v>
      </c>
      <c r="O2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4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1" t="b">
        <v>0</v>
      </c>
      <c r="AP253" s="45" t="b">
        <v>0</v>
      </c>
      <c r="AQ253" s="45" t="b">
        <v>0</v>
      </c>
      <c r="AR253" s="45">
        <v>0</v>
      </c>
      <c r="AS253" s="45" t="b">
        <v>0</v>
      </c>
      <c r="AT253" s="7" t="b">
        <v>0</v>
      </c>
      <c r="AU2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4" spans="1:47" x14ac:dyDescent="0.35">
      <c r="A254" s="2" t="s">
        <v>2882</v>
      </c>
      <c r="B254">
        <v>1971</v>
      </c>
      <c r="C254">
        <v>2030</v>
      </c>
      <c r="D2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4" s="37" t="str">
        <f>INDEX(CONTROL[ENGLISH],MATCH(PROPERTIES[[#This Row],[VEHIDCODE]],CONTROL[VEHIDCODE],0))</f>
        <v>Fiat Grandi Motori D.345</v>
      </c>
      <c r="F254" t="s">
        <v>636</v>
      </c>
      <c r="G254" s="37" t="str">
        <f>_xlfn.IFNA(INDEX(COUNTRIES[COUNTRY_LABEL],MATCH(PROPERTIES[[#This Row],[COUNTRY]],COUNTRIES[COUNTRY_DESCRIPTION],0)),"")</f>
        <v>IT</v>
      </c>
      <c r="H2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INDEX(LOADINGSPEEDDEF[SPEED],MATCH("LOADINGSPEEDDEF_"&amp;PROPERTIES[[#This Row],[LOADINGSPEED]],LOADINGSPEEDDEF[TYPE],0))</f>
        <v>20</v>
      </c>
      <c r="O2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4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1" t="b">
        <v>0</v>
      </c>
      <c r="AP254" s="45" t="b">
        <v>0</v>
      </c>
      <c r="AQ254" s="45" t="b">
        <v>0</v>
      </c>
      <c r="AR254" s="45">
        <v>0</v>
      </c>
      <c r="AS254" s="45" t="b">
        <v>0</v>
      </c>
      <c r="AT254" s="7" t="b">
        <v>0</v>
      </c>
      <c r="AU2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5" spans="1:47" x14ac:dyDescent="0.35">
      <c r="A255" s="2" t="s">
        <v>2883</v>
      </c>
      <c r="B255">
        <v>1980</v>
      </c>
      <c r="C255">
        <v>2030</v>
      </c>
      <c r="D2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5" s="37" t="str">
        <f>INDEX(CONTROL[ENGLISH],MATCH(PROPERTIES[[#This Row],[VEHIDCODE]],CONTROL[VEHIDCODE],0))</f>
        <v>Henschel Di4</v>
      </c>
      <c r="F255" t="s">
        <v>693</v>
      </c>
      <c r="G255" s="37" t="str">
        <f>_xlfn.IFNA(INDEX(COUNTRIES[COUNTRY_LABEL],MATCH(PROPERTIES[[#This Row],[COUNTRY]],COUNTRIES[COUNTRY_DESCRIPTION],0)),"")</f>
        <v>NO</v>
      </c>
      <c r="H2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INDEX(LOADINGSPEEDDEF[SPEED],MATCH("LOADINGSPEEDDEF_"&amp;PROPERTIES[[#This Row],[LOADINGSPEED]],LOADINGSPEEDDEF[TYPE],0))</f>
        <v>20</v>
      </c>
      <c r="O25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4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1" t="b">
        <v>0</v>
      </c>
      <c r="AP255" s="45" t="b">
        <v>0</v>
      </c>
      <c r="AQ255" s="45" t="b">
        <v>0</v>
      </c>
      <c r="AR255" s="45">
        <v>0</v>
      </c>
      <c r="AS255" s="45" t="b">
        <v>0</v>
      </c>
      <c r="AT255" s="7" t="b">
        <v>0</v>
      </c>
      <c r="AU2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6" spans="1:47" x14ac:dyDescent="0.35">
      <c r="A256" s="2" t="s">
        <v>2884</v>
      </c>
      <c r="B256">
        <v>1984</v>
      </c>
      <c r="C256">
        <v>2010</v>
      </c>
      <c r="D2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6" s="37" t="str">
        <f>INDEX(CONTROL[ENGLISH],MATCH(PROPERTIES[[#This Row],[VEHIDCODE]],CONTROL[VEHIDCODE],0))</f>
        <v>Qishuyan DF8</v>
      </c>
      <c r="F256" t="s">
        <v>575</v>
      </c>
      <c r="G256" s="37" t="str">
        <f>_xlfn.IFNA(INDEX(COUNTRIES[COUNTRY_LABEL],MATCH(PROPERTIES[[#This Row],[COUNTRY]],COUNTRIES[COUNTRY_DESCRIPTION],0)),"")</f>
        <v>CN</v>
      </c>
      <c r="H2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INDEX(LOADINGSPEEDDEF[SPEED],MATCH("LOADINGSPEEDDEF_"&amp;PROPERTIES[[#This Row],[LOADINGSPEED]],LOADINGSPEEDDEF[TYPE],0))</f>
        <v>20</v>
      </c>
      <c r="O2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4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1" t="b">
        <v>0</v>
      </c>
      <c r="AP256" s="45" t="b">
        <v>0</v>
      </c>
      <c r="AQ256" s="45" t="b">
        <v>0</v>
      </c>
      <c r="AR256" s="45">
        <v>0</v>
      </c>
      <c r="AS256" s="45" t="b">
        <v>0</v>
      </c>
      <c r="AT256" s="7" t="b">
        <v>0</v>
      </c>
      <c r="AU2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7" spans="1:47" x14ac:dyDescent="0.35">
      <c r="A257" s="2" t="s">
        <v>3443</v>
      </c>
      <c r="B257">
        <v>1984</v>
      </c>
      <c r="C257">
        <v>2030</v>
      </c>
      <c r="D2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7" s="37" t="str">
        <f>INDEX(CONTROL[ENGLISH],MATCH(PROPERTIES[[#This Row],[VEHIDCODE]],CONTROL[VEHIDCODE],0))</f>
        <v>EMD/Clyde JT26C-2SS</v>
      </c>
      <c r="F257" t="s">
        <v>541</v>
      </c>
      <c r="G257" s="37" t="str">
        <f>_xlfn.IFNA(INDEX(COUNTRIES[COUNTRY_LABEL],MATCH(PROPERTIES[[#This Row],[COUNTRY]],COUNTRIES[COUNTRY_DESCRIPTION],0)),"")</f>
        <v>AU</v>
      </c>
      <c r="H2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INDEX(LOADINGSPEEDDEF[SPEED],MATCH("LOADINGSPEEDDEF_"&amp;PROPERTIES[[#This Row],[LOADINGSPEED]],LOADINGSPEEDDEF[TYPE],0))</f>
        <v>20</v>
      </c>
      <c r="O25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4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1" t="b">
        <v>0</v>
      </c>
      <c r="AP257" s="45" t="b">
        <v>0</v>
      </c>
      <c r="AQ257" s="45" t="b">
        <v>0</v>
      </c>
      <c r="AR257" s="45">
        <v>0</v>
      </c>
      <c r="AS257" s="45" t="b">
        <v>0</v>
      </c>
      <c r="AT257" s="7" t="b">
        <v>1</v>
      </c>
      <c r="AU2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8" spans="1:47" x14ac:dyDescent="0.35">
      <c r="A258" s="2" t="s">
        <v>2885</v>
      </c>
      <c r="B258">
        <v>1989</v>
      </c>
      <c r="C258">
        <v>2020</v>
      </c>
      <c r="D2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8" s="37" t="str">
        <f>INDEX(CONTROL[ENGLISH],MATCH(PROPERTIES[[#This Row],[VEHIDCODE]],CONTROL[VEHIDCODE],0))</f>
        <v>Brush Class 60</v>
      </c>
      <c r="F258" t="s">
        <v>603</v>
      </c>
      <c r="G258" s="37" t="str">
        <f>_xlfn.IFNA(INDEX(COUNTRIES[COUNTRY_LABEL],MATCH(PROPERTIES[[#This Row],[COUNTRY]],COUNTRIES[COUNTRY_DESCRIPTION],0)),"")</f>
        <v>GB</v>
      </c>
      <c r="H2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INDEX(LOADINGSPEEDDEF[SPEED],MATCH("LOADINGSPEEDDEF_"&amp;PROPERTIES[[#This Row],[LOADINGSPEED]],LOADINGSPEEDDEF[TYPE],0))</f>
        <v>20</v>
      </c>
      <c r="O25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4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1" t="b">
        <v>0</v>
      </c>
      <c r="AP258" s="45" t="b">
        <v>0</v>
      </c>
      <c r="AQ258" s="45" t="b">
        <v>0</v>
      </c>
      <c r="AR258" s="45">
        <v>0</v>
      </c>
      <c r="AS258" s="45" t="b">
        <v>0</v>
      </c>
      <c r="AT258" s="7" t="b">
        <v>0</v>
      </c>
      <c r="AU2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59" spans="1:47" x14ac:dyDescent="0.35">
      <c r="A259" s="2" t="s">
        <v>2886</v>
      </c>
      <c r="B259">
        <v>1989</v>
      </c>
      <c r="C259">
        <v>2030</v>
      </c>
      <c r="D2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59" s="37" t="str">
        <f>INDEX(CONTROL[ENGLISH],MATCH(PROPERTIES[[#This Row],[VEHIDCODE]],CONTROL[VEHIDCODE],0))</f>
        <v>GE/Goninan CM25-8</v>
      </c>
      <c r="F259" t="s">
        <v>541</v>
      </c>
      <c r="G259" s="37" t="str">
        <f>_xlfn.IFNA(INDEX(COUNTRIES[COUNTRY_LABEL],MATCH(PROPERTIES[[#This Row],[COUNTRY]],COUNTRIES[COUNTRY_DESCRIPTION],0)),"")</f>
        <v>AU</v>
      </c>
      <c r="H2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INDEX(LOADINGSPEEDDEF[SPEED],MATCH("LOADINGSPEEDDEF_"&amp;PROPERTIES[[#This Row],[LOADINGSPEED]],LOADINGSPEEDDEF[TYPE],0))</f>
        <v>20</v>
      </c>
      <c r="O2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4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5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1" t="b">
        <v>0</v>
      </c>
      <c r="AP259" s="45" t="b">
        <v>0</v>
      </c>
      <c r="AQ259" s="45" t="b">
        <v>0</v>
      </c>
      <c r="AR259" s="45">
        <v>0</v>
      </c>
      <c r="AS259" s="45" t="b">
        <v>0</v>
      </c>
      <c r="AT259" s="7" t="b">
        <v>0</v>
      </c>
      <c r="AU2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0" spans="1:47" x14ac:dyDescent="0.35">
      <c r="A260" s="2" t="s">
        <v>2887</v>
      </c>
      <c r="B260">
        <v>1992</v>
      </c>
      <c r="C260">
        <v>2012</v>
      </c>
      <c r="D2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0" s="37" t="str">
        <f>INDEX(CONTROL[ENGLISH],MATCH(PROPERTIES[[#This Row],[VEHIDCODE]],CONTROL[VEHIDCODE],0))</f>
        <v>EMD SD70ACS</v>
      </c>
      <c r="F260" t="s">
        <v>718</v>
      </c>
      <c r="G260" s="37" t="str">
        <f>_xlfn.IFNA(INDEX(COUNTRIES[COUNTRY_LABEL],MATCH(PROPERTIES[[#This Row],[COUNTRY]],COUNTRIES[COUNTRY_DESCRIPTION],0)),"")</f>
        <v>SA</v>
      </c>
      <c r="H2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INDEX(LOADINGSPEEDDEF[SPEED],MATCH("LOADINGSPEEDDEF_"&amp;PROPERTIES[[#This Row],[LOADINGSPEED]],LOADINGSPEEDDEF[TYPE],0))</f>
        <v>20</v>
      </c>
      <c r="O2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4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1" t="b">
        <v>0</v>
      </c>
      <c r="AP260" s="45" t="b">
        <v>0</v>
      </c>
      <c r="AQ260" s="45" t="b">
        <v>1</v>
      </c>
      <c r="AR260" s="45">
        <v>0</v>
      </c>
      <c r="AS260" s="45" t="b">
        <v>0</v>
      </c>
      <c r="AT260" s="7" t="b">
        <v>1</v>
      </c>
      <c r="AU2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1" spans="1:47" x14ac:dyDescent="0.35">
      <c r="A261" s="2" t="s">
        <v>2888</v>
      </c>
      <c r="B261">
        <v>1994</v>
      </c>
      <c r="C261">
        <v>2030</v>
      </c>
      <c r="D2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1" s="37" t="str">
        <f>INDEX(CONTROL[ENGLISH],MATCH(PROPERTIES[[#This Row],[VEHIDCODE]],CONTROL[VEHIDCODE],0))</f>
        <v>GMD JT42HCW</v>
      </c>
      <c r="F261" t="s">
        <v>628</v>
      </c>
      <c r="G261" s="37" t="str">
        <f>_xlfn.IFNA(INDEX(COUNTRIES[COUNTRY_LABEL],MATCH(PROPERTIES[[#This Row],[COUNTRY]],COUNTRIES[COUNTRY_DESCRIPTION],0)),"")</f>
        <v>IE</v>
      </c>
      <c r="H2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INDEX(LOADINGSPEEDDEF[SPEED],MATCH("LOADINGSPEEDDEF_"&amp;PROPERTIES[[#This Row],[LOADINGSPEED]],LOADINGSPEEDDEF[TYPE],0))</f>
        <v>20</v>
      </c>
      <c r="O2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4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1" t="b">
        <v>0</v>
      </c>
      <c r="AP261" s="45" t="b">
        <v>0</v>
      </c>
      <c r="AQ261" s="45" t="b">
        <v>0</v>
      </c>
      <c r="AR261" s="45">
        <v>0</v>
      </c>
      <c r="AS261" s="45" t="b">
        <v>0</v>
      </c>
      <c r="AT261" s="7" t="b">
        <v>0</v>
      </c>
      <c r="AU2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2" spans="1:47" x14ac:dyDescent="0.35">
      <c r="A262" s="2" t="s">
        <v>2889</v>
      </c>
      <c r="B262">
        <v>1988</v>
      </c>
      <c r="C262">
        <v>2020</v>
      </c>
      <c r="D2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2" s="37" t="str">
        <f>INDEX(CONTROL[ENGLISH],MATCH(PROPERTIES[[#This Row],[VEHIDCODE]],CONTROL[VEHIDCODE],0))</f>
        <v>EMD F59PH</v>
      </c>
      <c r="F262" t="s">
        <v>757</v>
      </c>
      <c r="G262" s="37" t="str">
        <f>_xlfn.IFNA(INDEX(COUNTRIES[COUNTRY_LABEL],MATCH(PROPERTIES[[#This Row],[COUNTRY]],COUNTRIES[COUNTRY_DESCRIPTION],0)),"")</f>
        <v>US</v>
      </c>
      <c r="H2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INDEX(LOADINGSPEEDDEF[SPEED],MATCH("LOADINGSPEEDDEF_"&amp;PROPERTIES[[#This Row],[LOADINGSPEED]],LOADINGSPEEDDEF[TYPE],0))</f>
        <v>20</v>
      </c>
      <c r="O2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4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1" t="b">
        <v>0</v>
      </c>
      <c r="AP262" s="45" t="b">
        <v>0</v>
      </c>
      <c r="AQ262" s="45" t="b">
        <v>0</v>
      </c>
      <c r="AR262" s="45">
        <v>0</v>
      </c>
      <c r="AS262" s="45" t="b">
        <v>0</v>
      </c>
      <c r="AT262" s="7" t="b">
        <v>0</v>
      </c>
      <c r="AU2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3" spans="1:47" x14ac:dyDescent="0.35">
      <c r="A263" s="2" t="s">
        <v>2890</v>
      </c>
      <c r="B263">
        <v>2002</v>
      </c>
      <c r="C263">
        <v>2009</v>
      </c>
      <c r="D2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3" s="37" t="str">
        <f>INDEX(CONTROL[ENGLISH],MATCH(PROPERTIES[[#This Row],[VEHIDCODE]],CONTROL[VEHIDCODE],0))</f>
        <v>MaK/Vossloh G1206</v>
      </c>
      <c r="F263" t="s">
        <v>602</v>
      </c>
      <c r="G263" s="37" t="str">
        <f>_xlfn.IFNA(INDEX(COUNTRIES[COUNTRY_LABEL],MATCH(PROPERTIES[[#This Row],[COUNTRY]],COUNTRIES[COUNTRY_DESCRIPTION],0)),"")</f>
        <v>FR</v>
      </c>
      <c r="H2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INDEX(LOADINGSPEEDDEF[SPEED],MATCH("LOADINGSPEEDDEF_"&amp;PROPERTIES[[#This Row],[LOADINGSPEED]],LOADINGSPEEDDEF[TYPE],0))</f>
        <v>20</v>
      </c>
      <c r="O2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4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1" t="b">
        <v>0</v>
      </c>
      <c r="AP263" s="45" t="b">
        <v>0</v>
      </c>
      <c r="AQ263" s="45" t="b">
        <v>0</v>
      </c>
      <c r="AR263" s="45">
        <v>0</v>
      </c>
      <c r="AS263" s="45" t="b">
        <v>0</v>
      </c>
      <c r="AT263" s="7" t="b">
        <v>0</v>
      </c>
      <c r="AU2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4" spans="1:47" x14ac:dyDescent="0.35">
      <c r="A264" s="2" t="s">
        <v>2891</v>
      </c>
      <c r="B264">
        <v>2003</v>
      </c>
      <c r="D2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4" s="37" t="str">
        <f>INDEX(CONTROL[ENGLISH],MATCH(PROPERTIES[[#This Row],[VEHIDCODE]],CONTROL[VEHIDCODE],0))</f>
        <v>Vossloh G 2000 BB</v>
      </c>
      <c r="F264" t="s">
        <v>636</v>
      </c>
      <c r="G264" s="37" t="str">
        <f>_xlfn.IFNA(INDEX(COUNTRIES[COUNTRY_LABEL],MATCH(PROPERTIES[[#This Row],[COUNTRY]],COUNTRIES[COUNTRY_DESCRIPTION],0)),"")</f>
        <v>IT</v>
      </c>
      <c r="H2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INDEX(LOADINGSPEEDDEF[SPEED],MATCH("LOADINGSPEEDDEF_"&amp;PROPERTIES[[#This Row],[LOADINGSPEED]],LOADINGSPEEDDEF[TYPE],0))</f>
        <v>20</v>
      </c>
      <c r="O2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4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1" t="b">
        <v>0</v>
      </c>
      <c r="AP264" s="45" t="b">
        <v>0</v>
      </c>
      <c r="AQ264" s="45" t="b">
        <v>0</v>
      </c>
      <c r="AR264" s="45">
        <v>0</v>
      </c>
      <c r="AS264" s="45" t="b">
        <v>0</v>
      </c>
      <c r="AT264" s="7" t="b">
        <v>0</v>
      </c>
      <c r="AU2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5" spans="1:47" x14ac:dyDescent="0.35">
      <c r="A265" s="2" t="s">
        <v>2892</v>
      </c>
      <c r="B265">
        <v>2003</v>
      </c>
      <c r="D2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5" s="37" t="str">
        <f>INDEX(CONTROL[ENGLISH],MATCH(PROPERTIES[[#This Row],[VEHIDCODE]],CONTROL[VEHIDCODE],0))</f>
        <v>MPI MP40PH-3C</v>
      </c>
      <c r="F265" t="s">
        <v>565</v>
      </c>
      <c r="G265" s="37" t="str">
        <f>_xlfn.IFNA(INDEX(COUNTRIES[COUNTRY_LABEL],MATCH(PROPERTIES[[#This Row],[COUNTRY]],COUNTRIES[COUNTRY_DESCRIPTION],0)),"")</f>
        <v>CA</v>
      </c>
      <c r="H2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INDEX(LOADINGSPEEDDEF[SPEED],MATCH("LOADINGSPEEDDEF_"&amp;PROPERTIES[[#This Row],[LOADINGSPEED]],LOADINGSPEEDDEF[TYPE],0))</f>
        <v>20</v>
      </c>
      <c r="O2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4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1" t="b">
        <v>0</v>
      </c>
      <c r="AP265" s="45" t="b">
        <v>0</v>
      </c>
      <c r="AQ265" s="45" t="b">
        <v>0</v>
      </c>
      <c r="AR265" s="45">
        <v>0</v>
      </c>
      <c r="AS265" s="45" t="b">
        <v>0</v>
      </c>
      <c r="AT265" s="7" t="b">
        <v>0</v>
      </c>
      <c r="AU2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6" spans="1:47" x14ac:dyDescent="0.35">
      <c r="A266" s="2" t="s">
        <v>3462</v>
      </c>
      <c r="B266">
        <v>2006</v>
      </c>
      <c r="D2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6" s="37" t="str">
        <f>INDEX(CONTROL[ENGLISH],MATCH(PROPERTIES[[#This Row],[VEHIDCODE]],CONTROL[VEHIDCODE],0))</f>
        <v>Vossloh Espana/EMD 334</v>
      </c>
      <c r="F266" t="s">
        <v>595</v>
      </c>
      <c r="G266" s="37" t="str">
        <f>_xlfn.IFNA(INDEX(COUNTRIES[COUNTRY_LABEL],MATCH(PROPERTIES[[#This Row],[COUNTRY]],COUNTRIES[COUNTRY_DESCRIPTION],0)),"")</f>
        <v>ES</v>
      </c>
      <c r="H2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INDEX(LOADINGSPEEDDEF[SPEED],MATCH("LOADINGSPEEDDEF_"&amp;PROPERTIES[[#This Row],[LOADINGSPEED]],LOADINGSPEEDDEF[TYPE],0))</f>
        <v>20</v>
      </c>
      <c r="O26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4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1" t="b">
        <v>0</v>
      </c>
      <c r="AP266" s="45" t="b">
        <v>0</v>
      </c>
      <c r="AQ266" s="45" t="b">
        <v>0</v>
      </c>
      <c r="AR266" s="45">
        <v>0</v>
      </c>
      <c r="AS266" s="45" t="b">
        <v>0</v>
      </c>
      <c r="AT266" s="7" t="b">
        <v>0</v>
      </c>
      <c r="AU2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7" spans="1:47" x14ac:dyDescent="0.35">
      <c r="A267" s="2" t="s">
        <v>2893</v>
      </c>
      <c r="B267">
        <v>2011</v>
      </c>
      <c r="D2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7" s="37" t="str">
        <f>INDEX(CONTROL[ENGLISH],MATCH(PROPERTIES[[#This Row],[VEHIDCODE]],CONTROL[VEHIDCODE],0))</f>
        <v>INKA CC300</v>
      </c>
      <c r="F267" t="s">
        <v>627</v>
      </c>
      <c r="G267" s="37" t="str">
        <f>_xlfn.IFNA(INDEX(COUNTRIES[COUNTRY_LABEL],MATCH(PROPERTIES[[#This Row],[COUNTRY]],COUNTRIES[COUNTRY_DESCRIPTION],0)),"")</f>
        <v>ID</v>
      </c>
      <c r="H2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INDEX(LOADINGSPEEDDEF[SPEED],MATCH("LOADINGSPEEDDEF_"&amp;PROPERTIES[[#This Row],[LOADINGSPEED]],LOADINGSPEEDDEF[TYPE],0))</f>
        <v>20</v>
      </c>
      <c r="O26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4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1" t="b">
        <v>0</v>
      </c>
      <c r="AP267" s="45" t="b">
        <v>0</v>
      </c>
      <c r="AQ267" s="45" t="b">
        <v>0</v>
      </c>
      <c r="AR267" s="45">
        <v>0</v>
      </c>
      <c r="AS267" s="45" t="b">
        <v>0</v>
      </c>
      <c r="AT267" s="7" t="b">
        <v>0</v>
      </c>
      <c r="AU2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68" spans="1:47" x14ac:dyDescent="0.35">
      <c r="A268" s="2" t="s">
        <v>2894</v>
      </c>
      <c r="B268">
        <v>1930</v>
      </c>
      <c r="D2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8" s="37" t="str">
        <f>INDEX(CONTROL[ENGLISH],MATCH(PROPERTIES[[#This Row],[VEHIDCODE]],CONTROL[VEHIDCODE],0))</f>
        <v>Great Southern Railway DH501</v>
      </c>
      <c r="F268" t="s">
        <v>538</v>
      </c>
      <c r="G268" s="37" t="str">
        <f>_xlfn.IFNA(INDEX(COUNTRIES[COUNTRY_LABEL],MATCH(PROPERTIES[[#This Row],[COUNTRY]],COUNTRIES[COUNTRY_DESCRIPTION],0)),"")</f>
        <v>AR</v>
      </c>
      <c r="H2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INDEX(LOADINGSPEEDDEF[SPEED],MATCH("LOADINGSPEEDDEF_"&amp;PROPERTIES[[#This Row],[LOADINGSPEED]],LOADINGSPEEDDEF[TYPE],0))</f>
        <v>20</v>
      </c>
      <c r="O2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4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1" t="b">
        <v>0</v>
      </c>
      <c r="AP268" s="45" t="b">
        <v>0</v>
      </c>
      <c r="AQ268" s="45" t="b">
        <v>0</v>
      </c>
      <c r="AR268" s="45">
        <v>0</v>
      </c>
      <c r="AS268" s="45" t="b">
        <v>0</v>
      </c>
      <c r="AT268" s="7" t="b">
        <v>0</v>
      </c>
      <c r="AU2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269" spans="1:47" x14ac:dyDescent="0.35">
      <c r="A269" s="2" t="s">
        <v>2895</v>
      </c>
      <c r="B269">
        <v>1938</v>
      </c>
      <c r="D2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69" s="37" t="str">
        <f>INDEX(CONTROL[ENGLISH],MATCH(PROPERTIES[[#This Row],[VEHIDCODE]],CONTROL[VEHIDCODE],0))</f>
        <v>EE VFFLB</v>
      </c>
      <c r="F269" t="s">
        <v>558</v>
      </c>
      <c r="G269" s="37" t="str">
        <f>_xlfn.IFNA(INDEX(COUNTRIES[COUNTRY_LABEL],MATCH(PROPERTIES[[#This Row],[COUNTRY]],COUNTRIES[COUNTRY_DESCRIPTION],0)),"")</f>
        <v>BR</v>
      </c>
      <c r="H2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INDEX(LOADINGSPEEDDEF[SPEED],MATCH("LOADINGSPEEDDEF_"&amp;PROPERTIES[[#This Row],[LOADINGSPEED]],LOADINGSPEEDDEF[TYPE],0))</f>
        <v>20</v>
      </c>
      <c r="O2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4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1" t="b">
        <v>0</v>
      </c>
      <c r="AP269" s="45" t="b">
        <v>0</v>
      </c>
      <c r="AQ269" s="45" t="b">
        <v>0</v>
      </c>
      <c r="AR269" s="45">
        <v>0</v>
      </c>
      <c r="AS269" s="45" t="b">
        <v>0</v>
      </c>
      <c r="AT269" s="7" t="b">
        <v>0</v>
      </c>
      <c r="AU2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0" spans="1:47" x14ac:dyDescent="0.35">
      <c r="A270" s="2" t="s">
        <v>2896</v>
      </c>
      <c r="B270">
        <v>1961</v>
      </c>
      <c r="D2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0" s="37" t="str">
        <f>INDEX(CONTROL[ENGLISH],MATCH(PROPERTIES[[#This Row],[VEHIDCODE]],CONTROL[VEHIDCODE],0))</f>
        <v>GE U5B</v>
      </c>
      <c r="F270" t="s">
        <v>573</v>
      </c>
      <c r="G270" s="37" t="str">
        <f>_xlfn.IFNA(INDEX(COUNTRIES[COUNTRY_LABEL],MATCH(PROPERTIES[[#This Row],[COUNTRY]],COUNTRIES[COUNTRY_DESCRIPTION],0)),"")</f>
        <v>CL</v>
      </c>
      <c r="H2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INDEX(LOADINGSPEEDDEF[SPEED],MATCH("LOADINGSPEEDDEF_"&amp;PROPERTIES[[#This Row],[LOADINGSPEED]],LOADINGSPEEDDEF[TYPE],0))</f>
        <v>20</v>
      </c>
      <c r="O2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4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1" t="b">
        <v>0</v>
      </c>
      <c r="AP270" s="45" t="b">
        <v>0</v>
      </c>
      <c r="AQ270" s="45" t="b">
        <v>0</v>
      </c>
      <c r="AR270" s="45">
        <v>0</v>
      </c>
      <c r="AS270" s="45" t="b">
        <v>0</v>
      </c>
      <c r="AT270" s="7" t="b">
        <v>0</v>
      </c>
      <c r="AU2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1" spans="1:47" x14ac:dyDescent="0.35">
      <c r="A271" s="2" t="s">
        <v>2897</v>
      </c>
      <c r="B271">
        <v>1965</v>
      </c>
      <c r="D2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1" s="37" t="str">
        <f>INDEX(CONTROL[ENGLISH],MATCH(PROPERTIES[[#This Row],[VEHIDCODE]],CONTROL[VEHIDCODE],0))</f>
        <v>ALCO RSD-39</v>
      </c>
      <c r="F271" t="s">
        <v>700</v>
      </c>
      <c r="G271" s="37" t="str">
        <f>_xlfn.IFNA(INDEX(COUNTRIES[COUNTRY_LABEL],MATCH(PROPERTIES[[#This Row],[COUNTRY]],COUNTRIES[COUNTRY_DESCRIPTION],0)),"")</f>
        <v>PE</v>
      </c>
      <c r="H2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INDEX(LOADINGSPEEDDEF[SPEED],MATCH("LOADINGSPEEDDEF_"&amp;PROPERTIES[[#This Row],[LOADINGSPEED]],LOADINGSPEEDDEF[TYPE],0))</f>
        <v>20</v>
      </c>
      <c r="O2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4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1" t="b">
        <v>0</v>
      </c>
      <c r="AP271" s="45" t="b">
        <v>0</v>
      </c>
      <c r="AQ271" s="45" t="b">
        <v>0</v>
      </c>
      <c r="AR271" s="45">
        <v>0</v>
      </c>
      <c r="AS271" s="45" t="b">
        <v>0</v>
      </c>
      <c r="AT271" s="7" t="b">
        <v>0</v>
      </c>
      <c r="AU2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2" spans="1:47" x14ac:dyDescent="0.35">
      <c r="A272" s="2" t="s">
        <v>2898</v>
      </c>
      <c r="B272">
        <v>1970</v>
      </c>
      <c r="C272">
        <v>2030</v>
      </c>
      <c r="D2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2" s="37" t="str">
        <f>INDEX(CONTROL[ENGLISH],MATCH(PROPERTIES[[#This Row],[VEHIDCODE]],CONTROL[VEHIDCODE],0))</f>
        <v>EMD DDM45</v>
      </c>
      <c r="F272" t="s">
        <v>558</v>
      </c>
      <c r="G272" s="37" t="str">
        <f>_xlfn.IFNA(INDEX(COUNTRIES[COUNTRY_LABEL],MATCH(PROPERTIES[[#This Row],[COUNTRY]],COUNTRIES[COUNTRY_DESCRIPTION],0)),"")</f>
        <v>BR</v>
      </c>
      <c r="H2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INDEX(LOADINGSPEEDDEF[SPEED],MATCH("LOADINGSPEEDDEF_"&amp;PROPERTIES[[#This Row],[LOADINGSPEED]],LOADINGSPEEDDEF[TYPE],0))</f>
        <v>20</v>
      </c>
      <c r="O27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4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1" t="b">
        <v>0</v>
      </c>
      <c r="AP272" s="45" t="b">
        <v>0</v>
      </c>
      <c r="AQ272" s="45" t="b">
        <v>0</v>
      </c>
      <c r="AR272" s="45">
        <v>0</v>
      </c>
      <c r="AS272" s="45" t="b">
        <v>0</v>
      </c>
      <c r="AT272" s="7" t="b">
        <v>0</v>
      </c>
      <c r="AU2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3" spans="1:47" x14ac:dyDescent="0.35">
      <c r="A273" s="2" t="s">
        <v>2899</v>
      </c>
      <c r="B273">
        <v>1984</v>
      </c>
      <c r="C273">
        <v>1999</v>
      </c>
      <c r="D2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3" s="37" t="str">
        <f>INDEX(CONTROL[ENGLISH],MATCH(PROPERTIES[[#This Row],[VEHIDCODE]],CONTROL[VEHIDCODE],0))</f>
        <v>GE C39-8</v>
      </c>
      <c r="F273" t="s">
        <v>700</v>
      </c>
      <c r="G273" s="37" t="str">
        <f>_xlfn.IFNA(INDEX(COUNTRIES[COUNTRY_LABEL],MATCH(PROPERTIES[[#This Row],[COUNTRY]],COUNTRIES[COUNTRY_DESCRIPTION],0)),"")</f>
        <v>PE</v>
      </c>
      <c r="H2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INDEX(LOADINGSPEEDDEF[SPEED],MATCH("LOADINGSPEEDDEF_"&amp;PROPERTIES[[#This Row],[LOADINGSPEED]],LOADINGSPEEDDEF[TYPE],0))</f>
        <v>20</v>
      </c>
      <c r="O2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4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1" t="b">
        <v>0</v>
      </c>
      <c r="AP273" s="45" t="b">
        <v>0</v>
      </c>
      <c r="AQ273" s="45" t="b">
        <v>0</v>
      </c>
      <c r="AR273" s="45">
        <v>0</v>
      </c>
      <c r="AS273" s="45" t="b">
        <v>0</v>
      </c>
      <c r="AT273" s="7" t="b">
        <v>0</v>
      </c>
      <c r="AU2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4" spans="1:47" x14ac:dyDescent="0.35">
      <c r="A274" s="2" t="s">
        <v>2900</v>
      </c>
      <c r="B274">
        <v>1991</v>
      </c>
      <c r="C274">
        <v>1980</v>
      </c>
      <c r="D2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4" s="37" t="str">
        <f>INDEX(CONTROL[ENGLISH],MATCH(PROPERTIES[[#This Row],[VEHIDCODE]],CONTROL[VEHIDCODE],0))</f>
        <v>Macosa-Meinfesa 319.3 J26 CW/HEP</v>
      </c>
      <c r="F274" t="s">
        <v>538</v>
      </c>
      <c r="G274" s="37" t="str">
        <f>_xlfn.IFNA(INDEX(COUNTRIES[COUNTRY_LABEL],MATCH(PROPERTIES[[#This Row],[COUNTRY]],COUNTRIES[COUNTRY_DESCRIPTION],0)),"")</f>
        <v>AR</v>
      </c>
      <c r="H2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INDEX(LOADINGSPEEDDEF[SPEED],MATCH("LOADINGSPEEDDEF_"&amp;PROPERTIES[[#This Row],[LOADINGSPEED]],LOADINGSPEEDDEF[TYPE],0))</f>
        <v>20</v>
      </c>
      <c r="O2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4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1" t="b">
        <v>0</v>
      </c>
      <c r="AP274" s="45" t="b">
        <v>0</v>
      </c>
      <c r="AQ274" s="45" t="b">
        <v>0</v>
      </c>
      <c r="AR274" s="45">
        <v>0</v>
      </c>
      <c r="AS274" s="45" t="b">
        <v>0</v>
      </c>
      <c r="AT274" s="7" t="b">
        <v>0</v>
      </c>
      <c r="AU2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5" spans="1:47" x14ac:dyDescent="0.35">
      <c r="A275" s="2" t="s">
        <v>2901</v>
      </c>
      <c r="B275">
        <v>2013</v>
      </c>
      <c r="D2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5" s="37" t="str">
        <f>INDEX(CONTROL[ENGLISH],MATCH(PROPERTIES[[#This Row],[VEHIDCODE]],CONTROL[VEHIDCODE],0))</f>
        <v>CNR CKD8G</v>
      </c>
      <c r="F275" t="s">
        <v>538</v>
      </c>
      <c r="G275" s="37" t="str">
        <f>_xlfn.IFNA(INDEX(COUNTRIES[COUNTRY_LABEL],MATCH(PROPERTIES[[#This Row],[COUNTRY]],COUNTRIES[COUNTRY_DESCRIPTION],0)),"")</f>
        <v>AR</v>
      </c>
      <c r="H2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INDEX(LOADINGSPEEDDEF[SPEED],MATCH("LOADINGSPEEDDEF_"&amp;PROPERTIES[[#This Row],[LOADINGSPEED]],LOADINGSPEEDDEF[TYPE],0))</f>
        <v>20</v>
      </c>
      <c r="O2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4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1" t="b">
        <v>0</v>
      </c>
      <c r="AP275" s="45" t="b">
        <v>0</v>
      </c>
      <c r="AQ275" s="45" t="b">
        <v>0</v>
      </c>
      <c r="AR275" s="45">
        <v>0</v>
      </c>
      <c r="AS275" s="45" t="b">
        <v>0</v>
      </c>
      <c r="AT275" s="7" t="b">
        <v>0</v>
      </c>
      <c r="AU2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6" spans="1:47" x14ac:dyDescent="0.35">
      <c r="A276" s="2" t="s">
        <v>2902</v>
      </c>
      <c r="B276">
        <v>1939</v>
      </c>
      <c r="C276">
        <v>1966</v>
      </c>
      <c r="D2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6" s="37" t="str">
        <f>INDEX(CONTROL[ENGLISH],MATCH(PROPERTIES[[#This Row],[VEHIDCODE]],CONTROL[VEHIDCODE],0))</f>
        <v>AEG SAR DS</v>
      </c>
      <c r="F276" t="s">
        <v>771</v>
      </c>
      <c r="G276" s="37" t="str">
        <f>_xlfn.IFNA(INDEX(COUNTRIES[COUNTRY_LABEL],MATCH(PROPERTIES[[#This Row],[COUNTRY]],COUNTRIES[COUNTRY_DESCRIPTION],0)),"")</f>
        <v>ZA</v>
      </c>
      <c r="H2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INDEX(LOADINGSPEEDDEF[SPEED],MATCH("LOADINGSPEEDDEF_"&amp;PROPERTIES[[#This Row],[LOADINGSPEED]],LOADINGSPEEDDEF[TYPE],0))</f>
        <v>20</v>
      </c>
      <c r="O2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4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1" t="b">
        <v>0</v>
      </c>
      <c r="AP276" s="45" t="b">
        <v>0</v>
      </c>
      <c r="AQ276" s="45" t="b">
        <v>0</v>
      </c>
      <c r="AR276" s="45">
        <v>0</v>
      </c>
      <c r="AS276" s="45" t="b">
        <v>0</v>
      </c>
      <c r="AT276" s="7" t="b">
        <v>0</v>
      </c>
      <c r="AU2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7" spans="1:47" x14ac:dyDescent="0.35">
      <c r="A277" s="2" t="s">
        <v>2903</v>
      </c>
      <c r="B277">
        <v>1967</v>
      </c>
      <c r="C277">
        <v>2017</v>
      </c>
      <c r="D2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7" s="37" t="str">
        <f>INDEX(CONTROL[ENGLISH],MATCH(PROPERTIES[[#This Row],[VEHIDCODE]],CONTROL[VEHIDCODE],0))</f>
        <v>GM GT26</v>
      </c>
      <c r="F277" t="s">
        <v>589</v>
      </c>
      <c r="G277" s="37" t="str">
        <f>_xlfn.IFNA(INDEX(COUNTRIES[COUNTRY_LABEL],MATCH(PROPERTIES[[#This Row],[COUNTRY]],COUNTRIES[COUNTRY_DESCRIPTION],0)),"")</f>
        <v>DZ</v>
      </c>
      <c r="H2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INDEX(LOADINGSPEEDDEF[SPEED],MATCH("LOADINGSPEEDDEF_"&amp;PROPERTIES[[#This Row],[LOADINGSPEED]],LOADINGSPEEDDEF[TYPE],0))</f>
        <v>20</v>
      </c>
      <c r="O2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4">
        <v>0</v>
      </c>
      <c r="AF277" s="6">
        <v>0</v>
      </c>
      <c r="AG277" t="s">
        <v>233</v>
      </c>
      <c r="AH277" t="s">
        <v>1941</v>
      </c>
      <c r="AI277" t="s">
        <v>229</v>
      </c>
      <c r="AJ277" s="2" t="s">
        <v>229</v>
      </c>
      <c r="AK277" s="2" t="s">
        <v>244</v>
      </c>
      <c r="AL2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1" t="b">
        <v>0</v>
      </c>
      <c r="AP277" s="45" t="b">
        <v>0</v>
      </c>
      <c r="AQ277" s="45" t="b">
        <v>0</v>
      </c>
      <c r="AR277" s="45">
        <v>0</v>
      </c>
      <c r="AS277" s="45" t="b">
        <v>0</v>
      </c>
      <c r="AT277" s="7" t="b">
        <v>0</v>
      </c>
      <c r="AU2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8" spans="1:47" x14ac:dyDescent="0.35">
      <c r="A278" s="2" t="s">
        <v>2904</v>
      </c>
      <c r="B278">
        <v>1960</v>
      </c>
      <c r="D2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8" s="37" t="str">
        <f>INDEX(CONTROL[ENGLISH],MATCH(PROPERTIES[[#This Row],[VEHIDCODE]],CONTROL[VEHIDCODE],0))</f>
        <v>EMD GL8 [040DF]</v>
      </c>
      <c r="F278" t="s">
        <v>757</v>
      </c>
      <c r="G278" s="37" t="str">
        <f>_xlfn.IFNA(INDEX(COUNTRIES[COUNTRY_LABEL],MATCH(PROPERTIES[[#This Row],[COUNTRY]],COUNTRIES[COUNTRY_DESCRIPTION],0)),"")</f>
        <v>US</v>
      </c>
      <c r="H2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INDEX(LOADINGSPEEDDEF[SPEED],MATCH("LOADINGSPEEDDEF_"&amp;PROPERTIES[[#This Row],[LOADINGSPEED]],LOADINGSPEEDDEF[TYPE],0))</f>
        <v>20</v>
      </c>
      <c r="O2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4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1" t="b">
        <v>0</v>
      </c>
      <c r="AP278" s="45" t="b">
        <v>0</v>
      </c>
      <c r="AQ278" s="45" t="b">
        <v>1</v>
      </c>
      <c r="AR278" s="45">
        <v>0</v>
      </c>
      <c r="AS278" s="45" t="b">
        <v>0</v>
      </c>
      <c r="AT278" s="7" t="b">
        <v>1</v>
      </c>
      <c r="AU2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79" spans="1:47" x14ac:dyDescent="0.35">
      <c r="A279" s="2" t="s">
        <v>2905</v>
      </c>
      <c r="B279">
        <v>1974</v>
      </c>
      <c r="D2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79" s="37" t="str">
        <f>INDEX(CONTROL[ENGLISH],MATCH(PROPERTIES[[#This Row],[VEHIDCODE]],CONTROL[VEHIDCODE],0))</f>
        <v>LTZ TE114E</v>
      </c>
      <c r="F279" t="s">
        <v>592</v>
      </c>
      <c r="G279" s="37" t="str">
        <f>_xlfn.IFNA(INDEX(COUNTRIES[COUNTRY_LABEL],MATCH(PROPERTIES[[#This Row],[COUNTRY]],COUNTRIES[COUNTRY_DESCRIPTION],0)),"")</f>
        <v>EG</v>
      </c>
      <c r="H2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INDEX(LOADINGSPEEDDEF[SPEED],MATCH("LOADINGSPEEDDEF_"&amp;PROPERTIES[[#This Row],[LOADINGSPEED]],LOADINGSPEEDDEF[TYPE],0))</f>
        <v>20</v>
      </c>
      <c r="O2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4">
        <v>0</v>
      </c>
      <c r="AF279" s="6">
        <v>0</v>
      </c>
      <c r="AG279" t="s">
        <v>233</v>
      </c>
      <c r="AH279" t="s">
        <v>1941</v>
      </c>
      <c r="AI279" t="s">
        <v>229</v>
      </c>
      <c r="AJ279" s="2" t="s">
        <v>229</v>
      </c>
      <c r="AK279" s="2" t="s">
        <v>244</v>
      </c>
      <c r="AL2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1" t="b">
        <v>0</v>
      </c>
      <c r="AP279" s="45" t="b">
        <v>0</v>
      </c>
      <c r="AQ279" s="45" t="b">
        <v>0</v>
      </c>
      <c r="AR279" s="45">
        <v>0</v>
      </c>
      <c r="AS279" s="45" t="b">
        <v>0</v>
      </c>
      <c r="AT279" s="7" t="b">
        <v>0</v>
      </c>
      <c r="AU2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0" spans="1:47" x14ac:dyDescent="0.35">
      <c r="A280" s="2" t="s">
        <v>2906</v>
      </c>
      <c r="B280">
        <v>1968</v>
      </c>
      <c r="D2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0" s="37" t="str">
        <f>INDEX(CONTROL[ENGLISH],MATCH(PROPERTIES[[#This Row],[VEHIDCODE]],CONTROL[VEHIDCODE],0))</f>
        <v>GM G18</v>
      </c>
      <c r="F280" t="s">
        <v>757</v>
      </c>
      <c r="G280" s="37" t="str">
        <f>_xlfn.IFNA(INDEX(COUNTRIES[COUNTRY_LABEL],MATCH(PROPERTIES[[#This Row],[COUNTRY]],COUNTRIES[COUNTRY_DESCRIPTION],0)),"")</f>
        <v>US</v>
      </c>
      <c r="H2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INDEX(LOADINGSPEEDDEF[SPEED],MATCH("LOADINGSPEEDDEF_"&amp;PROPERTIES[[#This Row],[LOADINGSPEED]],LOADINGSPEEDDEF[TYPE],0))</f>
        <v>20</v>
      </c>
      <c r="O2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4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1" t="b">
        <v>0</v>
      </c>
      <c r="AP280" s="45" t="b">
        <v>0</v>
      </c>
      <c r="AQ280" s="45" t="b">
        <v>0</v>
      </c>
      <c r="AR280" s="45">
        <v>0</v>
      </c>
      <c r="AS280" s="45" t="b">
        <v>0</v>
      </c>
      <c r="AT280" s="7" t="b">
        <v>0</v>
      </c>
      <c r="AU2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1" spans="1:47" x14ac:dyDescent="0.35">
      <c r="A281" s="2" t="s">
        <v>2907</v>
      </c>
      <c r="B281">
        <v>1967</v>
      </c>
      <c r="C281">
        <v>2018</v>
      </c>
      <c r="D2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1" s="37" t="str">
        <f>INDEX(CONTROL[ENGLISH],MATCH(PROPERTIES[[#This Row],[VEHIDCODE]],CONTROL[VEHIDCODE],0))</f>
        <v>Alsthom CC 72000</v>
      </c>
      <c r="F281" t="s">
        <v>602</v>
      </c>
      <c r="G281" s="37" t="str">
        <f>_xlfn.IFNA(INDEX(COUNTRIES[COUNTRY_LABEL],MATCH(PROPERTIES[[#This Row],[COUNTRY]],COUNTRIES[COUNTRY_DESCRIPTION],0)),"")</f>
        <v>FR</v>
      </c>
      <c r="H2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INDEX(LOADINGSPEEDDEF[SPEED],MATCH("LOADINGSPEEDDEF_"&amp;PROPERTIES[[#This Row],[LOADINGSPEED]],LOADINGSPEEDDEF[TYPE],0))</f>
        <v>20</v>
      </c>
      <c r="O2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4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1" t="b">
        <v>0</v>
      </c>
      <c r="AP281" s="45" t="b">
        <v>0</v>
      </c>
      <c r="AQ281" s="45" t="b">
        <v>0</v>
      </c>
      <c r="AR281" s="45">
        <v>0</v>
      </c>
      <c r="AS281" s="45" t="b">
        <v>0</v>
      </c>
      <c r="AT281" s="7" t="b">
        <v>0</v>
      </c>
      <c r="AU2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2" spans="1:47" x14ac:dyDescent="0.35">
      <c r="A282" s="2" t="s">
        <v>2908</v>
      </c>
      <c r="B282">
        <v>1964</v>
      </c>
      <c r="C282">
        <v>1990</v>
      </c>
      <c r="D2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2" s="37" t="str">
        <f>INDEX(CONTROL[ENGLISH],MATCH(PROPERTIES[[#This Row],[VEHIDCODE]],CONTROL[VEHIDCODE],0))</f>
        <v>LTZ TEP10L</v>
      </c>
      <c r="F282" t="s">
        <v>754</v>
      </c>
      <c r="G282" s="37" t="str">
        <f>_xlfn.IFNA(INDEX(COUNTRIES[COUNTRY_LABEL],MATCH(PROPERTIES[[#This Row],[COUNTRY]],COUNTRIES[COUNTRY_DESCRIPTION],0)),"")</f>
        <v>UA</v>
      </c>
      <c r="H2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INDEX(LOADINGSPEEDDEF[SPEED],MATCH("LOADINGSPEEDDEF_"&amp;PROPERTIES[[#This Row],[LOADINGSPEED]],LOADINGSPEEDDEF[TYPE],0))</f>
        <v>20</v>
      </c>
      <c r="O2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4">
        <v>0</v>
      </c>
      <c r="AF282" s="6">
        <v>0</v>
      </c>
      <c r="AG282" t="s">
        <v>1940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1" t="b">
        <v>0</v>
      </c>
      <c r="AP282" s="45" t="b">
        <v>0</v>
      </c>
      <c r="AQ282" s="45" t="b">
        <v>0</v>
      </c>
      <c r="AR282" s="45">
        <v>0</v>
      </c>
      <c r="AS282" s="45" t="b">
        <v>0</v>
      </c>
      <c r="AT282" s="7" t="b">
        <v>0</v>
      </c>
      <c r="AU2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3" spans="1:47" x14ac:dyDescent="0.35">
      <c r="A283" s="2" t="s">
        <v>2909</v>
      </c>
      <c r="B283">
        <v>1981</v>
      </c>
      <c r="D2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3" s="37" t="str">
        <f>INDEX(CONTROL[ENGLISH],MATCH(PROPERTIES[[#This Row],[VEHIDCODE]],CONTROL[VEHIDCODE],0))</f>
        <v>LTZ 2TE10M</v>
      </c>
      <c r="F283" t="s">
        <v>716</v>
      </c>
      <c r="G283" s="37" t="str">
        <f>_xlfn.IFNA(INDEX(COUNTRIES[COUNTRY_LABEL],MATCH(PROPERTIES[[#This Row],[COUNTRY]],COUNTRIES[COUNTRY_DESCRIPTION],0)),"")</f>
        <v>RU</v>
      </c>
      <c r="H2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INDEX(LOADINGSPEEDDEF[SPEED],MATCH("LOADINGSPEEDDEF_"&amp;PROPERTIES[[#This Row],[LOADINGSPEED]],LOADINGSPEEDDEF[TYPE],0))</f>
        <v>20</v>
      </c>
      <c r="O2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4">
        <v>0</v>
      </c>
      <c r="AF283" s="6">
        <v>0</v>
      </c>
      <c r="AG283" t="s">
        <v>1943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1" t="b">
        <v>0</v>
      </c>
      <c r="AP283" s="45" t="b">
        <v>0</v>
      </c>
      <c r="AQ283" s="45" t="b">
        <v>1</v>
      </c>
      <c r="AR283" s="45">
        <v>0</v>
      </c>
      <c r="AS283" s="45" t="b">
        <v>0</v>
      </c>
      <c r="AT283" s="7" t="b">
        <v>1</v>
      </c>
      <c r="AU2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84" spans="1:47" x14ac:dyDescent="0.35">
      <c r="A284" s="2" t="s">
        <v>2910</v>
      </c>
      <c r="B284">
        <v>1985</v>
      </c>
      <c r="C284">
        <v>2000</v>
      </c>
      <c r="D2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4" s="37" t="str">
        <f>INDEX(CONTROL[ENGLISH],MATCH(PROPERTIES[[#This Row],[VEHIDCODE]],CONTROL[VEHIDCODE],0))</f>
        <v>FAUR LDE1300</v>
      </c>
      <c r="F284" t="s">
        <v>705</v>
      </c>
      <c r="G284" s="37" t="str">
        <f>_xlfn.IFNA(INDEX(COUNTRIES[COUNTRY_LABEL],MATCH(PROPERTIES[[#This Row],[COUNTRY]],COUNTRIES[COUNTRY_DESCRIPTION],0)),"")</f>
        <v>PL</v>
      </c>
      <c r="H2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INDEX(LOADINGSPEEDDEF[SPEED],MATCH("LOADINGSPEEDDEF_"&amp;PROPERTIES[[#This Row],[LOADINGSPEED]],LOADINGSPEEDDEF[TYPE],0))</f>
        <v>20</v>
      </c>
      <c r="O2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4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1" t="b">
        <v>0</v>
      </c>
      <c r="AP284" s="45" t="b">
        <v>0</v>
      </c>
      <c r="AQ284" s="45" t="b">
        <v>0</v>
      </c>
      <c r="AR284" s="45">
        <v>0</v>
      </c>
      <c r="AS284" s="45" t="b">
        <v>0</v>
      </c>
      <c r="AT284" s="7" t="b">
        <v>0</v>
      </c>
      <c r="AU2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5" spans="1:47" x14ac:dyDescent="0.35">
      <c r="A285" s="2" t="s">
        <v>2911</v>
      </c>
      <c r="B285">
        <v>1987</v>
      </c>
      <c r="C285">
        <v>1990</v>
      </c>
      <c r="D2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5" s="37" t="str">
        <f>INDEX(CONTROL[ENGLISH],MATCH(PROPERTIES[[#This Row],[VEHIDCODE]],CONTROL[VEHIDCODE],0))</f>
        <v>LTZ 2TE126</v>
      </c>
      <c r="F285" t="s">
        <v>754</v>
      </c>
      <c r="G285" s="37" t="str">
        <f>_xlfn.IFNA(INDEX(COUNTRIES[COUNTRY_LABEL],MATCH(PROPERTIES[[#This Row],[COUNTRY]],COUNTRIES[COUNTRY_DESCRIPTION],0)),"")</f>
        <v>UA</v>
      </c>
      <c r="H2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INDEX(LOADINGSPEEDDEF[SPEED],MATCH("LOADINGSPEEDDEF_"&amp;PROPERTIES[[#This Row],[LOADINGSPEED]],LOADINGSPEEDDEF[TYPE],0))</f>
        <v>20</v>
      </c>
      <c r="O2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4">
        <v>0</v>
      </c>
      <c r="AF285" s="6">
        <v>2</v>
      </c>
      <c r="AG285" t="s">
        <v>1940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1" t="b">
        <v>0</v>
      </c>
      <c r="AP285" s="45" t="b">
        <v>0</v>
      </c>
      <c r="AQ285" s="45" t="b">
        <v>1</v>
      </c>
      <c r="AR285" s="45">
        <v>0</v>
      </c>
      <c r="AS285" s="45" t="b">
        <v>0</v>
      </c>
      <c r="AT285" s="7" t="b">
        <v>1</v>
      </c>
      <c r="AU2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TPL_32A</v>
      </c>
    </row>
    <row r="286" spans="1:47" x14ac:dyDescent="0.35">
      <c r="A286" s="2" t="s">
        <v>2912</v>
      </c>
      <c r="B286">
        <v>1989</v>
      </c>
      <c r="D2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6" s="37" t="str">
        <f>INDEX(CONTROL[ENGLISH],MATCH(PROPERTIES[[#This Row],[VEHIDCODE]],CONTROL[VEHIDCODE],0))</f>
        <v>LTZ 2TE10Ut</v>
      </c>
      <c r="F286" t="s">
        <v>754</v>
      </c>
      <c r="G286" s="37" t="str">
        <f>_xlfn.IFNA(INDEX(COUNTRIES[COUNTRY_LABEL],MATCH(PROPERTIES[[#This Row],[COUNTRY]],COUNTRIES[COUNTRY_DESCRIPTION],0)),"")</f>
        <v>UA</v>
      </c>
      <c r="H2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INDEX(LOADINGSPEEDDEF[SPEED],MATCH("LOADINGSPEEDDEF_"&amp;PROPERTIES[[#This Row],[LOADINGSPEED]],LOADINGSPEEDDEF[TYPE],0))</f>
        <v>20</v>
      </c>
      <c r="O2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4">
        <v>0</v>
      </c>
      <c r="AF286" s="6">
        <v>0</v>
      </c>
      <c r="AG286" t="s">
        <v>1940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1" t="b">
        <v>0</v>
      </c>
      <c r="AP286" s="45" t="b">
        <v>0</v>
      </c>
      <c r="AQ286" s="45" t="b">
        <v>1</v>
      </c>
      <c r="AR286" s="45">
        <v>0</v>
      </c>
      <c r="AS286" s="45" t="b">
        <v>0</v>
      </c>
      <c r="AT286" s="7" t="b">
        <v>1</v>
      </c>
      <c r="AU2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287" spans="1:47" x14ac:dyDescent="0.35">
      <c r="A287" s="2" t="s">
        <v>2913</v>
      </c>
      <c r="B287">
        <v>1992</v>
      </c>
      <c r="D2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7" s="37" t="str">
        <f>INDEX(CONTROL[ENGLISH],MATCH(PROPERTIES[[#This Row],[VEHIDCODE]],CONTROL[VEHIDCODE],0))</f>
        <v>CMKS 709 0-4-0DE</v>
      </c>
      <c r="F287" t="s">
        <v>715</v>
      </c>
      <c r="G287" s="37" t="str">
        <f>_xlfn.IFNA(INDEX(COUNTRIES[COUNTRY_LABEL],MATCH(PROPERTIES[[#This Row],[COUNTRY]],COUNTRIES[COUNTRY_DESCRIPTION],0)),"")</f>
        <v>RS</v>
      </c>
      <c r="H2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INDEX(LOADINGSPEEDDEF[SPEED],MATCH("LOADINGSPEEDDEF_"&amp;PROPERTIES[[#This Row],[LOADINGSPEED]],LOADINGSPEEDDEF[TYPE],0))</f>
        <v>20</v>
      </c>
      <c r="O2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4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1" t="b">
        <v>0</v>
      </c>
      <c r="AP287" s="45" t="b">
        <v>0</v>
      </c>
      <c r="AQ287" s="45" t="b">
        <v>0</v>
      </c>
      <c r="AR287" s="45">
        <v>0</v>
      </c>
      <c r="AS287" s="45" t="b">
        <v>0</v>
      </c>
      <c r="AT287" s="7" t="b">
        <v>0</v>
      </c>
      <c r="AU2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8" spans="1:47" x14ac:dyDescent="0.35">
      <c r="A288" s="2" t="s">
        <v>2914</v>
      </c>
      <c r="B288">
        <v>1931</v>
      </c>
      <c r="C288">
        <v>1984</v>
      </c>
      <c r="D2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8" s="37" t="str">
        <f>INDEX(CONTROL[ENGLISH],MATCH(PROPERTIES[[#This Row],[VEHIDCODE]],CONTROL[VEHIDCODE],0))</f>
        <v>Antonio Badoni Lecco 'Sogliole' 207</v>
      </c>
      <c r="F288" t="s">
        <v>636</v>
      </c>
      <c r="G288" s="37" t="str">
        <f>_xlfn.IFNA(INDEX(COUNTRIES[COUNTRY_LABEL],MATCH(PROPERTIES[[#This Row],[COUNTRY]],COUNTRIES[COUNTRY_DESCRIPTION],0)),"")</f>
        <v>IT</v>
      </c>
      <c r="H2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INDEX(LOADINGSPEEDDEF[SPEED],MATCH("LOADINGSPEEDDEF_"&amp;PROPERTIES[[#This Row],[LOADINGSPEED]],LOADINGSPEEDDEF[TYPE],0))</f>
        <v>20</v>
      </c>
      <c r="O2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4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1" t="b">
        <v>0</v>
      </c>
      <c r="AP288" s="45" t="b">
        <v>0</v>
      </c>
      <c r="AQ288" s="45" t="b">
        <v>0</v>
      </c>
      <c r="AR288" s="45">
        <v>0</v>
      </c>
      <c r="AS288" s="45" t="b">
        <v>0</v>
      </c>
      <c r="AT288" s="7" t="b">
        <v>0</v>
      </c>
      <c r="AU2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89" spans="1:47" x14ac:dyDescent="0.35">
      <c r="A289" s="2" t="s">
        <v>2915</v>
      </c>
      <c r="B289">
        <v>1945</v>
      </c>
      <c r="C289">
        <v>1953</v>
      </c>
      <c r="D2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89" s="37" t="str">
        <f>INDEX(CONTROL[ENGLISH],MATCH(PROPERTIES[[#This Row],[VEHIDCODE]],CONTROL[VEHIDCODE],0))</f>
        <v>Baldwin 0-6-6-0 1000</v>
      </c>
      <c r="F289" t="s">
        <v>716</v>
      </c>
      <c r="G289" s="37" t="str">
        <f>_xlfn.IFNA(INDEX(COUNTRIES[COUNTRY_LABEL],MATCH(PROPERTIES[[#This Row],[COUNTRY]],COUNTRIES[COUNTRY_DESCRIPTION],0)),"")</f>
        <v>RU</v>
      </c>
      <c r="H2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INDEX(LOADINGSPEEDDEF[SPEED],MATCH("LOADINGSPEEDDEF_"&amp;PROPERTIES[[#This Row],[LOADINGSPEED]],LOADINGSPEEDDEF[TYPE],0))</f>
        <v>20</v>
      </c>
      <c r="O2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4">
        <v>0</v>
      </c>
      <c r="AF289" s="6">
        <v>0</v>
      </c>
      <c r="AG289" t="s">
        <v>1940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8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1" t="b">
        <v>0</v>
      </c>
      <c r="AP289" s="45" t="b">
        <v>0</v>
      </c>
      <c r="AQ289" s="45" t="b">
        <v>0</v>
      </c>
      <c r="AR289" s="45">
        <v>0</v>
      </c>
      <c r="AS289" s="45" t="b">
        <v>0</v>
      </c>
      <c r="AT289" s="7" t="b">
        <v>0</v>
      </c>
      <c r="AU2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0" spans="1:47" x14ac:dyDescent="0.35">
      <c r="A290" s="2" t="s">
        <v>2916</v>
      </c>
      <c r="B290">
        <v>1948</v>
      </c>
      <c r="C290">
        <v>2000</v>
      </c>
      <c r="D2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0" s="37" t="str">
        <f>INDEX(CONTROL[ENGLISH],MATCH(PROPERTIES[[#This Row],[VEHIDCODE]],CONTROL[VEHIDCODE],0))</f>
        <v>ALCO RSC-2</v>
      </c>
      <c r="F290" t="s">
        <v>710</v>
      </c>
      <c r="G290" s="37" t="str">
        <f>_xlfn.IFNA(INDEX(COUNTRIES[COUNTRY_LABEL],MATCH(PROPERTIES[[#This Row],[COUNTRY]],COUNTRIES[COUNTRY_DESCRIPTION],0)),"")</f>
        <v>PT</v>
      </c>
      <c r="H2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INDEX(LOADINGSPEEDDEF[SPEED],MATCH("LOADINGSPEEDDEF_"&amp;PROPERTIES[[#This Row],[LOADINGSPEED]],LOADINGSPEEDDEF[TYPE],0))</f>
        <v>20</v>
      </c>
      <c r="O2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4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1" t="b">
        <v>0</v>
      </c>
      <c r="AP290" s="45" t="b">
        <v>0</v>
      </c>
      <c r="AQ290" s="45" t="b">
        <v>0</v>
      </c>
      <c r="AR290" s="45">
        <v>0</v>
      </c>
      <c r="AS290" s="45" t="b">
        <v>0</v>
      </c>
      <c r="AT290" s="7" t="b">
        <v>0</v>
      </c>
      <c r="AU2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1" spans="1:47" x14ac:dyDescent="0.35">
      <c r="A291" s="2" t="s">
        <v>2917</v>
      </c>
      <c r="B291">
        <v>1969</v>
      </c>
      <c r="C291">
        <v>2009</v>
      </c>
      <c r="D2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1" s="37" t="str">
        <f>INDEX(CONTROL[ENGLISH],MATCH(PROPERTIES[[#This Row],[VEHIDCODE]],CONTROL[VEHIDCODE],0))</f>
        <v>Brissonneau and Lotz BB 67400</v>
      </c>
      <c r="F291" t="s">
        <v>602</v>
      </c>
      <c r="G291" s="37" t="str">
        <f>_xlfn.IFNA(INDEX(COUNTRIES[COUNTRY_LABEL],MATCH(PROPERTIES[[#This Row],[COUNTRY]],COUNTRIES[COUNTRY_DESCRIPTION],0)),"")</f>
        <v>FR</v>
      </c>
      <c r="H2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INDEX(LOADINGSPEEDDEF[SPEED],MATCH("LOADINGSPEEDDEF_"&amp;PROPERTIES[[#This Row],[LOADINGSPEED]],LOADINGSPEEDDEF[TYPE],0))</f>
        <v>20</v>
      </c>
      <c r="O2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4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1" t="b">
        <v>0</v>
      </c>
      <c r="AP291" s="45" t="b">
        <v>0</v>
      </c>
      <c r="AQ291" s="45" t="b">
        <v>0</v>
      </c>
      <c r="AR291" s="45">
        <v>0</v>
      </c>
      <c r="AS291" s="45" t="b">
        <v>0</v>
      </c>
      <c r="AT291" s="7" t="b">
        <v>0</v>
      </c>
      <c r="AU2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2" spans="1:47" x14ac:dyDescent="0.35">
      <c r="A292" s="2" t="s">
        <v>2918</v>
      </c>
      <c r="B292">
        <v>1988</v>
      </c>
      <c r="D2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2" s="37" t="str">
        <f>INDEX(CONTROL[ENGLISH],MATCH(PROPERTIES[[#This Row],[VEHIDCODE]],CONTROL[VEHIDCODE],0))</f>
        <v>MaK DE 6400</v>
      </c>
      <c r="F292" t="s">
        <v>692</v>
      </c>
      <c r="G292" s="37" t="str">
        <f>_xlfn.IFNA(INDEX(COUNTRIES[COUNTRY_LABEL],MATCH(PROPERTIES[[#This Row],[COUNTRY]],COUNTRIES[COUNTRY_DESCRIPTION],0)),"")</f>
        <v>NL</v>
      </c>
      <c r="H2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INDEX(LOADINGSPEEDDEF[SPEED],MATCH("LOADINGSPEEDDEF_"&amp;PROPERTIES[[#This Row],[LOADINGSPEED]],LOADINGSPEEDDEF[TYPE],0))</f>
        <v>20</v>
      </c>
      <c r="O2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4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1" t="b">
        <v>0</v>
      </c>
      <c r="AP292" s="45" t="b">
        <v>0</v>
      </c>
      <c r="AQ292" s="45" t="b">
        <v>0</v>
      </c>
      <c r="AR292" s="45">
        <v>0</v>
      </c>
      <c r="AS292" s="45" t="b">
        <v>0</v>
      </c>
      <c r="AT292" s="7" t="b">
        <v>0</v>
      </c>
      <c r="AU2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3" spans="1:47" x14ac:dyDescent="0.35">
      <c r="A293" s="2" t="s">
        <v>2919</v>
      </c>
      <c r="B293">
        <v>2009</v>
      </c>
      <c r="D2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3" s="37" t="str">
        <f>INDEX(CONTROL[ENGLISH],MATCH(PROPERTIES[[#This Row],[VEHIDCODE]],CONTROL[VEHIDCODE],0))</f>
        <v>GE ES40ACi</v>
      </c>
      <c r="F293" t="s">
        <v>592</v>
      </c>
      <c r="G293" s="37" t="str">
        <f>_xlfn.IFNA(INDEX(COUNTRIES[COUNTRY_LABEL],MATCH(PROPERTIES[[#This Row],[COUNTRY]],COUNTRIES[COUNTRY_DESCRIPTION],0)),"")</f>
        <v>EG</v>
      </c>
      <c r="H2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INDEX(LOADINGSPEEDDEF[SPEED],MATCH("LOADINGSPEEDDEF_"&amp;PROPERTIES[[#This Row],[LOADINGSPEED]],LOADINGSPEEDDEF[TYPE],0))</f>
        <v>20</v>
      </c>
      <c r="O29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4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1" t="b">
        <v>0</v>
      </c>
      <c r="AP293" s="45" t="b">
        <v>0</v>
      </c>
      <c r="AQ293" s="45" t="b">
        <v>0</v>
      </c>
      <c r="AR293" s="45">
        <v>0</v>
      </c>
      <c r="AS293" s="45" t="b">
        <v>0</v>
      </c>
      <c r="AT293" s="7" t="b">
        <v>0</v>
      </c>
      <c r="AU2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4" spans="1:47" x14ac:dyDescent="0.35">
      <c r="A294" s="2" t="s">
        <v>2920</v>
      </c>
      <c r="B294">
        <v>2014</v>
      </c>
      <c r="D2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4" s="37" t="str">
        <f>INDEX(CONTROL[ENGLISH],MATCH(PROPERTIES[[#This Row],[VEHIDCODE]],CONTROL[VEHIDCODE],0))</f>
        <v>Vossloh Afro 4000</v>
      </c>
      <c r="F294" t="s">
        <v>771</v>
      </c>
      <c r="G294" s="37" t="str">
        <f>_xlfn.IFNA(INDEX(COUNTRIES[COUNTRY_LABEL],MATCH(PROPERTIES[[#This Row],[COUNTRY]],COUNTRIES[COUNTRY_DESCRIPTION],0)),"")</f>
        <v>ZA</v>
      </c>
      <c r="H2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INDEX(LOADINGSPEEDDEF[SPEED],MATCH("LOADINGSPEEDDEF_"&amp;PROPERTIES[[#This Row],[LOADINGSPEED]],LOADINGSPEEDDEF[TYPE],0))</f>
        <v>20</v>
      </c>
      <c r="O2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4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1" t="b">
        <v>0</v>
      </c>
      <c r="AP294" s="45" t="b">
        <v>0</v>
      </c>
      <c r="AQ294" s="45" t="b">
        <v>0</v>
      </c>
      <c r="AR294" s="45">
        <v>0</v>
      </c>
      <c r="AS294" s="45" t="b">
        <v>0</v>
      </c>
      <c r="AT294" s="7" t="b">
        <v>0</v>
      </c>
      <c r="AU2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5" spans="1:47" x14ac:dyDescent="0.35">
      <c r="A295" s="2" t="s">
        <v>2921</v>
      </c>
      <c r="B295">
        <v>1966</v>
      </c>
      <c r="C295">
        <v>2030</v>
      </c>
      <c r="D2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5" s="37" t="str">
        <f>INDEX(CONTROL[ENGLISH],MATCH(PROPERTIES[[#This Row],[VEHIDCODE]],CONTROL[VEHIDCODE],0))</f>
        <v>GE U10B</v>
      </c>
      <c r="F295" t="s">
        <v>595</v>
      </c>
      <c r="G295" s="37" t="str">
        <f>_xlfn.IFNA(INDEX(COUNTRIES[COUNTRY_LABEL],MATCH(PROPERTIES[[#This Row],[COUNTRY]],COUNTRIES[COUNTRY_DESCRIPTION],0)),"")</f>
        <v>ES</v>
      </c>
      <c r="H2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INDEX(LOADINGSPEEDDEF[SPEED],MATCH("LOADINGSPEEDDEF_"&amp;PROPERTIES[[#This Row],[LOADINGSPEED]],LOADINGSPEEDDEF[TYPE],0))</f>
        <v>20</v>
      </c>
      <c r="O2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4">
        <v>0</v>
      </c>
      <c r="AF295" s="6">
        <v>0</v>
      </c>
      <c r="AG295" t="s">
        <v>231</v>
      </c>
      <c r="AH295" t="s">
        <v>237</v>
      </c>
      <c r="AI295" t="s">
        <v>1939</v>
      </c>
      <c r="AJ295" s="2" t="s">
        <v>233</v>
      </c>
      <c r="AK295" s="2" t="s">
        <v>244</v>
      </c>
      <c r="AL29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1" t="b">
        <v>0</v>
      </c>
      <c r="AP295" s="45" t="b">
        <v>0</v>
      </c>
      <c r="AQ295" s="45" t="b">
        <v>0</v>
      </c>
      <c r="AR295" s="45">
        <v>0</v>
      </c>
      <c r="AS295" s="45" t="b">
        <v>0</v>
      </c>
      <c r="AT295" s="7" t="b">
        <v>0</v>
      </c>
      <c r="AU2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6" spans="1:47" x14ac:dyDescent="0.35">
      <c r="A296" s="2" t="s">
        <v>2922</v>
      </c>
      <c r="B296">
        <v>2002</v>
      </c>
      <c r="C296">
        <v>2022</v>
      </c>
      <c r="D2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6" s="37" t="str">
        <f>INDEX(CONTROL[ENGLISH],MATCH(PROPERTIES[[#This Row],[VEHIDCODE]],CONTROL[VEHIDCODE],0))</f>
        <v>EMD/Pacific GT26C-3</v>
      </c>
      <c r="F296" t="s">
        <v>541</v>
      </c>
      <c r="G296" s="37" t="str">
        <f>_xlfn.IFNA(INDEX(COUNTRIES[COUNTRY_LABEL],MATCH(PROPERTIES[[#This Row],[COUNTRY]],COUNTRIES[COUNTRY_DESCRIPTION],0)),"")</f>
        <v>AU</v>
      </c>
      <c r="H2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INDEX(LOADINGSPEEDDEF[SPEED],MATCH("LOADINGSPEEDDEF_"&amp;PROPERTIES[[#This Row],[LOADINGSPEED]],LOADINGSPEEDDEF[TYPE],0))</f>
        <v>20</v>
      </c>
      <c r="O29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4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1" t="b">
        <v>0</v>
      </c>
      <c r="AP296" s="45" t="b">
        <v>0</v>
      </c>
      <c r="AQ296" s="45" t="b">
        <v>0</v>
      </c>
      <c r="AR296" s="45">
        <v>0</v>
      </c>
      <c r="AS296" s="45" t="b">
        <v>0</v>
      </c>
      <c r="AT296" s="7" t="b">
        <v>0</v>
      </c>
      <c r="AU2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TPL_17B</v>
      </c>
    </row>
    <row r="297" spans="1:47" x14ac:dyDescent="0.35">
      <c r="A297" s="2" t="s">
        <v>2923</v>
      </c>
      <c r="B297">
        <v>2006</v>
      </c>
      <c r="D2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7" s="37" t="str">
        <f>INDEX(CONTROL[ENGLISH],MATCH(PROPERTIES[[#This Row],[VEHIDCODE]],CONTROL[VEHIDCODE],0))</f>
        <v>CargoNet 312</v>
      </c>
      <c r="F297" t="s">
        <v>693</v>
      </c>
      <c r="G297" s="37" t="str">
        <f>_xlfn.IFNA(INDEX(COUNTRIES[COUNTRY_LABEL],MATCH(PROPERTIES[[#This Row],[COUNTRY]],COUNTRIES[COUNTRY_DESCRIPTION],0)),"")</f>
        <v>NO</v>
      </c>
      <c r="H2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INDEX(LOADINGSPEEDDEF[SPEED],MATCH("LOADINGSPEEDDEF_"&amp;PROPERTIES[[#This Row],[LOADINGSPEED]],LOADINGSPEEDDEF[TYPE],0))</f>
        <v>20</v>
      </c>
      <c r="O2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4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1" t="b">
        <v>0</v>
      </c>
      <c r="AP297" s="45" t="b">
        <v>0</v>
      </c>
      <c r="AQ297" s="45" t="b">
        <v>0</v>
      </c>
      <c r="AR297" s="45">
        <v>0</v>
      </c>
      <c r="AS297" s="45" t="b">
        <v>0</v>
      </c>
      <c r="AT297" s="7" t="b">
        <v>0</v>
      </c>
      <c r="AU2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8" spans="1:47" x14ac:dyDescent="0.35">
      <c r="A298" s="2" t="s">
        <v>2924</v>
      </c>
      <c r="B298">
        <v>2008</v>
      </c>
      <c r="D2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8" s="37" t="str">
        <f>INDEX(CONTROL[ENGLISH],MATCH(PROPERTIES[[#This Row],[VEHIDCODE]],CONTROL[VEHIDCODE],0))</f>
        <v>GE/Pacific C44ESACi</v>
      </c>
      <c r="F298" t="s">
        <v>541</v>
      </c>
      <c r="G298" s="37" t="str">
        <f>_xlfn.IFNA(INDEX(COUNTRIES[COUNTRY_LABEL],MATCH(PROPERTIES[[#This Row],[COUNTRY]],COUNTRIES[COUNTRY_DESCRIPTION],0)),"")</f>
        <v>AU</v>
      </c>
      <c r="H2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INDEX(LOADINGSPEEDDEF[SPEED],MATCH("LOADINGSPEEDDEF_"&amp;PROPERTIES[[#This Row],[LOADINGSPEED]],LOADINGSPEEDDEF[TYPE],0))</f>
        <v>20</v>
      </c>
      <c r="O2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4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1" t="b">
        <v>0</v>
      </c>
      <c r="AP298" s="45" t="b">
        <v>0</v>
      </c>
      <c r="AQ298" s="45" t="b">
        <v>0</v>
      </c>
      <c r="AR298" s="45">
        <v>0</v>
      </c>
      <c r="AS298" s="45" t="b">
        <v>0</v>
      </c>
      <c r="AT298" s="7" t="b">
        <v>0</v>
      </c>
      <c r="AU2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299" spans="1:47" x14ac:dyDescent="0.35">
      <c r="A299" s="2" t="s">
        <v>2925</v>
      </c>
      <c r="B299">
        <v>2014</v>
      </c>
      <c r="D2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299" s="37" t="str">
        <f>INDEX(CONTROL[ENGLISH],MATCH(PROPERTIES[[#This Row],[VEHIDCODE]],CONTROL[VEHIDCODE],0))</f>
        <v>Stadler UKLight</v>
      </c>
      <c r="F299" t="s">
        <v>603</v>
      </c>
      <c r="G299" s="37" t="str">
        <f>_xlfn.IFNA(INDEX(COUNTRIES[COUNTRY_LABEL],MATCH(PROPERTIES[[#This Row],[COUNTRY]],COUNTRIES[COUNTRY_DESCRIPTION],0)),"")</f>
        <v>GB</v>
      </c>
      <c r="H2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INDEX(LOADINGSPEEDDEF[SPEED],MATCH("LOADINGSPEEDDEF_"&amp;PROPERTIES[[#This Row],[LOADINGSPEED]],LOADINGSPEEDDEF[TYPE],0))</f>
        <v>20</v>
      </c>
      <c r="O29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4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2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1" t="b">
        <v>0</v>
      </c>
      <c r="AP299" s="45" t="b">
        <v>0</v>
      </c>
      <c r="AQ299" s="45" t="b">
        <v>0</v>
      </c>
      <c r="AR299" s="45">
        <v>0</v>
      </c>
      <c r="AS299" s="45" t="b">
        <v>0</v>
      </c>
      <c r="AT299" s="7" t="b">
        <v>0</v>
      </c>
      <c r="AU2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00" spans="1:47" x14ac:dyDescent="0.35">
      <c r="A300" s="2" t="s">
        <v>2926</v>
      </c>
      <c r="B300">
        <v>2015</v>
      </c>
      <c r="D3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00" s="37" t="str">
        <f>INDEX(CONTROL[ENGLISH],MATCH(PROPERTIES[[#This Row],[VEHIDCODE]],CONTROL[VEHIDCODE],0))</f>
        <v>Siemens Charger ALC-42</v>
      </c>
      <c r="F300" t="s">
        <v>757</v>
      </c>
      <c r="G300" s="37" t="str">
        <f>_xlfn.IFNA(INDEX(COUNTRIES[COUNTRY_LABEL],MATCH(PROPERTIES[[#This Row],[COUNTRY]],COUNTRIES[COUNTRY_DESCRIPTION],0)),"")</f>
        <v>US</v>
      </c>
      <c r="H3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INDEX(LOADINGSPEEDDEF[SPEED],MATCH("LOADINGSPEEDDEF_"&amp;PROPERTIES[[#This Row],[LOADINGSPEED]],LOADINGSPEEDDEF[TYPE],0))</f>
        <v>20</v>
      </c>
      <c r="O30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4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3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1" t="b">
        <v>0</v>
      </c>
      <c r="AP300" s="45" t="b">
        <v>0</v>
      </c>
      <c r="AQ300" s="45" t="b">
        <v>0</v>
      </c>
      <c r="AR300" s="45">
        <v>0</v>
      </c>
      <c r="AS300" s="45" t="b">
        <v>0</v>
      </c>
      <c r="AT300" s="7" t="b">
        <v>0</v>
      </c>
      <c r="AU3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01" spans="1:47" x14ac:dyDescent="0.35">
      <c r="A301" s="2" t="s">
        <v>2927</v>
      </c>
      <c r="B301">
        <v>1911</v>
      </c>
      <c r="C301">
        <v>2013</v>
      </c>
      <c r="D3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1" s="37" t="str">
        <f>INDEX(CONTROL[ENGLISH],MATCH(PROPERTIES[[#This Row],[VEHIDCODE]],CONTROL[VEHIDCODE],0))</f>
        <v>Buenos Aires 'Le Brugeoise'</v>
      </c>
      <c r="F301" t="s">
        <v>538</v>
      </c>
      <c r="G301" s="37" t="str">
        <f>_xlfn.IFNA(INDEX(COUNTRIES[COUNTRY_LABEL],MATCH(PROPERTIES[[#This Row],[COUNTRY]],COUNTRIES[COUNTRY_DESCRIPTION],0)),"")</f>
        <v>AR</v>
      </c>
      <c r="H3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INDEX(LOADINGSPEEDDEF[SPEED],MATCH("LOADINGSPEEDDEF_"&amp;PROPERTIES[[#This Row],[LOADINGSPEED]],LOADINGSPEEDDEF[TYPE],0))</f>
        <v>120</v>
      </c>
      <c r="O3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4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1" s="2" t="str">
        <f>SUBSTITUTE(SUBSTITUTE(PROPERTIES[[#This Row],[PURCHASECOST_VALUE]], "PURCHASECOST_", ""), "_VALUE", "")</f>
        <v>METRO</v>
      </c>
      <c r="AO301" s="41" t="b">
        <v>0</v>
      </c>
      <c r="AP301" s="45" t="b">
        <v>0</v>
      </c>
      <c r="AQ301" s="45" t="b">
        <v>0</v>
      </c>
      <c r="AR301" s="45">
        <v>0</v>
      </c>
      <c r="AS301" s="45" t="b">
        <v>0</v>
      </c>
      <c r="AT301" s="7" t="b">
        <v>0</v>
      </c>
      <c r="AU3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2" spans="1:47" x14ac:dyDescent="0.35">
      <c r="A302" s="2" t="s">
        <v>2928</v>
      </c>
      <c r="B302">
        <v>1930</v>
      </c>
      <c r="C302">
        <v>1968</v>
      </c>
      <c r="D3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2" s="37" t="str">
        <f>INDEX(CONTROL[ENGLISH],MATCH(PROPERTIES[[#This Row],[VEHIDCODE]],CONTROL[VEHIDCODE],0))</f>
        <v>ACF New York R1</v>
      </c>
      <c r="F302" t="s">
        <v>757</v>
      </c>
      <c r="G302" s="37" t="str">
        <f>_xlfn.IFNA(INDEX(COUNTRIES[COUNTRY_LABEL],MATCH(PROPERTIES[[#This Row],[COUNTRY]],COUNTRIES[COUNTRY_DESCRIPTION],0)),"")</f>
        <v>US</v>
      </c>
      <c r="H3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INDEX(LOADINGSPEEDDEF[SPEED],MATCH("LOADINGSPEEDDEF_"&amp;PROPERTIES[[#This Row],[LOADINGSPEED]],LOADINGSPEEDDEF[TYPE],0))</f>
        <v>120</v>
      </c>
      <c r="O3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4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2" s="2" t="str">
        <f>SUBSTITUTE(SUBSTITUTE(PROPERTIES[[#This Row],[PURCHASECOST_VALUE]], "PURCHASECOST_", ""), "_VALUE", "")</f>
        <v>METRO</v>
      </c>
      <c r="AO302" s="41" t="b">
        <v>0</v>
      </c>
      <c r="AP302" s="45" t="b">
        <v>0</v>
      </c>
      <c r="AQ302" s="45" t="b">
        <v>0</v>
      </c>
      <c r="AR302" s="45">
        <v>0</v>
      </c>
      <c r="AS302" s="45" t="b">
        <v>0</v>
      </c>
      <c r="AT302" s="7" t="b">
        <v>0</v>
      </c>
      <c r="AU3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3" spans="1:47" x14ac:dyDescent="0.35">
      <c r="A303" s="2" t="s">
        <v>2929</v>
      </c>
      <c r="B303">
        <v>1942</v>
      </c>
      <c r="C303">
        <v>2001</v>
      </c>
      <c r="D3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3" s="37" t="str">
        <f>INDEX(CONTROL[ENGLISH],MATCH(PROPERTIES[[#This Row],[VEHIDCODE]],CONTROL[VEHIDCODE],0))</f>
        <v>LHB ET 171</v>
      </c>
      <c r="F303" t="s">
        <v>584</v>
      </c>
      <c r="G303" s="37" t="str">
        <f>_xlfn.IFNA(INDEX(COUNTRIES[COUNTRY_LABEL],MATCH(PROPERTIES[[#This Row],[COUNTRY]],COUNTRIES[COUNTRY_DESCRIPTION],0)),"")</f>
        <v>DE</v>
      </c>
      <c r="H3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INDEX(LOADINGSPEEDDEF[SPEED],MATCH("LOADINGSPEEDDEF_"&amp;PROPERTIES[[#This Row],[LOADINGSPEED]],LOADINGSPEEDDEF[TYPE],0))</f>
        <v>120</v>
      </c>
      <c r="O3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4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3" s="2" t="str">
        <f>SUBSTITUTE(SUBSTITUTE(PROPERTIES[[#This Row],[PURCHASECOST_VALUE]], "PURCHASECOST_", ""), "_VALUE", "")</f>
        <v>METRO</v>
      </c>
      <c r="AO303" s="41" t="b">
        <v>0</v>
      </c>
      <c r="AP303" s="45" t="b">
        <v>0</v>
      </c>
      <c r="AQ303" s="45" t="b">
        <v>0</v>
      </c>
      <c r="AR303" s="45">
        <v>0</v>
      </c>
      <c r="AS303" s="45" t="b">
        <v>0</v>
      </c>
      <c r="AT303" s="7" t="b">
        <v>0</v>
      </c>
      <c r="AU3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4" spans="1:47" x14ac:dyDescent="0.35">
      <c r="A304" s="2" t="s">
        <v>2930</v>
      </c>
      <c r="B304">
        <v>1957</v>
      </c>
      <c r="C304">
        <v>1999</v>
      </c>
      <c r="D3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4" s="37" t="str">
        <f>INDEX(CONTROL[ENGLISH],MATCH(PROPERTIES[[#This Row],[VEHIDCODE]],CONTROL[VEHIDCODE],0))</f>
        <v>GEC-Alsthom Paris MP55</v>
      </c>
      <c r="F304" t="s">
        <v>602</v>
      </c>
      <c r="G304" s="37" t="str">
        <f>_xlfn.IFNA(INDEX(COUNTRIES[COUNTRY_LABEL],MATCH(PROPERTIES[[#This Row],[COUNTRY]],COUNTRIES[COUNTRY_DESCRIPTION],0)),"")</f>
        <v>FR</v>
      </c>
      <c r="H3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INDEX(LOADINGSPEEDDEF[SPEED],MATCH("LOADINGSPEEDDEF_"&amp;PROPERTIES[[#This Row],[LOADINGSPEED]],LOADINGSPEEDDEF[TYPE],0))</f>
        <v>120</v>
      </c>
      <c r="O3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4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4" s="2" t="str">
        <f>SUBSTITUTE(SUBSTITUTE(PROPERTIES[[#This Row],[PURCHASECOST_VALUE]], "PURCHASECOST_", ""), "_VALUE", "")</f>
        <v>METRO</v>
      </c>
      <c r="AO304" s="41" t="b">
        <v>0</v>
      </c>
      <c r="AP304" s="45" t="b">
        <v>0</v>
      </c>
      <c r="AQ304" s="45" t="b">
        <v>0</v>
      </c>
      <c r="AR304" s="45">
        <v>0</v>
      </c>
      <c r="AS304" s="45" t="b">
        <v>0</v>
      </c>
      <c r="AT304" s="7" t="b">
        <v>0</v>
      </c>
      <c r="AU3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5" spans="1:47" x14ac:dyDescent="0.35">
      <c r="A305" s="2" t="s">
        <v>2931</v>
      </c>
      <c r="B305">
        <v>1959</v>
      </c>
      <c r="C305">
        <v>2000</v>
      </c>
      <c r="D3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5" s="37" t="str">
        <f>INDEX(CONTROL[ENGLISH],MATCH(PROPERTIES[[#This Row],[VEHIDCODE]],CONTROL[VEHIDCODE],0))</f>
        <v>LHB Lisbon ML7</v>
      </c>
      <c r="F305" t="s">
        <v>710</v>
      </c>
      <c r="G305" s="37" t="str">
        <f>_xlfn.IFNA(INDEX(COUNTRIES[COUNTRY_LABEL],MATCH(PROPERTIES[[#This Row],[COUNTRY]],COUNTRIES[COUNTRY_DESCRIPTION],0)),"")</f>
        <v>PT</v>
      </c>
      <c r="H3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INDEX(LOADINGSPEEDDEF[SPEED],MATCH("LOADINGSPEEDDEF_"&amp;PROPERTIES[[#This Row],[LOADINGSPEED]],LOADINGSPEEDDEF[TYPE],0))</f>
        <v>120</v>
      </c>
      <c r="O3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4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5" s="2" t="str">
        <f>SUBSTITUTE(SUBSTITUTE(PROPERTIES[[#This Row],[PURCHASECOST_VALUE]], "PURCHASECOST_", ""), "_VALUE", "")</f>
        <v>METRO</v>
      </c>
      <c r="AO305" s="41" t="b">
        <v>0</v>
      </c>
      <c r="AP305" s="45" t="b">
        <v>0</v>
      </c>
      <c r="AQ305" s="45" t="b">
        <v>0</v>
      </c>
      <c r="AR305" s="45">
        <v>0</v>
      </c>
      <c r="AS305" s="45" t="b">
        <v>0</v>
      </c>
      <c r="AT305" s="7" t="b">
        <v>0</v>
      </c>
      <c r="AU3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6" spans="1:47" x14ac:dyDescent="0.35">
      <c r="A306" s="2" t="s">
        <v>2932</v>
      </c>
      <c r="B306">
        <v>1970</v>
      </c>
      <c r="C306">
        <v>2018</v>
      </c>
      <c r="D3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6" s="37" t="str">
        <f>INDEX(CONTROL[ENGLISH],MATCH(PROPERTIES[[#This Row],[VEHIDCODE]],CONTROL[VEHIDCODE],0))</f>
        <v>MMZ 81-707 Type Ezsh</v>
      </c>
      <c r="F306" t="s">
        <v>716</v>
      </c>
      <c r="G306" s="37" t="str">
        <f>_xlfn.IFNA(INDEX(COUNTRIES[COUNTRY_LABEL],MATCH(PROPERTIES[[#This Row],[COUNTRY]],COUNTRIES[COUNTRY_DESCRIPTION],0)),"")</f>
        <v>RU</v>
      </c>
      <c r="H3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INDEX(LOADINGSPEEDDEF[SPEED],MATCH("LOADINGSPEEDDEF_"&amp;PROPERTIES[[#This Row],[LOADINGSPEED]],LOADINGSPEEDDEF[TYPE],0))</f>
        <v>120</v>
      </c>
      <c r="O3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4">
        <v>150</v>
      </c>
      <c r="AF306" s="6">
        <v>8</v>
      </c>
      <c r="AG306" t="s">
        <v>1940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6" s="2" t="str">
        <f>SUBSTITUTE(SUBSTITUTE(PROPERTIES[[#This Row],[PURCHASECOST_VALUE]], "PURCHASECOST_", ""), "_VALUE", "")</f>
        <v>METRO</v>
      </c>
      <c r="AO306" s="41" t="b">
        <v>0</v>
      </c>
      <c r="AP306" s="45" t="b">
        <v>0</v>
      </c>
      <c r="AQ306" s="45" t="b">
        <v>0</v>
      </c>
      <c r="AR306" s="45">
        <v>0</v>
      </c>
      <c r="AS306" s="45" t="b">
        <v>0</v>
      </c>
      <c r="AT306" s="7" t="b">
        <v>0</v>
      </c>
      <c r="AU3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7" spans="1:47" x14ac:dyDescent="0.35">
      <c r="A307" s="2" t="s">
        <v>2933</v>
      </c>
      <c r="B307">
        <v>1964</v>
      </c>
      <c r="C307">
        <v>2009</v>
      </c>
      <c r="D3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7" s="37" t="str">
        <f>INDEX(CONTROL[ENGLISH],MATCH(PROPERTIES[[#This Row],[VEHIDCODE]],CONTROL[VEHIDCODE],0))</f>
        <v>Strommens Oslo T1000</v>
      </c>
      <c r="F307" t="s">
        <v>693</v>
      </c>
      <c r="G307" s="37" t="str">
        <f>_xlfn.IFNA(INDEX(COUNTRIES[COUNTRY_LABEL],MATCH(PROPERTIES[[#This Row],[COUNTRY]],COUNTRIES[COUNTRY_DESCRIPTION],0)),"")</f>
        <v>NO</v>
      </c>
      <c r="H3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INDEX(LOADINGSPEEDDEF[SPEED],MATCH("LOADINGSPEEDDEF_"&amp;PROPERTIES[[#This Row],[LOADINGSPEED]],LOADINGSPEEDDEF[TYPE],0))</f>
        <v>120</v>
      </c>
      <c r="O3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4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7" s="2" t="str">
        <f>SUBSTITUTE(SUBSTITUTE(PROPERTIES[[#This Row],[PURCHASECOST_VALUE]], "PURCHASECOST_", ""), "_VALUE", "")</f>
        <v>METRO</v>
      </c>
      <c r="AO307" s="41" t="b">
        <v>0</v>
      </c>
      <c r="AP307" s="45" t="b">
        <v>0</v>
      </c>
      <c r="AQ307" s="45" t="b">
        <v>0</v>
      </c>
      <c r="AR307" s="45">
        <v>0</v>
      </c>
      <c r="AS307" s="45" t="b">
        <v>0</v>
      </c>
      <c r="AT307" s="7" t="b">
        <v>0</v>
      </c>
      <c r="AU3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8" spans="1:47" x14ac:dyDescent="0.35">
      <c r="A308" s="2" t="s">
        <v>2934</v>
      </c>
      <c r="B308">
        <v>1965</v>
      </c>
      <c r="C308">
        <v>1997</v>
      </c>
      <c r="D3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8" s="37" t="str">
        <f>INDEX(CONTROL[ENGLISH],MATCH(PROPERTIES[[#This Row],[VEHIDCODE]],CONTROL[VEHIDCODE],0))</f>
        <v>Hawker Siddeley Toronto H1</v>
      </c>
      <c r="F308" t="s">
        <v>565</v>
      </c>
      <c r="G308" s="37" t="str">
        <f>_xlfn.IFNA(INDEX(COUNTRIES[COUNTRY_LABEL],MATCH(PROPERTIES[[#This Row],[COUNTRY]],COUNTRIES[COUNTRY_DESCRIPTION],0)),"")</f>
        <v>CA</v>
      </c>
      <c r="H3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INDEX(LOADINGSPEEDDEF[SPEED],MATCH("LOADINGSPEEDDEF_"&amp;PROPERTIES[[#This Row],[LOADINGSPEED]],LOADINGSPEEDDEF[TYPE],0))</f>
        <v>120</v>
      </c>
      <c r="O3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4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8" s="2" t="str">
        <f>SUBSTITUTE(SUBSTITUTE(PROPERTIES[[#This Row],[PURCHASECOST_VALUE]], "PURCHASECOST_", ""), "_VALUE", "")</f>
        <v>METRO</v>
      </c>
      <c r="AO308" s="41" t="b">
        <v>0</v>
      </c>
      <c r="AP308" s="45" t="b">
        <v>0</v>
      </c>
      <c r="AQ308" s="45" t="b">
        <v>0</v>
      </c>
      <c r="AR308" s="45">
        <v>0</v>
      </c>
      <c r="AS308" s="45" t="b">
        <v>0</v>
      </c>
      <c r="AT308" s="7" t="b">
        <v>0</v>
      </c>
      <c r="AU3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09" spans="1:47" x14ac:dyDescent="0.35">
      <c r="A309" s="2" t="s">
        <v>2935</v>
      </c>
      <c r="B309">
        <v>1971</v>
      </c>
      <c r="C309">
        <v>2026</v>
      </c>
      <c r="D3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09" s="37" t="str">
        <f>INDEX(CONTROL[ENGLISH],MATCH(PROPERTIES[[#This Row],[VEHIDCODE]],CONTROL[VEHIDCODE],0))</f>
        <v>MAN Munchen MVG A2</v>
      </c>
      <c r="F309" t="s">
        <v>584</v>
      </c>
      <c r="G309" s="37" t="str">
        <f>_xlfn.IFNA(INDEX(COUNTRIES[COUNTRY_LABEL],MATCH(PROPERTIES[[#This Row],[COUNTRY]],COUNTRIES[COUNTRY_DESCRIPTION],0)),"")</f>
        <v>DE</v>
      </c>
      <c r="H3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INDEX(LOADINGSPEEDDEF[SPEED],MATCH("LOADINGSPEEDDEF_"&amp;PROPERTIES[[#This Row],[LOADINGSPEED]],LOADINGSPEEDDEF[TYPE],0))</f>
        <v>120</v>
      </c>
      <c r="O30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4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0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09" s="2" t="str">
        <f>SUBSTITUTE(SUBSTITUTE(PROPERTIES[[#This Row],[PURCHASECOST_VALUE]], "PURCHASECOST_", ""), "_VALUE", "")</f>
        <v>METRO</v>
      </c>
      <c r="AO309" s="41" t="b">
        <v>0</v>
      </c>
      <c r="AP309" s="45" t="b">
        <v>0</v>
      </c>
      <c r="AQ309" s="45" t="b">
        <v>0</v>
      </c>
      <c r="AR309" s="45">
        <v>0</v>
      </c>
      <c r="AS309" s="45" t="b">
        <v>0</v>
      </c>
      <c r="AT309" s="7" t="b">
        <v>0</v>
      </c>
      <c r="AU3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0" spans="1:47" x14ac:dyDescent="0.35">
      <c r="A310" s="2" t="s">
        <v>2936</v>
      </c>
      <c r="B310">
        <v>1971</v>
      </c>
      <c r="C310">
        <v>2012</v>
      </c>
      <c r="D3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0" s="37" t="str">
        <f>INDEX(CONTROL[ENGLISH],MATCH(PROPERTIES[[#This Row],[VEHIDCODE]],CONTROL[VEHIDCODE],0))</f>
        <v>St. Louis Car Co New York R44</v>
      </c>
      <c r="F310" t="s">
        <v>757</v>
      </c>
      <c r="G310" s="37" t="str">
        <f>_xlfn.IFNA(INDEX(COUNTRIES[COUNTRY_LABEL],MATCH(PROPERTIES[[#This Row],[COUNTRY]],COUNTRIES[COUNTRY_DESCRIPTION],0)),"")</f>
        <v>US</v>
      </c>
      <c r="H3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INDEX(LOADINGSPEEDDEF[SPEED],MATCH("LOADINGSPEEDDEF_"&amp;PROPERTIES[[#This Row],[LOADINGSPEED]],LOADINGSPEEDDEF[TYPE],0))</f>
        <v>120</v>
      </c>
      <c r="O3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4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0" s="2" t="str">
        <f>SUBSTITUTE(SUBSTITUTE(PROPERTIES[[#This Row],[PURCHASECOST_VALUE]], "PURCHASECOST_", ""), "_VALUE", "")</f>
        <v>METRO</v>
      </c>
      <c r="AO310" s="41" t="b">
        <v>0</v>
      </c>
      <c r="AP310" s="45" t="b">
        <v>0</v>
      </c>
      <c r="AQ310" s="45" t="b">
        <v>0</v>
      </c>
      <c r="AR310" s="45">
        <v>0</v>
      </c>
      <c r="AS310" s="45" t="b">
        <v>0</v>
      </c>
      <c r="AT310" s="7" t="b">
        <v>0</v>
      </c>
      <c r="AU3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1" spans="1:47" x14ac:dyDescent="0.35">
      <c r="A311" s="2" t="s">
        <v>2937</v>
      </c>
      <c r="B311">
        <v>1973</v>
      </c>
      <c r="C311">
        <v>2015</v>
      </c>
      <c r="D3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1" s="37" t="str">
        <f>INDEX(CONTROL[ENGLISH],MATCH(PROPERTIES[[#This Row],[VEHIDCODE]],CONTROL[VEHIDCODE],0))</f>
        <v>LHB Amsterdam M1</v>
      </c>
      <c r="F311" t="s">
        <v>692</v>
      </c>
      <c r="G311" s="37" t="str">
        <f>_xlfn.IFNA(INDEX(COUNTRIES[COUNTRY_LABEL],MATCH(PROPERTIES[[#This Row],[COUNTRY]],COUNTRIES[COUNTRY_DESCRIPTION],0)),"")</f>
        <v>NL</v>
      </c>
      <c r="H3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INDEX(LOADINGSPEEDDEF[SPEED],MATCH("LOADINGSPEEDDEF_"&amp;PROPERTIES[[#This Row],[LOADINGSPEED]],LOADINGSPEEDDEF[TYPE],0))</f>
        <v>120</v>
      </c>
      <c r="O3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4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1" s="2" t="str">
        <f>SUBSTITUTE(SUBSTITUTE(PROPERTIES[[#This Row],[PURCHASECOST_VALUE]], "PURCHASECOST_", ""), "_VALUE", "")</f>
        <v>METRO</v>
      </c>
      <c r="AO311" s="41" t="b">
        <v>0</v>
      </c>
      <c r="AP311" s="45" t="b">
        <v>0</v>
      </c>
      <c r="AQ311" s="45" t="b">
        <v>0</v>
      </c>
      <c r="AR311" s="45">
        <v>0</v>
      </c>
      <c r="AS311" s="45" t="b">
        <v>0</v>
      </c>
      <c r="AT311" s="7" t="b">
        <v>0</v>
      </c>
      <c r="AU3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2" spans="1:47" x14ac:dyDescent="0.35">
      <c r="A312" s="2" t="s">
        <v>2938</v>
      </c>
      <c r="B312">
        <v>1974</v>
      </c>
      <c r="C312">
        <v>2005</v>
      </c>
      <c r="D3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2" s="37" t="str">
        <f>INDEX(CONTROL[ENGLISH],MATCH(PROPERTIES[[#This Row],[VEHIDCODE]],CONTROL[VEHIDCODE],0))</f>
        <v>ASEA Stockholm C8</v>
      </c>
      <c r="F312" t="s">
        <v>722</v>
      </c>
      <c r="G312" s="37" t="str">
        <f>_xlfn.IFNA(INDEX(COUNTRIES[COUNTRY_LABEL],MATCH(PROPERTIES[[#This Row],[COUNTRY]],COUNTRIES[COUNTRY_DESCRIPTION],0)),"")</f>
        <v>SE</v>
      </c>
      <c r="H3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INDEX(LOADINGSPEEDDEF[SPEED],MATCH("LOADINGSPEEDDEF_"&amp;PROPERTIES[[#This Row],[LOADINGSPEED]],LOADINGSPEEDDEF[TYPE],0))</f>
        <v>120</v>
      </c>
      <c r="O3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4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2" s="2" t="str">
        <f>SUBSTITUTE(SUBSTITUTE(PROPERTIES[[#This Row],[PURCHASECOST_VALUE]], "PURCHASECOST_", ""), "_VALUE", "")</f>
        <v>METRO</v>
      </c>
      <c r="AO312" s="41" t="b">
        <v>0</v>
      </c>
      <c r="AP312" s="45" t="b">
        <v>0</v>
      </c>
      <c r="AQ312" s="45" t="b">
        <v>0</v>
      </c>
      <c r="AR312" s="45">
        <v>0</v>
      </c>
      <c r="AS312" s="45" t="b">
        <v>0</v>
      </c>
      <c r="AT312" s="7" t="b">
        <v>0</v>
      </c>
      <c r="AU3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3" spans="1:47" x14ac:dyDescent="0.35">
      <c r="A313" s="2" t="s">
        <v>2939</v>
      </c>
      <c r="B313">
        <v>1953</v>
      </c>
      <c r="C313">
        <v>2015</v>
      </c>
      <c r="D3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3" s="37" t="str">
        <f>INDEX(CONTROL[ENGLISH],MATCH(PROPERTIES[[#This Row],[VEHIDCODE]],CONTROL[VEHIDCODE],0))</f>
        <v>AEG D</v>
      </c>
      <c r="F313" t="s">
        <v>774</v>
      </c>
      <c r="G313" s="37" t="str">
        <f>_xlfn.IFNA(INDEX(COUNTRIES[COUNTRY_LABEL],MATCH(PROPERTIES[[#This Row],[COUNTRY]],COUNTRIES[COUNTRY_DESCRIPTION],0)),"")</f>
        <v>GDR</v>
      </c>
      <c r="H3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INDEX(LOADINGSPEEDDEF[SPEED],MATCH("LOADINGSPEEDDEF_"&amp;PROPERTIES[[#This Row],[LOADINGSPEED]],LOADINGSPEEDDEF[TYPE],0))</f>
        <v>120</v>
      </c>
      <c r="O3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4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3" s="2" t="str">
        <f>SUBSTITUTE(SUBSTITUTE(PROPERTIES[[#This Row],[PURCHASECOST_VALUE]], "PURCHASECOST_", ""), "_VALUE", "")</f>
        <v>METRO</v>
      </c>
      <c r="AO313" s="41" t="b">
        <v>0</v>
      </c>
      <c r="AP313" s="45" t="b">
        <v>0</v>
      </c>
      <c r="AQ313" s="45" t="b">
        <v>0</v>
      </c>
      <c r="AR313" s="45">
        <v>0</v>
      </c>
      <c r="AS313" s="45" t="b">
        <v>0</v>
      </c>
      <c r="AT313" s="7" t="b">
        <v>0</v>
      </c>
      <c r="AU3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4" spans="1:47" x14ac:dyDescent="0.35">
      <c r="A314" s="2" t="s">
        <v>2940</v>
      </c>
      <c r="B314">
        <v>1977</v>
      </c>
      <c r="C314">
        <v>2004</v>
      </c>
      <c r="D3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4" s="37" t="str">
        <f>INDEX(CONTROL[ENGLISH],MATCH(PROPERTIES[[#This Row],[VEHIDCODE]],CONTROL[VEHIDCODE],0))</f>
        <v>Valmet Helsinki M100</v>
      </c>
      <c r="F314" t="s">
        <v>597</v>
      </c>
      <c r="G314" s="37" t="str">
        <f>_xlfn.IFNA(INDEX(COUNTRIES[COUNTRY_LABEL],MATCH(PROPERTIES[[#This Row],[COUNTRY]],COUNTRIES[COUNTRY_DESCRIPTION],0)),"")</f>
        <v>FI</v>
      </c>
      <c r="H3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INDEX(LOADINGSPEEDDEF[SPEED],MATCH("LOADINGSPEEDDEF_"&amp;PROPERTIES[[#This Row],[LOADINGSPEED]],LOADINGSPEEDDEF[TYPE],0))</f>
        <v>120</v>
      </c>
      <c r="O3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4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4" s="2" t="str">
        <f>SUBSTITUTE(SUBSTITUTE(PROPERTIES[[#This Row],[PURCHASECOST_VALUE]], "PURCHASECOST_", ""), "_VALUE", "")</f>
        <v>METRO</v>
      </c>
      <c r="AO314" s="41" t="b">
        <v>0</v>
      </c>
      <c r="AP314" s="45" t="b">
        <v>0</v>
      </c>
      <c r="AQ314" s="45" t="b">
        <v>0</v>
      </c>
      <c r="AR314" s="45">
        <v>0</v>
      </c>
      <c r="AS314" s="45" t="b">
        <v>0</v>
      </c>
      <c r="AT314" s="7" t="b">
        <v>0</v>
      </c>
      <c r="AU3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5" spans="1:47" x14ac:dyDescent="0.35">
      <c r="A315" s="2" t="s">
        <v>2941</v>
      </c>
      <c r="B315">
        <v>1979</v>
      </c>
      <c r="C315">
        <v>2016</v>
      </c>
      <c r="D3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5" s="37" t="str">
        <f>INDEX(CONTROL[ENGLISH],MATCH(PROPERTIES[[#This Row],[VEHIDCODE]],CONTROL[VEHIDCODE],0))</f>
        <v>Sorefame Sao Paulo Serie 5500</v>
      </c>
      <c r="F315" t="s">
        <v>558</v>
      </c>
      <c r="G315" s="37" t="str">
        <f>_xlfn.IFNA(INDEX(COUNTRIES[COUNTRY_LABEL],MATCH(PROPERTIES[[#This Row],[COUNTRY]],COUNTRIES[COUNTRY_DESCRIPTION],0)),"")</f>
        <v>BR</v>
      </c>
      <c r="H3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INDEX(LOADINGSPEEDDEF[SPEED],MATCH("LOADINGSPEEDDEF_"&amp;PROPERTIES[[#This Row],[LOADINGSPEED]],LOADINGSPEEDDEF[TYPE],0))</f>
        <v>120</v>
      </c>
      <c r="O3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4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5" s="2" t="str">
        <f>SUBSTITUTE(SUBSTITUTE(PROPERTIES[[#This Row],[PURCHASECOST_VALUE]], "PURCHASECOST_", ""), "_VALUE", "")</f>
        <v>METRO</v>
      </c>
      <c r="AO315" s="41" t="b">
        <v>0</v>
      </c>
      <c r="AP315" s="45" t="b">
        <v>0</v>
      </c>
      <c r="AQ315" s="45" t="b">
        <v>0</v>
      </c>
      <c r="AR315" s="45">
        <v>0</v>
      </c>
      <c r="AS315" s="45" t="b">
        <v>0</v>
      </c>
      <c r="AT315" s="7" t="b">
        <v>0</v>
      </c>
      <c r="AU3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6" spans="1:47" x14ac:dyDescent="0.35">
      <c r="A316" s="2" t="s">
        <v>2942</v>
      </c>
      <c r="B316">
        <v>1981</v>
      </c>
      <c r="C316">
        <v>2018</v>
      </c>
      <c r="D3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6" s="37" t="str">
        <f>INDEX(CONTROL[ENGLISH],MATCH(PROPERTIES[[#This Row],[VEHIDCODE]],CONTROL[VEHIDCODE],0))</f>
        <v>MMZ 81-720</v>
      </c>
      <c r="F316" t="s">
        <v>716</v>
      </c>
      <c r="G316" s="37" t="str">
        <f>_xlfn.IFNA(INDEX(COUNTRIES[COUNTRY_LABEL],MATCH(PROPERTIES[[#This Row],[COUNTRY]],COUNTRIES[COUNTRY_DESCRIPTION],0)),"")</f>
        <v>RU</v>
      </c>
      <c r="H3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INDEX(LOADINGSPEEDDEF[SPEED],MATCH("LOADINGSPEEDDEF_"&amp;PROPERTIES[[#This Row],[LOADINGSPEED]],LOADINGSPEEDDEF[TYPE],0))</f>
        <v>120</v>
      </c>
      <c r="O3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4">
        <v>144</v>
      </c>
      <c r="AF316" s="6">
        <v>8</v>
      </c>
      <c r="AG316" t="s">
        <v>1940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6" s="2" t="str">
        <f>SUBSTITUTE(SUBSTITUTE(PROPERTIES[[#This Row],[PURCHASECOST_VALUE]], "PURCHASECOST_", ""), "_VALUE", "")</f>
        <v>METRO</v>
      </c>
      <c r="AO316" s="41" t="b">
        <v>0</v>
      </c>
      <c r="AP316" s="45" t="b">
        <v>0</v>
      </c>
      <c r="AQ316" s="45" t="b">
        <v>0</v>
      </c>
      <c r="AR316" s="45">
        <v>0</v>
      </c>
      <c r="AS316" s="45" t="b">
        <v>0</v>
      </c>
      <c r="AT316" s="7" t="b">
        <v>0</v>
      </c>
      <c r="AU3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7" spans="1:47" x14ac:dyDescent="0.35">
      <c r="A317" s="2" t="s">
        <v>2943</v>
      </c>
      <c r="B317">
        <v>1985</v>
      </c>
      <c r="C317">
        <v>2013</v>
      </c>
      <c r="D3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7" s="37" t="str">
        <f>INDEX(CONTROL[ENGLISH],MATCH(PROPERTIES[[#This Row],[VEHIDCODE]],CONTROL[VEHIDCODE],0))</f>
        <v>Kawasaki Tokyo S01</v>
      </c>
      <c r="F317" t="s">
        <v>640</v>
      </c>
      <c r="G317" s="37" t="str">
        <f>_xlfn.IFNA(INDEX(COUNTRIES[COUNTRY_LABEL],MATCH(PROPERTIES[[#This Row],[COUNTRY]],COUNTRIES[COUNTRY_DESCRIPTION],0)),"")</f>
        <v>JP</v>
      </c>
      <c r="H3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INDEX(LOADINGSPEEDDEF[SPEED],MATCH("LOADINGSPEEDDEF_"&amp;PROPERTIES[[#This Row],[LOADINGSPEED]],LOADINGSPEEDDEF[TYPE],0))</f>
        <v>120</v>
      </c>
      <c r="O3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4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7" s="2" t="str">
        <f>SUBSTITUTE(SUBSTITUTE(PROPERTIES[[#This Row],[PURCHASECOST_VALUE]], "PURCHASECOST_", ""), "_VALUE", "")</f>
        <v>METRO</v>
      </c>
      <c r="AO317" s="41" t="b">
        <v>0</v>
      </c>
      <c r="AP317" s="45" t="b">
        <v>0</v>
      </c>
      <c r="AQ317" s="45" t="b">
        <v>0</v>
      </c>
      <c r="AR317" s="45">
        <v>0</v>
      </c>
      <c r="AS317" s="45" t="b">
        <v>0</v>
      </c>
      <c r="AT317" s="7" t="b">
        <v>0</v>
      </c>
      <c r="AU3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8" spans="1:47" x14ac:dyDescent="0.35">
      <c r="A318" s="2" t="s">
        <v>2944</v>
      </c>
      <c r="B318">
        <v>1987</v>
      </c>
      <c r="D3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8" s="37" t="str">
        <f>INDEX(CONTROL[ENGLISH],MATCH(PROPERTIES[[#This Row],[VEHIDCODE]],CONTROL[VEHIDCODE],0))</f>
        <v>Kinki Sharyo Vcairo</v>
      </c>
      <c r="F318" t="s">
        <v>592</v>
      </c>
      <c r="G318" s="37" t="str">
        <f>_xlfn.IFNA(INDEX(COUNTRIES[COUNTRY_LABEL],MATCH(PROPERTIES[[#This Row],[COUNTRY]],COUNTRIES[COUNTRY_DESCRIPTION],0)),"")</f>
        <v>EG</v>
      </c>
      <c r="H3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INDEX(LOADINGSPEEDDEF[SPEED],MATCH("LOADINGSPEEDDEF_"&amp;PROPERTIES[[#This Row],[LOADINGSPEED]],LOADINGSPEEDDEF[TYPE],0))</f>
        <v>120</v>
      </c>
      <c r="O31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4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8" s="2" t="str">
        <f>SUBSTITUTE(SUBSTITUTE(PROPERTIES[[#This Row],[PURCHASECOST_VALUE]], "PURCHASECOST_", ""), "_VALUE", "")</f>
        <v>METRO</v>
      </c>
      <c r="AO318" s="41" t="b">
        <v>0</v>
      </c>
      <c r="AP318" s="45" t="b">
        <v>0</v>
      </c>
      <c r="AQ318" s="45" t="b">
        <v>0</v>
      </c>
      <c r="AR318" s="45">
        <v>0</v>
      </c>
      <c r="AS318" s="45" t="b">
        <v>0</v>
      </c>
      <c r="AT318" s="7" t="b">
        <v>0</v>
      </c>
      <c r="AU3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19" spans="1:47" x14ac:dyDescent="0.35">
      <c r="A319" s="2" t="s">
        <v>2945</v>
      </c>
      <c r="B319">
        <v>1986</v>
      </c>
      <c r="C319">
        <v>1995</v>
      </c>
      <c r="D3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19" s="37" t="str">
        <f>INDEX(CONTROL[ENGLISH],MATCH(PROPERTIES[[#This Row],[VEHIDCODE]],CONTROL[VEHIDCODE],0))</f>
        <v>LHB London DLR P86</v>
      </c>
      <c r="F319" t="s">
        <v>603</v>
      </c>
      <c r="G319" s="37" t="str">
        <f>_xlfn.IFNA(INDEX(COUNTRIES[COUNTRY_LABEL],MATCH(PROPERTIES[[#This Row],[COUNTRY]],COUNTRIES[COUNTRY_DESCRIPTION],0)),"")</f>
        <v>GB</v>
      </c>
      <c r="H3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INDEX(LOADINGSPEEDDEF[SPEED],MATCH("LOADINGSPEEDDEF_"&amp;PROPERTIES[[#This Row],[LOADINGSPEED]],LOADINGSPEEDDEF[TYPE],0))</f>
        <v>120</v>
      </c>
      <c r="O3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4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1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19" s="2" t="str">
        <f>SUBSTITUTE(SUBSTITUTE(PROPERTIES[[#This Row],[PURCHASECOST_VALUE]], "PURCHASECOST_", ""), "_VALUE", "")</f>
        <v>METRO</v>
      </c>
      <c r="AO319" s="41" t="b">
        <v>0</v>
      </c>
      <c r="AP319" s="45" t="b">
        <v>0</v>
      </c>
      <c r="AQ319" s="45" t="b">
        <v>0</v>
      </c>
      <c r="AR319" s="45">
        <v>0</v>
      </c>
      <c r="AS319" s="45" t="b">
        <v>0</v>
      </c>
      <c r="AT319" s="7" t="b">
        <v>0</v>
      </c>
      <c r="AU3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0" spans="1:47" x14ac:dyDescent="0.35">
      <c r="A320" s="2" t="s">
        <v>2946</v>
      </c>
      <c r="B320">
        <v>1993</v>
      </c>
      <c r="C320">
        <v>2030</v>
      </c>
      <c r="D3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0" s="37" t="str">
        <f>INDEX(CONTROL[ENGLISH],MATCH(PROPERTIES[[#This Row],[VEHIDCODE]],CONTROL[VEHIDCODE],0))</f>
        <v>MMZ 81-717.5M</v>
      </c>
      <c r="F320" t="s">
        <v>716</v>
      </c>
      <c r="G320" s="37" t="str">
        <f>_xlfn.IFNA(INDEX(COUNTRIES[COUNTRY_LABEL],MATCH(PROPERTIES[[#This Row],[COUNTRY]],COUNTRIES[COUNTRY_DESCRIPTION],0)),"")</f>
        <v>RU</v>
      </c>
      <c r="H3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INDEX(LOADINGSPEEDDEF[SPEED],MATCH("LOADINGSPEEDDEF_"&amp;PROPERTIES[[#This Row],[LOADINGSPEED]],LOADINGSPEEDDEF[TYPE],0))</f>
        <v>120</v>
      </c>
      <c r="O3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4">
        <v>147</v>
      </c>
      <c r="AF320" s="6">
        <v>8</v>
      </c>
      <c r="AG320" t="s">
        <v>1940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0" s="2" t="str">
        <f>SUBSTITUTE(SUBSTITUTE(PROPERTIES[[#This Row],[PURCHASECOST_VALUE]], "PURCHASECOST_", ""), "_VALUE", "")</f>
        <v>METRO</v>
      </c>
      <c r="AO320" s="41" t="b">
        <v>0</v>
      </c>
      <c r="AP320" s="45" t="b">
        <v>0</v>
      </c>
      <c r="AQ320" s="45" t="b">
        <v>0</v>
      </c>
      <c r="AR320" s="45">
        <v>0</v>
      </c>
      <c r="AS320" s="45" t="b">
        <v>0</v>
      </c>
      <c r="AT320" s="7" t="b">
        <v>0</v>
      </c>
      <c r="AU3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1" spans="1:47" x14ac:dyDescent="0.35">
      <c r="A321" s="2" t="s">
        <v>2947</v>
      </c>
      <c r="B321">
        <v>1993</v>
      </c>
      <c r="C321">
        <v>2004</v>
      </c>
      <c r="D3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1" s="37" t="str">
        <f>INDEX(CONTROL[ENGLISH],MATCH(PROPERTIES[[#This Row],[VEHIDCODE]],CONTROL[VEHIDCODE],0))</f>
        <v>Bombardier Boston 01800</v>
      </c>
      <c r="F321" t="s">
        <v>757</v>
      </c>
      <c r="G321" s="37" t="str">
        <f>_xlfn.IFNA(INDEX(COUNTRIES[COUNTRY_LABEL],MATCH(PROPERTIES[[#This Row],[COUNTRY]],COUNTRIES[COUNTRY_DESCRIPTION],0)),"")</f>
        <v>US</v>
      </c>
      <c r="H3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INDEX(LOADINGSPEEDDEF[SPEED],MATCH("LOADINGSPEEDDEF_"&amp;PROPERTIES[[#This Row],[LOADINGSPEED]],LOADINGSPEEDDEF[TYPE],0))</f>
        <v>120</v>
      </c>
      <c r="O3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4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1" s="2" t="str">
        <f>SUBSTITUTE(SUBSTITUTE(PROPERTIES[[#This Row],[PURCHASECOST_VALUE]], "PURCHASECOST_", ""), "_VALUE", "")</f>
        <v>METRO</v>
      </c>
      <c r="AO321" s="41" t="b">
        <v>0</v>
      </c>
      <c r="AP321" s="45" t="b">
        <v>0</v>
      </c>
      <c r="AQ321" s="45" t="b">
        <v>0</v>
      </c>
      <c r="AR321" s="45">
        <v>0</v>
      </c>
      <c r="AS321" s="45" t="b">
        <v>0</v>
      </c>
      <c r="AT321" s="7" t="b">
        <v>0</v>
      </c>
      <c r="AU3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2" spans="1:47" x14ac:dyDescent="0.35">
      <c r="A322" s="2" t="s">
        <v>2948</v>
      </c>
      <c r="B322">
        <v>1993</v>
      </c>
      <c r="C322">
        <v>2020</v>
      </c>
      <c r="D3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2" s="37" t="str">
        <f>INDEX(CONTROL[ENGLISH],MATCH(PROPERTIES[[#This Row],[VEHIDCODE]],CONTROL[VEHIDCODE],0))</f>
        <v>Breda LA A650</v>
      </c>
      <c r="F322" t="s">
        <v>757</v>
      </c>
      <c r="G322" s="37" t="str">
        <f>_xlfn.IFNA(INDEX(COUNTRIES[COUNTRY_LABEL],MATCH(PROPERTIES[[#This Row],[COUNTRY]],COUNTRIES[COUNTRY_DESCRIPTION],0)),"")</f>
        <v>US</v>
      </c>
      <c r="H3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INDEX(LOADINGSPEEDDEF[SPEED],MATCH("LOADINGSPEEDDEF_"&amp;PROPERTIES[[#This Row],[LOADINGSPEED]],LOADINGSPEEDDEF[TYPE],0))</f>
        <v>120</v>
      </c>
      <c r="O3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4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2" s="2" t="str">
        <f>SUBSTITUTE(SUBSTITUTE(PROPERTIES[[#This Row],[PURCHASECOST_VALUE]], "PURCHASECOST_", ""), "_VALUE", "")</f>
        <v>METRO</v>
      </c>
      <c r="AO322" s="41" t="b">
        <v>0</v>
      </c>
      <c r="AP322" s="45" t="b">
        <v>0</v>
      </c>
      <c r="AQ322" s="45" t="b">
        <v>0</v>
      </c>
      <c r="AR322" s="45">
        <v>0</v>
      </c>
      <c r="AS322" s="45" t="b">
        <v>0</v>
      </c>
      <c r="AT322" s="7" t="b">
        <v>0</v>
      </c>
      <c r="AU3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3" spans="1:47" x14ac:dyDescent="0.35">
      <c r="A323" s="2" t="s">
        <v>2949</v>
      </c>
      <c r="B323">
        <v>1992</v>
      </c>
      <c r="D3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3" s="37" t="str">
        <f>INDEX(CONTROL[ENGLISH],MATCH(PROPERTIES[[#This Row],[VEHIDCODE]],CONTROL[VEHIDCODE],0))</f>
        <v>Kawasaki Taipei C301</v>
      </c>
      <c r="F323" t="s">
        <v>752</v>
      </c>
      <c r="G323" s="37" t="str">
        <f>_xlfn.IFNA(INDEX(COUNTRIES[COUNTRY_LABEL],MATCH(PROPERTIES[[#This Row],[COUNTRY]],COUNTRIES[COUNTRY_DESCRIPTION],0)),"")</f>
        <v>TW</v>
      </c>
      <c r="H3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INDEX(LOADINGSPEEDDEF[SPEED],MATCH("LOADINGSPEEDDEF_"&amp;PROPERTIES[[#This Row],[LOADINGSPEED]],LOADINGSPEEDDEF[TYPE],0))</f>
        <v>120</v>
      </c>
      <c r="O3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4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3" s="2" t="str">
        <f>SUBSTITUTE(SUBSTITUTE(PROPERTIES[[#This Row],[PURCHASECOST_VALUE]], "PURCHASECOST_", ""), "_VALUE", "")</f>
        <v>METRO</v>
      </c>
      <c r="AO323" s="41" t="b">
        <v>0</v>
      </c>
      <c r="AP323" s="45" t="b">
        <v>0</v>
      </c>
      <c r="AQ323" s="45" t="b">
        <v>0</v>
      </c>
      <c r="AR323" s="45">
        <v>0</v>
      </c>
      <c r="AS323" s="45" t="b">
        <v>0</v>
      </c>
      <c r="AT323" s="7" t="b">
        <v>0</v>
      </c>
      <c r="AU3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4" spans="1:47" x14ac:dyDescent="0.35">
      <c r="A324" s="2" t="s">
        <v>2950</v>
      </c>
      <c r="B324">
        <v>1997</v>
      </c>
      <c r="C324">
        <v>2022</v>
      </c>
      <c r="D3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4" s="37" t="str">
        <f>INDEX(CONTROL[ENGLISH],MATCH(PROPERTIES[[#This Row],[VEHIDCODE]],CONTROL[VEHIDCODE],0))</f>
        <v>CAF Amsterdam S3 90</v>
      </c>
      <c r="F324" t="s">
        <v>692</v>
      </c>
      <c r="G324" s="37" t="str">
        <f>_xlfn.IFNA(INDEX(COUNTRIES[COUNTRY_LABEL],MATCH(PROPERTIES[[#This Row],[COUNTRY]],COUNTRIES[COUNTRY_DESCRIPTION],0)),"")</f>
        <v>NL</v>
      </c>
      <c r="H3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INDEX(LOADINGSPEEDDEF[SPEED],MATCH("LOADINGSPEEDDEF_"&amp;PROPERTIES[[#This Row],[LOADINGSPEED]],LOADINGSPEEDDEF[TYPE],0))</f>
        <v>120</v>
      </c>
      <c r="O32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4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4" s="2" t="str">
        <f>SUBSTITUTE(SUBSTITUTE(PROPERTIES[[#This Row],[PURCHASECOST_VALUE]], "PURCHASECOST_", ""), "_VALUE", "")</f>
        <v>METRO</v>
      </c>
      <c r="AO324" s="41" t="b">
        <v>0</v>
      </c>
      <c r="AP324" s="45" t="b">
        <v>0</v>
      </c>
      <c r="AQ324" s="45" t="b">
        <v>0</v>
      </c>
      <c r="AR324" s="45">
        <v>0</v>
      </c>
      <c r="AS324" s="45" t="b">
        <v>0</v>
      </c>
      <c r="AT324" s="7" t="b">
        <v>0</v>
      </c>
      <c r="AU3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5" spans="1:47" x14ac:dyDescent="0.35">
      <c r="A325" s="2" t="s">
        <v>2951</v>
      </c>
      <c r="B325">
        <v>1997</v>
      </c>
      <c r="D3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5" s="37" t="str">
        <f>INDEX(CONTROL[ENGLISH],MATCH(PROPERTIES[[#This Row],[VEHIDCODE]],CONTROL[VEHIDCODE],0))</f>
        <v>GEC-Alsthom Paris MP89</v>
      </c>
      <c r="F325" t="s">
        <v>602</v>
      </c>
      <c r="G325" s="37" t="str">
        <f>_xlfn.IFNA(INDEX(COUNTRIES[COUNTRY_LABEL],MATCH(PROPERTIES[[#This Row],[COUNTRY]],COUNTRIES[COUNTRY_DESCRIPTION],0)),"")</f>
        <v>FR</v>
      </c>
      <c r="H3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INDEX(LOADINGSPEEDDEF[SPEED],MATCH("LOADINGSPEEDDEF_"&amp;PROPERTIES[[#This Row],[LOADINGSPEED]],LOADINGSPEEDDEF[TYPE],0))</f>
        <v>120</v>
      </c>
      <c r="O3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4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5" s="2" t="str">
        <f>SUBSTITUTE(SUBSTITUTE(PROPERTIES[[#This Row],[PURCHASECOST_VALUE]], "PURCHASECOST_", ""), "_VALUE", "")</f>
        <v>METRO</v>
      </c>
      <c r="AO325" s="41" t="b">
        <v>0</v>
      </c>
      <c r="AP325" s="45" t="b">
        <v>0</v>
      </c>
      <c r="AQ325" s="45" t="b">
        <v>0</v>
      </c>
      <c r="AR325" s="45">
        <v>0</v>
      </c>
      <c r="AS325" s="45" t="b">
        <v>0</v>
      </c>
      <c r="AT325" s="7" t="b">
        <v>0</v>
      </c>
      <c r="AU3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6" spans="1:47" x14ac:dyDescent="0.35">
      <c r="A326" s="2" t="s">
        <v>2952</v>
      </c>
      <c r="B326">
        <v>2003</v>
      </c>
      <c r="D3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6" s="37" t="str">
        <f>INDEX(CONTROL[ENGLISH],MATCH(PROPERTIES[[#This Row],[VEHIDCODE]],CONTROL[VEHIDCODE],0))</f>
        <v>MMZ 81-740</v>
      </c>
      <c r="F326" t="s">
        <v>716</v>
      </c>
      <c r="G326" s="37" t="str">
        <f>_xlfn.IFNA(INDEX(COUNTRIES[COUNTRY_LABEL],MATCH(PROPERTIES[[#This Row],[COUNTRY]],COUNTRIES[COUNTRY_DESCRIPTION],0)),"")</f>
        <v>RU</v>
      </c>
      <c r="H3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INDEX(LOADINGSPEEDDEF[SPEED],MATCH("LOADINGSPEEDDEF_"&amp;PROPERTIES[[#This Row],[LOADINGSPEED]],LOADINGSPEEDDEF[TYPE],0))</f>
        <v>120</v>
      </c>
      <c r="O3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4">
        <v>120</v>
      </c>
      <c r="AF326" s="6">
        <v>6</v>
      </c>
      <c r="AG326" t="s">
        <v>1940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6" s="2" t="str">
        <f>SUBSTITUTE(SUBSTITUTE(PROPERTIES[[#This Row],[PURCHASECOST_VALUE]], "PURCHASECOST_", ""), "_VALUE", "")</f>
        <v>METRO</v>
      </c>
      <c r="AO326" s="41" t="b">
        <v>0</v>
      </c>
      <c r="AP326" s="45" t="b">
        <v>0</v>
      </c>
      <c r="AQ326" s="45" t="b">
        <v>0</v>
      </c>
      <c r="AR326" s="45">
        <v>0</v>
      </c>
      <c r="AS326" s="45" t="b">
        <v>0</v>
      </c>
      <c r="AT326" s="7" t="b">
        <v>0</v>
      </c>
      <c r="AU3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7" spans="1:47" x14ac:dyDescent="0.35">
      <c r="A327" s="2" t="s">
        <v>2953</v>
      </c>
      <c r="B327">
        <v>2003</v>
      </c>
      <c r="D3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7" s="37" t="str">
        <f>INDEX(CONTROL[ENGLISH],MATCH(PROPERTIES[[#This Row],[VEHIDCODE]],CONTROL[VEHIDCODE],0))</f>
        <v>Alstom Singapore C830 'Metropolis'</v>
      </c>
      <c r="F327" t="s">
        <v>723</v>
      </c>
      <c r="G327" s="37" t="str">
        <f>_xlfn.IFNA(INDEX(COUNTRIES[COUNTRY_LABEL],MATCH(PROPERTIES[[#This Row],[COUNTRY]],COUNTRIES[COUNTRY_DESCRIPTION],0)),"")</f>
        <v>SG</v>
      </c>
      <c r="H3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INDEX(LOADINGSPEEDDEF[SPEED],MATCH("LOADINGSPEEDDEF_"&amp;PROPERTIES[[#This Row],[LOADINGSPEED]],LOADINGSPEEDDEF[TYPE],0))</f>
        <v>120</v>
      </c>
      <c r="O3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4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7" s="2" t="str">
        <f>SUBSTITUTE(SUBSTITUTE(PROPERTIES[[#This Row],[PURCHASECOST_VALUE]], "PURCHASECOST_", ""), "_VALUE", "")</f>
        <v>METRO</v>
      </c>
      <c r="AO327" s="41" t="b">
        <v>0</v>
      </c>
      <c r="AP327" s="45" t="b">
        <v>0</v>
      </c>
      <c r="AQ327" s="45" t="b">
        <v>1</v>
      </c>
      <c r="AR327" s="45">
        <v>0</v>
      </c>
      <c r="AS327" s="45" t="b">
        <v>0</v>
      </c>
      <c r="AT327" s="7" t="b">
        <v>1</v>
      </c>
      <c r="AU3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8" spans="1:47" x14ac:dyDescent="0.35">
      <c r="A328" s="2" t="s">
        <v>2954</v>
      </c>
      <c r="B328">
        <v>2007</v>
      </c>
      <c r="D3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8" s="37" t="str">
        <f>INDEX(CONTROL[ENGLISH],MATCH(PROPERTIES[[#This Row],[VEHIDCODE]],CONTROL[VEHIDCODE],0))</f>
        <v>Siemens Oslo MX3000</v>
      </c>
      <c r="F328" t="s">
        <v>693</v>
      </c>
      <c r="G328" s="37" t="str">
        <f>_xlfn.IFNA(INDEX(COUNTRIES[COUNTRY_LABEL],MATCH(PROPERTIES[[#This Row],[COUNTRY]],COUNTRIES[COUNTRY_DESCRIPTION],0)),"")</f>
        <v>NO</v>
      </c>
      <c r="H3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INDEX(LOADINGSPEEDDEF[SPEED],MATCH("LOADINGSPEEDDEF_"&amp;PROPERTIES[[#This Row],[LOADINGSPEED]],LOADINGSPEEDDEF[TYPE],0))</f>
        <v>120</v>
      </c>
      <c r="O32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4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8" s="2" t="str">
        <f>SUBSTITUTE(SUBSTITUTE(PROPERTIES[[#This Row],[PURCHASECOST_VALUE]], "PURCHASECOST_", ""), "_VALUE", "")</f>
        <v>METRO</v>
      </c>
      <c r="AO328" s="41" t="b">
        <v>0</v>
      </c>
      <c r="AP328" s="45" t="b">
        <v>0</v>
      </c>
      <c r="AQ328" s="45" t="b">
        <v>0</v>
      </c>
      <c r="AR328" s="45">
        <v>0</v>
      </c>
      <c r="AS328" s="45" t="b">
        <v>0</v>
      </c>
      <c r="AT328" s="7" t="b">
        <v>0</v>
      </c>
      <c r="AU3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29" spans="1:47" x14ac:dyDescent="0.35">
      <c r="A329" s="2" t="s">
        <v>2955</v>
      </c>
      <c r="B329">
        <v>2009</v>
      </c>
      <c r="D3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29" s="37" t="str">
        <f>INDEX(CONTROL[ENGLISH],MATCH(PROPERTIES[[#This Row],[VEHIDCODE]],CONTROL[VEHIDCODE],0))</f>
        <v>Kawasaki Osaka 30000</v>
      </c>
      <c r="F329" t="s">
        <v>640</v>
      </c>
      <c r="G329" s="37" t="str">
        <f>_xlfn.IFNA(INDEX(COUNTRIES[COUNTRY_LABEL],MATCH(PROPERTIES[[#This Row],[COUNTRY]],COUNTRIES[COUNTRY_DESCRIPTION],0)),"")</f>
        <v>JP</v>
      </c>
      <c r="H3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INDEX(LOADINGSPEEDDEF[SPEED],MATCH("LOADINGSPEEDDEF_"&amp;PROPERTIES[[#This Row],[LOADINGSPEED]],LOADINGSPEEDDEF[TYPE],0))</f>
        <v>120</v>
      </c>
      <c r="O3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4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2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29" s="2" t="str">
        <f>SUBSTITUTE(SUBSTITUTE(PROPERTIES[[#This Row],[PURCHASECOST_VALUE]], "PURCHASECOST_", ""), "_VALUE", "")</f>
        <v>METRO</v>
      </c>
      <c r="AO329" s="41" t="b">
        <v>0</v>
      </c>
      <c r="AP329" s="45" t="b">
        <v>0</v>
      </c>
      <c r="AQ329" s="45" t="b">
        <v>0</v>
      </c>
      <c r="AR329" s="45">
        <v>0</v>
      </c>
      <c r="AS329" s="45" t="b">
        <v>0</v>
      </c>
      <c r="AT329" s="7" t="b">
        <v>0</v>
      </c>
      <c r="AU3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0" spans="1:47" x14ac:dyDescent="0.35">
      <c r="A330" s="2" t="s">
        <v>2956</v>
      </c>
      <c r="B330">
        <v>2012</v>
      </c>
      <c r="D3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0" s="37" t="str">
        <f>INDEX(CONTROL[ENGLISH],MATCH(PROPERTIES[[#This Row],[VEHIDCODE]],CONTROL[VEHIDCODE],0))</f>
        <v>Kawasaki Singapore C151A</v>
      </c>
      <c r="F330" t="s">
        <v>723</v>
      </c>
      <c r="G330" s="37" t="str">
        <f>_xlfn.IFNA(INDEX(COUNTRIES[COUNTRY_LABEL],MATCH(PROPERTIES[[#This Row],[COUNTRY]],COUNTRIES[COUNTRY_DESCRIPTION],0)),"")</f>
        <v>SG</v>
      </c>
      <c r="H3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INDEX(LOADINGSPEEDDEF[SPEED],MATCH("LOADINGSPEEDDEF_"&amp;PROPERTIES[[#This Row],[LOADINGSPEED]],LOADINGSPEEDDEF[TYPE],0))</f>
        <v>120</v>
      </c>
      <c r="O33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4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0" s="2" t="str">
        <f>SUBSTITUTE(SUBSTITUTE(PROPERTIES[[#This Row],[PURCHASECOST_VALUE]], "PURCHASECOST_", ""), "_VALUE", "")</f>
        <v>METRO</v>
      </c>
      <c r="AO330" s="41" t="b">
        <v>0</v>
      </c>
      <c r="AP330" s="45" t="b">
        <v>0</v>
      </c>
      <c r="AQ330" s="45" t="b">
        <v>0</v>
      </c>
      <c r="AR330" s="45">
        <v>0</v>
      </c>
      <c r="AS330" s="45" t="b">
        <v>0</v>
      </c>
      <c r="AT330" s="7" t="b">
        <v>0</v>
      </c>
      <c r="AU3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1" spans="1:47" x14ac:dyDescent="0.35">
      <c r="A331" s="2" t="s">
        <v>2957</v>
      </c>
      <c r="B331">
        <v>2013</v>
      </c>
      <c r="D3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1" s="37" t="str">
        <f>INDEX(CONTROL[ENGLISH],MATCH(PROPERTIES[[#This Row],[VEHIDCODE]],CONTROL[VEHIDCODE],0))</f>
        <v>Kawasaki Washington 7000</v>
      </c>
      <c r="F331" t="s">
        <v>757</v>
      </c>
      <c r="G331" s="37" t="str">
        <f>_xlfn.IFNA(INDEX(COUNTRIES[COUNTRY_LABEL],MATCH(PROPERTIES[[#This Row],[COUNTRY]],COUNTRIES[COUNTRY_DESCRIPTION],0)),"")</f>
        <v>US</v>
      </c>
      <c r="H3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INDEX(LOADINGSPEEDDEF[SPEED],MATCH("LOADINGSPEEDDEF_"&amp;PROPERTIES[[#This Row],[LOADINGSPEED]],LOADINGSPEEDDEF[TYPE],0))</f>
        <v>120</v>
      </c>
      <c r="O33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4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1" s="2" t="str">
        <f>SUBSTITUTE(SUBSTITUTE(PROPERTIES[[#This Row],[PURCHASECOST_VALUE]], "PURCHASECOST_", ""), "_VALUE", "")</f>
        <v>METRO</v>
      </c>
      <c r="AO331" s="41" t="b">
        <v>0</v>
      </c>
      <c r="AP331" s="45" t="b">
        <v>0</v>
      </c>
      <c r="AQ331" s="45" t="b">
        <v>0</v>
      </c>
      <c r="AR331" s="45">
        <v>0</v>
      </c>
      <c r="AS331" s="45" t="b">
        <v>0</v>
      </c>
      <c r="AT331" s="7" t="b">
        <v>0</v>
      </c>
      <c r="AU3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2" spans="1:47" x14ac:dyDescent="0.35">
      <c r="A332" s="2" t="s">
        <v>2958</v>
      </c>
      <c r="B332">
        <v>2024</v>
      </c>
      <c r="D3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2" s="37" t="str">
        <f>INDEX(CONTROL[ENGLISH],MATCH(PROPERTIES[[#This Row],[VEHIDCODE]],CONTROL[VEHIDCODE],0))</f>
        <v>Hitachi Thessaloniki 2014</v>
      </c>
      <c r="F332" t="s">
        <v>615</v>
      </c>
      <c r="G332" s="37" t="str">
        <f>_xlfn.IFNA(INDEX(COUNTRIES[COUNTRY_LABEL],MATCH(PROPERTIES[[#This Row],[COUNTRY]],COUNTRIES[COUNTRY_DESCRIPTION],0)),"")</f>
        <v>GR</v>
      </c>
      <c r="H3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INDEX(LOADINGSPEEDDEF[SPEED],MATCH("LOADINGSPEEDDEF_"&amp;PROPERTIES[[#This Row],[LOADINGSPEED]],LOADINGSPEEDDEF[TYPE],0))</f>
        <v>120</v>
      </c>
      <c r="O33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4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2" s="2" t="str">
        <f>SUBSTITUTE(SUBSTITUTE(PROPERTIES[[#This Row],[PURCHASECOST_VALUE]], "PURCHASECOST_", ""), "_VALUE", "")</f>
        <v>METRO</v>
      </c>
      <c r="AO332" s="41" t="b">
        <v>0</v>
      </c>
      <c r="AP332" s="45" t="b">
        <v>0</v>
      </c>
      <c r="AQ332" s="45" t="b">
        <v>0</v>
      </c>
      <c r="AR332" s="45">
        <v>0</v>
      </c>
      <c r="AS332" s="45" t="b">
        <v>0</v>
      </c>
      <c r="AT332" s="7" t="b">
        <v>0</v>
      </c>
      <c r="AU3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3" spans="1:47" x14ac:dyDescent="0.35">
      <c r="A333" s="2" t="s">
        <v>2959</v>
      </c>
      <c r="B333">
        <v>1901</v>
      </c>
      <c r="D3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3" s="37" t="str">
        <f>INDEX(CONTROL[ENGLISH],MATCH(PROPERTIES[[#This Row],[VEHIDCODE]],CONTROL[VEHIDCODE],0))</f>
        <v>AEG Berlin U-Bahn A I</v>
      </c>
      <c r="F333" t="s">
        <v>584</v>
      </c>
      <c r="G333" s="37" t="str">
        <f>_xlfn.IFNA(INDEX(COUNTRIES[COUNTRY_LABEL],MATCH(PROPERTIES[[#This Row],[COUNTRY]],COUNTRIES[COUNTRY_DESCRIPTION],0)),"")</f>
        <v>DE</v>
      </c>
      <c r="H3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INDEX(LOADINGSPEEDDEF[SPEED],MATCH("LOADINGSPEEDDEF_"&amp;PROPERTIES[[#This Row],[LOADINGSPEED]],LOADINGSPEEDDEF[TYPE],0))</f>
        <v>120</v>
      </c>
      <c r="O3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4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3" s="2" t="str">
        <f>SUBSTITUTE(SUBSTITUTE(PROPERTIES[[#This Row],[PURCHASECOST_VALUE]], "PURCHASECOST_", ""), "_VALUE", "")</f>
        <v>METRO</v>
      </c>
      <c r="AO333" s="41" t="b">
        <v>0</v>
      </c>
      <c r="AP333" s="45" t="b">
        <v>0</v>
      </c>
      <c r="AQ333" s="45" t="b">
        <v>0</v>
      </c>
      <c r="AR333" s="45">
        <v>0</v>
      </c>
      <c r="AS333" s="45" t="b">
        <v>0</v>
      </c>
      <c r="AT333" s="7" t="b">
        <v>0</v>
      </c>
      <c r="AU3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4" spans="1:47" x14ac:dyDescent="0.35">
      <c r="A334" s="2" t="s">
        <v>2960</v>
      </c>
      <c r="B334">
        <v>1910</v>
      </c>
      <c r="C334">
        <v>1955</v>
      </c>
      <c r="D3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4" s="37" t="str">
        <f>INDEX(CONTROL[ENGLISH],MATCH(PROPERTIES[[#This Row],[VEHIDCODE]],CONTROL[VEHIDCODE],0))</f>
        <v>ACF New York Hedley Hi-V</v>
      </c>
      <c r="F334" t="s">
        <v>757</v>
      </c>
      <c r="G334" s="37" t="str">
        <f>_xlfn.IFNA(INDEX(COUNTRIES[COUNTRY_LABEL],MATCH(PROPERTIES[[#This Row],[COUNTRY]],COUNTRIES[COUNTRY_DESCRIPTION],0)),"")</f>
        <v>US</v>
      </c>
      <c r="H3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INDEX(LOADINGSPEEDDEF[SPEED],MATCH("LOADINGSPEEDDEF_"&amp;PROPERTIES[[#This Row],[LOADINGSPEED]],LOADINGSPEEDDEF[TYPE],0))</f>
        <v>120</v>
      </c>
      <c r="O3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4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4" s="2" t="str">
        <f>SUBSTITUTE(SUBSTITUTE(PROPERTIES[[#This Row],[PURCHASECOST_VALUE]], "PURCHASECOST_", ""), "_VALUE", "")</f>
        <v>METRO</v>
      </c>
      <c r="AO334" s="41" t="b">
        <v>0</v>
      </c>
      <c r="AP334" s="45" t="b">
        <v>0</v>
      </c>
      <c r="AQ334" s="45" t="b">
        <v>0</v>
      </c>
      <c r="AR334" s="45">
        <v>0</v>
      </c>
      <c r="AS334" s="45" t="b">
        <v>0</v>
      </c>
      <c r="AT334" s="7" t="b">
        <v>0</v>
      </c>
      <c r="AU3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5" spans="1:47" x14ac:dyDescent="0.35">
      <c r="A335" s="2" t="s">
        <v>2961</v>
      </c>
      <c r="B335">
        <v>1933</v>
      </c>
      <c r="C335">
        <v>1972</v>
      </c>
      <c r="D3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5" s="37" t="str">
        <f>INDEX(CONTROL[ENGLISH],MATCH(PROPERTIES[[#This Row],[VEHIDCODE]],CONTROL[VEHIDCODE],0))</f>
        <v>Kawasaki Osaka 1000</v>
      </c>
      <c r="F335" t="s">
        <v>640</v>
      </c>
      <c r="G335" s="37" t="str">
        <f>_xlfn.IFNA(INDEX(COUNTRIES[COUNTRY_LABEL],MATCH(PROPERTIES[[#This Row],[COUNTRY]],COUNTRIES[COUNTRY_DESCRIPTION],0)),"")</f>
        <v>JP</v>
      </c>
      <c r="H3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INDEX(LOADINGSPEEDDEF[SPEED],MATCH("LOADINGSPEEDDEF_"&amp;PROPERTIES[[#This Row],[LOADINGSPEED]],LOADINGSPEEDDEF[TYPE],0))</f>
        <v>120</v>
      </c>
      <c r="O3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4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5" s="2" t="str">
        <f>SUBSTITUTE(SUBSTITUTE(PROPERTIES[[#This Row],[PURCHASECOST_VALUE]], "PURCHASECOST_", ""), "_VALUE", "")</f>
        <v>METRO</v>
      </c>
      <c r="AO335" s="41" t="b">
        <v>0</v>
      </c>
      <c r="AP335" s="45" t="b">
        <v>0</v>
      </c>
      <c r="AQ335" s="45" t="b">
        <v>0</v>
      </c>
      <c r="AR335" s="45">
        <v>0</v>
      </c>
      <c r="AS335" s="45" t="b">
        <v>0</v>
      </c>
      <c r="AT335" s="7" t="b">
        <v>0</v>
      </c>
      <c r="AU3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6" spans="1:47" x14ac:dyDescent="0.35">
      <c r="A336" s="2" t="s">
        <v>2962</v>
      </c>
      <c r="B336">
        <v>1934</v>
      </c>
      <c r="C336">
        <v>1975</v>
      </c>
      <c r="D3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6" s="37" t="str">
        <f>INDEX(CONTROL[ENGLISH],MATCH(PROPERTIES[[#This Row],[VEHIDCODE]],CONTROL[VEHIDCODE],0))</f>
        <v>MMZ Type A</v>
      </c>
      <c r="F336" t="s">
        <v>716</v>
      </c>
      <c r="G336" s="37" t="str">
        <f>_xlfn.IFNA(INDEX(COUNTRIES[COUNTRY_LABEL],MATCH(PROPERTIES[[#This Row],[COUNTRY]],COUNTRIES[COUNTRY_DESCRIPTION],0)),"")</f>
        <v>RU</v>
      </c>
      <c r="H3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INDEX(LOADINGSPEEDDEF[SPEED],MATCH("LOADINGSPEEDDEF_"&amp;PROPERTIES[[#This Row],[LOADINGSPEED]],LOADINGSPEEDDEF[TYPE],0))</f>
        <v>120</v>
      </c>
      <c r="O3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4">
        <v>131</v>
      </c>
      <c r="AF336" s="6">
        <v>7</v>
      </c>
      <c r="AG336" t="s">
        <v>1940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6" s="2" t="str">
        <f>SUBSTITUTE(SUBSTITUTE(PROPERTIES[[#This Row],[PURCHASECOST_VALUE]], "PURCHASECOST_", ""), "_VALUE", "")</f>
        <v>METRO</v>
      </c>
      <c r="AO336" s="41" t="b">
        <v>0</v>
      </c>
      <c r="AP336" s="45" t="b">
        <v>0</v>
      </c>
      <c r="AQ336" s="45" t="b">
        <v>0</v>
      </c>
      <c r="AR336" s="45">
        <v>0</v>
      </c>
      <c r="AS336" s="45" t="b">
        <v>0</v>
      </c>
      <c r="AT336" s="7" t="b">
        <v>0</v>
      </c>
      <c r="AU3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7" spans="1:47" x14ac:dyDescent="0.35">
      <c r="A337" s="2" t="s">
        <v>2963</v>
      </c>
      <c r="B337">
        <v>1948</v>
      </c>
      <c r="C337">
        <v>1983</v>
      </c>
      <c r="D3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7" s="37" t="str">
        <f>INDEX(CONTROL[ENGLISH],MATCH(PROPERTIES[[#This Row],[VEHIDCODE]],CONTROL[VEHIDCODE],0))</f>
        <v>ACF New York R10</v>
      </c>
      <c r="F337" t="s">
        <v>757</v>
      </c>
      <c r="G337" s="37" t="str">
        <f>_xlfn.IFNA(INDEX(COUNTRIES[COUNTRY_LABEL],MATCH(PROPERTIES[[#This Row],[COUNTRY]],COUNTRIES[COUNTRY_DESCRIPTION],0)),"")</f>
        <v>US</v>
      </c>
      <c r="H3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INDEX(LOADINGSPEEDDEF[SPEED],MATCH("LOADINGSPEEDDEF_"&amp;PROPERTIES[[#This Row],[LOADINGSPEED]],LOADINGSPEEDDEF[TYPE],0))</f>
        <v>120</v>
      </c>
      <c r="O3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4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7" s="2" t="str">
        <f>SUBSTITUTE(SUBSTITUTE(PROPERTIES[[#This Row],[PURCHASECOST_VALUE]], "PURCHASECOST_", ""), "_VALUE", "")</f>
        <v>METRO</v>
      </c>
      <c r="AO337" s="41" t="b">
        <v>0</v>
      </c>
      <c r="AP337" s="45" t="b">
        <v>0</v>
      </c>
      <c r="AQ337" s="45" t="b">
        <v>0</v>
      </c>
      <c r="AR337" s="45">
        <v>0</v>
      </c>
      <c r="AS337" s="45" t="b">
        <v>0</v>
      </c>
      <c r="AT337" s="7" t="b">
        <v>0</v>
      </c>
      <c r="AU3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8" spans="1:47" x14ac:dyDescent="0.35">
      <c r="A338" s="2" t="s">
        <v>2964</v>
      </c>
      <c r="B338">
        <v>1954</v>
      </c>
      <c r="C338">
        <v>2010</v>
      </c>
      <c r="D3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8" s="37" t="str">
        <f>INDEX(CONTROL[ENGLISH],MATCH(PROPERTIES[[#This Row],[VEHIDCODE]],CONTROL[VEHIDCODE],0))</f>
        <v>Stanga Rome MR 100</v>
      </c>
      <c r="F338" t="s">
        <v>636</v>
      </c>
      <c r="G338" s="37" t="str">
        <f>_xlfn.IFNA(INDEX(COUNTRIES[COUNTRY_LABEL],MATCH(PROPERTIES[[#This Row],[COUNTRY]],COUNTRIES[COUNTRY_DESCRIPTION],0)),"")</f>
        <v>IT</v>
      </c>
      <c r="H3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INDEX(LOADINGSPEEDDEF[SPEED],MATCH("LOADINGSPEEDDEF_"&amp;PROPERTIES[[#This Row],[LOADINGSPEED]],LOADINGSPEEDDEF[TYPE],0))</f>
        <v>120</v>
      </c>
      <c r="O3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4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8" s="2" t="str">
        <f>SUBSTITUTE(SUBSTITUTE(PROPERTIES[[#This Row],[PURCHASECOST_VALUE]], "PURCHASECOST_", ""), "_VALUE", "")</f>
        <v>METRO</v>
      </c>
      <c r="AO338" s="41" t="b">
        <v>0</v>
      </c>
      <c r="AP338" s="45" t="b">
        <v>0</v>
      </c>
      <c r="AQ338" s="45" t="b">
        <v>0</v>
      </c>
      <c r="AR338" s="45">
        <v>0</v>
      </c>
      <c r="AS338" s="45" t="b">
        <v>0</v>
      </c>
      <c r="AT338" s="7" t="b">
        <v>0</v>
      </c>
      <c r="AU3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39" spans="1:47" x14ac:dyDescent="0.35">
      <c r="A339" s="2" t="s">
        <v>2965</v>
      </c>
      <c r="B339">
        <v>1955</v>
      </c>
      <c r="C339">
        <v>1995</v>
      </c>
      <c r="D3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39" s="37" t="str">
        <f>INDEX(CONTROL[ENGLISH],MATCH(PROPERTIES[[#This Row],[VEHIDCODE]],CONTROL[VEHIDCODE],0))</f>
        <v>MMZ 81-702 Type D</v>
      </c>
      <c r="F339" t="s">
        <v>716</v>
      </c>
      <c r="G339" s="37" t="str">
        <f>_xlfn.IFNA(INDEX(COUNTRIES[COUNTRY_LABEL],MATCH(PROPERTIES[[#This Row],[COUNTRY]],COUNTRIES[COUNTRY_DESCRIPTION],0)),"")</f>
        <v>RU</v>
      </c>
      <c r="H3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INDEX(LOADINGSPEEDDEF[SPEED],MATCH("LOADINGSPEEDDEF_"&amp;PROPERTIES[[#This Row],[LOADINGSPEED]],LOADINGSPEEDDEF[TYPE],0))</f>
        <v>120</v>
      </c>
      <c r="O3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4">
        <v>132</v>
      </c>
      <c r="AF339" s="6">
        <v>8</v>
      </c>
      <c r="AG339" t="s">
        <v>1940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3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39" s="2" t="str">
        <f>SUBSTITUTE(SUBSTITUTE(PROPERTIES[[#This Row],[PURCHASECOST_VALUE]], "PURCHASECOST_", ""), "_VALUE", "")</f>
        <v>METRO</v>
      </c>
      <c r="AO339" s="41" t="b">
        <v>0</v>
      </c>
      <c r="AP339" s="45" t="b">
        <v>0</v>
      </c>
      <c r="AQ339" s="45" t="b">
        <v>0</v>
      </c>
      <c r="AR339" s="45">
        <v>0</v>
      </c>
      <c r="AS339" s="45" t="b">
        <v>0</v>
      </c>
      <c r="AT339" s="7" t="b">
        <v>0</v>
      </c>
      <c r="AU3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0" spans="1:47" x14ac:dyDescent="0.35">
      <c r="A340" s="2" t="s">
        <v>2966</v>
      </c>
      <c r="B340">
        <v>1968</v>
      </c>
      <c r="C340">
        <v>2003</v>
      </c>
      <c r="D3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0" s="37" t="str">
        <f>INDEX(CONTROL[ENGLISH],MATCH(PROPERTIES[[#This Row],[VEHIDCODE]],CONTROL[VEHIDCODE],0))</f>
        <v>Werkspoor Rotterdam MG2 Type M</v>
      </c>
      <c r="F340" t="s">
        <v>692</v>
      </c>
      <c r="G340" s="37" t="str">
        <f>_xlfn.IFNA(INDEX(COUNTRIES[COUNTRY_LABEL],MATCH(PROPERTIES[[#This Row],[COUNTRY]],COUNTRIES[COUNTRY_DESCRIPTION],0)),"")</f>
        <v>NL</v>
      </c>
      <c r="H3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INDEX(LOADINGSPEEDDEF[SPEED],MATCH("LOADINGSPEEDDEF_"&amp;PROPERTIES[[#This Row],[LOADINGSPEED]],LOADINGSPEEDDEF[TYPE],0))</f>
        <v>120</v>
      </c>
      <c r="O3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4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0" s="2" t="str">
        <f>SUBSTITUTE(SUBSTITUTE(PROPERTIES[[#This Row],[PURCHASECOST_VALUE]], "PURCHASECOST_", ""), "_VALUE", "")</f>
        <v>METRO</v>
      </c>
      <c r="AO340" s="41" t="b">
        <v>0</v>
      </c>
      <c r="AP340" s="45" t="b">
        <v>0</v>
      </c>
      <c r="AQ340" s="45" t="b">
        <v>0</v>
      </c>
      <c r="AR340" s="45">
        <v>0</v>
      </c>
      <c r="AS340" s="45" t="b">
        <v>0</v>
      </c>
      <c r="AT340" s="7" t="b">
        <v>0</v>
      </c>
      <c r="AU3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1" spans="1:47" x14ac:dyDescent="0.35">
      <c r="A341" s="2" t="s">
        <v>2967</v>
      </c>
      <c r="B341">
        <v>1972</v>
      </c>
      <c r="C341">
        <v>1997</v>
      </c>
      <c r="D3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1" s="37" t="str">
        <f>INDEX(CONTROL[ENGLISH],MATCH(PROPERTIES[[#This Row],[VEHIDCODE]],CONTROL[VEHIDCODE],0))</f>
        <v>MMZ 81-709 ECS</v>
      </c>
      <c r="F341" t="s">
        <v>716</v>
      </c>
      <c r="G341" s="37" t="str">
        <f>_xlfn.IFNA(INDEX(COUNTRIES[COUNTRY_LABEL],MATCH(PROPERTIES[[#This Row],[COUNTRY]],COUNTRIES[COUNTRY_DESCRIPTION],0)),"")</f>
        <v>RU</v>
      </c>
      <c r="H3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INDEX(LOADINGSPEEDDEF[SPEED],MATCH("LOADINGSPEEDDEF_"&amp;PROPERTIES[[#This Row],[LOADINGSPEED]],LOADINGSPEEDDEF[TYPE],0))</f>
        <v>120</v>
      </c>
      <c r="O3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4">
        <v>150</v>
      </c>
      <c r="AF341" s="6">
        <v>8</v>
      </c>
      <c r="AG341" t="s">
        <v>1940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1" s="2" t="str">
        <f>SUBSTITUTE(SUBSTITUTE(PROPERTIES[[#This Row],[PURCHASECOST_VALUE]], "PURCHASECOST_", ""), "_VALUE", "")</f>
        <v>METRO</v>
      </c>
      <c r="AO341" s="41" t="b">
        <v>0</v>
      </c>
      <c r="AP341" s="45" t="b">
        <v>0</v>
      </c>
      <c r="AQ341" s="45" t="b">
        <v>1</v>
      </c>
      <c r="AR341" s="45">
        <v>0</v>
      </c>
      <c r="AS341" s="45" t="b">
        <v>0</v>
      </c>
      <c r="AT341" s="7" t="b">
        <v>1</v>
      </c>
      <c r="AU3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2" spans="1:47" x14ac:dyDescent="0.35">
      <c r="A342" s="2" t="s">
        <v>2968</v>
      </c>
      <c r="B342">
        <v>1999</v>
      </c>
      <c r="C342">
        <v>2019</v>
      </c>
      <c r="D3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2" s="37" t="str">
        <f>INDEX(CONTROL[ENGLISH],MATCH(PROPERTIES[[#This Row],[VEHIDCODE]],CONTROL[VEHIDCODE],0))</f>
        <v>Hitachi Buenos Aires Serie 1200</v>
      </c>
      <c r="F342" t="s">
        <v>538</v>
      </c>
      <c r="G342" s="37" t="str">
        <f>_xlfn.IFNA(INDEX(COUNTRIES[COUNTRY_LABEL],MATCH(PROPERTIES[[#This Row],[COUNTRY]],COUNTRIES[COUNTRY_DESCRIPTION],0)),"")</f>
        <v>AR</v>
      </c>
      <c r="H3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INDEX(LOADINGSPEEDDEF[SPEED],MATCH("LOADINGSPEEDDEF_"&amp;PROPERTIES[[#This Row],[LOADINGSPEED]],LOADINGSPEEDDEF[TYPE],0))</f>
        <v>120</v>
      </c>
      <c r="O34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4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2" s="2" t="str">
        <f>SUBSTITUTE(SUBSTITUTE(PROPERTIES[[#This Row],[PURCHASECOST_VALUE]], "PURCHASECOST_", ""), "_VALUE", "")</f>
        <v>METRO</v>
      </c>
      <c r="AO342" s="41" t="b">
        <v>0</v>
      </c>
      <c r="AP342" s="45" t="b">
        <v>0</v>
      </c>
      <c r="AQ342" s="45" t="b">
        <v>0</v>
      </c>
      <c r="AR342" s="45">
        <v>0</v>
      </c>
      <c r="AS342" s="45" t="b">
        <v>0</v>
      </c>
      <c r="AT342" s="7" t="b">
        <v>0</v>
      </c>
      <c r="AU3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3" spans="1:47" x14ac:dyDescent="0.35">
      <c r="A343" s="2" t="s">
        <v>2969</v>
      </c>
      <c r="B343">
        <v>1996</v>
      </c>
      <c r="D3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3" s="37" t="str">
        <f>INDEX(CONTROL[ENGLISH],MATCH(PROPERTIES[[#This Row],[VEHIDCODE]],CONTROL[VEHIDCODE],0))</f>
        <v>GEC-Alsthom Santiago NS-93</v>
      </c>
      <c r="F343" t="s">
        <v>573</v>
      </c>
      <c r="G343" s="37" t="str">
        <f>_xlfn.IFNA(INDEX(COUNTRIES[COUNTRY_LABEL],MATCH(PROPERTIES[[#This Row],[COUNTRY]],COUNTRIES[COUNTRY_DESCRIPTION],0)),"")</f>
        <v>CL</v>
      </c>
      <c r="H3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INDEX(LOADINGSPEEDDEF[SPEED],MATCH("LOADINGSPEEDDEF_"&amp;PROPERTIES[[#This Row],[LOADINGSPEED]],LOADINGSPEEDDEF[TYPE],0))</f>
        <v>120</v>
      </c>
      <c r="O3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4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3" s="2" t="str">
        <f>SUBSTITUTE(SUBSTITUTE(PROPERTIES[[#This Row],[PURCHASECOST_VALUE]], "PURCHASECOST_", ""), "_VALUE", "")</f>
        <v>METRO</v>
      </c>
      <c r="AO343" s="41" t="b">
        <v>0</v>
      </c>
      <c r="AP343" s="45" t="b">
        <v>0</v>
      </c>
      <c r="AQ343" s="45" t="b">
        <v>0</v>
      </c>
      <c r="AR343" s="45">
        <v>0</v>
      </c>
      <c r="AS343" s="45" t="b">
        <v>0</v>
      </c>
      <c r="AT343" s="7" t="b">
        <v>0</v>
      </c>
      <c r="AU3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4" spans="1:47" x14ac:dyDescent="0.35">
      <c r="A344" s="2" t="s">
        <v>2970</v>
      </c>
      <c r="B344">
        <v>2004</v>
      </c>
      <c r="D3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4" s="37" t="str">
        <f>INDEX(CONTROL[ENGLISH],MATCH(PROPERTIES[[#This Row],[VEHIDCODE]],CONTROL[VEHIDCODE],0))</f>
        <v>Alstom Brasil Santiago AS-2002</v>
      </c>
      <c r="F344" t="s">
        <v>573</v>
      </c>
      <c r="G344" s="37" t="str">
        <f>_xlfn.IFNA(INDEX(COUNTRIES[COUNTRY_LABEL],MATCH(PROPERTIES[[#This Row],[COUNTRY]],COUNTRIES[COUNTRY_DESCRIPTION],0)),"")</f>
        <v>CL</v>
      </c>
      <c r="H3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INDEX(LOADINGSPEEDDEF[SPEED],MATCH("LOADINGSPEEDDEF_"&amp;PROPERTIES[[#This Row],[LOADINGSPEED]],LOADINGSPEEDDEF[TYPE],0))</f>
        <v>120</v>
      </c>
      <c r="O3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4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4" s="2" t="str">
        <f>SUBSTITUTE(SUBSTITUTE(PROPERTIES[[#This Row],[PURCHASECOST_VALUE]], "PURCHASECOST_", ""), "_VALUE", "")</f>
        <v>METRO</v>
      </c>
      <c r="AO344" s="41" t="b">
        <v>0</v>
      </c>
      <c r="AP344" s="45" t="b">
        <v>0</v>
      </c>
      <c r="AQ344" s="45" t="b">
        <v>1</v>
      </c>
      <c r="AR344" s="45">
        <v>0</v>
      </c>
      <c r="AS344" s="45" t="b">
        <v>0</v>
      </c>
      <c r="AT344" s="7" t="b">
        <v>1</v>
      </c>
      <c r="AU3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5" spans="1:47" x14ac:dyDescent="0.35">
      <c r="A345" s="2" t="s">
        <v>2971</v>
      </c>
      <c r="B345">
        <v>2008</v>
      </c>
      <c r="D3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5" s="37" t="str">
        <f>INDEX(CONTROL[ENGLISH],MATCH(PROPERTIES[[#This Row],[VEHIDCODE]],CONTROL[VEHIDCODE],0))</f>
        <v>TUDH Recife VLT Mobile 3</v>
      </c>
      <c r="F345" t="s">
        <v>558</v>
      </c>
      <c r="G345" s="37" t="str">
        <f>_xlfn.IFNA(INDEX(COUNTRIES[COUNTRY_LABEL],MATCH(PROPERTIES[[#This Row],[COUNTRY]],COUNTRIES[COUNTRY_DESCRIPTION],0)),"")</f>
        <v>BR</v>
      </c>
      <c r="H3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INDEX(LOADINGSPEEDDEF[SPEED],MATCH("LOADINGSPEEDDEF_"&amp;PROPERTIES[[#This Row],[LOADINGSPEED]],LOADINGSPEEDDEF[TYPE],0))</f>
        <v>120</v>
      </c>
      <c r="O3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4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5" s="2" t="str">
        <f>SUBSTITUTE(SUBSTITUTE(PROPERTIES[[#This Row],[PURCHASECOST_VALUE]], "PURCHASECOST_", ""), "_VALUE", "")</f>
        <v>METRO</v>
      </c>
      <c r="AO345" s="41" t="b">
        <v>0</v>
      </c>
      <c r="AP345" s="45" t="b">
        <v>0</v>
      </c>
      <c r="AQ345" s="45" t="b">
        <v>0</v>
      </c>
      <c r="AR345" s="45">
        <v>0</v>
      </c>
      <c r="AS345" s="45" t="b">
        <v>0</v>
      </c>
      <c r="AT345" s="7" t="b">
        <v>0</v>
      </c>
      <c r="AU3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6" spans="1:47" x14ac:dyDescent="0.35">
      <c r="A346" s="2" t="s">
        <v>2972</v>
      </c>
      <c r="B346">
        <v>1974</v>
      </c>
      <c r="C346">
        <v>2010</v>
      </c>
      <c r="D3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6" s="37" t="str">
        <f>INDEX(CONTROL[ENGLISH],MATCH(PROPERTIES[[#This Row],[VEHIDCODE]],CONTROL[VEHIDCODE],0))</f>
        <v>CAF Madrid Series 5000</v>
      </c>
      <c r="F346" t="s">
        <v>595</v>
      </c>
      <c r="G346" s="37" t="str">
        <f>_xlfn.IFNA(INDEX(COUNTRIES[COUNTRY_LABEL],MATCH(PROPERTIES[[#This Row],[COUNTRY]],COUNTRIES[COUNTRY_DESCRIPTION],0)),"")</f>
        <v>ES</v>
      </c>
      <c r="H3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INDEX(LOADINGSPEEDDEF[SPEED],MATCH("LOADINGSPEEDDEF_"&amp;PROPERTIES[[#This Row],[LOADINGSPEED]],LOADINGSPEEDDEF[TYPE],0))</f>
        <v>120</v>
      </c>
      <c r="O3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4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6" s="2" t="str">
        <f>SUBSTITUTE(SUBSTITUTE(PROPERTIES[[#This Row],[PURCHASECOST_VALUE]], "PURCHASECOST_", ""), "_VALUE", "")</f>
        <v>METRO</v>
      </c>
      <c r="AO346" s="41" t="b">
        <v>0</v>
      </c>
      <c r="AP346" s="45" t="b">
        <v>0</v>
      </c>
      <c r="AQ346" s="45" t="b">
        <v>0</v>
      </c>
      <c r="AR346" s="45">
        <v>0</v>
      </c>
      <c r="AS346" s="45" t="b">
        <v>0</v>
      </c>
      <c r="AT346" s="7" t="b">
        <v>0</v>
      </c>
      <c r="AU3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7" spans="1:47" x14ac:dyDescent="0.35">
      <c r="A347" s="2" t="s">
        <v>2973</v>
      </c>
      <c r="B347">
        <v>1999</v>
      </c>
      <c r="D3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7" s="37" t="str">
        <f>INDEX(CONTROL[ENGLISH],MATCH(PROPERTIES[[#This Row],[VEHIDCODE]],CONTROL[VEHIDCODE],0))</f>
        <v>CAF Rome S/300</v>
      </c>
      <c r="F347" t="s">
        <v>636</v>
      </c>
      <c r="G347" s="37" t="str">
        <f>_xlfn.IFNA(INDEX(COUNTRIES[COUNTRY_LABEL],MATCH(PROPERTIES[[#This Row],[COUNTRY]],COUNTRIES[COUNTRY_DESCRIPTION],0)),"")</f>
        <v>IT</v>
      </c>
      <c r="H3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INDEX(LOADINGSPEEDDEF[SPEED],MATCH("LOADINGSPEEDDEF_"&amp;PROPERTIES[[#This Row],[LOADINGSPEED]],LOADINGSPEEDDEF[TYPE],0))</f>
        <v>120</v>
      </c>
      <c r="O3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4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7" s="2" t="str">
        <f>SUBSTITUTE(SUBSTITUTE(PROPERTIES[[#This Row],[PURCHASECOST_VALUE]], "PURCHASECOST_", ""), "_VALUE", "")</f>
        <v>METRO</v>
      </c>
      <c r="AO347" s="41" t="b">
        <v>0</v>
      </c>
      <c r="AP347" s="45" t="b">
        <v>0</v>
      </c>
      <c r="AQ347" s="45" t="b">
        <v>0</v>
      </c>
      <c r="AR347" s="45">
        <v>0</v>
      </c>
      <c r="AS347" s="45" t="b">
        <v>0</v>
      </c>
      <c r="AT347" s="7" t="b">
        <v>0</v>
      </c>
      <c r="AU3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8" spans="1:47" x14ac:dyDescent="0.35">
      <c r="A348" s="2" t="s">
        <v>2974</v>
      </c>
      <c r="B348">
        <v>2011</v>
      </c>
      <c r="D3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8" s="37" t="str">
        <f>INDEX(CONTROL[ENGLISH],MATCH(PROPERTIES[[#This Row],[VEHIDCODE]],CONTROL[VEHIDCODE],0))</f>
        <v>CAF Algiers 2011 Stock</v>
      </c>
      <c r="F348" t="s">
        <v>589</v>
      </c>
      <c r="G348" s="37" t="str">
        <f>_xlfn.IFNA(INDEX(COUNTRIES[COUNTRY_LABEL],MATCH(PROPERTIES[[#This Row],[COUNTRY]],COUNTRIES[COUNTRY_DESCRIPTION],0)),"")</f>
        <v>DZ</v>
      </c>
      <c r="H3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INDEX(LOADINGSPEEDDEF[SPEED],MATCH("LOADINGSPEEDDEF_"&amp;PROPERTIES[[#This Row],[LOADINGSPEED]],LOADINGSPEEDDEF[TYPE],0))</f>
        <v>120</v>
      </c>
      <c r="O3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4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8" s="2" t="str">
        <f>SUBSTITUTE(SUBSTITUTE(PROPERTIES[[#This Row],[PURCHASECOST_VALUE]], "PURCHASECOST_", ""), "_VALUE", "")</f>
        <v>METRO</v>
      </c>
      <c r="AO348" s="41" t="b">
        <v>0</v>
      </c>
      <c r="AP348" s="45" t="b">
        <v>0</v>
      </c>
      <c r="AQ348" s="45" t="b">
        <v>0</v>
      </c>
      <c r="AR348" s="45">
        <v>0</v>
      </c>
      <c r="AS348" s="45" t="b">
        <v>0</v>
      </c>
      <c r="AT348" s="7" t="b">
        <v>0</v>
      </c>
      <c r="AU3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49" spans="1:47" x14ac:dyDescent="0.35">
      <c r="A349" s="2" t="s">
        <v>2975</v>
      </c>
      <c r="B349">
        <v>2015</v>
      </c>
      <c r="D3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49" s="37" t="str">
        <f>INDEX(CONTROL[ENGLISH],MATCH(PROPERTIES[[#This Row],[VEHIDCODE]],CONTROL[VEHIDCODE],0))</f>
        <v>Stadler Berlin U-Bahn IK</v>
      </c>
      <c r="F349" t="s">
        <v>584</v>
      </c>
      <c r="G349" s="37" t="str">
        <f>_xlfn.IFNA(INDEX(COUNTRIES[COUNTRY_LABEL],MATCH(PROPERTIES[[#This Row],[COUNTRY]],COUNTRIES[COUNTRY_DESCRIPTION],0)),"")</f>
        <v>DE</v>
      </c>
      <c r="H3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INDEX(LOADINGSPEEDDEF[SPEED],MATCH("LOADINGSPEEDDEF_"&amp;PROPERTIES[[#This Row],[LOADINGSPEED]],LOADINGSPEEDDEF[TYPE],0))</f>
        <v>120</v>
      </c>
      <c r="O34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4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4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49" s="2" t="str">
        <f>SUBSTITUTE(SUBSTITUTE(PROPERTIES[[#This Row],[PURCHASECOST_VALUE]], "PURCHASECOST_", ""), "_VALUE", "")</f>
        <v>METRO</v>
      </c>
      <c r="AO349" s="41" t="b">
        <v>0</v>
      </c>
      <c r="AP349" s="45" t="b">
        <v>0</v>
      </c>
      <c r="AQ349" s="45" t="b">
        <v>0</v>
      </c>
      <c r="AR349" s="45">
        <v>0</v>
      </c>
      <c r="AS349" s="45" t="b">
        <v>0</v>
      </c>
      <c r="AT349" s="7" t="b">
        <v>0</v>
      </c>
      <c r="AU3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0" spans="1:47" x14ac:dyDescent="0.35">
      <c r="A350" s="2" t="s">
        <v>2976</v>
      </c>
      <c r="B350">
        <v>1950</v>
      </c>
      <c r="C350">
        <v>1992</v>
      </c>
      <c r="D3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50" s="37" t="str">
        <f>INDEX(CONTROL[ENGLISH],MATCH(PROPERTIES[[#This Row],[VEHIDCODE]],CONTROL[VEHIDCODE],0))</f>
        <v>St. Louis Car Company Chicago L 6000 Series</v>
      </c>
      <c r="F350" t="s">
        <v>757</v>
      </c>
      <c r="G350" s="37" t="str">
        <f>_xlfn.IFNA(INDEX(COUNTRIES[COUNTRY_LABEL],MATCH(PROPERTIES[[#This Row],[COUNTRY]],COUNTRIES[COUNTRY_DESCRIPTION],0)),"")</f>
        <v>US</v>
      </c>
      <c r="H3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INDEX(LOADINGSPEEDDEF[SPEED],MATCH("LOADINGSPEEDDEF_"&amp;PROPERTIES[[#This Row],[LOADINGSPEED]],LOADINGSPEEDDEF[TYPE],0))</f>
        <v>120</v>
      </c>
      <c r="O3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4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0" s="2" t="str">
        <f>SUBSTITUTE(SUBSTITUTE(PROPERTIES[[#This Row],[PURCHASECOST_VALUE]], "PURCHASECOST_", ""), "_VALUE", "")</f>
        <v>METRO</v>
      </c>
      <c r="AO350" s="41" t="b">
        <v>0</v>
      </c>
      <c r="AP350" s="45" t="b">
        <v>0</v>
      </c>
      <c r="AQ350" s="45" t="b">
        <v>0</v>
      </c>
      <c r="AR350" s="45">
        <v>0</v>
      </c>
      <c r="AS350" s="45" t="b">
        <v>0</v>
      </c>
      <c r="AT350" s="7" t="b">
        <v>0</v>
      </c>
      <c r="AU3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1" spans="1:47" x14ac:dyDescent="0.35">
      <c r="A351" s="2" t="s">
        <v>2977</v>
      </c>
      <c r="B351">
        <v>1903</v>
      </c>
      <c r="C351">
        <v>1939</v>
      </c>
      <c r="D3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51" s="37" t="str">
        <f>INDEX(CONTROL[ENGLISH],MATCH(PROPERTIES[[#This Row],[VEHIDCODE]],CONTROL[VEHIDCODE],0))</f>
        <v>BRC&amp;W London 1903 Stock</v>
      </c>
      <c r="F351" t="s">
        <v>603</v>
      </c>
      <c r="G351" s="37" t="str">
        <f>_xlfn.IFNA(INDEX(COUNTRIES[COUNTRY_LABEL],MATCH(PROPERTIES[[#This Row],[COUNTRY]],COUNTRIES[COUNTRY_DESCRIPTION],0)),"")</f>
        <v>GB</v>
      </c>
      <c r="H3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INDEX(LOADINGSPEEDDEF[SPEED],MATCH("LOADINGSPEEDDEF_"&amp;PROPERTIES[[#This Row],[LOADINGSPEED]],LOADINGSPEEDDEF[TYPE],0))</f>
        <v>120</v>
      </c>
      <c r="O3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4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1" s="2" t="str">
        <f>SUBSTITUTE(SUBSTITUTE(PROPERTIES[[#This Row],[PURCHASECOST_VALUE]], "PURCHASECOST_", ""), "_VALUE", "")</f>
        <v>METRO</v>
      </c>
      <c r="AO351" s="41" t="b">
        <v>0</v>
      </c>
      <c r="AP351" s="45" t="b">
        <v>0</v>
      </c>
      <c r="AQ351" s="45" t="b">
        <v>0</v>
      </c>
      <c r="AR351" s="45">
        <v>0</v>
      </c>
      <c r="AS351" s="45" t="b">
        <v>0</v>
      </c>
      <c r="AT351" s="7" t="b">
        <v>0</v>
      </c>
      <c r="AU3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2" spans="1:47" x14ac:dyDescent="0.35">
      <c r="A352" s="2" t="s">
        <v>2978</v>
      </c>
      <c r="B352">
        <v>1938</v>
      </c>
      <c r="C352">
        <v>2021</v>
      </c>
      <c r="D3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352" s="37" t="str">
        <f>INDEX(CONTROL[ENGLISH],MATCH(PROPERTIES[[#This Row],[VEHIDCODE]],CONTROL[VEHIDCODE],0))</f>
        <v>BRC&amp;W London 1938 Stock</v>
      </c>
      <c r="F352" t="s">
        <v>603</v>
      </c>
      <c r="G352" s="37" t="str">
        <f>_xlfn.IFNA(INDEX(COUNTRIES[COUNTRY_LABEL],MATCH(PROPERTIES[[#This Row],[COUNTRY]],COUNTRIES[COUNTRY_DESCRIPTION],0)),"")</f>
        <v>GB</v>
      </c>
      <c r="H3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INDEX(LOADINGSPEEDDEF[SPEED],MATCH("LOADINGSPEEDDEF_"&amp;PROPERTIES[[#This Row],[LOADINGSPEED]],LOADINGSPEEDDEF[TYPE],0))</f>
        <v>120</v>
      </c>
      <c r="O3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4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35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352" s="2" t="str">
        <f>SUBSTITUTE(SUBSTITUTE(PROPERTIES[[#This Row],[PURCHASECOST_VALUE]], "PURCHASECOST_", ""), "_VALUE", "")</f>
        <v>METRO</v>
      </c>
      <c r="AO352" s="41" t="b">
        <v>0</v>
      </c>
      <c r="AP352" s="45" t="b">
        <v>0</v>
      </c>
      <c r="AQ352" s="45" t="b">
        <v>0</v>
      </c>
      <c r="AR352" s="45">
        <v>0</v>
      </c>
      <c r="AS352" s="45" t="b">
        <v>0</v>
      </c>
      <c r="AT352" s="7" t="b">
        <v>0</v>
      </c>
      <c r="AU3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353" spans="1:47" x14ac:dyDescent="0.35">
      <c r="A353" s="2" t="s">
        <v>2979</v>
      </c>
      <c r="B353">
        <v>1914</v>
      </c>
      <c r="C353">
        <v>1950</v>
      </c>
      <c r="D3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3" s="37" t="str">
        <f>INDEX(CONTROL[ENGLISH],MATCH(PROPERTIES[[#This Row],[VEHIDCODE]],CONTROL[VEHIDCODE],0))</f>
        <v>NER EF1</v>
      </c>
      <c r="F353" t="s">
        <v>603</v>
      </c>
      <c r="G353" s="37" t="str">
        <f>_xlfn.IFNA(INDEX(COUNTRIES[COUNTRY_LABEL],MATCH(PROPERTIES[[#This Row],[COUNTRY]],COUNTRIES[COUNTRY_DESCRIPTION],0)),"")</f>
        <v>GB</v>
      </c>
      <c r="H3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INDEX(LOADINGSPEEDDEF[SPEED],MATCH("LOADINGSPEEDDEF_"&amp;PROPERTIES[[#This Row],[LOADINGSPEED]],LOADINGSPEEDDEF[TYPE],0))</f>
        <v>20</v>
      </c>
      <c r="O3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4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1" t="b">
        <v>0</v>
      </c>
      <c r="AP353" s="45" t="b">
        <v>0</v>
      </c>
      <c r="AQ353" s="45" t="b">
        <v>0</v>
      </c>
      <c r="AR353" s="45">
        <v>0</v>
      </c>
      <c r="AS353" s="45" t="b">
        <v>0</v>
      </c>
      <c r="AT353" s="7" t="b">
        <v>0</v>
      </c>
      <c r="AU3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4" spans="1:47" x14ac:dyDescent="0.35">
      <c r="A354" s="2" t="s">
        <v>2980</v>
      </c>
      <c r="B354">
        <v>1931</v>
      </c>
      <c r="C354">
        <v>1972</v>
      </c>
      <c r="D3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4" s="37" t="str">
        <f>INDEX(CONTROL[ENGLISH],MATCH(PROPERTIES[[#This Row],[VEHIDCODE]],CONTROL[VEHIDCODE],0))</f>
        <v>JNR EB10</v>
      </c>
      <c r="F354" t="s">
        <v>640</v>
      </c>
      <c r="G354" s="37" t="str">
        <f>_xlfn.IFNA(INDEX(COUNTRIES[COUNTRY_LABEL],MATCH(PROPERTIES[[#This Row],[COUNTRY]],COUNTRIES[COUNTRY_DESCRIPTION],0)),"")</f>
        <v>JP</v>
      </c>
      <c r="H3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INDEX(LOADINGSPEEDDEF[SPEED],MATCH("LOADINGSPEEDDEF_"&amp;PROPERTIES[[#This Row],[LOADINGSPEED]],LOADINGSPEEDDEF[TYPE],0))</f>
        <v>20</v>
      </c>
      <c r="O3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4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1" t="b">
        <v>0</v>
      </c>
      <c r="AP354" s="45" t="b">
        <v>0</v>
      </c>
      <c r="AQ354" s="45" t="b">
        <v>0</v>
      </c>
      <c r="AR354" s="45">
        <v>0</v>
      </c>
      <c r="AS354" s="45" t="b">
        <v>0</v>
      </c>
      <c r="AT354" s="7" t="b">
        <v>0</v>
      </c>
      <c r="AU3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5" spans="1:47" x14ac:dyDescent="0.35">
      <c r="A355" s="2" t="s">
        <v>2981</v>
      </c>
      <c r="B355">
        <v>1936</v>
      </c>
      <c r="C355">
        <v>1958</v>
      </c>
      <c r="D3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5" s="37" t="str">
        <f>INDEX(CONTROL[ENGLISH],MATCH(PROPERTIES[[#This Row],[VEHIDCODE]],CONTROL[VEHIDCODE],0))</f>
        <v>Hitachi/Kawasaki EF55</v>
      </c>
      <c r="F355" t="s">
        <v>640</v>
      </c>
      <c r="G355" s="37" t="str">
        <f>_xlfn.IFNA(INDEX(COUNTRIES[COUNTRY_LABEL],MATCH(PROPERTIES[[#This Row],[COUNTRY]],COUNTRIES[COUNTRY_DESCRIPTION],0)),"")</f>
        <v>JP</v>
      </c>
      <c r="H3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INDEX(LOADINGSPEEDDEF[SPEED],MATCH("LOADINGSPEEDDEF_"&amp;PROPERTIES[[#This Row],[LOADINGSPEED]],LOADINGSPEEDDEF[TYPE],0))</f>
        <v>20</v>
      </c>
      <c r="O3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4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1" t="b">
        <v>0</v>
      </c>
      <c r="AP355" s="45" t="b">
        <v>0</v>
      </c>
      <c r="AQ355" s="45" t="b">
        <v>0</v>
      </c>
      <c r="AR355" s="45">
        <v>0</v>
      </c>
      <c r="AS355" s="45" t="b">
        <v>0</v>
      </c>
      <c r="AT355" s="7" t="b">
        <v>0</v>
      </c>
      <c r="AU3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356" spans="1:47" x14ac:dyDescent="0.35">
      <c r="A356" s="2" t="s">
        <v>2982</v>
      </c>
      <c r="B356">
        <v>1947</v>
      </c>
      <c r="C356">
        <v>1982</v>
      </c>
      <c r="D3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6" s="37" t="str">
        <f>INDEX(CONTROL[ENGLISH],MATCH(PROPERTIES[[#This Row],[VEHIDCODE]],CONTROL[VEHIDCODE],0))</f>
        <v>SLM NS 1000</v>
      </c>
      <c r="F356" t="s">
        <v>692</v>
      </c>
      <c r="G356" s="37" t="str">
        <f>_xlfn.IFNA(INDEX(COUNTRIES[COUNTRY_LABEL],MATCH(PROPERTIES[[#This Row],[COUNTRY]],COUNTRIES[COUNTRY_DESCRIPTION],0)),"")</f>
        <v>NL</v>
      </c>
      <c r="H3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INDEX(LOADINGSPEEDDEF[SPEED],MATCH("LOADINGSPEEDDEF_"&amp;PROPERTIES[[#This Row],[LOADINGSPEED]],LOADINGSPEEDDEF[TYPE],0))</f>
        <v>20</v>
      </c>
      <c r="O3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4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1" t="b">
        <v>0</v>
      </c>
      <c r="AP356" s="45" t="b">
        <v>0</v>
      </c>
      <c r="AQ356" s="45" t="b">
        <v>0</v>
      </c>
      <c r="AR356" s="45">
        <v>0</v>
      </c>
      <c r="AS356" s="45" t="b">
        <v>0</v>
      </c>
      <c r="AT356" s="7" t="b">
        <v>0</v>
      </c>
      <c r="AU3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7" spans="1:47" x14ac:dyDescent="0.35">
      <c r="A357" s="2" t="s">
        <v>2983</v>
      </c>
      <c r="B357">
        <v>1980</v>
      </c>
      <c r="C357">
        <v>2009</v>
      </c>
      <c r="D3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7" s="37" t="str">
        <f>INDEX(CONTROL[ENGLISH],MATCH(PROPERTIES[[#This Row],[VEHIDCODE]],CONTROL[VEHIDCODE],0))</f>
        <v>Alsthom BB 7200/NS 1600</v>
      </c>
      <c r="F357" t="s">
        <v>692</v>
      </c>
      <c r="G357" s="37" t="str">
        <f>_xlfn.IFNA(INDEX(COUNTRIES[COUNTRY_LABEL],MATCH(PROPERTIES[[#This Row],[COUNTRY]],COUNTRIES[COUNTRY_DESCRIPTION],0)),"")</f>
        <v>NL</v>
      </c>
      <c r="H3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INDEX(LOADINGSPEEDDEF[SPEED],MATCH("LOADINGSPEEDDEF_"&amp;PROPERTIES[[#This Row],[LOADINGSPEED]],LOADINGSPEEDDEF[TYPE],0))</f>
        <v>20</v>
      </c>
      <c r="O3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4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1" t="b">
        <v>0</v>
      </c>
      <c r="AP357" s="45" t="b">
        <v>0</v>
      </c>
      <c r="AQ357" s="45" t="b">
        <v>0</v>
      </c>
      <c r="AR357" s="45">
        <v>0</v>
      </c>
      <c r="AS357" s="45" t="b">
        <v>0</v>
      </c>
      <c r="AT357" s="7" t="b">
        <v>0</v>
      </c>
      <c r="AU3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8" spans="1:47" x14ac:dyDescent="0.35">
      <c r="A358" s="2" t="s">
        <v>2984</v>
      </c>
      <c r="B358">
        <v>1923</v>
      </c>
      <c r="C358">
        <v>1981</v>
      </c>
      <c r="D3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8" s="37" t="str">
        <f>INDEX(CONTROL[ENGLISH],MATCH(PROPERTIES[[#This Row],[VEHIDCODE]],CONTROL[VEHIDCODE],0))</f>
        <v>Victorian Railways E</v>
      </c>
      <c r="F358" t="s">
        <v>541</v>
      </c>
      <c r="G358" s="37" t="str">
        <f>_xlfn.IFNA(INDEX(COUNTRIES[COUNTRY_LABEL],MATCH(PROPERTIES[[#This Row],[COUNTRY]],COUNTRIES[COUNTRY_DESCRIPTION],0)),"")</f>
        <v>AU</v>
      </c>
      <c r="H3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INDEX(LOADINGSPEEDDEF[SPEED],MATCH("LOADINGSPEEDDEF_"&amp;PROPERTIES[[#This Row],[LOADINGSPEED]],LOADINGSPEEDDEF[TYPE],0))</f>
        <v>20</v>
      </c>
      <c r="O3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4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1" t="b">
        <v>0</v>
      </c>
      <c r="AP358" s="45" t="b">
        <v>0</v>
      </c>
      <c r="AQ358" s="45" t="b">
        <v>0</v>
      </c>
      <c r="AR358" s="45">
        <v>0</v>
      </c>
      <c r="AS358" s="45" t="b">
        <v>0</v>
      </c>
      <c r="AT358" s="7" t="b">
        <v>0</v>
      </c>
      <c r="AU3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59" spans="1:47" x14ac:dyDescent="0.35">
      <c r="A359" s="2" t="s">
        <v>2985</v>
      </c>
      <c r="B359">
        <v>1903</v>
      </c>
      <c r="C359">
        <v>1966</v>
      </c>
      <c r="D3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59" s="37" t="str">
        <f>INDEX(CONTROL[ENGLISH],MATCH(PROPERTIES[[#This Row],[VEHIDCODE]],CONTROL[VEHIDCODE],0))</f>
        <v>British Thomson-Houston ES1</v>
      </c>
      <c r="F359" t="s">
        <v>603</v>
      </c>
      <c r="G359" s="37" t="str">
        <f>_xlfn.IFNA(INDEX(COUNTRIES[COUNTRY_LABEL],MATCH(PROPERTIES[[#This Row],[COUNTRY]],COUNTRIES[COUNTRY_DESCRIPTION],0)),"")</f>
        <v>GB</v>
      </c>
      <c r="H3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INDEX(LOADINGSPEEDDEF[SPEED],MATCH("LOADINGSPEEDDEF_"&amp;PROPERTIES[[#This Row],[LOADINGSPEED]],LOADINGSPEEDDEF[TYPE],0))</f>
        <v>20</v>
      </c>
      <c r="O3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4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5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1" t="b">
        <v>0</v>
      </c>
      <c r="AP359" s="45" t="b">
        <v>0</v>
      </c>
      <c r="AQ359" s="45" t="b">
        <v>0</v>
      </c>
      <c r="AR359" s="45">
        <v>0</v>
      </c>
      <c r="AS359" s="45" t="b">
        <v>0</v>
      </c>
      <c r="AT359" s="7" t="b">
        <v>0</v>
      </c>
      <c r="AU3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0" spans="1:47" x14ac:dyDescent="0.35">
      <c r="A360" s="2" t="s">
        <v>2986</v>
      </c>
      <c r="B360">
        <v>1903</v>
      </c>
      <c r="C360">
        <v>1913</v>
      </c>
      <c r="D3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0" s="37" t="str">
        <f>INDEX(CONTROL[ENGLISH],MATCH(PROPERTIES[[#This Row],[VEHIDCODE]],CONTROL[VEHIDCODE],0))</f>
        <v>ALCO-GE NYC S-Motor S1</v>
      </c>
      <c r="F360" t="s">
        <v>757</v>
      </c>
      <c r="G360" s="37" t="str">
        <f>_xlfn.IFNA(INDEX(COUNTRIES[COUNTRY_LABEL],MATCH(PROPERTIES[[#This Row],[COUNTRY]],COUNTRIES[COUNTRY_DESCRIPTION],0)),"")</f>
        <v>US</v>
      </c>
      <c r="H3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INDEX(LOADINGSPEEDDEF[SPEED],MATCH("LOADINGSPEEDDEF_"&amp;PROPERTIES[[#This Row],[LOADINGSPEED]],LOADINGSPEEDDEF[TYPE],0))</f>
        <v>20</v>
      </c>
      <c r="O3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4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1" t="b">
        <v>0</v>
      </c>
      <c r="AP360" s="45" t="b">
        <v>0</v>
      </c>
      <c r="AQ360" s="45" t="b">
        <v>0</v>
      </c>
      <c r="AR360" s="45">
        <v>0</v>
      </c>
      <c r="AS360" s="45" t="b">
        <v>0</v>
      </c>
      <c r="AT360" s="7" t="b">
        <v>0</v>
      </c>
      <c r="AU3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1" spans="1:47" x14ac:dyDescent="0.35">
      <c r="A361" s="2" t="s">
        <v>2987</v>
      </c>
      <c r="B361">
        <v>1930</v>
      </c>
      <c r="C361">
        <v>1993</v>
      </c>
      <c r="D3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1" s="37" t="str">
        <f>INDEX(CONTROL[ENGLISH],MATCH(PROPERTIES[[#This Row],[VEHIDCODE]],CONTROL[VEHIDCODE],0))</f>
        <v>Nippon Sharyo DeKi 400</v>
      </c>
      <c r="F361" t="s">
        <v>640</v>
      </c>
      <c r="G361" s="37" t="str">
        <f>_xlfn.IFNA(INDEX(COUNTRIES[COUNTRY_LABEL],MATCH(PROPERTIES[[#This Row],[COUNTRY]],COUNTRIES[COUNTRY_DESCRIPTION],0)),"")</f>
        <v>JP</v>
      </c>
      <c r="H3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INDEX(LOADINGSPEEDDEF[SPEED],MATCH("LOADINGSPEEDDEF_"&amp;PROPERTIES[[#This Row],[LOADINGSPEED]],LOADINGSPEEDDEF[TYPE],0))</f>
        <v>20</v>
      </c>
      <c r="O3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4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1" t="b">
        <v>0</v>
      </c>
      <c r="AP361" s="45" t="b">
        <v>0</v>
      </c>
      <c r="AQ361" s="45" t="b">
        <v>0</v>
      </c>
      <c r="AR361" s="45">
        <v>0</v>
      </c>
      <c r="AS361" s="45" t="b">
        <v>0</v>
      </c>
      <c r="AT361" s="7" t="b">
        <v>0</v>
      </c>
      <c r="AU3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2" spans="1:47" x14ac:dyDescent="0.35">
      <c r="A362" s="2" t="s">
        <v>2988</v>
      </c>
      <c r="B362">
        <v>1928</v>
      </c>
      <c r="C362">
        <v>2000</v>
      </c>
      <c r="D3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2" s="37" t="str">
        <f>INDEX(CONTROL[ENGLISH],MATCH(PROPERTIES[[#This Row],[VEHIDCODE]],CONTROL[VEHIDCODE],0))</f>
        <v>Vulcan Foundry-SLM EF/1</v>
      </c>
      <c r="F362" t="s">
        <v>631</v>
      </c>
      <c r="G362" s="37" t="str">
        <f>_xlfn.IFNA(INDEX(COUNTRIES[COUNTRY_LABEL],MATCH(PROPERTIES[[#This Row],[COUNTRY]],COUNTRIES[COUNTRY_DESCRIPTION],0)),"")</f>
        <v>IN</v>
      </c>
      <c r="H3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INDEX(LOADINGSPEEDDEF[SPEED],MATCH("LOADINGSPEEDDEF_"&amp;PROPERTIES[[#This Row],[LOADINGSPEED]],LOADINGSPEEDDEF[TYPE],0))</f>
        <v>20</v>
      </c>
      <c r="O3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4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1" t="b">
        <v>0</v>
      </c>
      <c r="AP362" s="45" t="b">
        <v>0</v>
      </c>
      <c r="AQ362" s="45" t="b">
        <v>0</v>
      </c>
      <c r="AR362" s="45">
        <v>0</v>
      </c>
      <c r="AS362" s="45" t="b">
        <v>0</v>
      </c>
      <c r="AT362" s="7" t="b">
        <v>0</v>
      </c>
      <c r="AU3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63" spans="1:47" x14ac:dyDescent="0.35">
      <c r="A363" s="2" t="s">
        <v>2989</v>
      </c>
      <c r="B363">
        <v>1954</v>
      </c>
      <c r="C363">
        <v>1973</v>
      </c>
      <c r="D3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3" s="37" t="str">
        <f>INDEX(CONTROL[ENGLISH],MATCH(PROPERTIES[[#This Row],[VEHIDCODE]],CONTROL[VEHIDCODE],0))</f>
        <v>Jeumont-Schneider BB 9004</v>
      </c>
      <c r="F363" t="s">
        <v>602</v>
      </c>
      <c r="G363" s="37" t="str">
        <f>_xlfn.IFNA(INDEX(COUNTRIES[COUNTRY_LABEL],MATCH(PROPERTIES[[#This Row],[COUNTRY]],COUNTRIES[COUNTRY_DESCRIPTION],0)),"")</f>
        <v>FR</v>
      </c>
      <c r="H3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INDEX(LOADINGSPEEDDEF[SPEED],MATCH("LOADINGSPEEDDEF_"&amp;PROPERTIES[[#This Row],[LOADINGSPEED]],LOADINGSPEEDDEF[TYPE],0))</f>
        <v>20</v>
      </c>
      <c r="O3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4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1" t="b">
        <v>0</v>
      </c>
      <c r="AP363" s="45" t="b">
        <v>0</v>
      </c>
      <c r="AQ363" s="45" t="b">
        <v>0</v>
      </c>
      <c r="AR363" s="45">
        <v>0</v>
      </c>
      <c r="AS363" s="45" t="b">
        <v>0</v>
      </c>
      <c r="AT363" s="7" t="b">
        <v>0</v>
      </c>
      <c r="AU3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4" spans="1:47" x14ac:dyDescent="0.35">
      <c r="A364" s="2" t="s">
        <v>2990</v>
      </c>
      <c r="B364">
        <v>1925</v>
      </c>
      <c r="C364">
        <v>1976</v>
      </c>
      <c r="D3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4" s="37" t="str">
        <f>INDEX(CONTROL[ENGLISH],MATCH(PROPERTIES[[#This Row],[VEHIDCODE]],CONTROL[VEHIDCODE],0))</f>
        <v>Werkspoor ESS 3200</v>
      </c>
      <c r="F364" t="s">
        <v>627</v>
      </c>
      <c r="G364" s="37" t="str">
        <f>_xlfn.IFNA(INDEX(COUNTRIES[COUNTRY_LABEL],MATCH(PROPERTIES[[#This Row],[COUNTRY]],COUNTRIES[COUNTRY_DESCRIPTION],0)),"")</f>
        <v>ID</v>
      </c>
      <c r="H3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INDEX(LOADINGSPEEDDEF[SPEED],MATCH("LOADINGSPEEDDEF_"&amp;PROPERTIES[[#This Row],[LOADINGSPEED]],LOADINGSPEEDDEF[TYPE],0))</f>
        <v>20</v>
      </c>
      <c r="O3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4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1" t="b">
        <v>0</v>
      </c>
      <c r="AP364" s="45" t="b">
        <v>0</v>
      </c>
      <c r="AQ364" s="45" t="b">
        <v>0</v>
      </c>
      <c r="AR364" s="45">
        <v>0</v>
      </c>
      <c r="AS364" s="45" t="b">
        <v>0</v>
      </c>
      <c r="AT364" s="7" t="b">
        <v>0</v>
      </c>
      <c r="AU3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5" spans="1:47" x14ac:dyDescent="0.35">
      <c r="A365" s="2" t="s">
        <v>2991</v>
      </c>
      <c r="B365">
        <v>1953</v>
      </c>
      <c r="C365">
        <v>1985</v>
      </c>
      <c r="D3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5" s="37" t="str">
        <f>INDEX(CONTROL[ENGLISH],MATCH(PROPERTIES[[#This Row],[VEHIDCODE]],CONTROL[VEHIDCODE],0))</f>
        <v>Metropolitan-Vickers EM2</v>
      </c>
      <c r="F365" t="s">
        <v>603</v>
      </c>
      <c r="G365" s="37" t="str">
        <f>_xlfn.IFNA(INDEX(COUNTRIES[COUNTRY_LABEL],MATCH(PROPERTIES[[#This Row],[COUNTRY]],COUNTRIES[COUNTRY_DESCRIPTION],0)),"")</f>
        <v>GB</v>
      </c>
      <c r="H3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INDEX(LOADINGSPEEDDEF[SPEED],MATCH("LOADINGSPEEDDEF_"&amp;PROPERTIES[[#This Row],[LOADINGSPEED]],LOADINGSPEEDDEF[TYPE],0))</f>
        <v>20</v>
      </c>
      <c r="O3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4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1" t="b">
        <v>0</v>
      </c>
      <c r="AP365" s="45" t="b">
        <v>0</v>
      </c>
      <c r="AQ365" s="45" t="b">
        <v>0</v>
      </c>
      <c r="AR365" s="45">
        <v>0</v>
      </c>
      <c r="AS365" s="45" t="b">
        <v>0</v>
      </c>
      <c r="AT365" s="7" t="b">
        <v>0</v>
      </c>
      <c r="AU3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6" spans="1:47" x14ac:dyDescent="0.35">
      <c r="A366" s="2" t="s">
        <v>2992</v>
      </c>
      <c r="B366">
        <v>1922</v>
      </c>
      <c r="C366">
        <v>1950</v>
      </c>
      <c r="D3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6" s="37" t="str">
        <f>INDEX(CONTROL[ENGLISH],MATCH(PROPERTIES[[#This Row],[VEHIDCODE]],CONTROL[VEHIDCODE],0))</f>
        <v>NER EE1</v>
      </c>
      <c r="F366" t="s">
        <v>603</v>
      </c>
      <c r="G366" s="37" t="str">
        <f>_xlfn.IFNA(INDEX(COUNTRIES[COUNTRY_LABEL],MATCH(PROPERTIES[[#This Row],[COUNTRY]],COUNTRIES[COUNTRY_DESCRIPTION],0)),"")</f>
        <v>GB</v>
      </c>
      <c r="H3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INDEX(LOADINGSPEEDDEF[SPEED],MATCH("LOADINGSPEEDDEF_"&amp;PROPERTIES[[#This Row],[LOADINGSPEED]],LOADINGSPEEDDEF[TYPE],0))</f>
        <v>20</v>
      </c>
      <c r="O3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4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1" t="b">
        <v>0</v>
      </c>
      <c r="AP366" s="45" t="b">
        <v>0</v>
      </c>
      <c r="AQ366" s="45" t="b">
        <v>0</v>
      </c>
      <c r="AR366" s="45">
        <v>0</v>
      </c>
      <c r="AS366" s="45" t="b">
        <v>0</v>
      </c>
      <c r="AT366" s="7" t="b">
        <v>0</v>
      </c>
      <c r="AU3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7" spans="1:47" x14ac:dyDescent="0.35">
      <c r="A367" s="2" t="s">
        <v>2993</v>
      </c>
      <c r="B367">
        <v>1916</v>
      </c>
      <c r="C367">
        <v>1952</v>
      </c>
      <c r="D3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7" s="37" t="str">
        <f>INDEX(CONTROL[ENGLISH],MATCH(PROPERTIES[[#This Row],[VEHIDCODE]],CONTROL[VEHIDCODE],0))</f>
        <v>GE ES-2</v>
      </c>
      <c r="F367" t="s">
        <v>757</v>
      </c>
      <c r="G367" s="37" t="str">
        <f>_xlfn.IFNA(INDEX(COUNTRIES[COUNTRY_LABEL],MATCH(PROPERTIES[[#This Row],[COUNTRY]],COUNTRIES[COUNTRY_DESCRIPTION],0)),"")</f>
        <v>US</v>
      </c>
      <c r="H3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INDEX(LOADINGSPEEDDEF[SPEED],MATCH("LOADINGSPEEDDEF_"&amp;PROPERTIES[[#This Row],[LOADINGSPEED]],LOADINGSPEEDDEF[TYPE],0))</f>
        <v>20</v>
      </c>
      <c r="O3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4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1" t="b">
        <v>0</v>
      </c>
      <c r="AP367" s="45" t="b">
        <v>0</v>
      </c>
      <c r="AQ367" s="45" t="b">
        <v>0</v>
      </c>
      <c r="AR367" s="45">
        <v>0</v>
      </c>
      <c r="AS367" s="45" t="b">
        <v>0</v>
      </c>
      <c r="AT367" s="7" t="b">
        <v>0</v>
      </c>
      <c r="AU3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68" spans="1:47" x14ac:dyDescent="0.35">
      <c r="A368" s="2" t="s">
        <v>2994</v>
      </c>
      <c r="B368">
        <v>1919</v>
      </c>
      <c r="C368">
        <v>1962</v>
      </c>
      <c r="D3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8" s="37" t="str">
        <f>INDEX(CONTROL[ENGLISH],MATCH(PROPERTIES[[#This Row],[VEHIDCODE]],CONTROL[VEHIDCODE],0))</f>
        <v>GE 2-4-8-0+0-8-4-2 EP2</v>
      </c>
      <c r="F368" t="s">
        <v>757</v>
      </c>
      <c r="G368" s="37" t="str">
        <f>_xlfn.IFNA(INDEX(COUNTRIES[COUNTRY_LABEL],MATCH(PROPERTIES[[#This Row],[COUNTRY]],COUNTRIES[COUNTRY_DESCRIPTION],0)),"")</f>
        <v>US</v>
      </c>
      <c r="H3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INDEX(LOADINGSPEEDDEF[SPEED],MATCH("LOADINGSPEEDDEF_"&amp;PROPERTIES[[#This Row],[LOADINGSPEED]],LOADINGSPEEDDEF[TYPE],0))</f>
        <v>20</v>
      </c>
      <c r="O3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4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1" t="b">
        <v>0</v>
      </c>
      <c r="AP368" s="45" t="b">
        <v>0</v>
      </c>
      <c r="AQ368" s="45" t="b">
        <v>0</v>
      </c>
      <c r="AR368" s="45">
        <v>0</v>
      </c>
      <c r="AS368" s="45" t="b">
        <v>0</v>
      </c>
      <c r="AT368" s="7" t="b">
        <v>0</v>
      </c>
      <c r="AU3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69" spans="1:47" x14ac:dyDescent="0.35">
      <c r="A369" s="2" t="s">
        <v>2995</v>
      </c>
      <c r="B369">
        <v>1922</v>
      </c>
      <c r="C369">
        <v>2010</v>
      </c>
      <c r="D3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69" s="37" t="str">
        <f>INDEX(CONTROL[ENGLISH],MATCH(PROPERTIES[[#This Row],[VEHIDCODE]],CONTROL[VEHIDCODE],0))</f>
        <v>Baldwin Westinghouse E-28</v>
      </c>
      <c r="F369" t="s">
        <v>573</v>
      </c>
      <c r="G369" s="37" t="str">
        <f>_xlfn.IFNA(INDEX(COUNTRIES[COUNTRY_LABEL],MATCH(PROPERTIES[[#This Row],[COUNTRY]],COUNTRIES[COUNTRY_DESCRIPTION],0)),"")</f>
        <v>CL</v>
      </c>
      <c r="H3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INDEX(LOADINGSPEEDDEF[SPEED],MATCH("LOADINGSPEEDDEF_"&amp;PROPERTIES[[#This Row],[LOADINGSPEED]],LOADINGSPEEDDEF[TYPE],0))</f>
        <v>20</v>
      </c>
      <c r="O3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4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6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1" t="b">
        <v>0</v>
      </c>
      <c r="AP369" s="45" t="b">
        <v>0</v>
      </c>
      <c r="AQ369" s="45" t="b">
        <v>0</v>
      </c>
      <c r="AR369" s="45">
        <v>0</v>
      </c>
      <c r="AS369" s="45" t="b">
        <v>0</v>
      </c>
      <c r="AT369" s="7" t="b">
        <v>0</v>
      </c>
      <c r="AU3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0" spans="1:47" x14ac:dyDescent="0.35">
      <c r="A370" s="2" t="s">
        <v>2996</v>
      </c>
      <c r="B370">
        <v>1934</v>
      </c>
      <c r="C370">
        <v>1988</v>
      </c>
      <c r="D3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0" s="37" t="str">
        <f>INDEX(CONTROL[ENGLISH],MATCH(PROPERTIES[[#This Row],[VEHIDCODE]],CONTROL[VEHIDCODE],0))</f>
        <v>Breda E.428</v>
      </c>
      <c r="F370" t="s">
        <v>636</v>
      </c>
      <c r="G370" s="37" t="str">
        <f>_xlfn.IFNA(INDEX(COUNTRIES[COUNTRY_LABEL],MATCH(PROPERTIES[[#This Row],[COUNTRY]],COUNTRIES[COUNTRY_DESCRIPTION],0)),"")</f>
        <v>IT</v>
      </c>
      <c r="H3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INDEX(LOADINGSPEEDDEF[SPEED],MATCH("LOADINGSPEEDDEF_"&amp;PROPERTIES[[#This Row],[LOADINGSPEED]],LOADINGSPEEDDEF[TYPE],0))</f>
        <v>20</v>
      </c>
      <c r="O3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4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1" t="b">
        <v>0</v>
      </c>
      <c r="AP370" s="45" t="b">
        <v>0</v>
      </c>
      <c r="AQ370" s="45" t="b">
        <v>0</v>
      </c>
      <c r="AR370" s="45">
        <v>0</v>
      </c>
      <c r="AS370" s="45" t="b">
        <v>0</v>
      </c>
      <c r="AT370" s="7" t="b">
        <v>0</v>
      </c>
      <c r="AU3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1" spans="1:47" x14ac:dyDescent="0.35">
      <c r="A371" s="2" t="s">
        <v>2997</v>
      </c>
      <c r="B371">
        <v>1936</v>
      </c>
      <c r="C371">
        <v>1983</v>
      </c>
      <c r="D3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1" s="37" t="str">
        <f>INDEX(CONTROL[ENGLISH],MATCH(PROPERTIES[[#This Row],[VEHIDCODE]],CONTROL[VEHIDCODE],0))</f>
        <v>Werkspoor SAR ES</v>
      </c>
      <c r="F371" t="s">
        <v>771</v>
      </c>
      <c r="G371" s="37" t="str">
        <f>_xlfn.IFNA(INDEX(COUNTRIES[COUNTRY_LABEL],MATCH(PROPERTIES[[#This Row],[COUNTRY]],COUNTRIES[COUNTRY_DESCRIPTION],0)),"")</f>
        <v>ZA</v>
      </c>
      <c r="H3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INDEX(LOADINGSPEEDDEF[SPEED],MATCH("LOADINGSPEEDDEF_"&amp;PROPERTIES[[#This Row],[LOADINGSPEED]],LOADINGSPEEDDEF[TYPE],0))</f>
        <v>20</v>
      </c>
      <c r="O3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4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1" t="b">
        <v>0</v>
      </c>
      <c r="AP371" s="45" t="b">
        <v>0</v>
      </c>
      <c r="AQ371" s="45" t="b">
        <v>0</v>
      </c>
      <c r="AR371" s="45">
        <v>0</v>
      </c>
      <c r="AS371" s="45" t="b">
        <v>0</v>
      </c>
      <c r="AT371" s="7" t="b">
        <v>0</v>
      </c>
      <c r="AU3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2" spans="1:47" x14ac:dyDescent="0.35">
      <c r="A372" s="2" t="s">
        <v>2998</v>
      </c>
      <c r="B372">
        <v>1962</v>
      </c>
      <c r="C372">
        <v>2004</v>
      </c>
      <c r="D3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2" s="37" t="str">
        <f>INDEX(CONTROL[ENGLISH],MATCH(PROPERTIES[[#This Row],[VEHIDCODE]],CONTROL[VEHIDCODE],0))</f>
        <v>English Electric E [AEI E]</v>
      </c>
      <c r="F372" t="s">
        <v>705</v>
      </c>
      <c r="G372" s="37" t="str">
        <f>_xlfn.IFNA(INDEX(COUNTRIES[COUNTRY_LABEL],MATCH(PROPERTIES[[#This Row],[COUNTRY]],COUNTRIES[COUNTRY_DESCRIPTION],0)),"")</f>
        <v>PL</v>
      </c>
      <c r="H3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INDEX(LOADINGSPEEDDEF[SPEED],MATCH("LOADINGSPEEDDEF_"&amp;PROPERTIES[[#This Row],[LOADINGSPEED]],LOADINGSPEEDDEF[TYPE],0))</f>
        <v>20</v>
      </c>
      <c r="O3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4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1" t="b">
        <v>0</v>
      </c>
      <c r="AP372" s="45" t="b">
        <v>0</v>
      </c>
      <c r="AQ372" s="45" t="b">
        <v>0</v>
      </c>
      <c r="AR372" s="45">
        <v>0</v>
      </c>
      <c r="AS372" s="45" t="b">
        <v>0</v>
      </c>
      <c r="AT372" s="7" t="b">
        <v>0</v>
      </c>
      <c r="AU3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3" spans="1:47" x14ac:dyDescent="0.35">
      <c r="A373" s="2" t="s">
        <v>2999</v>
      </c>
      <c r="B373">
        <v>1977</v>
      </c>
      <c r="C373">
        <v>2016</v>
      </c>
      <c r="D3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3" s="37" t="str">
        <f>INDEX(CONTROL[ENGLISH],MATCH(PROPERTIES[[#This Row],[VEHIDCODE]],CONTROL[VEHIDCODE],0))</f>
        <v>HCP 203E</v>
      </c>
      <c r="F373" t="s">
        <v>705</v>
      </c>
      <c r="G373" s="37" t="str">
        <f>_xlfn.IFNA(INDEX(COUNTRIES[COUNTRY_LABEL],MATCH(PROPERTIES[[#This Row],[COUNTRY]],COUNTRIES[COUNTRY_DESCRIPTION],0)),"")</f>
        <v>PL</v>
      </c>
      <c r="H3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INDEX(LOADINGSPEEDDEF[SPEED],MATCH("LOADINGSPEEDDEF_"&amp;PROPERTIES[[#This Row],[LOADINGSPEED]],LOADINGSPEEDDEF[TYPE],0))</f>
        <v>20</v>
      </c>
      <c r="O3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4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1" t="b">
        <v>0</v>
      </c>
      <c r="AP373" s="45" t="b">
        <v>0</v>
      </c>
      <c r="AQ373" s="45" t="b">
        <v>0</v>
      </c>
      <c r="AR373" s="45">
        <v>0</v>
      </c>
      <c r="AS373" s="45" t="b">
        <v>0</v>
      </c>
      <c r="AT373" s="7" t="b">
        <v>0</v>
      </c>
      <c r="AU3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374" spans="1:47" x14ac:dyDescent="0.35">
      <c r="A374" s="2" t="s">
        <v>3000</v>
      </c>
      <c r="B374">
        <v>1986</v>
      </c>
      <c r="D3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4" s="37" t="str">
        <f>INDEX(CONTROL[ENGLISH],MATCH(PROPERTIES[[#This Row],[VEHIDCODE]],CONTROL[VEHIDCODE],0))</f>
        <v>Pafawag 104E</v>
      </c>
      <c r="F374" t="s">
        <v>705</v>
      </c>
      <c r="G374" s="37" t="str">
        <f>_xlfn.IFNA(INDEX(COUNTRIES[COUNTRY_LABEL],MATCH(PROPERTIES[[#This Row],[COUNTRY]],COUNTRIES[COUNTRY_DESCRIPTION],0)),"")</f>
        <v>PL</v>
      </c>
      <c r="H3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INDEX(LOADINGSPEEDDEF[SPEED],MATCH("LOADINGSPEEDDEF_"&amp;PROPERTIES[[#This Row],[LOADINGSPEED]],LOADINGSPEEDDEF[TYPE],0))</f>
        <v>20</v>
      </c>
      <c r="O3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4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1" t="b">
        <v>0</v>
      </c>
      <c r="AP374" s="45" t="b">
        <v>0</v>
      </c>
      <c r="AQ374" s="45" t="b">
        <v>0</v>
      </c>
      <c r="AR374" s="45">
        <v>0</v>
      </c>
      <c r="AS374" s="45" t="b">
        <v>0</v>
      </c>
      <c r="AT374" s="7" t="b">
        <v>0</v>
      </c>
      <c r="AU3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5" spans="1:47" x14ac:dyDescent="0.35">
      <c r="A375" s="2" t="s">
        <v>3001</v>
      </c>
      <c r="B375">
        <v>1991</v>
      </c>
      <c r="D3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5" s="37" t="str">
        <f>INDEX(CONTROL[ENGLISH],MATCH(PROPERTIES[[#This Row],[VEHIDCODE]],CONTROL[VEHIDCODE],0))</f>
        <v>Skoda 98E</v>
      </c>
      <c r="F375" t="s">
        <v>727</v>
      </c>
      <c r="G375" s="37" t="str">
        <f>_xlfn.IFNA(INDEX(COUNTRIES[COUNTRY_LABEL],MATCH(PROPERTIES[[#This Row],[COUNTRY]],COUNTRIES[COUNTRY_DESCRIPTION],0)),"")</f>
        <v>SK</v>
      </c>
      <c r="H3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INDEX(LOADINGSPEEDDEF[SPEED],MATCH("LOADINGSPEEDDEF_"&amp;PROPERTIES[[#This Row],[LOADINGSPEED]],LOADINGSPEEDDEF[TYPE],0))</f>
        <v>20</v>
      </c>
      <c r="O3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4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1" t="b">
        <v>0</v>
      </c>
      <c r="AP375" s="45" t="b">
        <v>0</v>
      </c>
      <c r="AQ375" s="45" t="b">
        <v>0</v>
      </c>
      <c r="AR375" s="45">
        <v>0</v>
      </c>
      <c r="AS375" s="45" t="b">
        <v>0</v>
      </c>
      <c r="AT375" s="7" t="b">
        <v>0</v>
      </c>
      <c r="AU3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6" spans="1:47" x14ac:dyDescent="0.35">
      <c r="A376" s="2" t="s">
        <v>3002</v>
      </c>
      <c r="B376">
        <v>1961</v>
      </c>
      <c r="C376">
        <v>2009</v>
      </c>
      <c r="D3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6" s="37" t="str">
        <f>INDEX(CONTROL[ENGLISH],MATCH(PROPERTIES[[#This Row],[VEHIDCODE]],CONTROL[VEHIDCODE],0))</f>
        <v>TIBB E.646</v>
      </c>
      <c r="F376" t="s">
        <v>636</v>
      </c>
      <c r="G376" s="37" t="str">
        <f>_xlfn.IFNA(INDEX(COUNTRIES[COUNTRY_LABEL],MATCH(PROPERTIES[[#This Row],[COUNTRY]],COUNTRIES[COUNTRY_DESCRIPTION],0)),"")</f>
        <v>IT</v>
      </c>
      <c r="H3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INDEX(LOADINGSPEEDDEF[SPEED],MATCH("LOADINGSPEEDDEF_"&amp;PROPERTIES[[#This Row],[LOADINGSPEED]],LOADINGSPEEDDEF[TYPE],0))</f>
        <v>20</v>
      </c>
      <c r="O3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4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1" t="b">
        <v>0</v>
      </c>
      <c r="AP376" s="45" t="b">
        <v>0</v>
      </c>
      <c r="AQ376" s="45" t="b">
        <v>0</v>
      </c>
      <c r="AR376" s="45">
        <v>0</v>
      </c>
      <c r="AS376" s="45" t="b">
        <v>0</v>
      </c>
      <c r="AT376" s="7" t="b">
        <v>0</v>
      </c>
      <c r="AU3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377" spans="1:47" x14ac:dyDescent="0.35">
      <c r="A377" s="2" t="s">
        <v>3003</v>
      </c>
      <c r="B377">
        <v>1943</v>
      </c>
      <c r="C377">
        <v>2008</v>
      </c>
      <c r="D3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7" s="37" t="str">
        <f>INDEX(CONTROL[ENGLISH],MATCH(PROPERTIES[[#This Row],[VEHIDCODE]],CONTROL[VEHIDCODE],0))</f>
        <v>Breda E.424</v>
      </c>
      <c r="F377" t="s">
        <v>636</v>
      </c>
      <c r="G377" s="37" t="str">
        <f>_xlfn.IFNA(INDEX(COUNTRIES[COUNTRY_LABEL],MATCH(PROPERTIES[[#This Row],[COUNTRY]],COUNTRIES[COUNTRY_DESCRIPTION],0)),"")</f>
        <v>IT</v>
      </c>
      <c r="H3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INDEX(LOADINGSPEEDDEF[SPEED],MATCH("LOADINGSPEEDDEF_"&amp;PROPERTIES[[#This Row],[LOADINGSPEED]],LOADINGSPEEDDEF[TYPE],0))</f>
        <v>20</v>
      </c>
      <c r="O3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4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1" t="b">
        <v>0</v>
      </c>
      <c r="AP377" s="45" t="b">
        <v>0</v>
      </c>
      <c r="AQ377" s="45" t="b">
        <v>0</v>
      </c>
      <c r="AR377" s="45">
        <v>0</v>
      </c>
      <c r="AS377" s="45" t="b">
        <v>0</v>
      </c>
      <c r="AT377" s="7" t="b">
        <v>0</v>
      </c>
      <c r="AU3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8" spans="1:47" x14ac:dyDescent="0.35">
      <c r="A378" s="2" t="s">
        <v>3004</v>
      </c>
      <c r="B378">
        <v>1967</v>
      </c>
      <c r="C378">
        <v>1989</v>
      </c>
      <c r="D3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8" s="37" t="str">
        <f>INDEX(CONTROL[ENGLISH],MATCH(PROPERTIES[[#This Row],[VEHIDCODE]],CONTROL[VEHIDCODE],0))</f>
        <v>Savigliano E.444</v>
      </c>
      <c r="F378" t="s">
        <v>636</v>
      </c>
      <c r="G378" s="37" t="str">
        <f>_xlfn.IFNA(INDEX(COUNTRIES[COUNTRY_LABEL],MATCH(PROPERTIES[[#This Row],[COUNTRY]],COUNTRIES[COUNTRY_DESCRIPTION],0)),"")</f>
        <v>IT</v>
      </c>
      <c r="H3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INDEX(LOADINGSPEEDDEF[SPEED],MATCH("LOADINGSPEEDDEF_"&amp;PROPERTIES[[#This Row],[LOADINGSPEED]],LOADINGSPEEDDEF[TYPE],0))</f>
        <v>20</v>
      </c>
      <c r="O3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4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1" t="b">
        <v>0</v>
      </c>
      <c r="AP378" s="45" t="b">
        <v>0</v>
      </c>
      <c r="AQ378" s="45" t="b">
        <v>0</v>
      </c>
      <c r="AR378" s="45">
        <v>0</v>
      </c>
      <c r="AS378" s="45" t="b">
        <v>0</v>
      </c>
      <c r="AT378" s="7" t="b">
        <v>0</v>
      </c>
      <c r="AU3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79" spans="1:47" x14ac:dyDescent="0.35">
      <c r="A379" s="2" t="s">
        <v>3005</v>
      </c>
      <c r="B379">
        <v>1979</v>
      </c>
      <c r="C379">
        <v>2030</v>
      </c>
      <c r="D3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79" s="37" t="str">
        <f>INDEX(CONTROL[ENGLISH],MATCH(PROPERTIES[[#This Row],[VEHIDCODE]],CONTROL[VEHIDCODE],0))</f>
        <v>Fiat E.633</v>
      </c>
      <c r="F379" t="s">
        <v>636</v>
      </c>
      <c r="G379" s="37" t="str">
        <f>_xlfn.IFNA(INDEX(COUNTRIES[COUNTRY_LABEL],MATCH(PROPERTIES[[#This Row],[COUNTRY]],COUNTRIES[COUNTRY_DESCRIPTION],0)),"")</f>
        <v>IT</v>
      </c>
      <c r="H3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INDEX(LOADINGSPEEDDEF[SPEED],MATCH("LOADINGSPEEDDEF_"&amp;PROPERTIES[[#This Row],[LOADINGSPEED]],LOADINGSPEEDDEF[TYPE],0))</f>
        <v>20</v>
      </c>
      <c r="O37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4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7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1" t="b">
        <v>0</v>
      </c>
      <c r="AP379" s="45" t="b">
        <v>0</v>
      </c>
      <c r="AQ379" s="45" t="b">
        <v>0</v>
      </c>
      <c r="AR379" s="45">
        <v>0</v>
      </c>
      <c r="AS379" s="45" t="b">
        <v>0</v>
      </c>
      <c r="AT379" s="7" t="b">
        <v>0</v>
      </c>
      <c r="AU3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0" spans="1:47" x14ac:dyDescent="0.35">
      <c r="A380" s="2" t="s">
        <v>3006</v>
      </c>
      <c r="B380">
        <v>1960</v>
      </c>
      <c r="C380">
        <v>2009</v>
      </c>
      <c r="D3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0" s="37" t="str">
        <f>INDEX(CONTROL[ENGLISH],MATCH(PROPERTIES[[#This Row],[VEHIDCODE]],CONTROL[VEHIDCODE],0))</f>
        <v>BN/ACEC 25.5</v>
      </c>
      <c r="F380" t="s">
        <v>548</v>
      </c>
      <c r="G380" s="37" t="str">
        <f>_xlfn.IFNA(INDEX(COUNTRIES[COUNTRY_LABEL],MATCH(PROPERTIES[[#This Row],[COUNTRY]],COUNTRIES[COUNTRY_DESCRIPTION],0)),"")</f>
        <v>BE</v>
      </c>
      <c r="H3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INDEX(LOADINGSPEEDDEF[SPEED],MATCH("LOADINGSPEEDDEF_"&amp;PROPERTIES[[#This Row],[LOADINGSPEED]],LOADINGSPEEDDEF[TYPE],0))</f>
        <v>20</v>
      </c>
      <c r="O3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4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1" t="b">
        <v>0</v>
      </c>
      <c r="AP380" s="45" t="b">
        <v>0</v>
      </c>
      <c r="AQ380" s="45" t="b">
        <v>0</v>
      </c>
      <c r="AR380" s="45">
        <v>0</v>
      </c>
      <c r="AS380" s="45" t="b">
        <v>0</v>
      </c>
      <c r="AT380" s="7" t="b">
        <v>0</v>
      </c>
      <c r="AU3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1" spans="1:47" x14ac:dyDescent="0.35">
      <c r="A381" s="2" t="s">
        <v>3007</v>
      </c>
      <c r="B381">
        <v>1982</v>
      </c>
      <c r="C381">
        <v>2010</v>
      </c>
      <c r="D3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1" s="37" t="str">
        <f>INDEX(CONTROL[ENGLISH],MATCH(PROPERTIES[[#This Row],[VEHIDCODE]],CONTROL[VEHIDCODE],0))</f>
        <v>Krauss Maffei/CAF 250</v>
      </c>
      <c r="F381" t="s">
        <v>595</v>
      </c>
      <c r="G381" s="37" t="str">
        <f>_xlfn.IFNA(INDEX(COUNTRIES[COUNTRY_LABEL],MATCH(PROPERTIES[[#This Row],[COUNTRY]],COUNTRIES[COUNTRY_DESCRIPTION],0)),"")</f>
        <v>ES</v>
      </c>
      <c r="H3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INDEX(LOADINGSPEEDDEF[SPEED],MATCH("LOADINGSPEEDDEF_"&amp;PROPERTIES[[#This Row],[LOADINGSPEED]],LOADINGSPEEDDEF[TYPE],0))</f>
        <v>20</v>
      </c>
      <c r="O3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4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1" t="b">
        <v>0</v>
      </c>
      <c r="AP381" s="45" t="b">
        <v>0</v>
      </c>
      <c r="AQ381" s="45" t="b">
        <v>0</v>
      </c>
      <c r="AR381" s="45">
        <v>0</v>
      </c>
      <c r="AS381" s="45" t="b">
        <v>0</v>
      </c>
      <c r="AT381" s="7" t="b">
        <v>0</v>
      </c>
      <c r="AU3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2" spans="1:47" x14ac:dyDescent="0.35">
      <c r="A382" s="2" t="s">
        <v>3008</v>
      </c>
      <c r="B382">
        <v>1940</v>
      </c>
      <c r="C382">
        <v>1992</v>
      </c>
      <c r="D3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2" s="37" t="str">
        <f>INDEX(CONTROL[ENGLISH],MATCH(PROPERTIES[[#This Row],[VEHIDCODE]],CONTROL[VEHIDCODE],0))</f>
        <v>EF-E 29 GE 2-C+C-2</v>
      </c>
      <c r="F382" t="s">
        <v>573</v>
      </c>
      <c r="G382" s="37" t="str">
        <f>_xlfn.IFNA(INDEX(COUNTRIES[COUNTRY_LABEL],MATCH(PROPERTIES[[#This Row],[COUNTRY]],COUNTRIES[COUNTRY_DESCRIPTION],0)),"")</f>
        <v>CL</v>
      </c>
      <c r="H3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INDEX(LOADINGSPEEDDEF[SPEED],MATCH("LOADINGSPEEDDEF_"&amp;PROPERTIES[[#This Row],[LOADINGSPEED]],LOADINGSPEEDDEF[TYPE],0))</f>
        <v>20</v>
      </c>
      <c r="O3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4">
        <v>0</v>
      </c>
      <c r="AF382" s="6">
        <v>1</v>
      </c>
      <c r="AG382" t="s">
        <v>240</v>
      </c>
      <c r="AH382" t="s">
        <v>1940</v>
      </c>
      <c r="AI382" t="s">
        <v>229</v>
      </c>
      <c r="AJ382" s="2" t="s">
        <v>229</v>
      </c>
      <c r="AK382" s="2" t="s">
        <v>244</v>
      </c>
      <c r="AL38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1" t="b">
        <v>0</v>
      </c>
      <c r="AP382" s="45" t="b">
        <v>0</v>
      </c>
      <c r="AQ382" s="45" t="b">
        <v>1</v>
      </c>
      <c r="AR382" s="45">
        <v>0</v>
      </c>
      <c r="AS382" s="45" t="b">
        <v>0</v>
      </c>
      <c r="AT382" s="7" t="b">
        <v>1</v>
      </c>
      <c r="AU3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83" spans="1:47" x14ac:dyDescent="0.35">
      <c r="A383" s="2" t="s">
        <v>3009</v>
      </c>
      <c r="B383">
        <v>1974</v>
      </c>
      <c r="D3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3" s="37" t="str">
        <f>INDEX(CONTROL[ENGLISH],MATCH(PROPERTIES[[#This Row],[VEHIDCODE]],CONTROL[VEHIDCODE],0))</f>
        <v>GAI/Breda E-17</v>
      </c>
      <c r="F383" t="s">
        <v>573</v>
      </c>
      <c r="G383" s="37" t="str">
        <f>_xlfn.IFNA(INDEX(COUNTRIES[COUNTRY_LABEL],MATCH(PROPERTIES[[#This Row],[COUNTRY]],COUNTRIES[COUNTRY_DESCRIPTION],0)),"")</f>
        <v>CL</v>
      </c>
      <c r="H3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INDEX(LOADINGSPEEDDEF[SPEED],MATCH("LOADINGSPEEDDEF_"&amp;PROPERTIES[[#This Row],[LOADINGSPEED]],LOADINGSPEEDDEF[TYPE],0))</f>
        <v>20</v>
      </c>
      <c r="O3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4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1" t="b">
        <v>0</v>
      </c>
      <c r="AP383" s="45" t="b">
        <v>0</v>
      </c>
      <c r="AQ383" s="45" t="b">
        <v>0</v>
      </c>
      <c r="AR383" s="45">
        <v>0</v>
      </c>
      <c r="AS383" s="45" t="b">
        <v>0</v>
      </c>
      <c r="AT383" s="7" t="b">
        <v>0</v>
      </c>
      <c r="AU3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4" spans="1:47" x14ac:dyDescent="0.35">
      <c r="A384" s="2" t="s">
        <v>3010</v>
      </c>
      <c r="B384">
        <v>1948</v>
      </c>
      <c r="C384">
        <v>1998</v>
      </c>
      <c r="D3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4" s="37" t="str">
        <f>INDEX(CONTROL[ENGLISH],MATCH(PROPERTIES[[#This Row],[VEHIDCODE]],CONTROL[VEHIDCODE],0))</f>
        <v>Alsthom BB 8100</v>
      </c>
      <c r="F384" t="s">
        <v>602</v>
      </c>
      <c r="G384" s="37" t="str">
        <f>_xlfn.IFNA(INDEX(COUNTRIES[COUNTRY_LABEL],MATCH(PROPERTIES[[#This Row],[COUNTRY]],COUNTRIES[COUNTRY_DESCRIPTION],0)),"")</f>
        <v>FR</v>
      </c>
      <c r="H3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INDEX(LOADINGSPEEDDEF[SPEED],MATCH("LOADINGSPEEDDEF_"&amp;PROPERTIES[[#This Row],[LOADINGSPEED]],LOADINGSPEEDDEF[TYPE],0))</f>
        <v>20</v>
      </c>
      <c r="O3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4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1" t="b">
        <v>0</v>
      </c>
      <c r="AP384" s="45" t="b">
        <v>0</v>
      </c>
      <c r="AQ384" s="45" t="b">
        <v>0</v>
      </c>
      <c r="AR384" s="45">
        <v>0</v>
      </c>
      <c r="AS384" s="45" t="b">
        <v>0</v>
      </c>
      <c r="AT384" s="7" t="b">
        <v>0</v>
      </c>
      <c r="AU3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5" spans="1:47" x14ac:dyDescent="0.35">
      <c r="A385" s="2" t="s">
        <v>3011</v>
      </c>
      <c r="B385">
        <v>1958</v>
      </c>
      <c r="C385">
        <v>1968</v>
      </c>
      <c r="D3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5" s="37" t="str">
        <f>INDEX(CONTROL[ENGLISH],MATCH(PROPERTIES[[#This Row],[VEHIDCODE]],CONTROL[VEHIDCODE],0))</f>
        <v>Vulcan Foundry-EE EM/1</v>
      </c>
      <c r="F385" t="s">
        <v>631</v>
      </c>
      <c r="G385" s="37" t="str">
        <f>_xlfn.IFNA(INDEX(COUNTRIES[COUNTRY_LABEL],MATCH(PROPERTIES[[#This Row],[COUNTRY]],COUNTRIES[COUNTRY_DESCRIPTION],0)),"")</f>
        <v>IN</v>
      </c>
      <c r="H3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INDEX(LOADINGSPEEDDEF[SPEED],MATCH("LOADINGSPEEDDEF_"&amp;PROPERTIES[[#This Row],[LOADINGSPEED]],LOADINGSPEEDDEF[TYPE],0))</f>
        <v>20</v>
      </c>
      <c r="O3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4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1" t="b">
        <v>0</v>
      </c>
      <c r="AP385" s="45" t="b">
        <v>0</v>
      </c>
      <c r="AQ385" s="45" t="b">
        <v>0</v>
      </c>
      <c r="AR385" s="45">
        <v>0</v>
      </c>
      <c r="AS385" s="45" t="b">
        <v>0</v>
      </c>
      <c r="AT385" s="7" t="b">
        <v>0</v>
      </c>
      <c r="AU3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6" spans="1:47" x14ac:dyDescent="0.35">
      <c r="A386" s="2" t="s">
        <v>3012</v>
      </c>
      <c r="B386">
        <v>1992</v>
      </c>
      <c r="D3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6" s="37" t="str">
        <f>INDEX(CONTROL[ENGLISH],MATCH(PROPERTIES[[#This Row],[VEHIDCODE]],CONTROL[VEHIDCODE],0))</f>
        <v>Union Carriage &amp; Wagon E38</v>
      </c>
      <c r="F386" t="s">
        <v>771</v>
      </c>
      <c r="G386" s="37" t="str">
        <f>_xlfn.IFNA(INDEX(COUNTRIES[COUNTRY_LABEL],MATCH(PROPERTIES[[#This Row],[COUNTRY]],COUNTRIES[COUNTRY_DESCRIPTION],0)),"")</f>
        <v>ZA</v>
      </c>
      <c r="H3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INDEX(LOADINGSPEEDDEF[SPEED],MATCH("LOADINGSPEEDDEF_"&amp;PROPERTIES[[#This Row],[LOADINGSPEED]],LOADINGSPEEDDEF[TYPE],0))</f>
        <v>20</v>
      </c>
      <c r="O3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4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1" t="b">
        <v>0</v>
      </c>
      <c r="AP386" s="45" t="b">
        <v>0</v>
      </c>
      <c r="AQ386" s="45" t="b">
        <v>0</v>
      </c>
      <c r="AR386" s="45">
        <v>0</v>
      </c>
      <c r="AS386" s="45" t="b">
        <v>0</v>
      </c>
      <c r="AT386" s="7" t="b">
        <v>0</v>
      </c>
      <c r="AU3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7" spans="1:47" x14ac:dyDescent="0.35">
      <c r="A387" s="2" t="s">
        <v>3013</v>
      </c>
      <c r="B387">
        <v>1980</v>
      </c>
      <c r="D3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7" s="37" t="str">
        <f>INDEX(CONTROL[ENGLISH],MATCH(PROPERTIES[[#This Row],[VEHIDCODE]],CONTROL[VEHIDCODE],0))</f>
        <v>Mitsubishi series 269</v>
      </c>
      <c r="F387" t="s">
        <v>573</v>
      </c>
      <c r="G387" s="37" t="str">
        <f>_xlfn.IFNA(INDEX(COUNTRIES[COUNTRY_LABEL],MATCH(PROPERTIES[[#This Row],[COUNTRY]],COUNTRIES[COUNTRY_DESCRIPTION],0)),"")</f>
        <v>CL</v>
      </c>
      <c r="H3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INDEX(LOADINGSPEEDDEF[SPEED],MATCH("LOADINGSPEEDDEF_"&amp;PROPERTIES[[#This Row],[LOADINGSPEED]],LOADINGSPEEDDEF[TYPE],0))</f>
        <v>20</v>
      </c>
      <c r="O3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4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1" t="b">
        <v>0</v>
      </c>
      <c r="AP387" s="45" t="b">
        <v>0</v>
      </c>
      <c r="AQ387" s="45" t="b">
        <v>0</v>
      </c>
      <c r="AR387" s="45">
        <v>0</v>
      </c>
      <c r="AS387" s="45" t="b">
        <v>0</v>
      </c>
      <c r="AT387" s="7" t="b">
        <v>0</v>
      </c>
      <c r="AU3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8" spans="1:47" x14ac:dyDescent="0.35">
      <c r="A388" s="2" t="s">
        <v>3014</v>
      </c>
      <c r="B388">
        <v>1980</v>
      </c>
      <c r="C388">
        <v>2002</v>
      </c>
      <c r="D3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8" s="37" t="str">
        <f>INDEX(CONTROL[ENGLISH],MATCH(PROPERTIES[[#This Row],[VEHIDCODE]],CONTROL[VEHIDCODE],0))</f>
        <v>Skoda 69E</v>
      </c>
      <c r="F388" t="s">
        <v>583</v>
      </c>
      <c r="G388" s="37" t="str">
        <f>_xlfn.IFNA(INDEX(COUNTRIES[COUNTRY_LABEL],MATCH(PROPERTIES[[#This Row],[COUNTRY]],COUNTRIES[COUNTRY_DESCRIPTION],0)),"")</f>
        <v>CZ</v>
      </c>
      <c r="H3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INDEX(LOADINGSPEEDDEF[SPEED],MATCH("LOADINGSPEEDDEF_"&amp;PROPERTIES[[#This Row],[LOADINGSPEED]],LOADINGSPEEDDEF[TYPE],0))</f>
        <v>20</v>
      </c>
      <c r="O3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4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1" t="b">
        <v>0</v>
      </c>
      <c r="AP388" s="45" t="b">
        <v>0</v>
      </c>
      <c r="AQ388" s="45" t="b">
        <v>0</v>
      </c>
      <c r="AR388" s="45">
        <v>0</v>
      </c>
      <c r="AS388" s="45" t="b">
        <v>0</v>
      </c>
      <c r="AT388" s="7" t="b">
        <v>0</v>
      </c>
      <c r="AU3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89" spans="1:47" x14ac:dyDescent="0.35">
      <c r="A389" s="2" t="s">
        <v>3015</v>
      </c>
      <c r="B389">
        <v>1911</v>
      </c>
      <c r="C389">
        <v>1956</v>
      </c>
      <c r="D3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89" s="37" t="str">
        <f>INDEX(CONTROL[ENGLISH],MATCH(PROPERTIES[[#This Row],[VEHIDCODE]],CONTROL[VEHIDCODE],0))</f>
        <v>AEG/Skabo EL7</v>
      </c>
      <c r="F389" t="s">
        <v>693</v>
      </c>
      <c r="G389" s="37" t="str">
        <f>_xlfn.IFNA(INDEX(COUNTRIES[COUNTRY_LABEL],MATCH(PROPERTIES[[#This Row],[COUNTRY]],COUNTRIES[COUNTRY_DESCRIPTION],0)),"")</f>
        <v>NO</v>
      </c>
      <c r="H3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INDEX(LOADINGSPEEDDEF[SPEED],MATCH("LOADINGSPEEDDEF_"&amp;PROPERTIES[[#This Row],[LOADINGSPEED]],LOADINGSPEEDDEF[TYPE],0))</f>
        <v>20</v>
      </c>
      <c r="O3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4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8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1" t="b">
        <v>0</v>
      </c>
      <c r="AP389" s="45" t="b">
        <v>0</v>
      </c>
      <c r="AQ389" s="45" t="b">
        <v>0</v>
      </c>
      <c r="AR389" s="45">
        <v>0</v>
      </c>
      <c r="AS389" s="45" t="b">
        <v>0</v>
      </c>
      <c r="AT389" s="7" t="b">
        <v>0</v>
      </c>
      <c r="AU3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0" spans="1:47" x14ac:dyDescent="0.35">
      <c r="A390" s="2" t="s">
        <v>3016</v>
      </c>
      <c r="B390">
        <v>1916</v>
      </c>
      <c r="C390">
        <v>1940</v>
      </c>
      <c r="D3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0" s="37" t="str">
        <f>INDEX(CONTROL[ENGLISH],MATCH(PROPERTIES[[#This Row],[VEHIDCODE]],CONTROL[VEHIDCODE],0))</f>
        <v xml:space="preserve">Westinghouse FF-1 'Big Liz' </v>
      </c>
      <c r="F390" t="s">
        <v>757</v>
      </c>
      <c r="G390" s="37" t="str">
        <f>_xlfn.IFNA(INDEX(COUNTRIES[COUNTRY_LABEL],MATCH(PROPERTIES[[#This Row],[COUNTRY]],COUNTRIES[COUNTRY_DESCRIPTION],0)),"")</f>
        <v>US</v>
      </c>
      <c r="H3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INDEX(LOADINGSPEEDDEF[SPEED],MATCH("LOADINGSPEEDDEF_"&amp;PROPERTIES[[#This Row],[LOADINGSPEED]],LOADINGSPEEDDEF[TYPE],0))</f>
        <v>20</v>
      </c>
      <c r="O3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4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1" t="b">
        <v>0</v>
      </c>
      <c r="AP390" s="45" t="b">
        <v>0</v>
      </c>
      <c r="AQ390" s="45" t="b">
        <v>0</v>
      </c>
      <c r="AR390" s="45">
        <v>0</v>
      </c>
      <c r="AS390" s="45" t="b">
        <v>0</v>
      </c>
      <c r="AT390" s="7" t="b">
        <v>0</v>
      </c>
      <c r="AU3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TPL_32C</v>
      </c>
    </row>
    <row r="391" spans="1:47" x14ac:dyDescent="0.35">
      <c r="A391" s="2" t="s">
        <v>3017</v>
      </c>
      <c r="B391">
        <v>1928</v>
      </c>
      <c r="C391">
        <v>1988</v>
      </c>
      <c r="D3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1" s="37" t="str">
        <f>INDEX(CONTROL[ENGLISH],MATCH(PROPERTIES[[#This Row],[VEHIDCODE]],CONTROL[VEHIDCODE],0))</f>
        <v>ELIN/Floridsdorf 1161</v>
      </c>
      <c r="F391" t="s">
        <v>540</v>
      </c>
      <c r="G391" s="37" t="str">
        <f>_xlfn.IFNA(INDEX(COUNTRIES[COUNTRY_LABEL],MATCH(PROPERTIES[[#This Row],[COUNTRY]],COUNTRIES[COUNTRY_DESCRIPTION],0)),"")</f>
        <v>AT</v>
      </c>
      <c r="H3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INDEX(LOADINGSPEEDDEF[SPEED],MATCH("LOADINGSPEEDDEF_"&amp;PROPERTIES[[#This Row],[LOADINGSPEED]],LOADINGSPEEDDEF[TYPE],0))</f>
        <v>20</v>
      </c>
      <c r="O3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4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1" t="b">
        <v>0</v>
      </c>
      <c r="AP391" s="45" t="b">
        <v>0</v>
      </c>
      <c r="AQ391" s="45" t="b">
        <v>0</v>
      </c>
      <c r="AR391" s="45">
        <v>0</v>
      </c>
      <c r="AS391" s="45" t="b">
        <v>0</v>
      </c>
      <c r="AT391" s="7" t="b">
        <v>0</v>
      </c>
      <c r="AU3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392" spans="1:47" x14ac:dyDescent="0.35">
      <c r="A392" s="2" t="s">
        <v>3018</v>
      </c>
      <c r="B392">
        <v>1930</v>
      </c>
      <c r="C392">
        <v>1981</v>
      </c>
      <c r="D3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2" s="37" t="str">
        <f>INDEX(CONTROL[ENGLISH],MATCH(PROPERTIES[[#This Row],[VEHIDCODE]],CONTROL[VEHIDCODE],0))</f>
        <v>Maffei/SSW Lok 5 'Adolphine'</v>
      </c>
      <c r="F392" t="s">
        <v>584</v>
      </c>
      <c r="G392" s="37" t="str">
        <f>_xlfn.IFNA(INDEX(COUNTRIES[COUNTRY_LABEL],MATCH(PROPERTIES[[#This Row],[COUNTRY]],COUNTRIES[COUNTRY_DESCRIPTION],0)),"")</f>
        <v>DE</v>
      </c>
      <c r="H3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INDEX(LOADINGSPEEDDEF[SPEED],MATCH("LOADINGSPEEDDEF_"&amp;PROPERTIES[[#This Row],[LOADINGSPEED]],LOADINGSPEEDDEF[TYPE],0))</f>
        <v>20</v>
      </c>
      <c r="O3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4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1" t="b">
        <v>0</v>
      </c>
      <c r="AP392" s="45" t="b">
        <v>0</v>
      </c>
      <c r="AQ392" s="45" t="b">
        <v>0</v>
      </c>
      <c r="AR392" s="45">
        <v>0</v>
      </c>
      <c r="AS392" s="45" t="b">
        <v>0</v>
      </c>
      <c r="AT392" s="7" t="b">
        <v>0</v>
      </c>
      <c r="AU3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3" spans="1:47" x14ac:dyDescent="0.35">
      <c r="A393" s="2" t="s">
        <v>3019</v>
      </c>
      <c r="B393">
        <v>1931</v>
      </c>
      <c r="C393">
        <v>1990</v>
      </c>
      <c r="D3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3" s="37" t="str">
        <f>INDEX(CONTROL[ENGLISH],MATCH(PROPERTIES[[#This Row],[VEHIDCODE]],CONTROL[VEHIDCODE],0))</f>
        <v>Thune/ASEA EL10</v>
      </c>
      <c r="F393" t="s">
        <v>693</v>
      </c>
      <c r="G393" s="37" t="str">
        <f>_xlfn.IFNA(INDEX(COUNTRIES[COUNTRY_LABEL],MATCH(PROPERTIES[[#This Row],[COUNTRY]],COUNTRIES[COUNTRY_DESCRIPTION],0)),"")</f>
        <v>NO</v>
      </c>
      <c r="H3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INDEX(LOADINGSPEEDDEF[SPEED],MATCH("LOADINGSPEEDDEF_"&amp;PROPERTIES[[#This Row],[LOADINGSPEED]],LOADINGSPEEDDEF[TYPE],0))</f>
        <v>20</v>
      </c>
      <c r="O3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4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1" t="b">
        <v>0</v>
      </c>
      <c r="AP393" s="45" t="b">
        <v>0</v>
      </c>
      <c r="AQ393" s="45" t="b">
        <v>0</v>
      </c>
      <c r="AR393" s="45">
        <v>0</v>
      </c>
      <c r="AS393" s="45" t="b">
        <v>0</v>
      </c>
      <c r="AT393" s="7" t="b">
        <v>0</v>
      </c>
      <c r="AU3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4" spans="1:47" x14ac:dyDescent="0.35">
      <c r="A394" s="2" t="s">
        <v>3020</v>
      </c>
      <c r="B394">
        <v>1933</v>
      </c>
      <c r="C394">
        <v>1982</v>
      </c>
      <c r="D3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4" s="37" t="str">
        <f>INDEX(CONTROL[ENGLISH],MATCH(PROPERTIES[[#This Row],[VEHIDCODE]],CONTROL[VEHIDCODE],0))</f>
        <v>AEG E 04</v>
      </c>
      <c r="F394" t="s">
        <v>584</v>
      </c>
      <c r="G394" s="37" t="str">
        <f>_xlfn.IFNA(INDEX(COUNTRIES[COUNTRY_LABEL],MATCH(PROPERTIES[[#This Row],[COUNTRY]],COUNTRIES[COUNTRY_DESCRIPTION],0)),"")</f>
        <v>DE</v>
      </c>
      <c r="H3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INDEX(LOADINGSPEEDDEF[SPEED],MATCH("LOADINGSPEEDDEF_"&amp;PROPERTIES[[#This Row],[LOADINGSPEED]],LOADINGSPEEDDEF[TYPE],0))</f>
        <v>20</v>
      </c>
      <c r="O3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4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1" t="b">
        <v>0</v>
      </c>
      <c r="AP394" s="45" t="b">
        <v>0</v>
      </c>
      <c r="AQ394" s="45" t="b">
        <v>0</v>
      </c>
      <c r="AR394" s="45">
        <v>0</v>
      </c>
      <c r="AS394" s="45" t="b">
        <v>0</v>
      </c>
      <c r="AT394" s="7" t="b">
        <v>0</v>
      </c>
      <c r="AU3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5" spans="1:47" x14ac:dyDescent="0.35">
      <c r="A395" s="2" t="s">
        <v>3021</v>
      </c>
      <c r="B395">
        <v>1935</v>
      </c>
      <c r="C395">
        <v>1983</v>
      </c>
      <c r="D3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5" s="37" t="str">
        <f>INDEX(CONTROL[ENGLISH],MATCH(PROPERTIES[[#This Row],[VEHIDCODE]],CONTROL[VEHIDCODE],0))</f>
        <v>GE 4-6-0+0-6-4OE GG-1</v>
      </c>
      <c r="F395" t="s">
        <v>757</v>
      </c>
      <c r="G395" s="37" t="str">
        <f>_xlfn.IFNA(INDEX(COUNTRIES[COUNTRY_LABEL],MATCH(PROPERTIES[[#This Row],[COUNTRY]],COUNTRIES[COUNTRY_DESCRIPTION],0)),"")</f>
        <v>US</v>
      </c>
      <c r="H3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INDEX(LOADINGSPEEDDEF[SPEED],MATCH("LOADINGSPEEDDEF_"&amp;PROPERTIES[[#This Row],[LOADINGSPEED]],LOADINGSPEEDDEF[TYPE],0))</f>
        <v>20</v>
      </c>
      <c r="O3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4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1" t="b">
        <v>0</v>
      </c>
      <c r="AP395" s="45" t="b">
        <v>0</v>
      </c>
      <c r="AQ395" s="45" t="b">
        <v>0</v>
      </c>
      <c r="AR395" s="45">
        <v>0</v>
      </c>
      <c r="AS395" s="45" t="b">
        <v>0</v>
      </c>
      <c r="AT395" s="7" t="b">
        <v>0</v>
      </c>
      <c r="AU3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396" spans="1:47" x14ac:dyDescent="0.35">
      <c r="A396" s="2" t="s">
        <v>3022</v>
      </c>
      <c r="B396">
        <v>1940</v>
      </c>
      <c r="C396">
        <v>1942</v>
      </c>
      <c r="D3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6" s="37" t="str">
        <f>INDEX(CONTROL[ENGLISH],MATCH(PROPERTIES[[#This Row],[VEHIDCODE]],CONTROL[VEHIDCODE],0))</f>
        <v>SLM 1100 'Crocodile'</v>
      </c>
      <c r="F396" t="s">
        <v>584</v>
      </c>
      <c r="G396" s="37" t="str">
        <f>_xlfn.IFNA(INDEX(COUNTRIES[COUNTRY_LABEL],MATCH(PROPERTIES[[#This Row],[COUNTRY]],COUNTRIES[COUNTRY_DESCRIPTION],0)),"")</f>
        <v>DE</v>
      </c>
      <c r="H3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INDEX(LOADINGSPEEDDEF[SPEED],MATCH("LOADINGSPEEDDEF_"&amp;PROPERTIES[[#This Row],[LOADINGSPEED]],LOADINGSPEEDDEF[TYPE],0))</f>
        <v>20</v>
      </c>
      <c r="O3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4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1" t="b">
        <v>0</v>
      </c>
      <c r="AP396" s="45" t="b">
        <v>0</v>
      </c>
      <c r="AQ396" s="45" t="b">
        <v>0</v>
      </c>
      <c r="AR396" s="45">
        <v>0</v>
      </c>
      <c r="AS396" s="45" t="b">
        <v>0</v>
      </c>
      <c r="AT396" s="7" t="b">
        <v>0</v>
      </c>
      <c r="AU3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7" spans="1:47" x14ac:dyDescent="0.35">
      <c r="A397" s="2" t="s">
        <v>3023</v>
      </c>
      <c r="B397">
        <v>1970</v>
      </c>
      <c r="C397">
        <v>2017</v>
      </c>
      <c r="D3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7" s="37" t="str">
        <f>INDEX(CONTROL[ENGLISH],MATCH(PROPERTIES[[#This Row],[VEHIDCODE]],CONTROL[VEHIDCODE],0))</f>
        <v>AEG/BBC/Henschel/Siemens E03</v>
      </c>
      <c r="F397" t="s">
        <v>584</v>
      </c>
      <c r="G397" s="37" t="str">
        <f>_xlfn.IFNA(INDEX(COUNTRIES[COUNTRY_LABEL],MATCH(PROPERTIES[[#This Row],[COUNTRY]],COUNTRIES[COUNTRY_DESCRIPTION],0)),"")</f>
        <v>DE</v>
      </c>
      <c r="H3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INDEX(LOADINGSPEEDDEF[SPEED],MATCH("LOADINGSPEEDDEF_"&amp;PROPERTIES[[#This Row],[LOADINGSPEED]],LOADINGSPEEDDEF[TYPE],0))</f>
        <v>20</v>
      </c>
      <c r="O3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4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1" t="b">
        <v>0</v>
      </c>
      <c r="AP397" s="45" t="b">
        <v>0</v>
      </c>
      <c r="AQ397" s="45" t="b">
        <v>0</v>
      </c>
      <c r="AR397" s="45">
        <v>0</v>
      </c>
      <c r="AS397" s="45" t="b">
        <v>0</v>
      </c>
      <c r="AT397" s="7" t="b">
        <v>0</v>
      </c>
      <c r="AU3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8" spans="1:47" x14ac:dyDescent="0.35">
      <c r="A398" s="2" t="s">
        <v>3024</v>
      </c>
      <c r="B398">
        <v>1925</v>
      </c>
      <c r="C398">
        <v>1975</v>
      </c>
      <c r="D3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8" s="37" t="str">
        <f>INDEX(CONTROL[ENGLISH],MATCH(PROPERTIES[[#This Row],[VEHIDCODE]],CONTROL[VEHIDCODE],0))</f>
        <v>Krauss/WASSEG E 91.9</v>
      </c>
      <c r="F398" t="s">
        <v>584</v>
      </c>
      <c r="G398" s="37" t="str">
        <f>_xlfn.IFNA(INDEX(COUNTRIES[COUNTRY_LABEL],MATCH(PROPERTIES[[#This Row],[COUNTRY]],COUNTRIES[COUNTRY_DESCRIPTION],0)),"")</f>
        <v>DE</v>
      </c>
      <c r="H3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INDEX(LOADINGSPEEDDEF[SPEED],MATCH("LOADINGSPEEDDEF_"&amp;PROPERTIES[[#This Row],[LOADINGSPEED]],LOADINGSPEEDDEF[TYPE],0))</f>
        <v>20</v>
      </c>
      <c r="O3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4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1" t="b">
        <v>0</v>
      </c>
      <c r="AP398" s="45" t="b">
        <v>0</v>
      </c>
      <c r="AQ398" s="45" t="b">
        <v>0</v>
      </c>
      <c r="AR398" s="45">
        <v>0</v>
      </c>
      <c r="AS398" s="45" t="b">
        <v>0</v>
      </c>
      <c r="AT398" s="7" t="b">
        <v>0</v>
      </c>
      <c r="AU3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399" spans="1:47" x14ac:dyDescent="0.35">
      <c r="A399" s="2" t="s">
        <v>3025</v>
      </c>
      <c r="B399">
        <v>1954</v>
      </c>
      <c r="C399">
        <v>1973</v>
      </c>
      <c r="D3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399" s="37" t="str">
        <f>INDEX(CONTROL[ENGLISH],MATCH(PROPERTIES[[#This Row],[VEHIDCODE]],CONTROL[VEHIDCODE],0))</f>
        <v>SLM Ce 4/4</v>
      </c>
      <c r="F399" t="s">
        <v>570</v>
      </c>
      <c r="G399" s="37" t="str">
        <f>_xlfn.IFNA(INDEX(COUNTRIES[COUNTRY_LABEL],MATCH(PROPERTIES[[#This Row],[COUNTRY]],COUNTRIES[COUNTRY_DESCRIPTION],0)),"")</f>
        <v>CH</v>
      </c>
      <c r="H3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INDEX(LOADINGSPEEDDEF[SPEED],MATCH("LOADINGSPEEDDEF_"&amp;PROPERTIES[[#This Row],[LOADINGSPEED]],LOADINGSPEEDDEF[TYPE],0))</f>
        <v>20</v>
      </c>
      <c r="O3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4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39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1" t="b">
        <v>0</v>
      </c>
      <c r="AP399" s="45" t="b">
        <v>0</v>
      </c>
      <c r="AQ399" s="45" t="b">
        <v>0</v>
      </c>
      <c r="AR399" s="45">
        <v>0</v>
      </c>
      <c r="AS399" s="45" t="b">
        <v>0</v>
      </c>
      <c r="AT399" s="7" t="b">
        <v>0</v>
      </c>
      <c r="AU3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0" spans="1:47" x14ac:dyDescent="0.35">
      <c r="A400" s="2" t="s">
        <v>3026</v>
      </c>
      <c r="B400">
        <v>1955</v>
      </c>
      <c r="C400">
        <v>2013</v>
      </c>
      <c r="D4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0" s="37" t="str">
        <f>INDEX(CONTROL[ENGLISH],MATCH(PROPERTIES[[#This Row],[VEHIDCODE]],CONTROL[VEHIDCODE],0))</f>
        <v>SLM Ae 6/6</v>
      </c>
      <c r="F400" t="s">
        <v>570</v>
      </c>
      <c r="G400" s="37" t="str">
        <f>_xlfn.IFNA(INDEX(COUNTRIES[COUNTRY_LABEL],MATCH(PROPERTIES[[#This Row],[COUNTRY]],COUNTRIES[COUNTRY_DESCRIPTION],0)),"")</f>
        <v>CH</v>
      </c>
      <c r="H4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INDEX(LOADINGSPEEDDEF[SPEED],MATCH("LOADINGSPEEDDEF_"&amp;PROPERTIES[[#This Row],[LOADINGSPEED]],LOADINGSPEEDDEF[TYPE],0))</f>
        <v>20</v>
      </c>
      <c r="O4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4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1" t="b">
        <v>0</v>
      </c>
      <c r="AP400" s="45" t="b">
        <v>0</v>
      </c>
      <c r="AQ400" s="45" t="b">
        <v>0</v>
      </c>
      <c r="AR400" s="45">
        <v>0</v>
      </c>
      <c r="AS400" s="45" t="b">
        <v>0</v>
      </c>
      <c r="AT400" s="7" t="b">
        <v>0</v>
      </c>
      <c r="AU4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1" spans="1:47" x14ac:dyDescent="0.35">
      <c r="A401" s="2" t="s">
        <v>3027</v>
      </c>
      <c r="B401">
        <v>1991</v>
      </c>
      <c r="C401">
        <v>2017</v>
      </c>
      <c r="D4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1" s="37" t="str">
        <f>INDEX(CONTROL[ENGLISH],MATCH(PROPERTIES[[#This Row],[VEHIDCODE]],CONTROL[VEHIDCODE],0))</f>
        <v>SLM-ABB Lok 2000</v>
      </c>
      <c r="F401" t="s">
        <v>570</v>
      </c>
      <c r="G401" s="37" t="str">
        <f>_xlfn.IFNA(INDEX(COUNTRIES[COUNTRY_LABEL],MATCH(PROPERTIES[[#This Row],[COUNTRY]],COUNTRIES[COUNTRY_DESCRIPTION],0)),"")</f>
        <v>CH</v>
      </c>
      <c r="H4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INDEX(LOADINGSPEEDDEF[SPEED],MATCH("LOADINGSPEEDDEF_"&amp;PROPERTIES[[#This Row],[LOADINGSPEED]],LOADINGSPEEDDEF[TYPE],0))</f>
        <v>20</v>
      </c>
      <c r="O40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4">
        <v>0</v>
      </c>
      <c r="AF401" s="6">
        <v>0</v>
      </c>
      <c r="AG401" t="s">
        <v>1942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1" t="b">
        <v>0</v>
      </c>
      <c r="AP401" s="45" t="b">
        <v>0</v>
      </c>
      <c r="AQ401" s="45" t="b">
        <v>0</v>
      </c>
      <c r="AR401" s="45">
        <v>0</v>
      </c>
      <c r="AS401" s="45" t="b">
        <v>0</v>
      </c>
      <c r="AT401" s="7" t="b">
        <v>0</v>
      </c>
      <c r="AU4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2" spans="1:47" x14ac:dyDescent="0.35">
      <c r="A402" s="2" t="s">
        <v>3028</v>
      </c>
      <c r="B402">
        <v>2012</v>
      </c>
      <c r="D4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2" s="37" t="str">
        <f>INDEX(CONTROL[ENGLISH],MATCH(PROPERTIES[[#This Row],[VEHIDCODE]],CONTROL[VEHIDCODE],0))</f>
        <v>Stadler Butler Eem 923</v>
      </c>
      <c r="F402" t="s">
        <v>570</v>
      </c>
      <c r="G402" s="37" t="str">
        <f>_xlfn.IFNA(INDEX(COUNTRIES[COUNTRY_LABEL],MATCH(PROPERTIES[[#This Row],[COUNTRY]],COUNTRIES[COUNTRY_DESCRIPTION],0)),"")</f>
        <v>CH</v>
      </c>
      <c r="H4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INDEX(LOADINGSPEEDDEF[SPEED],MATCH("LOADINGSPEEDDEF_"&amp;PROPERTIES[[#This Row],[LOADINGSPEED]],LOADINGSPEEDDEF[TYPE],0))</f>
        <v>20</v>
      </c>
      <c r="O40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4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1" t="s">
        <v>3637</v>
      </c>
      <c r="AP402" s="45" t="b">
        <v>0</v>
      </c>
      <c r="AQ402" s="45" t="b">
        <v>0</v>
      </c>
      <c r="AR402" s="45">
        <v>0</v>
      </c>
      <c r="AS402" s="45" t="b">
        <v>0</v>
      </c>
      <c r="AT402" s="7" t="b">
        <v>0</v>
      </c>
      <c r="AU4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3" spans="1:47" x14ac:dyDescent="0.35">
      <c r="A403" s="2" t="s">
        <v>3029</v>
      </c>
      <c r="B403">
        <v>1974</v>
      </c>
      <c r="C403">
        <v>2018</v>
      </c>
      <c r="D4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3" s="37" t="str">
        <f>INDEX(CONTROL[ENGLISH],MATCH(PROPERTIES[[#This Row],[VEHIDCODE]],CONTROL[VEHIDCODE],0))</f>
        <v>SGP 1044</v>
      </c>
      <c r="F403" t="s">
        <v>540</v>
      </c>
      <c r="G403" s="37" t="str">
        <f>_xlfn.IFNA(INDEX(COUNTRIES[COUNTRY_LABEL],MATCH(PROPERTIES[[#This Row],[COUNTRY]],COUNTRIES[COUNTRY_DESCRIPTION],0)),"")</f>
        <v>AT</v>
      </c>
      <c r="H4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INDEX(LOADINGSPEEDDEF[SPEED],MATCH("LOADINGSPEEDDEF_"&amp;PROPERTIES[[#This Row],[LOADINGSPEED]],LOADINGSPEEDDEF[TYPE],0))</f>
        <v>20</v>
      </c>
      <c r="O4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4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1" t="b">
        <v>0</v>
      </c>
      <c r="AP403" s="45" t="b">
        <v>0</v>
      </c>
      <c r="AQ403" s="45" t="b">
        <v>0</v>
      </c>
      <c r="AR403" s="45">
        <v>0</v>
      </c>
      <c r="AS403" s="45" t="b">
        <v>0</v>
      </c>
      <c r="AT403" s="7" t="b">
        <v>0</v>
      </c>
      <c r="AU4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4" spans="1:47" x14ac:dyDescent="0.35">
      <c r="A404" s="2" t="s">
        <v>3030</v>
      </c>
      <c r="B404">
        <v>1982</v>
      </c>
      <c r="C404">
        <v>2021</v>
      </c>
      <c r="D4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4" s="37" t="str">
        <f>INDEX(CONTROL[ENGLISH],MATCH(PROPERTIES[[#This Row],[VEHIDCODE]],CONTROL[VEHIDCODE],0))</f>
        <v>SGP 1063</v>
      </c>
      <c r="F404" t="s">
        <v>540</v>
      </c>
      <c r="G404" s="37" t="str">
        <f>_xlfn.IFNA(INDEX(COUNTRIES[COUNTRY_LABEL],MATCH(PROPERTIES[[#This Row],[COUNTRY]],COUNTRIES[COUNTRY_DESCRIPTION],0)),"")</f>
        <v>AT</v>
      </c>
      <c r="H4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INDEX(LOADINGSPEEDDEF[SPEED],MATCH("LOADINGSPEEDDEF_"&amp;PROPERTIES[[#This Row],[LOADINGSPEED]],LOADINGSPEEDDEF[TYPE],0))</f>
        <v>20</v>
      </c>
      <c r="O4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4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1" t="b">
        <v>0</v>
      </c>
      <c r="AP404" s="45" t="b">
        <v>0</v>
      </c>
      <c r="AQ404" s="45" t="b">
        <v>0</v>
      </c>
      <c r="AR404" s="45">
        <v>0</v>
      </c>
      <c r="AS404" s="45" t="b">
        <v>0</v>
      </c>
      <c r="AT404" s="7" t="b">
        <v>0</v>
      </c>
      <c r="AU4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5" spans="1:47" x14ac:dyDescent="0.35">
      <c r="A405" s="2" t="s">
        <v>3031</v>
      </c>
      <c r="B405">
        <v>1953</v>
      </c>
      <c r="C405">
        <v>1991</v>
      </c>
      <c r="D4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5" s="37" t="str">
        <f>INDEX(CONTROL[ENGLISH],MATCH(PROPERTIES[[#This Row],[VEHIDCODE]],CONTROL[VEHIDCODE],0))</f>
        <v>ASEA Dm3</v>
      </c>
      <c r="F405" t="s">
        <v>722</v>
      </c>
      <c r="G405" s="37" t="str">
        <f>_xlfn.IFNA(INDEX(COUNTRIES[COUNTRY_LABEL],MATCH(PROPERTIES[[#This Row],[COUNTRY]],COUNTRIES[COUNTRY_DESCRIPTION],0)),"")</f>
        <v>SE</v>
      </c>
      <c r="H4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INDEX(LOADINGSPEEDDEF[SPEED],MATCH("LOADINGSPEEDDEF_"&amp;PROPERTIES[[#This Row],[LOADINGSPEED]],LOADINGSPEEDDEF[TYPE],0))</f>
        <v>20</v>
      </c>
      <c r="O4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4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1" t="b">
        <v>0</v>
      </c>
      <c r="AP405" s="45" t="b">
        <v>0</v>
      </c>
      <c r="AQ405" s="45" t="b">
        <v>0</v>
      </c>
      <c r="AR405" s="45">
        <v>0</v>
      </c>
      <c r="AS405" s="45" t="b">
        <v>0</v>
      </c>
      <c r="AT405" s="7" t="b">
        <v>0</v>
      </c>
      <c r="AU4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TPL_17D</v>
      </c>
    </row>
    <row r="406" spans="1:47" x14ac:dyDescent="0.35">
      <c r="A406" s="2" t="s">
        <v>3032</v>
      </c>
      <c r="B406">
        <v>2000</v>
      </c>
      <c r="D4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6" s="37" t="str">
        <f>INDEX(CONTROL[ENGLISH],MATCH(PROPERTIES[[#This Row],[VEHIDCODE]],CONTROL[VEHIDCODE],0))</f>
        <v>Bombardier Traxx H80 AC</v>
      </c>
      <c r="F406" t="s">
        <v>722</v>
      </c>
      <c r="G406" s="37" t="str">
        <f>_xlfn.IFNA(INDEX(COUNTRIES[COUNTRY_LABEL],MATCH(PROPERTIES[[#This Row],[COUNTRY]],COUNTRIES[COUNTRY_DESCRIPTION],0)),"")</f>
        <v>SE</v>
      </c>
      <c r="H4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INDEX(LOADINGSPEEDDEF[SPEED],MATCH("LOADINGSPEEDDEF_"&amp;PROPERTIES[[#This Row],[LOADINGSPEED]],LOADINGSPEEDDEF[TYPE],0))</f>
        <v>20</v>
      </c>
      <c r="O4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4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1" t="b">
        <v>0</v>
      </c>
      <c r="AP406" s="45" t="b">
        <v>0</v>
      </c>
      <c r="AQ406" s="45" t="b">
        <v>0</v>
      </c>
      <c r="AR406" s="45">
        <v>0</v>
      </c>
      <c r="AS406" s="45" t="b">
        <v>0</v>
      </c>
      <c r="AT406" s="7" t="b">
        <v>0</v>
      </c>
      <c r="AU4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07" spans="1:47" x14ac:dyDescent="0.35">
      <c r="A407" s="2" t="s">
        <v>3033</v>
      </c>
      <c r="B407">
        <v>1914</v>
      </c>
      <c r="C407">
        <v>1954</v>
      </c>
      <c r="D4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7" s="37" t="str">
        <f>INDEX(CONTROL[ENGLISH],MATCH(PROPERTIES[[#This Row],[VEHIDCODE]],CONTROL[VEHIDCODE],0))</f>
        <v>Siemens Oa</v>
      </c>
      <c r="F407" t="s">
        <v>722</v>
      </c>
      <c r="G407" s="37" t="str">
        <f>_xlfn.IFNA(INDEX(COUNTRIES[COUNTRY_LABEL],MATCH(PROPERTIES[[#This Row],[COUNTRY]],COUNTRIES[COUNTRY_DESCRIPTION],0)),"")</f>
        <v>SE</v>
      </c>
      <c r="H4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INDEX(LOADINGSPEEDDEF[SPEED],MATCH("LOADINGSPEEDDEF_"&amp;PROPERTIES[[#This Row],[LOADINGSPEED]],LOADINGSPEEDDEF[TYPE],0))</f>
        <v>20</v>
      </c>
      <c r="O4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4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1" t="b">
        <v>0</v>
      </c>
      <c r="AP407" s="45" t="b">
        <v>0</v>
      </c>
      <c r="AQ407" s="45" t="b">
        <v>0</v>
      </c>
      <c r="AR407" s="45">
        <v>0</v>
      </c>
      <c r="AS407" s="45" t="b">
        <v>0</v>
      </c>
      <c r="AT407" s="7" t="b">
        <v>0</v>
      </c>
      <c r="AU4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TPL_17E</v>
      </c>
    </row>
    <row r="408" spans="1:47" x14ac:dyDescent="0.35">
      <c r="A408" s="2" t="s">
        <v>3034</v>
      </c>
      <c r="B408">
        <v>1942</v>
      </c>
      <c r="C408">
        <v>1978</v>
      </c>
      <c r="D4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8" s="37" t="str">
        <f>INDEX(CONTROL[ENGLISH],MATCH(PROPERTIES[[#This Row],[VEHIDCODE]],CONTROL[VEHIDCODE],0))</f>
        <v>ASEA F</v>
      </c>
      <c r="F408" t="s">
        <v>722</v>
      </c>
      <c r="G408" s="37" t="str">
        <f>_xlfn.IFNA(INDEX(COUNTRIES[COUNTRY_LABEL],MATCH(PROPERTIES[[#This Row],[COUNTRY]],COUNTRIES[COUNTRY_DESCRIPTION],0)),"")</f>
        <v>SE</v>
      </c>
      <c r="H4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INDEX(LOADINGSPEEDDEF[SPEED],MATCH("LOADINGSPEEDDEF_"&amp;PROPERTIES[[#This Row],[LOADINGSPEED]],LOADINGSPEEDDEF[TYPE],0))</f>
        <v>20</v>
      </c>
      <c r="O4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4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1" t="b">
        <v>0</v>
      </c>
      <c r="AP408" s="45" t="b">
        <v>0</v>
      </c>
      <c r="AQ408" s="45" t="b">
        <v>0</v>
      </c>
      <c r="AR408" s="45">
        <v>0</v>
      </c>
      <c r="AS408" s="45" t="b">
        <v>0</v>
      </c>
      <c r="AT408" s="7" t="b">
        <v>0</v>
      </c>
      <c r="AU4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09" spans="1:47" x14ac:dyDescent="0.35">
      <c r="A409" s="2" t="s">
        <v>3035</v>
      </c>
      <c r="B409">
        <v>1982</v>
      </c>
      <c r="C409">
        <v>1997</v>
      </c>
      <c r="D4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09" s="37" t="str">
        <f>INDEX(CONTROL[ENGLISH],MATCH(PROPERTIES[[#This Row],[VEHIDCODE]],CONTROL[VEHIDCODE],0))</f>
        <v>Thyssen-Henschel EL17</v>
      </c>
      <c r="F409" t="s">
        <v>693</v>
      </c>
      <c r="G409" s="37" t="str">
        <f>_xlfn.IFNA(INDEX(COUNTRIES[COUNTRY_LABEL],MATCH(PROPERTIES[[#This Row],[COUNTRY]],COUNTRIES[COUNTRY_DESCRIPTION],0)),"")</f>
        <v>NO</v>
      </c>
      <c r="H4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INDEX(LOADINGSPEEDDEF[SPEED],MATCH("LOADINGSPEEDDEF_"&amp;PROPERTIES[[#This Row],[LOADINGSPEED]],LOADINGSPEEDDEF[TYPE],0))</f>
        <v>20</v>
      </c>
      <c r="O4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4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0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1" t="b">
        <v>0</v>
      </c>
      <c r="AP409" s="45" t="b">
        <v>0</v>
      </c>
      <c r="AQ409" s="45" t="b">
        <v>0</v>
      </c>
      <c r="AR409" s="45">
        <v>0</v>
      </c>
      <c r="AS409" s="45" t="b">
        <v>0</v>
      </c>
      <c r="AT409" s="7" t="b">
        <v>0</v>
      </c>
      <c r="AU4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0" spans="1:47" x14ac:dyDescent="0.35">
      <c r="A410" s="2" t="s">
        <v>3036</v>
      </c>
      <c r="B410">
        <v>1914</v>
      </c>
      <c r="C410">
        <v>1923</v>
      </c>
      <c r="D4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0" s="37" t="str">
        <f>INDEX(CONTROL[ENGLISH],MATCH(PROPERTIES[[#This Row],[VEHIDCODE]],CONTROL[VEHIDCODE],0))</f>
        <v>Borsig/SSW ES 6</v>
      </c>
      <c r="F410" t="s">
        <v>584</v>
      </c>
      <c r="G410" s="37" t="str">
        <f>_xlfn.IFNA(INDEX(COUNTRIES[COUNTRY_LABEL],MATCH(PROPERTIES[[#This Row],[COUNTRY]],COUNTRIES[COUNTRY_DESCRIPTION],0)),"")</f>
        <v>DE</v>
      </c>
      <c r="H4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INDEX(LOADINGSPEEDDEF[SPEED],MATCH("LOADINGSPEEDDEF_"&amp;PROPERTIES[[#This Row],[LOADINGSPEED]],LOADINGSPEEDDEF[TYPE],0))</f>
        <v>20</v>
      </c>
      <c r="O4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4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1" t="b">
        <v>0</v>
      </c>
      <c r="AP410" s="45" t="b">
        <v>0</v>
      </c>
      <c r="AQ410" s="45" t="b">
        <v>0</v>
      </c>
      <c r="AR410" s="45">
        <v>0</v>
      </c>
      <c r="AS410" s="45" t="b">
        <v>0</v>
      </c>
      <c r="AT410" s="7" t="b">
        <v>0</v>
      </c>
      <c r="AU4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411" spans="1:47" x14ac:dyDescent="0.35">
      <c r="A411" s="2" t="s">
        <v>3037</v>
      </c>
      <c r="B411">
        <v>1948</v>
      </c>
      <c r="C411">
        <v>1959</v>
      </c>
      <c r="D4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1" s="37" t="str">
        <f>INDEX(CONTROL[ENGLISH],MATCH(PROPERTIES[[#This Row],[VEHIDCODE]],CONTROL[VEHIDCODE],0))</f>
        <v>GE EL-2B</v>
      </c>
      <c r="F411" t="s">
        <v>757</v>
      </c>
      <c r="G411" s="37" t="str">
        <f>_xlfn.IFNA(INDEX(COUNTRIES[COUNTRY_LABEL],MATCH(PROPERTIES[[#This Row],[COUNTRY]],COUNTRIES[COUNTRY_DESCRIPTION],0)),"")</f>
        <v>US</v>
      </c>
      <c r="H4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INDEX(LOADINGSPEEDDEF[SPEED],MATCH("LOADINGSPEEDDEF_"&amp;PROPERTIES[[#This Row],[LOADINGSPEED]],LOADINGSPEEDDEF[TYPE],0))</f>
        <v>20</v>
      </c>
      <c r="O4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4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1" t="b">
        <v>0</v>
      </c>
      <c r="AP411" s="45" t="b">
        <v>0</v>
      </c>
      <c r="AQ411" s="45" t="b">
        <v>0</v>
      </c>
      <c r="AR411" s="45">
        <v>0</v>
      </c>
      <c r="AS411" s="45" t="b">
        <v>0</v>
      </c>
      <c r="AT411" s="7" t="b">
        <v>0</v>
      </c>
      <c r="AU4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12" spans="1:47" x14ac:dyDescent="0.35">
      <c r="A412" s="2" t="s">
        <v>3038</v>
      </c>
      <c r="B412">
        <v>1947</v>
      </c>
      <c r="C412">
        <v>1960</v>
      </c>
      <c r="D4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2" s="37" t="str">
        <f>INDEX(CONTROL[ENGLISH],MATCH(PROPERTIES[[#This Row],[VEHIDCODE]],CONTROL[VEHIDCODE],0))</f>
        <v>GE W-1</v>
      </c>
      <c r="F412" t="s">
        <v>757</v>
      </c>
      <c r="G412" s="37" t="str">
        <f>_xlfn.IFNA(INDEX(COUNTRIES[COUNTRY_LABEL],MATCH(PROPERTIES[[#This Row],[COUNTRY]],COUNTRIES[COUNTRY_DESCRIPTION],0)),"")</f>
        <v>US</v>
      </c>
      <c r="H4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INDEX(LOADINGSPEEDDEF[SPEED],MATCH("LOADINGSPEEDDEF_"&amp;PROPERTIES[[#This Row],[LOADINGSPEED]],LOADINGSPEEDDEF[TYPE],0))</f>
        <v>20</v>
      </c>
      <c r="O4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4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1" t="b">
        <v>0</v>
      </c>
      <c r="AP412" s="45" t="b">
        <v>0</v>
      </c>
      <c r="AQ412" s="45" t="b">
        <v>0</v>
      </c>
      <c r="AR412" s="45">
        <v>0</v>
      </c>
      <c r="AS412" s="45" t="b">
        <v>0</v>
      </c>
      <c r="AT412" s="7" t="b">
        <v>0</v>
      </c>
      <c r="AU4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413" spans="1:47" x14ac:dyDescent="0.35">
      <c r="A413" s="2" t="s">
        <v>3039</v>
      </c>
      <c r="B413">
        <v>1926</v>
      </c>
      <c r="D4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3" s="37" t="str">
        <f>INDEX(CONTROL[ENGLISH],MATCH(PROPERTIES[[#This Row],[VEHIDCODE]],CONTROL[VEHIDCODE],0))</f>
        <v>Westinghouse 6wOE B1</v>
      </c>
      <c r="F413" t="s">
        <v>757</v>
      </c>
      <c r="G413" s="37" t="str">
        <f>_xlfn.IFNA(INDEX(COUNTRIES[COUNTRY_LABEL],MATCH(PROPERTIES[[#This Row],[COUNTRY]],COUNTRIES[COUNTRY_DESCRIPTION],0)),"")</f>
        <v>US</v>
      </c>
      <c r="H4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INDEX(LOADINGSPEEDDEF[SPEED],MATCH("LOADINGSPEEDDEF_"&amp;PROPERTIES[[#This Row],[LOADINGSPEED]],LOADINGSPEEDDEF[TYPE],0))</f>
        <v>20</v>
      </c>
      <c r="O4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4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1" t="b">
        <v>0</v>
      </c>
      <c r="AP413" s="45" t="b">
        <v>0</v>
      </c>
      <c r="AQ413" s="45" t="b">
        <v>0</v>
      </c>
      <c r="AR413" s="45">
        <v>0</v>
      </c>
      <c r="AS413" s="45" t="b">
        <v>0</v>
      </c>
      <c r="AT413" s="7" t="b">
        <v>0</v>
      </c>
      <c r="AU4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4" spans="1:47" x14ac:dyDescent="0.35">
      <c r="A414" s="2" t="s">
        <v>3040</v>
      </c>
      <c r="B414">
        <v>2008</v>
      </c>
      <c r="D4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4" s="37" t="str">
        <f>INDEX(CONTROL[ENGLISH],MATCH(PROPERTIES[[#This Row],[VEHIDCODE]],CONTROL[VEHIDCODE],0))</f>
        <v>Siemens E40 AG-V1</v>
      </c>
      <c r="F414" t="s">
        <v>541</v>
      </c>
      <c r="G414" s="37" t="str">
        <f>_xlfn.IFNA(INDEX(COUNTRIES[COUNTRY_LABEL],MATCH(PROPERTIES[[#This Row],[COUNTRY]],COUNTRIES[COUNTRY_DESCRIPTION],0)),"")</f>
        <v>AU</v>
      </c>
      <c r="H4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INDEX(LOADINGSPEEDDEF[SPEED],MATCH("LOADINGSPEEDDEF_"&amp;PROPERTIES[[#This Row],[LOADINGSPEED]],LOADINGSPEEDDEF[TYPE],0))</f>
        <v>20</v>
      </c>
      <c r="O4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4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1" t="b">
        <v>0</v>
      </c>
      <c r="AP414" s="45" t="b">
        <v>0</v>
      </c>
      <c r="AQ414" s="45" t="b">
        <v>0</v>
      </c>
      <c r="AR414" s="45">
        <v>0</v>
      </c>
      <c r="AS414" s="45" t="b">
        <v>0</v>
      </c>
      <c r="AT414" s="7" t="b">
        <v>0</v>
      </c>
      <c r="AU4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5" spans="1:47" x14ac:dyDescent="0.35">
      <c r="A415" s="2" t="s">
        <v>3041</v>
      </c>
      <c r="B415">
        <v>1991</v>
      </c>
      <c r="C415">
        <v>2006</v>
      </c>
      <c r="D4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5" s="37" t="str">
        <f>INDEX(CONTROL[ENGLISH],MATCH(PROPERTIES[[#This Row],[VEHIDCODE]],CONTROL[VEHIDCODE],0))</f>
        <v>Zuzhou SS6</v>
      </c>
      <c r="F415" t="s">
        <v>575</v>
      </c>
      <c r="G415" s="37" t="str">
        <f>_xlfn.IFNA(INDEX(COUNTRIES[COUNTRY_LABEL],MATCH(PROPERTIES[[#This Row],[COUNTRY]],COUNTRIES[COUNTRY_DESCRIPTION],0)),"")</f>
        <v>CN</v>
      </c>
      <c r="H4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INDEX(LOADINGSPEEDDEF[SPEED],MATCH("LOADINGSPEEDDEF_"&amp;PROPERTIES[[#This Row],[LOADINGSPEED]],LOADINGSPEEDDEF[TYPE],0))</f>
        <v>20</v>
      </c>
      <c r="O4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4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1" t="b">
        <v>0</v>
      </c>
      <c r="AP415" s="45" t="b">
        <v>0</v>
      </c>
      <c r="AQ415" s="45" t="b">
        <v>0</v>
      </c>
      <c r="AR415" s="45">
        <v>0</v>
      </c>
      <c r="AS415" s="45" t="b">
        <v>0</v>
      </c>
      <c r="AT415" s="7" t="b">
        <v>0</v>
      </c>
      <c r="AU4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6" spans="1:47" x14ac:dyDescent="0.35">
      <c r="A416" s="2" t="s">
        <v>3042</v>
      </c>
      <c r="B416">
        <v>1978</v>
      </c>
      <c r="D4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6" s="37" t="str">
        <f>INDEX(CONTROL[ENGLISH],MATCH(PROPERTIES[[#This Row],[VEHIDCODE]],CONTROL[VEHIDCODE],0))</f>
        <v>Zuzhou SS3</v>
      </c>
      <c r="F416" t="s">
        <v>575</v>
      </c>
      <c r="G416" s="37" t="str">
        <f>_xlfn.IFNA(INDEX(COUNTRIES[COUNTRY_LABEL],MATCH(PROPERTIES[[#This Row],[COUNTRY]],COUNTRIES[COUNTRY_DESCRIPTION],0)),"")</f>
        <v>CN</v>
      </c>
      <c r="H4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INDEX(LOADINGSPEEDDEF[SPEED],MATCH("LOADINGSPEEDDEF_"&amp;PROPERTIES[[#This Row],[LOADINGSPEED]],LOADINGSPEEDDEF[TYPE],0))</f>
        <v>20</v>
      </c>
      <c r="O4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4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1" t="b">
        <v>0</v>
      </c>
      <c r="AP416" s="45" t="b">
        <v>0</v>
      </c>
      <c r="AQ416" s="45" t="b">
        <v>0</v>
      </c>
      <c r="AR416" s="45">
        <v>0</v>
      </c>
      <c r="AS416" s="45" t="b">
        <v>0</v>
      </c>
      <c r="AT416" s="7" t="b">
        <v>0</v>
      </c>
      <c r="AU4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7" spans="1:47" x14ac:dyDescent="0.35">
      <c r="A417" s="2" t="s">
        <v>3043</v>
      </c>
      <c r="B417">
        <v>2006</v>
      </c>
      <c r="D4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7" s="37" t="str">
        <f>INDEX(CONTROL[ENGLISH],MATCH(PROPERTIES[[#This Row],[VEHIDCODE]],CONTROL[VEHIDCODE],0))</f>
        <v>Toshiba/CNR Dalian HXD3</v>
      </c>
      <c r="F417" t="s">
        <v>575</v>
      </c>
      <c r="G417" s="37" t="str">
        <f>_xlfn.IFNA(INDEX(COUNTRIES[COUNTRY_LABEL],MATCH(PROPERTIES[[#This Row],[COUNTRY]],COUNTRIES[COUNTRY_DESCRIPTION],0)),"")</f>
        <v>CN</v>
      </c>
      <c r="H4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INDEX(LOADINGSPEEDDEF[SPEED],MATCH("LOADINGSPEEDDEF_"&amp;PROPERTIES[[#This Row],[LOADINGSPEED]],LOADINGSPEEDDEF[TYPE],0))</f>
        <v>20</v>
      </c>
      <c r="O4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4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1" t="b">
        <v>0</v>
      </c>
      <c r="AP417" s="45" t="b">
        <v>0</v>
      </c>
      <c r="AQ417" s="45" t="b">
        <v>0</v>
      </c>
      <c r="AR417" s="45">
        <v>0</v>
      </c>
      <c r="AS417" s="45" t="b">
        <v>0</v>
      </c>
      <c r="AT417" s="7" t="b">
        <v>0</v>
      </c>
      <c r="AU4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8" spans="1:47" x14ac:dyDescent="0.35">
      <c r="A418" s="2" t="s">
        <v>3044</v>
      </c>
      <c r="B418">
        <v>2012</v>
      </c>
      <c r="D4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8" s="37" t="str">
        <f>INDEX(CONTROL[ENGLISH],MATCH(PROPERTIES[[#This Row],[VEHIDCODE]],CONTROL[VEHIDCODE],0))</f>
        <v>Toshiba/CRRC HXD1D</v>
      </c>
      <c r="F418" t="s">
        <v>575</v>
      </c>
      <c r="G418" s="37" t="str">
        <f>_xlfn.IFNA(INDEX(COUNTRIES[COUNTRY_LABEL],MATCH(PROPERTIES[[#This Row],[COUNTRY]],COUNTRIES[COUNTRY_DESCRIPTION],0)),"")</f>
        <v>CN</v>
      </c>
      <c r="H4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INDEX(LOADINGSPEEDDEF[SPEED],MATCH("LOADINGSPEEDDEF_"&amp;PROPERTIES[[#This Row],[LOADINGSPEED]],LOADINGSPEEDDEF[TYPE],0))</f>
        <v>20</v>
      </c>
      <c r="O41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4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1" t="b">
        <v>0</v>
      </c>
      <c r="AP418" s="45" t="b">
        <v>0</v>
      </c>
      <c r="AQ418" s="45" t="b">
        <v>0</v>
      </c>
      <c r="AR418" s="45">
        <v>0</v>
      </c>
      <c r="AS418" s="45" t="b">
        <v>0</v>
      </c>
      <c r="AT418" s="7" t="b">
        <v>0</v>
      </c>
      <c r="AU4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19" spans="1:47" x14ac:dyDescent="0.35">
      <c r="A419" s="2" t="s">
        <v>3045</v>
      </c>
      <c r="B419">
        <v>1986</v>
      </c>
      <c r="C419">
        <v>2014</v>
      </c>
      <c r="D4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19" s="37" t="str">
        <f>INDEX(CONTROL[ENGLISH],MATCH(PROPERTIES[[#This Row],[VEHIDCODE]],CONTROL[VEHIDCODE],0))</f>
        <v>Kawasaki 6K</v>
      </c>
      <c r="F419" t="s">
        <v>575</v>
      </c>
      <c r="G419" s="37" t="str">
        <f>_xlfn.IFNA(INDEX(COUNTRIES[COUNTRY_LABEL],MATCH(PROPERTIES[[#This Row],[COUNTRY]],COUNTRIES[COUNTRY_DESCRIPTION],0)),"")</f>
        <v>CN</v>
      </c>
      <c r="H4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INDEX(LOADINGSPEEDDEF[SPEED],MATCH("LOADINGSPEEDDEF_"&amp;PROPERTIES[[#This Row],[LOADINGSPEED]],LOADINGSPEEDDEF[TYPE],0))</f>
        <v>20</v>
      </c>
      <c r="O4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4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1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1" t="b">
        <v>0</v>
      </c>
      <c r="AP419" s="45" t="b">
        <v>0</v>
      </c>
      <c r="AQ419" s="45" t="b">
        <v>0</v>
      </c>
      <c r="AR419" s="45">
        <v>0</v>
      </c>
      <c r="AS419" s="45" t="b">
        <v>0</v>
      </c>
      <c r="AT419" s="7" t="b">
        <v>0</v>
      </c>
      <c r="AU4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0" spans="1:47" x14ac:dyDescent="0.35">
      <c r="A420" s="2" t="s">
        <v>3046</v>
      </c>
      <c r="B420">
        <v>1960</v>
      </c>
      <c r="C420">
        <v>1984</v>
      </c>
      <c r="D4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0" s="37" t="str">
        <f>INDEX(CONTROL[ENGLISH],MATCH(PROPERTIES[[#This Row],[VEHIDCODE]],CONTROL[VEHIDCODE],0))</f>
        <v>GE E44</v>
      </c>
      <c r="F420" t="s">
        <v>757</v>
      </c>
      <c r="G420" s="37" t="str">
        <f>_xlfn.IFNA(INDEX(COUNTRIES[COUNTRY_LABEL],MATCH(PROPERTIES[[#This Row],[COUNTRY]],COUNTRIES[COUNTRY_DESCRIPTION],0)),"")</f>
        <v>US</v>
      </c>
      <c r="H4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INDEX(LOADINGSPEEDDEF[SPEED],MATCH("LOADINGSPEEDDEF_"&amp;PROPERTIES[[#This Row],[LOADINGSPEED]],LOADINGSPEEDDEF[TYPE],0))</f>
        <v>20</v>
      </c>
      <c r="O4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4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1" t="b">
        <v>0</v>
      </c>
      <c r="AP420" s="45" t="b">
        <v>0</v>
      </c>
      <c r="AQ420" s="45" t="b">
        <v>0</v>
      </c>
      <c r="AR420" s="45">
        <v>0</v>
      </c>
      <c r="AS420" s="45" t="b">
        <v>0</v>
      </c>
      <c r="AT420" s="7" t="b">
        <v>0</v>
      </c>
      <c r="AU4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1" spans="1:47" x14ac:dyDescent="0.35">
      <c r="A421" s="2" t="s">
        <v>3047</v>
      </c>
      <c r="B421">
        <v>1967</v>
      </c>
      <c r="C421">
        <v>2008</v>
      </c>
      <c r="D4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1" s="37" t="str">
        <f>INDEX(CONTROL[ENGLISH],MATCH(PROPERTIES[[#This Row],[VEHIDCODE]],CONTROL[VEHIDCODE],0))</f>
        <v>ASEA/Koncar Rb</v>
      </c>
      <c r="F421" t="s">
        <v>624</v>
      </c>
      <c r="G421" s="37" t="str">
        <f>_xlfn.IFNA(INDEX(COUNTRIES[COUNTRY_LABEL],MATCH(PROPERTIES[[#This Row],[COUNTRY]],COUNTRIES[COUNTRY_DESCRIPTION],0)),"")</f>
        <v>HR</v>
      </c>
      <c r="H4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INDEX(LOADINGSPEEDDEF[SPEED],MATCH("LOADINGSPEEDDEF_"&amp;PROPERTIES[[#This Row],[LOADINGSPEED]],LOADINGSPEEDDEF[TYPE],0))</f>
        <v>20</v>
      </c>
      <c r="O4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4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1" t="b">
        <v>0</v>
      </c>
      <c r="AP421" s="45" t="b">
        <v>0</v>
      </c>
      <c r="AQ421" s="45" t="b">
        <v>0</v>
      </c>
      <c r="AR421" s="45">
        <v>0</v>
      </c>
      <c r="AS421" s="45" t="b">
        <v>0</v>
      </c>
      <c r="AT421" s="7" t="b">
        <v>0</v>
      </c>
      <c r="AU4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2" spans="1:47" x14ac:dyDescent="0.35">
      <c r="A422" s="2" t="s">
        <v>3048</v>
      </c>
      <c r="B422">
        <v>1963</v>
      </c>
      <c r="C422">
        <v>2016</v>
      </c>
      <c r="D4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2" s="37" t="str">
        <f>INDEX(CONTROL[ENGLISH],MATCH(PROPERTIES[[#This Row],[VEHIDCODE]],CONTROL[VEHIDCODE],0))</f>
        <v>Ganz-MAVAG VM14 'V43'</v>
      </c>
      <c r="F422" t="s">
        <v>626</v>
      </c>
      <c r="G422" s="37" t="str">
        <f>_xlfn.IFNA(INDEX(COUNTRIES[COUNTRY_LABEL],MATCH(PROPERTIES[[#This Row],[COUNTRY]],COUNTRIES[COUNTRY_DESCRIPTION],0)),"")</f>
        <v>HU</v>
      </c>
      <c r="H4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INDEX(LOADINGSPEEDDEF[SPEED],MATCH("LOADINGSPEEDDEF_"&amp;PROPERTIES[[#This Row],[LOADINGSPEED]],LOADINGSPEEDDEF[TYPE],0))</f>
        <v>20</v>
      </c>
      <c r="O4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4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1" t="b">
        <v>0</v>
      </c>
      <c r="AP422" s="45" t="b">
        <v>0</v>
      </c>
      <c r="AQ422" s="45" t="b">
        <v>0</v>
      </c>
      <c r="AR422" s="45">
        <v>0</v>
      </c>
      <c r="AS422" s="45" t="b">
        <v>0</v>
      </c>
      <c r="AT422" s="7" t="b">
        <v>0</v>
      </c>
      <c r="AU4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3" spans="1:47" x14ac:dyDescent="0.35">
      <c r="A423" s="2" t="s">
        <v>3049</v>
      </c>
      <c r="B423">
        <v>1956</v>
      </c>
      <c r="C423">
        <v>2009</v>
      </c>
      <c r="D4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3" s="37" t="str">
        <f>INDEX(CONTROL[ENGLISH],MATCH(PROPERTIES[[#This Row],[VEHIDCODE]],CONTROL[VEHIDCODE],0))</f>
        <v>Alsthom CP 2500</v>
      </c>
      <c r="F423" t="s">
        <v>710</v>
      </c>
      <c r="G423" s="37" t="str">
        <f>_xlfn.IFNA(INDEX(COUNTRIES[COUNTRY_LABEL],MATCH(PROPERTIES[[#This Row],[COUNTRY]],COUNTRIES[COUNTRY_DESCRIPTION],0)),"")</f>
        <v>PT</v>
      </c>
      <c r="H4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INDEX(LOADINGSPEEDDEF[SPEED],MATCH("LOADINGSPEEDDEF_"&amp;PROPERTIES[[#This Row],[LOADINGSPEED]],LOADINGSPEEDDEF[TYPE],0))</f>
        <v>20</v>
      </c>
      <c r="O4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4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1" t="b">
        <v>0</v>
      </c>
      <c r="AP423" s="45" t="b">
        <v>0</v>
      </c>
      <c r="AQ423" s="45" t="b">
        <v>0</v>
      </c>
      <c r="AR423" s="45">
        <v>0</v>
      </c>
      <c r="AS423" s="45" t="b">
        <v>0</v>
      </c>
      <c r="AT423" s="7" t="b">
        <v>0</v>
      </c>
      <c r="AU4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4" spans="1:47" x14ac:dyDescent="0.35">
      <c r="A424" s="2" t="s">
        <v>3050</v>
      </c>
      <c r="B424">
        <v>1974</v>
      </c>
      <c r="C424">
        <v>2013</v>
      </c>
      <c r="D4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4" s="37" t="str">
        <f>INDEX(CONTROL[ENGLISH],MATCH(PROPERTIES[[#This Row],[VEHIDCODE]],CONTROL[VEHIDCODE],0))</f>
        <v>Alsthom CP 2600</v>
      </c>
      <c r="F424" t="s">
        <v>710</v>
      </c>
      <c r="G424" s="37" t="str">
        <f>_xlfn.IFNA(INDEX(COUNTRIES[COUNTRY_LABEL],MATCH(PROPERTIES[[#This Row],[COUNTRY]],COUNTRIES[COUNTRY_DESCRIPTION],0)),"")</f>
        <v>PT</v>
      </c>
      <c r="H4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INDEX(LOADINGSPEEDDEF[SPEED],MATCH("LOADINGSPEEDDEF_"&amp;PROPERTIES[[#This Row],[LOADINGSPEED]],LOADINGSPEEDDEF[TYPE],0))</f>
        <v>20</v>
      </c>
      <c r="O4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4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1" t="b">
        <v>0</v>
      </c>
      <c r="AP424" s="45" t="b">
        <v>0</v>
      </c>
      <c r="AQ424" s="45" t="b">
        <v>0</v>
      </c>
      <c r="AR424" s="45">
        <v>0</v>
      </c>
      <c r="AS424" s="45" t="b">
        <v>0</v>
      </c>
      <c r="AT424" s="7" t="b">
        <v>0</v>
      </c>
      <c r="AU4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5" spans="1:47" x14ac:dyDescent="0.35">
      <c r="A425" s="2" t="s">
        <v>3051</v>
      </c>
      <c r="B425">
        <v>2013</v>
      </c>
      <c r="D4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5" s="37" t="str">
        <f>INDEX(CONTROL[ENGLISH],MATCH(PROPERTIES[[#This Row],[VEHIDCODE]],CONTROL[VEHIDCODE],0))</f>
        <v>ZELC 20E 'China Doll'</v>
      </c>
      <c r="F425" t="s">
        <v>771</v>
      </c>
      <c r="G425" s="37" t="str">
        <f>_xlfn.IFNA(INDEX(COUNTRIES[COUNTRY_LABEL],MATCH(PROPERTIES[[#This Row],[COUNTRY]],COUNTRIES[COUNTRY_DESCRIPTION],0)),"")</f>
        <v>ZA</v>
      </c>
      <c r="H4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INDEX(LOADINGSPEEDDEF[SPEED],MATCH("LOADINGSPEEDDEF_"&amp;PROPERTIES[[#This Row],[LOADINGSPEED]],LOADINGSPEEDDEF[TYPE],0))</f>
        <v>20</v>
      </c>
      <c r="O4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4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1" t="b">
        <v>0</v>
      </c>
      <c r="AP425" s="45" t="b">
        <v>0</v>
      </c>
      <c r="AQ425" s="45" t="b">
        <v>0</v>
      </c>
      <c r="AR425" s="45">
        <v>0</v>
      </c>
      <c r="AS425" s="45" t="b">
        <v>0</v>
      </c>
      <c r="AT425" s="7" t="b">
        <v>0</v>
      </c>
      <c r="AU4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6" spans="1:47" x14ac:dyDescent="0.35">
      <c r="A426" s="2" t="s">
        <v>3448</v>
      </c>
      <c r="B426">
        <v>2003</v>
      </c>
      <c r="D4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6" s="37" t="str">
        <f>INDEX(CONTROL[ENGLISH],MATCH(PROPERTIES[[#This Row],[VEHIDCODE]],CONTROL[VEHIDCODE],0))</f>
        <v>Siemens EuroSprinter ES64F4</v>
      </c>
      <c r="F426" t="s">
        <v>584</v>
      </c>
      <c r="G426" s="37" t="str">
        <f>_xlfn.IFNA(INDEX(COUNTRIES[COUNTRY_LABEL],MATCH(PROPERTIES[[#This Row],[COUNTRY]],COUNTRIES[COUNTRY_DESCRIPTION],0)),"")</f>
        <v>DE</v>
      </c>
      <c r="H4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INDEX(LOADINGSPEEDDEF[SPEED],MATCH("LOADINGSPEEDDEF_"&amp;PROPERTIES[[#This Row],[LOADINGSPEED]],LOADINGSPEEDDEF[TYPE],0))</f>
        <v>20</v>
      </c>
      <c r="O4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4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1" t="b">
        <v>0</v>
      </c>
      <c r="AP426" s="45" t="b">
        <v>0</v>
      </c>
      <c r="AQ426" s="45" t="b">
        <v>0</v>
      </c>
      <c r="AR426" s="45">
        <v>0</v>
      </c>
      <c r="AS426" s="45" t="b">
        <v>0</v>
      </c>
      <c r="AT426" s="7" t="b">
        <v>0</v>
      </c>
      <c r="AU4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7" spans="1:47" x14ac:dyDescent="0.35">
      <c r="A427" s="2" t="s">
        <v>3052</v>
      </c>
      <c r="B427">
        <v>2003</v>
      </c>
      <c r="D4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7" s="37" t="str">
        <f>INDEX(CONTROL[ENGLISH],MATCH(PROPERTIES[[#This Row],[VEHIDCODE]],CONTROL[VEHIDCODE],0))</f>
        <v>DEVZ DS3</v>
      </c>
      <c r="F427" t="s">
        <v>754</v>
      </c>
      <c r="G427" s="37" t="str">
        <f>_xlfn.IFNA(INDEX(COUNTRIES[COUNTRY_LABEL],MATCH(PROPERTIES[[#This Row],[COUNTRY]],COUNTRIES[COUNTRY_DESCRIPTION],0)),"")</f>
        <v>UA</v>
      </c>
      <c r="H4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INDEX(LOADINGSPEEDDEF[SPEED],MATCH("LOADINGSPEEDDEF_"&amp;PROPERTIES[[#This Row],[LOADINGSPEED]],LOADINGSPEEDDEF[TYPE],0))</f>
        <v>20</v>
      </c>
      <c r="O4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4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1" t="b">
        <v>0</v>
      </c>
      <c r="AP427" s="45" t="b">
        <v>0</v>
      </c>
      <c r="AQ427" s="45" t="b">
        <v>0</v>
      </c>
      <c r="AR427" s="45">
        <v>0</v>
      </c>
      <c r="AS427" s="45" t="b">
        <v>0</v>
      </c>
      <c r="AT427" s="7" t="b">
        <v>0</v>
      </c>
      <c r="AU4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8" spans="1:47" x14ac:dyDescent="0.35">
      <c r="A428" s="2" t="s">
        <v>3053</v>
      </c>
      <c r="B428">
        <v>1966</v>
      </c>
      <c r="C428">
        <v>2001</v>
      </c>
      <c r="D4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8" s="37" t="str">
        <f>INDEX(CONTROL[ENGLISH],MATCH(PROPERTIES[[#This Row],[VEHIDCODE]],CONTROL[VEHIDCODE],0))</f>
        <v>Skoda 47E</v>
      </c>
      <c r="F428" t="s">
        <v>583</v>
      </c>
      <c r="G428" s="37" t="str">
        <f>_xlfn.IFNA(INDEX(COUNTRIES[COUNTRY_LABEL],MATCH(PROPERTIES[[#This Row],[COUNTRY]],COUNTRIES[COUNTRY_DESCRIPTION],0)),"")</f>
        <v>CZ</v>
      </c>
      <c r="H4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INDEX(LOADINGSPEEDDEF[SPEED],MATCH("LOADINGSPEEDDEF_"&amp;PROPERTIES[[#This Row],[LOADINGSPEED]],LOADINGSPEEDDEF[TYPE],0))</f>
        <v>20</v>
      </c>
      <c r="O4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4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1" t="b">
        <v>0</v>
      </c>
      <c r="AP428" s="45" t="b">
        <v>0</v>
      </c>
      <c r="AQ428" s="45" t="b">
        <v>0</v>
      </c>
      <c r="AR428" s="45">
        <v>0</v>
      </c>
      <c r="AS428" s="45" t="b">
        <v>0</v>
      </c>
      <c r="AT428" s="7" t="b">
        <v>0</v>
      </c>
      <c r="AU4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29" spans="1:47" x14ac:dyDescent="0.35">
      <c r="A429" s="2" t="s">
        <v>3054</v>
      </c>
      <c r="B429">
        <v>1988</v>
      </c>
      <c r="D4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29" s="37" t="str">
        <f>INDEX(CONTROL[ENGLISH],MATCH(PROPERTIES[[#This Row],[VEHIDCODE]],CONTROL[VEHIDCODE],0))</f>
        <v>Ansaldo - Breda C.F E.491</v>
      </c>
      <c r="F429" t="s">
        <v>636</v>
      </c>
      <c r="G429" s="37" t="str">
        <f>_xlfn.IFNA(INDEX(COUNTRIES[COUNTRY_LABEL],MATCH(PROPERTIES[[#This Row],[COUNTRY]],COUNTRIES[COUNTRY_DESCRIPTION],0)),"")</f>
        <v>IT</v>
      </c>
      <c r="H4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INDEX(LOADINGSPEEDDEF[SPEED],MATCH("LOADINGSPEEDDEF_"&amp;PROPERTIES[[#This Row],[LOADINGSPEED]],LOADINGSPEEDDEF[TYPE],0))</f>
        <v>20</v>
      </c>
      <c r="O4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4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2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1" t="b">
        <v>0</v>
      </c>
      <c r="AP429" s="45" t="b">
        <v>0</v>
      </c>
      <c r="AQ429" s="45" t="b">
        <v>0</v>
      </c>
      <c r="AR429" s="45">
        <v>0</v>
      </c>
      <c r="AS429" s="45" t="b">
        <v>0</v>
      </c>
      <c r="AT429" s="7" t="b">
        <v>0</v>
      </c>
      <c r="AU4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0" spans="1:47" x14ac:dyDescent="0.35">
      <c r="A430" s="2" t="s">
        <v>3055</v>
      </c>
      <c r="B430">
        <v>1978</v>
      </c>
      <c r="D4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0" s="37" t="str">
        <f>INDEX(CONTROL[ENGLISH],MATCH(PROPERTIES[[#This Row],[VEHIDCODE]],CONTROL[VEHIDCODE],0))</f>
        <v>ASEA/Electroputere LE5100</v>
      </c>
      <c r="F430" t="s">
        <v>670</v>
      </c>
      <c r="G430" s="37" t="str">
        <f>_xlfn.IFNA(INDEX(COUNTRIES[COUNTRY_LABEL],MATCH(PROPERTIES[[#This Row],[COUNTRY]],COUNTRIES[COUNTRY_DESCRIPTION],0)),"")</f>
        <v>MK</v>
      </c>
      <c r="H4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INDEX(LOADINGSPEEDDEF[SPEED],MATCH("LOADINGSPEEDDEF_"&amp;PROPERTIES[[#This Row],[LOADINGSPEED]],LOADINGSPEEDDEF[TYPE],0))</f>
        <v>20</v>
      </c>
      <c r="O4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4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1" t="b">
        <v>0</v>
      </c>
      <c r="AP430" s="45" t="b">
        <v>0</v>
      </c>
      <c r="AQ430" s="45" t="b">
        <v>0</v>
      </c>
      <c r="AR430" s="45">
        <v>0</v>
      </c>
      <c r="AS430" s="45" t="b">
        <v>0</v>
      </c>
      <c r="AT430" s="7" t="b">
        <v>0</v>
      </c>
      <c r="AU4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1" spans="1:47" x14ac:dyDescent="0.35">
      <c r="A431" s="2" t="s">
        <v>3056</v>
      </c>
      <c r="B431">
        <v>1926</v>
      </c>
      <c r="C431">
        <v>1984</v>
      </c>
      <c r="D4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1" s="37" t="str">
        <f>INDEX(CONTROL[ENGLISH],MATCH(PROPERTIES[[#This Row],[VEHIDCODE]],CONTROL[VEHIDCODE],0))</f>
        <v>CEF BB 1600</v>
      </c>
      <c r="F431" t="s">
        <v>663</v>
      </c>
      <c r="G431" s="37" t="str">
        <f>_xlfn.IFNA(INDEX(COUNTRIES[COUNTRY_LABEL],MATCH(PROPERTIES[[#This Row],[COUNTRY]],COUNTRIES[COUNTRY_DESCRIPTION],0)),"")</f>
        <v>MA</v>
      </c>
      <c r="H4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INDEX(LOADINGSPEEDDEF[SPEED],MATCH("LOADINGSPEEDDEF_"&amp;PROPERTIES[[#This Row],[LOADINGSPEED]],LOADINGSPEEDDEF[TYPE],0))</f>
        <v>20</v>
      </c>
      <c r="O4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4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1" t="b">
        <v>0</v>
      </c>
      <c r="AP431" s="45" t="b">
        <v>0</v>
      </c>
      <c r="AQ431" s="45" t="b">
        <v>0</v>
      </c>
      <c r="AR431" s="45">
        <v>0</v>
      </c>
      <c r="AS431" s="45" t="b">
        <v>0</v>
      </c>
      <c r="AT431" s="7" t="b">
        <v>0</v>
      </c>
      <c r="AU4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2" spans="1:47" x14ac:dyDescent="0.35">
      <c r="A432" s="2" t="s">
        <v>3057</v>
      </c>
      <c r="B432">
        <v>1961</v>
      </c>
      <c r="C432">
        <v>1981</v>
      </c>
      <c r="D4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2" s="37" t="str">
        <f>INDEX(CONTROL[ENGLISH],MATCH(PROPERTIES[[#This Row],[VEHIDCODE]],CONTROL[VEHIDCODE],0))</f>
        <v>Doncaster AL5</v>
      </c>
      <c r="F432" t="s">
        <v>603</v>
      </c>
      <c r="G432" s="37" t="str">
        <f>_xlfn.IFNA(INDEX(COUNTRIES[COUNTRY_LABEL],MATCH(PROPERTIES[[#This Row],[COUNTRY]],COUNTRIES[COUNTRY_DESCRIPTION],0)),"")</f>
        <v>GB</v>
      </c>
      <c r="H4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INDEX(LOADINGSPEEDDEF[SPEED],MATCH("LOADINGSPEEDDEF_"&amp;PROPERTIES[[#This Row],[LOADINGSPEED]],LOADINGSPEEDDEF[TYPE],0))</f>
        <v>20</v>
      </c>
      <c r="O4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4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1" t="b">
        <v>0</v>
      </c>
      <c r="AP432" s="45" t="b">
        <v>0</v>
      </c>
      <c r="AQ432" s="45" t="b">
        <v>0</v>
      </c>
      <c r="AR432" s="45">
        <v>0</v>
      </c>
      <c r="AS432" s="45" t="b">
        <v>0</v>
      </c>
      <c r="AT432" s="7" t="b">
        <v>0</v>
      </c>
      <c r="AU4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3" spans="1:47" x14ac:dyDescent="0.35">
      <c r="A433" s="2" t="s">
        <v>3058</v>
      </c>
      <c r="B433">
        <v>1982</v>
      </c>
      <c r="D4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3" s="37" t="str">
        <f>INDEX(CONTROL[ENGLISH],MATCH(PROPERTIES[[#This Row],[VEHIDCODE]],CONTROL[VEHIDCODE],0))</f>
        <v>GE E60C-2</v>
      </c>
      <c r="F433" t="s">
        <v>683</v>
      </c>
      <c r="G433" s="37" t="str">
        <f>_xlfn.IFNA(INDEX(COUNTRIES[COUNTRY_LABEL],MATCH(PROPERTIES[[#This Row],[COUNTRY]],COUNTRIES[COUNTRY_DESCRIPTION],0)),"")</f>
        <v>MX</v>
      </c>
      <c r="H4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INDEX(LOADINGSPEEDDEF[SPEED],MATCH("LOADINGSPEEDDEF_"&amp;PROPERTIES[[#This Row],[LOADINGSPEED]],LOADINGSPEEDDEF[TYPE],0))</f>
        <v>20</v>
      </c>
      <c r="O4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4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1" t="b">
        <v>0</v>
      </c>
      <c r="AP433" s="45" t="b">
        <v>0</v>
      </c>
      <c r="AQ433" s="45" t="b">
        <v>0</v>
      </c>
      <c r="AR433" s="45">
        <v>0</v>
      </c>
      <c r="AS433" s="45" t="b">
        <v>0</v>
      </c>
      <c r="AT433" s="7" t="b">
        <v>0</v>
      </c>
      <c r="AU4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4" spans="1:47" x14ac:dyDescent="0.35">
      <c r="A434" s="2" t="s">
        <v>3059</v>
      </c>
      <c r="B434">
        <v>2010</v>
      </c>
      <c r="D4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4" s="37" t="str">
        <f>INDEX(CONTROL[ENGLISH],MATCH(PROPERTIES[[#This Row],[VEHIDCODE]],CONTROL[VEHIDCODE],0))</f>
        <v>Alstom E 1400</v>
      </c>
      <c r="F434" t="s">
        <v>663</v>
      </c>
      <c r="G434" s="37" t="str">
        <f>_xlfn.IFNA(INDEX(COUNTRIES[COUNTRY_LABEL],MATCH(PROPERTIES[[#This Row],[COUNTRY]],COUNTRIES[COUNTRY_DESCRIPTION],0)),"")</f>
        <v>MA</v>
      </c>
      <c r="H4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INDEX(LOADINGSPEEDDEF[SPEED],MATCH("LOADINGSPEEDDEF_"&amp;PROPERTIES[[#This Row],[LOADINGSPEED]],LOADINGSPEEDDEF[TYPE],0))</f>
        <v>20</v>
      </c>
      <c r="O4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4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1" t="b">
        <v>0</v>
      </c>
      <c r="AP434" s="45" t="b">
        <v>0</v>
      </c>
      <c r="AQ434" s="45" t="b">
        <v>0</v>
      </c>
      <c r="AR434" s="45">
        <v>0</v>
      </c>
      <c r="AS434" s="45" t="b">
        <v>0</v>
      </c>
      <c r="AT434" s="7" t="b">
        <v>0</v>
      </c>
      <c r="AU4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5" spans="1:47" x14ac:dyDescent="0.35">
      <c r="A435" s="2" t="s">
        <v>3060</v>
      </c>
      <c r="B435">
        <v>1968</v>
      </c>
      <c r="C435">
        <v>1997</v>
      </c>
      <c r="D4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5" s="37" t="str">
        <f>INDEX(CONTROL[ENGLISH],MATCH(PROPERTIES[[#This Row],[VEHIDCODE]],CONTROL[VEHIDCODE],0))</f>
        <v>Toshiba EA</v>
      </c>
      <c r="F435" t="s">
        <v>697</v>
      </c>
      <c r="G435" s="37" t="str">
        <f>_xlfn.IFNA(INDEX(COUNTRIES[COUNTRY_LABEL],MATCH(PROPERTIES[[#This Row],[COUNTRY]],COUNTRIES[COUNTRY_DESCRIPTION],0)),"")</f>
        <v>NZ</v>
      </c>
      <c r="H4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INDEX(LOADINGSPEEDDEF[SPEED],MATCH("LOADINGSPEEDDEF_"&amp;PROPERTIES[[#This Row],[LOADINGSPEED]],LOADINGSPEEDDEF[TYPE],0))</f>
        <v>20</v>
      </c>
      <c r="O4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4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1" t="b">
        <v>0</v>
      </c>
      <c r="AP435" s="45" t="b">
        <v>0</v>
      </c>
      <c r="AQ435" s="45" t="b">
        <v>0</v>
      </c>
      <c r="AR435" s="45">
        <v>0</v>
      </c>
      <c r="AS435" s="45" t="b">
        <v>0</v>
      </c>
      <c r="AT435" s="7" t="b">
        <v>0</v>
      </c>
      <c r="AU4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6" spans="1:47" x14ac:dyDescent="0.35">
      <c r="A436" s="2" t="s">
        <v>3061</v>
      </c>
      <c r="B436">
        <v>1983</v>
      </c>
      <c r="C436">
        <v>2004</v>
      </c>
      <c r="D4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6" s="37" t="str">
        <f>INDEX(CONTROL[ENGLISH],MATCH(PROPERTIES[[#This Row],[VEHIDCODE]],CONTROL[VEHIDCODE],0))</f>
        <v>ASEA-GMD GF6C</v>
      </c>
      <c r="F436" t="s">
        <v>565</v>
      </c>
      <c r="G436" s="37" t="str">
        <f>_xlfn.IFNA(INDEX(COUNTRIES[COUNTRY_LABEL],MATCH(PROPERTIES[[#This Row],[COUNTRY]],COUNTRIES[COUNTRY_DESCRIPTION],0)),"")</f>
        <v>CA</v>
      </c>
      <c r="H4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INDEX(LOADINGSPEEDDEF[SPEED],MATCH("LOADINGSPEEDDEF_"&amp;PROPERTIES[[#This Row],[LOADINGSPEED]],LOADINGSPEEDDEF[TYPE],0))</f>
        <v>20</v>
      </c>
      <c r="O4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4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1" t="b">
        <v>0</v>
      </c>
      <c r="AP436" s="45" t="b">
        <v>0</v>
      </c>
      <c r="AQ436" s="45" t="b">
        <v>0</v>
      </c>
      <c r="AR436" s="45">
        <v>0</v>
      </c>
      <c r="AS436" s="45" t="b">
        <v>0</v>
      </c>
      <c r="AT436" s="7" t="b">
        <v>0</v>
      </c>
      <c r="AU4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7" spans="1:47" x14ac:dyDescent="0.35">
      <c r="A437" s="2" t="s">
        <v>3062</v>
      </c>
      <c r="B437">
        <v>1976</v>
      </c>
      <c r="C437">
        <v>1995</v>
      </c>
      <c r="D4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7" s="37" t="str">
        <f>INDEX(CONTROL[ENGLISH],MATCH(PROPERTIES[[#This Row],[VEHIDCODE]],CONTROL[VEHIDCODE],0))</f>
        <v>Alsthom BB 22200</v>
      </c>
      <c r="F437" t="s">
        <v>602</v>
      </c>
      <c r="G437" s="37" t="str">
        <f>_xlfn.IFNA(INDEX(COUNTRIES[COUNTRY_LABEL],MATCH(PROPERTIES[[#This Row],[COUNTRY]],COUNTRIES[COUNTRY_DESCRIPTION],0)),"")</f>
        <v>FR</v>
      </c>
      <c r="H4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INDEX(LOADINGSPEEDDEF[SPEED],MATCH("LOADINGSPEEDDEF_"&amp;PROPERTIES[[#This Row],[LOADINGSPEED]],LOADINGSPEEDDEF[TYPE],0))</f>
        <v>20</v>
      </c>
      <c r="O4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4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1" t="b">
        <v>0</v>
      </c>
      <c r="AP437" s="45" t="b">
        <v>0</v>
      </c>
      <c r="AQ437" s="45" t="b">
        <v>0</v>
      </c>
      <c r="AR437" s="45">
        <v>0</v>
      </c>
      <c r="AS437" s="45" t="b">
        <v>0</v>
      </c>
      <c r="AT437" s="7" t="b">
        <v>0</v>
      </c>
      <c r="AU4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8" spans="1:47" x14ac:dyDescent="0.35">
      <c r="A438" s="2" t="s">
        <v>3063</v>
      </c>
      <c r="B438">
        <v>1989</v>
      </c>
      <c r="C438">
        <v>2015</v>
      </c>
      <c r="D4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8" s="37" t="str">
        <f>INDEX(CONTROL[ENGLISH],MATCH(PROPERTIES[[#This Row],[VEHIDCODE]],CONTROL[VEHIDCODE],0))</f>
        <v>GEC-Alsthom BB 26000</v>
      </c>
      <c r="F438" t="s">
        <v>602</v>
      </c>
      <c r="G438" s="37" t="str">
        <f>_xlfn.IFNA(INDEX(COUNTRIES[COUNTRY_LABEL],MATCH(PROPERTIES[[#This Row],[COUNTRY]],COUNTRIES[COUNTRY_DESCRIPTION],0)),"")</f>
        <v>FR</v>
      </c>
      <c r="H4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INDEX(LOADINGSPEEDDEF[SPEED],MATCH("LOADINGSPEEDDEF_"&amp;PROPERTIES[[#This Row],[LOADINGSPEED]],LOADINGSPEEDDEF[TYPE],0))</f>
        <v>20</v>
      </c>
      <c r="O4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4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1" t="b">
        <v>0</v>
      </c>
      <c r="AP438" s="45" t="b">
        <v>0</v>
      </c>
      <c r="AQ438" s="45" t="b">
        <v>0</v>
      </c>
      <c r="AR438" s="45">
        <v>0</v>
      </c>
      <c r="AS438" s="45" t="b">
        <v>0</v>
      </c>
      <c r="AT438" s="7" t="b">
        <v>0</v>
      </c>
      <c r="AU4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39" spans="1:47" x14ac:dyDescent="0.35">
      <c r="A439" s="2" t="s">
        <v>3064</v>
      </c>
      <c r="B439">
        <v>1964</v>
      </c>
      <c r="C439">
        <v>2021</v>
      </c>
      <c r="D4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39" s="37" t="str">
        <f>INDEX(CONTROL[ENGLISH],MATCH(PROPERTIES[[#This Row],[VEHIDCODE]],CONTROL[VEHIDCODE],0))</f>
        <v>Alsthom BB 25500</v>
      </c>
      <c r="F439" t="s">
        <v>602</v>
      </c>
      <c r="G439" s="37" t="str">
        <f>_xlfn.IFNA(INDEX(COUNTRIES[COUNTRY_LABEL],MATCH(PROPERTIES[[#This Row],[COUNTRY]],COUNTRIES[COUNTRY_DESCRIPTION],0)),"")</f>
        <v>FR</v>
      </c>
      <c r="H4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INDEX(LOADINGSPEEDDEF[SPEED],MATCH("LOADINGSPEEDDEF_"&amp;PROPERTIES[[#This Row],[LOADINGSPEED]],LOADINGSPEEDDEF[TYPE],0))</f>
        <v>20</v>
      </c>
      <c r="O4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4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3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1" t="b">
        <v>0</v>
      </c>
      <c r="AP439" s="45" t="b">
        <v>0</v>
      </c>
      <c r="AQ439" s="45" t="b">
        <v>0</v>
      </c>
      <c r="AR439" s="45">
        <v>0</v>
      </c>
      <c r="AS439" s="45" t="b">
        <v>0</v>
      </c>
      <c r="AT439" s="7" t="b">
        <v>0</v>
      </c>
      <c r="AU4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0" spans="1:47" x14ac:dyDescent="0.35">
      <c r="A440" s="2" t="s">
        <v>3065</v>
      </c>
      <c r="B440">
        <v>2000</v>
      </c>
      <c r="D4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0" s="37" t="str">
        <f>INDEX(CONTROL[ENGLISH],MATCH(PROPERTIES[[#This Row],[VEHIDCODE]],CONTROL[VEHIDCODE],0))</f>
        <v>Siemens EuroSprinter ES64U4</v>
      </c>
      <c r="F440" t="s">
        <v>584</v>
      </c>
      <c r="G440" s="37" t="str">
        <f>_xlfn.IFNA(INDEX(COUNTRIES[COUNTRY_LABEL],MATCH(PROPERTIES[[#This Row],[COUNTRY]],COUNTRIES[COUNTRY_DESCRIPTION],0)),"")</f>
        <v>DE</v>
      </c>
      <c r="H4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INDEX(LOADINGSPEEDDEF[SPEED],MATCH("LOADINGSPEEDDEF_"&amp;PROPERTIES[[#This Row],[LOADINGSPEED]],LOADINGSPEEDDEF[TYPE],0))</f>
        <v>20</v>
      </c>
      <c r="O4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4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1" t="b">
        <v>0</v>
      </c>
      <c r="AP440" s="45" t="b">
        <v>0</v>
      </c>
      <c r="AQ440" s="45" t="b">
        <v>0</v>
      </c>
      <c r="AR440" s="45">
        <v>0</v>
      </c>
      <c r="AS440" s="45" t="b">
        <v>0</v>
      </c>
      <c r="AT440" s="7" t="b">
        <v>0</v>
      </c>
      <c r="AU4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1" spans="1:47" x14ac:dyDescent="0.35">
      <c r="A441" s="2" t="s">
        <v>3066</v>
      </c>
      <c r="B441">
        <v>1997</v>
      </c>
      <c r="D4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1" s="37" t="str">
        <f>INDEX(CONTROL[ENGLISH],MATCH(PROPERTIES[[#This Row],[VEHIDCODE]],CONTROL[VEHIDCODE],0))</f>
        <v>Toshiba EH500</v>
      </c>
      <c r="F441" t="s">
        <v>640</v>
      </c>
      <c r="G441" s="37" t="str">
        <f>_xlfn.IFNA(INDEX(COUNTRIES[COUNTRY_LABEL],MATCH(PROPERTIES[[#This Row],[COUNTRY]],COUNTRIES[COUNTRY_DESCRIPTION],0)),"")</f>
        <v>JP</v>
      </c>
      <c r="H4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INDEX(LOADINGSPEEDDEF[SPEED],MATCH("LOADINGSPEEDDEF_"&amp;PROPERTIES[[#This Row],[LOADINGSPEED]],LOADINGSPEEDDEF[TYPE],0))</f>
        <v>20</v>
      </c>
      <c r="O4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4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1" t="b">
        <v>0</v>
      </c>
      <c r="AP441" s="45" t="b">
        <v>0</v>
      </c>
      <c r="AQ441" s="45" t="b">
        <v>0</v>
      </c>
      <c r="AR441" s="45">
        <v>0</v>
      </c>
      <c r="AS441" s="45" t="b">
        <v>0</v>
      </c>
      <c r="AT441" s="7" t="b">
        <v>0</v>
      </c>
      <c r="AU4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442" spans="1:47" x14ac:dyDescent="0.35">
      <c r="A442" s="2" t="s">
        <v>3067</v>
      </c>
      <c r="B442">
        <v>1978</v>
      </c>
      <c r="C442">
        <v>1999</v>
      </c>
      <c r="D4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2" s="37" t="str">
        <f>INDEX(CONTROL[ENGLISH],MATCH(PROPERTIES[[#This Row],[VEHIDCODE]],CONTROL[VEHIDCODE],0))</f>
        <v>ASEA-EMD AEM-7</v>
      </c>
      <c r="F442" t="s">
        <v>757</v>
      </c>
      <c r="G442" s="37" t="str">
        <f>_xlfn.IFNA(INDEX(COUNTRIES[COUNTRY_LABEL],MATCH(PROPERTIES[[#This Row],[COUNTRY]],COUNTRIES[COUNTRY_DESCRIPTION],0)),"")</f>
        <v>US</v>
      </c>
      <c r="H4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INDEX(LOADINGSPEEDDEF[SPEED],MATCH("LOADINGSPEEDDEF_"&amp;PROPERTIES[[#This Row],[LOADINGSPEED]],LOADINGSPEEDDEF[TYPE],0))</f>
        <v>20</v>
      </c>
      <c r="O4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4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1" t="b">
        <v>0</v>
      </c>
      <c r="AP442" s="45" t="b">
        <v>0</v>
      </c>
      <c r="AQ442" s="45" t="b">
        <v>0</v>
      </c>
      <c r="AR442" s="45">
        <v>0</v>
      </c>
      <c r="AS442" s="45" t="b">
        <v>0</v>
      </c>
      <c r="AT442" s="7" t="b">
        <v>0</v>
      </c>
      <c r="AU4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3" spans="1:47" x14ac:dyDescent="0.35">
      <c r="A443" s="2" t="s">
        <v>3068</v>
      </c>
      <c r="B443">
        <v>1999</v>
      </c>
      <c r="D4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3" s="37" t="str">
        <f>INDEX(CONTROL[ENGLISH],MATCH(PROPERTIES[[#This Row],[VEHIDCODE]],CONTROL[VEHIDCODE],0))</f>
        <v>Bombardier-Alstom HHP-8</v>
      </c>
      <c r="F443" t="s">
        <v>757</v>
      </c>
      <c r="G443" s="37" t="str">
        <f>_xlfn.IFNA(INDEX(COUNTRIES[COUNTRY_LABEL],MATCH(PROPERTIES[[#This Row],[COUNTRY]],COUNTRIES[COUNTRY_DESCRIPTION],0)),"")</f>
        <v>US</v>
      </c>
      <c r="H4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INDEX(LOADINGSPEEDDEF[SPEED],MATCH("LOADINGSPEEDDEF_"&amp;PROPERTIES[[#This Row],[LOADINGSPEED]],LOADINGSPEEDDEF[TYPE],0))</f>
        <v>20</v>
      </c>
      <c r="O4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4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1" t="b">
        <v>0</v>
      </c>
      <c r="AP443" s="45" t="b">
        <v>0</v>
      </c>
      <c r="AQ443" s="45" t="b">
        <v>0</v>
      </c>
      <c r="AR443" s="45">
        <v>0</v>
      </c>
      <c r="AS443" s="45" t="b">
        <v>0</v>
      </c>
      <c r="AT443" s="7" t="b">
        <v>0</v>
      </c>
      <c r="AU4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4" spans="1:47" x14ac:dyDescent="0.35">
      <c r="A444" s="2" t="s">
        <v>3069</v>
      </c>
      <c r="B444">
        <v>2008</v>
      </c>
      <c r="D4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4" s="37" t="str">
        <f>INDEX(CONTROL[ENGLISH],MATCH(PROPERTIES[[#This Row],[VEHIDCODE]],CONTROL[VEHIDCODE],0))</f>
        <v>Skoda 109E</v>
      </c>
      <c r="F444" t="s">
        <v>583</v>
      </c>
      <c r="G444" s="37" t="str">
        <f>_xlfn.IFNA(INDEX(COUNTRIES[COUNTRY_LABEL],MATCH(PROPERTIES[[#This Row],[COUNTRY]],COUNTRIES[COUNTRY_DESCRIPTION],0)),"")</f>
        <v>CZ</v>
      </c>
      <c r="H4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INDEX(LOADINGSPEEDDEF[SPEED],MATCH("LOADINGSPEEDDEF_"&amp;PROPERTIES[[#This Row],[LOADINGSPEED]],LOADINGSPEEDDEF[TYPE],0))</f>
        <v>20</v>
      </c>
      <c r="O4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4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1" t="b">
        <v>0</v>
      </c>
      <c r="AP444" s="45" t="b">
        <v>0</v>
      </c>
      <c r="AQ444" s="45" t="b">
        <v>0</v>
      </c>
      <c r="AR444" s="45">
        <v>0</v>
      </c>
      <c r="AS444" s="45" t="b">
        <v>0</v>
      </c>
      <c r="AT444" s="7" t="b">
        <v>0</v>
      </c>
      <c r="AU4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5" spans="1:47" x14ac:dyDescent="0.35">
      <c r="A445" s="2" t="s">
        <v>3070</v>
      </c>
      <c r="B445">
        <v>1992</v>
      </c>
      <c r="D4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5" s="37" t="str">
        <f>INDEX(CONTROL[ENGLISH],MATCH(PROPERTIES[[#This Row],[VEHIDCODE]],CONTROL[VEHIDCODE],0))</f>
        <v>CAF/Macosa 252</v>
      </c>
      <c r="F445" t="s">
        <v>595</v>
      </c>
      <c r="G445" s="37" t="str">
        <f>_xlfn.IFNA(INDEX(COUNTRIES[COUNTRY_LABEL],MATCH(PROPERTIES[[#This Row],[COUNTRY]],COUNTRIES[COUNTRY_DESCRIPTION],0)),"")</f>
        <v>ES</v>
      </c>
      <c r="H4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INDEX(LOADINGSPEEDDEF[SPEED],MATCH("LOADINGSPEEDDEF_"&amp;PROPERTIES[[#This Row],[LOADINGSPEED]],LOADINGSPEEDDEF[TYPE],0))</f>
        <v>20</v>
      </c>
      <c r="O4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4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1" t="b">
        <v>0</v>
      </c>
      <c r="AP445" s="45" t="b">
        <v>0</v>
      </c>
      <c r="AQ445" s="45" t="b">
        <v>0</v>
      </c>
      <c r="AR445" s="45">
        <v>0</v>
      </c>
      <c r="AS445" s="45" t="b">
        <v>0</v>
      </c>
      <c r="AT445" s="7" t="b">
        <v>0</v>
      </c>
      <c r="AU4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6" spans="1:47" x14ac:dyDescent="0.35">
      <c r="A446" s="2" t="s">
        <v>3071</v>
      </c>
      <c r="B446">
        <v>2000</v>
      </c>
      <c r="D4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6" s="37" t="str">
        <f>INDEX(CONTROL[ENGLISH],MATCH(PROPERTIES[[#This Row],[VEHIDCODE]],CONTROL[VEHIDCODE],0))</f>
        <v>Bombardier Traxx F140 MS</v>
      </c>
      <c r="F446" t="s">
        <v>584</v>
      </c>
      <c r="G446" s="37" t="str">
        <f>_xlfn.IFNA(INDEX(COUNTRIES[COUNTRY_LABEL],MATCH(PROPERTIES[[#This Row],[COUNTRY]],COUNTRIES[COUNTRY_DESCRIPTION],0)),"")</f>
        <v>DE</v>
      </c>
      <c r="H4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INDEX(LOADINGSPEEDDEF[SPEED],MATCH("LOADINGSPEEDDEF_"&amp;PROPERTIES[[#This Row],[LOADINGSPEED]],LOADINGSPEEDDEF[TYPE],0))</f>
        <v>20</v>
      </c>
      <c r="O44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4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1" t="b">
        <v>0</v>
      </c>
      <c r="AP446" s="45" t="b">
        <v>0</v>
      </c>
      <c r="AQ446" s="45" t="b">
        <v>0</v>
      </c>
      <c r="AR446" s="45">
        <v>0</v>
      </c>
      <c r="AS446" s="45" t="b">
        <v>0</v>
      </c>
      <c r="AT446" s="7" t="b">
        <v>0</v>
      </c>
      <c r="AU4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7" spans="1:47" x14ac:dyDescent="0.35">
      <c r="A447" s="2" t="s">
        <v>3072</v>
      </c>
      <c r="B447">
        <v>1908</v>
      </c>
      <c r="C447">
        <v>1965</v>
      </c>
      <c r="D4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7" s="37" t="str">
        <f>INDEX(CONTROL[ENGLISH],MATCH(PROPERTIES[[#This Row],[VEHIDCODE]],CONTROL[VEHIDCODE],0))</f>
        <v>TIBB E.550</v>
      </c>
      <c r="F447" t="s">
        <v>636</v>
      </c>
      <c r="G447" s="37" t="str">
        <f>_xlfn.IFNA(INDEX(COUNTRIES[COUNTRY_LABEL],MATCH(PROPERTIES[[#This Row],[COUNTRY]],COUNTRIES[COUNTRY_DESCRIPTION],0)),"")</f>
        <v>IT</v>
      </c>
      <c r="H4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INDEX(LOADINGSPEEDDEF[SPEED],MATCH("LOADINGSPEEDDEF_"&amp;PROPERTIES[[#This Row],[LOADINGSPEED]],LOADINGSPEEDDEF[TYPE],0))</f>
        <v>20</v>
      </c>
      <c r="O4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4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1" t="b">
        <v>0</v>
      </c>
      <c r="AP447" s="45" t="b">
        <v>0</v>
      </c>
      <c r="AQ447" s="45" t="b">
        <v>0</v>
      </c>
      <c r="AR447" s="45">
        <v>0</v>
      </c>
      <c r="AS447" s="45" t="b">
        <v>0</v>
      </c>
      <c r="AT447" s="7" t="b">
        <v>0</v>
      </c>
      <c r="AU4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448" spans="1:47" x14ac:dyDescent="0.35">
      <c r="A448" s="2" t="s">
        <v>3073</v>
      </c>
      <c r="B448">
        <v>1967</v>
      </c>
      <c r="C448">
        <v>2004</v>
      </c>
      <c r="D4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8" s="37" t="str">
        <f>INDEX(CONTROL[ENGLISH],MATCH(PROPERTIES[[#This Row],[VEHIDCODE]],CONTROL[VEHIDCODE],0))</f>
        <v>Hitachi EF81</v>
      </c>
      <c r="F448" t="s">
        <v>640</v>
      </c>
      <c r="G448" s="37" t="str">
        <f>_xlfn.IFNA(INDEX(COUNTRIES[COUNTRY_LABEL],MATCH(PROPERTIES[[#This Row],[COUNTRY]],COUNTRIES[COUNTRY_DESCRIPTION],0)),"")</f>
        <v>JP</v>
      </c>
      <c r="H4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INDEX(LOADINGSPEEDDEF[SPEED],MATCH("LOADINGSPEEDDEF_"&amp;PROPERTIES[[#This Row],[LOADINGSPEED]],LOADINGSPEEDDEF[TYPE],0))</f>
        <v>20</v>
      </c>
      <c r="O4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4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1" t="b">
        <v>0</v>
      </c>
      <c r="AP448" s="45" t="b">
        <v>0</v>
      </c>
      <c r="AQ448" s="45" t="b">
        <v>0</v>
      </c>
      <c r="AR448" s="45">
        <v>0</v>
      </c>
      <c r="AS448" s="45" t="b">
        <v>0</v>
      </c>
      <c r="AT448" s="7" t="b">
        <v>0</v>
      </c>
      <c r="AU4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49" spans="1:47" x14ac:dyDescent="0.35">
      <c r="A449" s="2" t="s">
        <v>3074</v>
      </c>
      <c r="B449">
        <v>1993</v>
      </c>
      <c r="D4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49" s="37" t="str">
        <f>INDEX(CONTROL[ENGLISH],MATCH(PROPERTIES[[#This Row],[VEHIDCODE]],CONTROL[VEHIDCODE],0))</f>
        <v>ABB/Brush Class 92</v>
      </c>
      <c r="F449" t="s">
        <v>603</v>
      </c>
      <c r="G449" s="37" t="str">
        <f>_xlfn.IFNA(INDEX(COUNTRIES[COUNTRY_LABEL],MATCH(PROPERTIES[[#This Row],[COUNTRY]],COUNTRIES[COUNTRY_DESCRIPTION],0)),"")</f>
        <v>GB</v>
      </c>
      <c r="H4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INDEX(LOADINGSPEEDDEF[SPEED],MATCH("LOADINGSPEEDDEF_"&amp;PROPERTIES[[#This Row],[LOADINGSPEED]],LOADINGSPEEDDEF[TYPE],0))</f>
        <v>20</v>
      </c>
      <c r="O44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4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4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1" t="b">
        <v>0</v>
      </c>
      <c r="AP449" s="45" t="b">
        <v>0</v>
      </c>
      <c r="AQ449" s="45" t="b">
        <v>0</v>
      </c>
      <c r="AR449" s="45">
        <v>0</v>
      </c>
      <c r="AS449" s="45" t="b">
        <v>0</v>
      </c>
      <c r="AT449" s="7" t="b">
        <v>0</v>
      </c>
      <c r="AU4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0" spans="1:47" x14ac:dyDescent="0.35">
      <c r="A450" s="2" t="s">
        <v>3075</v>
      </c>
      <c r="B450">
        <v>2012</v>
      </c>
      <c r="D4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0" s="37" t="str">
        <f>INDEX(CONTROL[ENGLISH],MATCH(PROPERTIES[[#This Row],[VEHIDCODE]],CONTROL[VEHIDCODE],0))</f>
        <v>Siemens ACS-64</v>
      </c>
      <c r="F450" t="s">
        <v>757</v>
      </c>
      <c r="G450" s="37" t="str">
        <f>_xlfn.IFNA(INDEX(COUNTRIES[COUNTRY_LABEL],MATCH(PROPERTIES[[#This Row],[COUNTRY]],COUNTRIES[COUNTRY_DESCRIPTION],0)),"")</f>
        <v>US</v>
      </c>
      <c r="H4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INDEX(LOADINGSPEEDDEF[SPEED],MATCH("LOADINGSPEEDDEF_"&amp;PROPERTIES[[#This Row],[LOADINGSPEED]],LOADINGSPEEDDEF[TYPE],0))</f>
        <v>20</v>
      </c>
      <c r="O4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4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1" t="b">
        <v>0</v>
      </c>
      <c r="AP450" s="45" t="b">
        <v>0</v>
      </c>
      <c r="AQ450" s="45" t="b">
        <v>0</v>
      </c>
      <c r="AR450" s="45">
        <v>0</v>
      </c>
      <c r="AS450" s="45" t="b">
        <v>0</v>
      </c>
      <c r="AT450" s="7" t="b">
        <v>0</v>
      </c>
      <c r="AU4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1" spans="1:47" x14ac:dyDescent="0.35">
      <c r="A451" s="2" t="s">
        <v>3076</v>
      </c>
      <c r="B451">
        <v>1964</v>
      </c>
      <c r="C451">
        <v>1996</v>
      </c>
      <c r="D4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1" s="37" t="str">
        <f>INDEX(CONTROL[ENGLISH],MATCH(PROPERTIES[[#This Row],[VEHIDCODE]],CONTROL[VEHIDCODE],0))</f>
        <v>Alsthom CC 40100</v>
      </c>
      <c r="F451" t="s">
        <v>602</v>
      </c>
      <c r="G451" s="37" t="str">
        <f>_xlfn.IFNA(INDEX(COUNTRIES[COUNTRY_LABEL],MATCH(PROPERTIES[[#This Row],[COUNTRY]],COUNTRIES[COUNTRY_DESCRIPTION],0)),"")</f>
        <v>FR</v>
      </c>
      <c r="H4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INDEX(LOADINGSPEEDDEF[SPEED],MATCH("LOADINGSPEEDDEF_"&amp;PROPERTIES[[#This Row],[LOADINGSPEED]],LOADINGSPEEDDEF[TYPE],0))</f>
        <v>20</v>
      </c>
      <c r="O4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4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1" t="b">
        <v>0</v>
      </c>
      <c r="AP451" s="45" t="b">
        <v>0</v>
      </c>
      <c r="AQ451" s="45" t="b">
        <v>0</v>
      </c>
      <c r="AR451" s="45">
        <v>0</v>
      </c>
      <c r="AS451" s="45" t="b">
        <v>0</v>
      </c>
      <c r="AT451" s="7" t="b">
        <v>0</v>
      </c>
      <c r="AU4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2" spans="1:47" x14ac:dyDescent="0.35">
      <c r="A452" s="2" t="s">
        <v>3077</v>
      </c>
      <c r="B452">
        <v>1997</v>
      </c>
      <c r="D4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452" s="37" t="str">
        <f>INDEX(CONTROL[ENGLISH],MATCH(PROPERTIES[[#This Row],[VEHIDCODE]],CONTROL[VEHIDCODE],0))</f>
        <v>Alsthom Class 13 HLE</v>
      </c>
      <c r="F452" t="s">
        <v>548</v>
      </c>
      <c r="G452" s="37" t="str">
        <f>_xlfn.IFNA(INDEX(COUNTRIES[COUNTRY_LABEL],MATCH(PROPERTIES[[#This Row],[COUNTRY]],COUNTRIES[COUNTRY_DESCRIPTION],0)),"")</f>
        <v>BE</v>
      </c>
      <c r="H4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INDEX(LOADINGSPEEDDEF[SPEED],MATCH("LOADINGSPEEDDEF_"&amp;PROPERTIES[[#This Row],[LOADINGSPEED]],LOADINGSPEEDDEF[TYPE],0))</f>
        <v>20</v>
      </c>
      <c r="O4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4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45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1" t="b">
        <v>0</v>
      </c>
      <c r="AP452" s="45" t="b">
        <v>0</v>
      </c>
      <c r="AQ452" s="45" t="b">
        <v>0</v>
      </c>
      <c r="AR452" s="45">
        <v>0</v>
      </c>
      <c r="AS452" s="45" t="b">
        <v>0</v>
      </c>
      <c r="AT452" s="7" t="b">
        <v>0</v>
      </c>
      <c r="AU4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453" spans="1:47" x14ac:dyDescent="0.35">
      <c r="A453" s="2" t="s">
        <v>3078</v>
      </c>
      <c r="B453">
        <v>1932</v>
      </c>
      <c r="C453">
        <v>1983</v>
      </c>
      <c r="D4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3" s="37" t="str">
        <f>INDEX(CONTROL[ENGLISH],MATCH(PROPERTIES[[#This Row],[VEHIDCODE]],CONTROL[VEHIDCODE],0))</f>
        <v>LHB VT 04.0 'Flying Hamburger'</v>
      </c>
      <c r="F453" t="s">
        <v>584</v>
      </c>
      <c r="G453" s="37" t="str">
        <f>_xlfn.IFNA(INDEX(COUNTRIES[COUNTRY_LABEL],MATCH(PROPERTIES[[#This Row],[COUNTRY]],COUNTRIES[COUNTRY_DESCRIPTION],0)),"")</f>
        <v>DE</v>
      </c>
      <c r="H4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INDEX(LOADINGSPEEDDEF[SPEED],MATCH("LOADINGSPEEDDEF_"&amp;PROPERTIES[[#This Row],[LOADINGSPEED]],LOADINGSPEEDDEF[TYPE],0))</f>
        <v>60</v>
      </c>
      <c r="O4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4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3" s="2" t="str">
        <f>SUBSTITUTE(SUBSTITUTE(PROPERTIES[[#This Row],[PURCHASECOST_VALUE]], "PURCHASECOST_", ""), "_VALUE", "")</f>
        <v>DMU</v>
      </c>
      <c r="AO453" s="41" t="b">
        <v>0</v>
      </c>
      <c r="AP453" s="45" t="b">
        <v>0</v>
      </c>
      <c r="AQ453" s="45" t="b">
        <v>0</v>
      </c>
      <c r="AR453" s="45">
        <v>0</v>
      </c>
      <c r="AS453" s="45" t="b">
        <v>0</v>
      </c>
      <c r="AT453" s="7" t="b">
        <v>0</v>
      </c>
      <c r="AU4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4" spans="1:47" x14ac:dyDescent="0.35">
      <c r="A454" s="2" t="s">
        <v>3079</v>
      </c>
      <c r="B454">
        <v>1937</v>
      </c>
      <c r="C454">
        <v>1989</v>
      </c>
      <c r="D4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4" s="37" t="str">
        <f>INDEX(CONTROL[ENGLISH],MATCH(PROPERTIES[[#This Row],[VEHIDCODE]],CONTROL[VEHIDCODE],0))</f>
        <v>Harland &amp; Wolf 'Silver City Comet'</v>
      </c>
      <c r="F454" t="s">
        <v>541</v>
      </c>
      <c r="G454" s="37" t="str">
        <f>_xlfn.IFNA(INDEX(COUNTRIES[COUNTRY_LABEL],MATCH(PROPERTIES[[#This Row],[COUNTRY]],COUNTRIES[COUNTRY_DESCRIPTION],0)),"")</f>
        <v>AU</v>
      </c>
      <c r="H4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INDEX(LOADINGSPEEDDEF[SPEED],MATCH("LOADINGSPEEDDEF_"&amp;PROPERTIES[[#This Row],[LOADINGSPEED]],LOADINGSPEEDDEF[TYPE],0))</f>
        <v>20</v>
      </c>
      <c r="O4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4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4" s="2" t="str">
        <f>SUBSTITUTE(SUBSTITUTE(PROPERTIES[[#This Row],[PURCHASECOST_VALUE]], "PURCHASECOST_", ""), "_VALUE", "")</f>
        <v>DMU</v>
      </c>
      <c r="AO454" s="41" t="b">
        <v>0</v>
      </c>
      <c r="AP454" s="45" t="b">
        <v>0</v>
      </c>
      <c r="AQ454" s="45" t="b">
        <v>0</v>
      </c>
      <c r="AR454" s="45">
        <v>0</v>
      </c>
      <c r="AS454" s="45" t="b">
        <v>0</v>
      </c>
      <c r="AT454" s="7" t="b">
        <v>0</v>
      </c>
      <c r="AU4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5" spans="1:47" x14ac:dyDescent="0.35">
      <c r="A455" s="2" t="s">
        <v>3080</v>
      </c>
      <c r="B455">
        <v>1948</v>
      </c>
      <c r="C455">
        <v>1984</v>
      </c>
      <c r="D4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5" s="37" t="str">
        <f>INDEX(CONTROL[ENGLISH],MATCH(PROPERTIES[[#This Row],[VEHIDCODE]],CONTROL[VEHIDCODE],0))</f>
        <v>Tatra M131</v>
      </c>
      <c r="F455" t="s">
        <v>583</v>
      </c>
      <c r="G455" s="37" t="str">
        <f>_xlfn.IFNA(INDEX(COUNTRIES[COUNTRY_LABEL],MATCH(PROPERTIES[[#This Row],[COUNTRY]],COUNTRIES[COUNTRY_DESCRIPTION],0)),"")</f>
        <v>CZ</v>
      </c>
      <c r="H4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INDEX(LOADINGSPEEDDEF[SPEED],MATCH("LOADINGSPEEDDEF_"&amp;PROPERTIES[[#This Row],[LOADINGSPEED]],LOADINGSPEEDDEF[TYPE],0))</f>
        <v>60</v>
      </c>
      <c r="O4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4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5" s="2" t="str">
        <f>SUBSTITUTE(SUBSTITUTE(PROPERTIES[[#This Row],[PURCHASECOST_VALUE]], "PURCHASECOST_", ""), "_VALUE", "")</f>
        <v>DMU</v>
      </c>
      <c r="AO455" s="41" t="b">
        <v>0</v>
      </c>
      <c r="AP455" s="45" t="b">
        <v>0</v>
      </c>
      <c r="AQ455" s="45" t="b">
        <v>0</v>
      </c>
      <c r="AR455" s="45">
        <v>0</v>
      </c>
      <c r="AS455" s="45" t="b">
        <v>0</v>
      </c>
      <c r="AT455" s="7" t="b">
        <v>0</v>
      </c>
      <c r="AU4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6" spans="1:47" x14ac:dyDescent="0.35">
      <c r="A456" s="2" t="s">
        <v>3081</v>
      </c>
      <c r="B456">
        <v>1952</v>
      </c>
      <c r="C456">
        <v>1985</v>
      </c>
      <c r="D4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6" s="37" t="str">
        <f>INDEX(CONTROL[ENGLISH],MATCH(PROPERTIES[[#This Row],[VEHIDCODE]],CONTROL[VEHIDCODE],0))</f>
        <v>MAN VT 08.5</v>
      </c>
      <c r="F456" t="s">
        <v>584</v>
      </c>
      <c r="G456" s="37" t="str">
        <f>_xlfn.IFNA(INDEX(COUNTRIES[COUNTRY_LABEL],MATCH(PROPERTIES[[#This Row],[COUNTRY]],COUNTRIES[COUNTRY_DESCRIPTION],0)),"")</f>
        <v>DE</v>
      </c>
      <c r="H4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INDEX(LOADINGSPEEDDEF[SPEED],MATCH("LOADINGSPEEDDEF_"&amp;PROPERTIES[[#This Row],[LOADINGSPEED]],LOADINGSPEEDDEF[TYPE],0))</f>
        <v>60</v>
      </c>
      <c r="O4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4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6" s="2" t="str">
        <f>SUBSTITUTE(SUBSTITUTE(PROPERTIES[[#This Row],[PURCHASECOST_VALUE]], "PURCHASECOST_", ""), "_VALUE", "")</f>
        <v>DMU</v>
      </c>
      <c r="AO456" s="41" t="b">
        <v>0</v>
      </c>
      <c r="AP456" s="45" t="b">
        <v>0</v>
      </c>
      <c r="AQ456" s="45" t="b">
        <v>0</v>
      </c>
      <c r="AR456" s="45">
        <v>0</v>
      </c>
      <c r="AS456" s="45" t="b">
        <v>0</v>
      </c>
      <c r="AT456" s="7" t="b">
        <v>0</v>
      </c>
      <c r="AU4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7" spans="1:47" x14ac:dyDescent="0.35">
      <c r="A457" s="2" t="s">
        <v>3082</v>
      </c>
      <c r="B457">
        <v>1955</v>
      </c>
      <c r="C457">
        <v>1976</v>
      </c>
      <c r="D4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7" s="37" t="str">
        <f>INDEX(CONTROL[ENGLISH],MATCH(PROPERTIES[[#This Row],[VEHIDCODE]],CONTROL[VEHIDCODE],0))</f>
        <v>South Australian Railways 400 'Redhen'</v>
      </c>
      <c r="F457" t="s">
        <v>541</v>
      </c>
      <c r="G457" s="37" t="str">
        <f>_xlfn.IFNA(INDEX(COUNTRIES[COUNTRY_LABEL],MATCH(PROPERTIES[[#This Row],[COUNTRY]],COUNTRIES[COUNTRY_DESCRIPTION],0)),"")</f>
        <v>AU</v>
      </c>
      <c r="H4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INDEX(LOADINGSPEEDDEF[SPEED],MATCH("LOADINGSPEEDDEF_"&amp;PROPERTIES[[#This Row],[LOADINGSPEED]],LOADINGSPEEDDEF[TYPE],0))</f>
        <v>60</v>
      </c>
      <c r="O4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4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7" s="2" t="str">
        <f>SUBSTITUTE(SUBSTITUTE(PROPERTIES[[#This Row],[PURCHASECOST_VALUE]], "PURCHASECOST_", ""), "_VALUE", "")</f>
        <v>DMU</v>
      </c>
      <c r="AO457" s="41" t="b">
        <v>0</v>
      </c>
      <c r="AP457" s="45" t="b">
        <v>0</v>
      </c>
      <c r="AQ457" s="45" t="b">
        <v>0</v>
      </c>
      <c r="AR457" s="45">
        <v>0</v>
      </c>
      <c r="AS457" s="45" t="b">
        <v>0</v>
      </c>
      <c r="AT457" s="7" t="b">
        <v>0</v>
      </c>
      <c r="AU4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8" spans="1:47" x14ac:dyDescent="0.35">
      <c r="A458" s="2" t="s">
        <v>3083</v>
      </c>
      <c r="B458">
        <v>1957</v>
      </c>
      <c r="C458">
        <v>1988</v>
      </c>
      <c r="D4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8" s="37" t="str">
        <f>INDEX(CONTROL[ENGLISH],MATCH(PROPERTIES[[#This Row],[VEHIDCODE]],CONTROL[VEHIDCODE],0))</f>
        <v>MAN/LHB VT11.5/DB 601 'TEE'</v>
      </c>
      <c r="F458" t="s">
        <v>584</v>
      </c>
      <c r="G458" s="37" t="str">
        <f>_xlfn.IFNA(INDEX(COUNTRIES[COUNTRY_LABEL],MATCH(PROPERTIES[[#This Row],[COUNTRY]],COUNTRIES[COUNTRY_DESCRIPTION],0)),"")</f>
        <v>DE</v>
      </c>
      <c r="H4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INDEX(LOADINGSPEEDDEF[SPEED],MATCH("LOADINGSPEEDDEF_"&amp;PROPERTIES[[#This Row],[LOADINGSPEED]],LOADINGSPEEDDEF[TYPE],0))</f>
        <v>60</v>
      </c>
      <c r="O4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4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8" s="2" t="str">
        <f>SUBSTITUTE(SUBSTITUTE(PROPERTIES[[#This Row],[PURCHASECOST_VALUE]], "PURCHASECOST_", ""), "_VALUE", "")</f>
        <v>DMU</v>
      </c>
      <c r="AO458" s="41" t="b">
        <v>0</v>
      </c>
      <c r="AP458" s="45" t="b">
        <v>0</v>
      </c>
      <c r="AQ458" s="45" t="b">
        <v>0</v>
      </c>
      <c r="AR458" s="45">
        <v>0</v>
      </c>
      <c r="AS458" s="45" t="b">
        <v>0</v>
      </c>
      <c r="AT458" s="7" t="b">
        <v>0</v>
      </c>
      <c r="AU4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59" spans="1:47" x14ac:dyDescent="0.35">
      <c r="A459" s="2" t="s">
        <v>3084</v>
      </c>
      <c r="B459">
        <v>1960</v>
      </c>
      <c r="C459">
        <v>2000</v>
      </c>
      <c r="D4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59" s="37" t="str">
        <f>INDEX(CONTROL[ENGLISH],MATCH(PROPERTIES[[#This Row],[VEHIDCODE]],CONTROL[VEHIDCODE],0))</f>
        <v>Werkspoor Plan U DE-III</v>
      </c>
      <c r="F459" t="s">
        <v>692</v>
      </c>
      <c r="G459" s="37" t="str">
        <f>_xlfn.IFNA(INDEX(COUNTRIES[COUNTRY_LABEL],MATCH(PROPERTIES[[#This Row],[COUNTRY]],COUNTRIES[COUNTRY_DESCRIPTION],0)),"")</f>
        <v>NL</v>
      </c>
      <c r="H4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INDEX(LOADINGSPEEDDEF[SPEED],MATCH("LOADINGSPEEDDEF_"&amp;PROPERTIES[[#This Row],[LOADINGSPEED]],LOADINGSPEEDDEF[TYPE],0))</f>
        <v>60</v>
      </c>
      <c r="O4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4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5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59" s="2" t="str">
        <f>SUBSTITUTE(SUBSTITUTE(PROPERTIES[[#This Row],[PURCHASECOST_VALUE]], "PURCHASECOST_", ""), "_VALUE", "")</f>
        <v>DMU</v>
      </c>
      <c r="AO459" s="41" t="b">
        <v>0</v>
      </c>
      <c r="AP459" s="45" t="b">
        <v>0</v>
      </c>
      <c r="AQ459" s="45" t="b">
        <v>0</v>
      </c>
      <c r="AR459" s="45">
        <v>0</v>
      </c>
      <c r="AS459" s="45" t="b">
        <v>0</v>
      </c>
      <c r="AT459" s="7" t="b">
        <v>0</v>
      </c>
      <c r="AU4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0" spans="1:47" x14ac:dyDescent="0.35">
      <c r="A460" s="2" t="s">
        <v>3085</v>
      </c>
      <c r="B460">
        <v>1967</v>
      </c>
      <c r="C460">
        <v>1978</v>
      </c>
      <c r="D4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0" s="37" t="str">
        <f>INDEX(CONTROL[ENGLISH],MATCH(PROPERTIES[[#This Row],[VEHIDCODE]],CONTROL[VEHIDCODE],0))</f>
        <v>UAC 'Turbo Train'</v>
      </c>
      <c r="F460" t="s">
        <v>565</v>
      </c>
      <c r="G460" s="37" t="str">
        <f>_xlfn.IFNA(INDEX(COUNTRIES[COUNTRY_LABEL],MATCH(PROPERTIES[[#This Row],[COUNTRY]],COUNTRIES[COUNTRY_DESCRIPTION],0)),"")</f>
        <v>CA</v>
      </c>
      <c r="H4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INDEX(LOADINGSPEEDDEF[SPEED],MATCH("LOADINGSPEEDDEF_"&amp;PROPERTIES[[#This Row],[LOADINGSPEED]],LOADINGSPEEDDEF[TYPE],0))</f>
        <v>20</v>
      </c>
      <c r="O4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4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0" s="2" t="str">
        <f>SUBSTITUTE(SUBSTITUTE(PROPERTIES[[#This Row],[PURCHASECOST_VALUE]], "PURCHASECOST_", ""), "_VALUE", "")</f>
        <v>DMU</v>
      </c>
      <c r="AO460" s="42" t="s">
        <v>3636</v>
      </c>
      <c r="AP460" s="45" t="b">
        <v>0</v>
      </c>
      <c r="AQ460" s="45" t="b">
        <v>0</v>
      </c>
      <c r="AR460" s="45">
        <v>0</v>
      </c>
      <c r="AS460" s="45" t="b">
        <v>0</v>
      </c>
      <c r="AT460" s="7" t="b">
        <v>0</v>
      </c>
      <c r="AU4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1" spans="1:47" x14ac:dyDescent="0.35">
      <c r="A461" s="2" t="s">
        <v>3086</v>
      </c>
      <c r="B461">
        <v>1974</v>
      </c>
      <c r="D4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1" s="37" t="str">
        <f>INDEX(CONTROL[ENGLISH],MATCH(PROPERTIES[[#This Row],[VEHIDCODE]],CONTROL[VEHIDCODE],0))</f>
        <v>Ganz-MAVAG 811</v>
      </c>
      <c r="F461" t="s">
        <v>715</v>
      </c>
      <c r="G461" s="37" t="str">
        <f>_xlfn.IFNA(INDEX(COUNTRIES[COUNTRY_LABEL],MATCH(PROPERTIES[[#This Row],[COUNTRY]],COUNTRIES[COUNTRY_DESCRIPTION],0)),"")</f>
        <v>RS</v>
      </c>
      <c r="H4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INDEX(LOADINGSPEEDDEF[SPEED],MATCH("LOADINGSPEEDDEF_"&amp;PROPERTIES[[#This Row],[LOADINGSPEED]],LOADINGSPEEDDEF[TYPE],0))</f>
        <v>60</v>
      </c>
      <c r="O4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4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1" s="2" t="str">
        <f>SUBSTITUTE(SUBSTITUTE(PROPERTIES[[#This Row],[PURCHASECOST_VALUE]], "PURCHASECOST_", ""), "_VALUE", "")</f>
        <v>DMU</v>
      </c>
      <c r="AO461" s="41" t="b">
        <v>0</v>
      </c>
      <c r="AP461" s="45" t="b">
        <v>0</v>
      </c>
      <c r="AQ461" s="45" t="b">
        <v>0</v>
      </c>
      <c r="AR461" s="45">
        <v>0</v>
      </c>
      <c r="AS461" s="45" t="b">
        <v>0</v>
      </c>
      <c r="AT461" s="7" t="b">
        <v>0</v>
      </c>
      <c r="AU4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2" spans="1:47" x14ac:dyDescent="0.35">
      <c r="A462" s="2" t="s">
        <v>3087</v>
      </c>
      <c r="B462">
        <v>1976</v>
      </c>
      <c r="C462">
        <v>2005</v>
      </c>
      <c r="D4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2" s="37" t="str">
        <f>INDEX(CONTROL[ENGLISH],MATCH(PROPERTIES[[#This Row],[VEHIDCODE]],CONTROL[VEHIDCODE],0))</f>
        <v>BREL 43 IC125</v>
      </c>
      <c r="F462" t="s">
        <v>603</v>
      </c>
      <c r="G462" s="37" t="str">
        <f>_xlfn.IFNA(INDEX(COUNTRIES[COUNTRY_LABEL],MATCH(PROPERTIES[[#This Row],[COUNTRY]],COUNTRIES[COUNTRY_DESCRIPTION],0)),"")</f>
        <v>GB</v>
      </c>
      <c r="H4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INDEX(LOADINGSPEEDDEF[SPEED],MATCH("LOADINGSPEEDDEF_"&amp;PROPERTIES[[#This Row],[LOADINGSPEED]],LOADINGSPEEDDEF[TYPE],0))</f>
        <v>20</v>
      </c>
      <c r="O4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4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2" s="2" t="str">
        <f>SUBSTITUTE(SUBSTITUTE(PROPERTIES[[#This Row],[PURCHASECOST_VALUE]], "PURCHASECOST_", ""), "_VALUE", "")</f>
        <v>DMU</v>
      </c>
      <c r="AO462" s="41" t="b">
        <v>0</v>
      </c>
      <c r="AP462" s="45" t="b">
        <v>0</v>
      </c>
      <c r="AQ462" s="45" t="b">
        <v>0</v>
      </c>
      <c r="AR462" s="45">
        <v>0</v>
      </c>
      <c r="AS462" s="45" t="b">
        <v>0</v>
      </c>
      <c r="AT462" s="7" t="b">
        <v>0</v>
      </c>
      <c r="AU4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3" spans="1:47" x14ac:dyDescent="0.35">
      <c r="A463" s="2" t="s">
        <v>3088</v>
      </c>
      <c r="B463">
        <v>1980</v>
      </c>
      <c r="C463">
        <v>1990</v>
      </c>
      <c r="D4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3" s="37" t="str">
        <f>INDEX(CONTROL[ENGLISH],MATCH(PROPERTIES[[#This Row],[VEHIDCODE]],CONTROL[VEHIDCODE],0))</f>
        <v>Bombardier M6109</v>
      </c>
      <c r="F463" t="s">
        <v>565</v>
      </c>
      <c r="G463" s="37" t="str">
        <f>_xlfn.IFNA(INDEX(COUNTRIES[COUNTRY_LABEL],MATCH(PROPERTIES[[#This Row],[COUNTRY]],COUNTRIES[COUNTRY_DESCRIPTION],0)),"")</f>
        <v>CA</v>
      </c>
      <c r="H4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INDEX(LOADINGSPEEDDEF[SPEED],MATCH("LOADINGSPEEDDEF_"&amp;PROPERTIES[[#This Row],[LOADINGSPEED]],LOADINGSPEEDDEF[TYPE],0))</f>
        <v>20</v>
      </c>
      <c r="O4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4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3" s="2" t="str">
        <f>SUBSTITUTE(SUBSTITUTE(PROPERTIES[[#This Row],[PURCHASECOST_VALUE]], "PURCHASECOST_", ""), "_VALUE", "")</f>
        <v>DMU</v>
      </c>
      <c r="AO463" s="41" t="b">
        <v>0</v>
      </c>
      <c r="AP463" s="45" t="b">
        <v>0</v>
      </c>
      <c r="AQ463" s="45" t="b">
        <v>0</v>
      </c>
      <c r="AR463" s="45">
        <v>0</v>
      </c>
      <c r="AS463" s="45" t="b">
        <v>0</v>
      </c>
      <c r="AT463" s="7" t="b">
        <v>0</v>
      </c>
      <c r="AU4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4" spans="1:47" x14ac:dyDescent="0.35">
      <c r="A464" s="2" t="s">
        <v>3089</v>
      </c>
      <c r="B464">
        <v>1990</v>
      </c>
      <c r="D4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4" s="37" t="str">
        <f>INDEX(CONTROL[ENGLISH],MATCH(PROPERTIES[[#This Row],[VEHIDCODE]],CONTROL[VEHIDCODE],0))</f>
        <v>ABB IC3 Y2</v>
      </c>
      <c r="F464" t="s">
        <v>722</v>
      </c>
      <c r="G464" s="37" t="str">
        <f>_xlfn.IFNA(INDEX(COUNTRIES[COUNTRY_LABEL],MATCH(PROPERTIES[[#This Row],[COUNTRY]],COUNTRIES[COUNTRY_DESCRIPTION],0)),"")</f>
        <v>SE</v>
      </c>
      <c r="H4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INDEX(LOADINGSPEEDDEF[SPEED],MATCH("LOADINGSPEEDDEF_"&amp;PROPERTIES[[#This Row],[LOADINGSPEED]],LOADINGSPEEDDEF[TYPE],0))</f>
        <v>20</v>
      </c>
      <c r="O4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4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4" s="2" t="str">
        <f>SUBSTITUTE(SUBSTITUTE(PROPERTIES[[#This Row],[PURCHASECOST_VALUE]], "PURCHASECOST_", ""), "_VALUE", "")</f>
        <v>DMU</v>
      </c>
      <c r="AO464" s="41" t="b">
        <v>0</v>
      </c>
      <c r="AP464" s="45" t="b">
        <v>0</v>
      </c>
      <c r="AQ464" s="45" t="b">
        <v>0</v>
      </c>
      <c r="AR464" s="45">
        <v>0</v>
      </c>
      <c r="AS464" s="45" t="b">
        <v>0</v>
      </c>
      <c r="AT464" s="7" t="b">
        <v>0</v>
      </c>
      <c r="AU4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5" spans="1:47" x14ac:dyDescent="0.35">
      <c r="A465" s="2" t="s">
        <v>3090</v>
      </c>
      <c r="B465">
        <v>1997</v>
      </c>
      <c r="D4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5" s="37" t="str">
        <f>INDEX(CONTROL[ENGLISH],MATCH(PROPERTIES[[#This Row],[VEHIDCODE]],CONTROL[VEHIDCODE],0))</f>
        <v>CAF 594 TRD</v>
      </c>
      <c r="F465" t="s">
        <v>595</v>
      </c>
      <c r="G465" s="37" t="str">
        <f>_xlfn.IFNA(INDEX(COUNTRIES[COUNTRY_LABEL],MATCH(PROPERTIES[[#This Row],[COUNTRY]],COUNTRIES[COUNTRY_DESCRIPTION],0)),"")</f>
        <v>ES</v>
      </c>
      <c r="H4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INDEX(LOADINGSPEEDDEF[SPEED],MATCH("LOADINGSPEEDDEF_"&amp;PROPERTIES[[#This Row],[LOADINGSPEED]],LOADINGSPEEDDEF[TYPE],0))</f>
        <v>60</v>
      </c>
      <c r="O4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4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5" s="2" t="str">
        <f>SUBSTITUTE(SUBSTITUTE(PROPERTIES[[#This Row],[PURCHASECOST_VALUE]], "PURCHASECOST_", ""), "_VALUE", "")</f>
        <v>DMU</v>
      </c>
      <c r="AO465" s="41" t="b">
        <v>0</v>
      </c>
      <c r="AP465" s="45" t="b">
        <v>0</v>
      </c>
      <c r="AQ465" s="45" t="b">
        <v>0</v>
      </c>
      <c r="AR465" s="45">
        <v>0</v>
      </c>
      <c r="AS465" s="45" t="b">
        <v>0</v>
      </c>
      <c r="AT465" s="7" t="b">
        <v>0</v>
      </c>
      <c r="AU4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6" spans="1:47" x14ac:dyDescent="0.35">
      <c r="A466" s="2" t="s">
        <v>3091</v>
      </c>
      <c r="B466">
        <v>1997</v>
      </c>
      <c r="D4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6" s="37" t="str">
        <f>INDEX(CONTROL[ENGLISH],MATCH(PROPERTIES[[#This Row],[VEHIDCODE]],CONTROL[VEHIDCODE],0))</f>
        <v>Adtranz Class 168 'Clubman'</v>
      </c>
      <c r="F466" t="s">
        <v>603</v>
      </c>
      <c r="G466" s="37" t="str">
        <f>_xlfn.IFNA(INDEX(COUNTRIES[COUNTRY_LABEL],MATCH(PROPERTIES[[#This Row],[COUNTRY]],COUNTRIES[COUNTRY_DESCRIPTION],0)),"")</f>
        <v>GB</v>
      </c>
      <c r="H4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INDEX(LOADINGSPEEDDEF[SPEED],MATCH("LOADINGSPEEDDEF_"&amp;PROPERTIES[[#This Row],[LOADINGSPEED]],LOADINGSPEEDDEF[TYPE],0))</f>
        <v>60</v>
      </c>
      <c r="O46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4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6" s="2" t="str">
        <f>SUBSTITUTE(SUBSTITUTE(PROPERTIES[[#This Row],[PURCHASECOST_VALUE]], "PURCHASECOST_", ""), "_VALUE", "")</f>
        <v>DMU</v>
      </c>
      <c r="AO466" s="41" t="b">
        <v>0</v>
      </c>
      <c r="AP466" s="45" t="b">
        <v>0</v>
      </c>
      <c r="AQ466" s="45" t="b">
        <v>0</v>
      </c>
      <c r="AR466" s="45">
        <v>0</v>
      </c>
      <c r="AS466" s="45" t="b">
        <v>0</v>
      </c>
      <c r="AT466" s="7" t="b">
        <v>0</v>
      </c>
      <c r="AU4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7" spans="1:47" x14ac:dyDescent="0.35">
      <c r="A467" s="2" t="s">
        <v>3092</v>
      </c>
      <c r="B467">
        <v>1998</v>
      </c>
      <c r="D4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7" s="37" t="str">
        <f>INDEX(CONTROL[ENGLISH],MATCH(PROPERTIES[[#This Row],[VEHIDCODE]],CONTROL[VEHIDCODE],0))</f>
        <v>Adtranz Class 612 'Regio Swinger'</v>
      </c>
      <c r="F467" t="s">
        <v>584</v>
      </c>
      <c r="G467" s="37" t="str">
        <f>_xlfn.IFNA(INDEX(COUNTRIES[COUNTRY_LABEL],MATCH(PROPERTIES[[#This Row],[COUNTRY]],COUNTRIES[COUNTRY_DESCRIPTION],0)),"")</f>
        <v>DE</v>
      </c>
      <c r="H4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INDEX(LOADINGSPEEDDEF[SPEED],MATCH("LOADINGSPEEDDEF_"&amp;PROPERTIES[[#This Row],[LOADINGSPEED]],LOADINGSPEEDDEF[TYPE],0))</f>
        <v>60</v>
      </c>
      <c r="O46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4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7" s="2" t="str">
        <f>SUBSTITUTE(SUBSTITUTE(PROPERTIES[[#This Row],[PURCHASECOST_VALUE]], "PURCHASECOST_", ""), "_VALUE", "")</f>
        <v>DMU</v>
      </c>
      <c r="AO467" s="41" t="b">
        <v>0</v>
      </c>
      <c r="AP467" s="45" t="b">
        <v>0</v>
      </c>
      <c r="AQ467" s="45" t="b">
        <v>0</v>
      </c>
      <c r="AR467" s="45">
        <v>0</v>
      </c>
      <c r="AS467" s="45" t="b">
        <v>0</v>
      </c>
      <c r="AT467" s="7" t="b">
        <v>0</v>
      </c>
      <c r="AU4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8" spans="1:47" x14ac:dyDescent="0.35">
      <c r="A468" s="2" t="s">
        <v>3093</v>
      </c>
      <c r="B468">
        <v>2000</v>
      </c>
      <c r="D4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8" s="37" t="str">
        <f>INDEX(CONTROL[ENGLISH],MATCH(PROPERTIES[[#This Row],[VEHIDCODE]],CONTROL[VEHIDCODE],0))</f>
        <v>Siemens Desiro</v>
      </c>
      <c r="F468" t="s">
        <v>584</v>
      </c>
      <c r="G468" s="37" t="str">
        <f>_xlfn.IFNA(INDEX(COUNTRIES[COUNTRY_LABEL],MATCH(PROPERTIES[[#This Row],[COUNTRY]],COUNTRIES[COUNTRY_DESCRIPTION],0)),"")</f>
        <v>DE</v>
      </c>
      <c r="H4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INDEX(LOADINGSPEEDDEF[SPEED],MATCH("LOADINGSPEEDDEF_"&amp;PROPERTIES[[#This Row],[LOADINGSPEED]],LOADINGSPEEDDEF[TYPE],0))</f>
        <v>60</v>
      </c>
      <c r="O46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4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8" s="2" t="str">
        <f>SUBSTITUTE(SUBSTITUTE(PROPERTIES[[#This Row],[PURCHASECOST_VALUE]], "PURCHASECOST_", ""), "_VALUE", "")</f>
        <v>DMU</v>
      </c>
      <c r="AO468" s="41" t="b">
        <v>0</v>
      </c>
      <c r="AP468" s="45" t="b">
        <v>0</v>
      </c>
      <c r="AQ468" s="45" t="b">
        <v>0</v>
      </c>
      <c r="AR468" s="45">
        <v>0</v>
      </c>
      <c r="AS468" s="45" t="b">
        <v>0</v>
      </c>
      <c r="AT468" s="7" t="b">
        <v>0</v>
      </c>
      <c r="AU4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69" spans="1:47" x14ac:dyDescent="0.35">
      <c r="A469" s="2" t="s">
        <v>3094</v>
      </c>
      <c r="B469">
        <v>2001</v>
      </c>
      <c r="D4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69" s="37" t="str">
        <f>INDEX(CONTROL[ENGLISH],MATCH(PROPERTIES[[#This Row],[VEHIDCODE]],CONTROL[VEHIDCODE],0))</f>
        <v>Alstom Coradia LINT</v>
      </c>
      <c r="F469" t="s">
        <v>586</v>
      </c>
      <c r="G469" s="37" t="str">
        <f>_xlfn.IFNA(INDEX(COUNTRIES[COUNTRY_LABEL],MATCH(PROPERTIES[[#This Row],[COUNTRY]],COUNTRIES[COUNTRY_DESCRIPTION],0)),"")</f>
        <v>DK</v>
      </c>
      <c r="H4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INDEX(LOADINGSPEEDDEF[SPEED],MATCH("LOADINGSPEEDDEF_"&amp;PROPERTIES[[#This Row],[LOADINGSPEED]],LOADINGSPEEDDEF[TYPE],0))</f>
        <v>60</v>
      </c>
      <c r="O4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4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6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69" s="2" t="str">
        <f>SUBSTITUTE(SUBSTITUTE(PROPERTIES[[#This Row],[PURCHASECOST_VALUE]], "PURCHASECOST_", ""), "_VALUE", "")</f>
        <v>DMU</v>
      </c>
      <c r="AO469" s="41" t="b">
        <v>0</v>
      </c>
      <c r="AP469" s="45" t="b">
        <v>0</v>
      </c>
      <c r="AQ469" s="45" t="b">
        <v>0</v>
      </c>
      <c r="AR469" s="45">
        <v>0</v>
      </c>
      <c r="AS469" s="45" t="b">
        <v>0</v>
      </c>
      <c r="AT469" s="7" t="b">
        <v>0</v>
      </c>
      <c r="AU4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0" spans="1:47" x14ac:dyDescent="0.35">
      <c r="A470" s="2" t="s">
        <v>3095</v>
      </c>
      <c r="B470">
        <v>2001</v>
      </c>
      <c r="D4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0" s="37" t="str">
        <f>INDEX(CONTROL[ENGLISH],MATCH(PROPERTIES[[#This Row],[VEHIDCODE]],CONTROL[VEHIDCODE],0))</f>
        <v>Bombardier Talent NSB BM 93</v>
      </c>
      <c r="F470" t="s">
        <v>693</v>
      </c>
      <c r="G470" s="37" t="str">
        <f>_xlfn.IFNA(INDEX(COUNTRIES[COUNTRY_LABEL],MATCH(PROPERTIES[[#This Row],[COUNTRY]],COUNTRIES[COUNTRY_DESCRIPTION],0)),"")</f>
        <v>NO</v>
      </c>
      <c r="H4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INDEX(LOADINGSPEEDDEF[SPEED],MATCH("LOADINGSPEEDDEF_"&amp;PROPERTIES[[#This Row],[LOADINGSPEED]],LOADINGSPEEDDEF[TYPE],0))</f>
        <v>60</v>
      </c>
      <c r="O47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4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0" s="2" t="str">
        <f>SUBSTITUTE(SUBSTITUTE(PROPERTIES[[#This Row],[PURCHASECOST_VALUE]], "PURCHASECOST_", ""), "_VALUE", "")</f>
        <v>DMU</v>
      </c>
      <c r="AO470" s="41" t="b">
        <v>0</v>
      </c>
      <c r="AP470" s="45" t="b">
        <v>0</v>
      </c>
      <c r="AQ470" s="45" t="b">
        <v>0</v>
      </c>
      <c r="AR470" s="45">
        <v>0</v>
      </c>
      <c r="AS470" s="45" t="b">
        <v>0</v>
      </c>
      <c r="AT470" s="7" t="b">
        <v>0</v>
      </c>
      <c r="AU4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1" spans="1:47" x14ac:dyDescent="0.35">
      <c r="A471" s="2" t="s">
        <v>3096</v>
      </c>
      <c r="B471">
        <v>2004</v>
      </c>
      <c r="D4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1" s="37" t="str">
        <f>INDEX(CONTROL[ENGLISH],MATCH(PROPERTIES[[#This Row],[VEHIDCODE]],CONTROL[VEHIDCODE],0))</f>
        <v>UGL WD 'Prospector'</v>
      </c>
      <c r="F471" t="s">
        <v>541</v>
      </c>
      <c r="G471" s="37" t="str">
        <f>_xlfn.IFNA(INDEX(COUNTRIES[COUNTRY_LABEL],MATCH(PROPERTIES[[#This Row],[COUNTRY]],COUNTRIES[COUNTRY_DESCRIPTION],0)),"")</f>
        <v>AU</v>
      </c>
      <c r="H4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INDEX(LOADINGSPEEDDEF[SPEED],MATCH("LOADINGSPEEDDEF_"&amp;PROPERTIES[[#This Row],[LOADINGSPEED]],LOADINGSPEEDDEF[TYPE],0))</f>
        <v>20</v>
      </c>
      <c r="O47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4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1" s="2" t="str">
        <f>SUBSTITUTE(SUBSTITUTE(PROPERTIES[[#This Row],[PURCHASECOST_VALUE]], "PURCHASECOST_", ""), "_VALUE", "")</f>
        <v>DMU</v>
      </c>
      <c r="AO471" s="41" t="b">
        <v>0</v>
      </c>
      <c r="AP471" s="45" t="b">
        <v>0</v>
      </c>
      <c r="AQ471" s="45" t="b">
        <v>1</v>
      </c>
      <c r="AR471" s="45">
        <v>0</v>
      </c>
      <c r="AS471" s="45" t="b">
        <v>0</v>
      </c>
      <c r="AT471" s="7" t="b">
        <v>0</v>
      </c>
      <c r="AU4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2" spans="1:47" x14ac:dyDescent="0.35">
      <c r="A472" s="2" t="s">
        <v>3097</v>
      </c>
      <c r="B472">
        <v>2006</v>
      </c>
      <c r="D4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2" s="37" t="str">
        <f>INDEX(CONTROL[ENGLISH],MATCH(PROPERTIES[[#This Row],[VEHIDCODE]],CONTROL[VEHIDCODE],0))</f>
        <v>UGL 'Hunter' Railcar</v>
      </c>
      <c r="F472" t="s">
        <v>541</v>
      </c>
      <c r="G472" s="37" t="str">
        <f>_xlfn.IFNA(INDEX(COUNTRIES[COUNTRY_LABEL],MATCH(PROPERTIES[[#This Row],[COUNTRY]],COUNTRIES[COUNTRY_DESCRIPTION],0)),"")</f>
        <v>AU</v>
      </c>
      <c r="H4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INDEX(LOADINGSPEEDDEF[SPEED],MATCH("LOADINGSPEEDDEF_"&amp;PROPERTIES[[#This Row],[LOADINGSPEED]],LOADINGSPEEDDEF[TYPE],0))</f>
        <v>60</v>
      </c>
      <c r="O47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4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2" s="2" t="str">
        <f>SUBSTITUTE(SUBSTITUTE(PROPERTIES[[#This Row],[PURCHASECOST_VALUE]], "PURCHASECOST_", ""), "_VALUE", "")</f>
        <v>DMU</v>
      </c>
      <c r="AO472" s="41" t="b">
        <v>0</v>
      </c>
      <c r="AP472" s="45" t="b">
        <v>0</v>
      </c>
      <c r="AQ472" s="45" t="b">
        <v>0</v>
      </c>
      <c r="AR472" s="45">
        <v>0</v>
      </c>
      <c r="AS472" s="45" t="b">
        <v>0</v>
      </c>
      <c r="AT472" s="7" t="b">
        <v>0</v>
      </c>
      <c r="AU4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3" spans="1:47" x14ac:dyDescent="0.35">
      <c r="A473" s="2" t="s">
        <v>3098</v>
      </c>
      <c r="B473">
        <v>2006</v>
      </c>
      <c r="D4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3" s="37" t="str">
        <f>INDEX(CONTROL[ENGLISH],MATCH(PROPERTIES[[#This Row],[VEHIDCODE]],CONTROL[VEHIDCODE],0))</f>
        <v>MVM RA2</v>
      </c>
      <c r="F473" t="s">
        <v>716</v>
      </c>
      <c r="G473" s="37" t="str">
        <f>_xlfn.IFNA(INDEX(COUNTRIES[COUNTRY_LABEL],MATCH(PROPERTIES[[#This Row],[COUNTRY]],COUNTRIES[COUNTRY_DESCRIPTION],0)),"")</f>
        <v>RU</v>
      </c>
      <c r="H4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INDEX(LOADINGSPEEDDEF[SPEED],MATCH("LOADINGSPEEDDEF_"&amp;PROPERTIES[[#This Row],[LOADINGSPEED]],LOADINGSPEEDDEF[TYPE],0))</f>
        <v>60</v>
      </c>
      <c r="O47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4">
        <v>86</v>
      </c>
      <c r="AF473" s="6">
        <v>8</v>
      </c>
      <c r="AG473" t="s">
        <v>1940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3" s="2" t="str">
        <f>SUBSTITUTE(SUBSTITUTE(PROPERTIES[[#This Row],[PURCHASECOST_VALUE]], "PURCHASECOST_", ""), "_VALUE", "")</f>
        <v>DMU</v>
      </c>
      <c r="AO473" s="41" t="b">
        <v>0</v>
      </c>
      <c r="AP473" s="45" t="b">
        <v>0</v>
      </c>
      <c r="AQ473" s="45" t="b">
        <v>0</v>
      </c>
      <c r="AR473" s="45">
        <v>0</v>
      </c>
      <c r="AS473" s="45" t="b">
        <v>0</v>
      </c>
      <c r="AT473" s="7" t="b">
        <v>0</v>
      </c>
      <c r="AU4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4" spans="1:47" x14ac:dyDescent="0.35">
      <c r="A474" s="2" t="s">
        <v>3099</v>
      </c>
      <c r="B474">
        <v>2007</v>
      </c>
      <c r="D4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4" s="37" t="str">
        <f>INDEX(CONTROL[ENGLISH],MATCH(PROPERTIES[[#This Row],[VEHIDCODE]],CONTROL[VEHIDCODE],0))</f>
        <v>AnsaldoBreda IC4</v>
      </c>
      <c r="F474" t="s">
        <v>586</v>
      </c>
      <c r="G474" s="37" t="str">
        <f>_xlfn.IFNA(INDEX(COUNTRIES[COUNTRY_LABEL],MATCH(PROPERTIES[[#This Row],[COUNTRY]],COUNTRIES[COUNTRY_DESCRIPTION],0)),"")</f>
        <v>DK</v>
      </c>
      <c r="H4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INDEX(LOADINGSPEEDDEF[SPEED],MATCH("LOADINGSPEEDDEF_"&amp;PROPERTIES[[#This Row],[LOADINGSPEED]],LOADINGSPEEDDEF[TYPE],0))</f>
        <v>20</v>
      </c>
      <c r="O4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4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4" s="2" t="str">
        <f>SUBSTITUTE(SUBSTITUTE(PROPERTIES[[#This Row],[PURCHASECOST_VALUE]], "PURCHASECOST_", ""), "_VALUE", "")</f>
        <v>DMU</v>
      </c>
      <c r="AO474" s="41" t="b">
        <v>0</v>
      </c>
      <c r="AP474" s="45" t="b">
        <v>0</v>
      </c>
      <c r="AQ474" s="45" t="b">
        <v>0</v>
      </c>
      <c r="AR474" s="45">
        <v>0</v>
      </c>
      <c r="AS474" s="45" t="b">
        <v>0</v>
      </c>
      <c r="AT474" s="7" t="b">
        <v>0</v>
      </c>
      <c r="AU4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5" spans="1:47" x14ac:dyDescent="0.35">
      <c r="A475" s="2" t="s">
        <v>3100</v>
      </c>
      <c r="B475">
        <v>2011</v>
      </c>
      <c r="D4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5" s="37" t="str">
        <f>INDEX(CONTROL[ENGLISH],MATCH(PROPERTIES[[#This Row],[VEHIDCODE]],CONTROL[VEHIDCODE],0))</f>
        <v>TZV Gredelj 7022</v>
      </c>
      <c r="F475" t="s">
        <v>624</v>
      </c>
      <c r="G475" s="37" t="str">
        <f>_xlfn.IFNA(INDEX(COUNTRIES[COUNTRY_LABEL],MATCH(PROPERTIES[[#This Row],[COUNTRY]],COUNTRIES[COUNTRY_DESCRIPTION],0)),"")</f>
        <v>HR</v>
      </c>
      <c r="H4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INDEX(LOADINGSPEEDDEF[SPEED],MATCH("LOADINGSPEEDDEF_"&amp;PROPERTIES[[#This Row],[LOADINGSPEED]],LOADINGSPEEDDEF[TYPE],0))</f>
        <v>60</v>
      </c>
      <c r="O4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4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5" s="2" t="str">
        <f>SUBSTITUTE(SUBSTITUTE(PROPERTIES[[#This Row],[PURCHASECOST_VALUE]], "PURCHASECOST_", ""), "_VALUE", "")</f>
        <v>DMU</v>
      </c>
      <c r="AO475" s="41" t="b">
        <v>0</v>
      </c>
      <c r="AP475" s="45" t="b">
        <v>0</v>
      </c>
      <c r="AQ475" s="45" t="b">
        <v>0</v>
      </c>
      <c r="AR475" s="45">
        <v>0</v>
      </c>
      <c r="AS475" s="45" t="b">
        <v>0</v>
      </c>
      <c r="AT475" s="7" t="b">
        <v>0</v>
      </c>
      <c r="AU4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6" spans="1:47" x14ac:dyDescent="0.35">
      <c r="A476" s="2" t="s">
        <v>3101</v>
      </c>
      <c r="B476">
        <v>1961</v>
      </c>
      <c r="C476">
        <v>2018</v>
      </c>
      <c r="D4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6" s="37" t="str">
        <f>INDEX(CONTROL[ENGLISH],MATCH(PROPERTIES[[#This Row],[VEHIDCODE]],CONTROL[VEHIDCODE],0))</f>
        <v>Fiat TCDD MT 5500</v>
      </c>
      <c r="F476" t="s">
        <v>1027</v>
      </c>
      <c r="G476" s="37" t="str">
        <f>_xlfn.IFNA(INDEX(COUNTRIES[COUNTRY_LABEL],MATCH(PROPERTIES[[#This Row],[COUNTRY]],COUNTRIES[COUNTRY_DESCRIPTION],0)),"")</f>
        <v>TR</v>
      </c>
      <c r="H4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INDEX(LOADINGSPEEDDEF[SPEED],MATCH("LOADINGSPEEDDEF_"&amp;PROPERTIES[[#This Row],[LOADINGSPEED]],LOADINGSPEEDDEF[TYPE],0))</f>
        <v>60</v>
      </c>
      <c r="O4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4">
        <v>66</v>
      </c>
      <c r="AF476" s="6">
        <v>8</v>
      </c>
      <c r="AG476" t="s">
        <v>1940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6" s="2" t="str">
        <f>SUBSTITUTE(SUBSTITUTE(PROPERTIES[[#This Row],[PURCHASECOST_VALUE]], "PURCHASECOST_", ""), "_VALUE", "")</f>
        <v>DMU</v>
      </c>
      <c r="AO476" s="41" t="b">
        <v>0</v>
      </c>
      <c r="AP476" s="45" t="b">
        <v>0</v>
      </c>
      <c r="AQ476" s="45" t="b">
        <v>0</v>
      </c>
      <c r="AR476" s="45">
        <v>0</v>
      </c>
      <c r="AS476" s="45" t="b">
        <v>0</v>
      </c>
      <c r="AT476" s="7" t="b">
        <v>0</v>
      </c>
      <c r="AU4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7" spans="1:47" x14ac:dyDescent="0.35">
      <c r="A477" s="2" t="s">
        <v>3102</v>
      </c>
      <c r="B477">
        <v>1968</v>
      </c>
      <c r="C477">
        <v>2011</v>
      </c>
      <c r="D4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7" s="37" t="str">
        <f>INDEX(CONTROL[ENGLISH],MATCH(PROPERTIES[[#This Row],[VEHIDCODE]],CONTROL[VEHIDCODE],0))</f>
        <v>Fuji KiHa 181</v>
      </c>
      <c r="F477" t="s">
        <v>640</v>
      </c>
      <c r="G477" s="37" t="str">
        <f>_xlfn.IFNA(INDEX(COUNTRIES[COUNTRY_LABEL],MATCH(PROPERTIES[[#This Row],[COUNTRY]],COUNTRIES[COUNTRY_DESCRIPTION],0)),"")</f>
        <v>JP</v>
      </c>
      <c r="H4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INDEX(LOADINGSPEEDDEF[SPEED],MATCH("LOADINGSPEEDDEF_"&amp;PROPERTIES[[#This Row],[LOADINGSPEED]],LOADINGSPEEDDEF[TYPE],0))</f>
        <v>60</v>
      </c>
      <c r="O4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4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7" s="2" t="str">
        <f>SUBSTITUTE(SUBSTITUTE(PROPERTIES[[#This Row],[PURCHASECOST_VALUE]], "PURCHASECOST_", ""), "_VALUE", "")</f>
        <v>DMU</v>
      </c>
      <c r="AO477" s="41" t="b">
        <v>0</v>
      </c>
      <c r="AP477" s="45" t="b">
        <v>0</v>
      </c>
      <c r="AQ477" s="45" t="b">
        <v>0</v>
      </c>
      <c r="AR477" s="45">
        <v>0</v>
      </c>
      <c r="AS477" s="45" t="b">
        <v>0</v>
      </c>
      <c r="AT477" s="7" t="b">
        <v>0</v>
      </c>
      <c r="AU4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8" spans="1:47" x14ac:dyDescent="0.35">
      <c r="A478" s="2" t="s">
        <v>3103</v>
      </c>
      <c r="B478">
        <v>2005</v>
      </c>
      <c r="D4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8" s="37" t="str">
        <f>INDEX(CONTROL[ENGLISH],MATCH(PROPERTIES[[#This Row],[VEHIDCODE]],CONTROL[VEHIDCODE],0))</f>
        <v>Vagonka Studenka 814</v>
      </c>
      <c r="F478" t="s">
        <v>583</v>
      </c>
      <c r="G478" s="37" t="str">
        <f>_xlfn.IFNA(INDEX(COUNTRIES[COUNTRY_LABEL],MATCH(PROPERTIES[[#This Row],[COUNTRY]],COUNTRIES[COUNTRY_DESCRIPTION],0)),"")</f>
        <v>CZ</v>
      </c>
      <c r="H4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INDEX(LOADINGSPEEDDEF[SPEED],MATCH("LOADINGSPEEDDEF_"&amp;PROPERTIES[[#This Row],[LOADINGSPEED]],LOADINGSPEEDDEF[TYPE],0))</f>
        <v>60</v>
      </c>
      <c r="O4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4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8" s="2" t="str">
        <f>SUBSTITUTE(SUBSTITUTE(PROPERTIES[[#This Row],[PURCHASECOST_VALUE]], "PURCHASECOST_", ""), "_VALUE", "")</f>
        <v>DMU</v>
      </c>
      <c r="AO478" s="41" t="b">
        <v>0</v>
      </c>
      <c r="AP478" s="45" t="b">
        <v>0</v>
      </c>
      <c r="AQ478" s="45" t="b">
        <v>0</v>
      </c>
      <c r="AR478" s="45">
        <v>0</v>
      </c>
      <c r="AS478" s="45" t="b">
        <v>0</v>
      </c>
      <c r="AT478" s="7" t="b">
        <v>0</v>
      </c>
      <c r="AU4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79" spans="1:47" x14ac:dyDescent="0.35">
      <c r="A479" s="2" t="s">
        <v>3104</v>
      </c>
      <c r="B479">
        <v>1984</v>
      </c>
      <c r="C479">
        <v>2005</v>
      </c>
      <c r="D4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79" s="37" t="str">
        <f>INDEX(CONTROL[ENGLISH],MATCH(PROPERTIES[[#This Row],[VEHIDCODE]],CONTROL[VEHIDCODE],0))</f>
        <v>BR 150/0 'Sprinter'</v>
      </c>
      <c r="F479" t="s">
        <v>603</v>
      </c>
      <c r="G479" s="37" t="str">
        <f>_xlfn.IFNA(INDEX(COUNTRIES[COUNTRY_LABEL],MATCH(PROPERTIES[[#This Row],[COUNTRY]],COUNTRIES[COUNTRY_DESCRIPTION],0)),"")</f>
        <v>GB</v>
      </c>
      <c r="H4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INDEX(LOADINGSPEEDDEF[SPEED],MATCH("LOADINGSPEEDDEF_"&amp;PROPERTIES[[#This Row],[LOADINGSPEED]],LOADINGSPEEDDEF[TYPE],0))</f>
        <v>60</v>
      </c>
      <c r="O4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4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7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79" s="2" t="str">
        <f>SUBSTITUTE(SUBSTITUTE(PROPERTIES[[#This Row],[PURCHASECOST_VALUE]], "PURCHASECOST_", ""), "_VALUE", "")</f>
        <v>DMU</v>
      </c>
      <c r="AO479" s="41" t="b">
        <v>0</v>
      </c>
      <c r="AP479" s="45" t="b">
        <v>0</v>
      </c>
      <c r="AQ479" s="45" t="b">
        <v>0</v>
      </c>
      <c r="AR479" s="45">
        <v>0</v>
      </c>
      <c r="AS479" s="45" t="b">
        <v>0</v>
      </c>
      <c r="AT479" s="7" t="b">
        <v>0</v>
      </c>
      <c r="AU4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0" spans="1:47" x14ac:dyDescent="0.35">
      <c r="A480" s="2" t="s">
        <v>3105</v>
      </c>
      <c r="B480">
        <v>1984</v>
      </c>
      <c r="D4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0" s="37" t="str">
        <f>INDEX(CONTROL[ENGLISH],MATCH(PROPERTIES[[#This Row],[VEHIDCODE]],CONTROL[VEHIDCODE],0))</f>
        <v>BREL 141 'Pacer'</v>
      </c>
      <c r="F480" t="s">
        <v>634</v>
      </c>
      <c r="G480" s="37" t="str">
        <f>_xlfn.IFNA(INDEX(COUNTRIES[COUNTRY_LABEL],MATCH(PROPERTIES[[#This Row],[COUNTRY]],COUNTRIES[COUNTRY_DESCRIPTION],0)),"")</f>
        <v>IR</v>
      </c>
      <c r="H4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INDEX(LOADINGSPEEDDEF[SPEED],MATCH("LOADINGSPEEDDEF_"&amp;PROPERTIES[[#This Row],[LOADINGSPEED]],LOADINGSPEEDDEF[TYPE],0))</f>
        <v>60</v>
      </c>
      <c r="O4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4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0" s="2" t="str">
        <f>SUBSTITUTE(SUBSTITUTE(PROPERTIES[[#This Row],[PURCHASECOST_VALUE]], "PURCHASECOST_", ""), "_VALUE", "")</f>
        <v>DMU</v>
      </c>
      <c r="AO480" s="41" t="b">
        <v>0</v>
      </c>
      <c r="AP480" s="45" t="b">
        <v>0</v>
      </c>
      <c r="AQ480" s="45" t="b">
        <v>0</v>
      </c>
      <c r="AR480" s="45">
        <v>0</v>
      </c>
      <c r="AS480" s="45" t="b">
        <v>0</v>
      </c>
      <c r="AT480" s="7" t="b">
        <v>0</v>
      </c>
      <c r="AU4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1" spans="1:47" x14ac:dyDescent="0.35">
      <c r="A481" s="2" t="s">
        <v>3106</v>
      </c>
      <c r="B481">
        <v>1986</v>
      </c>
      <c r="D4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1" s="37" t="str">
        <f>INDEX(CONTROL[ENGLISH],MATCH(PROPERTIES[[#This Row],[VEHIDCODE]],CONTROL[VEHIDCODE],0))</f>
        <v>ABB IC3 [Israel]</v>
      </c>
      <c r="F481" t="s">
        <v>629</v>
      </c>
      <c r="G481" s="37" t="str">
        <f>_xlfn.IFNA(INDEX(COUNTRIES[COUNTRY_LABEL],MATCH(PROPERTIES[[#This Row],[COUNTRY]],COUNTRIES[COUNTRY_DESCRIPTION],0)),"")</f>
        <v>IL</v>
      </c>
      <c r="H4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INDEX(LOADINGSPEEDDEF[SPEED],MATCH("LOADINGSPEEDDEF_"&amp;PROPERTIES[[#This Row],[LOADINGSPEED]],LOADINGSPEEDDEF[TYPE],0))</f>
        <v>20</v>
      </c>
      <c r="O48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4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1" s="2" t="str">
        <f>SUBSTITUTE(SUBSTITUTE(PROPERTIES[[#This Row],[PURCHASECOST_VALUE]], "PURCHASECOST_", ""), "_VALUE", "")</f>
        <v>DMU</v>
      </c>
      <c r="AO481" s="41" t="b">
        <v>0</v>
      </c>
      <c r="AP481" s="45" t="b">
        <v>0</v>
      </c>
      <c r="AQ481" s="45" t="b">
        <v>0</v>
      </c>
      <c r="AR481" s="45">
        <v>0</v>
      </c>
      <c r="AS481" s="45" t="b">
        <v>0</v>
      </c>
      <c r="AT481" s="7" t="b">
        <v>1</v>
      </c>
      <c r="AU4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2" spans="1:47" x14ac:dyDescent="0.35">
      <c r="A482" s="2" t="s">
        <v>3107</v>
      </c>
      <c r="B482">
        <v>1987</v>
      </c>
      <c r="C482">
        <v>2018</v>
      </c>
      <c r="D4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2" s="37" t="str">
        <f>INDEX(CONTROL[ENGLISH],MATCH(PROPERTIES[[#This Row],[VEHIDCODE]],CONTROL[VEHIDCODE],0))</f>
        <v>Comeng 3100</v>
      </c>
      <c r="F482" t="s">
        <v>541</v>
      </c>
      <c r="G482" s="37" t="str">
        <f>_xlfn.IFNA(INDEX(COUNTRIES[COUNTRY_LABEL],MATCH(PROPERTIES[[#This Row],[COUNTRY]],COUNTRIES[COUNTRY_DESCRIPTION],0)),"")</f>
        <v>AU</v>
      </c>
      <c r="H4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INDEX(LOADINGSPEEDDEF[SPEED],MATCH("LOADINGSPEEDDEF_"&amp;PROPERTIES[[#This Row],[LOADINGSPEED]],LOADINGSPEEDDEF[TYPE],0))</f>
        <v>60</v>
      </c>
      <c r="O48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4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2" s="2" t="str">
        <f>SUBSTITUTE(SUBSTITUTE(PROPERTIES[[#This Row],[PURCHASECOST_VALUE]], "PURCHASECOST_", ""), "_VALUE", "")</f>
        <v>DMU</v>
      </c>
      <c r="AO482" s="41" t="b">
        <v>0</v>
      </c>
      <c r="AP482" s="45" t="b">
        <v>0</v>
      </c>
      <c r="AQ482" s="45" t="b">
        <v>0</v>
      </c>
      <c r="AR482" s="45">
        <v>0</v>
      </c>
      <c r="AS482" s="45" t="b">
        <v>0</v>
      </c>
      <c r="AT482" s="7" t="b">
        <v>0</v>
      </c>
      <c r="AU4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3" spans="1:47" x14ac:dyDescent="0.35">
      <c r="A483" s="2" t="s">
        <v>3108</v>
      </c>
      <c r="B483">
        <v>1993</v>
      </c>
      <c r="D4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3" s="37" t="str">
        <f>INDEX(CONTROL[ENGLISH],MATCH(PROPERTIES[[#This Row],[VEHIDCODE]],CONTROL[VEHIDCODE],0))</f>
        <v>ABB Xplorer</v>
      </c>
      <c r="F483" t="s">
        <v>541</v>
      </c>
      <c r="G483" s="37" t="str">
        <f>_xlfn.IFNA(INDEX(COUNTRIES[COUNTRY_LABEL],MATCH(PROPERTIES[[#This Row],[COUNTRY]],COUNTRIES[COUNTRY_DESCRIPTION],0)),"")</f>
        <v>AU</v>
      </c>
      <c r="H4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INDEX(LOADINGSPEEDDEF[SPEED],MATCH("LOADINGSPEEDDEF_"&amp;PROPERTIES[[#This Row],[LOADINGSPEED]],LOADINGSPEEDDEF[TYPE],0))</f>
        <v>60</v>
      </c>
      <c r="O48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4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3" s="2" t="str">
        <f>SUBSTITUTE(SUBSTITUTE(PROPERTIES[[#This Row],[PURCHASECOST_VALUE]], "PURCHASECOST_", ""), "_VALUE", "")</f>
        <v>DMU</v>
      </c>
      <c r="AO483" s="41" t="b">
        <v>0</v>
      </c>
      <c r="AP483" s="45" t="b">
        <v>0</v>
      </c>
      <c r="AQ483" s="45" t="b">
        <v>0</v>
      </c>
      <c r="AR483" s="45">
        <v>0</v>
      </c>
      <c r="AS483" s="45" t="b">
        <v>0</v>
      </c>
      <c r="AT483" s="7" t="b">
        <v>0</v>
      </c>
      <c r="AU4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4" spans="1:47" x14ac:dyDescent="0.35">
      <c r="A484" s="2" t="s">
        <v>3109</v>
      </c>
      <c r="B484">
        <v>2010</v>
      </c>
      <c r="D4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4" s="37" t="str">
        <f>INDEX(CONTROL[ENGLISH],MATCH(PROPERTIES[[#This Row],[VEHIDCODE]],CONTROL[VEHIDCODE],0))</f>
        <v>Niigata Transys KiHa 189</v>
      </c>
      <c r="F484" t="s">
        <v>640</v>
      </c>
      <c r="G484" s="37" t="str">
        <f>_xlfn.IFNA(INDEX(COUNTRIES[COUNTRY_LABEL],MATCH(PROPERTIES[[#This Row],[COUNTRY]],COUNTRIES[COUNTRY_DESCRIPTION],0)),"")</f>
        <v>JP</v>
      </c>
      <c r="H4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INDEX(LOADINGSPEEDDEF[SPEED],MATCH("LOADINGSPEEDDEF_"&amp;PROPERTIES[[#This Row],[LOADINGSPEED]],LOADINGSPEEDDEF[TYPE],0))</f>
        <v>60</v>
      </c>
      <c r="O4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4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4" s="2" t="str">
        <f>SUBSTITUTE(SUBSTITUTE(PROPERTIES[[#This Row],[PURCHASECOST_VALUE]], "PURCHASECOST_", ""), "_VALUE", "")</f>
        <v>DMU</v>
      </c>
      <c r="AO484" s="41" t="b">
        <v>0</v>
      </c>
      <c r="AP484" s="45" t="b">
        <v>0</v>
      </c>
      <c r="AQ484" s="45" t="b">
        <v>0</v>
      </c>
      <c r="AR484" s="45">
        <v>0</v>
      </c>
      <c r="AS484" s="45" t="b">
        <v>0</v>
      </c>
      <c r="AT484" s="7" t="b">
        <v>0</v>
      </c>
      <c r="AU4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5" spans="1:47" x14ac:dyDescent="0.35">
      <c r="A485" s="2" t="s">
        <v>3110</v>
      </c>
      <c r="B485">
        <v>2011</v>
      </c>
      <c r="D4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5" s="37" t="str">
        <f>INDEX(CONTROL[ENGLISH],MATCH(PROPERTIES[[#This Row],[VEHIDCODE]],CONTROL[VEHIDCODE],0))</f>
        <v>Integral Coach Factory S11</v>
      </c>
      <c r="F485" t="s">
        <v>656</v>
      </c>
      <c r="G485" s="37" t="str">
        <f>_xlfn.IFNA(INDEX(COUNTRIES[COUNTRY_LABEL],MATCH(PROPERTIES[[#This Row],[COUNTRY]],COUNTRIES[COUNTRY_DESCRIPTION],0)),"")</f>
        <v>LK</v>
      </c>
      <c r="H4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INDEX(LOADINGSPEEDDEF[SPEED],MATCH("LOADINGSPEEDDEF_"&amp;PROPERTIES[[#This Row],[LOADINGSPEED]],LOADINGSPEEDDEF[TYPE],0))</f>
        <v>60</v>
      </c>
      <c r="O4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4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5" s="2" t="str">
        <f>SUBSTITUTE(SUBSTITUTE(PROPERTIES[[#This Row],[PURCHASECOST_VALUE]], "PURCHASECOST_", ""), "_VALUE", "")</f>
        <v>DMU</v>
      </c>
      <c r="AO485" s="41" t="b">
        <v>0</v>
      </c>
      <c r="AP485" s="45" t="b">
        <v>0</v>
      </c>
      <c r="AQ485" s="45" t="b">
        <v>0</v>
      </c>
      <c r="AR485" s="45">
        <v>0</v>
      </c>
      <c r="AS485" s="45" t="b">
        <v>0</v>
      </c>
      <c r="AT485" s="7" t="b">
        <v>0</v>
      </c>
      <c r="AU4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6" spans="1:47" x14ac:dyDescent="0.35">
      <c r="A486" s="2" t="s">
        <v>3111</v>
      </c>
      <c r="B486">
        <v>2011</v>
      </c>
      <c r="D4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6" s="37" t="str">
        <f>INDEX(CONTROL[ENGLISH],MATCH(PROPERTIES[[#This Row],[VEHIDCODE]],CONTROL[VEHIDCODE],0))</f>
        <v>ZOS Vrutky 861</v>
      </c>
      <c r="F486" t="s">
        <v>727</v>
      </c>
      <c r="G486" s="37" t="str">
        <f>_xlfn.IFNA(INDEX(COUNTRIES[COUNTRY_LABEL],MATCH(PROPERTIES[[#This Row],[COUNTRY]],COUNTRIES[COUNTRY_DESCRIPTION],0)),"")</f>
        <v>SK</v>
      </c>
      <c r="H4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INDEX(LOADINGSPEEDDEF[SPEED],MATCH("LOADINGSPEEDDEF_"&amp;PROPERTIES[[#This Row],[LOADINGSPEED]],LOADINGSPEEDDEF[TYPE],0))</f>
        <v>60</v>
      </c>
      <c r="O4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4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6" s="2" t="str">
        <f>SUBSTITUTE(SUBSTITUTE(PROPERTIES[[#This Row],[PURCHASECOST_VALUE]], "PURCHASECOST_", ""), "_VALUE", "")</f>
        <v>DMU</v>
      </c>
      <c r="AO486" s="41" t="b">
        <v>0</v>
      </c>
      <c r="AP486" s="45" t="b">
        <v>0</v>
      </c>
      <c r="AQ486" s="45" t="b">
        <v>0</v>
      </c>
      <c r="AR486" s="45">
        <v>0</v>
      </c>
      <c r="AS486" s="45" t="b">
        <v>0</v>
      </c>
      <c r="AT486" s="7" t="b">
        <v>0</v>
      </c>
      <c r="AU4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7" spans="1:47" x14ac:dyDescent="0.35">
      <c r="A487" s="2" t="s">
        <v>3112</v>
      </c>
      <c r="B487">
        <v>1982</v>
      </c>
      <c r="D4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7" s="37" t="str">
        <f>INDEX(CONTROL[ENGLISH],MATCH(PROPERTIES[[#This Row],[VEHIDCODE]],CONTROL[VEHIDCODE],0))</f>
        <v>CAF TLD-500</v>
      </c>
      <c r="F487" t="s">
        <v>573</v>
      </c>
      <c r="G487" s="37" t="str">
        <f>_xlfn.IFNA(INDEX(COUNTRIES[COUNTRY_LABEL],MATCH(PROPERTIES[[#This Row],[COUNTRY]],COUNTRIES[COUNTRY_DESCRIPTION],0)),"")</f>
        <v>CL</v>
      </c>
      <c r="H4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INDEX(LOADINGSPEEDDEF[SPEED],MATCH("LOADINGSPEEDDEF_"&amp;PROPERTIES[[#This Row],[LOADINGSPEED]],LOADINGSPEEDDEF[TYPE],0))</f>
        <v>60</v>
      </c>
      <c r="O4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4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7" s="2" t="str">
        <f>SUBSTITUTE(SUBSTITUTE(PROPERTIES[[#This Row],[PURCHASECOST_VALUE]], "PURCHASECOST_", ""), "_VALUE", "")</f>
        <v>DMU</v>
      </c>
      <c r="AO487" s="41" t="b">
        <v>0</v>
      </c>
      <c r="AP487" s="45" t="b">
        <v>0</v>
      </c>
      <c r="AQ487" s="45" t="b">
        <v>0</v>
      </c>
      <c r="AR487" s="45">
        <v>0</v>
      </c>
      <c r="AS487" s="45" t="b">
        <v>0</v>
      </c>
      <c r="AT487" s="7" t="b">
        <v>0</v>
      </c>
      <c r="AU4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8" spans="1:47" x14ac:dyDescent="0.35">
      <c r="A488" s="2" t="s">
        <v>3113</v>
      </c>
      <c r="B488">
        <v>1976</v>
      </c>
      <c r="D4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8" s="37" t="str">
        <f>INDEX(CONTROL[ENGLISH],MATCH(PROPERTIES[[#This Row],[VEHIDCODE]],CONTROL[VEHIDCODE],0))</f>
        <v>Camrail ZE 500</v>
      </c>
      <c r="F488" t="s">
        <v>574</v>
      </c>
      <c r="G488" s="37" t="str">
        <f>_xlfn.IFNA(INDEX(COUNTRIES[COUNTRY_LABEL],MATCH(PROPERTIES[[#This Row],[COUNTRY]],COUNTRIES[COUNTRY_DESCRIPTION],0)),"")</f>
        <v>CM</v>
      </c>
      <c r="H4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INDEX(LOADINGSPEEDDEF[SPEED],MATCH("LOADINGSPEEDDEF_"&amp;PROPERTIES[[#This Row],[LOADINGSPEED]],LOADINGSPEEDDEF[TYPE],0))</f>
        <v>60</v>
      </c>
      <c r="O4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4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8" s="2" t="str">
        <f>SUBSTITUTE(SUBSTITUTE(PROPERTIES[[#This Row],[PURCHASECOST_VALUE]], "PURCHASECOST_", ""), "_VALUE", "")</f>
        <v>DMU</v>
      </c>
      <c r="AO488" s="41" t="b">
        <v>0</v>
      </c>
      <c r="AP488" s="45" t="b">
        <v>0</v>
      </c>
      <c r="AQ488" s="45" t="b">
        <v>0</v>
      </c>
      <c r="AR488" s="45">
        <v>0</v>
      </c>
      <c r="AS488" s="45" t="b">
        <v>0</v>
      </c>
      <c r="AT488" s="7" t="b">
        <v>0</v>
      </c>
      <c r="AU4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89" spans="1:47" x14ac:dyDescent="0.35">
      <c r="A489" s="2" t="s">
        <v>3114</v>
      </c>
      <c r="B489">
        <v>1960</v>
      </c>
      <c r="C489">
        <v>1974</v>
      </c>
      <c r="D4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89" s="37" t="str">
        <f>INDEX(CONTROL[ENGLISH],MATCH(PROPERTIES[[#This Row],[VEHIDCODE]],CONTROL[VEHIDCODE],0))</f>
        <v>Metro-Cammell 251 'Blue Pullman'</v>
      </c>
      <c r="F489" t="s">
        <v>603</v>
      </c>
      <c r="G489" s="37" t="str">
        <f>_xlfn.IFNA(INDEX(COUNTRIES[COUNTRY_LABEL],MATCH(PROPERTIES[[#This Row],[COUNTRY]],COUNTRIES[COUNTRY_DESCRIPTION],0)),"")</f>
        <v>GB</v>
      </c>
      <c r="H4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INDEX(LOADINGSPEEDDEF[SPEED],MATCH("LOADINGSPEEDDEF_"&amp;PROPERTIES[[#This Row],[LOADINGSPEED]],LOADINGSPEEDDEF[TYPE],0))</f>
        <v>60</v>
      </c>
      <c r="O4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4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8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89" s="2" t="str">
        <f>SUBSTITUTE(SUBSTITUTE(PROPERTIES[[#This Row],[PURCHASECOST_VALUE]], "PURCHASECOST_", ""), "_VALUE", "")</f>
        <v>DMU</v>
      </c>
      <c r="AO489" s="41" t="b">
        <v>0</v>
      </c>
      <c r="AP489" s="45" t="b">
        <v>0</v>
      </c>
      <c r="AQ489" s="45" t="b">
        <v>0</v>
      </c>
      <c r="AR489" s="45">
        <v>0</v>
      </c>
      <c r="AS489" s="45" t="b">
        <v>0</v>
      </c>
      <c r="AT489" s="7" t="b">
        <v>0</v>
      </c>
      <c r="AU4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0" spans="1:47" x14ac:dyDescent="0.35">
      <c r="A490" s="2" t="s">
        <v>3115</v>
      </c>
      <c r="B490">
        <v>1967</v>
      </c>
      <c r="C490">
        <v>1993</v>
      </c>
      <c r="D4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0" s="37" t="str">
        <f>INDEX(CONTROL[ENGLISH],MATCH(PROPERTIES[[#This Row],[VEHIDCODE]],CONTROL[VEHIDCODE],0))</f>
        <v>Comeng ADK</v>
      </c>
      <c r="F490" t="s">
        <v>541</v>
      </c>
      <c r="G490" s="37" t="str">
        <f>_xlfn.IFNA(INDEX(COUNTRIES[COUNTRY_LABEL],MATCH(PROPERTIES[[#This Row],[COUNTRY]],COUNTRIES[COUNTRY_DESCRIPTION],0)),"")</f>
        <v>AU</v>
      </c>
      <c r="H4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INDEX(LOADINGSPEEDDEF[SPEED],MATCH("LOADINGSPEEDDEF_"&amp;PROPERTIES[[#This Row],[LOADINGSPEED]],LOADINGSPEEDDEF[TYPE],0))</f>
        <v>60</v>
      </c>
      <c r="O4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4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0" s="2" t="str">
        <f>SUBSTITUTE(SUBSTITUTE(PROPERTIES[[#This Row],[PURCHASECOST_VALUE]], "PURCHASECOST_", ""), "_VALUE", "")</f>
        <v>DMU</v>
      </c>
      <c r="AO490" s="41" t="b">
        <v>0</v>
      </c>
      <c r="AP490" s="45" t="b">
        <v>0</v>
      </c>
      <c r="AQ490" s="45" t="b">
        <v>0</v>
      </c>
      <c r="AR490" s="45">
        <v>0</v>
      </c>
      <c r="AS490" s="45" t="b">
        <v>0</v>
      </c>
      <c r="AT490" s="7" t="b">
        <v>0</v>
      </c>
      <c r="AU4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1" spans="1:47" x14ac:dyDescent="0.35">
      <c r="A491" s="2" t="s">
        <v>3116</v>
      </c>
      <c r="B491">
        <v>1971</v>
      </c>
      <c r="C491">
        <v>2019</v>
      </c>
      <c r="D4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1" s="37" t="str">
        <f>INDEX(CONTROL[ENGLISH],MATCH(PROPERTIES[[#This Row],[VEHIDCODE]],CONTROL[VEHIDCODE],0))</f>
        <v>ANF X 4630</v>
      </c>
      <c r="F491" t="s">
        <v>602</v>
      </c>
      <c r="G491" s="37" t="str">
        <f>_xlfn.IFNA(INDEX(COUNTRIES[COUNTRY_LABEL],MATCH(PROPERTIES[[#This Row],[COUNTRY]],COUNTRIES[COUNTRY_DESCRIPTION],0)),"")</f>
        <v>FR</v>
      </c>
      <c r="H4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INDEX(LOADINGSPEEDDEF[SPEED],MATCH("LOADINGSPEEDDEF_"&amp;PROPERTIES[[#This Row],[LOADINGSPEED]],LOADINGSPEEDDEF[TYPE],0))</f>
        <v>60</v>
      </c>
      <c r="O4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4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1" s="2" t="str">
        <f>SUBSTITUTE(SUBSTITUTE(PROPERTIES[[#This Row],[PURCHASECOST_VALUE]], "PURCHASECOST_", ""), "_VALUE", "")</f>
        <v>DMU</v>
      </c>
      <c r="AO491" s="41" t="b">
        <v>0</v>
      </c>
      <c r="AP491" s="45" t="b">
        <v>0</v>
      </c>
      <c r="AQ491" s="45" t="b">
        <v>0</v>
      </c>
      <c r="AR491" s="45">
        <v>0</v>
      </c>
      <c r="AS491" s="45" t="b">
        <v>0</v>
      </c>
      <c r="AT491" s="7" t="b">
        <v>0</v>
      </c>
      <c r="AU4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2" spans="1:47" x14ac:dyDescent="0.35">
      <c r="A492" s="2" t="s">
        <v>3117</v>
      </c>
      <c r="B492">
        <v>1972</v>
      </c>
      <c r="C492">
        <v>2004</v>
      </c>
      <c r="D4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2" s="37" t="str">
        <f>INDEX(CONTROL[ENGLISH],MATCH(PROPERTIES[[#This Row],[VEHIDCODE]],CONTROL[VEHIDCODE],0))</f>
        <v>ANF T 2000</v>
      </c>
      <c r="F492" t="s">
        <v>602</v>
      </c>
      <c r="G492" s="37" t="str">
        <f>_xlfn.IFNA(INDEX(COUNTRIES[COUNTRY_LABEL],MATCH(PROPERTIES[[#This Row],[COUNTRY]],COUNTRIES[COUNTRY_DESCRIPTION],0)),"")</f>
        <v>FR</v>
      </c>
      <c r="H4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INDEX(LOADINGSPEEDDEF[SPEED],MATCH("LOADINGSPEEDDEF_"&amp;PROPERTIES[[#This Row],[LOADINGSPEED]],LOADINGSPEEDDEF[TYPE],0))</f>
        <v>60</v>
      </c>
      <c r="O4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4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2" s="2" t="str">
        <f>SUBSTITUTE(SUBSTITUTE(PROPERTIES[[#This Row],[PURCHASECOST_VALUE]], "PURCHASECOST_", ""), "_VALUE", "")</f>
        <v>DMU</v>
      </c>
      <c r="AO492" s="42" t="s">
        <v>3636</v>
      </c>
      <c r="AP492" s="45" t="b">
        <v>0</v>
      </c>
      <c r="AQ492" s="45" t="b">
        <v>0</v>
      </c>
      <c r="AR492" s="45">
        <v>0</v>
      </c>
      <c r="AS492" s="45" t="b">
        <v>0</v>
      </c>
      <c r="AT492" s="7" t="b">
        <v>0</v>
      </c>
      <c r="AU4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3" spans="1:47" x14ac:dyDescent="0.35">
      <c r="A493" s="2" t="s">
        <v>3118</v>
      </c>
      <c r="B493">
        <v>1981</v>
      </c>
      <c r="C493">
        <v>2006</v>
      </c>
      <c r="D4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3" s="37" t="str">
        <f>INDEX(CONTROL[ENGLISH],MATCH(PROPERTIES[[#This Row],[VEHIDCODE]],CONTROL[VEHIDCODE],0))</f>
        <v>Duwag Wadloper</v>
      </c>
      <c r="F493" t="s">
        <v>692</v>
      </c>
      <c r="G493" s="37" t="str">
        <f>_xlfn.IFNA(INDEX(COUNTRIES[COUNTRY_LABEL],MATCH(PROPERTIES[[#This Row],[COUNTRY]],COUNTRIES[COUNTRY_DESCRIPTION],0)),"")</f>
        <v>NL</v>
      </c>
      <c r="H4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INDEX(LOADINGSPEEDDEF[SPEED],MATCH("LOADINGSPEEDDEF_"&amp;PROPERTIES[[#This Row],[LOADINGSPEED]],LOADINGSPEEDDEF[TYPE],0))</f>
        <v>60</v>
      </c>
      <c r="O4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4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3" s="2" t="str">
        <f>SUBSTITUTE(SUBSTITUTE(PROPERTIES[[#This Row],[PURCHASECOST_VALUE]], "PURCHASECOST_", ""), "_VALUE", "")</f>
        <v>DMU</v>
      </c>
      <c r="AO493" s="41" t="b">
        <v>0</v>
      </c>
      <c r="AP493" s="45" t="b">
        <v>0</v>
      </c>
      <c r="AQ493" s="45" t="b">
        <v>0</v>
      </c>
      <c r="AR493" s="45">
        <v>0</v>
      </c>
      <c r="AS493" s="45" t="b">
        <v>0</v>
      </c>
      <c r="AT493" s="7" t="b">
        <v>0</v>
      </c>
      <c r="AU4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4" spans="1:47" x14ac:dyDescent="0.35">
      <c r="A494" s="2" t="s">
        <v>3119</v>
      </c>
      <c r="B494">
        <v>1986</v>
      </c>
      <c r="C494">
        <v>2020</v>
      </c>
      <c r="D4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4" s="37" t="str">
        <f>INDEX(CONTROL[ENGLISH],MATCH(PROPERTIES[[#This Row],[VEHIDCODE]],CONTROL[VEHIDCODE],0))</f>
        <v>Duwag 628.2</v>
      </c>
      <c r="F494" t="s">
        <v>584</v>
      </c>
      <c r="G494" s="37" t="str">
        <f>_xlfn.IFNA(INDEX(COUNTRIES[COUNTRY_LABEL],MATCH(PROPERTIES[[#This Row],[COUNTRY]],COUNTRIES[COUNTRY_DESCRIPTION],0)),"")</f>
        <v>DE</v>
      </c>
      <c r="H4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INDEX(LOADINGSPEEDDEF[SPEED],MATCH("LOADINGSPEEDDEF_"&amp;PROPERTIES[[#This Row],[LOADINGSPEED]],LOADINGSPEEDDEF[TYPE],0))</f>
        <v>60</v>
      </c>
      <c r="O4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4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4" s="2" t="str">
        <f>SUBSTITUTE(SUBSTITUTE(PROPERTIES[[#This Row],[PURCHASECOST_VALUE]], "PURCHASECOST_", ""), "_VALUE", "")</f>
        <v>DMU</v>
      </c>
      <c r="AO494" s="41" t="b">
        <v>0</v>
      </c>
      <c r="AP494" s="45" t="b">
        <v>0</v>
      </c>
      <c r="AQ494" s="45" t="b">
        <v>0</v>
      </c>
      <c r="AR494" s="45">
        <v>0</v>
      </c>
      <c r="AS494" s="45" t="b">
        <v>0</v>
      </c>
      <c r="AT494" s="7" t="b">
        <v>0</v>
      </c>
      <c r="AU4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5" spans="1:47" x14ac:dyDescent="0.35">
      <c r="A495" s="2" t="s">
        <v>3120</v>
      </c>
      <c r="B495">
        <v>2007</v>
      </c>
      <c r="D4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5" s="37" t="str">
        <f>INDEX(CONTROL[ENGLISH],MATCH(PROPERTIES[[#This Row],[VEHIDCODE]],CONTROL[VEHIDCODE],0))</f>
        <v>CAF ZZ 2200 Autorail</v>
      </c>
      <c r="F495" t="s">
        <v>589</v>
      </c>
      <c r="G495" s="37" t="str">
        <f>_xlfn.IFNA(INDEX(COUNTRIES[COUNTRY_LABEL],MATCH(PROPERTIES[[#This Row],[COUNTRY]],COUNTRIES[COUNTRY_DESCRIPTION],0)),"")</f>
        <v>DZ</v>
      </c>
      <c r="H4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INDEX(LOADINGSPEEDDEF[SPEED],MATCH("LOADINGSPEEDDEF_"&amp;PROPERTIES[[#This Row],[LOADINGSPEED]],LOADINGSPEEDDEF[TYPE],0))</f>
        <v>60</v>
      </c>
      <c r="O4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4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5" s="2" t="str">
        <f>SUBSTITUTE(SUBSTITUTE(PROPERTIES[[#This Row],[PURCHASECOST_VALUE]], "PURCHASECOST_", ""), "_VALUE", "")</f>
        <v>DMU</v>
      </c>
      <c r="AO495" s="41" t="b">
        <v>0</v>
      </c>
      <c r="AP495" s="45" t="b">
        <v>0</v>
      </c>
      <c r="AQ495" s="45" t="b">
        <v>0</v>
      </c>
      <c r="AR495" s="45">
        <v>0</v>
      </c>
      <c r="AS495" s="45" t="b">
        <v>0</v>
      </c>
      <c r="AT495" s="7" t="b">
        <v>0</v>
      </c>
      <c r="AU4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6" spans="1:47" x14ac:dyDescent="0.35">
      <c r="A496" s="2" t="s">
        <v>3121</v>
      </c>
      <c r="B496">
        <v>2008</v>
      </c>
      <c r="D4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6" s="37" t="str">
        <f>INDEX(CONTROL[ENGLISH],MATCH(PROPERTIES[[#This Row],[VEHIDCODE]],CONTROL[VEHIDCODE],0))</f>
        <v>CFD AMT 800</v>
      </c>
      <c r="F496" t="s">
        <v>748</v>
      </c>
      <c r="G496" s="37" t="str">
        <f>_xlfn.IFNA(INDEX(COUNTRIES[COUNTRY_LABEL],MATCH(PROPERTIES[[#This Row],[COUNTRY]],COUNTRIES[COUNTRY_DESCRIPTION],0)),"")</f>
        <v>TN</v>
      </c>
      <c r="H4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INDEX(LOADINGSPEEDDEF[SPEED],MATCH("LOADINGSPEEDDEF_"&amp;PROPERTIES[[#This Row],[LOADINGSPEED]],LOADINGSPEEDDEF[TYPE],0))</f>
        <v>60</v>
      </c>
      <c r="O49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4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6" s="2" t="str">
        <f>SUBSTITUTE(SUBSTITUTE(PROPERTIES[[#This Row],[PURCHASECOST_VALUE]], "PURCHASECOST_", ""), "_VALUE", "")</f>
        <v>DMU</v>
      </c>
      <c r="AO496" s="41" t="b">
        <v>0</v>
      </c>
      <c r="AP496" s="45" t="b">
        <v>0</v>
      </c>
      <c r="AQ496" s="45" t="b">
        <v>0</v>
      </c>
      <c r="AR496" s="45">
        <v>0</v>
      </c>
      <c r="AS496" s="45" t="b">
        <v>0</v>
      </c>
      <c r="AT496" s="7" t="b">
        <v>0</v>
      </c>
      <c r="AU4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7" spans="1:47" x14ac:dyDescent="0.35">
      <c r="A497" s="2" t="s">
        <v>3122</v>
      </c>
      <c r="B497">
        <v>2009</v>
      </c>
      <c r="D4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7" s="37" t="str">
        <f>INDEX(CONTROL[ENGLISH],MATCH(PROPERTIES[[#This Row],[VEHIDCODE]],CONTROL[VEHIDCODE],0))</f>
        <v>CNR Tangshan Ghana DEMU</v>
      </c>
      <c r="F497" t="s">
        <v>608</v>
      </c>
      <c r="G497" s="37" t="str">
        <f>_xlfn.IFNA(INDEX(COUNTRIES[COUNTRY_LABEL],MATCH(PROPERTIES[[#This Row],[COUNTRY]],COUNTRIES[COUNTRY_DESCRIPTION],0)),"")</f>
        <v>GH</v>
      </c>
      <c r="H4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INDEX(LOADINGSPEEDDEF[SPEED],MATCH("LOADINGSPEEDDEF_"&amp;PROPERTIES[[#This Row],[LOADINGSPEED]],LOADINGSPEEDDEF[TYPE],0))</f>
        <v>60</v>
      </c>
      <c r="O4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4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7" s="2" t="str">
        <f>SUBSTITUTE(SUBSTITUTE(PROPERTIES[[#This Row],[PURCHASECOST_VALUE]], "PURCHASECOST_", ""), "_VALUE", "")</f>
        <v>DMU</v>
      </c>
      <c r="AO497" s="41" t="b">
        <v>0</v>
      </c>
      <c r="AP497" s="45" t="b">
        <v>0</v>
      </c>
      <c r="AQ497" s="45" t="b">
        <v>0</v>
      </c>
      <c r="AR497" s="45">
        <v>0</v>
      </c>
      <c r="AS497" s="45" t="b">
        <v>0</v>
      </c>
      <c r="AT497" s="7" t="b">
        <v>0</v>
      </c>
      <c r="AU4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8" spans="1:47" x14ac:dyDescent="0.35">
      <c r="A498" s="2" t="s">
        <v>3123</v>
      </c>
      <c r="B498">
        <v>2003</v>
      </c>
      <c r="D4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8" s="37" t="str">
        <f>INDEX(CONTROL[ENGLISH],MATCH(PROPERTIES[[#This Row],[VEHIDCODE]],CONTROL[VEHIDCODE],0))</f>
        <v>Downer EDI/Hitachi Tilt Train</v>
      </c>
      <c r="F498" t="s">
        <v>541</v>
      </c>
      <c r="G498" s="37" t="str">
        <f>_xlfn.IFNA(INDEX(COUNTRIES[COUNTRY_LABEL],MATCH(PROPERTIES[[#This Row],[COUNTRY]],COUNTRIES[COUNTRY_DESCRIPTION],0)),"")</f>
        <v>AU</v>
      </c>
      <c r="H4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INDEX(LOADINGSPEEDDEF[SPEED],MATCH("LOADINGSPEEDDEF_"&amp;PROPERTIES[[#This Row],[LOADINGSPEED]],LOADINGSPEEDDEF[TYPE],0))</f>
        <v>20</v>
      </c>
      <c r="O4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4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8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8" s="2" t="str">
        <f>SUBSTITUTE(SUBSTITUTE(PROPERTIES[[#This Row],[PURCHASECOST_VALUE]], "PURCHASECOST_", ""), "_VALUE", "")</f>
        <v>DMU</v>
      </c>
      <c r="AO498" s="41" t="b">
        <v>0</v>
      </c>
      <c r="AP498" s="45" t="b">
        <v>0</v>
      </c>
      <c r="AQ498" s="45" t="b">
        <v>1</v>
      </c>
      <c r="AR498" s="45">
        <v>0</v>
      </c>
      <c r="AS498" s="45" t="b">
        <v>0</v>
      </c>
      <c r="AT498" s="7" t="b">
        <v>0</v>
      </c>
      <c r="AU4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499" spans="1:47" x14ac:dyDescent="0.35">
      <c r="A499" s="2" t="s">
        <v>3124</v>
      </c>
      <c r="B499">
        <v>2013</v>
      </c>
      <c r="D4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499" s="37" t="str">
        <f>INDEX(CONTROL[ENGLISH],MATCH(PROPERTIES[[#This Row],[VEHIDCODE]],CONTROL[VEHIDCODE],0))</f>
        <v>Nippon Sharyo 1000 Series</v>
      </c>
      <c r="F499" t="s">
        <v>565</v>
      </c>
      <c r="G499" s="37" t="str">
        <f>_xlfn.IFNA(INDEX(COUNTRIES[COUNTRY_LABEL],MATCH(PROPERTIES[[#This Row],[COUNTRY]],COUNTRIES[COUNTRY_DESCRIPTION],0)),"")</f>
        <v>CA</v>
      </c>
      <c r="H4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INDEX(LOADINGSPEEDDEF[SPEED],MATCH("LOADINGSPEEDDEF_"&amp;PROPERTIES[[#This Row],[LOADINGSPEED]],LOADINGSPEEDDEF[TYPE],0))</f>
        <v>60</v>
      </c>
      <c r="O49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4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499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499" s="2" t="str">
        <f>SUBSTITUTE(SUBSTITUTE(PROPERTIES[[#This Row],[PURCHASECOST_VALUE]], "PURCHASECOST_", ""), "_VALUE", "")</f>
        <v>DMU</v>
      </c>
      <c r="AO499" s="41" t="b">
        <v>0</v>
      </c>
      <c r="AP499" s="45" t="b">
        <v>0</v>
      </c>
      <c r="AQ499" s="45" t="b">
        <v>0</v>
      </c>
      <c r="AR499" s="45">
        <v>0</v>
      </c>
      <c r="AS499" s="45" t="b">
        <v>0</v>
      </c>
      <c r="AT499" s="7" t="b">
        <v>0</v>
      </c>
      <c r="AU4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0" spans="1:47" x14ac:dyDescent="0.35">
      <c r="A500" s="2" t="s">
        <v>3125</v>
      </c>
      <c r="B500">
        <v>2015</v>
      </c>
      <c r="D5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0" s="37" t="str">
        <f>INDEX(CONTROL[ENGLISH],MATCH(PROPERTIES[[#This Row],[VEHIDCODE]],CONTROL[VEHIDCODE],0))</f>
        <v>Materfer CMM 400-2</v>
      </c>
      <c r="F500" t="s">
        <v>538</v>
      </c>
      <c r="G500" s="37" t="str">
        <f>_xlfn.IFNA(INDEX(COUNTRIES[COUNTRY_LABEL],MATCH(PROPERTIES[[#This Row],[COUNTRY]],COUNTRIES[COUNTRY_DESCRIPTION],0)),"")</f>
        <v>AR</v>
      </c>
      <c r="H5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INDEX(LOADINGSPEEDDEF[SPEED],MATCH("LOADINGSPEEDDEF_"&amp;PROPERTIES[[#This Row],[LOADINGSPEED]],LOADINGSPEEDDEF[TYPE],0))</f>
        <v>60</v>
      </c>
      <c r="O50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4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0" s="2" t="str">
        <f>SUBSTITUTE(SUBSTITUTE(PROPERTIES[[#This Row],[PURCHASECOST_VALUE]], "PURCHASECOST_", ""), "_VALUE", "")</f>
        <v>DMU</v>
      </c>
      <c r="AO500" s="41" t="b">
        <v>0</v>
      </c>
      <c r="AP500" s="45" t="b">
        <v>0</v>
      </c>
      <c r="AQ500" s="45" t="b">
        <v>0</v>
      </c>
      <c r="AR500" s="45">
        <v>0</v>
      </c>
      <c r="AS500" s="45" t="b">
        <v>0</v>
      </c>
      <c r="AT500" s="7" t="b">
        <v>0</v>
      </c>
      <c r="AU5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1" spans="1:47" x14ac:dyDescent="0.35">
      <c r="A501" s="2" t="s">
        <v>3126</v>
      </c>
      <c r="B501">
        <v>1955</v>
      </c>
      <c r="C501">
        <v>1995</v>
      </c>
      <c r="D5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1" s="37" t="str">
        <f>INDEX(CONTROL[ENGLISH],MATCH(PROPERTIES[[#This Row],[VEHIDCODE]],CONTROL[VEHIDCODE],0))</f>
        <v>Fiat ALn 442-448</v>
      </c>
      <c r="F501" t="s">
        <v>636</v>
      </c>
      <c r="G501" s="37" t="str">
        <f>_xlfn.IFNA(INDEX(COUNTRIES[COUNTRY_LABEL],MATCH(PROPERTIES[[#This Row],[COUNTRY]],COUNTRIES[COUNTRY_DESCRIPTION],0)),"")</f>
        <v>IT</v>
      </c>
      <c r="H5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INDEX(LOADINGSPEEDDEF[SPEED],MATCH("LOADINGSPEEDDEF_"&amp;PROPERTIES[[#This Row],[LOADINGSPEED]],LOADINGSPEEDDEF[TYPE],0))</f>
        <v>60</v>
      </c>
      <c r="O5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4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1" s="2" t="str">
        <f>SUBSTITUTE(SUBSTITUTE(PROPERTIES[[#This Row],[PURCHASECOST_VALUE]], "PURCHASECOST_", ""), "_VALUE", "")</f>
        <v>DMU</v>
      </c>
      <c r="AO501" s="41" t="b">
        <v>0</v>
      </c>
      <c r="AP501" s="45" t="b">
        <v>0</v>
      </c>
      <c r="AQ501" s="45" t="b">
        <v>0</v>
      </c>
      <c r="AR501" s="45">
        <v>0</v>
      </c>
      <c r="AS501" s="45" t="b">
        <v>0</v>
      </c>
      <c r="AT501" s="7" t="b">
        <v>0</v>
      </c>
      <c r="AU5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2" spans="1:47" x14ac:dyDescent="0.35">
      <c r="A502" s="2" t="s">
        <v>3127</v>
      </c>
      <c r="B502">
        <v>1965</v>
      </c>
      <c r="C502">
        <v>1999</v>
      </c>
      <c r="D5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2" s="37" t="str">
        <f>INDEX(CONTROL[ENGLISH],MATCH(PROPERTIES[[#This Row],[VEHIDCODE]],CONTROL[VEHIDCODE],0))</f>
        <v>Sorefame CP 0400</v>
      </c>
      <c r="F502" t="s">
        <v>710</v>
      </c>
      <c r="G502" s="37" t="str">
        <f>_xlfn.IFNA(INDEX(COUNTRIES[COUNTRY_LABEL],MATCH(PROPERTIES[[#This Row],[COUNTRY]],COUNTRIES[COUNTRY_DESCRIPTION],0)),"")</f>
        <v>PT</v>
      </c>
      <c r="H5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INDEX(LOADINGSPEEDDEF[SPEED],MATCH("LOADINGSPEEDDEF_"&amp;PROPERTIES[[#This Row],[LOADINGSPEED]],LOADINGSPEEDDEF[TYPE],0))</f>
        <v>60</v>
      </c>
      <c r="O5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3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2" s="2" t="str">
        <f>SUBSTITUTE(SUBSTITUTE(PROPERTIES[[#This Row],[PURCHASECOST_VALUE]], "PURCHASECOST_", ""), "_VALUE", "")</f>
        <v>DMU</v>
      </c>
      <c r="AO502" s="41" t="b">
        <v>0</v>
      </c>
      <c r="AP502" s="45" t="b">
        <v>0</v>
      </c>
      <c r="AQ502" s="45" t="b">
        <v>0</v>
      </c>
      <c r="AR502" s="45">
        <v>0</v>
      </c>
      <c r="AS502" s="45" t="b">
        <v>0</v>
      </c>
      <c r="AT502" s="7" t="b">
        <v>0</v>
      </c>
      <c r="AU5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3" spans="1:47" x14ac:dyDescent="0.35">
      <c r="A503" s="2" t="s">
        <v>3128</v>
      </c>
      <c r="B503">
        <v>1979</v>
      </c>
      <c r="C503">
        <v>2011</v>
      </c>
      <c r="D5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3" s="37" t="str">
        <f>INDEX(CONTROL[ENGLISH],MATCH(PROPERTIES[[#This Row],[VEHIDCODE]],CONTROL[VEHIDCODE],0))</f>
        <v>Sorefame CP 0600</v>
      </c>
      <c r="F503" t="s">
        <v>710</v>
      </c>
      <c r="G503" s="37" t="str">
        <f>_xlfn.IFNA(INDEX(COUNTRIES[COUNTRY_LABEL],MATCH(PROPERTIES[[#This Row],[COUNTRY]],COUNTRIES[COUNTRY_DESCRIPTION],0)),"")</f>
        <v>PT</v>
      </c>
      <c r="H5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INDEX(LOADINGSPEEDDEF[SPEED],MATCH("LOADINGSPEEDDEF_"&amp;PROPERTIES[[#This Row],[LOADINGSPEED]],LOADINGSPEEDDEF[TYPE],0))</f>
        <v>60</v>
      </c>
      <c r="O5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4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3" s="2" t="str">
        <f>SUBSTITUTE(SUBSTITUTE(PROPERTIES[[#This Row],[PURCHASECOST_VALUE]], "PURCHASECOST_", ""), "_VALUE", "")</f>
        <v>DMU</v>
      </c>
      <c r="AO503" s="41" t="b">
        <v>0</v>
      </c>
      <c r="AP503" s="45" t="b">
        <v>0</v>
      </c>
      <c r="AQ503" s="45" t="b">
        <v>0</v>
      </c>
      <c r="AR503" s="45">
        <v>0</v>
      </c>
      <c r="AS503" s="45" t="b">
        <v>0</v>
      </c>
      <c r="AT503" s="7" t="b">
        <v>0</v>
      </c>
      <c r="AU5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4" spans="1:47" x14ac:dyDescent="0.35">
      <c r="A504" s="2" t="s">
        <v>3129</v>
      </c>
      <c r="B504">
        <v>1983</v>
      </c>
      <c r="D5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4" s="37" t="str">
        <f>INDEX(CONTROL[ENGLISH],MATCH(PROPERTIES[[#This Row],[VEHIDCODE]],CONTROL[VEHIDCODE],0))</f>
        <v>MTM 2400 'Apollos'</v>
      </c>
      <c r="F504" t="s">
        <v>595</v>
      </c>
      <c r="G504" s="37" t="str">
        <f>_xlfn.IFNA(INDEX(COUNTRIES[COUNTRY_LABEL],MATCH(PROPERTIES[[#This Row],[COUNTRY]],COUNTRIES[COUNTRY_DESCRIPTION],0)),"")</f>
        <v>ES</v>
      </c>
      <c r="H5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INDEX(LOADINGSPEEDDEF[SPEED],MATCH("LOADINGSPEEDDEF_"&amp;PROPERTIES[[#This Row],[LOADINGSPEED]],LOADINGSPEEDDEF[TYPE],0))</f>
        <v>60</v>
      </c>
      <c r="O5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4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4" s="2" t="str">
        <f>SUBSTITUTE(SUBSTITUTE(PROPERTIES[[#This Row],[PURCHASECOST_VALUE]], "PURCHASECOST_", ""), "_VALUE", "")</f>
        <v>DMU</v>
      </c>
      <c r="AO504" s="41" t="b">
        <v>0</v>
      </c>
      <c r="AP504" s="45" t="b">
        <v>0</v>
      </c>
      <c r="AQ504" s="45" t="b">
        <v>0</v>
      </c>
      <c r="AR504" s="45">
        <v>0</v>
      </c>
      <c r="AS504" s="45" t="b">
        <v>0</v>
      </c>
      <c r="AT504" s="7" t="b">
        <v>0</v>
      </c>
      <c r="AU5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5" spans="1:47" x14ac:dyDescent="0.35">
      <c r="A505" s="2" t="s">
        <v>3130</v>
      </c>
      <c r="B505">
        <v>1996</v>
      </c>
      <c r="D5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5" s="37" t="str">
        <f>INDEX(CONTROL[ENGLISH],MATCH(PROPERTIES[[#This Row],[VEHIDCODE]],CONTROL[VEHIDCODE],0))</f>
        <v>Windhoff CargoSprinter</v>
      </c>
      <c r="F505" t="s">
        <v>584</v>
      </c>
      <c r="G505" s="37" t="str">
        <f>_xlfn.IFNA(INDEX(COUNTRIES[COUNTRY_LABEL],MATCH(PROPERTIES[[#This Row],[COUNTRY]],COUNTRIES[COUNTRY_DESCRIPTION],0)),"")</f>
        <v>DE</v>
      </c>
      <c r="H5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INDEX(LOADINGSPEEDDEF[SPEED],MATCH("LOADINGSPEEDDEF_"&amp;PROPERTIES[[#This Row],[LOADINGSPEED]],LOADINGSPEEDDEF[TYPE],0))</f>
        <v>20</v>
      </c>
      <c r="O50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4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505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505" s="2" t="str">
        <f>SUBSTITUTE(SUBSTITUTE(PROPERTIES[[#This Row],[PURCHASECOST_VALUE]], "PURCHASECOST_", ""), "_VALUE", "")</f>
        <v>DMU</v>
      </c>
      <c r="AO505" s="41" t="b">
        <v>0</v>
      </c>
      <c r="AP505" s="45" t="b">
        <v>0</v>
      </c>
      <c r="AQ505" s="45" t="b">
        <v>0</v>
      </c>
      <c r="AR505" s="45">
        <v>0</v>
      </c>
      <c r="AS505" s="45" t="b">
        <v>0</v>
      </c>
      <c r="AT505" s="7" t="b">
        <v>0</v>
      </c>
      <c r="AU5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TPL_42A</v>
      </c>
    </row>
    <row r="506" spans="1:47" x14ac:dyDescent="0.35">
      <c r="A506" s="2" t="s">
        <v>3131</v>
      </c>
      <c r="B506">
        <v>2011</v>
      </c>
      <c r="D5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6" s="37" t="str">
        <f>INDEX(CONTROL[ENGLISH],MATCH(PROPERTIES[[#This Row],[VEHIDCODE]],CONTROL[VEHIDCODE],0))</f>
        <v>Downer/CRRC/Hitachi 'Waratah'</v>
      </c>
      <c r="F506" t="s">
        <v>541</v>
      </c>
      <c r="G506" s="37" t="str">
        <f>_xlfn.IFNA(INDEX(COUNTRIES[COUNTRY_LABEL],MATCH(PROPERTIES[[#This Row],[COUNTRY]],COUNTRIES[COUNTRY_DESCRIPTION],0)),"")</f>
        <v>AU</v>
      </c>
      <c r="H5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INDEX(LOADINGSPEEDDEF[SPEED],MATCH("LOADINGSPEEDDEF_"&amp;PROPERTIES[[#This Row],[LOADINGSPEED]],LOADINGSPEEDDEF[TYPE],0))</f>
        <v>60</v>
      </c>
      <c r="O5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4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6" s="2" t="str">
        <f>SUBSTITUTE(SUBSTITUTE(PROPERTIES[[#This Row],[PURCHASECOST_VALUE]], "PURCHASECOST_", ""), "_VALUE", "")</f>
        <v>EMU</v>
      </c>
      <c r="AO506" s="41" t="b">
        <v>0</v>
      </c>
      <c r="AP506" s="45" t="b">
        <v>0</v>
      </c>
      <c r="AQ506" s="45" t="b">
        <v>0</v>
      </c>
      <c r="AR506" s="45">
        <v>0</v>
      </c>
      <c r="AS506" s="45" t="b">
        <v>0</v>
      </c>
      <c r="AT506" s="7" t="b">
        <v>0</v>
      </c>
      <c r="AU5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07" spans="1:47" x14ac:dyDescent="0.35">
      <c r="A507" s="2" t="s">
        <v>3132</v>
      </c>
      <c r="B507">
        <v>1966</v>
      </c>
      <c r="C507">
        <v>1973</v>
      </c>
      <c r="D5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7" s="37" t="str">
        <f>INDEX(CONTROL[ENGLISH],MATCH(PROPERTIES[[#This Row],[VEHIDCODE]],CONTROL[VEHIDCODE],0))</f>
        <v>Frichs &amp; Scandia S-Tog II</v>
      </c>
      <c r="F507" t="s">
        <v>586</v>
      </c>
      <c r="G507" s="37" t="str">
        <f>_xlfn.IFNA(INDEX(COUNTRIES[COUNTRY_LABEL],MATCH(PROPERTIES[[#This Row],[COUNTRY]],COUNTRIES[COUNTRY_DESCRIPTION],0)),"")</f>
        <v>DK</v>
      </c>
      <c r="H5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INDEX(LOADINGSPEEDDEF[SPEED],MATCH("LOADINGSPEEDDEF_"&amp;PROPERTIES[[#This Row],[LOADINGSPEED]],LOADINGSPEEDDEF[TYPE],0))</f>
        <v>60</v>
      </c>
      <c r="O5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4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7" s="2" t="str">
        <f>SUBSTITUTE(SUBSTITUTE(PROPERTIES[[#This Row],[PURCHASECOST_VALUE]], "PURCHASECOST_", ""), "_VALUE", "")</f>
        <v>EMU</v>
      </c>
      <c r="AO507" s="41" t="b">
        <v>0</v>
      </c>
      <c r="AP507" s="45" t="b">
        <v>0</v>
      </c>
      <c r="AQ507" s="45" t="b">
        <v>0</v>
      </c>
      <c r="AR507" s="45">
        <v>0</v>
      </c>
      <c r="AS507" s="45" t="b">
        <v>0</v>
      </c>
      <c r="AT507" s="7" t="b">
        <v>0</v>
      </c>
      <c r="AU5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08" spans="1:47" x14ac:dyDescent="0.35">
      <c r="A508" s="2" t="s">
        <v>3133</v>
      </c>
      <c r="B508">
        <v>1996</v>
      </c>
      <c r="C508">
        <v>1962</v>
      </c>
      <c r="D5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8" s="37" t="str">
        <f>INDEX(CONTROL[ENGLISH],MATCH(PROPERTIES[[#This Row],[VEHIDCODE]],CONTROL[VEHIDCODE],0))</f>
        <v>Alsthom S-Tog IV</v>
      </c>
      <c r="F508" t="s">
        <v>586</v>
      </c>
      <c r="G508" s="37" t="str">
        <f>_xlfn.IFNA(INDEX(COUNTRIES[COUNTRY_LABEL],MATCH(PROPERTIES[[#This Row],[COUNTRY]],COUNTRIES[COUNTRY_DESCRIPTION],0)),"")</f>
        <v>DK</v>
      </c>
      <c r="H5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INDEX(LOADINGSPEEDDEF[SPEED],MATCH("LOADINGSPEEDDEF_"&amp;PROPERTIES[[#This Row],[LOADINGSPEED]],LOADINGSPEEDDEF[TYPE],0))</f>
        <v>60</v>
      </c>
      <c r="O50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4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8" s="2" t="str">
        <f>SUBSTITUTE(SUBSTITUTE(PROPERTIES[[#This Row],[PURCHASECOST_VALUE]], "PURCHASECOST_", ""), "_VALUE", "")</f>
        <v>EMU</v>
      </c>
      <c r="AO508" s="41" t="b">
        <v>0</v>
      </c>
      <c r="AP508" s="45" t="b">
        <v>0</v>
      </c>
      <c r="AQ508" s="45" t="b">
        <v>0</v>
      </c>
      <c r="AR508" s="45">
        <v>0</v>
      </c>
      <c r="AS508" s="45" t="b">
        <v>0</v>
      </c>
      <c r="AT508" s="7" t="b">
        <v>0</v>
      </c>
      <c r="AU5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09" spans="1:47" x14ac:dyDescent="0.35">
      <c r="A509" s="2" t="s">
        <v>3134</v>
      </c>
      <c r="B509">
        <v>1932</v>
      </c>
      <c r="D5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09" s="37" t="str">
        <f>INDEX(CONTROL[ENGLISH],MATCH(PROPERTIES[[#This Row],[VEHIDCODE]],CONTROL[VEHIDCODE],0))</f>
        <v>TIBB ECD 21-30</v>
      </c>
      <c r="F509" t="s">
        <v>636</v>
      </c>
      <c r="G509" s="37" t="str">
        <f>_xlfn.IFNA(INDEX(COUNTRIES[COUNTRY_LABEL],MATCH(PROPERTIES[[#This Row],[COUNTRY]],COUNTRIES[COUNTRY_DESCRIPTION],0)),"")</f>
        <v>IT</v>
      </c>
      <c r="H5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INDEX(LOADINGSPEEDDEF[SPEED],MATCH("LOADINGSPEEDDEF_"&amp;PROPERTIES[[#This Row],[LOADINGSPEED]],LOADINGSPEEDDEF[TYPE],0))</f>
        <v>60</v>
      </c>
      <c r="O5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4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0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09" s="2" t="str">
        <f>SUBSTITUTE(SUBSTITUTE(PROPERTIES[[#This Row],[PURCHASECOST_VALUE]], "PURCHASECOST_", ""), "_VALUE", "")</f>
        <v>EMU</v>
      </c>
      <c r="AO509" s="41" t="b">
        <v>0</v>
      </c>
      <c r="AP509" s="45" t="b">
        <v>0</v>
      </c>
      <c r="AQ509" s="45" t="b">
        <v>0</v>
      </c>
      <c r="AR509" s="45">
        <v>0</v>
      </c>
      <c r="AS509" s="45" t="b">
        <v>0</v>
      </c>
      <c r="AT509" s="7" t="b">
        <v>0</v>
      </c>
      <c r="AU5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0" spans="1:47" x14ac:dyDescent="0.35">
      <c r="A510" s="2" t="s">
        <v>3135</v>
      </c>
      <c r="B510">
        <v>1924</v>
      </c>
      <c r="C510">
        <v>1959</v>
      </c>
      <c r="D5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0" s="37" t="str">
        <f>INDEX(CONTROL[ENGLISH],MATCH(PROPERTIES[[#This Row],[VEHIDCODE]],CONTROL[VEHIDCODE],0))</f>
        <v>Werkspoor Mat'24</v>
      </c>
      <c r="F510" t="s">
        <v>692</v>
      </c>
      <c r="G510" s="37" t="str">
        <f>_xlfn.IFNA(INDEX(COUNTRIES[COUNTRY_LABEL],MATCH(PROPERTIES[[#This Row],[COUNTRY]],COUNTRIES[COUNTRY_DESCRIPTION],0)),"")</f>
        <v>NL</v>
      </c>
      <c r="H5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INDEX(LOADINGSPEEDDEF[SPEED],MATCH("LOADINGSPEEDDEF_"&amp;PROPERTIES[[#This Row],[LOADINGSPEED]],LOADINGSPEEDDEF[TYPE],0))</f>
        <v>60</v>
      </c>
      <c r="O5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4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0" s="2" t="str">
        <f>SUBSTITUTE(SUBSTITUTE(PROPERTIES[[#This Row],[PURCHASECOST_VALUE]], "PURCHASECOST_", ""), "_VALUE", "")</f>
        <v>EMU</v>
      </c>
      <c r="AO510" s="41" t="b">
        <v>0</v>
      </c>
      <c r="AP510" s="45" t="b">
        <v>0</v>
      </c>
      <c r="AQ510" s="45" t="b">
        <v>0</v>
      </c>
      <c r="AR510" s="45">
        <v>0</v>
      </c>
      <c r="AS510" s="45" t="b">
        <v>0</v>
      </c>
      <c r="AT510" s="7" t="b">
        <v>0</v>
      </c>
      <c r="AU5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1" spans="1:47" x14ac:dyDescent="0.35">
      <c r="A511" s="2" t="s">
        <v>3136</v>
      </c>
      <c r="B511">
        <v>1936</v>
      </c>
      <c r="C511">
        <v>1970</v>
      </c>
      <c r="D5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1" s="37" t="str">
        <f>INDEX(CONTROL[ENGLISH],MATCH(PROPERTIES[[#This Row],[VEHIDCODE]],CONTROL[VEHIDCODE],0))</f>
        <v>Werkspoor Mat'36</v>
      </c>
      <c r="F511" t="s">
        <v>692</v>
      </c>
      <c r="G511" s="37" t="str">
        <f>_xlfn.IFNA(INDEX(COUNTRIES[COUNTRY_LABEL],MATCH(PROPERTIES[[#This Row],[COUNTRY]],COUNTRIES[COUNTRY_DESCRIPTION],0)),"")</f>
        <v>NL</v>
      </c>
      <c r="H5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INDEX(LOADINGSPEEDDEF[SPEED],MATCH("LOADINGSPEEDDEF_"&amp;PROPERTIES[[#This Row],[LOADINGSPEED]],LOADINGSPEEDDEF[TYPE],0))</f>
        <v>60</v>
      </c>
      <c r="O5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4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1" s="2" t="str">
        <f>SUBSTITUTE(SUBSTITUTE(PROPERTIES[[#This Row],[PURCHASECOST_VALUE]], "PURCHASECOST_", ""), "_VALUE", "")</f>
        <v>EMU</v>
      </c>
      <c r="AO511" s="41" t="b">
        <v>0</v>
      </c>
      <c r="AP511" s="45" t="b">
        <v>0</v>
      </c>
      <c r="AQ511" s="45" t="b">
        <v>0</v>
      </c>
      <c r="AR511" s="45">
        <v>0</v>
      </c>
      <c r="AS511" s="45" t="b">
        <v>0</v>
      </c>
      <c r="AT511" s="7" t="b">
        <v>0</v>
      </c>
      <c r="AU5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2" spans="1:47" x14ac:dyDescent="0.35">
      <c r="A512" s="2" t="s">
        <v>3137</v>
      </c>
      <c r="B512">
        <v>1954</v>
      </c>
      <c r="C512">
        <v>1993</v>
      </c>
      <c r="D5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2" s="37" t="str">
        <f>INDEX(CONTROL[ENGLISH],MATCH(PROPERTIES[[#This Row],[VEHIDCODE]],CONTROL[VEHIDCODE],0))</f>
        <v>Werkspoor Mat'54</v>
      </c>
      <c r="F512" t="s">
        <v>692</v>
      </c>
      <c r="G512" s="37" t="str">
        <f>_xlfn.IFNA(INDEX(COUNTRIES[COUNTRY_LABEL],MATCH(PROPERTIES[[#This Row],[COUNTRY]],COUNTRIES[COUNTRY_DESCRIPTION],0)),"")</f>
        <v>NL</v>
      </c>
      <c r="H5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INDEX(LOADINGSPEEDDEF[SPEED],MATCH("LOADINGSPEEDDEF_"&amp;PROPERTIES[[#This Row],[LOADINGSPEED]],LOADINGSPEEDDEF[TYPE],0))</f>
        <v>60</v>
      </c>
      <c r="O5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4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2" s="2" t="str">
        <f>SUBSTITUTE(SUBSTITUTE(PROPERTIES[[#This Row],[PURCHASECOST_VALUE]], "PURCHASECOST_", ""), "_VALUE", "")</f>
        <v>EMU</v>
      </c>
      <c r="AO512" s="41" t="b">
        <v>0</v>
      </c>
      <c r="AP512" s="45" t="b">
        <v>0</v>
      </c>
      <c r="AQ512" s="45" t="b">
        <v>0</v>
      </c>
      <c r="AR512" s="45">
        <v>0</v>
      </c>
      <c r="AS512" s="45" t="b">
        <v>0</v>
      </c>
      <c r="AT512" s="7" t="b">
        <v>0</v>
      </c>
      <c r="AU5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3" spans="1:47" x14ac:dyDescent="0.35">
      <c r="A513" s="2" t="s">
        <v>3138</v>
      </c>
      <c r="B513">
        <v>1975</v>
      </c>
      <c r="C513">
        <v>2018</v>
      </c>
      <c r="D5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3" s="37" t="str">
        <f>INDEX(CONTROL[ENGLISH],MATCH(PROPERTIES[[#This Row],[VEHIDCODE]],CONTROL[VEHIDCODE],0))</f>
        <v>Talbot Plan Y</v>
      </c>
      <c r="F513" t="s">
        <v>692</v>
      </c>
      <c r="G513" s="37" t="str">
        <f>_xlfn.IFNA(INDEX(COUNTRIES[COUNTRY_LABEL],MATCH(PROPERTIES[[#This Row],[COUNTRY]],COUNTRIES[COUNTRY_DESCRIPTION],0)),"")</f>
        <v>NL</v>
      </c>
      <c r="H5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INDEX(LOADINGSPEEDDEF[SPEED],MATCH("LOADINGSPEEDDEF_"&amp;PROPERTIES[[#This Row],[LOADINGSPEED]],LOADINGSPEEDDEF[TYPE],0))</f>
        <v>60</v>
      </c>
      <c r="O5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4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3" s="2" t="str">
        <f>SUBSTITUTE(SUBSTITUTE(PROPERTIES[[#This Row],[PURCHASECOST_VALUE]], "PURCHASECOST_", ""), "_VALUE", "")</f>
        <v>EMU</v>
      </c>
      <c r="AO513" s="41" t="b">
        <v>0</v>
      </c>
      <c r="AP513" s="45" t="b">
        <v>0</v>
      </c>
      <c r="AQ513" s="45" t="b">
        <v>0</v>
      </c>
      <c r="AR513" s="45">
        <v>0</v>
      </c>
      <c r="AS513" s="45" t="b">
        <v>0</v>
      </c>
      <c r="AT513" s="7" t="b">
        <v>0</v>
      </c>
      <c r="AU5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4" spans="1:47" x14ac:dyDescent="0.35">
      <c r="A514" s="2" t="s">
        <v>3139</v>
      </c>
      <c r="B514">
        <v>1979</v>
      </c>
      <c r="C514">
        <v>2003</v>
      </c>
      <c r="D5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4" s="37" t="str">
        <f>INDEX(CONTROL[ENGLISH],MATCH(PROPERTIES[[#This Row],[VEHIDCODE]],CONTROL[VEHIDCODE],0))</f>
        <v>Talbot ICM 4000</v>
      </c>
      <c r="F514" t="s">
        <v>692</v>
      </c>
      <c r="G514" s="37" t="str">
        <f>_xlfn.IFNA(INDEX(COUNTRIES[COUNTRY_LABEL],MATCH(PROPERTIES[[#This Row],[COUNTRY]],COUNTRIES[COUNTRY_DESCRIPTION],0)),"")</f>
        <v>NL</v>
      </c>
      <c r="H5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INDEX(LOADINGSPEEDDEF[SPEED],MATCH("LOADINGSPEEDDEF_"&amp;PROPERTIES[[#This Row],[LOADINGSPEED]],LOADINGSPEEDDEF[TYPE],0))</f>
        <v>60</v>
      </c>
      <c r="O5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4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4" s="2" t="str">
        <f>SUBSTITUTE(SUBSTITUTE(PROPERTIES[[#This Row],[PURCHASECOST_VALUE]], "PURCHASECOST_", ""), "_VALUE", "")</f>
        <v>EMU</v>
      </c>
      <c r="AO514" s="41" t="b">
        <v>0</v>
      </c>
      <c r="AP514" s="45" t="b">
        <v>0</v>
      </c>
      <c r="AQ514" s="45" t="b">
        <v>0</v>
      </c>
      <c r="AR514" s="45">
        <v>0</v>
      </c>
      <c r="AS514" s="45" t="b">
        <v>0</v>
      </c>
      <c r="AT514" s="7" t="b">
        <v>0</v>
      </c>
      <c r="AU5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5" spans="1:47" x14ac:dyDescent="0.35">
      <c r="A515" s="2" t="s">
        <v>3140</v>
      </c>
      <c r="B515">
        <v>1994</v>
      </c>
      <c r="D5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5" s="37" t="str">
        <f>INDEX(CONTROL[ENGLISH],MATCH(PROPERTIES[[#This Row],[VEHIDCODE]],CONTROL[VEHIDCODE],0))</f>
        <v>Talbot DD-IRM 'VIRM' 8000</v>
      </c>
      <c r="F515" t="s">
        <v>692</v>
      </c>
      <c r="G515" s="37" t="str">
        <f>_xlfn.IFNA(INDEX(COUNTRIES[COUNTRY_LABEL],MATCH(PROPERTIES[[#This Row],[COUNTRY]],COUNTRIES[COUNTRY_DESCRIPTION],0)),"")</f>
        <v>NL</v>
      </c>
      <c r="H5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INDEX(LOADINGSPEEDDEF[SPEED],MATCH("LOADINGSPEEDDEF_"&amp;PROPERTIES[[#This Row],[LOADINGSPEED]],LOADINGSPEEDDEF[TYPE],0))</f>
        <v>60</v>
      </c>
      <c r="O5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3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5" s="2" t="str">
        <f>SUBSTITUTE(SUBSTITUTE(PROPERTIES[[#This Row],[PURCHASECOST_VALUE]], "PURCHASECOST_", ""), "_VALUE", "")</f>
        <v>EMU</v>
      </c>
      <c r="AO515" s="41" t="b">
        <v>0</v>
      </c>
      <c r="AP515" s="45" t="b">
        <v>0</v>
      </c>
      <c r="AQ515" s="45" t="b">
        <v>0</v>
      </c>
      <c r="AR515" s="45">
        <v>0</v>
      </c>
      <c r="AS515" s="45" t="b">
        <v>0</v>
      </c>
      <c r="AT515" s="7" t="b">
        <v>0</v>
      </c>
      <c r="AU5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6" spans="1:47" x14ac:dyDescent="0.35">
      <c r="A516" s="2" t="s">
        <v>3141</v>
      </c>
      <c r="B516">
        <v>1997</v>
      </c>
      <c r="C516">
        <v>2013</v>
      </c>
      <c r="D5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6" s="37" t="str">
        <f>INDEX(CONTROL[ENGLISH],MATCH(PROPERTIES[[#This Row],[VEHIDCODE]],CONTROL[VEHIDCODE],0))</f>
        <v>De Dietrich/Adtranz mDDm 390</v>
      </c>
      <c r="F516" t="s">
        <v>692</v>
      </c>
      <c r="G516" s="37" t="str">
        <f>_xlfn.IFNA(INDEX(COUNTRIES[COUNTRY_LABEL],MATCH(PROPERTIES[[#This Row],[COUNTRY]],COUNTRIES[COUNTRY_DESCRIPTION],0)),"")</f>
        <v>NL</v>
      </c>
      <c r="H5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INDEX(LOADINGSPEEDDEF[SPEED],MATCH("LOADINGSPEEDDEF_"&amp;PROPERTIES[[#This Row],[LOADINGSPEED]],LOADINGSPEEDDEF[TYPE],0))</f>
        <v>60</v>
      </c>
      <c r="O5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4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6" s="2" t="str">
        <f>SUBSTITUTE(SUBSTITUTE(PROPERTIES[[#This Row],[PURCHASECOST_VALUE]], "PURCHASECOST_", ""), "_VALUE", "")</f>
        <v>EMU</v>
      </c>
      <c r="AO516" s="41" t="b">
        <v>0</v>
      </c>
      <c r="AP516" s="45" t="b">
        <v>0</v>
      </c>
      <c r="AQ516" s="45" t="b">
        <v>0</v>
      </c>
      <c r="AR516" s="45">
        <v>0</v>
      </c>
      <c r="AS516" s="45" t="b">
        <v>0</v>
      </c>
      <c r="AT516" s="7" t="b">
        <v>0</v>
      </c>
      <c r="AU5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7" spans="1:47" x14ac:dyDescent="0.35">
      <c r="A517" s="2" t="s">
        <v>3142</v>
      </c>
      <c r="B517">
        <v>1924</v>
      </c>
      <c r="C517">
        <v>1997</v>
      </c>
      <c r="D5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7" s="37" t="str">
        <f>INDEX(CONTROL[ENGLISH],MATCH(PROPERTIES[[#This Row],[VEHIDCODE]],CONTROL[VEHIDCODE],0))</f>
        <v>ET 165</v>
      </c>
      <c r="F517" t="s">
        <v>705</v>
      </c>
      <c r="G517" s="37" t="str">
        <f>_xlfn.IFNA(INDEX(COUNTRIES[COUNTRY_LABEL],MATCH(PROPERTIES[[#This Row],[COUNTRY]],COUNTRIES[COUNTRY_DESCRIPTION],0)),"")</f>
        <v>PL</v>
      </c>
      <c r="H5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INDEX(LOADINGSPEEDDEF[SPEED],MATCH("LOADINGSPEEDDEF_"&amp;PROPERTIES[[#This Row],[LOADINGSPEED]],LOADINGSPEEDDEF[TYPE],0))</f>
        <v>60</v>
      </c>
      <c r="O5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4">
        <f>INT(119/2)</f>
        <v>59</v>
      </c>
      <c r="AF517" s="6">
        <v>8</v>
      </c>
      <c r="AG517" t="s">
        <v>1940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7" s="2" t="str">
        <f>SUBSTITUTE(SUBSTITUTE(PROPERTIES[[#This Row],[PURCHASECOST_VALUE]], "PURCHASECOST_", ""), "_VALUE", "")</f>
        <v>EMU</v>
      </c>
      <c r="AO517" s="41" t="b">
        <v>0</v>
      </c>
      <c r="AP517" s="45" t="b">
        <v>0</v>
      </c>
      <c r="AQ517" s="45" t="b">
        <v>0</v>
      </c>
      <c r="AR517" s="45">
        <v>0</v>
      </c>
      <c r="AS517" s="45" t="b">
        <v>0</v>
      </c>
      <c r="AT517" s="7" t="b">
        <v>0</v>
      </c>
      <c r="AU5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8" spans="1:47" x14ac:dyDescent="0.35">
      <c r="A518" s="2" t="s">
        <v>3143</v>
      </c>
      <c r="B518">
        <v>1937</v>
      </c>
      <c r="C518">
        <v>1960</v>
      </c>
      <c r="D5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8" s="37" t="str">
        <f>INDEX(CONTROL[ENGLISH],MATCH(PROPERTIES[[#This Row],[VEHIDCODE]],CONTROL[VEHIDCODE],0))</f>
        <v>Breda ETR.200</v>
      </c>
      <c r="F518" t="s">
        <v>636</v>
      </c>
      <c r="G518" s="37" t="str">
        <f>_xlfn.IFNA(INDEX(COUNTRIES[COUNTRY_LABEL],MATCH(PROPERTIES[[#This Row],[COUNTRY]],COUNTRIES[COUNTRY_DESCRIPTION],0)),"")</f>
        <v>IT</v>
      </c>
      <c r="H5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INDEX(LOADINGSPEEDDEF[SPEED],MATCH("LOADINGSPEEDDEF_"&amp;PROPERTIES[[#This Row],[LOADINGSPEED]],LOADINGSPEEDDEF[TYPE],0))</f>
        <v>60</v>
      </c>
      <c r="O5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4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8" s="2" t="str">
        <f>SUBSTITUTE(SUBSTITUTE(PROPERTIES[[#This Row],[PURCHASECOST_VALUE]], "PURCHASECOST_", ""), "_VALUE", "")</f>
        <v>EMU</v>
      </c>
      <c r="AO518" s="41" t="b">
        <v>0</v>
      </c>
      <c r="AP518" s="45" t="b">
        <v>0</v>
      </c>
      <c r="AQ518" s="45" t="b">
        <v>1</v>
      </c>
      <c r="AR518" s="45">
        <v>0</v>
      </c>
      <c r="AS518" s="45" t="b">
        <v>0</v>
      </c>
      <c r="AT518" s="7" t="b">
        <v>0</v>
      </c>
      <c r="AU5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19" spans="1:47" x14ac:dyDescent="0.35">
      <c r="A519" s="2" t="s">
        <v>3144</v>
      </c>
      <c r="B519">
        <v>1952</v>
      </c>
      <c r="C519">
        <v>1991</v>
      </c>
      <c r="D5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19" s="37" t="str">
        <f>INDEX(CONTROL[ENGLISH],MATCH(PROPERTIES[[#This Row],[VEHIDCODE]],CONTROL[VEHIDCODE],0))</f>
        <v>Breda ETR.300 'Settebello'</v>
      </c>
      <c r="F519" t="s">
        <v>636</v>
      </c>
      <c r="G519" s="37" t="str">
        <f>_xlfn.IFNA(INDEX(COUNTRIES[COUNTRY_LABEL],MATCH(PROPERTIES[[#This Row],[COUNTRY]],COUNTRIES[COUNTRY_DESCRIPTION],0)),"")</f>
        <v>IT</v>
      </c>
      <c r="H5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INDEX(LOADINGSPEEDDEF[SPEED],MATCH("LOADINGSPEEDDEF_"&amp;PROPERTIES[[#This Row],[LOADINGSPEED]],LOADINGSPEEDDEF[TYPE],0))</f>
        <v>20</v>
      </c>
      <c r="O5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4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1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19" s="2" t="str">
        <f>SUBSTITUTE(SUBSTITUTE(PROPERTIES[[#This Row],[PURCHASECOST_VALUE]], "PURCHASECOST_", ""), "_VALUE", "")</f>
        <v>EMU</v>
      </c>
      <c r="AO519" s="41" t="b">
        <v>0</v>
      </c>
      <c r="AP519" s="45" t="b">
        <v>0</v>
      </c>
      <c r="AQ519" s="45" t="b">
        <v>0</v>
      </c>
      <c r="AR519" s="45">
        <v>0</v>
      </c>
      <c r="AS519" s="45" t="b">
        <v>0</v>
      </c>
      <c r="AT519" s="7" t="b">
        <v>0</v>
      </c>
      <c r="AU5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0" spans="1:47" x14ac:dyDescent="0.35">
      <c r="A520" s="2" t="s">
        <v>3145</v>
      </c>
      <c r="B520">
        <v>1993</v>
      </c>
      <c r="D5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0" s="37" t="str">
        <f>INDEX(CONTROL[ENGLISH],MATCH(PROPERTIES[[#This Row],[VEHIDCODE]],CONTROL[VEHIDCODE],0))</f>
        <v>TREVI ETR.500 'Frecciarossa'</v>
      </c>
      <c r="F520" t="s">
        <v>636</v>
      </c>
      <c r="G520" s="37" t="str">
        <f>_xlfn.IFNA(INDEX(COUNTRIES[COUNTRY_LABEL],MATCH(PROPERTIES[[#This Row],[COUNTRY]],COUNTRIES[COUNTRY_DESCRIPTION],0)),"")</f>
        <v>IT</v>
      </c>
      <c r="H5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INDEX(LOADINGSPEEDDEF[SPEED],MATCH("LOADINGSPEEDDEF_"&amp;PROPERTIES[[#This Row],[LOADINGSPEED]],LOADINGSPEEDDEF[TYPE],0))</f>
        <v>20</v>
      </c>
      <c r="O5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4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0" s="2" t="str">
        <f>SUBSTITUTE(SUBSTITUTE(PROPERTIES[[#This Row],[PURCHASECOST_VALUE]], "PURCHASECOST_", ""), "_VALUE", "")</f>
        <v>EMU</v>
      </c>
      <c r="AO520" s="41" t="b">
        <v>0</v>
      </c>
      <c r="AP520" s="45" t="b">
        <v>0</v>
      </c>
      <c r="AQ520" s="45" t="b">
        <v>0</v>
      </c>
      <c r="AR520" s="45">
        <v>0</v>
      </c>
      <c r="AS520" s="45" t="b">
        <v>0</v>
      </c>
      <c r="AT520" s="7" t="b">
        <v>0</v>
      </c>
      <c r="AU5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1" spans="1:47" x14ac:dyDescent="0.35">
      <c r="A521" s="2" t="s">
        <v>3146</v>
      </c>
      <c r="B521">
        <v>1996</v>
      </c>
      <c r="D5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1" s="37" t="str">
        <f>INDEX(CONTROL[ENGLISH],MATCH(PROPERTIES[[#This Row],[VEHIDCODE]],CONTROL[VEHIDCODE],0))</f>
        <v>AnsaldoBreda ALe 426</v>
      </c>
      <c r="F521" t="s">
        <v>636</v>
      </c>
      <c r="G521" s="37" t="str">
        <f>_xlfn.IFNA(INDEX(COUNTRIES[COUNTRY_LABEL],MATCH(PROPERTIES[[#This Row],[COUNTRY]],COUNTRIES[COUNTRY_DESCRIPTION],0)),"")</f>
        <v>IT</v>
      </c>
      <c r="H5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INDEX(LOADINGSPEEDDEF[SPEED],MATCH("LOADINGSPEEDDEF_"&amp;PROPERTIES[[#This Row],[LOADINGSPEED]],LOADINGSPEEDDEF[TYPE],0))</f>
        <v>60</v>
      </c>
      <c r="O5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4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1" s="2" t="str">
        <f>SUBSTITUTE(SUBSTITUTE(PROPERTIES[[#This Row],[PURCHASECOST_VALUE]], "PURCHASECOST_", ""), "_VALUE", "")</f>
        <v>EMU</v>
      </c>
      <c r="AO521" s="41" t="b">
        <v>0</v>
      </c>
      <c r="AP521" s="45" t="b">
        <v>0</v>
      </c>
      <c r="AQ521" s="45" t="b">
        <v>0</v>
      </c>
      <c r="AR521" s="45">
        <v>0</v>
      </c>
      <c r="AS521" s="45" t="b">
        <v>0</v>
      </c>
      <c r="AT521" s="7" t="b">
        <v>0</v>
      </c>
      <c r="AU5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2" spans="1:47" x14ac:dyDescent="0.35">
      <c r="A522" s="2" t="s">
        <v>3147</v>
      </c>
      <c r="B522">
        <v>1984</v>
      </c>
      <c r="C522">
        <v>2030</v>
      </c>
      <c r="D5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2" s="37" t="str">
        <f>INDEX(CONTROL[ENGLISH],MATCH(PROPERTIES[[#This Row],[VEHIDCODE]],CONTROL[VEHIDCODE],0))</f>
        <v>BN/ACEC ZMC</v>
      </c>
      <c r="F522" t="s">
        <v>663</v>
      </c>
      <c r="G522" s="37" t="str">
        <f>_xlfn.IFNA(INDEX(COUNTRIES[COUNTRY_LABEL],MATCH(PROPERTIES[[#This Row],[COUNTRY]],COUNTRIES[COUNTRY_DESCRIPTION],0)),"")</f>
        <v>MA</v>
      </c>
      <c r="H5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INDEX(LOADINGSPEEDDEF[SPEED],MATCH("LOADINGSPEEDDEF_"&amp;PROPERTIES[[#This Row],[LOADINGSPEED]],LOADINGSPEEDDEF[TYPE],0))</f>
        <v>60</v>
      </c>
      <c r="O5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4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2" s="2" t="str">
        <f>SUBSTITUTE(SUBSTITUTE(PROPERTIES[[#This Row],[PURCHASECOST_VALUE]], "PURCHASECOST_", ""), "_VALUE", "")</f>
        <v>EMU</v>
      </c>
      <c r="AO522" s="41" t="b">
        <v>0</v>
      </c>
      <c r="AP522" s="45" t="b">
        <v>0</v>
      </c>
      <c r="AQ522" s="45" t="b">
        <v>0</v>
      </c>
      <c r="AR522" s="45">
        <v>0</v>
      </c>
      <c r="AS522" s="45" t="b">
        <v>0</v>
      </c>
      <c r="AT522" s="7" t="b">
        <v>0</v>
      </c>
      <c r="AU5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3" spans="1:47" x14ac:dyDescent="0.35">
      <c r="A523" s="2" t="s">
        <v>3148</v>
      </c>
      <c r="B523">
        <v>1950</v>
      </c>
      <c r="C523">
        <v>1980</v>
      </c>
      <c r="D5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3" s="37" t="str">
        <f>INDEX(CONTROL[ENGLISH],MATCH(PROPERTIES[[#This Row],[VEHIDCODE]],CONTROL[VEHIDCODE],0))</f>
        <v>ASEA EW54</v>
      </c>
      <c r="F523" t="s">
        <v>705</v>
      </c>
      <c r="G523" s="37" t="str">
        <f>_xlfn.IFNA(INDEX(COUNTRIES[COUNTRY_LABEL],MATCH(PROPERTIES[[#This Row],[COUNTRY]],COUNTRIES[COUNTRY_DESCRIPTION],0)),"")</f>
        <v>PL</v>
      </c>
      <c r="H5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INDEX(LOADINGSPEEDDEF[SPEED],MATCH("LOADINGSPEEDDEF_"&amp;PROPERTIES[[#This Row],[LOADINGSPEED]],LOADINGSPEEDDEF[TYPE],0))</f>
        <v>60</v>
      </c>
      <c r="O5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4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3" s="2" t="str">
        <f>SUBSTITUTE(SUBSTITUTE(PROPERTIES[[#This Row],[PURCHASECOST_VALUE]], "PURCHASECOST_", ""), "_VALUE", "")</f>
        <v>EMU</v>
      </c>
      <c r="AO523" s="41" t="b">
        <v>0</v>
      </c>
      <c r="AP523" s="45" t="b">
        <v>0</v>
      </c>
      <c r="AQ523" s="45" t="b">
        <v>0</v>
      </c>
      <c r="AR523" s="45">
        <v>0</v>
      </c>
      <c r="AS523" s="45" t="b">
        <v>0</v>
      </c>
      <c r="AT523" s="7" t="b">
        <v>0</v>
      </c>
      <c r="AU5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4" spans="1:47" x14ac:dyDescent="0.35">
      <c r="A524" s="2" t="s">
        <v>3149</v>
      </c>
      <c r="B524">
        <v>1975</v>
      </c>
      <c r="C524">
        <v>2018</v>
      </c>
      <c r="D5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4" s="37" t="str">
        <f>INDEX(CONTROL[ENGLISH],MATCH(PROPERTIES[[#This Row],[VEHIDCODE]],CONTROL[VEHIDCODE],0))</f>
        <v>Breda ALe 801</v>
      </c>
      <c r="F524" t="s">
        <v>636</v>
      </c>
      <c r="G524" s="37" t="str">
        <f>_xlfn.IFNA(INDEX(COUNTRIES[COUNTRY_LABEL],MATCH(PROPERTIES[[#This Row],[COUNTRY]],COUNTRIES[COUNTRY_DESCRIPTION],0)),"")</f>
        <v>IT</v>
      </c>
      <c r="H5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INDEX(LOADINGSPEEDDEF[SPEED],MATCH("LOADINGSPEEDDEF_"&amp;PROPERTIES[[#This Row],[LOADINGSPEED]],LOADINGSPEEDDEF[TYPE],0))</f>
        <v>60</v>
      </c>
      <c r="O5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4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4" s="2" t="str">
        <f>SUBSTITUTE(SUBSTITUTE(PROPERTIES[[#This Row],[PURCHASECOST_VALUE]], "PURCHASECOST_", ""), "_VALUE", "")</f>
        <v>EMU</v>
      </c>
      <c r="AO524" s="41" t="b">
        <v>0</v>
      </c>
      <c r="AP524" s="45" t="b">
        <v>0</v>
      </c>
      <c r="AQ524" s="45" t="b">
        <v>0</v>
      </c>
      <c r="AR524" s="45">
        <v>0</v>
      </c>
      <c r="AS524" s="45" t="b">
        <v>0</v>
      </c>
      <c r="AT524" s="7" t="b">
        <v>0</v>
      </c>
      <c r="AU5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5" spans="1:47" x14ac:dyDescent="0.35">
      <c r="A525" s="2" t="s">
        <v>3150</v>
      </c>
      <c r="B525">
        <v>1956</v>
      </c>
      <c r="C525">
        <v>2004</v>
      </c>
      <c r="D5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5" s="37" t="str">
        <f>INDEX(CONTROL[ENGLISH],MATCH(PROPERTIES[[#This Row],[VEHIDCODE]],CONTROL[VEHIDCODE],0))</f>
        <v>SGP/AEG/BBC 4030</v>
      </c>
      <c r="F525" t="s">
        <v>540</v>
      </c>
      <c r="G525" s="37" t="str">
        <f>_xlfn.IFNA(INDEX(COUNTRIES[COUNTRY_LABEL],MATCH(PROPERTIES[[#This Row],[COUNTRY]],COUNTRIES[COUNTRY_DESCRIPTION],0)),"")</f>
        <v>AT</v>
      </c>
      <c r="H5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INDEX(LOADINGSPEEDDEF[SPEED],MATCH("LOADINGSPEEDDEF_"&amp;PROPERTIES[[#This Row],[LOADINGSPEED]],LOADINGSPEEDDEF[TYPE],0))</f>
        <v>60</v>
      </c>
      <c r="O5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4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5" s="2" t="str">
        <f>SUBSTITUTE(SUBSTITUTE(PROPERTIES[[#This Row],[PURCHASECOST_VALUE]], "PURCHASECOST_", ""), "_VALUE", "")</f>
        <v>EMU</v>
      </c>
      <c r="AO525" s="41" t="b">
        <v>0</v>
      </c>
      <c r="AP525" s="45" t="b">
        <v>0</v>
      </c>
      <c r="AQ525" s="45" t="b">
        <v>0</v>
      </c>
      <c r="AR525" s="45">
        <v>0</v>
      </c>
      <c r="AS525" s="45" t="b">
        <v>0</v>
      </c>
      <c r="AT525" s="7" t="b">
        <v>0</v>
      </c>
      <c r="AU5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6" spans="1:47" x14ac:dyDescent="0.35">
      <c r="A526" s="2" t="s">
        <v>3151</v>
      </c>
      <c r="B526">
        <v>1929</v>
      </c>
      <c r="C526">
        <v>1973</v>
      </c>
      <c r="D5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6" s="37" t="str">
        <f>INDEX(CONTROL[ENGLISH],MATCH(PROPERTIES[[#This Row],[VEHIDCODE]],CONTROL[VEHIDCODE],0))</f>
        <v>ELIN ET 10</v>
      </c>
      <c r="F526" t="s">
        <v>540</v>
      </c>
      <c r="G526" s="37" t="str">
        <f>_xlfn.IFNA(INDEX(COUNTRIES[COUNTRY_LABEL],MATCH(PROPERTIES[[#This Row],[COUNTRY]],COUNTRIES[COUNTRY_DESCRIPTION],0)),"")</f>
        <v>AT</v>
      </c>
      <c r="H5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INDEX(LOADINGSPEEDDEF[SPEED],MATCH("LOADINGSPEEDDEF_"&amp;PROPERTIES[[#This Row],[LOADINGSPEED]],LOADINGSPEEDDEF[TYPE],0))</f>
        <v>60</v>
      </c>
      <c r="O5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4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6" s="2" t="str">
        <f>SUBSTITUTE(SUBSTITUTE(PROPERTIES[[#This Row],[PURCHASECOST_VALUE]], "PURCHASECOST_", ""), "_VALUE", "")</f>
        <v>EMU</v>
      </c>
      <c r="AO526" s="41" t="b">
        <v>0</v>
      </c>
      <c r="AP526" s="45" t="b">
        <v>0</v>
      </c>
      <c r="AQ526" s="45" t="b">
        <v>0</v>
      </c>
      <c r="AR526" s="45">
        <v>0</v>
      </c>
      <c r="AS526" s="45" t="b">
        <v>0</v>
      </c>
      <c r="AT526" s="7" t="b">
        <v>0</v>
      </c>
      <c r="AU5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7" spans="1:47" x14ac:dyDescent="0.35">
      <c r="A527" s="2" t="s">
        <v>3152</v>
      </c>
      <c r="B527">
        <v>2011</v>
      </c>
      <c r="D5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7" s="37" t="str">
        <f>INDEX(CONTROL[ENGLISH],MATCH(PROPERTIES[[#This Row],[VEHIDCODE]],CONTROL[VEHIDCODE],0))</f>
        <v>Stadler 'KISS'</v>
      </c>
      <c r="F527" t="s">
        <v>540</v>
      </c>
      <c r="G527" s="37" t="str">
        <f>_xlfn.IFNA(INDEX(COUNTRIES[COUNTRY_LABEL],MATCH(PROPERTIES[[#This Row],[COUNTRY]],COUNTRIES[COUNTRY_DESCRIPTION],0)),"")</f>
        <v>AT</v>
      </c>
      <c r="H5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INDEX(LOADINGSPEEDDEF[SPEED],MATCH("LOADINGSPEEDDEF_"&amp;PROPERTIES[[#This Row],[LOADINGSPEED]],LOADINGSPEEDDEF[TYPE],0))</f>
        <v>20</v>
      </c>
      <c r="O52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4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7" s="2" t="str">
        <f>SUBSTITUTE(SUBSTITUTE(PROPERTIES[[#This Row],[PURCHASECOST_VALUE]], "PURCHASECOST_", ""), "_VALUE", "")</f>
        <v>EMU</v>
      </c>
      <c r="AO527" s="41" t="b">
        <v>0</v>
      </c>
      <c r="AP527" s="45" t="b">
        <v>0</v>
      </c>
      <c r="AQ527" s="45" t="b">
        <v>0</v>
      </c>
      <c r="AR527" s="45">
        <v>0</v>
      </c>
      <c r="AS527" s="45" t="b">
        <v>0</v>
      </c>
      <c r="AT527" s="7" t="b">
        <v>0</v>
      </c>
      <c r="AU5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28" spans="1:47" x14ac:dyDescent="0.35">
      <c r="A528" s="2" t="s">
        <v>3153</v>
      </c>
      <c r="B528">
        <v>1969</v>
      </c>
      <c r="C528">
        <v>2004</v>
      </c>
      <c r="D5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8" s="37" t="str">
        <f>INDEX(CONTROL[ENGLISH],MATCH(PROPERTIES[[#This Row],[VEHIDCODE]],CONTROL[VEHIDCODE],0))</f>
        <v>LHB 420</v>
      </c>
      <c r="F528" t="s">
        <v>584</v>
      </c>
      <c r="G528" s="37" t="str">
        <f>_xlfn.IFNA(INDEX(COUNTRIES[COUNTRY_LABEL],MATCH(PROPERTIES[[#This Row],[COUNTRY]],COUNTRIES[COUNTRY_DESCRIPTION],0)),"")</f>
        <v>DE</v>
      </c>
      <c r="H5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INDEX(LOADINGSPEEDDEF[SPEED],MATCH("LOADINGSPEEDDEF_"&amp;PROPERTIES[[#This Row],[LOADINGSPEED]],LOADINGSPEEDDEF[TYPE],0))</f>
        <v>60</v>
      </c>
      <c r="O5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3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8" s="2" t="str">
        <f>SUBSTITUTE(SUBSTITUTE(PROPERTIES[[#This Row],[PURCHASECOST_VALUE]], "PURCHASECOST_", ""), "_VALUE", "")</f>
        <v>EMU</v>
      </c>
      <c r="AO528" s="41" t="b">
        <v>0</v>
      </c>
      <c r="AP528" s="45" t="b">
        <v>0</v>
      </c>
      <c r="AQ528" s="45" t="b">
        <v>0</v>
      </c>
      <c r="AR528" s="45">
        <v>0</v>
      </c>
      <c r="AS528" s="45" t="b">
        <v>0</v>
      </c>
      <c r="AT528" s="7" t="b">
        <v>0</v>
      </c>
      <c r="AU5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29" spans="1:47" x14ac:dyDescent="0.35">
      <c r="A529" s="2" t="s">
        <v>3154</v>
      </c>
      <c r="B529">
        <v>1998</v>
      </c>
      <c r="C529">
        <v>1994</v>
      </c>
      <c r="D5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29" s="37" t="str">
        <f>INDEX(CONTROL[ENGLISH],MATCH(PROPERTIES[[#This Row],[VEHIDCODE]],CONTROL[VEHIDCODE],0))</f>
        <v>Adtranz BM73</v>
      </c>
      <c r="F529" t="s">
        <v>693</v>
      </c>
      <c r="G529" s="37" t="str">
        <f>_xlfn.IFNA(INDEX(COUNTRIES[COUNTRY_LABEL],MATCH(PROPERTIES[[#This Row],[COUNTRY]],COUNTRIES[COUNTRY_DESCRIPTION],0)),"")</f>
        <v>NO</v>
      </c>
      <c r="H5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INDEX(LOADINGSPEEDDEF[SPEED],MATCH("LOADINGSPEEDDEF_"&amp;PROPERTIES[[#This Row],[LOADINGSPEED]],LOADINGSPEEDDEF[TYPE],0))</f>
        <v>20</v>
      </c>
      <c r="O5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4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2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29" s="2" t="str">
        <f>SUBSTITUTE(SUBSTITUTE(PROPERTIES[[#This Row],[PURCHASECOST_VALUE]], "PURCHASECOST_", ""), "_VALUE", "")</f>
        <v>EMU</v>
      </c>
      <c r="AO529" s="41" t="b">
        <v>0</v>
      </c>
      <c r="AP529" s="45" t="b">
        <v>0</v>
      </c>
      <c r="AQ529" s="45" t="b">
        <v>1</v>
      </c>
      <c r="AR529" s="45">
        <v>0</v>
      </c>
      <c r="AS529" s="45" t="b">
        <v>0</v>
      </c>
      <c r="AT529" s="7" t="b">
        <v>0</v>
      </c>
      <c r="AU5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0" spans="1:47" x14ac:dyDescent="0.35">
      <c r="A530" s="2" t="s">
        <v>3155</v>
      </c>
      <c r="B530">
        <v>1942</v>
      </c>
      <c r="D5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0" s="37" t="str">
        <f>INDEX(CONTROL[ENGLISH],MATCH(PROPERTIES[[#This Row],[VEHIDCODE]],CONTROL[VEHIDCODE],0))</f>
        <v>NEBB M65</v>
      </c>
      <c r="F530" t="s">
        <v>693</v>
      </c>
      <c r="G530" s="37" t="str">
        <f>_xlfn.IFNA(INDEX(COUNTRIES[COUNTRY_LABEL],MATCH(PROPERTIES[[#This Row],[COUNTRY]],COUNTRIES[COUNTRY_DESCRIPTION],0)),"")</f>
        <v>NO</v>
      </c>
      <c r="H5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INDEX(LOADINGSPEEDDEF[SPEED],MATCH("LOADINGSPEEDDEF_"&amp;PROPERTIES[[#This Row],[LOADINGSPEED]],LOADINGSPEEDDEF[TYPE],0))</f>
        <v>60</v>
      </c>
      <c r="O5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4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0" s="2" t="str">
        <f>SUBSTITUTE(SUBSTITUTE(PROPERTIES[[#This Row],[PURCHASECOST_VALUE]], "PURCHASECOST_", ""), "_VALUE", "")</f>
        <v>EMU</v>
      </c>
      <c r="AO530" s="41" t="b">
        <v>0</v>
      </c>
      <c r="AP530" s="45" t="b">
        <v>0</v>
      </c>
      <c r="AQ530" s="45" t="b">
        <v>0</v>
      </c>
      <c r="AR530" s="45">
        <v>0</v>
      </c>
      <c r="AS530" s="45" t="b">
        <v>0</v>
      </c>
      <c r="AT530" s="7" t="b">
        <v>0</v>
      </c>
      <c r="AU5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1" spans="1:47" x14ac:dyDescent="0.35">
      <c r="A531" s="2" t="s">
        <v>3156</v>
      </c>
      <c r="B531">
        <v>1990</v>
      </c>
      <c r="D5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1" s="37" t="str">
        <f>INDEX(CONTROL[ENGLISH],MATCH(PROPERTIES[[#This Row],[VEHIDCODE]],CONTROL[VEHIDCODE],0))</f>
        <v>ASEA X2000</v>
      </c>
      <c r="F531" t="s">
        <v>722</v>
      </c>
      <c r="G531" s="37" t="str">
        <f>_xlfn.IFNA(INDEX(COUNTRIES[COUNTRY_LABEL],MATCH(PROPERTIES[[#This Row],[COUNTRY]],COUNTRIES[COUNTRY_DESCRIPTION],0)),"")</f>
        <v>SE</v>
      </c>
      <c r="H5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INDEX(LOADINGSPEEDDEF[SPEED],MATCH("LOADINGSPEEDDEF_"&amp;PROPERTIES[[#This Row],[LOADINGSPEED]],LOADINGSPEEDDEF[TYPE],0))</f>
        <v>20</v>
      </c>
      <c r="O53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4">
        <v>72</v>
      </c>
      <c r="AF531" s="6">
        <v>8</v>
      </c>
      <c r="AG531" t="s">
        <v>234</v>
      </c>
      <c r="AH531" t="s">
        <v>1939</v>
      </c>
      <c r="AI531" t="s">
        <v>229</v>
      </c>
      <c r="AJ531" s="2" t="s">
        <v>229</v>
      </c>
      <c r="AK531" s="2" t="s">
        <v>244</v>
      </c>
      <c r="AL5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1" s="2" t="str">
        <f>SUBSTITUTE(SUBSTITUTE(PROPERTIES[[#This Row],[PURCHASECOST_VALUE]], "PURCHASECOST_", ""), "_VALUE", "")</f>
        <v>EMU</v>
      </c>
      <c r="AO531" s="41" t="b">
        <v>0</v>
      </c>
      <c r="AP531" s="45" t="b">
        <v>0</v>
      </c>
      <c r="AQ531" s="45" t="b">
        <v>1</v>
      </c>
      <c r="AR531" s="45">
        <v>0</v>
      </c>
      <c r="AS531" s="45" t="b">
        <v>0</v>
      </c>
      <c r="AT531" s="7" t="b">
        <v>0</v>
      </c>
      <c r="AU5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2" spans="1:47" x14ac:dyDescent="0.35">
      <c r="A532" s="2" t="s">
        <v>3157</v>
      </c>
      <c r="B532">
        <v>1965</v>
      </c>
      <c r="C532">
        <v>2010</v>
      </c>
      <c r="D5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2" s="37" t="str">
        <f>INDEX(CONTROL[ENGLISH],MATCH(PROPERTIES[[#This Row],[VEHIDCODE]],CONTROL[VEHIDCODE],0))</f>
        <v>SWP RABDe 510</v>
      </c>
      <c r="F532" t="s">
        <v>570</v>
      </c>
      <c r="G532" s="37" t="str">
        <f>_xlfn.IFNA(INDEX(COUNTRIES[COUNTRY_LABEL],MATCH(PROPERTIES[[#This Row],[COUNTRY]],COUNTRIES[COUNTRY_DESCRIPTION],0)),"")</f>
        <v>CH</v>
      </c>
      <c r="H5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INDEX(LOADINGSPEEDDEF[SPEED],MATCH("LOADINGSPEEDDEF_"&amp;PROPERTIES[[#This Row],[LOADINGSPEED]],LOADINGSPEEDDEF[TYPE],0))</f>
        <v>60</v>
      </c>
      <c r="O5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4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2" s="2" t="str">
        <f>SUBSTITUTE(SUBSTITUTE(PROPERTIES[[#This Row],[PURCHASECOST_VALUE]], "PURCHASECOST_", ""), "_VALUE", "")</f>
        <v>EMU</v>
      </c>
      <c r="AO532" s="41" t="b">
        <v>0</v>
      </c>
      <c r="AP532" s="45" t="b">
        <v>0</v>
      </c>
      <c r="AQ532" s="45" t="b">
        <v>0</v>
      </c>
      <c r="AR532" s="45">
        <v>0</v>
      </c>
      <c r="AS532" s="45" t="b">
        <v>0</v>
      </c>
      <c r="AT532" s="7" t="b">
        <v>0</v>
      </c>
      <c r="AU5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3" spans="1:47" x14ac:dyDescent="0.35">
      <c r="A533" s="2" t="s">
        <v>3158</v>
      </c>
      <c r="B533">
        <v>1987</v>
      </c>
      <c r="C533">
        <v>2006</v>
      </c>
      <c r="D5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3" s="37" t="str">
        <f>INDEX(CONTROL[ENGLISH],MATCH(PROPERTIES[[#This Row],[VEHIDCODE]],CONTROL[VEHIDCODE],0))</f>
        <v>Schindler RBDe 560</v>
      </c>
      <c r="F533" t="s">
        <v>570</v>
      </c>
      <c r="G533" s="37" t="str">
        <f>_xlfn.IFNA(INDEX(COUNTRIES[COUNTRY_LABEL],MATCH(PROPERTIES[[#This Row],[COUNTRY]],COUNTRIES[COUNTRY_DESCRIPTION],0)),"")</f>
        <v>CH</v>
      </c>
      <c r="H5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INDEX(LOADINGSPEEDDEF[SPEED],MATCH("LOADINGSPEEDDEF_"&amp;PROPERTIES[[#This Row],[LOADINGSPEED]],LOADINGSPEEDDEF[TYPE],0))</f>
        <v>60</v>
      </c>
      <c r="O53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4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3" s="2" t="str">
        <f>SUBSTITUTE(SUBSTITUTE(PROPERTIES[[#This Row],[PURCHASECOST_VALUE]], "PURCHASECOST_", ""), "_VALUE", "")</f>
        <v>EMU</v>
      </c>
      <c r="AO533" s="41" t="b">
        <v>0</v>
      </c>
      <c r="AP533" s="45" t="b">
        <v>0</v>
      </c>
      <c r="AQ533" s="45" t="b">
        <v>0</v>
      </c>
      <c r="AR533" s="45">
        <v>0</v>
      </c>
      <c r="AS533" s="45" t="b">
        <v>0</v>
      </c>
      <c r="AT533" s="7" t="b">
        <v>0</v>
      </c>
      <c r="AU5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4" spans="1:47" x14ac:dyDescent="0.35">
      <c r="A534" s="2" t="s">
        <v>3159</v>
      </c>
      <c r="B534">
        <v>2004</v>
      </c>
      <c r="D5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4" s="37" t="str">
        <f>INDEX(CONTROL[ENGLISH],MATCH(PROPERTIES[[#This Row],[VEHIDCODE]],CONTROL[VEHIDCODE],0))</f>
        <v>Stadler RABe 523 'Flirt'</v>
      </c>
      <c r="F534" t="s">
        <v>570</v>
      </c>
      <c r="G534" s="37" t="str">
        <f>_xlfn.IFNA(INDEX(COUNTRIES[COUNTRY_LABEL],MATCH(PROPERTIES[[#This Row],[COUNTRY]],COUNTRIES[COUNTRY_DESCRIPTION],0)),"")</f>
        <v>CH</v>
      </c>
      <c r="H5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INDEX(LOADINGSPEEDDEF[SPEED],MATCH("LOADINGSPEEDDEF_"&amp;PROPERTIES[[#This Row],[LOADINGSPEED]],LOADINGSPEEDDEF[TYPE],0))</f>
        <v>60</v>
      </c>
      <c r="O5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4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4" s="2" t="str">
        <f>SUBSTITUTE(SUBSTITUTE(PROPERTIES[[#This Row],[PURCHASECOST_VALUE]], "PURCHASECOST_", ""), "_VALUE", "")</f>
        <v>EMU</v>
      </c>
      <c r="AO534" s="41" t="b">
        <v>0</v>
      </c>
      <c r="AP534" s="45" t="b">
        <v>0</v>
      </c>
      <c r="AQ534" s="45" t="b">
        <v>0</v>
      </c>
      <c r="AR534" s="45">
        <v>0</v>
      </c>
      <c r="AS534" s="45" t="b">
        <v>0</v>
      </c>
      <c r="AT534" s="7" t="b">
        <v>0</v>
      </c>
      <c r="AU5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5" spans="1:47" x14ac:dyDescent="0.35">
      <c r="A535" s="2" t="s">
        <v>3160</v>
      </c>
      <c r="B535">
        <v>1969</v>
      </c>
      <c r="C535">
        <v>1988</v>
      </c>
      <c r="D5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5" s="37" t="str">
        <f>INDEX(CONTROL[ENGLISH],MATCH(PROPERTIES[[#This Row],[VEHIDCODE]],CONTROL[VEHIDCODE],0))</f>
        <v>Budd Metroliner</v>
      </c>
      <c r="F535" t="s">
        <v>757</v>
      </c>
      <c r="G535" s="37" t="str">
        <f>_xlfn.IFNA(INDEX(COUNTRIES[COUNTRY_LABEL],MATCH(PROPERTIES[[#This Row],[COUNTRY]],COUNTRIES[COUNTRY_DESCRIPTION],0)),"")</f>
        <v>US</v>
      </c>
      <c r="H5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INDEX(LOADINGSPEEDDEF[SPEED],MATCH("LOADINGSPEEDDEF_"&amp;PROPERTIES[[#This Row],[LOADINGSPEED]],LOADINGSPEEDDEF[TYPE],0))</f>
        <v>20</v>
      </c>
      <c r="O5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3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5" s="2" t="str">
        <f>SUBSTITUTE(SUBSTITUTE(PROPERTIES[[#This Row],[PURCHASECOST_VALUE]], "PURCHASECOST_", ""), "_VALUE", "")</f>
        <v>EMU</v>
      </c>
      <c r="AO535" s="41" t="b">
        <v>0</v>
      </c>
      <c r="AP535" s="45" t="b">
        <v>0</v>
      </c>
      <c r="AQ535" s="45" t="b">
        <v>0</v>
      </c>
      <c r="AR535" s="45">
        <v>0</v>
      </c>
      <c r="AS535" s="45" t="b">
        <v>0</v>
      </c>
      <c r="AT535" s="7" t="b">
        <v>0</v>
      </c>
      <c r="AU5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6" spans="1:47" x14ac:dyDescent="0.35">
      <c r="A536" s="2" t="s">
        <v>3161</v>
      </c>
      <c r="B536">
        <v>2000</v>
      </c>
      <c r="D5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6" s="37" t="str">
        <f>INDEX(CONTROL[ENGLISH],MATCH(PROPERTIES[[#This Row],[VEHIDCODE]],CONTROL[VEHIDCODE],0))</f>
        <v>Siemens Velero</v>
      </c>
      <c r="F536" t="s">
        <v>584</v>
      </c>
      <c r="G536" s="37" t="str">
        <f>_xlfn.IFNA(INDEX(COUNTRIES[COUNTRY_LABEL],MATCH(PROPERTIES[[#This Row],[COUNTRY]],COUNTRIES[COUNTRY_DESCRIPTION],0)),"")</f>
        <v>DE</v>
      </c>
      <c r="H5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INDEX(LOADINGSPEEDDEF[SPEED],MATCH("LOADINGSPEEDDEF_"&amp;PROPERTIES[[#This Row],[LOADINGSPEED]],LOADINGSPEEDDEF[TYPE],0))</f>
        <v>20</v>
      </c>
      <c r="O53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4">
        <f>INT(441/8)</f>
        <v>55</v>
      </c>
      <c r="AF536" s="6">
        <v>8</v>
      </c>
      <c r="AG536" t="s">
        <v>1942</v>
      </c>
      <c r="AH536" t="s">
        <v>1940</v>
      </c>
      <c r="AI536" t="s">
        <v>229</v>
      </c>
      <c r="AJ536" s="2" t="s">
        <v>229</v>
      </c>
      <c r="AK536" s="2" t="s">
        <v>244</v>
      </c>
      <c r="AL53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6" s="2" t="str">
        <f>SUBSTITUTE(SUBSTITUTE(PROPERTIES[[#This Row],[PURCHASECOST_VALUE]], "PURCHASECOST_", ""), "_VALUE", "")</f>
        <v>EMU</v>
      </c>
      <c r="AO536" s="41" t="b">
        <v>0</v>
      </c>
      <c r="AP536" s="45" t="b">
        <v>0</v>
      </c>
      <c r="AQ536" s="45" t="b">
        <v>0</v>
      </c>
      <c r="AR536" s="45">
        <v>0</v>
      </c>
      <c r="AS536" s="45" t="b">
        <v>0</v>
      </c>
      <c r="AT536" s="7" t="b">
        <v>0</v>
      </c>
      <c r="AU5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37" spans="1:47" x14ac:dyDescent="0.35">
      <c r="A537" s="2" t="s">
        <v>3162</v>
      </c>
      <c r="B537">
        <v>2005</v>
      </c>
      <c r="D5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7" s="37" t="str">
        <f>INDEX(CONTROL[ENGLISH],MATCH(PROPERTIES[[#This Row],[VEHIDCODE]],CONTROL[VEHIDCODE],0))</f>
        <v>Siemens Desiro BDZ</v>
      </c>
      <c r="F537" t="s">
        <v>550</v>
      </c>
      <c r="G537" s="37" t="str">
        <f>_xlfn.IFNA(INDEX(COUNTRIES[COUNTRY_LABEL],MATCH(PROPERTIES[[#This Row],[COUNTRY]],COUNTRIES[COUNTRY_DESCRIPTION],0)),"")</f>
        <v>BG</v>
      </c>
      <c r="H5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INDEX(LOADINGSPEEDDEF[SPEED],MATCH("LOADINGSPEEDDEF_"&amp;PROPERTIES[[#This Row],[LOADINGSPEED]],LOADINGSPEEDDEF[TYPE],0))</f>
        <v>60</v>
      </c>
      <c r="O53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4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7" s="2" t="str">
        <f>SUBSTITUTE(SUBSTITUTE(PROPERTIES[[#This Row],[PURCHASECOST_VALUE]], "PURCHASECOST_", ""), "_VALUE", "")</f>
        <v>EMU</v>
      </c>
      <c r="AO537" s="41" t="b">
        <v>0</v>
      </c>
      <c r="AP537" s="45" t="b">
        <v>0</v>
      </c>
      <c r="AQ537" s="45" t="b">
        <v>0</v>
      </c>
      <c r="AR537" s="45">
        <v>0</v>
      </c>
      <c r="AS537" s="45" t="b">
        <v>0</v>
      </c>
      <c r="AT537" s="7" t="b">
        <v>0</v>
      </c>
      <c r="AU5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8" spans="1:47" x14ac:dyDescent="0.35">
      <c r="A538" s="2" t="s">
        <v>3163</v>
      </c>
      <c r="B538">
        <v>1975</v>
      </c>
      <c r="C538">
        <v>2002</v>
      </c>
      <c r="D5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8" s="37" t="str">
        <f>INDEX(CONTROL[ENGLISH],MATCH(PROPERTIES[[#This Row],[VEHIDCODE]],CONTROL[VEHIDCODE],0))</f>
        <v>Valmet Sm2</v>
      </c>
      <c r="F538" t="s">
        <v>597</v>
      </c>
      <c r="G538" s="37" t="str">
        <f>_xlfn.IFNA(INDEX(COUNTRIES[COUNTRY_LABEL],MATCH(PROPERTIES[[#This Row],[COUNTRY]],COUNTRIES[COUNTRY_DESCRIPTION],0)),"")</f>
        <v>FI</v>
      </c>
      <c r="H5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INDEX(LOADINGSPEEDDEF[SPEED],MATCH("LOADINGSPEEDDEF_"&amp;PROPERTIES[[#This Row],[LOADINGSPEED]],LOADINGSPEEDDEF[TYPE],0))</f>
        <v>60</v>
      </c>
      <c r="O5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4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8" s="2" t="str">
        <f>SUBSTITUTE(SUBSTITUTE(PROPERTIES[[#This Row],[PURCHASECOST_VALUE]], "PURCHASECOST_", ""), "_VALUE", "")</f>
        <v>EMU</v>
      </c>
      <c r="AO538" s="41" t="b">
        <v>0</v>
      </c>
      <c r="AP538" s="45" t="b">
        <v>0</v>
      </c>
      <c r="AQ538" s="45" t="b">
        <v>0</v>
      </c>
      <c r="AR538" s="45">
        <v>0</v>
      </c>
      <c r="AS538" s="45" t="b">
        <v>0</v>
      </c>
      <c r="AT538" s="7" t="b">
        <v>0</v>
      </c>
      <c r="AU5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39" spans="1:47" x14ac:dyDescent="0.35">
      <c r="A539" s="2" t="s">
        <v>3164</v>
      </c>
      <c r="B539">
        <v>1999</v>
      </c>
      <c r="C539">
        <v>2013</v>
      </c>
      <c r="D5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39" s="37" t="str">
        <f>INDEX(CONTROL[ENGLISH],MATCH(PROPERTIES[[#This Row],[VEHIDCODE]],CONTROL[VEHIDCODE],0))</f>
        <v>Fiat/CAF Sm4</v>
      </c>
      <c r="F539" t="s">
        <v>597</v>
      </c>
      <c r="G539" s="37" t="str">
        <f>_xlfn.IFNA(INDEX(COUNTRIES[COUNTRY_LABEL],MATCH(PROPERTIES[[#This Row],[COUNTRY]],COUNTRIES[COUNTRY_DESCRIPTION],0)),"")</f>
        <v>FI</v>
      </c>
      <c r="H5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INDEX(LOADINGSPEEDDEF[SPEED],MATCH("LOADINGSPEEDDEF_"&amp;PROPERTIES[[#This Row],[LOADINGSPEED]],LOADINGSPEEDDEF[TYPE],0))</f>
        <v>60</v>
      </c>
      <c r="O53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4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3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39" s="2" t="str">
        <f>SUBSTITUTE(SUBSTITUTE(PROPERTIES[[#This Row],[PURCHASECOST_VALUE]], "PURCHASECOST_", ""), "_VALUE", "")</f>
        <v>EMU</v>
      </c>
      <c r="AO539" s="41" t="b">
        <v>0</v>
      </c>
      <c r="AP539" s="45" t="b">
        <v>0</v>
      </c>
      <c r="AQ539" s="45" t="b">
        <v>0</v>
      </c>
      <c r="AR539" s="45">
        <v>0</v>
      </c>
      <c r="AS539" s="45" t="b">
        <v>0</v>
      </c>
      <c r="AT539" s="7" t="b">
        <v>0</v>
      </c>
      <c r="AU5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0" spans="1:47" x14ac:dyDescent="0.35">
      <c r="A540" s="2" t="s">
        <v>3165</v>
      </c>
      <c r="B540">
        <v>1988</v>
      </c>
      <c r="C540">
        <v>2030</v>
      </c>
      <c r="D5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0" s="37" t="str">
        <f>INDEX(CONTROL[ENGLISH],MATCH(PROPERTIES[[#This Row],[VEHIDCODE]],CONTROL[VEHIDCODE],0))</f>
        <v>Ganz-MAVAG VM17 'BDVmot'</v>
      </c>
      <c r="F540" t="s">
        <v>626</v>
      </c>
      <c r="G540" s="37" t="str">
        <f>_xlfn.IFNA(INDEX(COUNTRIES[COUNTRY_LABEL],MATCH(PROPERTIES[[#This Row],[COUNTRY]],COUNTRIES[COUNTRY_DESCRIPTION],0)),"")</f>
        <v>HU</v>
      </c>
      <c r="H5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INDEX(LOADINGSPEEDDEF[SPEED],MATCH("LOADINGSPEEDDEF_"&amp;PROPERTIES[[#This Row],[LOADINGSPEED]],LOADINGSPEEDDEF[TYPE],0))</f>
        <v>60</v>
      </c>
      <c r="O5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4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0" s="2" t="str">
        <f>SUBSTITUTE(SUBSTITUTE(PROPERTIES[[#This Row],[PURCHASECOST_VALUE]], "PURCHASECOST_", ""), "_VALUE", "")</f>
        <v>EMU</v>
      </c>
      <c r="AO540" s="41" t="b">
        <v>0</v>
      </c>
      <c r="AP540" s="45" t="b">
        <v>0</v>
      </c>
      <c r="AQ540" s="45" t="b">
        <v>0</v>
      </c>
      <c r="AR540" s="45">
        <v>0</v>
      </c>
      <c r="AS540" s="45" t="b">
        <v>0</v>
      </c>
      <c r="AT540" s="7" t="b">
        <v>0</v>
      </c>
      <c r="AU5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1" spans="1:47" x14ac:dyDescent="0.35">
      <c r="A541" s="2" t="s">
        <v>3166</v>
      </c>
      <c r="B541">
        <v>2030</v>
      </c>
      <c r="D5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1" s="37" t="str">
        <f>INDEX(CONTROL[ENGLISH],MATCH(PROPERTIES[[#This Row],[VEHIDCODE]],CONTROL[VEHIDCODE],0))</f>
        <v>ACME Corp. Sureot</v>
      </c>
      <c r="F541" t="s">
        <v>775</v>
      </c>
      <c r="G541" s="37" t="str">
        <f>_xlfn.IFNA(INDEX(COUNTRIES[COUNTRY_LABEL],MATCH(PROPERTIES[[#This Row],[COUNTRY]],COUNTRIES[COUNTRY_DESCRIPTION],0)),"")</f>
        <v>EU</v>
      </c>
      <c r="H5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INDEX(LOADINGSPEEDDEF[SPEED],MATCH("LOADINGSPEEDDEF_"&amp;PROPERTIES[[#This Row],[LOADINGSPEED]],LOADINGSPEEDDEF[TYPE],0))</f>
        <v>20</v>
      </c>
      <c r="O5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4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1" s="2" t="str">
        <f>SUBSTITUTE(SUBSTITUTE(PROPERTIES[[#This Row],[PURCHASECOST_VALUE]], "PURCHASECOST_", ""), "_VALUE", "")</f>
        <v>EMU</v>
      </c>
      <c r="AO541" s="41" t="b">
        <v>0</v>
      </c>
      <c r="AP541" s="45" t="b">
        <v>0</v>
      </c>
      <c r="AQ541" s="45" t="b">
        <v>0</v>
      </c>
      <c r="AR541" s="45">
        <v>0</v>
      </c>
      <c r="AS541" s="45" t="b">
        <v>0</v>
      </c>
      <c r="AT541" s="7" t="b">
        <v>0</v>
      </c>
      <c r="AU5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2" spans="1:47" x14ac:dyDescent="0.35">
      <c r="A542" s="2" t="s">
        <v>3167</v>
      </c>
      <c r="B542">
        <v>1964</v>
      </c>
      <c r="C542">
        <v>2008</v>
      </c>
      <c r="D5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2" s="37" t="str">
        <f>INDEX(CONTROL[ENGLISH],MATCH(PROPERTIES[[#This Row],[VEHIDCODE]],CONTROL[VEHIDCODE],0))</f>
        <v>Hitachi Shinkansen Series 0</v>
      </c>
      <c r="F542" t="s">
        <v>640</v>
      </c>
      <c r="G542" s="37" t="str">
        <f>_xlfn.IFNA(INDEX(COUNTRIES[COUNTRY_LABEL],MATCH(PROPERTIES[[#This Row],[COUNTRY]],COUNTRIES[COUNTRY_DESCRIPTION],0)),"")</f>
        <v>JP</v>
      </c>
      <c r="H5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INDEX(LOADINGSPEEDDEF[SPEED],MATCH("LOADINGSPEEDDEF_"&amp;PROPERTIES[[#This Row],[LOADINGSPEED]],LOADINGSPEEDDEF[TYPE],0))</f>
        <v>20</v>
      </c>
      <c r="O5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4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2" s="2" t="str">
        <f>SUBSTITUTE(SUBSTITUTE(PROPERTIES[[#This Row],[PURCHASECOST_VALUE]], "PURCHASECOST_", ""), "_VALUE", "")</f>
        <v>EMU</v>
      </c>
      <c r="AO542" s="41" t="b">
        <v>0</v>
      </c>
      <c r="AP542" s="45" t="b">
        <v>0</v>
      </c>
      <c r="AQ542" s="45" t="b">
        <v>0</v>
      </c>
      <c r="AR542" s="45">
        <v>0</v>
      </c>
      <c r="AS542" s="45" t="b">
        <v>0</v>
      </c>
      <c r="AT542" s="7" t="b">
        <v>0</v>
      </c>
      <c r="AU5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3" spans="1:47" x14ac:dyDescent="0.35">
      <c r="A543" s="2" t="s">
        <v>3168</v>
      </c>
      <c r="B543">
        <v>1997</v>
      </c>
      <c r="C543">
        <v>2011</v>
      </c>
      <c r="D5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3" s="37" t="str">
        <f>INDEX(CONTROL[ENGLISH],MATCH(PROPERTIES[[#This Row],[VEHIDCODE]],CONTROL[VEHIDCODE],0))</f>
        <v>Hitachi Shinkansen Series 700</v>
      </c>
      <c r="F543" t="s">
        <v>640</v>
      </c>
      <c r="G543" s="37" t="str">
        <f>_xlfn.IFNA(INDEX(COUNTRIES[COUNTRY_LABEL],MATCH(PROPERTIES[[#This Row],[COUNTRY]],COUNTRIES[COUNTRY_DESCRIPTION],0)),"")</f>
        <v>JP</v>
      </c>
      <c r="H5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INDEX(LOADINGSPEEDDEF[SPEED],MATCH("LOADINGSPEEDDEF_"&amp;PROPERTIES[[#This Row],[LOADINGSPEED]],LOADINGSPEEDDEF[TYPE],0))</f>
        <v>20</v>
      </c>
      <c r="O5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4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3" s="2" t="str">
        <f>SUBSTITUTE(SUBSTITUTE(PROPERTIES[[#This Row],[PURCHASECOST_VALUE]], "PURCHASECOST_", ""), "_VALUE", "")</f>
        <v>EMU</v>
      </c>
      <c r="AO543" s="41" t="b">
        <v>0</v>
      </c>
      <c r="AP543" s="45" t="b">
        <v>0</v>
      </c>
      <c r="AQ543" s="45" t="b">
        <v>0</v>
      </c>
      <c r="AR543" s="45">
        <v>0</v>
      </c>
      <c r="AS543" s="45" t="b">
        <v>0</v>
      </c>
      <c r="AT543" s="7" t="b">
        <v>0</v>
      </c>
      <c r="AU5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4" spans="1:47" x14ac:dyDescent="0.35">
      <c r="A544" s="2" t="s">
        <v>3169</v>
      </c>
      <c r="B544">
        <v>1994</v>
      </c>
      <c r="C544">
        <v>2012</v>
      </c>
      <c r="D5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4" s="37" t="str">
        <f>INDEX(CONTROL[ENGLISH],MATCH(PROPERTIES[[#This Row],[VEHIDCODE]],CONTROL[VEHIDCODE],0))</f>
        <v>Hitachi/Kawasaki Shinkansen Series E1 Max</v>
      </c>
      <c r="F544" t="s">
        <v>640</v>
      </c>
      <c r="G544" s="37" t="str">
        <f>_xlfn.IFNA(INDEX(COUNTRIES[COUNTRY_LABEL],MATCH(PROPERTIES[[#This Row],[COUNTRY]],COUNTRIES[COUNTRY_DESCRIPTION],0)),"")</f>
        <v>JP</v>
      </c>
      <c r="H5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INDEX(LOADINGSPEEDDEF[SPEED],MATCH("LOADINGSPEEDDEF_"&amp;PROPERTIES[[#This Row],[LOADINGSPEED]],LOADINGSPEEDDEF[TYPE],0))</f>
        <v>20</v>
      </c>
      <c r="O5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4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4" s="2" t="str">
        <f>SUBSTITUTE(SUBSTITUTE(PROPERTIES[[#This Row],[PURCHASECOST_VALUE]], "PURCHASECOST_", ""), "_VALUE", "")</f>
        <v>EMU</v>
      </c>
      <c r="AO544" s="41" t="b">
        <v>0</v>
      </c>
      <c r="AP544" s="45" t="b">
        <v>0</v>
      </c>
      <c r="AQ544" s="45" t="b">
        <v>0</v>
      </c>
      <c r="AR544" s="45">
        <v>0</v>
      </c>
      <c r="AS544" s="45" t="b">
        <v>0</v>
      </c>
      <c r="AT544" s="7" t="b">
        <v>0</v>
      </c>
      <c r="AU5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45" spans="1:47" x14ac:dyDescent="0.35">
      <c r="A545" s="2" t="s">
        <v>3170</v>
      </c>
      <c r="B545">
        <v>1999</v>
      </c>
      <c r="D5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5" s="37" t="str">
        <f>INDEX(CONTROL[ENGLISH],MATCH(PROPERTIES[[#This Row],[VEHIDCODE]],CONTROL[VEHIDCODE],0))</f>
        <v>Alstom Coradia Duplex</v>
      </c>
      <c r="F545" t="s">
        <v>660</v>
      </c>
      <c r="G545" s="37" t="str">
        <f>_xlfn.IFNA(INDEX(COUNTRIES[COUNTRY_LABEL],MATCH(PROPERTIES[[#This Row],[COUNTRY]],COUNTRIES[COUNTRY_DESCRIPTION],0)),"")</f>
        <v>LU</v>
      </c>
      <c r="H5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INDEX(LOADINGSPEEDDEF[SPEED],MATCH("LOADINGSPEEDDEF_"&amp;PROPERTIES[[#This Row],[LOADINGSPEED]],LOADINGSPEEDDEF[TYPE],0))</f>
        <v>60</v>
      </c>
      <c r="O5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4">
        <v>111</v>
      </c>
      <c r="AF545" s="6">
        <v>8</v>
      </c>
      <c r="AG545" t="s">
        <v>1942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5" s="2" t="str">
        <f>SUBSTITUTE(SUBSTITUTE(PROPERTIES[[#This Row],[PURCHASECOST_VALUE]], "PURCHASECOST_", ""), "_VALUE", "")</f>
        <v>EMU</v>
      </c>
      <c r="AO545" s="41" t="b">
        <v>0</v>
      </c>
      <c r="AP545" s="45" t="b">
        <v>0</v>
      </c>
      <c r="AQ545" s="45" t="b">
        <v>0</v>
      </c>
      <c r="AR545" s="45">
        <v>0</v>
      </c>
      <c r="AS545" s="45" t="b">
        <v>0</v>
      </c>
      <c r="AT545" s="7" t="b">
        <v>0</v>
      </c>
      <c r="AU5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6" spans="1:47" x14ac:dyDescent="0.35">
      <c r="A546" s="2" t="s">
        <v>3171</v>
      </c>
      <c r="B546">
        <v>1980</v>
      </c>
      <c r="D5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6" s="37" t="str">
        <f>INDEX(CONTROL[ENGLISH],MATCH(PROPERTIES[[#This Row],[VEHIDCODE]],CONTROL[VEHIDCODE],0))</f>
        <v>RVR ER31</v>
      </c>
      <c r="F546" t="s">
        <v>670</v>
      </c>
      <c r="G546" s="37" t="str">
        <f>_xlfn.IFNA(INDEX(COUNTRIES[COUNTRY_LABEL],MATCH(PROPERTIES[[#This Row],[COUNTRY]],COUNTRIES[COUNTRY_DESCRIPTION],0)),"")</f>
        <v>MK</v>
      </c>
      <c r="H5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INDEX(LOADINGSPEEDDEF[SPEED],MATCH("LOADINGSPEEDDEF_"&amp;PROPERTIES[[#This Row],[LOADINGSPEED]],LOADINGSPEEDDEF[TYPE],0))</f>
        <v>60</v>
      </c>
      <c r="O5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4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6" s="2" t="str">
        <f>SUBSTITUTE(SUBSTITUTE(PROPERTIES[[#This Row],[PURCHASECOST_VALUE]], "PURCHASECOST_", ""), "_VALUE", "")</f>
        <v>EMU</v>
      </c>
      <c r="AO546" s="41" t="b">
        <v>0</v>
      </c>
      <c r="AP546" s="45" t="b">
        <v>0</v>
      </c>
      <c r="AQ546" s="45" t="b">
        <v>0</v>
      </c>
      <c r="AR546" s="45">
        <v>0</v>
      </c>
      <c r="AS546" s="45" t="b">
        <v>0</v>
      </c>
      <c r="AT546" s="7" t="b">
        <v>0</v>
      </c>
      <c r="AU5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7" spans="1:47" x14ac:dyDescent="0.35">
      <c r="A547" s="2" t="s">
        <v>3436</v>
      </c>
      <c r="B547">
        <v>1965</v>
      </c>
      <c r="C547">
        <v>1996</v>
      </c>
      <c r="D5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7" s="37" t="str">
        <f>INDEX(CONTROL[ENGLISH],MATCH(PROPERTIES[[#This Row],[VEHIDCODE]],CONTROL[VEHIDCODE],0))</f>
        <v>Carel et Fouche/Alsthom Z 6100</v>
      </c>
      <c r="F547" t="s">
        <v>714</v>
      </c>
      <c r="G547" s="37" t="str">
        <f>_xlfn.IFNA(INDEX(COUNTRIES[COUNTRY_LABEL],MATCH(PROPERTIES[[#This Row],[COUNTRY]],COUNTRIES[COUNTRY_DESCRIPTION],0)),"")</f>
        <v>RO</v>
      </c>
      <c r="H5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INDEX(LOADINGSPEEDDEF[SPEED],MATCH("LOADINGSPEEDDEF_"&amp;PROPERTIES[[#This Row],[LOADINGSPEED]],LOADINGSPEEDDEF[TYPE],0))</f>
        <v>60</v>
      </c>
      <c r="O5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4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7" s="2" t="str">
        <f>SUBSTITUTE(SUBSTITUTE(PROPERTIES[[#This Row],[PURCHASECOST_VALUE]], "PURCHASECOST_", ""), "_VALUE", "")</f>
        <v>EMU</v>
      </c>
      <c r="AO547" s="41" t="b">
        <v>0</v>
      </c>
      <c r="AP547" s="45" t="b">
        <v>0</v>
      </c>
      <c r="AQ547" s="45" t="b">
        <v>0</v>
      </c>
      <c r="AR547" s="45">
        <v>0</v>
      </c>
      <c r="AS547" s="45" t="b">
        <v>0</v>
      </c>
      <c r="AT547" s="7" t="b">
        <v>0</v>
      </c>
      <c r="AU5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8" spans="1:47" x14ac:dyDescent="0.35">
      <c r="A548" s="2" t="s">
        <v>3172</v>
      </c>
      <c r="B548">
        <v>2010</v>
      </c>
      <c r="D5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8" s="37" t="str">
        <f>INDEX(CONTROL[ENGLISH],MATCH(PROPERTIES[[#This Row],[VEHIDCODE]],CONTROL[VEHIDCODE],0))</f>
        <v>Bombardier/UCW Electrostar 'Gautrain'</v>
      </c>
      <c r="F548" t="s">
        <v>771</v>
      </c>
      <c r="G548" s="37" t="str">
        <f>_xlfn.IFNA(INDEX(COUNTRIES[COUNTRY_LABEL],MATCH(PROPERTIES[[#This Row],[COUNTRY]],COUNTRIES[COUNTRY_DESCRIPTION],0)),"")</f>
        <v>ZA</v>
      </c>
      <c r="H5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INDEX(LOADINGSPEEDDEF[SPEED],MATCH("LOADINGSPEEDDEF_"&amp;PROPERTIES[[#This Row],[LOADINGSPEED]],LOADINGSPEEDDEF[TYPE],0))</f>
        <v>60</v>
      </c>
      <c r="O5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4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8" s="2" t="str">
        <f>SUBSTITUTE(SUBSTITUTE(PROPERTIES[[#This Row],[PURCHASECOST_VALUE]], "PURCHASECOST_", ""), "_VALUE", "")</f>
        <v>EMU</v>
      </c>
      <c r="AO548" s="41" t="b">
        <v>0</v>
      </c>
      <c r="AP548" s="45" t="b">
        <v>0</v>
      </c>
      <c r="AQ548" s="45" t="b">
        <v>0</v>
      </c>
      <c r="AR548" s="45">
        <v>0</v>
      </c>
      <c r="AS548" s="45" t="b">
        <v>0</v>
      </c>
      <c r="AT548" s="7" t="b">
        <v>0</v>
      </c>
      <c r="AU5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49" spans="1:47" x14ac:dyDescent="0.35">
      <c r="A549" s="2" t="s">
        <v>3173</v>
      </c>
      <c r="B549">
        <v>1955</v>
      </c>
      <c r="C549">
        <v>2011</v>
      </c>
      <c r="D5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49" s="37" t="str">
        <f>INDEX(CONTROL[ENGLISH],MATCH(PROPERTIES[[#This Row],[VEHIDCODE]],CONTROL[VEHIDCODE],0))</f>
        <v>Alsthom/Jeumont TCDD E8000</v>
      </c>
      <c r="F549" t="s">
        <v>1027</v>
      </c>
      <c r="G549" s="37" t="str">
        <f>_xlfn.IFNA(INDEX(COUNTRIES[COUNTRY_LABEL],MATCH(PROPERTIES[[#This Row],[COUNTRY]],COUNTRIES[COUNTRY_DESCRIPTION],0)),"")</f>
        <v>TR</v>
      </c>
      <c r="H5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INDEX(LOADINGSPEEDDEF[SPEED],MATCH("LOADINGSPEEDDEF_"&amp;PROPERTIES[[#This Row],[LOADINGSPEED]],LOADINGSPEEDDEF[TYPE],0))</f>
        <v>60</v>
      </c>
      <c r="O5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4">
        <v>81</v>
      </c>
      <c r="AF549" s="6">
        <v>8</v>
      </c>
      <c r="AG549" t="s">
        <v>1940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4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49" s="2" t="str">
        <f>SUBSTITUTE(SUBSTITUTE(PROPERTIES[[#This Row],[PURCHASECOST_VALUE]], "PURCHASECOST_", ""), "_VALUE", "")</f>
        <v>EMU</v>
      </c>
      <c r="AO549" s="41" t="b">
        <v>0</v>
      </c>
      <c r="AP549" s="45" t="b">
        <v>0</v>
      </c>
      <c r="AQ549" s="45" t="b">
        <v>0</v>
      </c>
      <c r="AR549" s="45">
        <v>0</v>
      </c>
      <c r="AS549" s="45" t="b">
        <v>0</v>
      </c>
      <c r="AT549" s="7" t="b">
        <v>0</v>
      </c>
      <c r="AU5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0" spans="1:47" x14ac:dyDescent="0.35">
      <c r="A550" s="2" t="s">
        <v>3174</v>
      </c>
      <c r="B550">
        <v>2010</v>
      </c>
      <c r="D5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0" s="37" t="str">
        <f>INDEX(CONTROL[ENGLISH],MATCH(PROPERTIES[[#This Row],[VEHIDCODE]],CONTROL[VEHIDCODE],0))</f>
        <v>CSR Qingdao CHR380A</v>
      </c>
      <c r="F550" t="s">
        <v>575</v>
      </c>
      <c r="G550" s="37" t="str">
        <f>_xlfn.IFNA(INDEX(COUNTRIES[COUNTRY_LABEL],MATCH(PROPERTIES[[#This Row],[COUNTRY]],COUNTRIES[COUNTRY_DESCRIPTION],0)),"")</f>
        <v>CN</v>
      </c>
      <c r="H5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INDEX(LOADINGSPEEDDEF[SPEED],MATCH("LOADINGSPEEDDEF_"&amp;PROPERTIES[[#This Row],[LOADINGSPEED]],LOADINGSPEEDDEF[TYPE],0))</f>
        <v>20</v>
      </c>
      <c r="O5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4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0" s="2" t="str">
        <f>SUBSTITUTE(SUBSTITUTE(PROPERTIES[[#This Row],[PURCHASECOST_VALUE]], "PURCHASECOST_", ""), "_VALUE", "")</f>
        <v>EMU</v>
      </c>
      <c r="AO550" s="41" t="b">
        <v>0</v>
      </c>
      <c r="AP550" s="45" t="b">
        <v>0</v>
      </c>
      <c r="AQ550" s="45" t="b">
        <v>0</v>
      </c>
      <c r="AR550" s="45">
        <v>0</v>
      </c>
      <c r="AS550" s="45" t="b">
        <v>0</v>
      </c>
      <c r="AT550" s="7" t="b">
        <v>0</v>
      </c>
      <c r="AU5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1" spans="1:47" x14ac:dyDescent="0.35">
      <c r="A551" s="2" t="s">
        <v>3175</v>
      </c>
      <c r="B551">
        <v>1908</v>
      </c>
      <c r="C551">
        <v>1958</v>
      </c>
      <c r="D5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1" s="37" t="str">
        <f>INDEX(CONTROL[ENGLISH],MATCH(PROPERTIES[[#This Row],[VEHIDCODE]],CONTROL[VEHIDCODE],0))</f>
        <v>PRR MP54</v>
      </c>
      <c r="F551" t="s">
        <v>757</v>
      </c>
      <c r="G551" s="37" t="str">
        <f>_xlfn.IFNA(INDEX(COUNTRIES[COUNTRY_LABEL],MATCH(PROPERTIES[[#This Row],[COUNTRY]],COUNTRIES[COUNTRY_DESCRIPTION],0)),"")</f>
        <v>US</v>
      </c>
      <c r="H5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INDEX(LOADINGSPEEDDEF[SPEED],MATCH("LOADINGSPEEDDEF_"&amp;PROPERTIES[[#This Row],[LOADINGSPEED]],LOADINGSPEEDDEF[TYPE],0))</f>
        <v>60</v>
      </c>
      <c r="O5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4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1" s="2" t="str">
        <f>SUBSTITUTE(SUBSTITUTE(PROPERTIES[[#This Row],[PURCHASECOST_VALUE]], "PURCHASECOST_", ""), "_VALUE", "")</f>
        <v>EMU</v>
      </c>
      <c r="AO551" s="41" t="b">
        <v>0</v>
      </c>
      <c r="AP551" s="45" t="b">
        <v>0</v>
      </c>
      <c r="AQ551" s="45" t="b">
        <v>1</v>
      </c>
      <c r="AR551" s="45">
        <v>0</v>
      </c>
      <c r="AS551" s="45" t="b">
        <v>0</v>
      </c>
      <c r="AT551" s="7" t="b">
        <v>1</v>
      </c>
      <c r="AU5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2" spans="1:47" x14ac:dyDescent="0.35">
      <c r="A552" s="2" t="s">
        <v>3176</v>
      </c>
      <c r="B552">
        <v>2011</v>
      </c>
      <c r="D5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2" s="37" t="str">
        <f>INDEX(CONTROL[ENGLISH],MATCH(PROPERTIES[[#This Row],[VEHIDCODE]],CONTROL[VEHIDCODE],0))</f>
        <v>Alstom AGV</v>
      </c>
      <c r="F552" t="s">
        <v>636</v>
      </c>
      <c r="G552" s="37" t="str">
        <f>_xlfn.IFNA(INDEX(COUNTRIES[COUNTRY_LABEL],MATCH(PROPERTIES[[#This Row],[COUNTRY]],COUNTRIES[COUNTRY_DESCRIPTION],0)),"")</f>
        <v>IT</v>
      </c>
      <c r="H5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INDEX(LOADINGSPEEDDEF[SPEED],MATCH("LOADINGSPEEDDEF_"&amp;PROPERTIES[[#This Row],[LOADINGSPEED]],LOADINGSPEEDDEF[TYPE],0))</f>
        <v>20</v>
      </c>
      <c r="O5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4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2" s="2" t="str">
        <f>SUBSTITUTE(SUBSTITUTE(PROPERTIES[[#This Row],[PURCHASECOST_VALUE]], "PURCHASECOST_", ""), "_VALUE", "")</f>
        <v>EMU</v>
      </c>
      <c r="AO552" s="41" t="b">
        <v>0</v>
      </c>
      <c r="AP552" s="45" t="b">
        <v>0</v>
      </c>
      <c r="AQ552" s="45" t="b">
        <v>0</v>
      </c>
      <c r="AR552" s="45">
        <v>0</v>
      </c>
      <c r="AS552" s="45" t="b">
        <v>0</v>
      </c>
      <c r="AT552" s="7" t="b">
        <v>0</v>
      </c>
      <c r="AU5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3" spans="1:47" x14ac:dyDescent="0.35">
      <c r="A553" s="2" t="s">
        <v>3177</v>
      </c>
      <c r="B553">
        <v>2015</v>
      </c>
      <c r="D5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3" s="37" t="str">
        <f>INDEX(CONTROL[ENGLISH],MATCH(PROPERTIES[[#This Row],[VEHIDCODE]],CONTROL[VEHIDCODE],0))</f>
        <v>Alstom Avelia Horizon</v>
      </c>
      <c r="F553" t="s">
        <v>636</v>
      </c>
      <c r="G553" s="37" t="str">
        <f>_xlfn.IFNA(INDEX(COUNTRIES[COUNTRY_LABEL],MATCH(PROPERTIES[[#This Row],[COUNTRY]],COUNTRIES[COUNTRY_DESCRIPTION],0)),"")</f>
        <v>IT</v>
      </c>
      <c r="H5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INDEX(LOADINGSPEEDDEF[SPEED],MATCH("LOADINGSPEEDDEF_"&amp;PROPERTIES[[#This Row],[LOADINGSPEED]],LOADINGSPEEDDEF[TYPE],0))</f>
        <v>20</v>
      </c>
      <c r="O5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4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3" s="2" t="str">
        <f>SUBSTITUTE(SUBSTITUTE(PROPERTIES[[#This Row],[PURCHASECOST_VALUE]], "PURCHASECOST_", ""), "_VALUE", "")</f>
        <v>EMU</v>
      </c>
      <c r="AO553" s="41" t="b">
        <v>0</v>
      </c>
      <c r="AP553" s="45" t="b">
        <v>0</v>
      </c>
      <c r="AQ553" s="45" t="b">
        <v>0</v>
      </c>
      <c r="AR553" s="45">
        <v>0</v>
      </c>
      <c r="AS553" s="45" t="b">
        <v>0</v>
      </c>
      <c r="AT553" s="7" t="b">
        <v>0</v>
      </c>
      <c r="AU5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4" spans="1:47" x14ac:dyDescent="0.35">
      <c r="A554" s="2" t="s">
        <v>3178</v>
      </c>
      <c r="B554">
        <v>2012</v>
      </c>
      <c r="D5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4" s="37" t="str">
        <f>INDEX(CONTROL[ENGLISH],MATCH(PROPERTIES[[#This Row],[VEHIDCODE]],CONTROL[VEHIDCODE],0))</f>
        <v>AnsaldoBreda V250 'Albatros'</v>
      </c>
      <c r="F554" t="s">
        <v>692</v>
      </c>
      <c r="G554" s="37" t="str">
        <f>_xlfn.IFNA(INDEX(COUNTRIES[COUNTRY_LABEL],MATCH(PROPERTIES[[#This Row],[COUNTRY]],COUNTRIES[COUNTRY_DESCRIPTION],0)),"")</f>
        <v>NL</v>
      </c>
      <c r="H5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INDEX(LOADINGSPEEDDEF[SPEED],MATCH("LOADINGSPEEDDEF_"&amp;PROPERTIES[[#This Row],[LOADINGSPEED]],LOADINGSPEEDDEF[TYPE],0))</f>
        <v>20</v>
      </c>
      <c r="O5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4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4" s="2" t="str">
        <f>SUBSTITUTE(SUBSTITUTE(PROPERTIES[[#This Row],[PURCHASECOST_VALUE]], "PURCHASECOST_", ""), "_VALUE", "")</f>
        <v>EMU</v>
      </c>
      <c r="AO554" s="41" t="b">
        <v>0</v>
      </c>
      <c r="AP554" s="45" t="b">
        <v>0</v>
      </c>
      <c r="AQ554" s="45" t="b">
        <v>0</v>
      </c>
      <c r="AR554" s="45">
        <v>0</v>
      </c>
      <c r="AS554" s="45" t="b">
        <v>0</v>
      </c>
      <c r="AT554" s="7" t="b">
        <v>0</v>
      </c>
      <c r="AU5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5" spans="1:47" x14ac:dyDescent="0.35">
      <c r="A555" s="2" t="s">
        <v>3179</v>
      </c>
      <c r="B555">
        <v>2012</v>
      </c>
      <c r="D5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5" s="37" t="str">
        <f>INDEX(CONTROL[ENGLISH],MATCH(PROPERTIES[[#This Row],[VEHIDCODE]],CONTROL[VEHIDCODE],0))</f>
        <v>NS 4800 HSA 'Fyra'</v>
      </c>
      <c r="F555" t="s">
        <v>692</v>
      </c>
      <c r="G555" s="37" t="str">
        <f>_xlfn.IFNA(INDEX(COUNTRIES[COUNTRY_LABEL],MATCH(PROPERTIES[[#This Row],[COUNTRY]],COUNTRIES[COUNTRY_DESCRIPTION],0)),"")</f>
        <v>NL</v>
      </c>
      <c r="H5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INDEX(LOADINGSPEEDDEF[SPEED],MATCH("LOADINGSPEEDDEF_"&amp;PROPERTIES[[#This Row],[LOADINGSPEED]],LOADINGSPEEDDEF[TYPE],0))</f>
        <v>20</v>
      </c>
      <c r="O55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4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5" s="2" t="str">
        <f>SUBSTITUTE(SUBSTITUTE(PROPERTIES[[#This Row],[PURCHASECOST_VALUE]], "PURCHASECOST_", ""), "_VALUE", "")</f>
        <v>EMU</v>
      </c>
      <c r="AO555" s="41" t="b">
        <v>0</v>
      </c>
      <c r="AP555" s="45" t="b">
        <v>0</v>
      </c>
      <c r="AQ555" s="45" t="b">
        <v>0</v>
      </c>
      <c r="AR555" s="45">
        <v>0</v>
      </c>
      <c r="AS555" s="45" t="b">
        <v>0</v>
      </c>
      <c r="AT555" s="7" t="b">
        <v>0</v>
      </c>
      <c r="AU5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6" spans="1:47" x14ac:dyDescent="0.35">
      <c r="A556" s="2" t="s">
        <v>3180</v>
      </c>
      <c r="B556">
        <v>1961</v>
      </c>
      <c r="C556">
        <v>1995</v>
      </c>
      <c r="D5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6" s="37" t="str">
        <f>INDEX(CONTROL[ENGLISH],MATCH(PROPERTIES[[#This Row],[VEHIDCODE]],CONTROL[VEHIDCODE],0))</f>
        <v>SIG Rae TEE II</v>
      </c>
      <c r="F556" t="s">
        <v>570</v>
      </c>
      <c r="G556" s="37" t="str">
        <f>_xlfn.IFNA(INDEX(COUNTRIES[COUNTRY_LABEL],MATCH(PROPERTIES[[#This Row],[COUNTRY]],COUNTRIES[COUNTRY_DESCRIPTION],0)),"")</f>
        <v>CH</v>
      </c>
      <c r="H5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INDEX(LOADINGSPEEDDEF[SPEED],MATCH("LOADINGSPEEDDEF_"&amp;PROPERTIES[[#This Row],[LOADINGSPEED]],LOADINGSPEEDDEF[TYPE],0))</f>
        <v>60</v>
      </c>
      <c r="O5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4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6" s="2" t="str">
        <f>SUBSTITUTE(SUBSTITUTE(PROPERTIES[[#This Row],[PURCHASECOST_VALUE]], "PURCHASECOST_", ""), "_VALUE", "")</f>
        <v>EMU</v>
      </c>
      <c r="AO556" s="41" t="b">
        <v>0</v>
      </c>
      <c r="AP556" s="45" t="b">
        <v>0</v>
      </c>
      <c r="AQ556" s="45" t="b">
        <v>0</v>
      </c>
      <c r="AR556" s="45">
        <v>0</v>
      </c>
      <c r="AS556" s="45" t="b">
        <v>0</v>
      </c>
      <c r="AT556" s="7" t="b">
        <v>0</v>
      </c>
      <c r="AU5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557" spans="1:47" x14ac:dyDescent="0.35">
      <c r="A557" s="2" t="s">
        <v>3181</v>
      </c>
      <c r="B557">
        <v>1930</v>
      </c>
      <c r="C557">
        <v>1984</v>
      </c>
      <c r="D5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7" s="37" t="str">
        <f>INDEX(CONTROL[ENGLISH],MATCH(PROPERTIES[[#This Row],[VEHIDCODE]],CONTROL[VEHIDCODE],0))</f>
        <v>Pullman Erie Lackawanna 2500 Series</v>
      </c>
      <c r="F557" t="s">
        <v>757</v>
      </c>
      <c r="G557" s="37" t="str">
        <f>_xlfn.IFNA(INDEX(COUNTRIES[COUNTRY_LABEL],MATCH(PROPERTIES[[#This Row],[COUNTRY]],COUNTRIES[COUNTRY_DESCRIPTION],0)),"")</f>
        <v>US</v>
      </c>
      <c r="H5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INDEX(LOADINGSPEEDDEF[SPEED],MATCH("LOADINGSPEEDDEF_"&amp;PROPERTIES[[#This Row],[LOADINGSPEED]],LOADINGSPEEDDEF[TYPE],0))</f>
        <v>60</v>
      </c>
      <c r="O5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4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7" s="2" t="str">
        <f>SUBSTITUTE(SUBSTITUTE(PROPERTIES[[#This Row],[PURCHASECOST_VALUE]], "PURCHASECOST_", ""), "_VALUE", "")</f>
        <v>EMU</v>
      </c>
      <c r="AO557" s="41" t="b">
        <v>0</v>
      </c>
      <c r="AP557" s="45" t="b">
        <v>0</v>
      </c>
      <c r="AQ557" s="45" t="b">
        <v>0</v>
      </c>
      <c r="AR557" s="45">
        <v>0</v>
      </c>
      <c r="AS557" s="45" t="b">
        <v>0</v>
      </c>
      <c r="AT557" s="7" t="b">
        <v>0</v>
      </c>
      <c r="AU5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58" spans="1:47" x14ac:dyDescent="0.35">
      <c r="A558" s="2" t="s">
        <v>3182</v>
      </c>
      <c r="B558">
        <v>1981</v>
      </c>
      <c r="C558">
        <v>2012</v>
      </c>
      <c r="D5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8" s="37" t="str">
        <f>INDEX(CONTROL[ENGLISH],MATCH(PROPERTIES[[#This Row],[VEHIDCODE]],CONTROL[VEHIDCODE],0))</f>
        <v>Alsthom TGV 23000</v>
      </c>
      <c r="F558" t="s">
        <v>602</v>
      </c>
      <c r="G558" s="37" t="str">
        <f>_xlfn.IFNA(INDEX(COUNTRIES[COUNTRY_LABEL],MATCH(PROPERTIES[[#This Row],[COUNTRY]],COUNTRIES[COUNTRY_DESCRIPTION],0)),"")</f>
        <v>FR</v>
      </c>
      <c r="H5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INDEX(LOADINGSPEEDDEF[SPEED],MATCH("LOADINGSPEEDDEF_"&amp;PROPERTIES[[#This Row],[LOADINGSPEED]],LOADINGSPEEDDEF[TYPE],0))</f>
        <v>20</v>
      </c>
      <c r="O5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4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8" s="2" t="str">
        <f>SUBSTITUTE(SUBSTITUTE(PROPERTIES[[#This Row],[PURCHASECOST_VALUE]], "PURCHASECOST_", ""), "_VALUE", "")</f>
        <v>EMU</v>
      </c>
      <c r="AO558" s="41" t="b">
        <v>0</v>
      </c>
      <c r="AP558" s="45" t="b">
        <v>0</v>
      </c>
      <c r="AQ558" s="45" t="b">
        <v>0</v>
      </c>
      <c r="AR558" s="45">
        <v>0</v>
      </c>
      <c r="AS558" s="45" t="b">
        <v>0</v>
      </c>
      <c r="AT558" s="7" t="b">
        <v>0</v>
      </c>
      <c r="AU5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59" spans="1:47" x14ac:dyDescent="0.35">
      <c r="A559" s="2" t="s">
        <v>3183</v>
      </c>
      <c r="B559">
        <v>1995</v>
      </c>
      <c r="D5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59" s="37" t="str">
        <f>INDEX(CONTROL[ENGLISH],MATCH(PROPERTIES[[#This Row],[VEHIDCODE]],CONTROL[VEHIDCODE],0))</f>
        <v>Alsthom TGV Duplex</v>
      </c>
      <c r="F559" t="s">
        <v>602</v>
      </c>
      <c r="G559" s="37" t="str">
        <f>_xlfn.IFNA(INDEX(COUNTRIES[COUNTRY_LABEL],MATCH(PROPERTIES[[#This Row],[COUNTRY]],COUNTRIES[COUNTRY_DESCRIPTION],0)),"")</f>
        <v>FR</v>
      </c>
      <c r="H5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INDEX(LOADINGSPEEDDEF[SPEED],MATCH("LOADINGSPEEDDEF_"&amp;PROPERTIES[[#This Row],[LOADINGSPEED]],LOADINGSPEEDDEF[TYPE],0))</f>
        <v>20</v>
      </c>
      <c r="O5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4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5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59" s="2" t="str">
        <f>SUBSTITUTE(SUBSTITUTE(PROPERTIES[[#This Row],[PURCHASECOST_VALUE]], "PURCHASECOST_", ""), "_VALUE", "")</f>
        <v>EMU</v>
      </c>
      <c r="AO559" s="41" t="b">
        <v>0</v>
      </c>
      <c r="AP559" s="45" t="b">
        <v>0</v>
      </c>
      <c r="AQ559" s="45" t="b">
        <v>0</v>
      </c>
      <c r="AR559" s="45">
        <v>0</v>
      </c>
      <c r="AS559" s="45" t="b">
        <v>0</v>
      </c>
      <c r="AT559" s="7" t="b">
        <v>0</v>
      </c>
      <c r="AU5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0" spans="1:47" x14ac:dyDescent="0.35">
      <c r="A560" s="2" t="s">
        <v>3184</v>
      </c>
      <c r="B560">
        <v>1995</v>
      </c>
      <c r="D5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0" s="37" t="str">
        <f>INDEX(CONTROL[ENGLISH],MATCH(PROPERTIES[[#This Row],[VEHIDCODE]],CONTROL[VEHIDCODE],0))</f>
        <v>GEC-Alsthom Thalys PBKA</v>
      </c>
      <c r="F560" t="s">
        <v>602</v>
      </c>
      <c r="G560" s="37" t="str">
        <f>_xlfn.IFNA(INDEX(COUNTRIES[COUNTRY_LABEL],MATCH(PROPERTIES[[#This Row],[COUNTRY]],COUNTRIES[COUNTRY_DESCRIPTION],0)),"")</f>
        <v>FR</v>
      </c>
      <c r="H5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INDEX(LOADINGSPEEDDEF[SPEED],MATCH("LOADINGSPEEDDEF_"&amp;PROPERTIES[[#This Row],[LOADINGSPEED]],LOADINGSPEEDDEF[TYPE],0))</f>
        <v>20</v>
      </c>
      <c r="O5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4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0" s="2" t="str">
        <f>SUBSTITUTE(SUBSTITUTE(PROPERTIES[[#This Row],[PURCHASECOST_VALUE]], "PURCHASECOST_", ""), "_VALUE", "")</f>
        <v>EMU</v>
      </c>
      <c r="AO560" s="41" t="b">
        <v>0</v>
      </c>
      <c r="AP560" s="45" t="b">
        <v>0</v>
      </c>
      <c r="AQ560" s="45" t="b">
        <v>0</v>
      </c>
      <c r="AR560" s="45">
        <v>0</v>
      </c>
      <c r="AS560" s="45" t="b">
        <v>0</v>
      </c>
      <c r="AT560" s="7" t="b">
        <v>0</v>
      </c>
      <c r="AU5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561" spans="1:47" x14ac:dyDescent="0.35">
      <c r="A561" s="2" t="s">
        <v>3185</v>
      </c>
      <c r="B561">
        <v>1995</v>
      </c>
      <c r="D5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1" s="37" t="str">
        <f>INDEX(CONTROL[ENGLISH],MATCH(PROPERTIES[[#This Row],[VEHIDCODE]],CONTROL[VEHIDCODE],0))</f>
        <v>Alsthom 'Pendolino' 680</v>
      </c>
      <c r="F561" t="s">
        <v>583</v>
      </c>
      <c r="G561" s="37" t="str">
        <f>_xlfn.IFNA(INDEX(COUNTRIES[COUNTRY_LABEL],MATCH(PROPERTIES[[#This Row],[COUNTRY]],COUNTRIES[COUNTRY_DESCRIPTION],0)),"")</f>
        <v>CZ</v>
      </c>
      <c r="H5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INDEX(LOADINGSPEEDDEF[SPEED],MATCH("LOADINGSPEEDDEF_"&amp;PROPERTIES[[#This Row],[LOADINGSPEED]],LOADINGSPEEDDEF[TYPE],0))</f>
        <v>20</v>
      </c>
      <c r="O5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4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1" s="2" t="str">
        <f>SUBSTITUTE(SUBSTITUTE(PROPERTIES[[#This Row],[PURCHASECOST_VALUE]], "PURCHASECOST_", ""), "_VALUE", "")</f>
        <v>EMU</v>
      </c>
      <c r="AO561" s="41" t="b">
        <v>0</v>
      </c>
      <c r="AP561" s="45" t="b">
        <v>0</v>
      </c>
      <c r="AQ561" s="45" t="b">
        <v>1</v>
      </c>
      <c r="AR561" s="45">
        <v>0</v>
      </c>
      <c r="AS561" s="45" t="b">
        <v>0</v>
      </c>
      <c r="AT561" s="7" t="b">
        <v>0</v>
      </c>
      <c r="AU5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2" spans="1:47" x14ac:dyDescent="0.35">
      <c r="A562" s="2" t="s">
        <v>3186</v>
      </c>
      <c r="B562">
        <v>2001</v>
      </c>
      <c r="D5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2" s="37" t="str">
        <f>INDEX(CONTROL[ENGLISH],MATCH(PROPERTIES[[#This Row],[VEHIDCODE]],CONTROL[VEHIDCODE],0))</f>
        <v>CAF/Alstom Class 120</v>
      </c>
      <c r="F562" t="s">
        <v>595</v>
      </c>
      <c r="G562" s="37" t="str">
        <f>_xlfn.IFNA(INDEX(COUNTRIES[COUNTRY_LABEL],MATCH(PROPERTIES[[#This Row],[COUNTRY]],COUNTRIES[COUNTRY_DESCRIPTION],0)),"")</f>
        <v>ES</v>
      </c>
      <c r="H5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INDEX(LOADINGSPEEDDEF[SPEED],MATCH("LOADINGSPEEDDEF_"&amp;PROPERTIES[[#This Row],[LOADINGSPEED]],LOADINGSPEEDDEF[TYPE],0))</f>
        <v>20</v>
      </c>
      <c r="O5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4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2" s="2" t="str">
        <f>SUBSTITUTE(SUBSTITUTE(PROPERTIES[[#This Row],[PURCHASECOST_VALUE]], "PURCHASECOST_", ""), "_VALUE", "")</f>
        <v>EMU</v>
      </c>
      <c r="AO562" s="41" t="b">
        <v>0</v>
      </c>
      <c r="AP562" s="45" t="b">
        <v>0</v>
      </c>
      <c r="AQ562" s="45" t="b">
        <v>0</v>
      </c>
      <c r="AR562" s="45">
        <v>0</v>
      </c>
      <c r="AS562" s="45" t="b">
        <v>0</v>
      </c>
      <c r="AT562" s="7" t="b">
        <v>0</v>
      </c>
      <c r="AU5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3" spans="1:47" x14ac:dyDescent="0.35">
      <c r="A563" s="2" t="s">
        <v>3187</v>
      </c>
      <c r="B563">
        <v>1999</v>
      </c>
      <c r="C563">
        <v>2020</v>
      </c>
      <c r="D5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63" s="37" t="str">
        <f>INDEX(CONTROL[ENGLISH],MATCH(PROPERTIES[[#This Row],[VEHIDCODE]],CONTROL[VEHIDCODE],0))</f>
        <v>Bombarier/Alstom Acela Express</v>
      </c>
      <c r="F563" t="s">
        <v>757</v>
      </c>
      <c r="G563" s="37" t="str">
        <f>_xlfn.IFNA(INDEX(COUNTRIES[COUNTRY_LABEL],MATCH(PROPERTIES[[#This Row],[COUNTRY]],COUNTRIES[COUNTRY_DESCRIPTION],0)),"")</f>
        <v>US</v>
      </c>
      <c r="H5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INDEX(LOADINGSPEEDDEF[SPEED],MATCH("LOADINGSPEEDDEF_"&amp;PROPERTIES[[#This Row],[LOADINGSPEED]],LOADINGSPEEDDEF[TYPE],0))</f>
        <v>20</v>
      </c>
      <c r="O5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4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56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563" s="2" t="str">
        <f>SUBSTITUTE(SUBSTITUTE(PROPERTIES[[#This Row],[PURCHASECOST_VALUE]], "PURCHASECOST_", ""), "_VALUE", "")</f>
        <v>EMU</v>
      </c>
      <c r="AO563" s="41" t="b">
        <v>0</v>
      </c>
      <c r="AP563" s="45" t="b">
        <v>0</v>
      </c>
      <c r="AQ563" s="45" t="b">
        <v>0</v>
      </c>
      <c r="AR563" s="45">
        <v>0</v>
      </c>
      <c r="AS563" s="45" t="b">
        <v>0</v>
      </c>
      <c r="AT563" s="7" t="b">
        <v>0</v>
      </c>
      <c r="AU5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64" spans="1:47" x14ac:dyDescent="0.35">
      <c r="A564" s="2" t="s">
        <v>3188</v>
      </c>
      <c r="B564">
        <v>1880</v>
      </c>
      <c r="D5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4" s="37" t="str">
        <f>INDEX(CONTROL[ENGLISH],MATCH(PROPERTIES[[#This Row],[VEHIDCODE]],CONTROL[VEHIDCODE],0))</f>
        <v>Brooklyn Union Gate 1300</v>
      </c>
      <c r="F564" t="s">
        <v>757</v>
      </c>
      <c r="G564" s="37" t="str">
        <f>_xlfn.IFNA(INDEX(COUNTRIES[COUNTRY_LABEL],MATCH(PROPERTIES[[#This Row],[COUNTRY]],COUNTRIES[COUNTRY_DESCRIPTION],0)),"")</f>
        <v>US</v>
      </c>
      <c r="H5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INDEX(LOADINGSPEEDDEF[SPEED],MATCH("LOADINGSPEEDDEF_"&amp;PROPERTIES[[#This Row],[LOADINGSPEED]],LOADINGSPEEDDEF[TYPE],0))</f>
        <v>120</v>
      </c>
      <c r="O5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4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4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1" t="b">
        <v>0</v>
      </c>
      <c r="AP564" s="45" t="b">
        <v>0</v>
      </c>
      <c r="AQ564" s="45" t="b">
        <v>0</v>
      </c>
      <c r="AR564" s="45">
        <v>0</v>
      </c>
      <c r="AS564" s="45" t="b">
        <v>0</v>
      </c>
      <c r="AT564" s="7" t="b">
        <v>0</v>
      </c>
      <c r="AU5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5" spans="1:47" x14ac:dyDescent="0.35">
      <c r="A565" s="2" t="s">
        <v>3189</v>
      </c>
      <c r="B565">
        <v>1903</v>
      </c>
      <c r="C565">
        <v>1973</v>
      </c>
      <c r="D5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5" s="37" t="str">
        <f>INDEX(CONTROL[ENGLISH],MATCH(PROPERTIES[[#This Row],[VEHIDCODE]],CONTROL[VEHIDCODE],0))</f>
        <v>Siemens &amp; Halske Budapest 1894 Stock</v>
      </c>
      <c r="F565" t="s">
        <v>626</v>
      </c>
      <c r="G565" s="37" t="str">
        <f>_xlfn.IFNA(INDEX(COUNTRIES[COUNTRY_LABEL],MATCH(PROPERTIES[[#This Row],[COUNTRY]],COUNTRIES[COUNTRY_DESCRIPTION],0)),"")</f>
        <v>HU</v>
      </c>
      <c r="H5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INDEX(LOADINGSPEEDDEF[SPEED],MATCH("LOADINGSPEEDDEF_"&amp;PROPERTIES[[#This Row],[LOADINGSPEED]],LOADINGSPEEDDEF[TYPE],0))</f>
        <v>120</v>
      </c>
      <c r="O5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4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5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1" t="b">
        <v>0</v>
      </c>
      <c r="AP565" s="45" t="b">
        <v>0</v>
      </c>
      <c r="AQ565" s="45" t="b">
        <v>0</v>
      </c>
      <c r="AR565" s="45">
        <v>0</v>
      </c>
      <c r="AS565" s="45" t="b">
        <v>0</v>
      </c>
      <c r="AT565" s="7" t="b">
        <v>0</v>
      </c>
      <c r="AU5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6" spans="1:47" x14ac:dyDescent="0.35">
      <c r="A566" s="2" t="s">
        <v>3190</v>
      </c>
      <c r="B566">
        <v>1907</v>
      </c>
      <c r="C566">
        <v>1953</v>
      </c>
      <c r="D5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6" s="37" t="str">
        <f>INDEX(CONTROL[ENGLISH],MATCH(PROPERTIES[[#This Row],[VEHIDCODE]],CONTROL[VEHIDCODE],0))</f>
        <v>Chicago L Northwest Elevated 1907 Stock</v>
      </c>
      <c r="F566" t="s">
        <v>757</v>
      </c>
      <c r="G566" s="37" t="str">
        <f>_xlfn.IFNA(INDEX(COUNTRIES[COUNTRY_LABEL],MATCH(PROPERTIES[[#This Row],[COUNTRY]],COUNTRIES[COUNTRY_DESCRIPTION],0)),"")</f>
        <v>US</v>
      </c>
      <c r="H5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INDEX(LOADINGSPEEDDEF[SPEED],MATCH("LOADINGSPEEDDEF_"&amp;PROPERTIES[[#This Row],[LOADINGSPEED]],LOADINGSPEEDDEF[TYPE],0))</f>
        <v>120</v>
      </c>
      <c r="O5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4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6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1" t="b">
        <v>0</v>
      </c>
      <c r="AP566" s="45" t="b">
        <v>0</v>
      </c>
      <c r="AQ566" s="45" t="b">
        <v>0</v>
      </c>
      <c r="AR566" s="45">
        <v>0</v>
      </c>
      <c r="AS566" s="45" t="b">
        <v>0</v>
      </c>
      <c r="AT566" s="7" t="b">
        <v>0</v>
      </c>
      <c r="AU5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567" spans="1:47" x14ac:dyDescent="0.35">
      <c r="A567" s="2" t="s">
        <v>3191</v>
      </c>
      <c r="B567">
        <v>1929</v>
      </c>
      <c r="C567">
        <v>1975</v>
      </c>
      <c r="D5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7" s="37" t="str">
        <f>INDEX(CONTROL[ENGLISH],MATCH(PROPERTIES[[#This Row],[VEHIDCODE]],CONTROL[VEHIDCODE],0))</f>
        <v>Berlin U-Bahn C II</v>
      </c>
      <c r="F567" t="s">
        <v>584</v>
      </c>
      <c r="G567" s="37" t="str">
        <f>_xlfn.IFNA(INDEX(COUNTRIES[COUNTRY_LABEL],MATCH(PROPERTIES[[#This Row],[COUNTRY]],COUNTRIES[COUNTRY_DESCRIPTION],0)),"")</f>
        <v>DE</v>
      </c>
      <c r="H5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INDEX(LOADINGSPEEDDEF[SPEED],MATCH("LOADINGSPEEDDEF_"&amp;PROPERTIES[[#This Row],[LOADINGSPEED]],LOADINGSPEEDDEF[TYPE],0))</f>
        <v>120</v>
      </c>
      <c r="O5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4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567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1" t="b">
        <v>0</v>
      </c>
      <c r="AP567" s="45" t="b">
        <v>0</v>
      </c>
      <c r="AQ567" s="45" t="b">
        <v>0</v>
      </c>
      <c r="AR567" s="45">
        <v>0</v>
      </c>
      <c r="AS567" s="45" t="b">
        <v>0</v>
      </c>
      <c r="AT567" s="7" t="b">
        <v>0</v>
      </c>
      <c r="AU5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68" spans="1:47" x14ac:dyDescent="0.35">
      <c r="A568" s="2" t="s">
        <v>3192</v>
      </c>
      <c r="B568">
        <v>2040</v>
      </c>
      <c r="D5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8" s="37" t="str">
        <f>INDEX(CONTROL[ENGLISH],MATCH(PROPERTIES[[#This Row],[VEHIDCODE]],CONTROL[VEHIDCODE],0))</f>
        <v>ACME Corp. Turbobus</v>
      </c>
      <c r="F568" t="s">
        <v>1028</v>
      </c>
      <c r="G568" s="37" t="str">
        <f>_xlfn.IFNA(INDEX(COUNTRIES[COUNTRY_LABEL],MATCH(PROPERTIES[[#This Row],[COUNTRY]],COUNTRIES[COUNTRY_DESCRIPTION],0)),"")</f>
        <v>WRLD</v>
      </c>
      <c r="H5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INDEX(LOADINGSPEEDDEF[SPEED],MATCH("LOADINGSPEEDDEF_"&amp;PROPERTIES[[#This Row],[LOADINGSPEED]],LOADINGSPEEDDEF[TYPE],0))</f>
        <v>20</v>
      </c>
      <c r="O56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4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"PURCHASECOST_"&amp;INDEX(VEHICLE_ID_RANGES[COST_VALUE_TYPE],MATCH(INDEX(CONTROL[VEHID_ID_CATEGORY],MATCH(PROPERTIES[[#This Row],[VEHIDCODE]],CONTROL[VEHIDCODE],0)),VEHICLE_ID_RANGES[ID Type],0))&amp;"_VALUE"</f>
        <v>PURCHASECOST_MAGLEVRAILBUS_VALUE</v>
      </c>
      <c r="AM568" t="str">
        <f>"RUNNINGCOST_"&amp;INDEX(VEHICLE_ID_RANGES[COST_VALUE_TYPE],MATCH(INDEX(CONTROL[VEHID_ID_CATEGORY],MATCH(PROPERTIES[[#This Row],[VEHIDCODE]],CONTROL[VEHIDCODE],0)),VEHICLE_ID_RANGES[ID Type],0))&amp;"_VALUE"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1" t="b">
        <v>0</v>
      </c>
      <c r="AP568" s="45" t="b">
        <v>0</v>
      </c>
      <c r="AQ568" s="45" t="b">
        <v>0</v>
      </c>
      <c r="AR568" s="45">
        <v>0</v>
      </c>
      <c r="AS568" s="45" t="b">
        <v>0</v>
      </c>
      <c r="AT568" s="7" t="b">
        <v>0</v>
      </c>
      <c r="AU5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TPL_16B</v>
      </c>
    </row>
    <row r="569" spans="1:47" x14ac:dyDescent="0.35">
      <c r="A569" s="2" t="s">
        <v>3193</v>
      </c>
      <c r="B569">
        <v>2005</v>
      </c>
      <c r="D5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69" s="37" t="str">
        <f>INDEX(CONTROL[ENGLISH],MATCH(PROPERTIES[[#This Row],[VEHIDCODE]],CONTROL[VEHIDCODE],0))</f>
        <v>Siemens EuroSprinter ES64U4M</v>
      </c>
      <c r="F569" t="s">
        <v>584</v>
      </c>
      <c r="G569" s="37" t="str">
        <f>_xlfn.IFNA(INDEX(COUNTRIES[COUNTRY_LABEL],MATCH(PROPERTIES[[#This Row],[COUNTRY]],COUNTRIES[COUNTRY_DESCRIPTION],0)),"")</f>
        <v>DE</v>
      </c>
      <c r="H5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INDEX(LOADINGSPEEDDEF[SPEED],MATCH("LOADINGSPEEDDEF_"&amp;PROPERTIES[[#This Row],[LOADINGSPEED]],LOADINGSPEEDDEF[TYPE],0))</f>
        <v>20</v>
      </c>
      <c r="O5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4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569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1" t="b">
        <v>0</v>
      </c>
      <c r="AP569" s="45" t="b">
        <v>0</v>
      </c>
      <c r="AQ569" s="45" t="b">
        <v>0</v>
      </c>
      <c r="AR569" s="45">
        <v>0</v>
      </c>
      <c r="AS569" s="45" t="b">
        <v>0</v>
      </c>
      <c r="AT569" s="7" t="b">
        <v>0</v>
      </c>
      <c r="AU5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570" spans="1:47" x14ac:dyDescent="0.35">
      <c r="A570" s="2" t="s">
        <v>3194</v>
      </c>
      <c r="B570">
        <v>2004</v>
      </c>
      <c r="D5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70" s="37" t="str">
        <f>INDEX(CONTROL[ENGLISH],MATCH(PROPERTIES[[#This Row],[VEHIDCODE]],CONTROL[VEHIDCODE],0))</f>
        <v>Siemens-Thyssenkrupp Transrapid</v>
      </c>
      <c r="F570" t="s">
        <v>575</v>
      </c>
      <c r="G570" s="37" t="str">
        <f>_xlfn.IFNA(INDEX(COUNTRIES[COUNTRY_LABEL],MATCH(PROPERTIES[[#This Row],[COUNTRY]],COUNTRIES[COUNTRY_DESCRIPTION],0)),"")</f>
        <v>CN</v>
      </c>
      <c r="H5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INDEX(LOADINGSPEEDDEF[SPEED],MATCH("LOADINGSPEEDDEF_"&amp;PROPERTIES[[#This Row],[LOADINGSPEED]],LOADINGSPEEDDEF[TYPE],0))</f>
        <v>20</v>
      </c>
      <c r="O57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4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570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570" s="2" t="str">
        <f>SUBSTITUTE(SUBSTITUTE(PROPERTIES[[#This Row],[PURCHASECOST_VALUE]], "PURCHASECOST_", ""), "_VALUE", "")</f>
        <v>MMU</v>
      </c>
      <c r="AO570" s="41" t="b">
        <v>0</v>
      </c>
      <c r="AP570" s="45" t="b">
        <v>0</v>
      </c>
      <c r="AQ570" s="45" t="b">
        <v>0</v>
      </c>
      <c r="AR570" s="45">
        <v>0</v>
      </c>
      <c r="AS570" s="45" t="b">
        <v>0</v>
      </c>
      <c r="AT570" s="7" t="b">
        <v>0</v>
      </c>
      <c r="AU5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71" spans="1:47" x14ac:dyDescent="0.35">
      <c r="A571" s="2" t="s">
        <v>3195</v>
      </c>
      <c r="B571">
        <v>2025</v>
      </c>
      <c r="D5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571" s="37" t="str">
        <f>INDEX(CONTROL[ENGLISH],MATCH(PROPERTIES[[#This Row],[VEHIDCODE]],CONTROL[VEHIDCODE],0))</f>
        <v>Mistubishi/Nippon Sharyo MLX01-901</v>
      </c>
      <c r="F571" t="s">
        <v>640</v>
      </c>
      <c r="G571" s="37" t="str">
        <f>_xlfn.IFNA(INDEX(COUNTRIES[COUNTRY_LABEL],MATCH(PROPERTIES[[#This Row],[COUNTRY]],COUNTRIES[COUNTRY_DESCRIPTION],0)),"")</f>
        <v>JP</v>
      </c>
      <c r="H5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INDEX(LOADINGSPEEDDEF[SPEED],MATCH("LOADINGSPEEDDEF_"&amp;PROPERTIES[[#This Row],[LOADINGSPEED]],LOADINGSPEEDDEF[TYPE],0))</f>
        <v>20</v>
      </c>
      <c r="O57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4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571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571" s="2" t="str">
        <f>SUBSTITUTE(SUBSTITUTE(PROPERTIES[[#This Row],[PURCHASECOST_VALUE]], "PURCHASECOST_", ""), "_VALUE", "")</f>
        <v>MMU</v>
      </c>
      <c r="AO571" s="41" t="b">
        <v>0</v>
      </c>
      <c r="AP571" s="45" t="b">
        <v>0</v>
      </c>
      <c r="AQ571" s="45" t="b">
        <v>0</v>
      </c>
      <c r="AR571" s="45">
        <v>0</v>
      </c>
      <c r="AS571" s="45" t="b">
        <v>0</v>
      </c>
      <c r="AT571" s="7" t="b">
        <v>0</v>
      </c>
      <c r="AU5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572" spans="1:47" x14ac:dyDescent="0.35">
      <c r="A572" s="2" t="s">
        <v>227</v>
      </c>
      <c r="B572">
        <v>2010</v>
      </c>
      <c r="D5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2" s="37" t="str">
        <f>INDEX(CONTROL[ENGLISH],MATCH(PROPERTIES[[#This Row],[VEHIDCODE]],CONTROL[VEHIDCODE],0))</f>
        <v>7th Gen Boxcar [Food]</v>
      </c>
      <c r="G572" s="37" t="str">
        <f>_xlfn.IFNA(INDEX(COUNTRIES[COUNTRY_LABEL],MATCH(PROPERTIES[[#This Row],[COUNTRY]],COUNTRIES[COUNTRY_DESCRIPTION],0)),"")</f>
        <v/>
      </c>
      <c r="H5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3664</v>
      </c>
      <c r="J572">
        <v>74</v>
      </c>
      <c r="K572">
        <v>8</v>
      </c>
      <c r="L572">
        <v>0</v>
      </c>
      <c r="M5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INDEX(LOADINGSPEEDDEF[SPEED],MATCH("LOADINGSPEEDDEF_"&amp;PROPERTIES[[#This Row],[LOADINGSPEED]],LOADINGSPEEDDEF[TYPE],0))</f>
        <v>20</v>
      </c>
      <c r="O57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4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2" s="2" t="str">
        <f>SUBSTITUTE(SUBSTITUTE(PROPERTIES[[#This Row],[PURCHASECOST_VALUE]], "PURCHASECOST_", ""), "_VALUE", "")</f>
        <v>WAGON</v>
      </c>
      <c r="AO572" s="41" t="b">
        <v>0</v>
      </c>
      <c r="AP572" s="45" t="b">
        <v>0</v>
      </c>
      <c r="AQ572" s="45" t="b">
        <v>0</v>
      </c>
      <c r="AR572" s="45">
        <v>2</v>
      </c>
      <c r="AS572" s="45" t="b">
        <v>0</v>
      </c>
      <c r="AT572" s="7" t="b">
        <v>0</v>
      </c>
      <c r="AU5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3" spans="1:47" x14ac:dyDescent="0.35">
      <c r="A573" s="2" t="s">
        <v>211</v>
      </c>
      <c r="B573">
        <v>2010</v>
      </c>
      <c r="D5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3" s="37" t="str">
        <f>INDEX(CONTROL[ENGLISH],MATCH(PROPERTIES[[#This Row],[VEHIDCODE]],CONTROL[VEHIDCODE],0))</f>
        <v>7th Gen Boxcar [Non-Food]</v>
      </c>
      <c r="G573" s="37" t="str">
        <f>_xlfn.IFNA(INDEX(COUNTRIES[COUNTRY_LABEL],MATCH(PROPERTIES[[#This Row],[COUNTRY]],COUNTRIES[COUNTRY_DESCRIPTION],0)),"")</f>
        <v/>
      </c>
      <c r="H5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3663</v>
      </c>
      <c r="J573">
        <v>74</v>
      </c>
      <c r="K573">
        <v>8</v>
      </c>
      <c r="L573">
        <v>0</v>
      </c>
      <c r="M5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INDEX(LOADINGSPEEDDEF[SPEED],MATCH("LOADINGSPEEDDEF_"&amp;PROPERTIES[[#This Row],[LOADINGSPEED]],LOADINGSPEEDDEF[TYPE],0))</f>
        <v>20</v>
      </c>
      <c r="O57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4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3" s="2" t="str">
        <f>SUBSTITUTE(SUBSTITUTE(PROPERTIES[[#This Row],[PURCHASECOST_VALUE]], "PURCHASECOST_", ""), "_VALUE", "")</f>
        <v>WAGON</v>
      </c>
      <c r="AO573" s="41" t="b">
        <v>0</v>
      </c>
      <c r="AP573" s="45" t="b">
        <v>0</v>
      </c>
      <c r="AQ573" s="45" t="b">
        <v>0</v>
      </c>
      <c r="AR573" s="45">
        <v>2</v>
      </c>
      <c r="AS573" s="45" t="b">
        <v>0</v>
      </c>
      <c r="AT573" s="7" t="b">
        <v>0</v>
      </c>
      <c r="AU5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4" spans="1:47" x14ac:dyDescent="0.35">
      <c r="A574" s="2" t="s">
        <v>212</v>
      </c>
      <c r="B574">
        <v>2020</v>
      </c>
      <c r="D5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4" s="37" t="str">
        <f>INDEX(CONTROL[ENGLISH],MATCH(PROPERTIES[[#This Row],[VEHIDCODE]],CONTROL[VEHIDCODE],0))</f>
        <v>7th Gen Car Transporter</v>
      </c>
      <c r="G574" s="37" t="str">
        <f>_xlfn.IFNA(INDEX(COUNTRIES[COUNTRY_LABEL],MATCH(PROPERTIES[[#This Row],[COUNTRY]],COUNTRIES[COUNTRY_DESCRIPTION],0)),"")</f>
        <v/>
      </c>
      <c r="H5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INDEX(LOADINGSPEEDDEF[SPEED],MATCH("LOADINGSPEEDDEF_"&amp;PROPERTIES[[#This Row],[LOADINGSPEED]],LOADINGSPEEDDEF[TYPE],0))</f>
        <v>20</v>
      </c>
      <c r="O5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4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4" s="2" t="str">
        <f>SUBSTITUTE(SUBSTITUTE(PROPERTIES[[#This Row],[PURCHASECOST_VALUE]], "PURCHASECOST_", ""), "_VALUE", "")</f>
        <v>WAGON</v>
      </c>
      <c r="AO574" s="41" t="b">
        <v>0</v>
      </c>
      <c r="AP574" s="45" t="b">
        <v>0</v>
      </c>
      <c r="AQ574" s="45" t="b">
        <v>0</v>
      </c>
      <c r="AR574" s="45">
        <v>2</v>
      </c>
      <c r="AS574" s="45" t="b">
        <v>0</v>
      </c>
      <c r="AT574" s="7" t="b">
        <v>0</v>
      </c>
      <c r="AU5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5" spans="1:47" x14ac:dyDescent="0.35">
      <c r="A575" s="2" t="s">
        <v>213</v>
      </c>
      <c r="B575">
        <v>2010</v>
      </c>
      <c r="D5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5" s="37" t="str">
        <f>INDEX(CONTROL[ENGLISH],MATCH(PROPERTIES[[#This Row],[VEHIDCODE]],CONTROL[VEHIDCODE],0))</f>
        <v>7th Gen Centerbeam Flatcar</v>
      </c>
      <c r="G575" s="37" t="str">
        <f>_xlfn.IFNA(INDEX(COUNTRIES[COUNTRY_LABEL],MATCH(PROPERTIES[[#This Row],[COUNTRY]],COUNTRIES[COUNTRY_DESCRIPTION],0)),"")</f>
        <v/>
      </c>
      <c r="H5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INDEX(LOADINGSPEEDDEF[SPEED],MATCH("LOADINGSPEEDDEF_"&amp;PROPERTIES[[#This Row],[LOADINGSPEED]],LOADINGSPEEDDEF[TYPE],0))</f>
        <v>20</v>
      </c>
      <c r="O57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4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5" s="2" t="str">
        <f>SUBSTITUTE(SUBSTITUTE(PROPERTIES[[#This Row],[PURCHASECOST_VALUE]], "PURCHASECOST_", ""), "_VALUE", "")</f>
        <v>WAGON</v>
      </c>
      <c r="AO575" s="41" t="b">
        <v>0</v>
      </c>
      <c r="AP575" s="45" t="b">
        <v>0</v>
      </c>
      <c r="AQ575" s="45" t="b">
        <v>0</v>
      </c>
      <c r="AR575" s="45">
        <v>2</v>
      </c>
      <c r="AS575" s="45" t="b">
        <v>0</v>
      </c>
      <c r="AT575" s="7" t="b">
        <v>0</v>
      </c>
      <c r="AU5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6" spans="1:47" x14ac:dyDescent="0.35">
      <c r="A576" s="2" t="s">
        <v>214</v>
      </c>
      <c r="B576">
        <v>2010</v>
      </c>
      <c r="D5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6" s="37" t="str">
        <f>INDEX(CONTROL[ENGLISH],MATCH(PROPERTIES[[#This Row],[VEHIDCODE]],CONTROL[VEHIDCODE],0))</f>
        <v>7th Gen Container Carrier</v>
      </c>
      <c r="G576" s="37" t="str">
        <f>_xlfn.IFNA(INDEX(COUNTRIES[COUNTRY_LABEL],MATCH(PROPERTIES[[#This Row],[COUNTRY]],COUNTRIES[COUNTRY_DESCRIPTION],0)),"")</f>
        <v/>
      </c>
      <c r="H5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INDEX(LOADINGSPEEDDEF[SPEED],MATCH("LOADINGSPEEDDEF_"&amp;PROPERTIES[[#This Row],[LOADINGSPEED]],LOADINGSPEEDDEF[TYPE],0))</f>
        <v>20</v>
      </c>
      <c r="O57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4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6" s="2" t="str">
        <f>SUBSTITUTE(SUBSTITUTE(PROPERTIES[[#This Row],[PURCHASECOST_VALUE]], "PURCHASECOST_", ""), "_VALUE", "")</f>
        <v>WAGON</v>
      </c>
      <c r="AO576" s="41" t="b">
        <v>0</v>
      </c>
      <c r="AP576" s="45" t="b">
        <v>0</v>
      </c>
      <c r="AQ576" s="45" t="b">
        <v>0</v>
      </c>
      <c r="AR576" s="45">
        <v>2</v>
      </c>
      <c r="AS576" s="45" t="b">
        <v>0</v>
      </c>
      <c r="AT576" s="7" t="b">
        <v>0</v>
      </c>
      <c r="AU5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7" spans="1:47" x14ac:dyDescent="0.35">
      <c r="A577" s="2" t="s">
        <v>215</v>
      </c>
      <c r="B577">
        <v>2000</v>
      </c>
      <c r="D5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7" s="37" t="str">
        <f>INDEX(CONTROL[ENGLISH],MATCH(PROPERTIES[[#This Row],[VEHIDCODE]],CONTROL[VEHIDCODE],0))</f>
        <v>7th Gen Container Doublestack</v>
      </c>
      <c r="G577" s="37" t="str">
        <f>_xlfn.IFNA(INDEX(COUNTRIES[COUNTRY_LABEL],MATCH(PROPERTIES[[#This Row],[COUNTRY]],COUNTRIES[COUNTRY_DESCRIPTION],0)),"")</f>
        <v/>
      </c>
      <c r="H5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INDEX(LOADINGSPEEDDEF[SPEED],MATCH("LOADINGSPEEDDEF_"&amp;PROPERTIES[[#This Row],[LOADINGSPEED]],LOADINGSPEEDDEF[TYPE],0))</f>
        <v>20</v>
      </c>
      <c r="O57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4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7" s="2" t="str">
        <f>SUBSTITUTE(SUBSTITUTE(PROPERTIES[[#This Row],[PURCHASECOST_VALUE]], "PURCHASECOST_", ""), "_VALUE", "")</f>
        <v>WAGON</v>
      </c>
      <c r="AO577" s="41" t="b">
        <v>0</v>
      </c>
      <c r="AP577" s="45" t="b">
        <v>0</v>
      </c>
      <c r="AQ577" s="45" t="b">
        <v>0</v>
      </c>
      <c r="AR577" s="45">
        <v>2</v>
      </c>
      <c r="AS577" s="45" t="b">
        <v>0</v>
      </c>
      <c r="AT577" s="7" t="b">
        <v>0</v>
      </c>
      <c r="AU5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8" spans="1:47" x14ac:dyDescent="0.35">
      <c r="A578" s="2" t="s">
        <v>216</v>
      </c>
      <c r="B578">
        <v>2010</v>
      </c>
      <c r="D5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8" s="37" t="str">
        <f>INDEX(CONTROL[ENGLISH],MATCH(PROPERTIES[[#This Row],[VEHIDCODE]],CONTROL[VEHIDCODE],0))</f>
        <v>7th Gen Flatcar</v>
      </c>
      <c r="G578" s="37" t="str">
        <f>_xlfn.IFNA(INDEX(COUNTRIES[COUNTRY_LABEL],MATCH(PROPERTIES[[#This Row],[COUNTRY]],COUNTRIES[COUNTRY_DESCRIPTION],0)),"")</f>
        <v/>
      </c>
      <c r="H5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INDEX(LOADINGSPEEDDEF[SPEED],MATCH("LOADINGSPEEDDEF_"&amp;PROPERTIES[[#This Row],[LOADINGSPEED]],LOADINGSPEEDDEF[TYPE],0))</f>
        <v>20</v>
      </c>
      <c r="O5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4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8" s="2" t="str">
        <f>SUBSTITUTE(SUBSTITUTE(PROPERTIES[[#This Row],[PURCHASECOST_VALUE]], "PURCHASECOST_", ""), "_VALUE", "")</f>
        <v>WAGON</v>
      </c>
      <c r="AO578" s="41" t="b">
        <v>0</v>
      </c>
      <c r="AP578" s="45" t="b">
        <v>0</v>
      </c>
      <c r="AQ578" s="45" t="b">
        <v>0</v>
      </c>
      <c r="AR578" s="45">
        <v>2</v>
      </c>
      <c r="AS578" s="45" t="b">
        <v>0</v>
      </c>
      <c r="AT578" s="7" t="b">
        <v>0</v>
      </c>
      <c r="AU5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79" spans="1:47" x14ac:dyDescent="0.35">
      <c r="A579" s="2" t="s">
        <v>217</v>
      </c>
      <c r="B579">
        <v>2010</v>
      </c>
      <c r="D5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79" s="37" t="str">
        <f>INDEX(CONTROL[ENGLISH],MATCH(PROPERTIES[[#This Row],[VEHIDCODE]],CONTROL[VEHIDCODE],0))</f>
        <v>7th Gen Gondola</v>
      </c>
      <c r="G579" s="37" t="str">
        <f>_xlfn.IFNA(INDEX(COUNTRIES[COUNTRY_LABEL],MATCH(PROPERTIES[[#This Row],[COUNTRY]],COUNTRIES[COUNTRY_DESCRIPTION],0)),"")</f>
        <v/>
      </c>
      <c r="H5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INDEX(LOADINGSPEEDDEF[SPEED],MATCH("LOADINGSPEEDDEF_"&amp;PROPERTIES[[#This Row],[LOADINGSPEED]],LOADINGSPEEDDEF[TYPE],0))</f>
        <v>20</v>
      </c>
      <c r="O57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4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7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79" s="2" t="str">
        <f>SUBSTITUTE(SUBSTITUTE(PROPERTIES[[#This Row],[PURCHASECOST_VALUE]], "PURCHASECOST_", ""), "_VALUE", "")</f>
        <v>WAGON</v>
      </c>
      <c r="AO579" s="41" t="b">
        <v>0</v>
      </c>
      <c r="AP579" s="45" t="b">
        <v>0</v>
      </c>
      <c r="AQ579" s="45" t="b">
        <v>0</v>
      </c>
      <c r="AR579" s="45">
        <v>2</v>
      </c>
      <c r="AS579" s="45" t="b">
        <v>1</v>
      </c>
      <c r="AT579" s="7" t="b">
        <v>0</v>
      </c>
      <c r="AU5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0" spans="1:47" x14ac:dyDescent="0.35">
      <c r="A580" s="2" t="s">
        <v>218</v>
      </c>
      <c r="B580">
        <v>2020</v>
      </c>
      <c r="D5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0" s="37" t="str">
        <f>INDEX(CONTROL[ENGLISH],MATCH(PROPERTIES[[#This Row],[VEHIDCODE]],CONTROL[VEHIDCODE],0))</f>
        <v>7th Gen Heavy Flatcar</v>
      </c>
      <c r="G580" s="37" t="str">
        <f>_xlfn.IFNA(INDEX(COUNTRIES[COUNTRY_LABEL],MATCH(PROPERTIES[[#This Row],[COUNTRY]],COUNTRIES[COUNTRY_DESCRIPTION],0)),"")</f>
        <v/>
      </c>
      <c r="H5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INDEX(LOADINGSPEEDDEF[SPEED],MATCH("LOADINGSPEEDDEF_"&amp;PROPERTIES[[#This Row],[LOADINGSPEED]],LOADINGSPEEDDEF[TYPE],0))</f>
        <v>20</v>
      </c>
      <c r="O58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4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0" s="2" t="str">
        <f>SUBSTITUTE(SUBSTITUTE(PROPERTIES[[#This Row],[PURCHASECOST_VALUE]], "PURCHASECOST_", ""), "_VALUE", "")</f>
        <v>WAGON</v>
      </c>
      <c r="AO580" s="41" t="b">
        <v>0</v>
      </c>
      <c r="AP580" s="45" t="b">
        <v>0</v>
      </c>
      <c r="AQ580" s="45" t="b">
        <v>0</v>
      </c>
      <c r="AR580" s="45">
        <v>2</v>
      </c>
      <c r="AS580" s="45" t="b">
        <v>0</v>
      </c>
      <c r="AT580" s="7" t="b">
        <v>0</v>
      </c>
      <c r="AU5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1" spans="1:47" x14ac:dyDescent="0.35">
      <c r="A581" s="2" t="s">
        <v>219</v>
      </c>
      <c r="B581">
        <v>2020</v>
      </c>
      <c r="D5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1" s="37" t="str">
        <f>INDEX(CONTROL[ENGLISH],MATCH(PROPERTIES[[#This Row],[VEHIDCODE]],CONTROL[VEHIDCODE],0))</f>
        <v>7th Gen Self-discharging Hopper [Food]</v>
      </c>
      <c r="G581" s="37" t="str">
        <f>_xlfn.IFNA(INDEX(COUNTRIES[COUNTRY_LABEL],MATCH(PROPERTIES[[#This Row],[COUNTRY]],COUNTRIES[COUNTRY_DESCRIPTION],0)),"")</f>
        <v/>
      </c>
      <c r="H5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3659</v>
      </c>
      <c r="J581">
        <v>75</v>
      </c>
      <c r="K581">
        <v>8</v>
      </c>
      <c r="L581">
        <v>0</v>
      </c>
      <c r="M5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INDEX(LOADINGSPEEDDEF[SPEED],MATCH("LOADINGSPEEDDEF_"&amp;PROPERTIES[[#This Row],[LOADINGSPEED]],LOADINGSPEEDDEF[TYPE],0))</f>
        <v>20</v>
      </c>
      <c r="O58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4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1" s="2" t="str">
        <f>SUBSTITUTE(SUBSTITUTE(PROPERTIES[[#This Row],[PURCHASECOST_VALUE]], "PURCHASECOST_", ""), "_VALUE", "")</f>
        <v>WAGON</v>
      </c>
      <c r="AO581" s="41" t="b">
        <v>0</v>
      </c>
      <c r="AP581" s="45" t="b">
        <v>0</v>
      </c>
      <c r="AQ581" s="45" t="b">
        <v>0</v>
      </c>
      <c r="AR581" s="45">
        <v>2</v>
      </c>
      <c r="AS581" s="45" t="b">
        <v>1</v>
      </c>
      <c r="AT581" s="7" t="b">
        <v>0</v>
      </c>
      <c r="AU5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2" spans="1:47" x14ac:dyDescent="0.35">
      <c r="A582" s="2" t="s">
        <v>220</v>
      </c>
      <c r="B582">
        <v>2020</v>
      </c>
      <c r="D5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2" s="37" t="str">
        <f>INDEX(CONTROL[ENGLISH],MATCH(PROPERTIES[[#This Row],[VEHIDCODE]],CONTROL[VEHIDCODE],0))</f>
        <v>7th Gen Self-discharging Hopper [Non-Food]</v>
      </c>
      <c r="G582" s="37" t="str">
        <f>_xlfn.IFNA(INDEX(COUNTRIES[COUNTRY_LABEL],MATCH(PROPERTIES[[#This Row],[COUNTRY]],COUNTRIES[COUNTRY_DESCRIPTION],0)),"")</f>
        <v/>
      </c>
      <c r="H5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3660</v>
      </c>
      <c r="J582">
        <v>75</v>
      </c>
      <c r="K582">
        <v>8</v>
      </c>
      <c r="L582">
        <v>0</v>
      </c>
      <c r="M5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INDEX(LOADINGSPEEDDEF[SPEED],MATCH("LOADINGSPEEDDEF_"&amp;PROPERTIES[[#This Row],[LOADINGSPEED]],LOADINGSPEEDDEF[TYPE],0))</f>
        <v>20</v>
      </c>
      <c r="O58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4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2" s="2" t="str">
        <f>SUBSTITUTE(SUBSTITUTE(PROPERTIES[[#This Row],[PURCHASECOST_VALUE]], "PURCHASECOST_", ""), "_VALUE", "")</f>
        <v>WAGON</v>
      </c>
      <c r="AO582" s="41" t="b">
        <v>0</v>
      </c>
      <c r="AP582" s="45" t="b">
        <v>0</v>
      </c>
      <c r="AQ582" s="45" t="b">
        <v>0</v>
      </c>
      <c r="AR582" s="45">
        <v>2</v>
      </c>
      <c r="AS582" s="45" t="b">
        <v>0</v>
      </c>
      <c r="AT582" s="7" t="b">
        <v>0</v>
      </c>
      <c r="AU5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3" spans="1:47" x14ac:dyDescent="0.35">
      <c r="A583" s="2" t="s">
        <v>221</v>
      </c>
      <c r="B583">
        <v>2020</v>
      </c>
      <c r="D5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3" s="37" t="str">
        <f>INDEX(CONTROL[ENGLISH],MATCH(PROPERTIES[[#This Row],[VEHIDCODE]],CONTROL[VEHIDCODE],0))</f>
        <v>7th Gen Silo [Food]</v>
      </c>
      <c r="G583" s="37" t="str">
        <f>_xlfn.IFNA(INDEX(COUNTRIES[COUNTRY_LABEL],MATCH(PROPERTIES[[#This Row],[COUNTRY]],COUNTRIES[COUNTRY_DESCRIPTION],0)),"")</f>
        <v/>
      </c>
      <c r="H5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3661</v>
      </c>
      <c r="J583">
        <v>75</v>
      </c>
      <c r="K583">
        <v>8</v>
      </c>
      <c r="L583">
        <v>0</v>
      </c>
      <c r="M5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INDEX(LOADINGSPEEDDEF[SPEED],MATCH("LOADINGSPEEDDEF_"&amp;PROPERTIES[[#This Row],[LOADINGSPEED]],LOADINGSPEEDDEF[TYPE],0))</f>
        <v>20</v>
      </c>
      <c r="O58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4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3" s="2" t="str">
        <f>SUBSTITUTE(SUBSTITUTE(PROPERTIES[[#This Row],[PURCHASECOST_VALUE]], "PURCHASECOST_", ""), "_VALUE", "")</f>
        <v>WAGON</v>
      </c>
      <c r="AO583" s="41" t="b">
        <v>0</v>
      </c>
      <c r="AP583" s="45" t="b">
        <v>0</v>
      </c>
      <c r="AQ583" s="45" t="b">
        <v>0</v>
      </c>
      <c r="AR583" s="45">
        <v>2</v>
      </c>
      <c r="AS583" s="45" t="b">
        <v>0</v>
      </c>
      <c r="AT583" s="7" t="b">
        <v>0</v>
      </c>
      <c r="AU5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4" spans="1:47" x14ac:dyDescent="0.35">
      <c r="A584" s="2" t="s">
        <v>222</v>
      </c>
      <c r="B584">
        <v>2020</v>
      </c>
      <c r="D5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4" s="37" t="str">
        <f>INDEX(CONTROL[ENGLISH],MATCH(PROPERTIES[[#This Row],[VEHIDCODE]],CONTROL[VEHIDCODE],0))</f>
        <v>7th Gen Silo [Non-Food]</v>
      </c>
      <c r="G584" s="37" t="str">
        <f>_xlfn.IFNA(INDEX(COUNTRIES[COUNTRY_LABEL],MATCH(PROPERTIES[[#This Row],[COUNTRY]],COUNTRIES[COUNTRY_DESCRIPTION],0)),"")</f>
        <v/>
      </c>
      <c r="H5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3662</v>
      </c>
      <c r="J584">
        <v>75</v>
      </c>
      <c r="K584">
        <v>8</v>
      </c>
      <c r="L584">
        <v>0</v>
      </c>
      <c r="M5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INDEX(LOADINGSPEEDDEF[SPEED],MATCH("LOADINGSPEEDDEF_"&amp;PROPERTIES[[#This Row],[LOADINGSPEED]],LOADINGSPEEDDEF[TYPE],0))</f>
        <v>20</v>
      </c>
      <c r="O5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4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4" s="2" t="str">
        <f>SUBSTITUTE(SUBSTITUTE(PROPERTIES[[#This Row],[PURCHASECOST_VALUE]], "PURCHASECOST_", ""), "_VALUE", "")</f>
        <v>WAGON</v>
      </c>
      <c r="AO584" s="41" t="b">
        <v>0</v>
      </c>
      <c r="AP584" s="45" t="b">
        <v>0</v>
      </c>
      <c r="AQ584" s="45" t="b">
        <v>0</v>
      </c>
      <c r="AR584" s="45">
        <v>2</v>
      </c>
      <c r="AS584" s="45" t="b">
        <v>0</v>
      </c>
      <c r="AT584" s="7" t="b">
        <v>0</v>
      </c>
      <c r="AU5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5" spans="1:47" x14ac:dyDescent="0.35">
      <c r="A585" s="2" t="s">
        <v>223</v>
      </c>
      <c r="B585">
        <v>2010</v>
      </c>
      <c r="D5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5" s="37" t="str">
        <f>INDEX(CONTROL[ENGLISH],MATCH(PROPERTIES[[#This Row],[VEHIDCODE]],CONTROL[VEHIDCODE],0))</f>
        <v>7th Gen Superheavy Flatcar</v>
      </c>
      <c r="G585" s="37" t="str">
        <f>_xlfn.IFNA(INDEX(COUNTRIES[COUNTRY_LABEL],MATCH(PROPERTIES[[#This Row],[COUNTRY]],COUNTRIES[COUNTRY_DESCRIPTION],0)),"")</f>
        <v/>
      </c>
      <c r="H5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INDEX(LOADINGSPEEDDEF[SPEED],MATCH("LOADINGSPEEDDEF_"&amp;PROPERTIES[[#This Row],[LOADINGSPEED]],LOADINGSPEEDDEF[TYPE],0))</f>
        <v>20</v>
      </c>
      <c r="O5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4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5" s="2" t="str">
        <f>SUBSTITUTE(SUBSTITUTE(PROPERTIES[[#This Row],[PURCHASECOST_VALUE]], "PURCHASECOST_", ""), "_VALUE", "")</f>
        <v>WAGON</v>
      </c>
      <c r="AO585" s="41" t="b">
        <v>0</v>
      </c>
      <c r="AP585" s="45" t="b">
        <v>0</v>
      </c>
      <c r="AQ585" s="45" t="b">
        <v>0</v>
      </c>
      <c r="AR585" s="45">
        <v>0</v>
      </c>
      <c r="AS585" s="45" t="b">
        <v>0</v>
      </c>
      <c r="AT585" s="7" t="b">
        <v>0</v>
      </c>
      <c r="AU5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586" spans="1:47" x14ac:dyDescent="0.35">
      <c r="A586" s="2" t="s">
        <v>224</v>
      </c>
      <c r="B586">
        <v>2020</v>
      </c>
      <c r="D5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6" s="37" t="str">
        <f>INDEX(CONTROL[ENGLISH],MATCH(PROPERTIES[[#This Row],[VEHIDCODE]],CONTROL[VEHIDCODE],0))</f>
        <v>7th Gen Tanker</v>
      </c>
      <c r="G586" s="37" t="str">
        <f>_xlfn.IFNA(INDEX(COUNTRIES[COUNTRY_LABEL],MATCH(PROPERTIES[[#This Row],[COUNTRY]],COUNTRIES[COUNTRY_DESCRIPTION],0)),"")</f>
        <v/>
      </c>
      <c r="H5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INDEX(LOADINGSPEEDDEF[SPEED],MATCH("LOADINGSPEEDDEF_"&amp;PROPERTIES[[#This Row],[LOADINGSPEED]],LOADINGSPEEDDEF[TYPE],0))</f>
        <v>20</v>
      </c>
      <c r="O5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4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58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586" s="2" t="str">
        <f>SUBSTITUTE(SUBSTITUTE(PROPERTIES[[#This Row],[PURCHASECOST_VALUE]], "PURCHASECOST_", ""), "_VALUE", "")</f>
        <v>WAGON</v>
      </c>
      <c r="AO586" s="41" t="b">
        <v>0</v>
      </c>
      <c r="AP586" s="45" t="b">
        <v>0</v>
      </c>
      <c r="AQ586" s="45" t="b">
        <v>0</v>
      </c>
      <c r="AR586" s="45">
        <v>2</v>
      </c>
      <c r="AS586" s="45" t="b">
        <v>0</v>
      </c>
      <c r="AT586" s="7" t="b">
        <v>0</v>
      </c>
      <c r="AU5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587" spans="1:47" x14ac:dyDescent="0.35">
      <c r="A587" s="2" t="s">
        <v>3196</v>
      </c>
      <c r="B587">
        <v>1990</v>
      </c>
      <c r="C587">
        <v>2030</v>
      </c>
      <c r="D5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7" s="37" t="str">
        <f>INDEX(CONTROL[ENGLISH],MATCH(PROPERTIES[[#This Row],[VEHIDCODE]],CONTROL[VEHIDCODE],0))</f>
        <v>Niigata Transys Shikoku 1000</v>
      </c>
      <c r="F587" t="s">
        <v>640</v>
      </c>
      <c r="G587" s="37" t="str">
        <f>_xlfn.IFNA(INDEX(COUNTRIES[COUNTRY_LABEL],MATCH(PROPERTIES[[#This Row],[COUNTRY]],COUNTRIES[COUNTRY_DESCRIPTION],0)),"")</f>
        <v>JP</v>
      </c>
      <c r="H5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INDEX(LOADINGSPEEDDEF[SPEED],MATCH("LOADINGSPEEDDEF_"&amp;PROPERTIES[[#This Row],[LOADINGSPEED]],LOADINGSPEEDDEF[TYPE],0))</f>
        <v>60</v>
      </c>
      <c r="O5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4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7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1" t="b">
        <v>0</v>
      </c>
      <c r="AP587" s="45" t="b">
        <v>0</v>
      </c>
      <c r="AQ587" s="45" t="b">
        <v>0</v>
      </c>
      <c r="AR587" s="45">
        <v>0</v>
      </c>
      <c r="AS587" s="45" t="b">
        <v>0</v>
      </c>
      <c r="AT587" s="7" t="b">
        <v>0</v>
      </c>
      <c r="AU5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8" spans="1:47" x14ac:dyDescent="0.35">
      <c r="A588" s="2" t="s">
        <v>3197</v>
      </c>
      <c r="B588">
        <v>2008</v>
      </c>
      <c r="D5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8" s="37" t="str">
        <f>INDEX(CONTROL[ENGLISH],MATCH(PROPERTIES[[#This Row],[VEHIDCODE]],CONTROL[VEHIDCODE],0))</f>
        <v>Niigata Transys KiHa E120</v>
      </c>
      <c r="F588" t="s">
        <v>640</v>
      </c>
      <c r="G588" s="37" t="str">
        <f>_xlfn.IFNA(INDEX(COUNTRIES[COUNTRY_LABEL],MATCH(PROPERTIES[[#This Row],[COUNTRY]],COUNTRIES[COUNTRY_DESCRIPTION],0)),"")</f>
        <v>JP</v>
      </c>
      <c r="H5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INDEX(LOADINGSPEEDDEF[SPEED],MATCH("LOADINGSPEEDDEF_"&amp;PROPERTIES[[#This Row],[LOADINGSPEED]],LOADINGSPEEDDEF[TYPE],0))</f>
        <v>60</v>
      </c>
      <c r="O5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4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1" t="b">
        <v>0</v>
      </c>
      <c r="AP588" s="45" t="b">
        <v>0</v>
      </c>
      <c r="AQ588" s="45" t="b">
        <v>0</v>
      </c>
      <c r="AR588" s="45">
        <v>0</v>
      </c>
      <c r="AS588" s="45" t="b">
        <v>0</v>
      </c>
      <c r="AT588" s="7" t="b">
        <v>0</v>
      </c>
      <c r="AU5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89" spans="1:47" x14ac:dyDescent="0.35">
      <c r="A589" s="2" t="s">
        <v>3198</v>
      </c>
      <c r="B589">
        <v>1961</v>
      </c>
      <c r="D5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89" s="37" t="str">
        <f>INDEX(CONTROL[ENGLISH],MATCH(PROPERTIES[[#This Row],[VEHIDCODE]],CONTROL[VEHIDCODE],0))</f>
        <v>Ferrostaal SB-56</v>
      </c>
      <c r="F589" t="s">
        <v>573</v>
      </c>
      <c r="G589" s="37" t="str">
        <f>_xlfn.IFNA(INDEX(COUNTRIES[COUNTRY_LABEL],MATCH(PROPERTIES[[#This Row],[COUNTRY]],COUNTRIES[COUNTRY_DESCRIPTION],0)),"")</f>
        <v>CL</v>
      </c>
      <c r="H5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INDEX(LOADINGSPEEDDEF[SPEED],MATCH("LOADINGSPEEDDEF_"&amp;PROPERTIES[[#This Row],[LOADINGSPEED]],LOADINGSPEEDDEF[TYPE],0))</f>
        <v>60</v>
      </c>
      <c r="O5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4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8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1" t="b">
        <v>0</v>
      </c>
      <c r="AP589" s="45" t="b">
        <v>0</v>
      </c>
      <c r="AQ589" s="45" t="b">
        <v>0</v>
      </c>
      <c r="AR589" s="45">
        <v>0</v>
      </c>
      <c r="AS589" s="45" t="b">
        <v>0</v>
      </c>
      <c r="AT589" s="7" t="b">
        <v>0</v>
      </c>
      <c r="AU5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0" spans="1:47" x14ac:dyDescent="0.35">
      <c r="A590" s="2" t="s">
        <v>3199</v>
      </c>
      <c r="B590">
        <v>1935</v>
      </c>
      <c r="D5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0" s="37" t="str">
        <f>INDEX(CONTROL[ENGLISH],MATCH(PROPERTIES[[#This Row],[VEHIDCODE]],CONTROL[VEHIDCODE],0))</f>
        <v>Sulzer M Railcar</v>
      </c>
      <c r="F590" t="s">
        <v>538</v>
      </c>
      <c r="G590" s="37" t="str">
        <f>_xlfn.IFNA(INDEX(COUNTRIES[COUNTRY_LABEL],MATCH(PROPERTIES[[#This Row],[COUNTRY]],COUNTRIES[COUNTRY_DESCRIPTION],0)),"")</f>
        <v>AR</v>
      </c>
      <c r="H5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INDEX(LOADINGSPEEDDEF[SPEED],MATCH("LOADINGSPEEDDEF_"&amp;PROPERTIES[[#This Row],[LOADINGSPEED]],LOADINGSPEEDDEF[TYPE],0))</f>
        <v>60</v>
      </c>
      <c r="O5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4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9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1" t="b">
        <v>0</v>
      </c>
      <c r="AP590" s="45" t="b">
        <v>0</v>
      </c>
      <c r="AQ590" s="45" t="b">
        <v>0</v>
      </c>
      <c r="AR590" s="45">
        <v>0</v>
      </c>
      <c r="AS590" s="45" t="b">
        <v>0</v>
      </c>
      <c r="AT590" s="7" t="b">
        <v>0</v>
      </c>
      <c r="AU5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1" spans="1:47" x14ac:dyDescent="0.35">
      <c r="A591" s="2" t="s">
        <v>3200</v>
      </c>
      <c r="B591">
        <v>1937</v>
      </c>
      <c r="C591">
        <v>1970</v>
      </c>
      <c r="D5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1" s="37" t="str">
        <f>INDEX(CONTROL[ENGLISH],MATCH(PROPERTIES[[#This Row],[VEHIDCODE]],CONTROL[VEHIDCODE],0))</f>
        <v>Eritrean Railway A.62-70 'Littorina'</v>
      </c>
      <c r="F591" t="s">
        <v>594</v>
      </c>
      <c r="G591" s="37" t="str">
        <f>_xlfn.IFNA(INDEX(COUNTRIES[COUNTRY_LABEL],MATCH(PROPERTIES[[#This Row],[COUNTRY]],COUNTRIES[COUNTRY_DESCRIPTION],0)),"")</f>
        <v>ER</v>
      </c>
      <c r="H5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INDEX(LOADINGSPEEDDEF[SPEED],MATCH("LOADINGSPEEDDEF_"&amp;PROPERTIES[[#This Row],[LOADINGSPEED]],LOADINGSPEEDDEF[TYPE],0))</f>
        <v>60</v>
      </c>
      <c r="O5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4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591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1" t="b">
        <v>0</v>
      </c>
      <c r="AP591" s="45" t="b">
        <v>0</v>
      </c>
      <c r="AQ591" s="45" t="b">
        <v>0</v>
      </c>
      <c r="AR591" s="45">
        <v>0</v>
      </c>
      <c r="AS591" s="45" t="b">
        <v>0</v>
      </c>
      <c r="AT591" s="7" t="b">
        <v>0</v>
      </c>
      <c r="AU5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2" spans="1:47" x14ac:dyDescent="0.35">
      <c r="A592" s="2" t="s">
        <v>3201</v>
      </c>
      <c r="B592">
        <v>1911</v>
      </c>
      <c r="C592">
        <v>1980</v>
      </c>
      <c r="D5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2" s="37" t="str">
        <f>INDEX(CONTROL[ENGLISH],MATCH(PROPERTIES[[#This Row],[VEHIDCODE]],CONTROL[VEHIDCODE],0))</f>
        <v>SLM CFe 3/3</v>
      </c>
      <c r="F592" t="s">
        <v>570</v>
      </c>
      <c r="G592" s="37" t="str">
        <f>_xlfn.IFNA(INDEX(COUNTRIES[COUNTRY_LABEL],MATCH(PROPERTIES[[#This Row],[COUNTRY]],COUNTRIES[COUNTRY_DESCRIPTION],0)),"")</f>
        <v>CH</v>
      </c>
      <c r="H5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INDEX(LOADINGSPEEDDEF[SPEED],MATCH("LOADINGSPEEDDEF_"&amp;PROPERTIES[[#This Row],[LOADINGSPEED]],LOADINGSPEEDDEF[TYPE],0))</f>
        <v>60</v>
      </c>
      <c r="O5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4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2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1" t="b">
        <v>0</v>
      </c>
      <c r="AP592" s="45" t="b">
        <v>0</v>
      </c>
      <c r="AQ592" s="45" t="b">
        <v>0</v>
      </c>
      <c r="AR592" s="45">
        <v>0</v>
      </c>
      <c r="AS592" s="45" t="b">
        <v>0</v>
      </c>
      <c r="AT592" s="7" t="b">
        <v>0</v>
      </c>
      <c r="AU5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3" spans="1:47" x14ac:dyDescent="0.35">
      <c r="A593" s="2" t="s">
        <v>3202</v>
      </c>
      <c r="B593">
        <v>1907</v>
      </c>
      <c r="D5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3" s="37" t="str">
        <f>INDEX(CONTROL[ENGLISH],MATCH(PROPERTIES[[#This Row],[VEHIDCODE]],CONTROL[VEHIDCODE],0))</f>
        <v>TPC BVB Be 2/2</v>
      </c>
      <c r="F593" t="s">
        <v>570</v>
      </c>
      <c r="G593" s="37" t="str">
        <f>_xlfn.IFNA(INDEX(COUNTRIES[COUNTRY_LABEL],MATCH(PROPERTIES[[#This Row],[COUNTRY]],COUNTRIES[COUNTRY_DESCRIPTION],0)),"")</f>
        <v>CH</v>
      </c>
      <c r="H5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INDEX(LOADINGSPEEDDEF[SPEED],MATCH("LOADINGSPEEDDEF_"&amp;PROPERTIES[[#This Row],[LOADINGSPEED]],LOADINGSPEEDDEF[TYPE],0))</f>
        <v>60</v>
      </c>
      <c r="O5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4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3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1" t="b">
        <v>0</v>
      </c>
      <c r="AP593" s="45" t="b">
        <v>0</v>
      </c>
      <c r="AQ593" s="45" t="b">
        <v>0</v>
      </c>
      <c r="AR593" s="45">
        <v>0</v>
      </c>
      <c r="AS593" s="45" t="b">
        <v>0</v>
      </c>
      <c r="AT593" s="7" t="b">
        <v>0</v>
      </c>
      <c r="AU5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4" spans="1:47" x14ac:dyDescent="0.35">
      <c r="A594" s="2" t="s">
        <v>3203</v>
      </c>
      <c r="B594">
        <v>1998</v>
      </c>
      <c r="D5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4" s="37" t="str">
        <f>INDEX(CONTROL[ENGLISH],MATCH(PROPERTIES[[#This Row],[VEHIDCODE]],CONTROL[VEHIDCODE],0))</f>
        <v>MVR Beh 2/4</v>
      </c>
      <c r="F594" t="s">
        <v>570</v>
      </c>
      <c r="G594" s="37" t="str">
        <f>_xlfn.IFNA(INDEX(COUNTRIES[COUNTRY_LABEL],MATCH(PROPERTIES[[#This Row],[COUNTRY]],COUNTRIES[COUNTRY_DESCRIPTION],0)),"")</f>
        <v>CH</v>
      </c>
      <c r="H5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INDEX(LOADINGSPEEDDEF[SPEED],MATCH("LOADINGSPEEDDEF_"&amp;PROPERTIES[[#This Row],[LOADINGSPEED]],LOADINGSPEEDDEF[TYPE],0))</f>
        <v>60</v>
      </c>
      <c r="O5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4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4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1" t="b">
        <v>0</v>
      </c>
      <c r="AP594" s="45" t="b">
        <v>0</v>
      </c>
      <c r="AQ594" s="45" t="b">
        <v>0</v>
      </c>
      <c r="AR594" s="45">
        <v>0</v>
      </c>
      <c r="AS594" s="45" t="b">
        <v>0</v>
      </c>
      <c r="AT594" s="7" t="b">
        <v>0</v>
      </c>
      <c r="AU5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5" spans="1:47" x14ac:dyDescent="0.35">
      <c r="A595" s="2" t="s">
        <v>3204</v>
      </c>
      <c r="B595">
        <v>1929</v>
      </c>
      <c r="D5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5" s="37" t="str">
        <f>INDEX(CONTROL[ENGLISH],MATCH(PROPERTIES[[#This Row],[VEHIDCODE]],CONTROL[VEHIDCODE],0))</f>
        <v>Ferrocarril de Soller 1-3</v>
      </c>
      <c r="F595" t="s">
        <v>595</v>
      </c>
      <c r="G595" s="37" t="str">
        <f>_xlfn.IFNA(INDEX(COUNTRIES[COUNTRY_LABEL],MATCH(PROPERTIES[[#This Row],[COUNTRY]],COUNTRIES[COUNTRY_DESCRIPTION],0)),"")</f>
        <v>ES</v>
      </c>
      <c r="H5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INDEX(LOADINGSPEEDDEF[SPEED],MATCH("LOADINGSPEEDDEF_"&amp;PROPERTIES[[#This Row],[LOADINGSPEED]],LOADINGSPEEDDEF[TYPE],0))</f>
        <v>60</v>
      </c>
      <c r="O5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4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5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1" t="b">
        <v>0</v>
      </c>
      <c r="AP595" s="45" t="b">
        <v>0</v>
      </c>
      <c r="AQ595" s="45" t="b">
        <v>0</v>
      </c>
      <c r="AR595" s="45">
        <v>0</v>
      </c>
      <c r="AS595" s="45" t="b">
        <v>0</v>
      </c>
      <c r="AT595" s="7" t="b">
        <v>0</v>
      </c>
      <c r="AU5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6" spans="1:47" x14ac:dyDescent="0.35">
      <c r="A596" s="2" t="s">
        <v>3205</v>
      </c>
      <c r="B596">
        <v>1960</v>
      </c>
      <c r="C596">
        <v>1994</v>
      </c>
      <c r="D5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6" s="37" t="str">
        <f>INDEX(CONTROL[ENGLISH],MATCH(PROPERTIES[[#This Row],[VEHIDCODE]],CONTROL[VEHIDCODE],0))</f>
        <v>Hitachi Choshi DeHa 1000</v>
      </c>
      <c r="F596" t="s">
        <v>640</v>
      </c>
      <c r="G596" s="37" t="str">
        <f>_xlfn.IFNA(INDEX(COUNTRIES[COUNTRY_LABEL],MATCH(PROPERTIES[[#This Row],[COUNTRY]],COUNTRIES[COUNTRY_DESCRIPTION],0)),"")</f>
        <v>JP</v>
      </c>
      <c r="H5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INDEX(LOADINGSPEEDDEF[SPEED],MATCH("LOADINGSPEEDDEF_"&amp;PROPERTIES[[#This Row],[LOADINGSPEED]],LOADINGSPEEDDEF[TYPE],0))</f>
        <v>60</v>
      </c>
      <c r="O5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4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"PURCHASECOST_"&amp;INDEX(VEHICLE_ID_RANGES[COST_VALUE_TYPE],MATCH(INDEX(CONTROL[VEHID_ID_CATEGORY],MATCH(PROPERTIES[[#This Row],[VEHIDCODE]],CONTROL[VEHIDCODE],0)),VEHICLE_ID_RANGES[ID Type],0))&amp;"_VALUE"</f>
        <v>PURCHASECOST_ELECTRICRAILBUS_VALUE</v>
      </c>
      <c r="AM596" t="str">
        <f>"RUNNINGCOST_"&amp;INDEX(VEHICLE_ID_RANGES[COST_VALUE_TYPE],MATCH(INDEX(CONTROL[VEHID_ID_CATEGORY],MATCH(PROPERTIES[[#This Row],[VEHIDCODE]],CONTROL[VEHIDCODE],0)),VEHICLE_ID_RANGES[ID Type],0))&amp;"_VALUE"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1" t="b">
        <v>0</v>
      </c>
      <c r="AP596" s="45" t="b">
        <v>0</v>
      </c>
      <c r="AQ596" s="45" t="b">
        <v>0</v>
      </c>
      <c r="AR596" s="45">
        <v>0</v>
      </c>
      <c r="AS596" s="45" t="b">
        <v>0</v>
      </c>
      <c r="AT596" s="7" t="b">
        <v>0</v>
      </c>
      <c r="AU5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597" spans="1:47" x14ac:dyDescent="0.35">
      <c r="A597" s="2" t="s">
        <v>3206</v>
      </c>
      <c r="B597">
        <v>1889</v>
      </c>
      <c r="C597">
        <v>1925</v>
      </c>
      <c r="D5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7" s="37" t="str">
        <f>INDEX(CONTROL[ENGLISH],MATCH(PROPERTIES[[#This Row],[VEHIDCODE]],CONTROL[VEHIDCODE],0))</f>
        <v>SLM G 3/4</v>
      </c>
      <c r="F597" t="s">
        <v>570</v>
      </c>
      <c r="G597" s="37" t="str">
        <f>_xlfn.IFNA(INDEX(COUNTRIES[COUNTRY_LABEL],MATCH(PROPERTIES[[#This Row],[COUNTRY]],COUNTRIES[COUNTRY_DESCRIPTION],0)),"")</f>
        <v>CH</v>
      </c>
      <c r="H5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INDEX(LOADINGSPEEDDEF[SPEED],MATCH("LOADINGSPEEDDEF_"&amp;PROPERTIES[[#This Row],[LOADINGSPEED]],LOADINGSPEEDDEF[TYPE],0))</f>
        <v>20</v>
      </c>
      <c r="O5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4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1" t="b">
        <v>0</v>
      </c>
      <c r="AP597" s="45" t="b">
        <v>0</v>
      </c>
      <c r="AQ597" s="45" t="b">
        <v>0</v>
      </c>
      <c r="AR597" s="45">
        <v>0</v>
      </c>
      <c r="AS597" s="45" t="b">
        <v>0</v>
      </c>
      <c r="AT597" s="7" t="b">
        <v>0</v>
      </c>
      <c r="AU5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598" spans="1:47" x14ac:dyDescent="0.35">
      <c r="A598" s="2" t="s">
        <v>3207</v>
      </c>
      <c r="B598">
        <v>1948</v>
      </c>
      <c r="C598">
        <v>1962</v>
      </c>
      <c r="D5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8" s="37" t="str">
        <f>INDEX(CONTROL[ENGLISH],MATCH(PROPERTIES[[#This Row],[VEHIDCODE]],CONTROL[VEHIDCODE],0))</f>
        <v>Kisha Seizo 2-10-4T E10</v>
      </c>
      <c r="F598" t="s">
        <v>640</v>
      </c>
      <c r="G598" s="37" t="str">
        <f>_xlfn.IFNA(INDEX(COUNTRIES[COUNTRY_LABEL],MATCH(PROPERTIES[[#This Row],[COUNTRY]],COUNTRIES[COUNTRY_DESCRIPTION],0)),"")</f>
        <v>JP</v>
      </c>
      <c r="H5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INDEX(LOADINGSPEEDDEF[SPEED],MATCH("LOADINGSPEEDDEF_"&amp;PROPERTIES[[#This Row],[LOADINGSPEED]],LOADINGSPEEDDEF[TYPE],0))</f>
        <v>20</v>
      </c>
      <c r="O5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4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1" t="b">
        <v>0</v>
      </c>
      <c r="AP598" s="45" t="b">
        <v>0</v>
      </c>
      <c r="AQ598" s="45" t="b">
        <v>0</v>
      </c>
      <c r="AR598" s="45">
        <v>0</v>
      </c>
      <c r="AS598" s="45" t="b">
        <v>0</v>
      </c>
      <c r="AT598" s="7" t="b">
        <v>0</v>
      </c>
      <c r="AU5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599" spans="1:47" x14ac:dyDescent="0.35">
      <c r="A599" s="2" t="s">
        <v>3208</v>
      </c>
      <c r="B599">
        <v>1880</v>
      </c>
      <c r="C599">
        <v>1917</v>
      </c>
      <c r="D5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599" s="37" t="str">
        <f>INDEX(CONTROL[ENGLISH],MATCH(PROPERTIES[[#This Row],[VEHIDCODE]],CONTROL[VEHIDCODE],0))</f>
        <v>H. K. Porter, Inc 2-6-0 7100</v>
      </c>
      <c r="F599" t="s">
        <v>640</v>
      </c>
      <c r="G599" s="37" t="str">
        <f>_xlfn.IFNA(INDEX(COUNTRIES[COUNTRY_LABEL],MATCH(PROPERTIES[[#This Row],[COUNTRY]],COUNTRIES[COUNTRY_DESCRIPTION],0)),"")</f>
        <v>JP</v>
      </c>
      <c r="H5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INDEX(LOADINGSPEEDDEF[SPEED],MATCH("LOADINGSPEEDDEF_"&amp;PROPERTIES[[#This Row],[LOADINGSPEED]],LOADINGSPEEDDEF[TYPE],0))</f>
        <v>20</v>
      </c>
      <c r="O5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4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59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1" t="b">
        <v>0</v>
      </c>
      <c r="AP599" s="45" t="b">
        <v>0</v>
      </c>
      <c r="AQ599" s="45" t="b">
        <v>0</v>
      </c>
      <c r="AR599" s="45">
        <v>0</v>
      </c>
      <c r="AS599" s="45" t="b">
        <v>0</v>
      </c>
      <c r="AT599" s="7" t="b">
        <v>0</v>
      </c>
      <c r="AU5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0" spans="1:47" x14ac:dyDescent="0.35">
      <c r="A600" s="2" t="s">
        <v>3209</v>
      </c>
      <c r="B600">
        <v>1893</v>
      </c>
      <c r="C600">
        <v>1929</v>
      </c>
      <c r="D6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0" s="37" t="str">
        <f>INDEX(CONTROL[ENGLISH],MATCH(PROPERTIES[[#This Row],[VEHIDCODE]],CONTROL[VEHIDCODE],0))</f>
        <v>Richard Francis Trevithick 2-4-2T 860</v>
      </c>
      <c r="F600" t="s">
        <v>640</v>
      </c>
      <c r="G600" s="37" t="str">
        <f>_xlfn.IFNA(INDEX(COUNTRIES[COUNTRY_LABEL],MATCH(PROPERTIES[[#This Row],[COUNTRY]],COUNTRIES[COUNTRY_DESCRIPTION],0)),"")</f>
        <v>JP</v>
      </c>
      <c r="H6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INDEX(LOADINGSPEEDDEF[SPEED],MATCH("LOADINGSPEEDDEF_"&amp;PROPERTIES[[#This Row],[LOADINGSPEED]],LOADINGSPEEDDEF[TYPE],0))</f>
        <v>20</v>
      </c>
      <c r="O6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4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1" t="b">
        <v>0</v>
      </c>
      <c r="AP600" s="45" t="b">
        <v>0</v>
      </c>
      <c r="AQ600" s="45" t="b">
        <v>0</v>
      </c>
      <c r="AR600" s="45">
        <v>0</v>
      </c>
      <c r="AS600" s="45" t="b">
        <v>0</v>
      </c>
      <c r="AT600" s="7" t="b">
        <v>0</v>
      </c>
      <c r="AU6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01" spans="1:47" x14ac:dyDescent="0.35">
      <c r="A601" s="2" t="s">
        <v>3210</v>
      </c>
      <c r="B601">
        <v>1913</v>
      </c>
      <c r="C601">
        <v>1976</v>
      </c>
      <c r="D6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1" s="37" t="str">
        <f>INDEX(CONTROL[ENGLISH],MATCH(PROPERTIES[[#This Row],[VEHIDCODE]],CONTROL[VEHIDCODE],0))</f>
        <v>Kawasaki 2-8-0 9600</v>
      </c>
      <c r="F601" t="s">
        <v>640</v>
      </c>
      <c r="G601" s="37" t="str">
        <f>_xlfn.IFNA(INDEX(COUNTRIES[COUNTRY_LABEL],MATCH(PROPERTIES[[#This Row],[COUNTRY]],COUNTRIES[COUNTRY_DESCRIPTION],0)),"")</f>
        <v>JP</v>
      </c>
      <c r="H6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INDEX(LOADINGSPEEDDEF[SPEED],MATCH("LOADINGSPEEDDEF_"&amp;PROPERTIES[[#This Row],[LOADINGSPEED]],LOADINGSPEEDDEF[TYPE],0))</f>
        <v>20</v>
      </c>
      <c r="O6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4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1" t="b">
        <v>0</v>
      </c>
      <c r="AP601" s="45" t="b">
        <v>0</v>
      </c>
      <c r="AQ601" s="45" t="b">
        <v>0</v>
      </c>
      <c r="AR601" s="45">
        <v>0</v>
      </c>
      <c r="AS601" s="45" t="b">
        <v>0</v>
      </c>
      <c r="AT601" s="7" t="b">
        <v>0</v>
      </c>
      <c r="AU6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2" spans="1:47" x14ac:dyDescent="0.35">
      <c r="A602" s="2" t="s">
        <v>3211</v>
      </c>
      <c r="B602">
        <v>1923</v>
      </c>
      <c r="C602">
        <v>1965</v>
      </c>
      <c r="D6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2" s="37" t="str">
        <f>INDEX(CONTROL[ENGLISH],MATCH(PROPERTIES[[#This Row],[VEHIDCODE]],CONTROL[VEHIDCODE],0))</f>
        <v>Kawasaki 2-8-2 D50</v>
      </c>
      <c r="F602" t="s">
        <v>640</v>
      </c>
      <c r="G602" s="37" t="str">
        <f>_xlfn.IFNA(INDEX(COUNTRIES[COUNTRY_LABEL],MATCH(PROPERTIES[[#This Row],[COUNTRY]],COUNTRIES[COUNTRY_DESCRIPTION],0)),"")</f>
        <v>JP</v>
      </c>
      <c r="H6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INDEX(LOADINGSPEEDDEF[SPEED],MATCH("LOADINGSPEEDDEF_"&amp;PROPERTIES[[#This Row],[LOADINGSPEED]],LOADINGSPEEDDEF[TYPE],0))</f>
        <v>20</v>
      </c>
      <c r="O6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4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60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1" t="b">
        <v>0</v>
      </c>
      <c r="AP602" s="45" t="b">
        <v>0</v>
      </c>
      <c r="AQ602" s="45" t="b">
        <v>0</v>
      </c>
      <c r="AR602" s="45">
        <v>0</v>
      </c>
      <c r="AS602" s="45" t="b">
        <v>0</v>
      </c>
      <c r="AT602" s="7" t="b">
        <v>0</v>
      </c>
      <c r="AU6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603" spans="1:47" x14ac:dyDescent="0.35">
      <c r="A603" s="2" t="s">
        <v>3212</v>
      </c>
      <c r="B603">
        <v>1957</v>
      </c>
      <c r="C603">
        <v>1983</v>
      </c>
      <c r="D6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3" s="37" t="str">
        <f>INDEX(CONTROL[ENGLISH],MATCH(PROPERTIES[[#This Row],[VEHIDCODE]],CONTROL[VEHIDCODE],0))</f>
        <v>Kisha/Mitsubishi/NS DF50</v>
      </c>
      <c r="F603" t="s">
        <v>640</v>
      </c>
      <c r="G603" s="37" t="str">
        <f>_xlfn.IFNA(INDEX(COUNTRIES[COUNTRY_LABEL],MATCH(PROPERTIES[[#This Row],[COUNTRY]],COUNTRIES[COUNTRY_DESCRIPTION],0)),"")</f>
        <v>JP</v>
      </c>
      <c r="H6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INDEX(LOADINGSPEEDDEF[SPEED],MATCH("LOADINGSPEEDDEF_"&amp;PROPERTIES[[#This Row],[LOADINGSPEED]],LOADINGSPEEDDEF[TYPE],0))</f>
        <v>20</v>
      </c>
      <c r="O60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4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60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1" t="b">
        <v>0</v>
      </c>
      <c r="AP603" s="45" t="b">
        <v>0</v>
      </c>
      <c r="AQ603" s="45" t="b">
        <v>0</v>
      </c>
      <c r="AR603" s="45">
        <v>0</v>
      </c>
      <c r="AS603" s="45" t="b">
        <v>0</v>
      </c>
      <c r="AT603" s="7" t="b">
        <v>0</v>
      </c>
      <c r="AU6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4" spans="1:47" x14ac:dyDescent="0.35">
      <c r="A604" s="2" t="s">
        <v>3213</v>
      </c>
      <c r="B604">
        <v>1909</v>
      </c>
      <c r="C604">
        <v>2023</v>
      </c>
      <c r="D6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4" s="37" t="str">
        <f>INDEX(CONTROL[ENGLISH],MATCH(PROPERTIES[[#This Row],[VEHIDCODE]],CONTROL[VEHIDCODE],0))</f>
        <v>SIG Alioth De 2/2</v>
      </c>
      <c r="F604" t="s">
        <v>570</v>
      </c>
      <c r="G604" s="37" t="str">
        <f>_xlfn.IFNA(INDEX(COUNTRIES[COUNTRY_LABEL],MATCH(PROPERTIES[[#This Row],[COUNTRY]],COUNTRIES[COUNTRY_DESCRIPTION],0)),"")</f>
        <v>CH</v>
      </c>
      <c r="H6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INDEX(LOADINGSPEEDDEF[SPEED],MATCH("LOADINGSPEEDDEF_"&amp;PROPERTIES[[#This Row],[LOADINGSPEED]],LOADINGSPEEDDEF[TYPE],0))</f>
        <v>20</v>
      </c>
      <c r="O6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4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1" t="b">
        <v>0</v>
      </c>
      <c r="AP604" s="45" t="b">
        <v>0</v>
      </c>
      <c r="AQ604" s="45" t="b">
        <v>0</v>
      </c>
      <c r="AR604" s="45">
        <v>0</v>
      </c>
      <c r="AS604" s="45" t="b">
        <v>0</v>
      </c>
      <c r="AT604" s="7" t="b">
        <v>0</v>
      </c>
      <c r="AU6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5" spans="1:47" x14ac:dyDescent="0.35">
      <c r="A605" s="2" t="s">
        <v>3214</v>
      </c>
      <c r="B605">
        <v>1954</v>
      </c>
      <c r="C605">
        <v>1982</v>
      </c>
      <c r="D6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5" s="37" t="str">
        <f>INDEX(CONTROL[ENGLISH],MATCH(PROPERTIES[[#This Row],[VEHIDCODE]],CONTROL[VEHIDCODE],0))</f>
        <v>Toshiba EH10</v>
      </c>
      <c r="F605" t="s">
        <v>640</v>
      </c>
      <c r="G605" s="37" t="str">
        <f>_xlfn.IFNA(INDEX(COUNTRIES[COUNTRY_LABEL],MATCH(PROPERTIES[[#This Row],[COUNTRY]],COUNTRIES[COUNTRY_DESCRIPTION],0)),"")</f>
        <v>JP</v>
      </c>
      <c r="H6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INDEX(LOADINGSPEEDDEF[SPEED],MATCH("LOADINGSPEEDDEF_"&amp;PROPERTIES[[#This Row],[LOADINGSPEED]],LOADINGSPEEDDEF[TYPE],0))</f>
        <v>20</v>
      </c>
      <c r="O6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4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1" t="b">
        <v>0</v>
      </c>
      <c r="AP605" s="45" t="b">
        <v>0</v>
      </c>
      <c r="AQ605" s="45" t="b">
        <v>0</v>
      </c>
      <c r="AR605" s="45">
        <v>0</v>
      </c>
      <c r="AS605" s="45" t="b">
        <v>0</v>
      </c>
      <c r="AT605" s="7" t="b">
        <v>0</v>
      </c>
      <c r="AU6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06" spans="1:47" x14ac:dyDescent="0.35">
      <c r="A606" s="2" t="s">
        <v>3215</v>
      </c>
      <c r="B606">
        <v>1964</v>
      </c>
      <c r="C606">
        <v>2030</v>
      </c>
      <c r="D6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6" s="37" t="str">
        <f>INDEX(CONTROL[ENGLISH],MATCH(PROPERTIES[[#This Row],[VEHIDCODE]],CONTROL[VEHIDCODE],0))</f>
        <v>Kawasaki/Toshiba EF64</v>
      </c>
      <c r="F606" t="s">
        <v>640</v>
      </c>
      <c r="G606" s="37" t="str">
        <f>_xlfn.IFNA(INDEX(COUNTRIES[COUNTRY_LABEL],MATCH(PROPERTIES[[#This Row],[COUNTRY]],COUNTRIES[COUNTRY_DESCRIPTION],0)),"")</f>
        <v>JP</v>
      </c>
      <c r="H6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INDEX(LOADINGSPEEDDEF[SPEED],MATCH("LOADINGSPEEDDEF_"&amp;PROPERTIES[[#This Row],[LOADINGSPEED]],LOADINGSPEEDDEF[TYPE],0))</f>
        <v>20</v>
      </c>
      <c r="O6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4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1" t="b">
        <v>0</v>
      </c>
      <c r="AP606" s="45" t="b">
        <v>0</v>
      </c>
      <c r="AQ606" s="45" t="b">
        <v>0</v>
      </c>
      <c r="AR606" s="45">
        <v>0</v>
      </c>
      <c r="AS606" s="45" t="b">
        <v>0</v>
      </c>
      <c r="AT606" s="7" t="b">
        <v>0</v>
      </c>
      <c r="AU6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7" spans="1:47" x14ac:dyDescent="0.35">
      <c r="A607" s="2" t="s">
        <v>3216</v>
      </c>
      <c r="B607">
        <v>1923</v>
      </c>
      <c r="C607">
        <v>1969</v>
      </c>
      <c r="D6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7" s="37" t="str">
        <f>INDEX(CONTROL[ENGLISH],MATCH(PROPERTIES[[#This Row],[VEHIDCODE]],CONTROL[VEHIDCODE],0))</f>
        <v>EEC EO Class</v>
      </c>
      <c r="F607" t="s">
        <v>697</v>
      </c>
      <c r="G607" s="37" t="str">
        <f>_xlfn.IFNA(INDEX(COUNTRIES[COUNTRY_LABEL],MATCH(PROPERTIES[[#This Row],[COUNTRY]],COUNTRIES[COUNTRY_DESCRIPTION],0)),"")</f>
        <v>NZ</v>
      </c>
      <c r="H6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INDEX(LOADINGSPEEDDEF[SPEED],MATCH("LOADINGSPEEDDEF_"&amp;PROPERTIES[[#This Row],[LOADINGSPEED]],LOADINGSPEEDDEF[TYPE],0))</f>
        <v>20</v>
      </c>
      <c r="O6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4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1" t="b">
        <v>0</v>
      </c>
      <c r="AP607" s="45" t="b">
        <v>0</v>
      </c>
      <c r="AQ607" s="45" t="b">
        <v>0</v>
      </c>
      <c r="AR607" s="45">
        <v>0</v>
      </c>
      <c r="AS607" s="45" t="b">
        <v>0</v>
      </c>
      <c r="AT607" s="7" t="b">
        <v>0</v>
      </c>
      <c r="AU6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8" spans="1:47" x14ac:dyDescent="0.35">
      <c r="A608" s="2" t="s">
        <v>3217</v>
      </c>
      <c r="B608">
        <v>1952</v>
      </c>
      <c r="C608">
        <v>1961</v>
      </c>
      <c r="D6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8" s="37" t="str">
        <f>INDEX(CONTROL[ENGLISH],MATCH(PROPERTIES[[#This Row],[VEHIDCODE]],CONTROL[VEHIDCODE],0))</f>
        <v>Tulloch 0-6-0DM 'W' Class DNU WRONG</v>
      </c>
      <c r="F608" t="s">
        <v>541</v>
      </c>
      <c r="G608" s="37" t="str">
        <f>_xlfn.IFNA(INDEX(COUNTRIES[COUNTRY_LABEL],MATCH(PROPERTIES[[#This Row],[COUNTRY]],COUNTRIES[COUNTRY_DESCRIPTION],0)),"")</f>
        <v>AU</v>
      </c>
      <c r="H6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INDEX(LOADINGSPEEDDEF[SPEED],MATCH("LOADINGSPEEDDEF_"&amp;PROPERTIES[[#This Row],[LOADINGSPEED]],LOADINGSPEEDDEF[TYPE],0))</f>
        <v>20</v>
      </c>
      <c r="O6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4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1" t="b">
        <v>0</v>
      </c>
      <c r="AP608" s="45" t="b">
        <v>0</v>
      </c>
      <c r="AQ608" s="45" t="b">
        <v>1</v>
      </c>
      <c r="AR608" s="45">
        <v>0</v>
      </c>
      <c r="AS608" s="45" t="b">
        <v>0</v>
      </c>
      <c r="AT608" s="7" t="b">
        <v>1</v>
      </c>
      <c r="AU6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09" spans="1:47" x14ac:dyDescent="0.35">
      <c r="A609" s="2" t="s">
        <v>3218</v>
      </c>
      <c r="B609">
        <v>1952</v>
      </c>
      <c r="C609">
        <v>1989</v>
      </c>
      <c r="D6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09" s="37" t="str">
        <f>INDEX(CONTROL[ENGLISH],MATCH(PROPERTIES[[#This Row],[VEHIDCODE]],CONTROL[VEHIDCODE],0))</f>
        <v xml:space="preserve">GEC/NBLC SAR 4E </v>
      </c>
      <c r="F609" t="s">
        <v>771</v>
      </c>
      <c r="G609" s="37" t="str">
        <f>_xlfn.IFNA(INDEX(COUNTRIES[COUNTRY_LABEL],MATCH(PROPERTIES[[#This Row],[COUNTRY]],COUNTRIES[COUNTRY_DESCRIPTION],0)),"")</f>
        <v>ZA</v>
      </c>
      <c r="H6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INDEX(LOADINGSPEEDDEF[SPEED],MATCH("LOADINGSPEEDDEF_"&amp;PROPERTIES[[#This Row],[LOADINGSPEED]],LOADINGSPEEDDEF[TYPE],0))</f>
        <v>20</v>
      </c>
      <c r="O6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4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0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1" t="b">
        <v>0</v>
      </c>
      <c r="AP609" s="45" t="b">
        <v>0</v>
      </c>
      <c r="AQ609" s="45" t="b">
        <v>0</v>
      </c>
      <c r="AR609" s="45">
        <v>0</v>
      </c>
      <c r="AS609" s="45" t="b">
        <v>0</v>
      </c>
      <c r="AT609" s="7" t="b">
        <v>0</v>
      </c>
      <c r="AU6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0" spans="1:47" x14ac:dyDescent="0.35">
      <c r="A610" s="2" t="s">
        <v>3219</v>
      </c>
      <c r="B610">
        <v>1965</v>
      </c>
      <c r="C610">
        <v>2000</v>
      </c>
      <c r="D6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0" s="37" t="str">
        <f>INDEX(CONTROL[ENGLISH],MATCH(PROPERTIES[[#This Row],[VEHIDCODE]],CONTROL[VEHIDCODE],0))</f>
        <v>Metrowick MV 5E1</v>
      </c>
      <c r="F610" t="s">
        <v>771</v>
      </c>
      <c r="G610" s="37" t="str">
        <f>_xlfn.IFNA(INDEX(COUNTRIES[COUNTRY_LABEL],MATCH(PROPERTIES[[#This Row],[COUNTRY]],COUNTRIES[COUNTRY_DESCRIPTION],0)),"")</f>
        <v>ZA</v>
      </c>
      <c r="H6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INDEX(LOADINGSPEEDDEF[SPEED],MATCH("LOADINGSPEEDDEF_"&amp;PROPERTIES[[#This Row],[LOADINGSPEED]],LOADINGSPEEDDEF[TYPE],0))</f>
        <v>20</v>
      </c>
      <c r="O6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4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1" t="b">
        <v>0</v>
      </c>
      <c r="AP610" s="45" t="b">
        <v>0</v>
      </c>
      <c r="AQ610" s="45" t="b">
        <v>0</v>
      </c>
      <c r="AR610" s="45">
        <v>0</v>
      </c>
      <c r="AS610" s="45" t="b">
        <v>0</v>
      </c>
      <c r="AT610" s="7" t="b">
        <v>0</v>
      </c>
      <c r="AU6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1" spans="1:47" x14ac:dyDescent="0.35">
      <c r="A611" s="2" t="s">
        <v>3220</v>
      </c>
      <c r="B611">
        <v>1970</v>
      </c>
      <c r="C611">
        <v>2010</v>
      </c>
      <c r="D6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1" s="37" t="str">
        <f>INDEX(CONTROL[ENGLISH],MATCH(PROPERTIES[[#This Row],[VEHIDCODE]],CONTROL[VEHIDCODE],0))</f>
        <v>UCW 6E</v>
      </c>
      <c r="F611" t="s">
        <v>771</v>
      </c>
      <c r="G611" s="37" t="str">
        <f>_xlfn.IFNA(INDEX(COUNTRIES[COUNTRY_LABEL],MATCH(PROPERTIES[[#This Row],[COUNTRY]],COUNTRIES[COUNTRY_DESCRIPTION],0)),"")</f>
        <v>ZA</v>
      </c>
      <c r="H6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INDEX(LOADINGSPEEDDEF[SPEED],MATCH("LOADINGSPEEDDEF_"&amp;PROPERTIES[[#This Row],[LOADINGSPEED]],LOADINGSPEEDDEF[TYPE],0))</f>
        <v>20</v>
      </c>
      <c r="O6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4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1" t="b">
        <v>0</v>
      </c>
      <c r="AP611" s="45" t="b">
        <v>0</v>
      </c>
      <c r="AQ611" s="45" t="b">
        <v>0</v>
      </c>
      <c r="AR611" s="45">
        <v>0</v>
      </c>
      <c r="AS611" s="45" t="b">
        <v>0</v>
      </c>
      <c r="AT611" s="7" t="b">
        <v>0</v>
      </c>
      <c r="AU6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2" spans="1:47" x14ac:dyDescent="0.35">
      <c r="A612" s="2" t="s">
        <v>3221</v>
      </c>
      <c r="B612">
        <v>1947</v>
      </c>
      <c r="C612">
        <v>2010</v>
      </c>
      <c r="D6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2" s="37" t="str">
        <f>INDEX(CONTROL[ENGLISH],MATCH(PROPERTIES[[#This Row],[VEHIDCODE]],CONTROL[VEHIDCODE],0))</f>
        <v>SLM/BBC/MFO Ge 4/4 I</v>
      </c>
      <c r="F612" t="s">
        <v>570</v>
      </c>
      <c r="G612" s="37" t="str">
        <f>_xlfn.IFNA(INDEX(COUNTRIES[COUNTRY_LABEL],MATCH(PROPERTIES[[#This Row],[COUNTRY]],COUNTRIES[COUNTRY_DESCRIPTION],0)),"")</f>
        <v>CH</v>
      </c>
      <c r="H6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INDEX(LOADINGSPEEDDEF[SPEED],MATCH("LOADINGSPEEDDEF_"&amp;PROPERTIES[[#This Row],[LOADINGSPEED]],LOADINGSPEEDDEF[TYPE],0))</f>
        <v>20</v>
      </c>
      <c r="O6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4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1" t="b">
        <v>0</v>
      </c>
      <c r="AP612" s="45" t="b">
        <v>0</v>
      </c>
      <c r="AQ612" s="45" t="b">
        <v>0</v>
      </c>
      <c r="AR612" s="45">
        <v>0</v>
      </c>
      <c r="AS612" s="45" t="b">
        <v>0</v>
      </c>
      <c r="AT612" s="7" t="b">
        <v>0</v>
      </c>
      <c r="AU6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3" spans="1:47" x14ac:dyDescent="0.35">
      <c r="A613" s="2" t="s">
        <v>3222</v>
      </c>
      <c r="B613">
        <v>1921</v>
      </c>
      <c r="C613">
        <v>1974</v>
      </c>
      <c r="D6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3" s="37" t="str">
        <f>INDEX(CONTROL[ENGLISH],MATCH(PROPERTIES[[#This Row],[VEHIDCODE]],CONTROL[VEHIDCODE],0))</f>
        <v>SLM/BBC/MFO Ge 6/6 'Krokodil'</v>
      </c>
      <c r="F613" t="s">
        <v>570</v>
      </c>
      <c r="G613" s="37" t="str">
        <f>_xlfn.IFNA(INDEX(COUNTRIES[COUNTRY_LABEL],MATCH(PROPERTIES[[#This Row],[COUNTRY]],COUNTRIES[COUNTRY_DESCRIPTION],0)),"")</f>
        <v>CH</v>
      </c>
      <c r="H6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INDEX(LOADINGSPEEDDEF[SPEED],MATCH("LOADINGSPEEDDEF_"&amp;PROPERTIES[[#This Row],[LOADINGSPEED]],LOADINGSPEEDDEF[TYPE],0))</f>
        <v>20</v>
      </c>
      <c r="O6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4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1" t="b">
        <v>0</v>
      </c>
      <c r="AP613" s="45" t="b">
        <v>0</v>
      </c>
      <c r="AQ613" s="45" t="b">
        <v>0</v>
      </c>
      <c r="AR613" s="45">
        <v>0</v>
      </c>
      <c r="AS613" s="45" t="b">
        <v>0</v>
      </c>
      <c r="AT613" s="7" t="b">
        <v>0</v>
      </c>
      <c r="AU6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614" spans="1:47" x14ac:dyDescent="0.35">
      <c r="A614" s="2" t="s">
        <v>3223</v>
      </c>
      <c r="B614">
        <v>2012</v>
      </c>
      <c r="D6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4" s="37" t="str">
        <f>INDEX(CONTROL[ENGLISH],MATCH(PROPERTIES[[#This Row],[VEHIDCODE]],CONTROL[VEHIDCODE],0))</f>
        <v>Stadler He 4/4</v>
      </c>
      <c r="F614" t="s">
        <v>558</v>
      </c>
      <c r="G614" s="37" t="str">
        <f>_xlfn.IFNA(INDEX(COUNTRIES[COUNTRY_LABEL],MATCH(PROPERTIES[[#This Row],[COUNTRY]],COUNTRIES[COUNTRY_DESCRIPTION],0)),"")</f>
        <v>BR</v>
      </c>
      <c r="H6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INDEX(LOADINGSPEEDDEF[SPEED],MATCH("LOADINGSPEEDDEF_"&amp;PROPERTIES[[#This Row],[LOADINGSPEED]],LOADINGSPEEDDEF[TYPE],0))</f>
        <v>20</v>
      </c>
      <c r="O6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4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1" t="b">
        <v>0</v>
      </c>
      <c r="AP614" s="45" t="b">
        <v>0</v>
      </c>
      <c r="AQ614" s="45" t="b">
        <v>0</v>
      </c>
      <c r="AR614" s="45">
        <v>0</v>
      </c>
      <c r="AS614" s="45" t="b">
        <v>0</v>
      </c>
      <c r="AT614" s="7" t="b">
        <v>0</v>
      </c>
      <c r="AU6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5" spans="1:47" x14ac:dyDescent="0.35">
      <c r="A615" s="2" t="s">
        <v>3224</v>
      </c>
      <c r="B615">
        <v>1978</v>
      </c>
      <c r="C615">
        <v>2030</v>
      </c>
      <c r="D6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5" s="37" t="str">
        <f>INDEX(CONTROL[ENGLISH],MATCH(PROPERTIES[[#This Row],[VEHIDCODE]],CONTROL[VEHIDCODE],0))</f>
        <v>UCW 50 c/s Group 7E</v>
      </c>
      <c r="F615" t="s">
        <v>771</v>
      </c>
      <c r="G615" s="37" t="str">
        <f>_xlfn.IFNA(INDEX(COUNTRIES[COUNTRY_LABEL],MATCH(PROPERTIES[[#This Row],[COUNTRY]],COUNTRIES[COUNTRY_DESCRIPTION],0)),"")</f>
        <v>ZA</v>
      </c>
      <c r="H6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INDEX(LOADINGSPEEDDEF[SPEED],MATCH("LOADINGSPEEDDEF_"&amp;PROPERTIES[[#This Row],[LOADINGSPEED]],LOADINGSPEEDDEF[TYPE],0))</f>
        <v>20</v>
      </c>
      <c r="O6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4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1" t="b">
        <v>0</v>
      </c>
      <c r="AP615" s="45" t="b">
        <v>0</v>
      </c>
      <c r="AQ615" s="45" t="b">
        <v>0</v>
      </c>
      <c r="AR615" s="45">
        <v>0</v>
      </c>
      <c r="AS615" s="45" t="b">
        <v>0</v>
      </c>
      <c r="AT615" s="7" t="b">
        <v>0</v>
      </c>
      <c r="AU6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6" spans="1:47" x14ac:dyDescent="0.35">
      <c r="A616" s="2" t="s">
        <v>3225</v>
      </c>
      <c r="B616">
        <v>1985</v>
      </c>
      <c r="C616">
        <v>2030</v>
      </c>
      <c r="D6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6" s="37" t="str">
        <f>INDEX(CONTROL[ENGLISH],MATCH(PROPERTIES[[#This Row],[VEHIDCODE]],CONTROL[VEHIDCODE],0))</f>
        <v>General Motors GM5FC</v>
      </c>
      <c r="F616" t="s">
        <v>771</v>
      </c>
      <c r="G616" s="37" t="str">
        <f>_xlfn.IFNA(INDEX(COUNTRIES[COUNTRY_LABEL],MATCH(PROPERTIES[[#This Row],[COUNTRY]],COUNTRIES[COUNTRY_DESCRIPTION],0)),"")</f>
        <v>ZA</v>
      </c>
      <c r="H6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INDEX(LOADINGSPEEDDEF[SPEED],MATCH("LOADINGSPEEDDEF_"&amp;PROPERTIES[[#This Row],[LOADINGSPEED]],LOADINGSPEEDDEF[TYPE],0))</f>
        <v>20</v>
      </c>
      <c r="O6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4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1" t="b">
        <v>0</v>
      </c>
      <c r="AP616" s="45" t="b">
        <v>0</v>
      </c>
      <c r="AQ616" s="45" t="b">
        <v>0</v>
      </c>
      <c r="AR616" s="45">
        <v>0</v>
      </c>
      <c r="AS616" s="45" t="b">
        <v>0</v>
      </c>
      <c r="AT616" s="7" t="b">
        <v>0</v>
      </c>
      <c r="AU6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7" spans="1:47" x14ac:dyDescent="0.35">
      <c r="A617" s="2" t="s">
        <v>3226</v>
      </c>
      <c r="B617">
        <v>1986</v>
      </c>
      <c r="C617">
        <v>2010</v>
      </c>
      <c r="D6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17" s="37" t="str">
        <f>INDEX(CONTROL[ENGLISH],MATCH(PROPERTIES[[#This Row],[VEHIDCODE]],CONTROL[VEHIDCODE],0))</f>
        <v>Brush EF Class</v>
      </c>
      <c r="F617" t="s">
        <v>697</v>
      </c>
      <c r="G617" s="37" t="str">
        <f>_xlfn.IFNA(INDEX(COUNTRIES[COUNTRY_LABEL],MATCH(PROPERTIES[[#This Row],[COUNTRY]],COUNTRIES[COUNTRY_DESCRIPTION],0)),"")</f>
        <v>NZ</v>
      </c>
      <c r="H6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INDEX(LOADINGSPEEDDEF[SPEED],MATCH("LOADINGSPEEDDEF_"&amp;PROPERTIES[[#This Row],[LOADINGSPEED]],LOADINGSPEEDDEF[TYPE],0))</f>
        <v>20</v>
      </c>
      <c r="O6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4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1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1" t="b">
        <v>0</v>
      </c>
      <c r="AP617" s="45" t="b">
        <v>0</v>
      </c>
      <c r="AQ617" s="45" t="b">
        <v>0</v>
      </c>
      <c r="AR617" s="45">
        <v>0</v>
      </c>
      <c r="AS617" s="45" t="b">
        <v>0</v>
      </c>
      <c r="AT617" s="7" t="b">
        <v>0</v>
      </c>
      <c r="AU6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18" spans="1:47" x14ac:dyDescent="0.35">
      <c r="A618" s="2" t="s">
        <v>3227</v>
      </c>
      <c r="B618">
        <v>1962</v>
      </c>
      <c r="C618">
        <v>1996</v>
      </c>
      <c r="D6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18" s="37" t="str">
        <f>INDEX(CONTROL[ENGLISH],MATCH(PROPERTIES[[#This Row],[VEHIDCODE]],CONTROL[VEHIDCODE],0))</f>
        <v>Nippon Sharyo Odakyu 3100 series NSE</v>
      </c>
      <c r="F618" t="s">
        <v>640</v>
      </c>
      <c r="G618" s="37" t="str">
        <f>_xlfn.IFNA(INDEX(COUNTRIES[COUNTRY_LABEL],MATCH(PROPERTIES[[#This Row],[COUNTRY]],COUNTRIES[COUNTRY_DESCRIPTION],0)),"")</f>
        <v>JP</v>
      </c>
      <c r="H6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INDEX(LOADINGSPEEDDEF[SPEED],MATCH("LOADINGSPEEDDEF_"&amp;PROPERTIES[[#This Row],[LOADINGSPEED]],LOADINGSPEEDDEF[TYPE],0))</f>
        <v>60</v>
      </c>
      <c r="O6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4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1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18" s="2" t="str">
        <f>SUBSTITUTE(SUBSTITUTE(PROPERTIES[[#This Row],[PURCHASECOST_VALUE]], "PURCHASECOST_", ""), "_VALUE", "")</f>
        <v>EMU</v>
      </c>
      <c r="AO618" s="41" t="b">
        <v>0</v>
      </c>
      <c r="AP618" s="45" t="b">
        <v>0</v>
      </c>
      <c r="AQ618" s="45" t="b">
        <v>0</v>
      </c>
      <c r="AR618" s="45">
        <v>0</v>
      </c>
      <c r="AS618" s="45" t="b">
        <v>0</v>
      </c>
      <c r="AT618" s="7" t="b">
        <v>0</v>
      </c>
      <c r="AU6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19" spans="1:47" x14ac:dyDescent="0.35">
      <c r="A619" s="2" t="s">
        <v>3228</v>
      </c>
      <c r="B619">
        <v>1986</v>
      </c>
      <c r="C619">
        <v>2012</v>
      </c>
      <c r="D6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19" s="37" t="str">
        <f>INDEX(CONTROL[ENGLISH],MATCH(PROPERTIES[[#This Row],[VEHIDCODE]],CONTROL[VEHIDCODE],0))</f>
        <v>Nippon Sharyo Odakyu 10000 series HiSE</v>
      </c>
      <c r="F619" t="s">
        <v>640</v>
      </c>
      <c r="G619" s="37" t="str">
        <f>_xlfn.IFNA(INDEX(COUNTRIES[COUNTRY_LABEL],MATCH(PROPERTIES[[#This Row],[COUNTRY]],COUNTRIES[COUNTRY_DESCRIPTION],0)),"")</f>
        <v>JP</v>
      </c>
      <c r="H6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INDEX(LOADINGSPEEDDEF[SPEED],MATCH("LOADINGSPEEDDEF_"&amp;PROPERTIES[[#This Row],[LOADINGSPEED]],LOADINGSPEEDDEF[TYPE],0))</f>
        <v>60</v>
      </c>
      <c r="O6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4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1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19" s="2" t="str">
        <f>SUBSTITUTE(SUBSTITUTE(PROPERTIES[[#This Row],[PURCHASECOST_VALUE]], "PURCHASECOST_", ""), "_VALUE", "")</f>
        <v>EMU</v>
      </c>
      <c r="AO619" s="41" t="b">
        <v>0</v>
      </c>
      <c r="AP619" s="45" t="b">
        <v>0</v>
      </c>
      <c r="AQ619" s="45" t="b">
        <v>0</v>
      </c>
      <c r="AR619" s="45">
        <v>0</v>
      </c>
      <c r="AS619" s="45" t="b">
        <v>0</v>
      </c>
      <c r="AT619" s="7" t="b">
        <v>0</v>
      </c>
      <c r="AU6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0" spans="1:47" x14ac:dyDescent="0.35">
      <c r="A620" s="2" t="s">
        <v>3229</v>
      </c>
      <c r="B620">
        <v>1972</v>
      </c>
      <c r="C620">
        <v>2011</v>
      </c>
      <c r="D6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0" s="37" t="str">
        <f>INDEX(CONTROL[ENGLISH],MATCH(PROPERTIES[[#This Row],[VEHIDCODE]],CONTROL[VEHIDCODE],0))</f>
        <v>Comeng/Goninan S-set</v>
      </c>
      <c r="F620" t="s">
        <v>541</v>
      </c>
      <c r="G620" s="37" t="str">
        <f>_xlfn.IFNA(INDEX(COUNTRIES[COUNTRY_LABEL],MATCH(PROPERTIES[[#This Row],[COUNTRY]],COUNTRIES[COUNTRY_DESCRIPTION],0)),"")</f>
        <v>AU</v>
      </c>
      <c r="H6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INDEX(LOADINGSPEEDDEF[SPEED],MATCH("LOADINGSPEEDDEF_"&amp;PROPERTIES[[#This Row],[LOADINGSPEED]],LOADINGSPEEDDEF[TYPE],0))</f>
        <v>60</v>
      </c>
      <c r="O6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4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0" s="2" t="str">
        <f>SUBSTITUTE(SUBSTITUTE(PROPERTIES[[#This Row],[PURCHASECOST_VALUE]], "PURCHASECOST_", ""), "_VALUE", "")</f>
        <v>EMU</v>
      </c>
      <c r="AO620" s="41" t="b">
        <v>0</v>
      </c>
      <c r="AP620" s="45" t="b">
        <v>0</v>
      </c>
      <c r="AQ620" s="45" t="b">
        <v>0</v>
      </c>
      <c r="AR620" s="45">
        <v>0</v>
      </c>
      <c r="AS620" s="45" t="b">
        <v>0</v>
      </c>
      <c r="AT620" s="7" t="b">
        <v>0</v>
      </c>
      <c r="AU6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1" spans="1:47" x14ac:dyDescent="0.35">
      <c r="A621" s="2" t="s">
        <v>3230</v>
      </c>
      <c r="B621">
        <v>2007</v>
      </c>
      <c r="C621">
        <v>2025</v>
      </c>
      <c r="D6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1" s="37" t="str">
        <f>INDEX(CONTROL[ENGLISH],MATCH(PROPERTIES[[#This Row],[VEHIDCODE]],CONTROL[VEHIDCODE],0))</f>
        <v>UGL Rail H-set 'OSCAR'</v>
      </c>
      <c r="F621" t="s">
        <v>541</v>
      </c>
      <c r="G621" s="37" t="str">
        <f>_xlfn.IFNA(INDEX(COUNTRIES[COUNTRY_LABEL],MATCH(PROPERTIES[[#This Row],[COUNTRY]],COUNTRIES[COUNTRY_DESCRIPTION],0)),"")</f>
        <v>AU</v>
      </c>
      <c r="H6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INDEX(LOADINGSPEEDDEF[SPEED],MATCH("LOADINGSPEEDDEF_"&amp;PROPERTIES[[#This Row],[LOADINGSPEED]],LOADINGSPEEDDEF[TYPE],0))</f>
        <v>60</v>
      </c>
      <c r="O62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4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1" s="2" t="str">
        <f>SUBSTITUTE(SUBSTITUTE(PROPERTIES[[#This Row],[PURCHASECOST_VALUE]], "PURCHASECOST_", ""), "_VALUE", "")</f>
        <v>EMU</v>
      </c>
      <c r="AO621" s="41" t="b">
        <v>0</v>
      </c>
      <c r="AP621" s="45" t="b">
        <v>0</v>
      </c>
      <c r="AQ621" s="45" t="b">
        <v>0</v>
      </c>
      <c r="AR621" s="45">
        <v>0</v>
      </c>
      <c r="AS621" s="45" t="b">
        <v>0</v>
      </c>
      <c r="AT621" s="7" t="b">
        <v>0</v>
      </c>
      <c r="AU6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2" spans="1:47" x14ac:dyDescent="0.35">
      <c r="A622" s="2" t="s">
        <v>3231</v>
      </c>
      <c r="B622">
        <v>1917</v>
      </c>
      <c r="C622">
        <v>1964</v>
      </c>
      <c r="D6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2" s="37" t="str">
        <f>INDEX(CONTROL[ENGLISH],MATCH(PROPERTIES[[#This Row],[VEHIDCODE]],CONTROL[VEHIDCODE],0))</f>
        <v>Victorian Railways 'Swing Door'</v>
      </c>
      <c r="F622" t="s">
        <v>541</v>
      </c>
      <c r="G622" s="37" t="str">
        <f>_xlfn.IFNA(INDEX(COUNTRIES[COUNTRY_LABEL],MATCH(PROPERTIES[[#This Row],[COUNTRY]],COUNTRIES[COUNTRY_DESCRIPTION],0)),"")</f>
        <v>AU</v>
      </c>
      <c r="H6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INDEX(LOADINGSPEEDDEF[SPEED],MATCH("LOADINGSPEEDDEF_"&amp;PROPERTIES[[#This Row],[LOADINGSPEED]],LOADINGSPEEDDEF[TYPE],0))</f>
        <v>60</v>
      </c>
      <c r="O6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4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2" s="2" t="str">
        <f>SUBSTITUTE(SUBSTITUTE(PROPERTIES[[#This Row],[PURCHASECOST_VALUE]], "PURCHASECOST_", ""), "_VALUE", "")</f>
        <v>EMU</v>
      </c>
      <c r="AO622" s="41" t="b">
        <v>0</v>
      </c>
      <c r="AP622" s="45" t="b">
        <v>0</v>
      </c>
      <c r="AQ622" s="45" t="b">
        <v>0</v>
      </c>
      <c r="AR622" s="45">
        <v>0</v>
      </c>
      <c r="AS622" s="45" t="b">
        <v>0</v>
      </c>
      <c r="AT622" s="7" t="b">
        <v>0</v>
      </c>
      <c r="AU6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3" spans="1:47" x14ac:dyDescent="0.35">
      <c r="A623" s="2" t="s">
        <v>3470</v>
      </c>
      <c r="B623">
        <v>1979</v>
      </c>
      <c r="C623">
        <v>2015</v>
      </c>
      <c r="D6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3" s="37" t="str">
        <f>INDEX(CONTROL[ENGLISH],MATCH(PROPERTIES[[#This Row],[VEHIDCODE]],CONTROL[VEHIDCODE],0))</f>
        <v>Ganz-MAVAG EM/ET</v>
      </c>
      <c r="F623" t="s">
        <v>697</v>
      </c>
      <c r="G623" s="37" t="str">
        <f>_xlfn.IFNA(INDEX(COUNTRIES[COUNTRY_LABEL],MATCH(PROPERTIES[[#This Row],[COUNTRY]],COUNTRIES[COUNTRY_DESCRIPTION],0)),"")</f>
        <v>NZ</v>
      </c>
      <c r="H6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INDEX(LOADINGSPEEDDEF[SPEED],MATCH("LOADINGSPEEDDEF_"&amp;PROPERTIES[[#This Row],[LOADINGSPEED]],LOADINGSPEEDDEF[TYPE],0))</f>
        <v>60</v>
      </c>
      <c r="O6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4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3" s="2" t="str">
        <f>SUBSTITUTE(SUBSTITUTE(PROPERTIES[[#This Row],[PURCHASECOST_VALUE]], "PURCHASECOST_", ""), "_VALUE", "")</f>
        <v>EMU</v>
      </c>
      <c r="AO623" s="41" t="b">
        <v>0</v>
      </c>
      <c r="AP623" s="45" t="b">
        <v>0</v>
      </c>
      <c r="AQ623" s="45" t="b">
        <v>1</v>
      </c>
      <c r="AR623" s="45">
        <v>0</v>
      </c>
      <c r="AS623" s="45" t="b">
        <v>0</v>
      </c>
      <c r="AT623" s="7" t="b">
        <v>1</v>
      </c>
      <c r="AU6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4" spans="1:47" x14ac:dyDescent="0.35">
      <c r="A624" s="2" t="s">
        <v>3233</v>
      </c>
      <c r="B624">
        <v>1958</v>
      </c>
      <c r="C624">
        <v>2000</v>
      </c>
      <c r="D6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4" s="37" t="str">
        <f>INDEX(CONTROL[ENGLISH],MATCH(PROPERTIES[[#This Row],[VEHIDCODE]],CONTROL[VEHIDCODE],0))</f>
        <v>Metro-Cammell 5M2</v>
      </c>
      <c r="F624" t="s">
        <v>771</v>
      </c>
      <c r="G624" s="37" t="str">
        <f>_xlfn.IFNA(INDEX(COUNTRIES[COUNTRY_LABEL],MATCH(PROPERTIES[[#This Row],[COUNTRY]],COUNTRIES[COUNTRY_DESCRIPTION],0)),"")</f>
        <v>ZA</v>
      </c>
      <c r="H6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INDEX(LOADINGSPEEDDEF[SPEED],MATCH("LOADINGSPEEDDEF_"&amp;PROPERTIES[[#This Row],[LOADINGSPEED]],LOADINGSPEEDDEF[TYPE],0))</f>
        <v>60</v>
      </c>
      <c r="O6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4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4" s="2" t="str">
        <f>SUBSTITUTE(SUBSTITUTE(PROPERTIES[[#This Row],[PURCHASECOST_VALUE]], "PURCHASECOST_", ""), "_VALUE", "")</f>
        <v>EMU</v>
      </c>
      <c r="AO624" s="41" t="b">
        <v>0</v>
      </c>
      <c r="AP624" s="45" t="b">
        <v>0</v>
      </c>
      <c r="AQ624" s="45" t="b">
        <v>0</v>
      </c>
      <c r="AR624" s="45">
        <v>0</v>
      </c>
      <c r="AS624" s="45" t="b">
        <v>0</v>
      </c>
      <c r="AT624" s="7" t="b">
        <v>0</v>
      </c>
      <c r="AU6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5" spans="1:47" x14ac:dyDescent="0.35">
      <c r="A625" s="2" t="s">
        <v>3234</v>
      </c>
      <c r="B625">
        <v>2005</v>
      </c>
      <c r="D6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5" s="37" t="str">
        <f>INDEX(CONTROL[ENGLISH],MATCH(PROPERTIES[[#This Row],[VEHIDCODE]],CONTROL[VEHIDCODE],0))</f>
        <v>Alstom X'Trapolis 100</v>
      </c>
      <c r="F625" t="s">
        <v>573</v>
      </c>
      <c r="G625" s="37" t="str">
        <f>_xlfn.IFNA(INDEX(COUNTRIES[COUNTRY_LABEL],MATCH(PROPERTIES[[#This Row],[COUNTRY]],COUNTRIES[COUNTRY_DESCRIPTION],0)),"")</f>
        <v>CL</v>
      </c>
      <c r="H6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INDEX(LOADINGSPEEDDEF[SPEED],MATCH("LOADINGSPEEDDEF_"&amp;PROPERTIES[[#This Row],[LOADINGSPEED]],LOADINGSPEEDDEF[TYPE],0))</f>
        <v>60</v>
      </c>
      <c r="O6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4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5" s="2" t="str">
        <f>SUBSTITUTE(SUBSTITUTE(PROPERTIES[[#This Row],[PURCHASECOST_VALUE]], "PURCHASECOST_", ""), "_VALUE", "")</f>
        <v>EMU</v>
      </c>
      <c r="AO625" s="41" t="b">
        <v>0</v>
      </c>
      <c r="AP625" s="45" t="b">
        <v>0</v>
      </c>
      <c r="AQ625" s="45" t="b">
        <v>0</v>
      </c>
      <c r="AR625" s="45">
        <v>0</v>
      </c>
      <c r="AS625" s="45" t="b">
        <v>0</v>
      </c>
      <c r="AT625" s="7" t="b">
        <v>0</v>
      </c>
      <c r="AU6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6" spans="1:47" x14ac:dyDescent="0.35">
      <c r="A626" s="2" t="s">
        <v>3235</v>
      </c>
      <c r="B626">
        <v>1976</v>
      </c>
      <c r="C626">
        <v>2005</v>
      </c>
      <c r="D6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6" s="37" t="str">
        <f>INDEX(CONTROL[ENGLISH],MATCH(PROPERTIES[[#This Row],[VEHIDCODE]],CONTROL[VEHIDCODE],0))</f>
        <v>GEC/Fiat AES Railcar</v>
      </c>
      <c r="F626" t="s">
        <v>573</v>
      </c>
      <c r="G626" s="37" t="str">
        <f>_xlfn.IFNA(INDEX(COUNTRIES[COUNTRY_LABEL],MATCH(PROPERTIES[[#This Row],[COUNTRY]],COUNTRIES[COUNTRY_DESCRIPTION],0)),"")</f>
        <v>CL</v>
      </c>
      <c r="H6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INDEX(LOADINGSPEEDDEF[SPEED],MATCH("LOADINGSPEEDDEF_"&amp;PROPERTIES[[#This Row],[LOADINGSPEED]],LOADINGSPEEDDEF[TYPE],0))</f>
        <v>60</v>
      </c>
      <c r="O6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4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6" s="2" t="str">
        <f>SUBSTITUTE(SUBSTITUTE(PROPERTIES[[#This Row],[PURCHASECOST_VALUE]], "PURCHASECOST_", ""), "_VALUE", "")</f>
        <v>EMU</v>
      </c>
      <c r="AO626" s="41" t="b">
        <v>0</v>
      </c>
      <c r="AP626" s="45" t="b">
        <v>0</v>
      </c>
      <c r="AQ626" s="45" t="b">
        <v>1</v>
      </c>
      <c r="AR626" s="45">
        <v>0</v>
      </c>
      <c r="AS626" s="45" t="b">
        <v>0</v>
      </c>
      <c r="AT626" s="7" t="b">
        <v>1</v>
      </c>
      <c r="AU6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27" spans="1:47" x14ac:dyDescent="0.35">
      <c r="A627" s="2" t="s">
        <v>3236</v>
      </c>
      <c r="B627">
        <v>1984</v>
      </c>
      <c r="D6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7" s="37" t="str">
        <f>INDEX(CONTROL[ENGLISH],MATCH(PROPERTIES[[#This Row],[VEHIDCODE]],CONTROL[VEHIDCODE],0))</f>
        <v>Ganz-MAVAG YZ-E</v>
      </c>
      <c r="F627" t="s">
        <v>748</v>
      </c>
      <c r="G627" s="37" t="str">
        <f>_xlfn.IFNA(INDEX(COUNTRIES[COUNTRY_LABEL],MATCH(PROPERTIES[[#This Row],[COUNTRY]],COUNTRIES[COUNTRY_DESCRIPTION],0)),"")</f>
        <v>TN</v>
      </c>
      <c r="H6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INDEX(LOADINGSPEEDDEF[SPEED],MATCH("LOADINGSPEEDDEF_"&amp;PROPERTIES[[#This Row],[LOADINGSPEED]],LOADINGSPEEDDEF[TYPE],0))</f>
        <v>60</v>
      </c>
      <c r="O6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4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7" s="2" t="str">
        <f>SUBSTITUTE(SUBSTITUTE(PROPERTIES[[#This Row],[PURCHASECOST_VALUE]], "PURCHASECOST_", ""), "_VALUE", "")</f>
        <v>EMU</v>
      </c>
      <c r="AO627" s="41" t="b">
        <v>0</v>
      </c>
      <c r="AP627" s="45" t="b">
        <v>0</v>
      </c>
      <c r="AQ627" s="45" t="b">
        <v>0</v>
      </c>
      <c r="AR627" s="45">
        <v>0</v>
      </c>
      <c r="AS627" s="45" t="b">
        <v>0</v>
      </c>
      <c r="AT627" s="7" t="b">
        <v>0</v>
      </c>
      <c r="AU6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8" spans="1:47" x14ac:dyDescent="0.35">
      <c r="A628" s="2" t="s">
        <v>3237</v>
      </c>
      <c r="B628">
        <v>1997</v>
      </c>
      <c r="D6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28" s="37" t="str">
        <f>INDEX(CONTROL[ENGLISH],MATCH(PROPERTIES[[#This Row],[VEHIDCODE]],CONTROL[VEHIDCODE],0))</f>
        <v>Walkers Tilt Train 'ETT'</v>
      </c>
      <c r="F628" t="s">
        <v>541</v>
      </c>
      <c r="G628" s="37" t="str">
        <f>_xlfn.IFNA(INDEX(COUNTRIES[COUNTRY_LABEL],MATCH(PROPERTIES[[#This Row],[COUNTRY]],COUNTRIES[COUNTRY_DESCRIPTION],0)),"")</f>
        <v>AU</v>
      </c>
      <c r="H6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INDEX(LOADINGSPEEDDEF[SPEED],MATCH("LOADINGSPEEDDEF_"&amp;PROPERTIES[[#This Row],[LOADINGSPEED]],LOADINGSPEEDDEF[TYPE],0))</f>
        <v>60</v>
      </c>
      <c r="O62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4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28" s="2" t="str">
        <f>SUBSTITUTE(SUBSTITUTE(PROPERTIES[[#This Row],[PURCHASECOST_VALUE]], "PURCHASECOST_", ""), "_VALUE", "")</f>
        <v>EMU</v>
      </c>
      <c r="AO628" s="41" t="b">
        <v>0</v>
      </c>
      <c r="AP628" s="45" t="b">
        <v>0</v>
      </c>
      <c r="AQ628" s="45" t="b">
        <v>1</v>
      </c>
      <c r="AR628" s="45">
        <v>0</v>
      </c>
      <c r="AS628" s="45" t="b">
        <v>0</v>
      </c>
      <c r="AT628" s="7" t="b">
        <v>0</v>
      </c>
      <c r="AU6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29" spans="1:47" x14ac:dyDescent="0.35">
      <c r="A629" s="2" t="s">
        <v>3238</v>
      </c>
      <c r="B629">
        <v>1984</v>
      </c>
      <c r="C629">
        <v>2030</v>
      </c>
      <c r="D6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29" s="37" t="str">
        <f>INDEX(CONTROL[ENGLISH],MATCH(PROPERTIES[[#This Row],[VEHIDCODE]],CONTROL[VEHIDCODE],0))</f>
        <v>NEVZ-TEVZ VL15</v>
      </c>
      <c r="F629" t="s">
        <v>716</v>
      </c>
      <c r="G629" s="37" t="str">
        <f>_xlfn.IFNA(INDEX(COUNTRIES[COUNTRY_LABEL],MATCH(PROPERTIES[[#This Row],[COUNTRY]],COUNTRIES[COUNTRY_DESCRIPTION],0)),"")</f>
        <v>RU</v>
      </c>
      <c r="H6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INDEX(LOADINGSPEEDDEF[SPEED],MATCH("LOADINGSPEEDDEF_"&amp;PROPERTIES[[#This Row],[LOADINGSPEED]],LOADINGSPEEDDEF[TYPE],0))</f>
        <v>20</v>
      </c>
      <c r="O62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4">
        <v>0</v>
      </c>
      <c r="AF629" s="6">
        <v>8</v>
      </c>
      <c r="AG629" t="s">
        <v>1940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2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1" t="b">
        <v>0</v>
      </c>
      <c r="AP629" s="45" t="b">
        <v>0</v>
      </c>
      <c r="AQ629" s="45" t="b">
        <v>0</v>
      </c>
      <c r="AR629" s="45">
        <v>0</v>
      </c>
      <c r="AS629" s="45" t="b">
        <v>0</v>
      </c>
      <c r="AT629" s="7" t="b">
        <v>0</v>
      </c>
      <c r="AU6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0" spans="1:47" x14ac:dyDescent="0.35">
      <c r="A630" s="2" t="s">
        <v>3239</v>
      </c>
      <c r="B630">
        <v>1974</v>
      </c>
      <c r="C630">
        <v>2012</v>
      </c>
      <c r="D6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0" s="37" t="str">
        <f>INDEX(CONTROL[ENGLISH],MATCH(PROPERTIES[[#This Row],[VEHIDCODE]],CONTROL[VEHIDCODE],0))</f>
        <v>TEVZ VL11</v>
      </c>
      <c r="F630" t="s">
        <v>716</v>
      </c>
      <c r="G630" s="37" t="str">
        <f>_xlfn.IFNA(INDEX(COUNTRIES[COUNTRY_LABEL],MATCH(PROPERTIES[[#This Row],[COUNTRY]],COUNTRIES[COUNTRY_DESCRIPTION],0)),"")</f>
        <v>RU</v>
      </c>
      <c r="H6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INDEX(LOADINGSPEEDDEF[SPEED],MATCH("LOADINGSPEEDDEF_"&amp;PROPERTIES[[#This Row],[LOADINGSPEED]],LOADINGSPEEDDEF[TYPE],0))</f>
        <v>20</v>
      </c>
      <c r="O6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4">
        <v>0</v>
      </c>
      <c r="AF630" s="6">
        <v>8</v>
      </c>
      <c r="AG630" t="s">
        <v>1940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1" t="b">
        <v>0</v>
      </c>
      <c r="AP630" s="45" t="b">
        <v>0</v>
      </c>
      <c r="AQ630" s="45" t="b">
        <v>0</v>
      </c>
      <c r="AR630" s="45">
        <v>0</v>
      </c>
      <c r="AS630" s="45" t="b">
        <v>0</v>
      </c>
      <c r="AT630" s="7" t="b">
        <v>0</v>
      </c>
      <c r="AU6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1" spans="1:47" x14ac:dyDescent="0.35">
      <c r="A631" s="2" t="s">
        <v>3240</v>
      </c>
      <c r="B631">
        <v>1945</v>
      </c>
      <c r="C631">
        <v>1977</v>
      </c>
      <c r="D6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1" s="37" t="str">
        <f>INDEX(CONTROL[ENGLISH],MATCH(PROPERTIES[[#This Row],[VEHIDCODE]],CONTROL[VEHIDCODE],0))</f>
        <v>NEVZ VL22M</v>
      </c>
      <c r="F631" t="s">
        <v>716</v>
      </c>
      <c r="G631" s="37" t="str">
        <f>_xlfn.IFNA(INDEX(COUNTRIES[COUNTRY_LABEL],MATCH(PROPERTIES[[#This Row],[COUNTRY]],COUNTRIES[COUNTRY_DESCRIPTION],0)),"")</f>
        <v>RU</v>
      </c>
      <c r="H6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INDEX(LOADINGSPEEDDEF[SPEED],MATCH("LOADINGSPEEDDEF_"&amp;PROPERTIES[[#This Row],[LOADINGSPEED]],LOADINGSPEEDDEF[TYPE],0))</f>
        <v>20</v>
      </c>
      <c r="O6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4">
        <v>0</v>
      </c>
      <c r="AF631" s="6">
        <v>0</v>
      </c>
      <c r="AG631" t="s">
        <v>1940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1" t="b">
        <v>0</v>
      </c>
      <c r="AP631" s="45" t="b">
        <v>0</v>
      </c>
      <c r="AQ631" s="45" t="b">
        <v>0</v>
      </c>
      <c r="AR631" s="45">
        <v>0</v>
      </c>
      <c r="AS631" s="45" t="b">
        <v>0</v>
      </c>
      <c r="AT631" s="7" t="b">
        <v>0</v>
      </c>
      <c r="AU6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2" spans="1:47" x14ac:dyDescent="0.35">
      <c r="A632" s="2" t="s">
        <v>3241</v>
      </c>
      <c r="B632">
        <v>1995</v>
      </c>
      <c r="C632">
        <v>2001</v>
      </c>
      <c r="D6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2" s="37" t="str">
        <f>INDEX(CONTROL[ENGLISH],MATCH(PROPERTIES[[#This Row],[VEHIDCODE]],CONTROL[VEHIDCODE],0))</f>
        <v>DEVZ DE1</v>
      </c>
      <c r="F632" t="s">
        <v>754</v>
      </c>
      <c r="G632" s="37" t="str">
        <f>_xlfn.IFNA(INDEX(COUNTRIES[COUNTRY_LABEL],MATCH(PROPERTIES[[#This Row],[COUNTRY]],COUNTRIES[COUNTRY_DESCRIPTION],0)),"")</f>
        <v>UA</v>
      </c>
      <c r="H6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INDEX(LOADINGSPEEDDEF[SPEED],MATCH("LOADINGSPEEDDEF_"&amp;PROPERTIES[[#This Row],[LOADINGSPEED]],LOADINGSPEEDDEF[TYPE],0))</f>
        <v>20</v>
      </c>
      <c r="O63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4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1" t="b">
        <v>0</v>
      </c>
      <c r="AP632" s="45" t="b">
        <v>0</v>
      </c>
      <c r="AQ632" s="45" t="b">
        <v>0</v>
      </c>
      <c r="AR632" s="45">
        <v>0</v>
      </c>
      <c r="AS632" s="45" t="b">
        <v>0</v>
      </c>
      <c r="AT632" s="7" t="b">
        <v>0</v>
      </c>
      <c r="AU6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3" spans="1:47" x14ac:dyDescent="0.35">
      <c r="A633" s="2" t="s">
        <v>3242</v>
      </c>
      <c r="B633">
        <v>1953</v>
      </c>
      <c r="C633">
        <v>2012</v>
      </c>
      <c r="D6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3" s="37" t="str">
        <f>INDEX(CONTROL[ENGLISH],MATCH(PROPERTIES[[#This Row],[VEHIDCODE]],CONTROL[VEHIDCODE],0))</f>
        <v>Skoda 12E</v>
      </c>
      <c r="F633" t="s">
        <v>716</v>
      </c>
      <c r="G633" s="37" t="str">
        <f>_xlfn.IFNA(INDEX(COUNTRIES[COUNTRY_LABEL],MATCH(PROPERTIES[[#This Row],[COUNTRY]],COUNTRIES[COUNTRY_DESCRIPTION],0)),"")</f>
        <v>RU</v>
      </c>
      <c r="H6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INDEX(LOADINGSPEEDDEF[SPEED],MATCH("LOADINGSPEEDDEF_"&amp;PROPERTIES[[#This Row],[LOADINGSPEED]],LOADINGSPEEDDEF[TYPE],0))</f>
        <v>20</v>
      </c>
      <c r="O6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4">
        <v>0</v>
      </c>
      <c r="AF633" s="6">
        <v>0</v>
      </c>
      <c r="AG633" t="s">
        <v>1940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1" t="b">
        <v>0</v>
      </c>
      <c r="AP633" s="45" t="b">
        <v>0</v>
      </c>
      <c r="AQ633" s="45" t="b">
        <v>0</v>
      </c>
      <c r="AR633" s="45">
        <v>0</v>
      </c>
      <c r="AS633" s="45" t="b">
        <v>0</v>
      </c>
      <c r="AT633" s="7" t="b">
        <v>0</v>
      </c>
      <c r="AU6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4" spans="1:47" x14ac:dyDescent="0.35">
      <c r="A634" s="2" t="s">
        <v>3243</v>
      </c>
      <c r="B634">
        <v>1983</v>
      </c>
      <c r="C634">
        <v>2030</v>
      </c>
      <c r="D6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4" s="37" t="str">
        <f>INDEX(CONTROL[ENGLISH],MATCH(PROPERTIES[[#This Row],[VEHIDCODE]],CONTROL[VEHIDCODE],0))</f>
        <v>Skoda 82E</v>
      </c>
      <c r="F634" t="s">
        <v>583</v>
      </c>
      <c r="G634" s="37" t="str">
        <f>_xlfn.IFNA(INDEX(COUNTRIES[COUNTRY_LABEL],MATCH(PROPERTIES[[#This Row],[COUNTRY]],COUNTRIES[COUNTRY_DESCRIPTION],0)),"")</f>
        <v>CZ</v>
      </c>
      <c r="H6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INDEX(LOADINGSPEEDDEF[SPEED],MATCH("LOADINGSPEEDDEF_"&amp;PROPERTIES[[#This Row],[LOADINGSPEED]],LOADINGSPEEDDEF[TYPE],0))</f>
        <v>20</v>
      </c>
      <c r="O63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4">
        <v>0</v>
      </c>
      <c r="AF634" s="6">
        <v>0</v>
      </c>
      <c r="AG634" t="s">
        <v>1940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1" t="b">
        <v>0</v>
      </c>
      <c r="AP634" s="45" t="b">
        <v>0</v>
      </c>
      <c r="AQ634" s="45" t="b">
        <v>0</v>
      </c>
      <c r="AR634" s="45">
        <v>0</v>
      </c>
      <c r="AS634" s="45" t="b">
        <v>0</v>
      </c>
      <c r="AT634" s="7" t="b">
        <v>0</v>
      </c>
      <c r="AU6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5" spans="1:47" x14ac:dyDescent="0.35">
      <c r="A635" s="2" t="s">
        <v>3244</v>
      </c>
      <c r="B635">
        <v>1962</v>
      </c>
      <c r="C635">
        <v>1985</v>
      </c>
      <c r="D6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5" s="37" t="str">
        <f>INDEX(CONTROL[ENGLISH],MATCH(PROPERTIES[[#This Row],[VEHIDCODE]],CONTROL[VEHIDCODE],0))</f>
        <v>GE C-C 4400 RFFSA</v>
      </c>
      <c r="F635" t="s">
        <v>558</v>
      </c>
      <c r="G635" s="37" t="str">
        <f>_xlfn.IFNA(INDEX(COUNTRIES[COUNTRY_LABEL],MATCH(PROPERTIES[[#This Row],[COUNTRY]],COUNTRIES[COUNTRY_DESCRIPTION],0)),"")</f>
        <v>BR</v>
      </c>
      <c r="H6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INDEX(LOADINGSPEEDDEF[SPEED],MATCH("LOADINGSPEEDDEF_"&amp;PROPERTIES[[#This Row],[LOADINGSPEED]],LOADINGSPEEDDEF[TYPE],0))</f>
        <v>20</v>
      </c>
      <c r="O6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4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1" t="b">
        <v>0</v>
      </c>
      <c r="AP635" s="45" t="b">
        <v>0</v>
      </c>
      <c r="AQ635" s="45" t="b">
        <v>0</v>
      </c>
      <c r="AR635" s="45">
        <v>0</v>
      </c>
      <c r="AS635" s="45" t="b">
        <v>0</v>
      </c>
      <c r="AT635" s="7" t="b">
        <v>0</v>
      </c>
      <c r="AU6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6" spans="1:47" x14ac:dyDescent="0.35">
      <c r="A636" s="2" t="s">
        <v>3245</v>
      </c>
      <c r="B636">
        <v>1983</v>
      </c>
      <c r="C636">
        <v>2030</v>
      </c>
      <c r="D6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6" s="37" t="str">
        <f>INDEX(CONTROL[ENGLISH],MATCH(PROPERTIES[[#This Row],[VEHIDCODE]],CONTROL[VEHIDCODE],0))</f>
        <v>NEVZ VL85</v>
      </c>
      <c r="F636" t="s">
        <v>716</v>
      </c>
      <c r="G636" s="37" t="str">
        <f>_xlfn.IFNA(INDEX(COUNTRIES[COUNTRY_LABEL],MATCH(PROPERTIES[[#This Row],[COUNTRY]],COUNTRIES[COUNTRY_DESCRIPTION],0)),"")</f>
        <v>RU</v>
      </c>
      <c r="H6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INDEX(LOADINGSPEEDDEF[SPEED],MATCH("LOADINGSPEEDDEF_"&amp;PROPERTIES[[#This Row],[LOADINGSPEED]],LOADINGSPEEDDEF[TYPE],0))</f>
        <v>20</v>
      </c>
      <c r="O63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4">
        <v>0</v>
      </c>
      <c r="AF636" s="6">
        <v>8</v>
      </c>
      <c r="AG636" t="s">
        <v>1940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1" t="b">
        <v>0</v>
      </c>
      <c r="AP636" s="45" t="b">
        <v>0</v>
      </c>
      <c r="AQ636" s="45" t="b">
        <v>0</v>
      </c>
      <c r="AR636" s="45">
        <v>0</v>
      </c>
      <c r="AS636" s="45" t="b">
        <v>0</v>
      </c>
      <c r="AT636" s="7" t="b">
        <v>0</v>
      </c>
      <c r="AU6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37" spans="1:47" x14ac:dyDescent="0.35">
      <c r="A637" s="2" t="s">
        <v>3246</v>
      </c>
      <c r="B637">
        <v>1963</v>
      </c>
      <c r="C637">
        <v>1990</v>
      </c>
      <c r="D6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7" s="37" t="str">
        <f>INDEX(CONTROL[ENGLISH],MATCH(PROPERTIES[[#This Row],[VEHIDCODE]],CONTROL[VEHIDCODE],0))</f>
        <v>DEVZ VL41</v>
      </c>
      <c r="F637" t="s">
        <v>716</v>
      </c>
      <c r="G637" s="37" t="str">
        <f>_xlfn.IFNA(INDEX(COUNTRIES[COUNTRY_LABEL],MATCH(PROPERTIES[[#This Row],[COUNTRY]],COUNTRIES[COUNTRY_DESCRIPTION],0)),"")</f>
        <v>RU</v>
      </c>
      <c r="H6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INDEX(LOADINGSPEEDDEF[SPEED],MATCH("LOADINGSPEEDDEF_"&amp;PROPERTIES[[#This Row],[LOADINGSPEED]],LOADINGSPEEDDEF[TYPE],0))</f>
        <v>20</v>
      </c>
      <c r="O6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4">
        <v>0</v>
      </c>
      <c r="AF637" s="6">
        <v>0</v>
      </c>
      <c r="AG637" t="s">
        <v>1940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1" t="b">
        <v>0</v>
      </c>
      <c r="AP637" s="45" t="b">
        <v>0</v>
      </c>
      <c r="AQ637" s="45" t="b">
        <v>0</v>
      </c>
      <c r="AR637" s="45">
        <v>0</v>
      </c>
      <c r="AS637" s="45" t="b">
        <v>0</v>
      </c>
      <c r="AT637" s="7" t="b">
        <v>0</v>
      </c>
      <c r="AU6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8" spans="1:47" x14ac:dyDescent="0.35">
      <c r="A638" s="2" t="s">
        <v>3247</v>
      </c>
      <c r="B638">
        <v>1994</v>
      </c>
      <c r="C638">
        <v>2030</v>
      </c>
      <c r="D6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8" s="37" t="str">
        <f>INDEX(CONTROL[ENGLISH],MATCH(PROPERTIES[[#This Row],[VEHIDCODE]],CONTROL[VEHIDCODE],0))</f>
        <v>CLW WAP-4</v>
      </c>
      <c r="F638" t="s">
        <v>631</v>
      </c>
      <c r="G638" s="37" t="str">
        <f>_xlfn.IFNA(INDEX(COUNTRIES[COUNTRY_LABEL],MATCH(PROPERTIES[[#This Row],[COUNTRY]],COUNTRIES[COUNTRY_DESCRIPTION],0)),"")</f>
        <v>IN</v>
      </c>
      <c r="H6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INDEX(LOADINGSPEEDDEF[SPEED],MATCH("LOADINGSPEEDDEF_"&amp;PROPERTIES[[#This Row],[LOADINGSPEED]],LOADINGSPEEDDEF[TYPE],0))</f>
        <v>20</v>
      </c>
      <c r="O6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4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1" t="b">
        <v>0</v>
      </c>
      <c r="AP638" s="45" t="b">
        <v>0</v>
      </c>
      <c r="AQ638" s="45" t="b">
        <v>0</v>
      </c>
      <c r="AR638" s="45">
        <v>0</v>
      </c>
      <c r="AS638" s="45" t="b">
        <v>0</v>
      </c>
      <c r="AT638" s="7" t="b">
        <v>0</v>
      </c>
      <c r="AU6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39" spans="1:47" x14ac:dyDescent="0.35">
      <c r="A639" s="2" t="s">
        <v>3248</v>
      </c>
      <c r="B639">
        <v>1973</v>
      </c>
      <c r="C639">
        <v>1998</v>
      </c>
      <c r="D6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39" s="37" t="str">
        <f>INDEX(CONTROL[ENGLISH],MATCH(PROPERTIES[[#This Row],[VEHIDCODE]],CONTROL[VEHIDCODE],0))</f>
        <v>NEVZ ES40</v>
      </c>
      <c r="F639" t="s">
        <v>597</v>
      </c>
      <c r="G639" s="37" t="str">
        <f>_xlfn.IFNA(INDEX(COUNTRIES[COUNTRY_LABEL],MATCH(PROPERTIES[[#This Row],[COUNTRY]],COUNTRIES[COUNTRY_DESCRIPTION],0)),"")</f>
        <v>FI</v>
      </c>
      <c r="H6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INDEX(LOADINGSPEEDDEF[SPEED],MATCH("LOADINGSPEEDDEF_"&amp;PROPERTIES[[#This Row],[LOADINGSPEED]],LOADINGSPEEDDEF[TYPE],0))</f>
        <v>20</v>
      </c>
      <c r="O6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4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3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1" t="b">
        <v>0</v>
      </c>
      <c r="AP639" s="45" t="b">
        <v>0</v>
      </c>
      <c r="AQ639" s="45" t="b">
        <v>0</v>
      </c>
      <c r="AR639" s="45">
        <v>0</v>
      </c>
      <c r="AS639" s="45" t="b">
        <v>0</v>
      </c>
      <c r="AT639" s="7" t="b">
        <v>0</v>
      </c>
      <c r="AU6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0" spans="1:47" x14ac:dyDescent="0.35">
      <c r="A640" s="2" t="s">
        <v>3249</v>
      </c>
      <c r="B640">
        <v>2004</v>
      </c>
      <c r="D6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0" s="37" t="str">
        <f>INDEX(CONTROL[ENGLISH],MATCH(PROPERTIES[[#This Row],[VEHIDCODE]],CONTROL[VEHIDCODE],0))</f>
        <v>Zuzhou KZ4A</v>
      </c>
      <c r="F640" t="s">
        <v>651</v>
      </c>
      <c r="G640" s="37" t="str">
        <f>_xlfn.IFNA(INDEX(COUNTRIES[COUNTRY_LABEL],MATCH(PROPERTIES[[#This Row],[COUNTRY]],COUNTRIES[COUNTRY_DESCRIPTION],0)),"")</f>
        <v>KZ</v>
      </c>
      <c r="H6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INDEX(LOADINGSPEEDDEF[SPEED],MATCH("LOADINGSPEEDDEF_"&amp;PROPERTIES[[#This Row],[LOADINGSPEED]],LOADINGSPEEDDEF[TYPE],0))</f>
        <v>20</v>
      </c>
      <c r="O6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4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0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1" t="b">
        <v>0</v>
      </c>
      <c r="AP640" s="45" t="b">
        <v>0</v>
      </c>
      <c r="AQ640" s="45" t="b">
        <v>0</v>
      </c>
      <c r="AR640" s="45">
        <v>0</v>
      </c>
      <c r="AS640" s="45" t="b">
        <v>0</v>
      </c>
      <c r="AT640" s="7" t="b">
        <v>0</v>
      </c>
      <c r="AU6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1" spans="1:47" x14ac:dyDescent="0.35">
      <c r="A641" s="2" t="s">
        <v>3250</v>
      </c>
      <c r="B641">
        <v>2014</v>
      </c>
      <c r="D6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1" s="37" t="str">
        <f>INDEX(CONTROL[ENGLISH],MATCH(PROPERTIES[[#This Row],[VEHIDCODE]],CONTROL[VEHIDCODE],0))</f>
        <v>Alstom KZ8A</v>
      </c>
      <c r="F641" t="s">
        <v>651</v>
      </c>
      <c r="G641" s="37" t="str">
        <f>_xlfn.IFNA(INDEX(COUNTRIES[COUNTRY_LABEL],MATCH(PROPERTIES[[#This Row],[COUNTRY]],COUNTRIES[COUNTRY_DESCRIPTION],0)),"")</f>
        <v>KZ</v>
      </c>
      <c r="H6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INDEX(LOADINGSPEEDDEF[SPEED],MATCH("LOADINGSPEEDDEF_"&amp;PROPERTIES[[#This Row],[LOADINGSPEED]],LOADINGSPEEDDEF[TYPE],0))</f>
        <v>20</v>
      </c>
      <c r="O6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4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1" t="b">
        <v>0</v>
      </c>
      <c r="AP641" s="45" t="b">
        <v>0</v>
      </c>
      <c r="AQ641" s="45" t="b">
        <v>0</v>
      </c>
      <c r="AR641" s="45">
        <v>0</v>
      </c>
      <c r="AS641" s="45" t="b">
        <v>0</v>
      </c>
      <c r="AT641" s="7" t="b">
        <v>0</v>
      </c>
      <c r="AU6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642" spans="1:47" x14ac:dyDescent="0.35">
      <c r="A642" s="2" t="s">
        <v>3251</v>
      </c>
      <c r="B642">
        <v>2011</v>
      </c>
      <c r="D6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2" s="37" t="str">
        <f>INDEX(CONTROL[ENGLISH],MATCH(PROPERTIES[[#This Row],[VEHIDCODE]],CONTROL[VEHIDCODE],0))</f>
        <v>TRTrans/NEVZ EP20</v>
      </c>
      <c r="F642" t="s">
        <v>716</v>
      </c>
      <c r="G642" s="37" t="str">
        <f>_xlfn.IFNA(INDEX(COUNTRIES[COUNTRY_LABEL],MATCH(PROPERTIES[[#This Row],[COUNTRY]],COUNTRIES[COUNTRY_DESCRIPTION],0)),"")</f>
        <v>RU</v>
      </c>
      <c r="H6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INDEX(LOADINGSPEEDDEF[SPEED],MATCH("LOADINGSPEEDDEF_"&amp;PROPERTIES[[#This Row],[LOADINGSPEED]],LOADINGSPEEDDEF[TYPE],0))</f>
        <v>20</v>
      </c>
      <c r="O64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4">
        <v>0</v>
      </c>
      <c r="AF642" s="6">
        <v>0</v>
      </c>
      <c r="AG642" t="s">
        <v>1940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64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1" t="b">
        <v>0</v>
      </c>
      <c r="AP642" s="45" t="b">
        <v>0</v>
      </c>
      <c r="AQ642" s="45" t="b">
        <v>0</v>
      </c>
      <c r="AR642" s="45">
        <v>0</v>
      </c>
      <c r="AS642" s="45" t="b">
        <v>0</v>
      </c>
      <c r="AT642" s="7" t="b">
        <v>0</v>
      </c>
      <c r="AU6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643" spans="1:47" x14ac:dyDescent="0.35">
      <c r="A643" s="2" t="s">
        <v>3252</v>
      </c>
      <c r="B643">
        <v>1955</v>
      </c>
      <c r="C643">
        <v>1981</v>
      </c>
      <c r="D6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3" s="37" t="str">
        <f>INDEX(CONTROL[ENGLISH],MATCH(PROPERTIES[[#This Row],[VEHIDCODE]],CONTROL[VEHIDCODE],0))</f>
        <v>Valmet Dm7</v>
      </c>
      <c r="F643" t="s">
        <v>597</v>
      </c>
      <c r="G643" s="37" t="str">
        <f>_xlfn.IFNA(INDEX(COUNTRIES[COUNTRY_LABEL],MATCH(PROPERTIES[[#This Row],[COUNTRY]],COUNTRIES[COUNTRY_DESCRIPTION],0)),"")</f>
        <v>FI</v>
      </c>
      <c r="H6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INDEX(LOADINGSPEEDDEF[SPEED],MATCH("LOADINGSPEEDDEF_"&amp;PROPERTIES[[#This Row],[LOADINGSPEED]],LOADINGSPEEDDEF[TYPE],0))</f>
        <v>60</v>
      </c>
      <c r="O6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4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643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1" t="b">
        <v>0</v>
      </c>
      <c r="AP643" s="45" t="b">
        <v>0</v>
      </c>
      <c r="AQ643" s="45" t="b">
        <v>0</v>
      </c>
      <c r="AR643" s="45">
        <v>0</v>
      </c>
      <c r="AS643" s="45" t="b">
        <v>0</v>
      </c>
      <c r="AT643" s="7" t="b">
        <v>0</v>
      </c>
      <c r="AU6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4" spans="1:47" x14ac:dyDescent="0.35">
      <c r="A644" s="2" t="s">
        <v>3253</v>
      </c>
      <c r="B644">
        <v>1984</v>
      </c>
      <c r="D6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4" s="37" t="str">
        <f>INDEX(CONTROL[ENGLISH],MATCH(PROPERTIES[[#This Row],[VEHIDCODE]],CONTROL[VEHIDCODE],0))</f>
        <v xml:space="preserve">Vagonka Studenka 91M0 </v>
      </c>
      <c r="F644" t="s">
        <v>716</v>
      </c>
      <c r="G644" s="37" t="str">
        <f>_xlfn.IFNA(INDEX(COUNTRIES[COUNTRY_LABEL],MATCH(PROPERTIES[[#This Row],[COUNTRY]],COUNTRIES[COUNTRY_DESCRIPTION],0)),"")</f>
        <v>RU</v>
      </c>
      <c r="H6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INDEX(LOADINGSPEEDDEF[SPEED],MATCH("LOADINGSPEEDDEF_"&amp;PROPERTIES[[#This Row],[LOADINGSPEED]],LOADINGSPEEDDEF[TYPE],0))</f>
        <v>60</v>
      </c>
      <c r="O6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4">
        <v>0</v>
      </c>
      <c r="AF644" s="6">
        <v>0</v>
      </c>
      <c r="AG644" t="s">
        <v>1940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644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1" t="b">
        <v>0</v>
      </c>
      <c r="AP644" s="45" t="b">
        <v>0</v>
      </c>
      <c r="AQ644" s="45" t="b">
        <v>0</v>
      </c>
      <c r="AR644" s="45">
        <v>0</v>
      </c>
      <c r="AS644" s="45" t="b">
        <v>0</v>
      </c>
      <c r="AT644" s="7" t="b">
        <v>0</v>
      </c>
      <c r="AU6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645" spans="1:47" x14ac:dyDescent="0.35">
      <c r="A645" s="2" t="s">
        <v>3254</v>
      </c>
      <c r="B645">
        <v>1973</v>
      </c>
      <c r="C645">
        <v>1988</v>
      </c>
      <c r="D6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5" s="37" t="str">
        <f>INDEX(CONTROL[ENGLISH],MATCH(PROPERTIES[[#This Row],[VEHIDCODE]],CONTROL[VEHIDCODE],0))</f>
        <v>RVR ER200</v>
      </c>
      <c r="F645" t="s">
        <v>716</v>
      </c>
      <c r="G645" s="37" t="str">
        <f>_xlfn.IFNA(INDEX(COUNTRIES[COUNTRY_LABEL],MATCH(PROPERTIES[[#This Row],[COUNTRY]],COUNTRIES[COUNTRY_DESCRIPTION],0)),"")</f>
        <v>RU</v>
      </c>
      <c r="H6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INDEX(LOADINGSPEEDDEF[SPEED],MATCH("LOADINGSPEEDDEF_"&amp;PROPERTIES[[#This Row],[LOADINGSPEED]],LOADINGSPEEDDEF[TYPE],0))</f>
        <v>20</v>
      </c>
      <c r="O6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4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5" s="2" t="str">
        <f>SUBSTITUTE(SUBSTITUTE(PROPERTIES[[#This Row],[PURCHASECOST_VALUE]], "PURCHASECOST_", ""), "_VALUE", "")</f>
        <v>EMU</v>
      </c>
      <c r="AO645" s="41" t="b">
        <v>0</v>
      </c>
      <c r="AP645" s="45" t="b">
        <v>0</v>
      </c>
      <c r="AQ645" s="45" t="b">
        <v>0</v>
      </c>
      <c r="AR645" s="45">
        <v>0</v>
      </c>
      <c r="AS645" s="45" t="b">
        <v>0</v>
      </c>
      <c r="AT645" s="7" t="b">
        <v>0</v>
      </c>
      <c r="AU6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6" spans="1:47" x14ac:dyDescent="0.35">
      <c r="A646" s="2" t="s">
        <v>3255</v>
      </c>
      <c r="B646">
        <v>1929</v>
      </c>
      <c r="C646">
        <v>2012</v>
      </c>
      <c r="D6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6" s="37" t="str">
        <f>INDEX(CONTROL[ENGLISH],MATCH(PROPERTIES[[#This Row],[VEHIDCODE]],CONTROL[VEHIDCODE],0))</f>
        <v>MMZ 'S'</v>
      </c>
      <c r="F646" t="s">
        <v>716</v>
      </c>
      <c r="G646" s="37" t="str">
        <f>_xlfn.IFNA(INDEX(COUNTRIES[COUNTRY_LABEL],MATCH(PROPERTIES[[#This Row],[COUNTRY]],COUNTRIES[COUNTRY_DESCRIPTION],0)),"")</f>
        <v>RU</v>
      </c>
      <c r="H6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INDEX(LOADINGSPEEDDEF[SPEED],MATCH("LOADINGSPEEDDEF_"&amp;PROPERTIES[[#This Row],[LOADINGSPEED]],LOADINGSPEEDDEF[TYPE],0))</f>
        <v>60</v>
      </c>
      <c r="O6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4">
        <v>110</v>
      </c>
      <c r="AF646" s="6">
        <v>7</v>
      </c>
      <c r="AG646" t="s">
        <v>1943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6" s="2" t="str">
        <f>SUBSTITUTE(SUBSTITUTE(PROPERTIES[[#This Row],[PURCHASECOST_VALUE]], "PURCHASECOST_", ""), "_VALUE", "")</f>
        <v>EMU</v>
      </c>
      <c r="AO646" s="41" t="b">
        <v>0</v>
      </c>
      <c r="AP646" s="45" t="b">
        <v>0</v>
      </c>
      <c r="AQ646" s="45" t="b">
        <v>0</v>
      </c>
      <c r="AR646" s="45">
        <v>0</v>
      </c>
      <c r="AS646" s="45" t="b">
        <v>0</v>
      </c>
      <c r="AT646" s="7" t="b">
        <v>0</v>
      </c>
      <c r="AU6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7" spans="1:47" x14ac:dyDescent="0.35">
      <c r="A647" s="2" t="s">
        <v>3256</v>
      </c>
      <c r="B647">
        <v>2015</v>
      </c>
      <c r="D6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7" s="37" t="str">
        <f>INDEX(CONTROL[ENGLISH],MATCH(PROPERTIES[[#This Row],[VEHIDCODE]],CONTROL[VEHIDCODE],0))</f>
        <v>Koncar 6112</v>
      </c>
      <c r="F647" t="s">
        <v>624</v>
      </c>
      <c r="G647" s="37" t="str">
        <f>_xlfn.IFNA(INDEX(COUNTRIES[COUNTRY_LABEL],MATCH(PROPERTIES[[#This Row],[COUNTRY]],COUNTRIES[COUNTRY_DESCRIPTION],0)),"")</f>
        <v>HR</v>
      </c>
      <c r="H6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INDEX(LOADINGSPEEDDEF[SPEED],MATCH("LOADINGSPEEDDEF_"&amp;PROPERTIES[[#This Row],[LOADINGSPEED]],LOADINGSPEEDDEF[TYPE],0))</f>
        <v>60</v>
      </c>
      <c r="O6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4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7" s="2" t="str">
        <f>SUBSTITUTE(SUBSTITUTE(PROPERTIES[[#This Row],[PURCHASECOST_VALUE]], "PURCHASECOST_", ""), "_VALUE", "")</f>
        <v>EMU</v>
      </c>
      <c r="AO647" s="41" t="b">
        <v>0</v>
      </c>
      <c r="AP647" s="45" t="b">
        <v>0</v>
      </c>
      <c r="AQ647" s="45" t="b">
        <v>0</v>
      </c>
      <c r="AR647" s="45">
        <v>0</v>
      </c>
      <c r="AS647" s="45" t="b">
        <v>0</v>
      </c>
      <c r="AT647" s="7" t="b">
        <v>0</v>
      </c>
      <c r="AU6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648" spans="1:47" x14ac:dyDescent="0.35">
      <c r="A648" s="2" t="s">
        <v>3257</v>
      </c>
      <c r="B648">
        <v>2011</v>
      </c>
      <c r="D6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648" s="37" t="str">
        <f>INDEX(CONTROL[ENGLISH],MATCH(PROPERTIES[[#This Row],[VEHIDCODE]],CONTROL[VEHIDCODE],0))</f>
        <v>Siemens Desiro ES1 'Lastochka'</v>
      </c>
      <c r="F648" t="s">
        <v>716</v>
      </c>
      <c r="G648" s="37" t="str">
        <f>_xlfn.IFNA(INDEX(COUNTRIES[COUNTRY_LABEL],MATCH(PROPERTIES[[#This Row],[COUNTRY]],COUNTRIES[COUNTRY_DESCRIPTION],0)),"")</f>
        <v>RU</v>
      </c>
      <c r="H6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INDEX(LOADINGSPEEDDEF[SPEED],MATCH("LOADINGSPEEDDEF_"&amp;PROPERTIES[[#This Row],[LOADINGSPEED]],LOADINGSPEEDDEF[TYPE],0))</f>
        <v>60</v>
      </c>
      <c r="O6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4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64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648" s="2" t="str">
        <f>SUBSTITUTE(SUBSTITUTE(PROPERTIES[[#This Row],[PURCHASECOST_VALUE]], "PURCHASECOST_", ""), "_VALUE", "")</f>
        <v>EMU</v>
      </c>
      <c r="AO648" s="41" t="b">
        <v>0</v>
      </c>
      <c r="AP648" s="45" t="b">
        <v>0</v>
      </c>
      <c r="AQ648" s="45" t="b">
        <v>0</v>
      </c>
      <c r="AR648" s="45">
        <v>0</v>
      </c>
      <c r="AS648" s="45" t="b">
        <v>0</v>
      </c>
      <c r="AT648" s="7" t="b">
        <v>0</v>
      </c>
      <c r="AU6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649" spans="1:47" x14ac:dyDescent="0.35">
      <c r="A649" s="2" t="s">
        <v>74</v>
      </c>
      <c r="B649">
        <v>1900</v>
      </c>
      <c r="D6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49" s="37" t="str">
        <f>INDEX(CONTROL[ENGLISH],MATCH(PROPERTIES[[#This Row],[VEHIDCODE]],CONTROL[VEHIDCODE],0))</f>
        <v>Metro Unit Wagon</v>
      </c>
      <c r="G649" s="37" t="str">
        <f>_xlfn.IFNA(INDEX(COUNTRIES[COUNTRY_LABEL],MATCH(PROPERTIES[[#This Row],[COUNTRY]],COUNTRIES[COUNTRY_DESCRIPTION],0)),"")</f>
        <v/>
      </c>
      <c r="H6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INDEX(LOADINGSPEEDDEF[SPEED],MATCH("LOADINGSPEEDDEF_"&amp;PROPERTIES[[#This Row],[LOADINGSPEED]],LOADINGSPEEDDEF[TYPE],0))</f>
        <v>120</v>
      </c>
      <c r="O64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4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64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649" s="2" t="str">
        <f>SUBSTITUTE(SUBSTITUTE(PROPERTIES[[#This Row],[PURCHASECOST_VALUE]], "PURCHASECOST_", ""), "_VALUE", "")</f>
        <v>METRO</v>
      </c>
      <c r="AO649" s="41" t="b">
        <v>0</v>
      </c>
      <c r="AP649" s="45" t="b">
        <v>0</v>
      </c>
      <c r="AQ649" s="45" t="b">
        <v>0</v>
      </c>
      <c r="AR649" s="45">
        <v>0</v>
      </c>
      <c r="AS649" s="45" t="b">
        <v>0</v>
      </c>
      <c r="AT649" s="7" t="b">
        <v>0</v>
      </c>
      <c r="AU6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0" spans="1:47" x14ac:dyDescent="0.35">
      <c r="A650" s="2" t="s">
        <v>73</v>
      </c>
      <c r="B650">
        <v>1900</v>
      </c>
      <c r="D6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0" s="37" t="str">
        <f>INDEX(CONTROL[ENGLISH],MATCH(PROPERTIES[[#This Row],[VEHIDCODE]],CONTROL[VEHIDCODE],0))</f>
        <v>Metro Unit Wagon</v>
      </c>
      <c r="G650" s="37" t="str">
        <f>_xlfn.IFNA(INDEX(COUNTRIES[COUNTRY_LABEL],MATCH(PROPERTIES[[#This Row],[COUNTRY]],COUNTRIES[COUNTRY_DESCRIPTION],0)),"")</f>
        <v/>
      </c>
      <c r="H6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INDEX(LOADINGSPEEDDEF[SPEED],MATCH("LOADINGSPEEDDEF_"&amp;PROPERTIES[[#This Row],[LOADINGSPEED]],LOADINGSPEEDDEF[TYPE],0))</f>
        <v>120</v>
      </c>
      <c r="O6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4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65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650" s="2" t="str">
        <f>SUBSTITUTE(SUBSTITUTE(PROPERTIES[[#This Row],[PURCHASECOST_VALUE]], "PURCHASECOST_", ""), "_VALUE", "")</f>
        <v>METRO</v>
      </c>
      <c r="AO650" s="41" t="b">
        <v>0</v>
      </c>
      <c r="AP650" s="45" t="b">
        <v>0</v>
      </c>
      <c r="AQ650" s="45" t="b">
        <v>0</v>
      </c>
      <c r="AR650" s="45">
        <v>0</v>
      </c>
      <c r="AS650" s="45" t="b">
        <v>0</v>
      </c>
      <c r="AT650" s="7" t="b">
        <v>0</v>
      </c>
      <c r="AU6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1" spans="1:47" x14ac:dyDescent="0.35">
      <c r="A651" s="2" t="s">
        <v>75</v>
      </c>
      <c r="B651">
        <v>1992</v>
      </c>
      <c r="D6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1" s="37" t="str">
        <f>INDEX(CONTROL[ENGLISH],MATCH(PROPERTIES[[#This Row],[VEHIDCODE]],CONTROL[VEHIDCODE],0))</f>
        <v>Multiple Unit Cargo Wagon</v>
      </c>
      <c r="G651" s="37" t="str">
        <f>_xlfn.IFNA(INDEX(COUNTRIES[COUNTRY_LABEL],MATCH(PROPERTIES[[#This Row],[COUNTRY]],COUNTRIES[COUNTRY_DESCRIPTION],0)),"")</f>
        <v/>
      </c>
      <c r="H6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INDEX(LOADINGSPEEDDEF[SPEED],MATCH("LOADINGSPEEDDEF_"&amp;PROPERTIES[[#This Row],[LOADINGSPEED]],LOADINGSPEEDDEF[TYPE],0))</f>
        <v>60</v>
      </c>
      <c r="O65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4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1" s="2" t="str">
        <f>SUBSTITUTE(SUBSTITUTE(PROPERTIES[[#This Row],[PURCHASECOST_VALUE]], "PURCHASECOST_", ""), "_VALUE", "")</f>
        <v>DMU</v>
      </c>
      <c r="AO651" s="41" t="b">
        <v>0</v>
      </c>
      <c r="AP651" s="45" t="b">
        <v>0</v>
      </c>
      <c r="AQ651" s="45" t="b">
        <v>0</v>
      </c>
      <c r="AR651" s="45">
        <v>0</v>
      </c>
      <c r="AS651" s="45" t="b">
        <v>0</v>
      </c>
      <c r="AT651" s="7" t="b">
        <v>0</v>
      </c>
      <c r="AU6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2" spans="1:47" x14ac:dyDescent="0.35">
      <c r="A652" s="2" t="s">
        <v>76</v>
      </c>
      <c r="B652">
        <v>1992</v>
      </c>
      <c r="D6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2" s="37" t="str">
        <f>INDEX(CONTROL[ENGLISH],MATCH(PROPERTIES[[#This Row],[VEHIDCODE]],CONTROL[VEHIDCODE],0))</f>
        <v>Multiple Unit Cargo Wagon</v>
      </c>
      <c r="G652" s="37" t="str">
        <f>_xlfn.IFNA(INDEX(COUNTRIES[COUNTRY_LABEL],MATCH(PROPERTIES[[#This Row],[COUNTRY]],COUNTRIES[COUNTRY_DESCRIPTION],0)),"")</f>
        <v/>
      </c>
      <c r="H6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INDEX(LOADINGSPEEDDEF[SPEED],MATCH("LOADINGSPEEDDEF_"&amp;PROPERTIES[[#This Row],[LOADINGSPEED]],LOADINGSPEEDDEF[TYPE],0))</f>
        <v>60</v>
      </c>
      <c r="O6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4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2" s="2" t="str">
        <f>SUBSTITUTE(SUBSTITUTE(PROPERTIES[[#This Row],[PURCHASECOST_VALUE]], "PURCHASECOST_", ""), "_VALUE", "")</f>
        <v>DMU</v>
      </c>
      <c r="AO652" s="41" t="b">
        <v>0</v>
      </c>
      <c r="AP652" s="45" t="b">
        <v>0</v>
      </c>
      <c r="AQ652" s="45" t="b">
        <v>0</v>
      </c>
      <c r="AR652" s="45">
        <v>0</v>
      </c>
      <c r="AS652" s="45" t="b">
        <v>0</v>
      </c>
      <c r="AT652" s="7" t="b">
        <v>0</v>
      </c>
      <c r="AU6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3" spans="1:47" x14ac:dyDescent="0.35">
      <c r="A653" s="2" t="s">
        <v>77</v>
      </c>
      <c r="B653">
        <v>1908</v>
      </c>
      <c r="D6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3" s="37" t="str">
        <f>INDEX(CONTROL[ENGLISH],MATCH(PROPERTIES[[#This Row],[VEHIDCODE]],CONTROL[VEHIDCODE],0))</f>
        <v>Multiple Unit Wagon</v>
      </c>
      <c r="G653" s="37" t="str">
        <f>_xlfn.IFNA(INDEX(COUNTRIES[COUNTRY_LABEL],MATCH(PROPERTIES[[#This Row],[COUNTRY]],COUNTRIES[COUNTRY_DESCRIPTION],0)),"")</f>
        <v/>
      </c>
      <c r="H6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INDEX(LOADINGSPEEDDEF[SPEED],MATCH("LOADINGSPEEDDEF_"&amp;PROPERTIES[[#This Row],[LOADINGSPEED]],LOADINGSPEEDDEF[TYPE],0))</f>
        <v>60</v>
      </c>
      <c r="O6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4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3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3" s="2" t="str">
        <f>SUBSTITUTE(SUBSTITUTE(PROPERTIES[[#This Row],[PURCHASECOST_VALUE]], "PURCHASECOST_", ""), "_VALUE", "")</f>
        <v>DMU</v>
      </c>
      <c r="AO653" s="41" t="b">
        <v>0</v>
      </c>
      <c r="AP653" s="45" t="b">
        <v>0</v>
      </c>
      <c r="AQ653" s="45" t="b">
        <v>0</v>
      </c>
      <c r="AR653" s="45">
        <v>0</v>
      </c>
      <c r="AS653" s="45" t="b">
        <v>0</v>
      </c>
      <c r="AT653" s="7" t="b">
        <v>0</v>
      </c>
      <c r="AU6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4" spans="1:47" x14ac:dyDescent="0.35">
      <c r="A654" s="2" t="s">
        <v>78</v>
      </c>
      <c r="B654">
        <v>1908</v>
      </c>
      <c r="D6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4" s="37" t="str">
        <f>INDEX(CONTROL[ENGLISH],MATCH(PROPERTIES[[#This Row],[VEHIDCODE]],CONTROL[VEHIDCODE],0))</f>
        <v>Multiple Unit Wagon</v>
      </c>
      <c r="G654" s="37" t="str">
        <f>_xlfn.IFNA(INDEX(COUNTRIES[COUNTRY_LABEL],MATCH(PROPERTIES[[#This Row],[COUNTRY]],COUNTRIES[COUNTRY_DESCRIPTION],0)),"")</f>
        <v/>
      </c>
      <c r="H6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INDEX(LOADINGSPEEDDEF[SPEED],MATCH("LOADINGSPEEDDEF_"&amp;PROPERTIES[[#This Row],[LOADINGSPEED]],LOADINGSPEEDDEF[TYPE],0))</f>
        <v>60</v>
      </c>
      <c r="O6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4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65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654" s="2" t="str">
        <f>SUBSTITUTE(SUBSTITUTE(PROPERTIES[[#This Row],[PURCHASECOST_VALUE]], "PURCHASECOST_", ""), "_VALUE", "")</f>
        <v>DMU</v>
      </c>
      <c r="AO654" s="41" t="b">
        <v>0</v>
      </c>
      <c r="AP654" s="45" t="b">
        <v>0</v>
      </c>
      <c r="AQ654" s="45" t="b">
        <v>0</v>
      </c>
      <c r="AR654" s="45">
        <v>0</v>
      </c>
      <c r="AS654" s="45" t="b">
        <v>0</v>
      </c>
      <c r="AT654" s="7" t="b">
        <v>0</v>
      </c>
      <c r="AU6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TPL_01F</v>
      </c>
    </row>
    <row r="655" spans="1:47" x14ac:dyDescent="0.35">
      <c r="A655" s="2" t="s">
        <v>79</v>
      </c>
      <c r="B655">
        <v>1830</v>
      </c>
      <c r="D6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5" s="37" t="str">
        <f>INDEX(CONTROL[ENGLISH],MATCH(PROPERTIES[[#This Row],[VEHIDCODE]],CONTROL[VEHIDCODE],0))</f>
        <v>1st Gen Flat Wagon</v>
      </c>
      <c r="G655" s="37" t="str">
        <f>_xlfn.IFNA(INDEX(COUNTRIES[COUNTRY_LABEL],MATCH(PROPERTIES[[#This Row],[COUNTRY]],COUNTRIES[COUNTRY_DESCRIPTION],0)),"")</f>
        <v/>
      </c>
      <c r="H6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INDEX(LOADINGSPEEDDEF[SPEED],MATCH("LOADINGSPEEDDEF_"&amp;PROPERTIES[[#This Row],[LOADINGSPEED]],LOADINGSPEEDDEF[TYPE],0))</f>
        <v>20</v>
      </c>
      <c r="O6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4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5" s="2" t="str">
        <f>SUBSTITUTE(SUBSTITUTE(PROPERTIES[[#This Row],[PURCHASECOST_VALUE]], "PURCHASECOST_", ""), "_VALUE", "")</f>
        <v>WAGON</v>
      </c>
      <c r="AO655" s="41" t="b">
        <v>0</v>
      </c>
      <c r="AP655" s="45" t="b">
        <v>0</v>
      </c>
      <c r="AQ655" s="45" t="b">
        <v>0</v>
      </c>
      <c r="AR655" s="45">
        <v>2</v>
      </c>
      <c r="AS655" s="45" t="b">
        <v>0</v>
      </c>
      <c r="AT655" s="7" t="b">
        <v>0</v>
      </c>
      <c r="AU6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6" spans="1:47" x14ac:dyDescent="0.35">
      <c r="A656" s="2" t="s">
        <v>80</v>
      </c>
      <c r="B656">
        <v>1830</v>
      </c>
      <c r="D6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6" s="37" t="str">
        <f>INDEX(CONTROL[ENGLISH],MATCH(PROPERTIES[[#This Row],[VEHIDCODE]],CONTROL[VEHIDCODE],0))</f>
        <v>1st Gen Wooden Box Van</v>
      </c>
      <c r="G656" s="37" t="str">
        <f>_xlfn.IFNA(INDEX(COUNTRIES[COUNTRY_LABEL],MATCH(PROPERTIES[[#This Row],[COUNTRY]],COUNTRIES[COUNTRY_DESCRIPTION],0)),"")</f>
        <v/>
      </c>
      <c r="H6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INDEX(LOADINGSPEEDDEF[SPEED],MATCH("LOADINGSPEEDDEF_"&amp;PROPERTIES[[#This Row],[LOADINGSPEED]],LOADINGSPEEDDEF[TYPE],0))</f>
        <v>20</v>
      </c>
      <c r="O6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4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6" s="2" t="str">
        <f>SUBSTITUTE(SUBSTITUTE(PROPERTIES[[#This Row],[PURCHASECOST_VALUE]], "PURCHASECOST_", ""), "_VALUE", "")</f>
        <v>WAGON</v>
      </c>
      <c r="AO656" s="41" t="b">
        <v>0</v>
      </c>
      <c r="AP656" s="45" t="b">
        <v>0</v>
      </c>
      <c r="AQ656" s="45" t="b">
        <v>0</v>
      </c>
      <c r="AR656" s="45">
        <v>2</v>
      </c>
      <c r="AS656" s="45" t="b">
        <v>0</v>
      </c>
      <c r="AT656" s="7" t="b">
        <v>0</v>
      </c>
      <c r="AU6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7" spans="1:47" x14ac:dyDescent="0.35">
      <c r="A657" s="2" t="s">
        <v>81</v>
      </c>
      <c r="B657">
        <v>1830</v>
      </c>
      <c r="D6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7" s="37" t="str">
        <f>INDEX(CONTROL[ENGLISH],MATCH(PROPERTIES[[#This Row],[VEHIDCODE]],CONTROL[VEHIDCODE],0))</f>
        <v>1st Gen Tanker</v>
      </c>
      <c r="G657" s="37" t="str">
        <f>_xlfn.IFNA(INDEX(COUNTRIES[COUNTRY_LABEL],MATCH(PROPERTIES[[#This Row],[COUNTRY]],COUNTRIES[COUNTRY_DESCRIPTION],0)),"")</f>
        <v/>
      </c>
      <c r="H6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INDEX(LOADINGSPEEDDEF[SPEED],MATCH("LOADINGSPEEDDEF_"&amp;PROPERTIES[[#This Row],[LOADINGSPEED]],LOADINGSPEEDDEF[TYPE],0))</f>
        <v>20</v>
      </c>
      <c r="O6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4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7" s="2" t="str">
        <f>SUBSTITUTE(SUBSTITUTE(PROPERTIES[[#This Row],[PURCHASECOST_VALUE]], "PURCHASECOST_", ""), "_VALUE", "")</f>
        <v>WAGON</v>
      </c>
      <c r="AO657" s="41" t="b">
        <v>0</v>
      </c>
      <c r="AP657" s="45" t="b">
        <v>0</v>
      </c>
      <c r="AQ657" s="45" t="b">
        <v>0</v>
      </c>
      <c r="AR657" s="45">
        <v>2</v>
      </c>
      <c r="AS657" s="45" t="b">
        <v>0</v>
      </c>
      <c r="AT657" s="7" t="b">
        <v>0</v>
      </c>
      <c r="AU6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8" spans="1:47" x14ac:dyDescent="0.35">
      <c r="A658" s="2" t="s">
        <v>82</v>
      </c>
      <c r="B658">
        <v>1830</v>
      </c>
      <c r="D6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8" s="37" t="str">
        <f>INDEX(CONTROL[ENGLISH],MATCH(PROPERTIES[[#This Row],[VEHIDCODE]],CONTROL[VEHIDCODE],0))</f>
        <v>1st Gen Wooden Open Wagon</v>
      </c>
      <c r="G658" s="37" t="str">
        <f>_xlfn.IFNA(INDEX(COUNTRIES[COUNTRY_LABEL],MATCH(PROPERTIES[[#This Row],[COUNTRY]],COUNTRIES[COUNTRY_DESCRIPTION],0)),"")</f>
        <v/>
      </c>
      <c r="H6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3657</v>
      </c>
      <c r="J658">
        <v>18</v>
      </c>
      <c r="K658">
        <v>4</v>
      </c>
      <c r="L658">
        <v>0</v>
      </c>
      <c r="M6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INDEX(LOADINGSPEEDDEF[SPEED],MATCH("LOADINGSPEEDDEF_"&amp;PROPERTIES[[#This Row],[LOADINGSPEED]],LOADINGSPEEDDEF[TYPE],0))</f>
        <v>20</v>
      </c>
      <c r="O6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4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8" s="2" t="str">
        <f>SUBSTITUTE(SUBSTITUTE(PROPERTIES[[#This Row],[PURCHASECOST_VALUE]], "PURCHASECOST_", ""), "_VALUE", "")</f>
        <v>WAGON</v>
      </c>
      <c r="AO658" s="41" t="b">
        <v>0</v>
      </c>
      <c r="AP658" s="45" t="b">
        <v>0</v>
      </c>
      <c r="AQ658" s="45" t="b">
        <v>0</v>
      </c>
      <c r="AR658" s="45">
        <v>2</v>
      </c>
      <c r="AS658" s="45" t="b">
        <v>1</v>
      </c>
      <c r="AT658" s="7" t="b">
        <v>0</v>
      </c>
      <c r="AU6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59" spans="1:47" x14ac:dyDescent="0.35">
      <c r="A659" s="2" t="s">
        <v>153</v>
      </c>
      <c r="B659">
        <v>1900</v>
      </c>
      <c r="D6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59" s="37" t="str">
        <f>INDEX(CONTROL[ENGLISH],MATCH(PROPERTIES[[#This Row],[VEHIDCODE]],CONTROL[VEHIDCODE],0))</f>
        <v>2nd Gen Flat Wagon</v>
      </c>
      <c r="G659" s="37" t="str">
        <f>_xlfn.IFNA(INDEX(COUNTRIES[COUNTRY_LABEL],MATCH(PROPERTIES[[#This Row],[COUNTRY]],COUNTRIES[COUNTRY_DESCRIPTION],0)),"")</f>
        <v/>
      </c>
      <c r="H6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INDEX(LOADINGSPEEDDEF[SPEED],MATCH("LOADINGSPEEDDEF_"&amp;PROPERTIES[[#This Row],[LOADINGSPEED]],LOADINGSPEEDDEF[TYPE],0))</f>
        <v>20</v>
      </c>
      <c r="O6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4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5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59" s="2" t="str">
        <f>SUBSTITUTE(SUBSTITUTE(PROPERTIES[[#This Row],[PURCHASECOST_VALUE]], "PURCHASECOST_", ""), "_VALUE", "")</f>
        <v>WAGON</v>
      </c>
      <c r="AO659" s="41" t="b">
        <v>0</v>
      </c>
      <c r="AP659" s="45" t="b">
        <v>0</v>
      </c>
      <c r="AQ659" s="45" t="b">
        <v>0</v>
      </c>
      <c r="AR659" s="45">
        <v>2</v>
      </c>
      <c r="AS659" s="45" t="b">
        <v>0</v>
      </c>
      <c r="AT659" s="7" t="b">
        <v>0</v>
      </c>
      <c r="AU6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0" spans="1:47" x14ac:dyDescent="0.35">
      <c r="A660" s="2" t="s">
        <v>154</v>
      </c>
      <c r="B660">
        <v>1890</v>
      </c>
      <c r="D6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0" s="37" t="str">
        <f>INDEX(CONTROL[ENGLISH],MATCH(PROPERTIES[[#This Row],[VEHIDCODE]],CONTROL[VEHIDCODE],0))</f>
        <v>2nd Gen Wooden Box Van [Food]</v>
      </c>
      <c r="G660" s="37" t="str">
        <f>_xlfn.IFNA(INDEX(COUNTRIES[COUNTRY_LABEL],MATCH(PROPERTIES[[#This Row],[COUNTRY]],COUNTRIES[COUNTRY_DESCRIPTION],0)),"")</f>
        <v/>
      </c>
      <c r="H6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3664</v>
      </c>
      <c r="J660">
        <v>25</v>
      </c>
      <c r="K660">
        <v>5</v>
      </c>
      <c r="L660">
        <v>0</v>
      </c>
      <c r="M6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INDEX(LOADINGSPEEDDEF[SPEED],MATCH("LOADINGSPEEDDEF_"&amp;PROPERTIES[[#This Row],[LOADINGSPEED]],LOADINGSPEEDDEF[TYPE],0))</f>
        <v>20</v>
      </c>
      <c r="O6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4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0" s="2" t="str">
        <f>SUBSTITUTE(SUBSTITUTE(PROPERTIES[[#This Row],[PURCHASECOST_VALUE]], "PURCHASECOST_", ""), "_VALUE", "")</f>
        <v>WAGON</v>
      </c>
      <c r="AO660" s="41" t="b">
        <v>0</v>
      </c>
      <c r="AP660" s="45" t="b">
        <v>0</v>
      </c>
      <c r="AQ660" s="45" t="b">
        <v>0</v>
      </c>
      <c r="AR660" s="45">
        <v>2</v>
      </c>
      <c r="AS660" s="45" t="b">
        <v>0</v>
      </c>
      <c r="AT660" s="7" t="b">
        <v>0</v>
      </c>
      <c r="AU6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1" spans="1:47" x14ac:dyDescent="0.35">
      <c r="A661" s="2" t="s">
        <v>155</v>
      </c>
      <c r="B661">
        <v>1890</v>
      </c>
      <c r="D6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1" s="37" t="str">
        <f>INDEX(CONTROL[ENGLISH],MATCH(PROPERTIES[[#This Row],[VEHIDCODE]],CONTROL[VEHIDCODE],0))</f>
        <v>2nd Gen Wooden Box Van [Non-Food]</v>
      </c>
      <c r="G661" s="37" t="str">
        <f>_xlfn.IFNA(INDEX(COUNTRIES[COUNTRY_LABEL],MATCH(PROPERTIES[[#This Row],[COUNTRY]],COUNTRIES[COUNTRY_DESCRIPTION],0)),"")</f>
        <v/>
      </c>
      <c r="H6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3663</v>
      </c>
      <c r="J661">
        <v>25</v>
      </c>
      <c r="K661">
        <v>5</v>
      </c>
      <c r="L661">
        <v>0</v>
      </c>
      <c r="M6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INDEX(LOADINGSPEEDDEF[SPEED],MATCH("LOADINGSPEEDDEF_"&amp;PROPERTIES[[#This Row],[LOADINGSPEED]],LOADINGSPEEDDEF[TYPE],0))</f>
        <v>20</v>
      </c>
      <c r="O6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4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1" s="2" t="str">
        <f>SUBSTITUTE(SUBSTITUTE(PROPERTIES[[#This Row],[PURCHASECOST_VALUE]], "PURCHASECOST_", ""), "_VALUE", "")</f>
        <v>WAGON</v>
      </c>
      <c r="AO661" s="41" t="b">
        <v>0</v>
      </c>
      <c r="AP661" s="45" t="b">
        <v>0</v>
      </c>
      <c r="AQ661" s="45" t="b">
        <v>0</v>
      </c>
      <c r="AR661" s="45">
        <v>2</v>
      </c>
      <c r="AS661" s="45" t="b">
        <v>0</v>
      </c>
      <c r="AT661" s="7" t="b">
        <v>0</v>
      </c>
      <c r="AU6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2" spans="1:47" x14ac:dyDescent="0.35">
      <c r="A662" s="2" t="s">
        <v>156</v>
      </c>
      <c r="B662">
        <v>1900</v>
      </c>
      <c r="D6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2" s="37" t="str">
        <f>INDEX(CONTROL[ENGLISH],MATCH(PROPERTIES[[#This Row],[VEHIDCODE]],CONTROL[VEHIDCODE],0))</f>
        <v>2nd Gen Tanker</v>
      </c>
      <c r="G662" s="37" t="str">
        <f>_xlfn.IFNA(INDEX(COUNTRIES[COUNTRY_LABEL],MATCH(PROPERTIES[[#This Row],[COUNTRY]],COUNTRIES[COUNTRY_DESCRIPTION],0)),"")</f>
        <v/>
      </c>
      <c r="H6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INDEX(LOADINGSPEEDDEF[SPEED],MATCH("LOADINGSPEEDDEF_"&amp;PROPERTIES[[#This Row],[LOADINGSPEED]],LOADINGSPEEDDEF[TYPE],0))</f>
        <v>20</v>
      </c>
      <c r="O6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4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2" s="2" t="str">
        <f>SUBSTITUTE(SUBSTITUTE(PROPERTIES[[#This Row],[PURCHASECOST_VALUE]], "PURCHASECOST_", ""), "_VALUE", "")</f>
        <v>WAGON</v>
      </c>
      <c r="AO662" s="41" t="b">
        <v>0</v>
      </c>
      <c r="AP662" s="45" t="b">
        <v>0</v>
      </c>
      <c r="AQ662" s="45" t="b">
        <v>0</v>
      </c>
      <c r="AR662" s="45">
        <v>2</v>
      </c>
      <c r="AS662" s="45" t="b">
        <v>0</v>
      </c>
      <c r="AT662" s="7" t="b">
        <v>0</v>
      </c>
      <c r="AU6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3" spans="1:47" x14ac:dyDescent="0.35">
      <c r="A663" s="2" t="s">
        <v>157</v>
      </c>
      <c r="B663">
        <v>1890</v>
      </c>
      <c r="D6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3" s="37" t="str">
        <f>INDEX(CONTROL[ENGLISH],MATCH(PROPERTIES[[#This Row],[VEHIDCODE]],CONTROL[VEHIDCODE],0))</f>
        <v>2nd Gen Wooden Open Wagon</v>
      </c>
      <c r="G663" s="37" t="str">
        <f>_xlfn.IFNA(INDEX(COUNTRIES[COUNTRY_LABEL],MATCH(PROPERTIES[[#This Row],[COUNTRY]],COUNTRIES[COUNTRY_DESCRIPTION],0)),"")</f>
        <v/>
      </c>
      <c r="H6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3658</v>
      </c>
      <c r="J663">
        <v>26</v>
      </c>
      <c r="K663">
        <v>5</v>
      </c>
      <c r="L663">
        <v>0</v>
      </c>
      <c r="M6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INDEX(LOADINGSPEEDDEF[SPEED],MATCH("LOADINGSPEEDDEF_"&amp;PROPERTIES[[#This Row],[LOADINGSPEED]],LOADINGSPEEDDEF[TYPE],0))</f>
        <v>20</v>
      </c>
      <c r="O6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4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3" s="2" t="str">
        <f>SUBSTITUTE(SUBSTITUTE(PROPERTIES[[#This Row],[PURCHASECOST_VALUE]], "PURCHASECOST_", ""), "_VALUE", "")</f>
        <v>WAGON</v>
      </c>
      <c r="AO663" s="41" t="b">
        <v>0</v>
      </c>
      <c r="AP663" s="45" t="b">
        <v>0</v>
      </c>
      <c r="AQ663" s="45" t="b">
        <v>0</v>
      </c>
      <c r="AR663" s="45">
        <v>2</v>
      </c>
      <c r="AS663" s="45" t="b">
        <v>1</v>
      </c>
      <c r="AT663" s="7" t="b">
        <v>0</v>
      </c>
      <c r="AU6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4" spans="1:47" x14ac:dyDescent="0.35">
      <c r="A664" s="2" t="s">
        <v>158</v>
      </c>
      <c r="B664">
        <v>1900</v>
      </c>
      <c r="D6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4" s="37" t="str">
        <f>INDEX(CONTROL[ENGLISH],MATCH(PROPERTIES[[#This Row],[VEHIDCODE]],CONTROL[VEHIDCODE],0))</f>
        <v>2nd Gen Silo</v>
      </c>
      <c r="G664" s="37" t="str">
        <f>_xlfn.IFNA(INDEX(COUNTRIES[COUNTRY_LABEL],MATCH(PROPERTIES[[#This Row],[COUNTRY]],COUNTRIES[COUNTRY_DESCRIPTION],0)),"")</f>
        <v/>
      </c>
      <c r="H6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INDEX(LOADINGSPEEDDEF[SPEED],MATCH("LOADINGSPEEDDEF_"&amp;PROPERTIES[[#This Row],[LOADINGSPEED]],LOADINGSPEEDDEF[TYPE],0))</f>
        <v>20</v>
      </c>
      <c r="O6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4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4" s="2" t="str">
        <f>SUBSTITUTE(SUBSTITUTE(PROPERTIES[[#This Row],[PURCHASECOST_VALUE]], "PURCHASECOST_", ""), "_VALUE", "")</f>
        <v>WAGON</v>
      </c>
      <c r="AO664" s="41" t="b">
        <v>0</v>
      </c>
      <c r="AP664" s="45" t="b">
        <v>0</v>
      </c>
      <c r="AQ664" s="45" t="b">
        <v>0</v>
      </c>
      <c r="AR664" s="45">
        <v>2</v>
      </c>
      <c r="AS664" s="45" t="b">
        <v>0</v>
      </c>
      <c r="AT664" s="7" t="b">
        <v>0</v>
      </c>
      <c r="AU6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5" spans="1:47" x14ac:dyDescent="0.35">
      <c r="A665" s="2" t="s">
        <v>159</v>
      </c>
      <c r="B665">
        <v>1890</v>
      </c>
      <c r="D6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5" s="37" t="str">
        <f>INDEX(CONTROL[ENGLISH],MATCH(PROPERTIES[[#This Row],[VEHIDCODE]],CONTROL[VEHIDCODE],0))</f>
        <v>2nd Gen Wooden Hopper</v>
      </c>
      <c r="G665" s="37" t="str">
        <f>_xlfn.IFNA(INDEX(COUNTRIES[COUNTRY_LABEL],MATCH(PROPERTIES[[#This Row],[COUNTRY]],COUNTRIES[COUNTRY_DESCRIPTION],0)),"")</f>
        <v/>
      </c>
      <c r="H6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INDEX(LOADINGSPEEDDEF[SPEED],MATCH("LOADINGSPEEDDEF_"&amp;PROPERTIES[[#This Row],[LOADINGSPEED]],LOADINGSPEEDDEF[TYPE],0))</f>
        <v>20</v>
      </c>
      <c r="O6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4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5" s="2" t="str">
        <f>SUBSTITUTE(SUBSTITUTE(PROPERTIES[[#This Row],[PURCHASECOST_VALUE]], "PURCHASECOST_", ""), "_VALUE", "")</f>
        <v>WAGON</v>
      </c>
      <c r="AO665" s="41" t="b">
        <v>0</v>
      </c>
      <c r="AP665" s="45" t="b">
        <v>0</v>
      </c>
      <c r="AQ665" s="45" t="b">
        <v>0</v>
      </c>
      <c r="AR665" s="45">
        <v>2</v>
      </c>
      <c r="AS665" s="45" t="b">
        <v>0</v>
      </c>
      <c r="AT665" s="7" t="b">
        <v>0</v>
      </c>
      <c r="AU6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6" spans="1:47" x14ac:dyDescent="0.35">
      <c r="A666" s="2" t="s">
        <v>160</v>
      </c>
      <c r="B666">
        <v>1930</v>
      </c>
      <c r="D6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6" s="37" t="str">
        <f>INDEX(CONTROL[ENGLISH],MATCH(PROPERTIES[[#This Row],[VEHIDCODE]],CONTROL[VEHIDCODE],0))</f>
        <v>3rd Gen Flat Wagon</v>
      </c>
      <c r="G666" s="37" t="str">
        <f>_xlfn.IFNA(INDEX(COUNTRIES[COUNTRY_LABEL],MATCH(PROPERTIES[[#This Row],[COUNTRY]],COUNTRIES[COUNTRY_DESCRIPTION],0)),"")</f>
        <v/>
      </c>
      <c r="H6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INDEX(LOADINGSPEEDDEF[SPEED],MATCH("LOADINGSPEEDDEF_"&amp;PROPERTIES[[#This Row],[LOADINGSPEED]],LOADINGSPEEDDEF[TYPE],0))</f>
        <v>20</v>
      </c>
      <c r="O6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4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6" s="2" t="str">
        <f>SUBSTITUTE(SUBSTITUTE(PROPERTIES[[#This Row],[PURCHASECOST_VALUE]], "PURCHASECOST_", ""), "_VALUE", "")</f>
        <v>WAGON</v>
      </c>
      <c r="AO666" s="41" t="b">
        <v>0</v>
      </c>
      <c r="AP666" s="45" t="b">
        <v>0</v>
      </c>
      <c r="AQ666" s="45" t="b">
        <v>0</v>
      </c>
      <c r="AR666" s="45">
        <v>2</v>
      </c>
      <c r="AS666" s="45" t="b">
        <v>0</v>
      </c>
      <c r="AT666" s="7" t="b">
        <v>0</v>
      </c>
      <c r="AU6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7" spans="1:47" x14ac:dyDescent="0.35">
      <c r="A667" s="2" t="s">
        <v>161</v>
      </c>
      <c r="B667">
        <v>1920</v>
      </c>
      <c r="D6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7" s="37" t="str">
        <f>INDEX(CONTROL[ENGLISH],MATCH(PROPERTIES[[#This Row],[VEHIDCODE]],CONTROL[VEHIDCODE],0))</f>
        <v>3rd Gen Wooden Boxcar [Food]</v>
      </c>
      <c r="G667" s="37" t="str">
        <f>_xlfn.IFNA(INDEX(COUNTRIES[COUNTRY_LABEL],MATCH(PROPERTIES[[#This Row],[COUNTRY]],COUNTRIES[COUNTRY_DESCRIPTION],0)),"")</f>
        <v/>
      </c>
      <c r="H6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3664</v>
      </c>
      <c r="J667">
        <v>40</v>
      </c>
      <c r="K667">
        <v>6</v>
      </c>
      <c r="L667">
        <v>0</v>
      </c>
      <c r="M6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INDEX(LOADINGSPEEDDEF[SPEED],MATCH("LOADINGSPEEDDEF_"&amp;PROPERTIES[[#This Row],[LOADINGSPEED]],LOADINGSPEEDDEF[TYPE],0))</f>
        <v>20</v>
      </c>
      <c r="O6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4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7" s="2" t="str">
        <f>SUBSTITUTE(SUBSTITUTE(PROPERTIES[[#This Row],[PURCHASECOST_VALUE]], "PURCHASECOST_", ""), "_VALUE", "")</f>
        <v>WAGON</v>
      </c>
      <c r="AO667" s="41" t="b">
        <v>0</v>
      </c>
      <c r="AP667" s="45" t="b">
        <v>0</v>
      </c>
      <c r="AQ667" s="45" t="b">
        <v>0</v>
      </c>
      <c r="AR667" s="45">
        <v>2</v>
      </c>
      <c r="AS667" s="45" t="b">
        <v>0</v>
      </c>
      <c r="AT667" s="7" t="b">
        <v>0</v>
      </c>
      <c r="AU6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8" spans="1:47" x14ac:dyDescent="0.35">
      <c r="A668" s="2" t="s">
        <v>162</v>
      </c>
      <c r="B668">
        <v>1920</v>
      </c>
      <c r="D6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8" s="37" t="str">
        <f>INDEX(CONTROL[ENGLISH],MATCH(PROPERTIES[[#This Row],[VEHIDCODE]],CONTROL[VEHIDCODE],0))</f>
        <v>3rd Gen Wooden Boxcar [Non-Food]</v>
      </c>
      <c r="G668" s="37" t="str">
        <f>_xlfn.IFNA(INDEX(COUNTRIES[COUNTRY_LABEL],MATCH(PROPERTIES[[#This Row],[COUNTRY]],COUNTRIES[COUNTRY_DESCRIPTION],0)),"")</f>
        <v/>
      </c>
      <c r="H6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3663</v>
      </c>
      <c r="J668">
        <v>40</v>
      </c>
      <c r="K668">
        <v>6</v>
      </c>
      <c r="L668">
        <v>0</v>
      </c>
      <c r="M6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INDEX(LOADINGSPEEDDEF[SPEED],MATCH("LOADINGSPEEDDEF_"&amp;PROPERTIES[[#This Row],[LOADINGSPEED]],LOADINGSPEEDDEF[TYPE],0))</f>
        <v>20</v>
      </c>
      <c r="O6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4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8" s="2" t="str">
        <f>SUBSTITUTE(SUBSTITUTE(PROPERTIES[[#This Row],[PURCHASECOST_VALUE]], "PURCHASECOST_", ""), "_VALUE", "")</f>
        <v>WAGON</v>
      </c>
      <c r="AO668" s="41" t="b">
        <v>0</v>
      </c>
      <c r="AP668" s="45" t="b">
        <v>0</v>
      </c>
      <c r="AQ668" s="45" t="b">
        <v>0</v>
      </c>
      <c r="AR668" s="45">
        <v>2</v>
      </c>
      <c r="AS668" s="45" t="b">
        <v>0</v>
      </c>
      <c r="AT668" s="7" t="b">
        <v>0</v>
      </c>
      <c r="AU6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69" spans="1:47" x14ac:dyDescent="0.35">
      <c r="A669" s="2" t="s">
        <v>163</v>
      </c>
      <c r="B669">
        <v>1930</v>
      </c>
      <c r="D6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69" s="37" t="str">
        <f>INDEX(CONTROL[ENGLISH],MATCH(PROPERTIES[[#This Row],[VEHIDCODE]],CONTROL[VEHIDCODE],0))</f>
        <v>3rd Gen Tanker</v>
      </c>
      <c r="G669" s="37" t="str">
        <f>_xlfn.IFNA(INDEX(COUNTRIES[COUNTRY_LABEL],MATCH(PROPERTIES[[#This Row],[COUNTRY]],COUNTRIES[COUNTRY_DESCRIPTION],0)),"")</f>
        <v/>
      </c>
      <c r="H6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INDEX(LOADINGSPEEDDEF[SPEED],MATCH("LOADINGSPEEDDEF_"&amp;PROPERTIES[[#This Row],[LOADINGSPEED]],LOADINGSPEEDDEF[TYPE],0))</f>
        <v>20</v>
      </c>
      <c r="O6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4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6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69" s="2" t="str">
        <f>SUBSTITUTE(SUBSTITUTE(PROPERTIES[[#This Row],[PURCHASECOST_VALUE]], "PURCHASECOST_", ""), "_VALUE", "")</f>
        <v>WAGON</v>
      </c>
      <c r="AO669" s="41" t="b">
        <v>0</v>
      </c>
      <c r="AP669" s="45" t="b">
        <v>0</v>
      </c>
      <c r="AQ669" s="45" t="b">
        <v>0</v>
      </c>
      <c r="AR669" s="45">
        <v>2</v>
      </c>
      <c r="AS669" s="45" t="b">
        <v>0</v>
      </c>
      <c r="AT669" s="7" t="b">
        <v>0</v>
      </c>
      <c r="AU6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0" spans="1:47" x14ac:dyDescent="0.35">
      <c r="A670" s="2" t="s">
        <v>164</v>
      </c>
      <c r="B670">
        <v>1920</v>
      </c>
      <c r="D6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0" s="37" t="str">
        <f>INDEX(CONTROL[ENGLISH],MATCH(PROPERTIES[[#This Row],[VEHIDCODE]],CONTROL[VEHIDCODE],0))</f>
        <v>3rd Gen Open Wagon</v>
      </c>
      <c r="G670" s="37" t="str">
        <f>_xlfn.IFNA(INDEX(COUNTRIES[COUNTRY_LABEL],MATCH(PROPERTIES[[#This Row],[COUNTRY]],COUNTRIES[COUNTRY_DESCRIPTION],0)),"")</f>
        <v/>
      </c>
      <c r="H6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3658</v>
      </c>
      <c r="J670">
        <v>35</v>
      </c>
      <c r="K670">
        <v>6</v>
      </c>
      <c r="L670">
        <v>0</v>
      </c>
      <c r="M6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INDEX(LOADINGSPEEDDEF[SPEED],MATCH("LOADINGSPEEDDEF_"&amp;PROPERTIES[[#This Row],[LOADINGSPEED]],LOADINGSPEEDDEF[TYPE],0))</f>
        <v>20</v>
      </c>
      <c r="O6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4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0" s="2" t="str">
        <f>SUBSTITUTE(SUBSTITUTE(PROPERTIES[[#This Row],[PURCHASECOST_VALUE]], "PURCHASECOST_", ""), "_VALUE", "")</f>
        <v>WAGON</v>
      </c>
      <c r="AO670" s="41" t="b">
        <v>0</v>
      </c>
      <c r="AP670" s="45" t="b">
        <v>0</v>
      </c>
      <c r="AQ670" s="45" t="b">
        <v>0</v>
      </c>
      <c r="AR670" s="45">
        <v>2</v>
      </c>
      <c r="AS670" s="45" t="b">
        <v>1</v>
      </c>
      <c r="AT670" s="7" t="b">
        <v>0</v>
      </c>
      <c r="AU6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1" spans="1:47" x14ac:dyDescent="0.35">
      <c r="A671" s="2" t="s">
        <v>165</v>
      </c>
      <c r="B671">
        <v>1930</v>
      </c>
      <c r="D6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1" s="37" t="str">
        <f>INDEX(CONTROL[ENGLISH],MATCH(PROPERTIES[[#This Row],[VEHIDCODE]],CONTROL[VEHIDCODE],0))</f>
        <v>3rd Gen Silo [Food]</v>
      </c>
      <c r="G671" s="37" t="str">
        <f>_xlfn.IFNA(INDEX(COUNTRIES[COUNTRY_LABEL],MATCH(PROPERTIES[[#This Row],[COUNTRY]],COUNTRIES[COUNTRY_DESCRIPTION],0)),"")</f>
        <v/>
      </c>
      <c r="H6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3661</v>
      </c>
      <c r="J671">
        <v>40</v>
      </c>
      <c r="K671">
        <v>6</v>
      </c>
      <c r="L671">
        <v>0</v>
      </c>
      <c r="M6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INDEX(LOADINGSPEEDDEF[SPEED],MATCH("LOADINGSPEEDDEF_"&amp;PROPERTIES[[#This Row],[LOADINGSPEED]],LOADINGSPEEDDEF[TYPE],0))</f>
        <v>20</v>
      </c>
      <c r="O6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4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1" s="2" t="str">
        <f>SUBSTITUTE(SUBSTITUTE(PROPERTIES[[#This Row],[PURCHASECOST_VALUE]], "PURCHASECOST_", ""), "_VALUE", "")</f>
        <v>WAGON</v>
      </c>
      <c r="AO671" s="41" t="b">
        <v>0</v>
      </c>
      <c r="AP671" s="45" t="b">
        <v>0</v>
      </c>
      <c r="AQ671" s="45" t="b">
        <v>0</v>
      </c>
      <c r="AR671" s="45">
        <v>2</v>
      </c>
      <c r="AS671" s="45" t="b">
        <v>0</v>
      </c>
      <c r="AT671" s="7" t="b">
        <v>0</v>
      </c>
      <c r="AU6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2" spans="1:47" x14ac:dyDescent="0.35">
      <c r="A672" s="2" t="s">
        <v>166</v>
      </c>
      <c r="B672">
        <v>1930</v>
      </c>
      <c r="D6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2" s="37" t="str">
        <f>INDEX(CONTROL[ENGLISH],MATCH(PROPERTIES[[#This Row],[VEHIDCODE]],CONTROL[VEHIDCODE],0))</f>
        <v>3rd Gen Silo [Non-Food]</v>
      </c>
      <c r="G672" s="37" t="str">
        <f>_xlfn.IFNA(INDEX(COUNTRIES[COUNTRY_LABEL],MATCH(PROPERTIES[[#This Row],[COUNTRY]],COUNTRIES[COUNTRY_DESCRIPTION],0)),"")</f>
        <v/>
      </c>
      <c r="H6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3662</v>
      </c>
      <c r="J672">
        <v>40</v>
      </c>
      <c r="K672">
        <v>6</v>
      </c>
      <c r="L672">
        <v>0</v>
      </c>
      <c r="M6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INDEX(LOADINGSPEEDDEF[SPEED],MATCH("LOADINGSPEEDDEF_"&amp;PROPERTIES[[#This Row],[LOADINGSPEED]],LOADINGSPEEDDEF[TYPE],0))</f>
        <v>20</v>
      </c>
      <c r="O6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4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2" s="2" t="str">
        <f>SUBSTITUTE(SUBSTITUTE(PROPERTIES[[#This Row],[PURCHASECOST_VALUE]], "PURCHASECOST_", ""), "_VALUE", "")</f>
        <v>WAGON</v>
      </c>
      <c r="AO672" s="41" t="b">
        <v>0</v>
      </c>
      <c r="AP672" s="45" t="b">
        <v>0</v>
      </c>
      <c r="AQ672" s="45" t="b">
        <v>0</v>
      </c>
      <c r="AR672" s="45">
        <v>2</v>
      </c>
      <c r="AS672" s="45" t="b">
        <v>0</v>
      </c>
      <c r="AT672" s="7" t="b">
        <v>0</v>
      </c>
      <c r="AU6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3" spans="1:47" x14ac:dyDescent="0.35">
      <c r="A673" s="2" t="s">
        <v>167</v>
      </c>
      <c r="B673">
        <v>1920</v>
      </c>
      <c r="D6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3" s="37" t="str">
        <f>INDEX(CONTROL[ENGLISH],MATCH(PROPERTIES[[#This Row],[VEHIDCODE]],CONTROL[VEHIDCODE],0))</f>
        <v>3rd Gen Hopper</v>
      </c>
      <c r="G673" s="37" t="str">
        <f>_xlfn.IFNA(INDEX(COUNTRIES[COUNTRY_LABEL],MATCH(PROPERTIES[[#This Row],[COUNTRY]],COUNTRIES[COUNTRY_DESCRIPTION],0)),"")</f>
        <v/>
      </c>
      <c r="H6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INDEX(LOADINGSPEEDDEF[SPEED],MATCH("LOADINGSPEEDDEF_"&amp;PROPERTIES[[#This Row],[LOADINGSPEED]],LOADINGSPEEDDEF[TYPE],0))</f>
        <v>20</v>
      </c>
      <c r="O6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4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3" s="2" t="str">
        <f>SUBSTITUTE(SUBSTITUTE(PROPERTIES[[#This Row],[PURCHASECOST_VALUE]], "PURCHASECOST_", ""), "_VALUE", "")</f>
        <v>WAGON</v>
      </c>
      <c r="AO673" s="41" t="b">
        <v>0</v>
      </c>
      <c r="AP673" s="45" t="b">
        <v>0</v>
      </c>
      <c r="AQ673" s="45" t="b">
        <v>0</v>
      </c>
      <c r="AR673" s="45">
        <v>2</v>
      </c>
      <c r="AS673" s="45" t="b">
        <v>0</v>
      </c>
      <c r="AT673" s="7" t="b">
        <v>0</v>
      </c>
      <c r="AU6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4" spans="1:47" x14ac:dyDescent="0.35">
      <c r="A674" s="2" t="s">
        <v>168</v>
      </c>
      <c r="B674">
        <v>1960</v>
      </c>
      <c r="D6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4" s="37" t="str">
        <f>INDEX(CONTROL[ENGLISH],MATCH(PROPERTIES[[#This Row],[VEHIDCODE]],CONTROL[VEHIDCODE],0))</f>
        <v>4th Gen Flatcar</v>
      </c>
      <c r="G674" s="37" t="str">
        <f>_xlfn.IFNA(INDEX(COUNTRIES[COUNTRY_LABEL],MATCH(PROPERTIES[[#This Row],[COUNTRY]],COUNTRIES[COUNTRY_DESCRIPTION],0)),"")</f>
        <v/>
      </c>
      <c r="H6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INDEX(LOADINGSPEEDDEF[SPEED],MATCH("LOADINGSPEEDDEF_"&amp;PROPERTIES[[#This Row],[LOADINGSPEED]],LOADINGSPEEDDEF[TYPE],0))</f>
        <v>20</v>
      </c>
      <c r="O6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4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4" s="2" t="str">
        <f>SUBSTITUTE(SUBSTITUTE(PROPERTIES[[#This Row],[PURCHASECOST_VALUE]], "PURCHASECOST_", ""), "_VALUE", "")</f>
        <v>WAGON</v>
      </c>
      <c r="AO674" s="41" t="b">
        <v>0</v>
      </c>
      <c r="AP674" s="45" t="b">
        <v>0</v>
      </c>
      <c r="AQ674" s="45" t="b">
        <v>0</v>
      </c>
      <c r="AR674" s="45">
        <v>2</v>
      </c>
      <c r="AS674" s="45" t="b">
        <v>0</v>
      </c>
      <c r="AT674" s="7" t="b">
        <v>0</v>
      </c>
      <c r="AU6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5" spans="1:47" x14ac:dyDescent="0.35">
      <c r="A675" s="2" t="s">
        <v>169</v>
      </c>
      <c r="B675">
        <v>1960</v>
      </c>
      <c r="D6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5" s="37" t="str">
        <f>INDEX(CONTROL[ENGLISH],MATCH(PROPERTIES[[#This Row],[VEHIDCODE]],CONTROL[VEHIDCODE],0))</f>
        <v>4th Gen Heavy Flatcar</v>
      </c>
      <c r="G675" s="37" t="str">
        <f>_xlfn.IFNA(INDEX(COUNTRIES[COUNTRY_LABEL],MATCH(PROPERTIES[[#This Row],[COUNTRY]],COUNTRIES[COUNTRY_DESCRIPTION],0)),"")</f>
        <v/>
      </c>
      <c r="H6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INDEX(LOADINGSPEEDDEF[SPEED],MATCH("LOADINGSPEEDDEF_"&amp;PROPERTIES[[#This Row],[LOADINGSPEED]],LOADINGSPEEDDEF[TYPE],0))</f>
        <v>20</v>
      </c>
      <c r="O6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4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5" s="2" t="str">
        <f>SUBSTITUTE(SUBSTITUTE(PROPERTIES[[#This Row],[PURCHASECOST_VALUE]], "PURCHASECOST_", ""), "_VALUE", "")</f>
        <v>WAGON</v>
      </c>
      <c r="AO675" s="41" t="b">
        <v>0</v>
      </c>
      <c r="AP675" s="45" t="b">
        <v>0</v>
      </c>
      <c r="AQ675" s="45" t="b">
        <v>0</v>
      </c>
      <c r="AR675" s="45">
        <v>2</v>
      </c>
      <c r="AS675" s="45" t="b">
        <v>0</v>
      </c>
      <c r="AT675" s="7" t="b">
        <v>0</v>
      </c>
      <c r="AU6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6" spans="1:47" x14ac:dyDescent="0.35">
      <c r="A676" s="2" t="s">
        <v>170</v>
      </c>
      <c r="B676">
        <v>1950</v>
      </c>
      <c r="D6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6" s="37" t="str">
        <f>INDEX(CONTROL[ENGLISH],MATCH(PROPERTIES[[#This Row],[VEHIDCODE]],CONTROL[VEHIDCODE],0))</f>
        <v>4th Gen Boxcar [Food]</v>
      </c>
      <c r="G676" s="37" t="str">
        <f>_xlfn.IFNA(INDEX(COUNTRIES[COUNTRY_LABEL],MATCH(PROPERTIES[[#This Row],[COUNTRY]],COUNTRIES[COUNTRY_DESCRIPTION],0)),"")</f>
        <v/>
      </c>
      <c r="H6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3664</v>
      </c>
      <c r="J676">
        <v>42</v>
      </c>
      <c r="K676">
        <v>7</v>
      </c>
      <c r="L676">
        <v>0</v>
      </c>
      <c r="M6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INDEX(LOADINGSPEEDDEF[SPEED],MATCH("LOADINGSPEEDDEF_"&amp;PROPERTIES[[#This Row],[LOADINGSPEED]],LOADINGSPEEDDEF[TYPE],0))</f>
        <v>20</v>
      </c>
      <c r="O6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4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6" s="2" t="str">
        <f>SUBSTITUTE(SUBSTITUTE(PROPERTIES[[#This Row],[PURCHASECOST_VALUE]], "PURCHASECOST_", ""), "_VALUE", "")</f>
        <v>WAGON</v>
      </c>
      <c r="AO676" s="41" t="b">
        <v>0</v>
      </c>
      <c r="AP676" s="45" t="b">
        <v>0</v>
      </c>
      <c r="AQ676" s="45" t="b">
        <v>0</v>
      </c>
      <c r="AR676" s="45">
        <v>2</v>
      </c>
      <c r="AS676" s="45" t="b">
        <v>0</v>
      </c>
      <c r="AT676" s="7" t="b">
        <v>0</v>
      </c>
      <c r="AU6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7" spans="1:47" x14ac:dyDescent="0.35">
      <c r="A677" s="2" t="s">
        <v>171</v>
      </c>
      <c r="B677">
        <v>1950</v>
      </c>
      <c r="D6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7" s="37" t="str">
        <f>INDEX(CONTROL[ENGLISH],MATCH(PROPERTIES[[#This Row],[VEHIDCODE]],CONTROL[VEHIDCODE],0))</f>
        <v>4th Gen Boxcar [Non-Food]</v>
      </c>
      <c r="G677" s="37" t="str">
        <f>_xlfn.IFNA(INDEX(COUNTRIES[COUNTRY_LABEL],MATCH(PROPERTIES[[#This Row],[COUNTRY]],COUNTRIES[COUNTRY_DESCRIPTION],0)),"")</f>
        <v/>
      </c>
      <c r="H6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3663</v>
      </c>
      <c r="J677">
        <v>42</v>
      </c>
      <c r="K677">
        <v>7</v>
      </c>
      <c r="L677">
        <v>0</v>
      </c>
      <c r="M6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INDEX(LOADINGSPEEDDEF[SPEED],MATCH("LOADINGSPEEDDEF_"&amp;PROPERTIES[[#This Row],[LOADINGSPEED]],LOADINGSPEEDDEF[TYPE],0))</f>
        <v>20</v>
      </c>
      <c r="O6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4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7" s="2" t="str">
        <f>SUBSTITUTE(SUBSTITUTE(PROPERTIES[[#This Row],[PURCHASECOST_VALUE]], "PURCHASECOST_", ""), "_VALUE", "")</f>
        <v>WAGON</v>
      </c>
      <c r="AO677" s="41" t="b">
        <v>0</v>
      </c>
      <c r="AP677" s="45" t="b">
        <v>0</v>
      </c>
      <c r="AQ677" s="45" t="b">
        <v>0</v>
      </c>
      <c r="AR677" s="45">
        <v>2</v>
      </c>
      <c r="AS677" s="45" t="b">
        <v>0</v>
      </c>
      <c r="AT677" s="7" t="b">
        <v>0</v>
      </c>
      <c r="AU6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8" spans="1:47" x14ac:dyDescent="0.35">
      <c r="A678" s="2" t="s">
        <v>172</v>
      </c>
      <c r="B678">
        <v>1950</v>
      </c>
      <c r="D6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8" s="37" t="str">
        <f>INDEX(CONTROL[ENGLISH],MATCH(PROPERTIES[[#This Row],[VEHIDCODE]],CONTROL[VEHIDCODE],0))</f>
        <v>4th Gen Tanker</v>
      </c>
      <c r="G678" s="37" t="str">
        <f>_xlfn.IFNA(INDEX(COUNTRIES[COUNTRY_LABEL],MATCH(PROPERTIES[[#This Row],[COUNTRY]],COUNTRIES[COUNTRY_DESCRIPTION],0)),"")</f>
        <v/>
      </c>
      <c r="H6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INDEX(LOADINGSPEEDDEF[SPEED],MATCH("LOADINGSPEEDDEF_"&amp;PROPERTIES[[#This Row],[LOADINGSPEED]],LOADINGSPEEDDEF[TYPE],0))</f>
        <v>20</v>
      </c>
      <c r="O6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4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8" s="2" t="str">
        <f>SUBSTITUTE(SUBSTITUTE(PROPERTIES[[#This Row],[PURCHASECOST_VALUE]], "PURCHASECOST_", ""), "_VALUE", "")</f>
        <v>WAGON</v>
      </c>
      <c r="AO678" s="41" t="b">
        <v>0</v>
      </c>
      <c r="AP678" s="45" t="b">
        <v>0</v>
      </c>
      <c r="AQ678" s="45" t="b">
        <v>0</v>
      </c>
      <c r="AR678" s="45">
        <v>2</v>
      </c>
      <c r="AS678" s="45" t="b">
        <v>0</v>
      </c>
      <c r="AT678" s="7" t="b">
        <v>0</v>
      </c>
      <c r="AU6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79" spans="1:47" x14ac:dyDescent="0.35">
      <c r="A679" s="2" t="s">
        <v>173</v>
      </c>
      <c r="B679">
        <v>1950</v>
      </c>
      <c r="D6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79" s="37" t="str">
        <f>INDEX(CONTROL[ENGLISH],MATCH(PROPERTIES[[#This Row],[VEHIDCODE]],CONTROL[VEHIDCODE],0))</f>
        <v>4th Gen Gondola</v>
      </c>
      <c r="G679" s="37" t="str">
        <f>_xlfn.IFNA(INDEX(COUNTRIES[COUNTRY_LABEL],MATCH(PROPERTIES[[#This Row],[COUNTRY]],COUNTRIES[COUNTRY_DESCRIPTION],0)),"")</f>
        <v/>
      </c>
      <c r="H6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INDEX(LOADINGSPEEDDEF[SPEED],MATCH("LOADINGSPEEDDEF_"&amp;PROPERTIES[[#This Row],[LOADINGSPEED]],LOADINGSPEEDDEF[TYPE],0))</f>
        <v>20</v>
      </c>
      <c r="O6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4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7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79" s="2" t="str">
        <f>SUBSTITUTE(SUBSTITUTE(PROPERTIES[[#This Row],[PURCHASECOST_VALUE]], "PURCHASECOST_", ""), "_VALUE", "")</f>
        <v>WAGON</v>
      </c>
      <c r="AO679" s="41" t="b">
        <v>0</v>
      </c>
      <c r="AP679" s="45" t="b">
        <v>0</v>
      </c>
      <c r="AQ679" s="45" t="b">
        <v>0</v>
      </c>
      <c r="AR679" s="45">
        <v>2</v>
      </c>
      <c r="AS679" s="45" t="b">
        <v>1</v>
      </c>
      <c r="AT679" s="7" t="b">
        <v>0</v>
      </c>
      <c r="AU6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0" spans="1:47" x14ac:dyDescent="0.35">
      <c r="A680" s="2" t="s">
        <v>174</v>
      </c>
      <c r="B680">
        <v>1950</v>
      </c>
      <c r="D6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0" s="37" t="str">
        <f>INDEX(CONTROL[ENGLISH],MATCH(PROPERTIES[[#This Row],[VEHIDCODE]],CONTROL[VEHIDCODE],0))</f>
        <v>4th Gen Silo [Food]</v>
      </c>
      <c r="G680" s="37" t="str">
        <f>_xlfn.IFNA(INDEX(COUNTRIES[COUNTRY_LABEL],MATCH(PROPERTIES[[#This Row],[COUNTRY]],COUNTRIES[COUNTRY_DESCRIPTION],0)),"")</f>
        <v/>
      </c>
      <c r="H6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3661</v>
      </c>
      <c r="J680">
        <v>55</v>
      </c>
      <c r="K680">
        <v>7</v>
      </c>
      <c r="L680">
        <v>0</v>
      </c>
      <c r="M6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INDEX(LOADINGSPEEDDEF[SPEED],MATCH("LOADINGSPEEDDEF_"&amp;PROPERTIES[[#This Row],[LOADINGSPEED]],LOADINGSPEEDDEF[TYPE],0))</f>
        <v>20</v>
      </c>
      <c r="O6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4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0" s="2" t="str">
        <f>SUBSTITUTE(SUBSTITUTE(PROPERTIES[[#This Row],[PURCHASECOST_VALUE]], "PURCHASECOST_", ""), "_VALUE", "")</f>
        <v>WAGON</v>
      </c>
      <c r="AO680" s="41" t="b">
        <v>0</v>
      </c>
      <c r="AP680" s="45" t="b">
        <v>0</v>
      </c>
      <c r="AQ680" s="45" t="b">
        <v>0</v>
      </c>
      <c r="AR680" s="45">
        <v>2</v>
      </c>
      <c r="AS680" s="45" t="b">
        <v>0</v>
      </c>
      <c r="AT680" s="7" t="b">
        <v>0</v>
      </c>
      <c r="AU6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1" spans="1:47" x14ac:dyDescent="0.35">
      <c r="A681" s="2" t="s">
        <v>175</v>
      </c>
      <c r="B681">
        <v>1950</v>
      </c>
      <c r="D6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1" s="37" t="str">
        <f>INDEX(CONTROL[ENGLISH],MATCH(PROPERTIES[[#This Row],[VEHIDCODE]],CONTROL[VEHIDCODE],0))</f>
        <v>4th Gen Silo [Non-Food]</v>
      </c>
      <c r="G681" s="37" t="str">
        <f>_xlfn.IFNA(INDEX(COUNTRIES[COUNTRY_LABEL],MATCH(PROPERTIES[[#This Row],[COUNTRY]],COUNTRIES[COUNTRY_DESCRIPTION],0)),"")</f>
        <v/>
      </c>
      <c r="H6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3662</v>
      </c>
      <c r="J681">
        <v>55</v>
      </c>
      <c r="K681">
        <v>7</v>
      </c>
      <c r="L681">
        <v>0</v>
      </c>
      <c r="M6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INDEX(LOADINGSPEEDDEF[SPEED],MATCH("LOADINGSPEEDDEF_"&amp;PROPERTIES[[#This Row],[LOADINGSPEED]],LOADINGSPEEDDEF[TYPE],0))</f>
        <v>20</v>
      </c>
      <c r="O6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4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1" s="2" t="str">
        <f>SUBSTITUTE(SUBSTITUTE(PROPERTIES[[#This Row],[PURCHASECOST_VALUE]], "PURCHASECOST_", ""), "_VALUE", "")</f>
        <v>WAGON</v>
      </c>
      <c r="AO681" s="41" t="b">
        <v>0</v>
      </c>
      <c r="AP681" s="45" t="b">
        <v>0</v>
      </c>
      <c r="AQ681" s="45" t="b">
        <v>0</v>
      </c>
      <c r="AR681" s="45">
        <v>2</v>
      </c>
      <c r="AS681" s="45" t="b">
        <v>0</v>
      </c>
      <c r="AT681" s="7" t="b">
        <v>0</v>
      </c>
      <c r="AU6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2" spans="1:47" x14ac:dyDescent="0.35">
      <c r="A682" s="2" t="s">
        <v>176</v>
      </c>
      <c r="B682">
        <v>1960</v>
      </c>
      <c r="D6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2" s="37" t="str">
        <f>INDEX(CONTROL[ENGLISH],MATCH(PROPERTIES[[#This Row],[VEHIDCODE]],CONTROL[VEHIDCODE],0))</f>
        <v>4th Gen Self-discharging Hopper [Food]</v>
      </c>
      <c r="G682" s="37" t="str">
        <f>_xlfn.IFNA(INDEX(COUNTRIES[COUNTRY_LABEL],MATCH(PROPERTIES[[#This Row],[COUNTRY]],COUNTRIES[COUNTRY_DESCRIPTION],0)),"")</f>
        <v/>
      </c>
      <c r="H6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3659</v>
      </c>
      <c r="J682">
        <v>55</v>
      </c>
      <c r="K682">
        <v>7</v>
      </c>
      <c r="L682">
        <v>0</v>
      </c>
      <c r="M6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INDEX(LOADINGSPEEDDEF[SPEED],MATCH("LOADINGSPEEDDEF_"&amp;PROPERTIES[[#This Row],[LOADINGSPEED]],LOADINGSPEEDDEF[TYPE],0))</f>
        <v>20</v>
      </c>
      <c r="O6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4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2" s="2" t="str">
        <f>SUBSTITUTE(SUBSTITUTE(PROPERTIES[[#This Row],[PURCHASECOST_VALUE]], "PURCHASECOST_", ""), "_VALUE", "")</f>
        <v>WAGON</v>
      </c>
      <c r="AO682" s="41" t="b">
        <v>0</v>
      </c>
      <c r="AP682" s="45" t="b">
        <v>0</v>
      </c>
      <c r="AQ682" s="45" t="b">
        <v>0</v>
      </c>
      <c r="AR682" s="45">
        <v>2</v>
      </c>
      <c r="AS682" s="45" t="b">
        <v>1</v>
      </c>
      <c r="AT682" s="7" t="b">
        <v>0</v>
      </c>
      <c r="AU6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3" spans="1:47" x14ac:dyDescent="0.35">
      <c r="A683" s="2" t="s">
        <v>177</v>
      </c>
      <c r="B683">
        <v>1960</v>
      </c>
      <c r="D6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3" s="37" t="str">
        <f>INDEX(CONTROL[ENGLISH],MATCH(PROPERTIES[[#This Row],[VEHIDCODE]],CONTROL[VEHIDCODE],0))</f>
        <v>4th Gen Self-discharging Hopper [Non-Food]</v>
      </c>
      <c r="G683" s="37" t="str">
        <f>_xlfn.IFNA(INDEX(COUNTRIES[COUNTRY_LABEL],MATCH(PROPERTIES[[#This Row],[COUNTRY]],COUNTRIES[COUNTRY_DESCRIPTION],0)),"")</f>
        <v/>
      </c>
      <c r="H6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3660</v>
      </c>
      <c r="J683">
        <v>55</v>
      </c>
      <c r="K683">
        <v>7</v>
      </c>
      <c r="L683">
        <v>0</v>
      </c>
      <c r="M6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INDEX(LOADINGSPEEDDEF[SPEED],MATCH("LOADINGSPEEDDEF_"&amp;PROPERTIES[[#This Row],[LOADINGSPEED]],LOADINGSPEEDDEF[TYPE],0))</f>
        <v>20</v>
      </c>
      <c r="O6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4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3" s="2" t="str">
        <f>SUBSTITUTE(SUBSTITUTE(PROPERTIES[[#This Row],[PURCHASECOST_VALUE]], "PURCHASECOST_", ""), "_VALUE", "")</f>
        <v>WAGON</v>
      </c>
      <c r="AO683" s="41" t="b">
        <v>0</v>
      </c>
      <c r="AP683" s="45" t="b">
        <v>0</v>
      </c>
      <c r="AQ683" s="45" t="b">
        <v>0</v>
      </c>
      <c r="AR683" s="45">
        <v>2</v>
      </c>
      <c r="AS683" s="45" t="b">
        <v>0</v>
      </c>
      <c r="AT683" s="7" t="b">
        <v>0</v>
      </c>
      <c r="AU6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4" spans="1:47" x14ac:dyDescent="0.35">
      <c r="A684" s="2" t="s">
        <v>178</v>
      </c>
      <c r="B684">
        <v>1960</v>
      </c>
      <c r="D6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4" s="37" t="str">
        <f>INDEX(CONTROL[ENGLISH],MATCH(PROPERTIES[[#This Row],[VEHIDCODE]],CONTROL[VEHIDCODE],0))</f>
        <v>4th Gen Car Transporter</v>
      </c>
      <c r="G684" s="37" t="str">
        <f>_xlfn.IFNA(INDEX(COUNTRIES[COUNTRY_LABEL],MATCH(PROPERTIES[[#This Row],[COUNTRY]],COUNTRIES[COUNTRY_DESCRIPTION],0)),"")</f>
        <v/>
      </c>
      <c r="H6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INDEX(LOADINGSPEEDDEF[SPEED],MATCH("LOADINGSPEEDDEF_"&amp;PROPERTIES[[#This Row],[LOADINGSPEED]],LOADINGSPEEDDEF[TYPE],0))</f>
        <v>20</v>
      </c>
      <c r="O6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4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4" s="2" t="str">
        <f>SUBSTITUTE(SUBSTITUTE(PROPERTIES[[#This Row],[PURCHASECOST_VALUE]], "PURCHASECOST_", ""), "_VALUE", "")</f>
        <v>WAGON</v>
      </c>
      <c r="AO684" s="41" t="b">
        <v>0</v>
      </c>
      <c r="AP684" s="45" t="b">
        <v>0</v>
      </c>
      <c r="AQ684" s="45" t="b">
        <v>0</v>
      </c>
      <c r="AR684" s="45">
        <v>2</v>
      </c>
      <c r="AS684" s="45" t="b">
        <v>0</v>
      </c>
      <c r="AT684" s="7" t="b">
        <v>0</v>
      </c>
      <c r="AU6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5" spans="1:47" x14ac:dyDescent="0.35">
      <c r="A685" s="2" t="s">
        <v>179</v>
      </c>
      <c r="B685">
        <v>1960</v>
      </c>
      <c r="D6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5" s="37" t="str">
        <f>INDEX(CONTROL[ENGLISH],MATCH(PROPERTIES[[#This Row],[VEHIDCODE]],CONTROL[VEHIDCODE],0))</f>
        <v>4th Gen Container Carrier</v>
      </c>
      <c r="G685" s="37" t="str">
        <f>_xlfn.IFNA(INDEX(COUNTRIES[COUNTRY_LABEL],MATCH(PROPERTIES[[#This Row],[COUNTRY]],COUNTRIES[COUNTRY_DESCRIPTION],0)),"")</f>
        <v/>
      </c>
      <c r="H6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INDEX(LOADINGSPEEDDEF[SPEED],MATCH("LOADINGSPEEDDEF_"&amp;PROPERTIES[[#This Row],[LOADINGSPEED]],LOADINGSPEEDDEF[TYPE],0))</f>
        <v>20</v>
      </c>
      <c r="O6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4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5" s="2" t="str">
        <f>SUBSTITUTE(SUBSTITUTE(PROPERTIES[[#This Row],[PURCHASECOST_VALUE]], "PURCHASECOST_", ""), "_VALUE", "")</f>
        <v>WAGON</v>
      </c>
      <c r="AO685" s="41" t="b">
        <v>0</v>
      </c>
      <c r="AP685" s="45" t="b">
        <v>0</v>
      </c>
      <c r="AQ685" s="45" t="b">
        <v>0</v>
      </c>
      <c r="AR685" s="45">
        <v>2</v>
      </c>
      <c r="AS685" s="45" t="b">
        <v>0</v>
      </c>
      <c r="AT685" s="7" t="b">
        <v>0</v>
      </c>
      <c r="AU6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6" spans="1:47" x14ac:dyDescent="0.35">
      <c r="A686" s="2" t="s">
        <v>180</v>
      </c>
      <c r="B686">
        <v>1950</v>
      </c>
      <c r="D6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6" s="37" t="str">
        <f>INDEX(CONTROL[ENGLISH],MATCH(PROPERTIES[[#This Row],[VEHIDCODE]],CONTROL[VEHIDCODE],0))</f>
        <v>4th Gen Centerbeam Flatcar</v>
      </c>
      <c r="G686" s="37" t="str">
        <f>_xlfn.IFNA(INDEX(COUNTRIES[COUNTRY_LABEL],MATCH(PROPERTIES[[#This Row],[COUNTRY]],COUNTRIES[COUNTRY_DESCRIPTION],0)),"")</f>
        <v/>
      </c>
      <c r="H6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INDEX(LOADINGSPEEDDEF[SPEED],MATCH("LOADINGSPEEDDEF_"&amp;PROPERTIES[[#This Row],[LOADINGSPEED]],LOADINGSPEEDDEF[TYPE],0))</f>
        <v>20</v>
      </c>
      <c r="O6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4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6" s="2" t="str">
        <f>SUBSTITUTE(SUBSTITUTE(PROPERTIES[[#This Row],[PURCHASECOST_VALUE]], "PURCHASECOST_", ""), "_VALUE", "")</f>
        <v>WAGON</v>
      </c>
      <c r="AO686" s="41" t="b">
        <v>0</v>
      </c>
      <c r="AP686" s="45" t="b">
        <v>0</v>
      </c>
      <c r="AQ686" s="45" t="b">
        <v>0</v>
      </c>
      <c r="AR686" s="45">
        <v>2</v>
      </c>
      <c r="AS686" s="45" t="b">
        <v>0</v>
      </c>
      <c r="AT686" s="7" t="b">
        <v>0</v>
      </c>
      <c r="AU6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7" spans="1:47" x14ac:dyDescent="0.35">
      <c r="A687" s="2" t="s">
        <v>181</v>
      </c>
      <c r="B687">
        <v>1990</v>
      </c>
      <c r="D6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7" s="37" t="str">
        <f>INDEX(CONTROL[ENGLISH],MATCH(PROPERTIES[[#This Row],[VEHIDCODE]],CONTROL[VEHIDCODE],0))</f>
        <v>5th Gen Flatcar</v>
      </c>
      <c r="G687" s="37" t="str">
        <f>_xlfn.IFNA(INDEX(COUNTRIES[COUNTRY_LABEL],MATCH(PROPERTIES[[#This Row],[COUNTRY]],COUNTRIES[COUNTRY_DESCRIPTION],0)),"")</f>
        <v/>
      </c>
      <c r="H6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INDEX(LOADINGSPEEDDEF[SPEED],MATCH("LOADINGSPEEDDEF_"&amp;PROPERTIES[[#This Row],[LOADINGSPEED]],LOADINGSPEEDDEF[TYPE],0))</f>
        <v>20</v>
      </c>
      <c r="O6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4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7" s="2" t="str">
        <f>SUBSTITUTE(SUBSTITUTE(PROPERTIES[[#This Row],[PURCHASECOST_VALUE]], "PURCHASECOST_", ""), "_VALUE", "")</f>
        <v>WAGON</v>
      </c>
      <c r="AO687" s="41" t="b">
        <v>0</v>
      </c>
      <c r="AP687" s="45" t="b">
        <v>0</v>
      </c>
      <c r="AQ687" s="45" t="b">
        <v>0</v>
      </c>
      <c r="AR687" s="45">
        <v>2</v>
      </c>
      <c r="AS687" s="45" t="b">
        <v>0</v>
      </c>
      <c r="AT687" s="7" t="b">
        <v>0</v>
      </c>
      <c r="AU6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8" spans="1:47" x14ac:dyDescent="0.35">
      <c r="A688" s="2" t="s">
        <v>182</v>
      </c>
      <c r="B688">
        <v>2000</v>
      </c>
      <c r="D6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8" s="37" t="str">
        <f>INDEX(CONTROL[ENGLISH],MATCH(PROPERTIES[[#This Row],[VEHIDCODE]],CONTROL[VEHIDCODE],0))</f>
        <v>5th Gen Heavy Flatcar</v>
      </c>
      <c r="G688" s="37" t="str">
        <f>_xlfn.IFNA(INDEX(COUNTRIES[COUNTRY_LABEL],MATCH(PROPERTIES[[#This Row],[COUNTRY]],COUNTRIES[COUNTRY_DESCRIPTION],0)),"")</f>
        <v/>
      </c>
      <c r="H6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INDEX(LOADINGSPEEDDEF[SPEED],MATCH("LOADINGSPEEDDEF_"&amp;PROPERTIES[[#This Row],[LOADINGSPEED]],LOADINGSPEEDDEF[TYPE],0))</f>
        <v>20</v>
      </c>
      <c r="O6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4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8" s="2" t="str">
        <f>SUBSTITUTE(SUBSTITUTE(PROPERTIES[[#This Row],[PURCHASECOST_VALUE]], "PURCHASECOST_", ""), "_VALUE", "")</f>
        <v>WAGON</v>
      </c>
      <c r="AO688" s="41" t="b">
        <v>0</v>
      </c>
      <c r="AP688" s="45" t="b">
        <v>0</v>
      </c>
      <c r="AQ688" s="45" t="b">
        <v>0</v>
      </c>
      <c r="AR688" s="45">
        <v>2</v>
      </c>
      <c r="AS688" s="45" t="b">
        <v>0</v>
      </c>
      <c r="AT688" s="7" t="b">
        <v>0</v>
      </c>
      <c r="AU6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89" spans="1:47" x14ac:dyDescent="0.35">
      <c r="A689" s="2" t="s">
        <v>183</v>
      </c>
      <c r="B689">
        <v>1990</v>
      </c>
      <c r="D6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89" s="37" t="str">
        <f>INDEX(CONTROL[ENGLISH],MATCH(PROPERTIES[[#This Row],[VEHIDCODE]],CONTROL[VEHIDCODE],0))</f>
        <v>5th Gen Boxcar [Food]</v>
      </c>
      <c r="G689" s="37" t="str">
        <f>_xlfn.IFNA(INDEX(COUNTRIES[COUNTRY_LABEL],MATCH(PROPERTIES[[#This Row],[COUNTRY]],COUNTRIES[COUNTRY_DESCRIPTION],0)),"")</f>
        <v/>
      </c>
      <c r="H6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3664</v>
      </c>
      <c r="J689">
        <v>63</v>
      </c>
      <c r="K689">
        <v>8</v>
      </c>
      <c r="L689">
        <v>0</v>
      </c>
      <c r="M6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INDEX(LOADINGSPEEDDEF[SPEED],MATCH("LOADINGSPEEDDEF_"&amp;PROPERTIES[[#This Row],[LOADINGSPEED]],LOADINGSPEEDDEF[TYPE],0))</f>
        <v>20</v>
      </c>
      <c r="O68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4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8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89" s="2" t="str">
        <f>SUBSTITUTE(SUBSTITUTE(PROPERTIES[[#This Row],[PURCHASECOST_VALUE]], "PURCHASECOST_", ""), "_VALUE", "")</f>
        <v>WAGON</v>
      </c>
      <c r="AO689" s="41" t="b">
        <v>0</v>
      </c>
      <c r="AP689" s="45" t="b">
        <v>0</v>
      </c>
      <c r="AQ689" s="45" t="b">
        <v>0</v>
      </c>
      <c r="AR689" s="45">
        <v>2</v>
      </c>
      <c r="AS689" s="45" t="b">
        <v>0</v>
      </c>
      <c r="AT689" s="7" t="b">
        <v>0</v>
      </c>
      <c r="AU6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0" spans="1:47" x14ac:dyDescent="0.35">
      <c r="A690" s="2" t="s">
        <v>184</v>
      </c>
      <c r="B690">
        <v>1990</v>
      </c>
      <c r="D6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0" s="37" t="str">
        <f>INDEX(CONTROL[ENGLISH],MATCH(PROPERTIES[[#This Row],[VEHIDCODE]],CONTROL[VEHIDCODE],0))</f>
        <v>5th Gen Boxcar [Non-Food]</v>
      </c>
      <c r="G690" s="37" t="str">
        <f>_xlfn.IFNA(INDEX(COUNTRIES[COUNTRY_LABEL],MATCH(PROPERTIES[[#This Row],[COUNTRY]],COUNTRIES[COUNTRY_DESCRIPTION],0)),"")</f>
        <v/>
      </c>
      <c r="H6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3663</v>
      </c>
      <c r="J690">
        <v>63</v>
      </c>
      <c r="K690">
        <v>8</v>
      </c>
      <c r="L690">
        <v>0</v>
      </c>
      <c r="M6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INDEX(LOADINGSPEEDDEF[SPEED],MATCH("LOADINGSPEEDDEF_"&amp;PROPERTIES[[#This Row],[LOADINGSPEED]],LOADINGSPEEDDEF[TYPE],0))</f>
        <v>20</v>
      </c>
      <c r="O69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4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0" s="2" t="str">
        <f>SUBSTITUTE(SUBSTITUTE(PROPERTIES[[#This Row],[PURCHASECOST_VALUE]], "PURCHASECOST_", ""), "_VALUE", "")</f>
        <v>WAGON</v>
      </c>
      <c r="AO690" s="41" t="b">
        <v>0</v>
      </c>
      <c r="AP690" s="45" t="b">
        <v>0</v>
      </c>
      <c r="AQ690" s="45" t="b">
        <v>0</v>
      </c>
      <c r="AR690" s="45">
        <v>2</v>
      </c>
      <c r="AS690" s="45" t="b">
        <v>0</v>
      </c>
      <c r="AT690" s="7" t="b">
        <v>0</v>
      </c>
      <c r="AU6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1" spans="1:47" x14ac:dyDescent="0.35">
      <c r="A691" s="2" t="s">
        <v>185</v>
      </c>
      <c r="B691">
        <v>2000</v>
      </c>
      <c r="D6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1" s="37" t="str">
        <f>INDEX(CONTROL[ENGLISH],MATCH(PROPERTIES[[#This Row],[VEHIDCODE]],CONTROL[VEHIDCODE],0))</f>
        <v>5th Gen Tanker</v>
      </c>
      <c r="G691" s="37" t="str">
        <f>_xlfn.IFNA(INDEX(COUNTRIES[COUNTRY_LABEL],MATCH(PROPERTIES[[#This Row],[COUNTRY]],COUNTRIES[COUNTRY_DESCRIPTION],0)),"")</f>
        <v/>
      </c>
      <c r="H6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INDEX(LOADINGSPEEDDEF[SPEED],MATCH("LOADINGSPEEDDEF_"&amp;PROPERTIES[[#This Row],[LOADINGSPEED]],LOADINGSPEEDDEF[TYPE],0))</f>
        <v>20</v>
      </c>
      <c r="O69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4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1" s="2" t="str">
        <f>SUBSTITUTE(SUBSTITUTE(PROPERTIES[[#This Row],[PURCHASECOST_VALUE]], "PURCHASECOST_", ""), "_VALUE", "")</f>
        <v>WAGON</v>
      </c>
      <c r="AO691" s="41" t="b">
        <v>0</v>
      </c>
      <c r="AP691" s="45" t="b">
        <v>0</v>
      </c>
      <c r="AQ691" s="45" t="b">
        <v>0</v>
      </c>
      <c r="AR691" s="45">
        <v>2</v>
      </c>
      <c r="AS691" s="45" t="b">
        <v>0</v>
      </c>
      <c r="AT691" s="7" t="b">
        <v>0</v>
      </c>
      <c r="AU6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2" spans="1:47" x14ac:dyDescent="0.35">
      <c r="A692" s="2" t="s">
        <v>186</v>
      </c>
      <c r="B692">
        <v>1990</v>
      </c>
      <c r="D6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2" s="37" t="str">
        <f>INDEX(CONTROL[ENGLISH],MATCH(PROPERTIES[[#This Row],[VEHIDCODE]],CONTROL[VEHIDCODE],0))</f>
        <v>5th Gen Gondola</v>
      </c>
      <c r="G692" s="37" t="str">
        <f>_xlfn.IFNA(INDEX(COUNTRIES[COUNTRY_LABEL],MATCH(PROPERTIES[[#This Row],[COUNTRY]],COUNTRIES[COUNTRY_DESCRIPTION],0)),"")</f>
        <v/>
      </c>
      <c r="H6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INDEX(LOADINGSPEEDDEF[SPEED],MATCH("LOADINGSPEEDDEF_"&amp;PROPERTIES[[#This Row],[LOADINGSPEED]],LOADINGSPEEDDEF[TYPE],0))</f>
        <v>20</v>
      </c>
      <c r="O6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4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2" s="2" t="str">
        <f>SUBSTITUTE(SUBSTITUTE(PROPERTIES[[#This Row],[PURCHASECOST_VALUE]], "PURCHASECOST_", ""), "_VALUE", "")</f>
        <v>WAGON</v>
      </c>
      <c r="AO692" s="41" t="b">
        <v>0</v>
      </c>
      <c r="AP692" s="45" t="b">
        <v>0</v>
      </c>
      <c r="AQ692" s="45" t="b">
        <v>0</v>
      </c>
      <c r="AR692" s="45">
        <v>2</v>
      </c>
      <c r="AS692" s="45" t="b">
        <v>1</v>
      </c>
      <c r="AT692" s="7" t="b">
        <v>0</v>
      </c>
      <c r="AU6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3" spans="1:47" x14ac:dyDescent="0.35">
      <c r="A693" s="2" t="s">
        <v>187</v>
      </c>
      <c r="B693">
        <v>2000</v>
      </c>
      <c r="D6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3" s="37" t="str">
        <f>INDEX(CONTROL[ENGLISH],MATCH(PROPERTIES[[#This Row],[VEHIDCODE]],CONTROL[VEHIDCODE],0))</f>
        <v>5th Gen Silo [Food]</v>
      </c>
      <c r="G693" s="37" t="str">
        <f>_xlfn.IFNA(INDEX(COUNTRIES[COUNTRY_LABEL],MATCH(PROPERTIES[[#This Row],[COUNTRY]],COUNTRIES[COUNTRY_DESCRIPTION],0)),"")</f>
        <v/>
      </c>
      <c r="H6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3661</v>
      </c>
      <c r="J693">
        <v>65</v>
      </c>
      <c r="K693">
        <v>8</v>
      </c>
      <c r="L693">
        <v>0</v>
      </c>
      <c r="M6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INDEX(LOADINGSPEEDDEF[SPEED],MATCH("LOADINGSPEEDDEF_"&amp;PROPERTIES[[#This Row],[LOADINGSPEED]],LOADINGSPEEDDEF[TYPE],0))</f>
        <v>20</v>
      </c>
      <c r="O69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4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3" s="2" t="str">
        <f>SUBSTITUTE(SUBSTITUTE(PROPERTIES[[#This Row],[PURCHASECOST_VALUE]], "PURCHASECOST_", ""), "_VALUE", "")</f>
        <v>WAGON</v>
      </c>
      <c r="AO693" s="41" t="b">
        <v>0</v>
      </c>
      <c r="AP693" s="45" t="b">
        <v>0</v>
      </c>
      <c r="AQ693" s="45" t="b">
        <v>0</v>
      </c>
      <c r="AR693" s="45">
        <v>2</v>
      </c>
      <c r="AS693" s="45" t="b">
        <v>0</v>
      </c>
      <c r="AT693" s="7" t="b">
        <v>0</v>
      </c>
      <c r="AU6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4" spans="1:47" x14ac:dyDescent="0.35">
      <c r="A694" s="2" t="s">
        <v>188</v>
      </c>
      <c r="B694">
        <v>2000</v>
      </c>
      <c r="D6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4" s="37" t="str">
        <f>INDEX(CONTROL[ENGLISH],MATCH(PROPERTIES[[#This Row],[VEHIDCODE]],CONTROL[VEHIDCODE],0))</f>
        <v>5th Gen Silo [Non-Food]</v>
      </c>
      <c r="G694" s="37" t="str">
        <f>_xlfn.IFNA(INDEX(COUNTRIES[COUNTRY_LABEL],MATCH(PROPERTIES[[#This Row],[COUNTRY]],COUNTRIES[COUNTRY_DESCRIPTION],0)),"")</f>
        <v/>
      </c>
      <c r="H6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3662</v>
      </c>
      <c r="J694">
        <v>65</v>
      </c>
      <c r="K694">
        <v>8</v>
      </c>
      <c r="L694">
        <v>0</v>
      </c>
      <c r="M6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INDEX(LOADINGSPEEDDEF[SPEED],MATCH("LOADINGSPEEDDEF_"&amp;PROPERTIES[[#This Row],[LOADINGSPEED]],LOADINGSPEEDDEF[TYPE],0))</f>
        <v>20</v>
      </c>
      <c r="O6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4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4" s="2" t="str">
        <f>SUBSTITUTE(SUBSTITUTE(PROPERTIES[[#This Row],[PURCHASECOST_VALUE]], "PURCHASECOST_", ""), "_VALUE", "")</f>
        <v>WAGON</v>
      </c>
      <c r="AO694" s="41" t="b">
        <v>0</v>
      </c>
      <c r="AP694" s="45" t="b">
        <v>0</v>
      </c>
      <c r="AQ694" s="45" t="b">
        <v>0</v>
      </c>
      <c r="AR694" s="45">
        <v>2</v>
      </c>
      <c r="AS694" s="45" t="b">
        <v>0</v>
      </c>
      <c r="AT694" s="7" t="b">
        <v>0</v>
      </c>
      <c r="AU6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5" spans="1:47" x14ac:dyDescent="0.35">
      <c r="A695" s="2" t="s">
        <v>189</v>
      </c>
      <c r="B695">
        <v>2000</v>
      </c>
      <c r="D6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5" s="37" t="str">
        <f>INDEX(CONTROL[ENGLISH],MATCH(PROPERTIES[[#This Row],[VEHIDCODE]],CONTROL[VEHIDCODE],0))</f>
        <v>5th Gen Self-discharging Hopper [Food]</v>
      </c>
      <c r="G695" s="37" t="str">
        <f>_xlfn.IFNA(INDEX(COUNTRIES[COUNTRY_LABEL],MATCH(PROPERTIES[[#This Row],[COUNTRY]],COUNTRIES[COUNTRY_DESCRIPTION],0)),"")</f>
        <v/>
      </c>
      <c r="H6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3659</v>
      </c>
      <c r="J695">
        <v>65</v>
      </c>
      <c r="K695">
        <v>8</v>
      </c>
      <c r="L695">
        <v>0</v>
      </c>
      <c r="M6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INDEX(LOADINGSPEEDDEF[SPEED],MATCH("LOADINGSPEEDDEF_"&amp;PROPERTIES[[#This Row],[LOADINGSPEED]],LOADINGSPEEDDEF[TYPE],0))</f>
        <v>20</v>
      </c>
      <c r="O6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4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5" s="2" t="str">
        <f>SUBSTITUTE(SUBSTITUTE(PROPERTIES[[#This Row],[PURCHASECOST_VALUE]], "PURCHASECOST_", ""), "_VALUE", "")</f>
        <v>WAGON</v>
      </c>
      <c r="AO695" s="41" t="b">
        <v>0</v>
      </c>
      <c r="AP695" s="45" t="b">
        <v>0</v>
      </c>
      <c r="AQ695" s="45" t="b">
        <v>0</v>
      </c>
      <c r="AR695" s="45">
        <v>2</v>
      </c>
      <c r="AS695" s="45" t="b">
        <v>1</v>
      </c>
      <c r="AT695" s="7" t="b">
        <v>0</v>
      </c>
      <c r="AU6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6" spans="1:47" x14ac:dyDescent="0.35">
      <c r="A696" s="2" t="s">
        <v>190</v>
      </c>
      <c r="B696">
        <v>2000</v>
      </c>
      <c r="D6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6" s="37" t="str">
        <f>INDEX(CONTROL[ENGLISH],MATCH(PROPERTIES[[#This Row],[VEHIDCODE]],CONTROL[VEHIDCODE],0))</f>
        <v>5th Gen Self-discharging Hopper [Non-Food]</v>
      </c>
      <c r="G696" s="37" t="str">
        <f>_xlfn.IFNA(INDEX(COUNTRIES[COUNTRY_LABEL],MATCH(PROPERTIES[[#This Row],[COUNTRY]],COUNTRIES[COUNTRY_DESCRIPTION],0)),"")</f>
        <v/>
      </c>
      <c r="H6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3660</v>
      </c>
      <c r="J696">
        <v>65</v>
      </c>
      <c r="K696">
        <v>8</v>
      </c>
      <c r="L696">
        <v>0</v>
      </c>
      <c r="M6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INDEX(LOADINGSPEEDDEF[SPEED],MATCH("LOADINGSPEEDDEF_"&amp;PROPERTIES[[#This Row],[LOADINGSPEED]],LOADINGSPEEDDEF[TYPE],0))</f>
        <v>20</v>
      </c>
      <c r="O69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4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6" s="2" t="str">
        <f>SUBSTITUTE(SUBSTITUTE(PROPERTIES[[#This Row],[PURCHASECOST_VALUE]], "PURCHASECOST_", ""), "_VALUE", "")</f>
        <v>WAGON</v>
      </c>
      <c r="AO696" s="41" t="b">
        <v>0</v>
      </c>
      <c r="AP696" s="45" t="b">
        <v>0</v>
      </c>
      <c r="AQ696" s="45" t="b">
        <v>0</v>
      </c>
      <c r="AR696" s="45">
        <v>2</v>
      </c>
      <c r="AS696" s="45" t="b">
        <v>0</v>
      </c>
      <c r="AT696" s="7" t="b">
        <v>0</v>
      </c>
      <c r="AU6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7" spans="1:47" x14ac:dyDescent="0.35">
      <c r="A697" s="2" t="s">
        <v>191</v>
      </c>
      <c r="B697">
        <v>2000</v>
      </c>
      <c r="D6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7" s="37" t="str">
        <f>INDEX(CONTROL[ENGLISH],MATCH(PROPERTIES[[#This Row],[VEHIDCODE]],CONTROL[VEHIDCODE],0))</f>
        <v>5th Gen Car Transporter</v>
      </c>
      <c r="G697" s="37" t="str">
        <f>_xlfn.IFNA(INDEX(COUNTRIES[COUNTRY_LABEL],MATCH(PROPERTIES[[#This Row],[COUNTRY]],COUNTRIES[COUNTRY_DESCRIPTION],0)),"")</f>
        <v/>
      </c>
      <c r="H6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INDEX(LOADINGSPEEDDEF[SPEED],MATCH("LOADINGSPEEDDEF_"&amp;PROPERTIES[[#This Row],[LOADINGSPEED]],LOADINGSPEEDDEF[TYPE],0))</f>
        <v>20</v>
      </c>
      <c r="O6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4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7" s="2" t="str">
        <f>SUBSTITUTE(SUBSTITUTE(PROPERTIES[[#This Row],[PURCHASECOST_VALUE]], "PURCHASECOST_", ""), "_VALUE", "")</f>
        <v>WAGON</v>
      </c>
      <c r="AO697" s="41" t="b">
        <v>0</v>
      </c>
      <c r="AP697" s="45" t="b">
        <v>0</v>
      </c>
      <c r="AQ697" s="45" t="b">
        <v>0</v>
      </c>
      <c r="AR697" s="45">
        <v>2</v>
      </c>
      <c r="AS697" s="45" t="b">
        <v>0</v>
      </c>
      <c r="AT697" s="7" t="b">
        <v>0</v>
      </c>
      <c r="AU6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8" spans="1:47" x14ac:dyDescent="0.35">
      <c r="A698" s="2" t="s">
        <v>192</v>
      </c>
      <c r="B698">
        <v>1990</v>
      </c>
      <c r="D6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8" s="37" t="str">
        <f>INDEX(CONTROL[ENGLISH],MATCH(PROPERTIES[[#This Row],[VEHIDCODE]],CONTROL[VEHIDCODE],0))</f>
        <v>5th Gen Container Carrier</v>
      </c>
      <c r="G698" s="37" t="str">
        <f>_xlfn.IFNA(INDEX(COUNTRIES[COUNTRY_LABEL],MATCH(PROPERTIES[[#This Row],[COUNTRY]],COUNTRIES[COUNTRY_DESCRIPTION],0)),"")</f>
        <v/>
      </c>
      <c r="H6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INDEX(LOADINGSPEEDDEF[SPEED],MATCH("LOADINGSPEEDDEF_"&amp;PROPERTIES[[#This Row],[LOADINGSPEED]],LOADINGSPEEDDEF[TYPE],0))</f>
        <v>20</v>
      </c>
      <c r="O6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4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8" s="2" t="str">
        <f>SUBSTITUTE(SUBSTITUTE(PROPERTIES[[#This Row],[PURCHASECOST_VALUE]], "PURCHASECOST_", ""), "_VALUE", "")</f>
        <v>WAGON</v>
      </c>
      <c r="AO698" s="41" t="b">
        <v>0</v>
      </c>
      <c r="AP698" s="45" t="b">
        <v>0</v>
      </c>
      <c r="AQ698" s="45" t="b">
        <v>0</v>
      </c>
      <c r="AR698" s="45">
        <v>2</v>
      </c>
      <c r="AS698" s="45" t="b">
        <v>0</v>
      </c>
      <c r="AT698" s="7" t="b">
        <v>0</v>
      </c>
      <c r="AU6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699" spans="1:47" x14ac:dyDescent="0.35">
      <c r="A699" s="2" t="s">
        <v>193</v>
      </c>
      <c r="B699">
        <v>1990</v>
      </c>
      <c r="D6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699" s="37" t="str">
        <f>INDEX(CONTROL[ENGLISH],MATCH(PROPERTIES[[#This Row],[VEHIDCODE]],CONTROL[VEHIDCODE],0))</f>
        <v>5th Gen Centerbeam Flatcar</v>
      </c>
      <c r="G699" s="37" t="str">
        <f>_xlfn.IFNA(INDEX(COUNTRIES[COUNTRY_LABEL],MATCH(PROPERTIES[[#This Row],[COUNTRY]],COUNTRIES[COUNTRY_DESCRIPTION],0)),"")</f>
        <v/>
      </c>
      <c r="H6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INDEX(LOADINGSPEEDDEF[SPEED],MATCH("LOADINGSPEEDDEF_"&amp;PROPERTIES[[#This Row],[LOADINGSPEED]],LOADINGSPEEDDEF[TYPE],0))</f>
        <v>20</v>
      </c>
      <c r="O69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4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69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699" s="2" t="str">
        <f>SUBSTITUTE(SUBSTITUTE(PROPERTIES[[#This Row],[PURCHASECOST_VALUE]], "PURCHASECOST_", ""), "_VALUE", "")</f>
        <v>WAGON</v>
      </c>
      <c r="AO699" s="41" t="b">
        <v>0</v>
      </c>
      <c r="AP699" s="45" t="b">
        <v>0</v>
      </c>
      <c r="AQ699" s="45" t="b">
        <v>0</v>
      </c>
      <c r="AR699" s="45">
        <v>2</v>
      </c>
      <c r="AS699" s="45" t="b">
        <v>0</v>
      </c>
      <c r="AT699" s="7" t="b">
        <v>0</v>
      </c>
      <c r="AU6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0" spans="1:47" x14ac:dyDescent="0.35">
      <c r="A700" s="2" t="s">
        <v>194</v>
      </c>
      <c r="B700">
        <v>1980</v>
      </c>
      <c r="D7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0" s="37" t="str">
        <f>INDEX(CONTROL[ENGLISH],MATCH(PROPERTIES[[#This Row],[VEHIDCODE]],CONTROL[VEHIDCODE],0))</f>
        <v>5th Gen Container Doublestack</v>
      </c>
      <c r="G700" s="37" t="str">
        <f>_xlfn.IFNA(INDEX(COUNTRIES[COUNTRY_LABEL],MATCH(PROPERTIES[[#This Row],[COUNTRY]],COUNTRIES[COUNTRY_DESCRIPTION],0)),"")</f>
        <v/>
      </c>
      <c r="H7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INDEX(LOADINGSPEEDDEF[SPEED],MATCH("LOADINGSPEEDDEF_"&amp;PROPERTIES[[#This Row],[LOADINGSPEED]],LOADINGSPEEDDEF[TYPE],0))</f>
        <v>20</v>
      </c>
      <c r="O7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4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0" s="2" t="str">
        <f>SUBSTITUTE(SUBSTITUTE(PROPERTIES[[#This Row],[PURCHASECOST_VALUE]], "PURCHASECOST_", ""), "_VALUE", "")</f>
        <v>WAGON</v>
      </c>
      <c r="AO700" s="41" t="b">
        <v>0</v>
      </c>
      <c r="AP700" s="45" t="b">
        <v>0</v>
      </c>
      <c r="AQ700" s="45" t="b">
        <v>0</v>
      </c>
      <c r="AR700" s="45">
        <v>2</v>
      </c>
      <c r="AS700" s="45" t="b">
        <v>0</v>
      </c>
      <c r="AT700" s="7" t="b">
        <v>0</v>
      </c>
      <c r="AU7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1" spans="1:47" x14ac:dyDescent="0.35">
      <c r="A701" s="2" t="s">
        <v>195</v>
      </c>
      <c r="B701">
        <v>1990</v>
      </c>
      <c r="D7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1" s="37" t="str">
        <f>INDEX(CONTROL[ENGLISH],MATCH(PROPERTIES[[#This Row],[VEHIDCODE]],CONTROL[VEHIDCODE],0))</f>
        <v>5th Gen Superheavy Flatcar</v>
      </c>
      <c r="G701" s="37" t="str">
        <f>_xlfn.IFNA(INDEX(COUNTRIES[COUNTRY_LABEL],MATCH(PROPERTIES[[#This Row],[COUNTRY]],COUNTRIES[COUNTRY_DESCRIPTION],0)),"")</f>
        <v/>
      </c>
      <c r="H7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INDEX(LOADINGSPEEDDEF[SPEED],MATCH("LOADINGSPEEDDEF_"&amp;PROPERTIES[[#This Row],[LOADINGSPEED]],LOADINGSPEEDDEF[TYPE],0))</f>
        <v>20</v>
      </c>
      <c r="O70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4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1" s="2" t="str">
        <f>SUBSTITUTE(SUBSTITUTE(PROPERTIES[[#This Row],[PURCHASECOST_VALUE]], "PURCHASECOST_", ""), "_VALUE", "")</f>
        <v>WAGON</v>
      </c>
      <c r="AO701" s="41" t="b">
        <v>0</v>
      </c>
      <c r="AP701" s="45" t="b">
        <v>0</v>
      </c>
      <c r="AQ701" s="45" t="b">
        <v>0</v>
      </c>
      <c r="AR701" s="45">
        <v>0</v>
      </c>
      <c r="AS701" s="45" t="b">
        <v>0</v>
      </c>
      <c r="AT701" s="7" t="b">
        <v>0</v>
      </c>
      <c r="AU7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702" spans="1:47" x14ac:dyDescent="0.35">
      <c r="A702" s="2" t="s">
        <v>196</v>
      </c>
      <c r="B702">
        <v>2010</v>
      </c>
      <c r="D7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2" s="37" t="str">
        <f>INDEX(CONTROL[ENGLISH],MATCH(PROPERTIES[[#This Row],[VEHIDCODE]],CONTROL[VEHIDCODE],0))</f>
        <v>6th Gen Flatcar</v>
      </c>
      <c r="G702" s="37" t="str">
        <f>_xlfn.IFNA(INDEX(COUNTRIES[COUNTRY_LABEL],MATCH(PROPERTIES[[#This Row],[COUNTRY]],COUNTRIES[COUNTRY_DESCRIPTION],0)),"")</f>
        <v/>
      </c>
      <c r="H7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INDEX(LOADINGSPEEDDEF[SPEED],MATCH("LOADINGSPEEDDEF_"&amp;PROPERTIES[[#This Row],[LOADINGSPEED]],LOADINGSPEEDDEF[TYPE],0))</f>
        <v>20</v>
      </c>
      <c r="O70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4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2" s="2" t="str">
        <f>SUBSTITUTE(SUBSTITUTE(PROPERTIES[[#This Row],[PURCHASECOST_VALUE]], "PURCHASECOST_", ""), "_VALUE", "")</f>
        <v>WAGON</v>
      </c>
      <c r="AO702" s="41" t="b">
        <v>0</v>
      </c>
      <c r="AP702" s="45" t="b">
        <v>0</v>
      </c>
      <c r="AQ702" s="45" t="b">
        <v>0</v>
      </c>
      <c r="AR702" s="45">
        <v>2</v>
      </c>
      <c r="AS702" s="45" t="b">
        <v>0</v>
      </c>
      <c r="AT702" s="7" t="b">
        <v>0</v>
      </c>
      <c r="AU7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3" spans="1:47" x14ac:dyDescent="0.35">
      <c r="A703" s="2" t="s">
        <v>197</v>
      </c>
      <c r="B703">
        <v>2020</v>
      </c>
      <c r="D7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3" s="37" t="str">
        <f>INDEX(CONTROL[ENGLISH],MATCH(PROPERTIES[[#This Row],[VEHIDCODE]],CONTROL[VEHIDCODE],0))</f>
        <v>6th Gen Heavy Flatcar</v>
      </c>
      <c r="G703" s="37" t="str">
        <f>_xlfn.IFNA(INDEX(COUNTRIES[COUNTRY_LABEL],MATCH(PROPERTIES[[#This Row],[COUNTRY]],COUNTRIES[COUNTRY_DESCRIPTION],0)),"")</f>
        <v/>
      </c>
      <c r="H7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INDEX(LOADINGSPEEDDEF[SPEED],MATCH("LOADINGSPEEDDEF_"&amp;PROPERTIES[[#This Row],[LOADINGSPEED]],LOADINGSPEEDDEF[TYPE],0))</f>
        <v>20</v>
      </c>
      <c r="O7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4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3" s="2" t="str">
        <f>SUBSTITUTE(SUBSTITUTE(PROPERTIES[[#This Row],[PURCHASECOST_VALUE]], "PURCHASECOST_", ""), "_VALUE", "")</f>
        <v>WAGON</v>
      </c>
      <c r="AO703" s="41" t="b">
        <v>0</v>
      </c>
      <c r="AP703" s="45" t="b">
        <v>0</v>
      </c>
      <c r="AQ703" s="45" t="b">
        <v>0</v>
      </c>
      <c r="AR703" s="45">
        <v>2</v>
      </c>
      <c r="AS703" s="45" t="b">
        <v>0</v>
      </c>
      <c r="AT703" s="7" t="b">
        <v>0</v>
      </c>
      <c r="AU7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4" spans="1:47" x14ac:dyDescent="0.35">
      <c r="A704" s="2" t="s">
        <v>198</v>
      </c>
      <c r="B704">
        <v>2010</v>
      </c>
      <c r="D7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4" s="37" t="str">
        <f>INDEX(CONTROL[ENGLISH],MATCH(PROPERTIES[[#This Row],[VEHIDCODE]],CONTROL[VEHIDCODE],0))</f>
        <v>6th Gen Boxcar [Food]</v>
      </c>
      <c r="G704" s="37" t="str">
        <f>_xlfn.IFNA(INDEX(COUNTRIES[COUNTRY_LABEL],MATCH(PROPERTIES[[#This Row],[COUNTRY]],COUNTRIES[COUNTRY_DESCRIPTION],0)),"")</f>
        <v/>
      </c>
      <c r="H7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3664</v>
      </c>
      <c r="J704">
        <v>74</v>
      </c>
      <c r="K704">
        <v>8</v>
      </c>
      <c r="L704">
        <v>0</v>
      </c>
      <c r="M7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INDEX(LOADINGSPEEDDEF[SPEED],MATCH("LOADINGSPEEDDEF_"&amp;PROPERTIES[[#This Row],[LOADINGSPEED]],LOADINGSPEEDDEF[TYPE],0))</f>
        <v>20</v>
      </c>
      <c r="O70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4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4" s="2" t="str">
        <f>SUBSTITUTE(SUBSTITUTE(PROPERTIES[[#This Row],[PURCHASECOST_VALUE]], "PURCHASECOST_", ""), "_VALUE", "")</f>
        <v>WAGON</v>
      </c>
      <c r="AO704" s="41" t="b">
        <v>0</v>
      </c>
      <c r="AP704" s="45" t="b">
        <v>0</v>
      </c>
      <c r="AQ704" s="45" t="b">
        <v>0</v>
      </c>
      <c r="AR704" s="45">
        <v>2</v>
      </c>
      <c r="AS704" s="45" t="b">
        <v>0</v>
      </c>
      <c r="AT704" s="7" t="b">
        <v>0</v>
      </c>
      <c r="AU7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5" spans="1:47" x14ac:dyDescent="0.35">
      <c r="A705" s="2" t="s">
        <v>199</v>
      </c>
      <c r="B705">
        <v>2010</v>
      </c>
      <c r="D7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5" s="37" t="str">
        <f>INDEX(CONTROL[ENGLISH],MATCH(PROPERTIES[[#This Row],[VEHIDCODE]],CONTROL[VEHIDCODE],0))</f>
        <v>6th Gen Boxcar [Non-Food]</v>
      </c>
      <c r="G705" s="37" t="str">
        <f>_xlfn.IFNA(INDEX(COUNTRIES[COUNTRY_LABEL],MATCH(PROPERTIES[[#This Row],[COUNTRY]],COUNTRIES[COUNTRY_DESCRIPTION],0)),"")</f>
        <v/>
      </c>
      <c r="H7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3663</v>
      </c>
      <c r="J705">
        <v>74</v>
      </c>
      <c r="K705">
        <v>8</v>
      </c>
      <c r="L705">
        <v>0</v>
      </c>
      <c r="M7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INDEX(LOADINGSPEEDDEF[SPEED],MATCH("LOADINGSPEEDDEF_"&amp;PROPERTIES[[#This Row],[LOADINGSPEED]],LOADINGSPEEDDEF[TYPE],0))</f>
        <v>20</v>
      </c>
      <c r="O70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4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5" s="2" t="str">
        <f>SUBSTITUTE(SUBSTITUTE(PROPERTIES[[#This Row],[PURCHASECOST_VALUE]], "PURCHASECOST_", ""), "_VALUE", "")</f>
        <v>WAGON</v>
      </c>
      <c r="AO705" s="41" t="b">
        <v>0</v>
      </c>
      <c r="AP705" s="45" t="b">
        <v>0</v>
      </c>
      <c r="AQ705" s="45" t="b">
        <v>0</v>
      </c>
      <c r="AR705" s="45">
        <v>2</v>
      </c>
      <c r="AS705" s="45" t="b">
        <v>0</v>
      </c>
      <c r="AT705" s="7" t="b">
        <v>0</v>
      </c>
      <c r="AU7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6" spans="1:47" x14ac:dyDescent="0.35">
      <c r="A706" s="2" t="s">
        <v>200</v>
      </c>
      <c r="B706">
        <v>2020</v>
      </c>
      <c r="D7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6" s="37" t="str">
        <f>INDEX(CONTROL[ENGLISH],MATCH(PROPERTIES[[#This Row],[VEHIDCODE]],CONTROL[VEHIDCODE],0))</f>
        <v>6th Gen Tanker</v>
      </c>
      <c r="G706" s="37" t="str">
        <f>_xlfn.IFNA(INDEX(COUNTRIES[COUNTRY_LABEL],MATCH(PROPERTIES[[#This Row],[COUNTRY]],COUNTRIES[COUNTRY_DESCRIPTION],0)),"")</f>
        <v/>
      </c>
      <c r="H7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INDEX(LOADINGSPEEDDEF[SPEED],MATCH("LOADINGSPEEDDEF_"&amp;PROPERTIES[[#This Row],[LOADINGSPEED]],LOADINGSPEEDDEF[TYPE],0))</f>
        <v>20</v>
      </c>
      <c r="O70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4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6" s="2" t="str">
        <f>SUBSTITUTE(SUBSTITUTE(PROPERTIES[[#This Row],[PURCHASECOST_VALUE]], "PURCHASECOST_", ""), "_VALUE", "")</f>
        <v>WAGON</v>
      </c>
      <c r="AO706" s="41" t="b">
        <v>0</v>
      </c>
      <c r="AP706" s="45" t="b">
        <v>0</v>
      </c>
      <c r="AQ706" s="45" t="b">
        <v>0</v>
      </c>
      <c r="AR706" s="45">
        <v>2</v>
      </c>
      <c r="AS706" s="45" t="b">
        <v>0</v>
      </c>
      <c r="AT706" s="7" t="b">
        <v>0</v>
      </c>
      <c r="AU7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7" spans="1:47" x14ac:dyDescent="0.35">
      <c r="A707" s="2" t="s">
        <v>201</v>
      </c>
      <c r="B707">
        <v>2010</v>
      </c>
      <c r="D7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7" s="37" t="str">
        <f>INDEX(CONTROL[ENGLISH],MATCH(PROPERTIES[[#This Row],[VEHIDCODE]],CONTROL[VEHIDCODE],0))</f>
        <v>6th Gen Gondola</v>
      </c>
      <c r="G707" s="37" t="str">
        <f>_xlfn.IFNA(INDEX(COUNTRIES[COUNTRY_LABEL],MATCH(PROPERTIES[[#This Row],[COUNTRY]],COUNTRIES[COUNTRY_DESCRIPTION],0)),"")</f>
        <v/>
      </c>
      <c r="H7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INDEX(LOADINGSPEEDDEF[SPEED],MATCH("LOADINGSPEEDDEF_"&amp;PROPERTIES[[#This Row],[LOADINGSPEED]],LOADINGSPEEDDEF[TYPE],0))</f>
        <v>20</v>
      </c>
      <c r="O70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4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7" s="2" t="str">
        <f>SUBSTITUTE(SUBSTITUTE(PROPERTIES[[#This Row],[PURCHASECOST_VALUE]], "PURCHASECOST_", ""), "_VALUE", "")</f>
        <v>WAGON</v>
      </c>
      <c r="AO707" s="41" t="b">
        <v>0</v>
      </c>
      <c r="AP707" s="45" t="b">
        <v>0</v>
      </c>
      <c r="AQ707" s="45" t="b">
        <v>0</v>
      </c>
      <c r="AR707" s="45">
        <v>2</v>
      </c>
      <c r="AS707" s="45" t="b">
        <v>1</v>
      </c>
      <c r="AT707" s="7" t="b">
        <v>0</v>
      </c>
      <c r="AU7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8" spans="1:47" x14ac:dyDescent="0.35">
      <c r="A708" s="2" t="s">
        <v>202</v>
      </c>
      <c r="B708">
        <v>2020</v>
      </c>
      <c r="D7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8" s="37" t="str">
        <f>INDEX(CONTROL[ENGLISH],MATCH(PROPERTIES[[#This Row],[VEHIDCODE]],CONTROL[VEHIDCODE],0))</f>
        <v>6th Gen Silo [Food]</v>
      </c>
      <c r="G708" s="37" t="str">
        <f>_xlfn.IFNA(INDEX(COUNTRIES[COUNTRY_LABEL],MATCH(PROPERTIES[[#This Row],[COUNTRY]],COUNTRIES[COUNTRY_DESCRIPTION],0)),"")</f>
        <v/>
      </c>
      <c r="H7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3661</v>
      </c>
      <c r="J708">
        <v>75</v>
      </c>
      <c r="K708">
        <v>8</v>
      </c>
      <c r="L708">
        <v>0</v>
      </c>
      <c r="M7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INDEX(LOADINGSPEEDDEF[SPEED],MATCH("LOADINGSPEEDDEF_"&amp;PROPERTIES[[#This Row],[LOADINGSPEED]],LOADINGSPEEDDEF[TYPE],0))</f>
        <v>20</v>
      </c>
      <c r="O70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4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8" s="2" t="str">
        <f>SUBSTITUTE(SUBSTITUTE(PROPERTIES[[#This Row],[PURCHASECOST_VALUE]], "PURCHASECOST_", ""), "_VALUE", "")</f>
        <v>WAGON</v>
      </c>
      <c r="AO708" s="41" t="b">
        <v>0</v>
      </c>
      <c r="AP708" s="45" t="b">
        <v>0</v>
      </c>
      <c r="AQ708" s="45" t="b">
        <v>0</v>
      </c>
      <c r="AR708" s="45">
        <v>2</v>
      </c>
      <c r="AS708" s="45" t="b">
        <v>0</v>
      </c>
      <c r="AT708" s="7" t="b">
        <v>0</v>
      </c>
      <c r="AU7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09" spans="1:47" x14ac:dyDescent="0.35">
      <c r="A709" s="2" t="s">
        <v>203</v>
      </c>
      <c r="B709">
        <v>2020</v>
      </c>
      <c r="D7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09" s="37" t="str">
        <f>INDEX(CONTROL[ENGLISH],MATCH(PROPERTIES[[#This Row],[VEHIDCODE]],CONTROL[VEHIDCODE],0))</f>
        <v>6th Gen Silo [Non-Food]</v>
      </c>
      <c r="G709" s="37" t="str">
        <f>_xlfn.IFNA(INDEX(COUNTRIES[COUNTRY_LABEL],MATCH(PROPERTIES[[#This Row],[COUNTRY]],COUNTRIES[COUNTRY_DESCRIPTION],0)),"")</f>
        <v/>
      </c>
      <c r="H7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3662</v>
      </c>
      <c r="J709">
        <v>75</v>
      </c>
      <c r="K709">
        <v>8</v>
      </c>
      <c r="L709">
        <v>0</v>
      </c>
      <c r="M7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INDEX(LOADINGSPEEDDEF[SPEED],MATCH("LOADINGSPEEDDEF_"&amp;PROPERTIES[[#This Row],[LOADINGSPEED]],LOADINGSPEEDDEF[TYPE],0))</f>
        <v>20</v>
      </c>
      <c r="O70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4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0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09" s="2" t="str">
        <f>SUBSTITUTE(SUBSTITUTE(PROPERTIES[[#This Row],[PURCHASECOST_VALUE]], "PURCHASECOST_", ""), "_VALUE", "")</f>
        <v>WAGON</v>
      </c>
      <c r="AO709" s="41" t="b">
        <v>0</v>
      </c>
      <c r="AP709" s="45" t="b">
        <v>0</v>
      </c>
      <c r="AQ709" s="45" t="b">
        <v>0</v>
      </c>
      <c r="AR709" s="45">
        <v>2</v>
      </c>
      <c r="AS709" s="45" t="b">
        <v>0</v>
      </c>
      <c r="AT709" s="7" t="b">
        <v>0</v>
      </c>
      <c r="AU7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0" spans="1:47" x14ac:dyDescent="0.35">
      <c r="A710" s="2" t="s">
        <v>204</v>
      </c>
      <c r="B710">
        <v>2020</v>
      </c>
      <c r="D7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0" s="37" t="str">
        <f>INDEX(CONTROL[ENGLISH],MATCH(PROPERTIES[[#This Row],[VEHIDCODE]],CONTROL[VEHIDCODE],0))</f>
        <v>6th Gen Self-discharging Hopper [Food]</v>
      </c>
      <c r="G710" s="37" t="str">
        <f>_xlfn.IFNA(INDEX(COUNTRIES[COUNTRY_LABEL],MATCH(PROPERTIES[[#This Row],[COUNTRY]],COUNTRIES[COUNTRY_DESCRIPTION],0)),"")</f>
        <v/>
      </c>
      <c r="H7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3659</v>
      </c>
      <c r="J710">
        <v>75</v>
      </c>
      <c r="K710">
        <v>8</v>
      </c>
      <c r="L710">
        <v>0</v>
      </c>
      <c r="M7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INDEX(LOADINGSPEEDDEF[SPEED],MATCH("LOADINGSPEEDDEF_"&amp;PROPERTIES[[#This Row],[LOADINGSPEED]],LOADINGSPEEDDEF[TYPE],0))</f>
        <v>20</v>
      </c>
      <c r="O71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4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0" s="2" t="str">
        <f>SUBSTITUTE(SUBSTITUTE(PROPERTIES[[#This Row],[PURCHASECOST_VALUE]], "PURCHASECOST_", ""), "_VALUE", "")</f>
        <v>WAGON</v>
      </c>
      <c r="AO710" s="41" t="b">
        <v>0</v>
      </c>
      <c r="AP710" s="45" t="b">
        <v>0</v>
      </c>
      <c r="AQ710" s="45" t="b">
        <v>0</v>
      </c>
      <c r="AR710" s="45">
        <v>2</v>
      </c>
      <c r="AS710" s="45" t="b">
        <v>1</v>
      </c>
      <c r="AT710" s="7" t="b">
        <v>0</v>
      </c>
      <c r="AU7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1" spans="1:47" x14ac:dyDescent="0.35">
      <c r="A711" s="2" t="s">
        <v>205</v>
      </c>
      <c r="B711">
        <v>2020</v>
      </c>
      <c r="D7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1" s="37" t="str">
        <f>INDEX(CONTROL[ENGLISH],MATCH(PROPERTIES[[#This Row],[VEHIDCODE]],CONTROL[VEHIDCODE],0))</f>
        <v>6th Gen Self-discharging Hopper [Non-Food]</v>
      </c>
      <c r="G711" s="37" t="str">
        <f>_xlfn.IFNA(INDEX(COUNTRIES[COUNTRY_LABEL],MATCH(PROPERTIES[[#This Row],[COUNTRY]],COUNTRIES[COUNTRY_DESCRIPTION],0)),"")</f>
        <v/>
      </c>
      <c r="H7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3660</v>
      </c>
      <c r="J711">
        <v>75</v>
      </c>
      <c r="K711">
        <v>8</v>
      </c>
      <c r="L711">
        <v>0</v>
      </c>
      <c r="M7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INDEX(LOADINGSPEEDDEF[SPEED],MATCH("LOADINGSPEEDDEF_"&amp;PROPERTIES[[#This Row],[LOADINGSPEED]],LOADINGSPEEDDEF[TYPE],0))</f>
        <v>20</v>
      </c>
      <c r="O7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4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1" s="2" t="str">
        <f>SUBSTITUTE(SUBSTITUTE(PROPERTIES[[#This Row],[PURCHASECOST_VALUE]], "PURCHASECOST_", ""), "_VALUE", "")</f>
        <v>WAGON</v>
      </c>
      <c r="AO711" s="41" t="b">
        <v>0</v>
      </c>
      <c r="AP711" s="45" t="b">
        <v>0</v>
      </c>
      <c r="AQ711" s="45" t="b">
        <v>0</v>
      </c>
      <c r="AR711" s="45">
        <v>2</v>
      </c>
      <c r="AS711" s="45" t="b">
        <v>0</v>
      </c>
      <c r="AT711" s="7" t="b">
        <v>0</v>
      </c>
      <c r="AU7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2" spans="1:47" x14ac:dyDescent="0.35">
      <c r="A712" s="2" t="s">
        <v>206</v>
      </c>
      <c r="B712">
        <v>2020</v>
      </c>
      <c r="D7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2" s="37" t="str">
        <f>INDEX(CONTROL[ENGLISH],MATCH(PROPERTIES[[#This Row],[VEHIDCODE]],CONTROL[VEHIDCODE],0))</f>
        <v>6th Gen Car Transporter</v>
      </c>
      <c r="G712" s="37" t="str">
        <f>_xlfn.IFNA(INDEX(COUNTRIES[COUNTRY_LABEL],MATCH(PROPERTIES[[#This Row],[COUNTRY]],COUNTRIES[COUNTRY_DESCRIPTION],0)),"")</f>
        <v/>
      </c>
      <c r="H7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INDEX(LOADINGSPEEDDEF[SPEED],MATCH("LOADINGSPEEDDEF_"&amp;PROPERTIES[[#This Row],[LOADINGSPEED]],LOADINGSPEEDDEF[TYPE],0))</f>
        <v>20</v>
      </c>
      <c r="O71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4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2" s="2" t="str">
        <f>SUBSTITUTE(SUBSTITUTE(PROPERTIES[[#This Row],[PURCHASECOST_VALUE]], "PURCHASECOST_", ""), "_VALUE", "")</f>
        <v>WAGON</v>
      </c>
      <c r="AO712" s="41" t="b">
        <v>0</v>
      </c>
      <c r="AP712" s="45" t="b">
        <v>0</v>
      </c>
      <c r="AQ712" s="45" t="b">
        <v>0</v>
      </c>
      <c r="AR712" s="45">
        <v>2</v>
      </c>
      <c r="AS712" s="45" t="b">
        <v>0</v>
      </c>
      <c r="AT712" s="7" t="b">
        <v>0</v>
      </c>
      <c r="AU7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3" spans="1:47" x14ac:dyDescent="0.35">
      <c r="A713" s="2" t="s">
        <v>207</v>
      </c>
      <c r="B713">
        <v>2010</v>
      </c>
      <c r="D7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3" s="37" t="str">
        <f>INDEX(CONTROL[ENGLISH],MATCH(PROPERTIES[[#This Row],[VEHIDCODE]],CONTROL[VEHIDCODE],0))</f>
        <v>6th Gen Container Carrier</v>
      </c>
      <c r="G713" s="37" t="str">
        <f>_xlfn.IFNA(INDEX(COUNTRIES[COUNTRY_LABEL],MATCH(PROPERTIES[[#This Row],[COUNTRY]],COUNTRIES[COUNTRY_DESCRIPTION],0)),"")</f>
        <v/>
      </c>
      <c r="H7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INDEX(LOADINGSPEEDDEF[SPEED],MATCH("LOADINGSPEEDDEF_"&amp;PROPERTIES[[#This Row],[LOADINGSPEED]],LOADINGSPEEDDEF[TYPE],0))</f>
        <v>20</v>
      </c>
      <c r="O71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4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3" s="2" t="str">
        <f>SUBSTITUTE(SUBSTITUTE(PROPERTIES[[#This Row],[PURCHASECOST_VALUE]], "PURCHASECOST_", ""), "_VALUE", "")</f>
        <v>WAGON</v>
      </c>
      <c r="AO713" s="41" t="b">
        <v>0</v>
      </c>
      <c r="AP713" s="45" t="b">
        <v>0</v>
      </c>
      <c r="AQ713" s="45" t="b">
        <v>0</v>
      </c>
      <c r="AR713" s="45">
        <v>2</v>
      </c>
      <c r="AS713" s="45" t="b">
        <v>0</v>
      </c>
      <c r="AT713" s="7" t="b">
        <v>0</v>
      </c>
      <c r="AU7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4" spans="1:47" x14ac:dyDescent="0.35">
      <c r="A714" s="2" t="s">
        <v>208</v>
      </c>
      <c r="B714">
        <v>2010</v>
      </c>
      <c r="D7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4" s="37" t="str">
        <f>INDEX(CONTROL[ENGLISH],MATCH(PROPERTIES[[#This Row],[VEHIDCODE]],CONTROL[VEHIDCODE],0))</f>
        <v>6th Gen Centerbeam Flatcar</v>
      </c>
      <c r="G714" s="37" t="str">
        <f>_xlfn.IFNA(INDEX(COUNTRIES[COUNTRY_LABEL],MATCH(PROPERTIES[[#This Row],[COUNTRY]],COUNTRIES[COUNTRY_DESCRIPTION],0)),"")</f>
        <v/>
      </c>
      <c r="H7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INDEX(LOADINGSPEEDDEF[SPEED],MATCH("LOADINGSPEEDDEF_"&amp;PROPERTIES[[#This Row],[LOADINGSPEED]],LOADINGSPEEDDEF[TYPE],0))</f>
        <v>20</v>
      </c>
      <c r="O71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4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4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4" s="2" t="str">
        <f>SUBSTITUTE(SUBSTITUTE(PROPERTIES[[#This Row],[PURCHASECOST_VALUE]], "PURCHASECOST_", ""), "_VALUE", "")</f>
        <v>WAGON</v>
      </c>
      <c r="AO714" s="41" t="b">
        <v>0</v>
      </c>
      <c r="AP714" s="45" t="b">
        <v>0</v>
      </c>
      <c r="AQ714" s="45" t="b">
        <v>0</v>
      </c>
      <c r="AR714" s="45">
        <v>2</v>
      </c>
      <c r="AS714" s="45" t="b">
        <v>0</v>
      </c>
      <c r="AT714" s="7" t="b">
        <v>0</v>
      </c>
      <c r="AU7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5" spans="1:47" x14ac:dyDescent="0.35">
      <c r="A715" s="2" t="s">
        <v>209</v>
      </c>
      <c r="B715">
        <v>2000</v>
      </c>
      <c r="D7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5" s="37" t="str">
        <f>INDEX(CONTROL[ENGLISH],MATCH(PROPERTIES[[#This Row],[VEHIDCODE]],CONTROL[VEHIDCODE],0))</f>
        <v>6th Gen Container Doublestack</v>
      </c>
      <c r="G715" s="37" t="str">
        <f>_xlfn.IFNA(INDEX(COUNTRIES[COUNTRY_LABEL],MATCH(PROPERTIES[[#This Row],[COUNTRY]],COUNTRIES[COUNTRY_DESCRIPTION],0)),"")</f>
        <v/>
      </c>
      <c r="H7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INDEX(LOADINGSPEEDDEF[SPEED],MATCH("LOADINGSPEEDDEF_"&amp;PROPERTIES[[#This Row],[LOADINGSPEED]],LOADINGSPEEDDEF[TYPE],0))</f>
        <v>20</v>
      </c>
      <c r="O7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4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5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5" s="2" t="str">
        <f>SUBSTITUTE(SUBSTITUTE(PROPERTIES[[#This Row],[PURCHASECOST_VALUE]], "PURCHASECOST_", ""), "_VALUE", "")</f>
        <v>WAGON</v>
      </c>
      <c r="AO715" s="41" t="b">
        <v>0</v>
      </c>
      <c r="AP715" s="45" t="b">
        <v>0</v>
      </c>
      <c r="AQ715" s="45" t="b">
        <v>0</v>
      </c>
      <c r="AR715" s="45">
        <v>2</v>
      </c>
      <c r="AS715" s="45" t="b">
        <v>0</v>
      </c>
      <c r="AT715" s="7" t="b">
        <v>0</v>
      </c>
      <c r="AU7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16" spans="1:47" x14ac:dyDescent="0.35">
      <c r="A716" s="2" t="s">
        <v>210</v>
      </c>
      <c r="B716">
        <v>2010</v>
      </c>
      <c r="D7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6" s="37" t="str">
        <f>INDEX(CONTROL[ENGLISH],MATCH(PROPERTIES[[#This Row],[VEHIDCODE]],CONTROL[VEHIDCODE],0))</f>
        <v>6th Gen Superheavy Flatcar</v>
      </c>
      <c r="G716" s="37" t="str">
        <f>_xlfn.IFNA(INDEX(COUNTRIES[COUNTRY_LABEL],MATCH(PROPERTIES[[#This Row],[COUNTRY]],COUNTRIES[COUNTRY_DESCRIPTION],0)),"")</f>
        <v/>
      </c>
      <c r="H7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INDEX(LOADINGSPEEDDEF[SPEED],MATCH("LOADINGSPEEDDEF_"&amp;PROPERTIES[[#This Row],[LOADINGSPEED]],LOADINGSPEEDDEF[TYPE],0))</f>
        <v>20</v>
      </c>
      <c r="O7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4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6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6" s="2" t="str">
        <f>SUBSTITUTE(SUBSTITUTE(PROPERTIES[[#This Row],[PURCHASECOST_VALUE]], "PURCHASECOST_", ""), "_VALUE", "")</f>
        <v>WAGON</v>
      </c>
      <c r="AO716" s="41" t="b">
        <v>0</v>
      </c>
      <c r="AP716" s="45" t="b">
        <v>0</v>
      </c>
      <c r="AQ716" s="45" t="b">
        <v>0</v>
      </c>
      <c r="AR716" s="45">
        <v>0</v>
      </c>
      <c r="AS716" s="45" t="b">
        <v>0</v>
      </c>
      <c r="AT716" s="7" t="b">
        <v>0</v>
      </c>
      <c r="AU7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TPL_25A</v>
      </c>
    </row>
    <row r="717" spans="1:47" x14ac:dyDescent="0.35">
      <c r="A717" s="2" t="s">
        <v>225</v>
      </c>
      <c r="B717">
        <v>1660</v>
      </c>
      <c r="D7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7" s="37" t="str">
        <f>INDEX(CONTROL[ENGLISH],MATCH(PROPERTIES[[#This Row],[VEHIDCODE]],CONTROL[VEHIDCODE],0))</f>
        <v>Service Car [European Style]</v>
      </c>
      <c r="G717" s="37" t="str">
        <f>_xlfn.IFNA(INDEX(COUNTRIES[COUNTRY_LABEL],MATCH(PROPERTIES[[#This Row],[COUNTRY]],COUNTRIES[COUNTRY_DESCRIPTION],0)),"")</f>
        <v/>
      </c>
      <c r="H7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INDEX(LOADINGSPEEDDEF[SPEED],MATCH("LOADINGSPEEDDEF_"&amp;PROPERTIES[[#This Row],[LOADINGSPEED]],LOADINGSPEEDDEF[TYPE],0))</f>
        <v>20</v>
      </c>
      <c r="O7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4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7" s="2" t="str">
        <f>SUBSTITUTE(SUBSTITUTE(PROPERTIES[[#This Row],[PURCHASECOST_VALUE]], "PURCHASECOST_", ""), "_VALUE", "")</f>
        <v>WAGON</v>
      </c>
      <c r="AO717" s="41" t="b">
        <v>0</v>
      </c>
      <c r="AP717" s="45" t="b">
        <v>0</v>
      </c>
      <c r="AQ717" s="45" t="b">
        <v>0</v>
      </c>
      <c r="AR717" s="45">
        <v>0</v>
      </c>
      <c r="AS717" s="45" t="b">
        <v>0</v>
      </c>
      <c r="AT717" s="7" t="b">
        <v>0</v>
      </c>
      <c r="AU7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18" spans="1:47" x14ac:dyDescent="0.35">
      <c r="A718" s="2" t="s">
        <v>226</v>
      </c>
      <c r="B718">
        <v>1660</v>
      </c>
      <c r="D7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8" s="37" t="str">
        <f>INDEX(CONTROL[ENGLISH],MATCH(PROPERTIES[[#This Row],[VEHIDCODE]],CONTROL[VEHIDCODE],0))</f>
        <v>Service Car [American Style]</v>
      </c>
      <c r="G718" s="37" t="str">
        <f>_xlfn.IFNA(INDEX(COUNTRIES[COUNTRY_LABEL],MATCH(PROPERTIES[[#This Row],[COUNTRY]],COUNTRIES[COUNTRY_DESCRIPTION],0)),"")</f>
        <v/>
      </c>
      <c r="H7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INDEX(LOADINGSPEEDDEF[SPEED],MATCH("LOADINGSPEEDDEF_"&amp;PROPERTIES[[#This Row],[LOADINGSPEED]],LOADINGSPEEDDEF[TYPE],0))</f>
        <v>20</v>
      </c>
      <c r="O7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4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71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718" s="2" t="str">
        <f>SUBSTITUTE(SUBSTITUTE(PROPERTIES[[#This Row],[PURCHASECOST_VALUE]], "PURCHASECOST_", ""), "_VALUE", "")</f>
        <v>WAGON</v>
      </c>
      <c r="AO718" s="41" t="b">
        <v>0</v>
      </c>
      <c r="AP718" s="45" t="b">
        <v>0</v>
      </c>
      <c r="AQ718" s="45" t="b">
        <v>0</v>
      </c>
      <c r="AR718" s="45">
        <v>0</v>
      </c>
      <c r="AS718" s="45" t="b">
        <v>0</v>
      </c>
      <c r="AT718" s="7" t="b">
        <v>0</v>
      </c>
      <c r="AU7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19" spans="1:47" x14ac:dyDescent="0.35">
      <c r="A719" s="2" t="s">
        <v>83</v>
      </c>
      <c r="B719">
        <v>1830</v>
      </c>
      <c r="D7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19" s="37" t="str">
        <f>INDEX(CONTROL[ENGLISH],MATCH(PROPERTIES[[#This Row],[VEHIDCODE]],CONTROL[VEHIDCODE],0))</f>
        <v>Wooden 2-axle Compartment Coach</v>
      </c>
      <c r="G719" s="37" t="str">
        <f>_xlfn.IFNA(INDEX(COUNTRIES[COUNTRY_LABEL],MATCH(PROPERTIES[[#This Row],[COUNTRY]],COUNTRIES[COUNTRY_DESCRIPTION],0)),"")</f>
        <v/>
      </c>
      <c r="H7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INDEX(LOADINGSPEEDDEF[SPEED],MATCH("LOADINGSPEEDDEF_"&amp;PROPERTIES[[#This Row],[LOADINGSPEED]],LOADINGSPEEDDEF[TYPE],0))</f>
        <v>60</v>
      </c>
      <c r="O71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4">
        <v>0</v>
      </c>
      <c r="AF719" s="6">
        <v>0</v>
      </c>
      <c r="AG719" t="s">
        <v>1937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1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19" s="2" t="str">
        <f>SUBSTITUTE(SUBSTITUTE(PROPERTIES[[#This Row],[PURCHASECOST_VALUE]], "PURCHASECOST_", ""), "_VALUE", "")</f>
        <v>COACH</v>
      </c>
      <c r="AO719" s="41" t="b">
        <v>0</v>
      </c>
      <c r="AP719" s="45" t="b">
        <v>0</v>
      </c>
      <c r="AQ719" s="45" t="b">
        <v>0</v>
      </c>
      <c r="AR719" s="45">
        <v>0</v>
      </c>
      <c r="AS719" s="45" t="b">
        <v>0</v>
      </c>
      <c r="AT719" s="7" t="b">
        <v>0</v>
      </c>
      <c r="AU7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0" spans="1:47" x14ac:dyDescent="0.35">
      <c r="A720" s="2" t="s">
        <v>84</v>
      </c>
      <c r="B720">
        <v>1830</v>
      </c>
      <c r="D7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0" s="37" t="str">
        <f>INDEX(CONTROL[ENGLISH],MATCH(PROPERTIES[[#This Row],[VEHIDCODE]],CONTROL[VEHIDCODE],0))</f>
        <v>Wooden 2-axle Regional Coach</v>
      </c>
      <c r="G720" s="37" t="str">
        <f>_xlfn.IFNA(INDEX(COUNTRIES[COUNTRY_LABEL],MATCH(PROPERTIES[[#This Row],[COUNTRY]],COUNTRIES[COUNTRY_DESCRIPTION],0)),"")</f>
        <v/>
      </c>
      <c r="H7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INDEX(LOADINGSPEEDDEF[SPEED],MATCH("LOADINGSPEEDDEF_"&amp;PROPERTIES[[#This Row],[LOADINGSPEED]],LOADINGSPEEDDEF[TYPE],0))</f>
        <v>60</v>
      </c>
      <c r="O7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4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0" s="2" t="str">
        <f>SUBSTITUTE(SUBSTITUTE(PROPERTIES[[#This Row],[PURCHASECOST_VALUE]], "PURCHASECOST_", ""), "_VALUE", "")</f>
        <v>COACH</v>
      </c>
      <c r="AO720" s="41" t="b">
        <v>0</v>
      </c>
      <c r="AP720" s="45" t="b">
        <v>0</v>
      </c>
      <c r="AQ720" s="45" t="b">
        <v>0</v>
      </c>
      <c r="AR720" s="45">
        <v>0</v>
      </c>
      <c r="AS720" s="45" t="b">
        <v>0</v>
      </c>
      <c r="AT720" s="7" t="b">
        <v>0</v>
      </c>
      <c r="AU7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1" spans="1:47" x14ac:dyDescent="0.35">
      <c r="A721" s="2" t="s">
        <v>85</v>
      </c>
      <c r="B721">
        <v>1830</v>
      </c>
      <c r="D7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1" s="37" t="str">
        <f>INDEX(CONTROL[ENGLISH],MATCH(PROPERTIES[[#This Row],[VEHIDCODE]],CONTROL[VEHIDCODE],0))</f>
        <v>Wooden 2-axle Mail Coach</v>
      </c>
      <c r="G721" s="37" t="str">
        <f>_xlfn.IFNA(INDEX(COUNTRIES[COUNTRY_LABEL],MATCH(PROPERTIES[[#This Row],[COUNTRY]],COUNTRIES[COUNTRY_DESCRIPTION],0)),"")</f>
        <v/>
      </c>
      <c r="H7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INDEX(LOADINGSPEEDDEF[SPEED],MATCH("LOADINGSPEEDDEF_"&amp;PROPERTIES[[#This Row],[LOADINGSPEED]],LOADINGSPEEDDEF[TYPE],0))</f>
        <v>15</v>
      </c>
      <c r="O7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4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1" s="2" t="str">
        <f>SUBSTITUTE(SUBSTITUTE(PROPERTIES[[#This Row],[PURCHASECOST_VALUE]], "PURCHASECOST_", ""), "_VALUE", "")</f>
        <v>COACH</v>
      </c>
      <c r="AO721" s="41" t="b">
        <v>0</v>
      </c>
      <c r="AP721" s="45" t="b">
        <v>0</v>
      </c>
      <c r="AQ721" s="45" t="b">
        <v>0</v>
      </c>
      <c r="AR721" s="45">
        <v>0</v>
      </c>
      <c r="AS721" s="45" t="b">
        <v>0</v>
      </c>
      <c r="AT721" s="7" t="b">
        <v>0</v>
      </c>
      <c r="AU7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2" spans="1:47" x14ac:dyDescent="0.35">
      <c r="A722" s="2" t="s">
        <v>86</v>
      </c>
      <c r="B722">
        <v>1840</v>
      </c>
      <c r="D7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2" s="37" t="str">
        <f>INDEX(CONTROL[ENGLISH],MATCH(PROPERTIES[[#This Row],[VEHIDCODE]],CONTROL[VEHIDCODE],0))</f>
        <v>Clerestory Compartment Coach</v>
      </c>
      <c r="G722" s="37" t="str">
        <f>_xlfn.IFNA(INDEX(COUNTRIES[COUNTRY_LABEL],MATCH(PROPERTIES[[#This Row],[COUNTRY]],COUNTRIES[COUNTRY_DESCRIPTION],0)),"")</f>
        <v/>
      </c>
      <c r="H7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INDEX(LOADINGSPEEDDEF[SPEED],MATCH("LOADINGSPEEDDEF_"&amp;PROPERTIES[[#This Row],[LOADINGSPEED]],LOADINGSPEEDDEF[TYPE],0))</f>
        <v>60</v>
      </c>
      <c r="O7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4">
        <v>0</v>
      </c>
      <c r="AF722" s="6">
        <v>0</v>
      </c>
      <c r="AG722" t="s">
        <v>1937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2" s="2" t="str">
        <f>SUBSTITUTE(SUBSTITUTE(PROPERTIES[[#This Row],[PURCHASECOST_VALUE]], "PURCHASECOST_", ""), "_VALUE", "")</f>
        <v>COACH</v>
      </c>
      <c r="AO722" s="41" t="b">
        <v>0</v>
      </c>
      <c r="AP722" s="45" t="b">
        <v>0</v>
      </c>
      <c r="AQ722" s="45" t="b">
        <v>0</v>
      </c>
      <c r="AR722" s="45">
        <v>0</v>
      </c>
      <c r="AS722" s="45" t="b">
        <v>0</v>
      </c>
      <c r="AT722" s="7" t="b">
        <v>0</v>
      </c>
      <c r="AU7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3" spans="1:47" x14ac:dyDescent="0.35">
      <c r="A723" s="2" t="s">
        <v>87</v>
      </c>
      <c r="B723">
        <v>1840</v>
      </c>
      <c r="D7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3" s="37" t="str">
        <f>INDEX(CONTROL[ENGLISH],MATCH(PROPERTIES[[#This Row],[VEHIDCODE]],CONTROL[VEHIDCODE],0))</f>
        <v>Clerestory Regional Coach</v>
      </c>
      <c r="G723" s="37" t="str">
        <f>_xlfn.IFNA(INDEX(COUNTRIES[COUNTRY_LABEL],MATCH(PROPERTIES[[#This Row],[COUNTRY]],COUNTRIES[COUNTRY_DESCRIPTION],0)),"")</f>
        <v/>
      </c>
      <c r="H7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INDEX(LOADINGSPEEDDEF[SPEED],MATCH("LOADINGSPEEDDEF_"&amp;PROPERTIES[[#This Row],[LOADINGSPEED]],LOADINGSPEEDDEF[TYPE],0))</f>
        <v>60</v>
      </c>
      <c r="O7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4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3" s="2" t="str">
        <f>SUBSTITUTE(SUBSTITUTE(PROPERTIES[[#This Row],[PURCHASECOST_VALUE]], "PURCHASECOST_", ""), "_VALUE", "")</f>
        <v>COACH</v>
      </c>
      <c r="AO723" s="41" t="b">
        <v>0</v>
      </c>
      <c r="AP723" s="45" t="b">
        <v>0</v>
      </c>
      <c r="AQ723" s="45" t="b">
        <v>0</v>
      </c>
      <c r="AR723" s="45">
        <v>0</v>
      </c>
      <c r="AS723" s="45" t="b">
        <v>0</v>
      </c>
      <c r="AT723" s="7" t="b">
        <v>0</v>
      </c>
      <c r="AU7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4" spans="1:47" x14ac:dyDescent="0.35">
      <c r="A724" s="2" t="s">
        <v>88</v>
      </c>
      <c r="B724">
        <v>1840</v>
      </c>
      <c r="D7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4" s="37" t="str">
        <f>INDEX(CONTROL[ENGLISH],MATCH(PROPERTIES[[#This Row],[VEHIDCODE]],CONTROL[VEHIDCODE],0))</f>
        <v>Clerestory Mail Coach</v>
      </c>
      <c r="G724" s="37" t="str">
        <f>_xlfn.IFNA(INDEX(COUNTRIES[COUNTRY_LABEL],MATCH(PROPERTIES[[#This Row],[COUNTRY]],COUNTRIES[COUNTRY_DESCRIPTION],0)),"")</f>
        <v/>
      </c>
      <c r="H7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INDEX(LOADINGSPEEDDEF[SPEED],MATCH("LOADINGSPEEDDEF_"&amp;PROPERTIES[[#This Row],[LOADINGSPEED]],LOADINGSPEEDDEF[TYPE],0))</f>
        <v>15</v>
      </c>
      <c r="O7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4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4" s="2" t="str">
        <f>SUBSTITUTE(SUBSTITUTE(PROPERTIES[[#This Row],[PURCHASECOST_VALUE]], "PURCHASECOST_", ""), "_VALUE", "")</f>
        <v>COACH</v>
      </c>
      <c r="AO724" s="41" t="b">
        <v>0</v>
      </c>
      <c r="AP724" s="45" t="b">
        <v>0</v>
      </c>
      <c r="AQ724" s="45" t="b">
        <v>0</v>
      </c>
      <c r="AR724" s="45">
        <v>0</v>
      </c>
      <c r="AS724" s="45" t="b">
        <v>0</v>
      </c>
      <c r="AT724" s="7" t="b">
        <v>0</v>
      </c>
      <c r="AU7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5" spans="1:47" x14ac:dyDescent="0.35">
      <c r="A725" s="2" t="s">
        <v>89</v>
      </c>
      <c r="B725">
        <v>1850</v>
      </c>
      <c r="D7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5" s="37" t="str">
        <f>INDEX(CONTROL[ENGLISH],MATCH(PROPERTIES[[#This Row],[VEHIDCODE]],CONTROL[VEHIDCODE],0))</f>
        <v>Wooden 3-axle Compartment Coach</v>
      </c>
      <c r="G725" s="37" t="str">
        <f>_xlfn.IFNA(INDEX(COUNTRIES[COUNTRY_LABEL],MATCH(PROPERTIES[[#This Row],[COUNTRY]],COUNTRIES[COUNTRY_DESCRIPTION],0)),"")</f>
        <v/>
      </c>
      <c r="H7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INDEX(LOADINGSPEEDDEF[SPEED],MATCH("LOADINGSPEEDDEF_"&amp;PROPERTIES[[#This Row],[LOADINGSPEED]],LOADINGSPEEDDEF[TYPE],0))</f>
        <v>60</v>
      </c>
      <c r="O7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4">
        <v>0</v>
      </c>
      <c r="AF725" s="6">
        <v>0</v>
      </c>
      <c r="AG725" t="s">
        <v>1937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5" s="2" t="str">
        <f>SUBSTITUTE(SUBSTITUTE(PROPERTIES[[#This Row],[PURCHASECOST_VALUE]], "PURCHASECOST_", ""), "_VALUE", "")</f>
        <v>COACH</v>
      </c>
      <c r="AO725" s="41" t="b">
        <v>0</v>
      </c>
      <c r="AP725" s="45" t="b">
        <v>0</v>
      </c>
      <c r="AQ725" s="45" t="b">
        <v>0</v>
      </c>
      <c r="AR725" s="45">
        <v>0</v>
      </c>
      <c r="AS725" s="45" t="b">
        <v>0</v>
      </c>
      <c r="AT725" s="7" t="b">
        <v>0</v>
      </c>
      <c r="AU7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6" spans="1:47" x14ac:dyDescent="0.35">
      <c r="A726" s="2" t="s">
        <v>90</v>
      </c>
      <c r="B726">
        <v>1850</v>
      </c>
      <c r="D7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6" s="37" t="str">
        <f>INDEX(CONTROL[ENGLISH],MATCH(PROPERTIES[[#This Row],[VEHIDCODE]],CONTROL[VEHIDCODE],0))</f>
        <v>Wooden 3-axle Regional Coach</v>
      </c>
      <c r="G726" s="37" t="str">
        <f>_xlfn.IFNA(INDEX(COUNTRIES[COUNTRY_LABEL],MATCH(PROPERTIES[[#This Row],[COUNTRY]],COUNTRIES[COUNTRY_DESCRIPTION],0)),"")</f>
        <v/>
      </c>
      <c r="H7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INDEX(LOADINGSPEEDDEF[SPEED],MATCH("LOADINGSPEEDDEF_"&amp;PROPERTIES[[#This Row],[LOADINGSPEED]],LOADINGSPEEDDEF[TYPE],0))</f>
        <v>60</v>
      </c>
      <c r="O7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4">
        <v>0</v>
      </c>
      <c r="AF726" s="6">
        <v>0</v>
      </c>
      <c r="AG726" t="s">
        <v>1937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6" s="2" t="str">
        <f>SUBSTITUTE(SUBSTITUTE(PROPERTIES[[#This Row],[PURCHASECOST_VALUE]], "PURCHASECOST_", ""), "_VALUE", "")</f>
        <v>COACH</v>
      </c>
      <c r="AO726" s="41" t="b">
        <v>0</v>
      </c>
      <c r="AP726" s="45" t="b">
        <v>0</v>
      </c>
      <c r="AQ726" s="45" t="b">
        <v>0</v>
      </c>
      <c r="AR726" s="45">
        <v>0</v>
      </c>
      <c r="AS726" s="45" t="b">
        <v>0</v>
      </c>
      <c r="AT726" s="7" t="b">
        <v>0</v>
      </c>
      <c r="AU7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7" spans="1:47" x14ac:dyDescent="0.35">
      <c r="A727" s="2" t="s">
        <v>91</v>
      </c>
      <c r="B727">
        <v>1850</v>
      </c>
      <c r="D7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7" s="37" t="str">
        <f>INDEX(CONTROL[ENGLISH],MATCH(PROPERTIES[[#This Row],[VEHIDCODE]],CONTROL[VEHIDCODE],0))</f>
        <v>Wooden 3-axle Mail Coach</v>
      </c>
      <c r="G727" s="37" t="str">
        <f>_xlfn.IFNA(INDEX(COUNTRIES[COUNTRY_LABEL],MATCH(PROPERTIES[[#This Row],[COUNTRY]],COUNTRIES[COUNTRY_DESCRIPTION],0)),"")</f>
        <v/>
      </c>
      <c r="H7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INDEX(LOADINGSPEEDDEF[SPEED],MATCH("LOADINGSPEEDDEF_"&amp;PROPERTIES[[#This Row],[LOADINGSPEED]],LOADINGSPEEDDEF[TYPE],0))</f>
        <v>15</v>
      </c>
      <c r="O7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4">
        <v>0</v>
      </c>
      <c r="AF727" s="6">
        <v>0</v>
      </c>
      <c r="AG727" t="s">
        <v>1937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7" s="2" t="str">
        <f>SUBSTITUTE(SUBSTITUTE(PROPERTIES[[#This Row],[PURCHASECOST_VALUE]], "PURCHASECOST_", ""), "_VALUE", "")</f>
        <v>COACH</v>
      </c>
      <c r="AO727" s="41" t="b">
        <v>0</v>
      </c>
      <c r="AP727" s="45" t="b">
        <v>0</v>
      </c>
      <c r="AQ727" s="45" t="b">
        <v>0</v>
      </c>
      <c r="AR727" s="45">
        <v>0</v>
      </c>
      <c r="AS727" s="45" t="b">
        <v>0</v>
      </c>
      <c r="AT727" s="7" t="b">
        <v>0</v>
      </c>
      <c r="AU7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28" spans="1:47" x14ac:dyDescent="0.35">
      <c r="A728" s="2" t="s">
        <v>92</v>
      </c>
      <c r="B728">
        <v>1900</v>
      </c>
      <c r="D7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8" s="37" t="str">
        <f>INDEX(CONTROL[ENGLISH],MATCH(PROPERTIES[[#This Row],[VEHIDCODE]],CONTROL[VEHIDCODE],0))</f>
        <v>Heavyweight Intercity Coach</v>
      </c>
      <c r="G728" s="37" t="str">
        <f>_xlfn.IFNA(INDEX(COUNTRIES[COUNTRY_LABEL],MATCH(PROPERTIES[[#This Row],[COUNTRY]],COUNTRIES[COUNTRY_DESCRIPTION],0)),"")</f>
        <v/>
      </c>
      <c r="H7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INDEX(LOADINGSPEEDDEF[SPEED],MATCH("LOADINGSPEEDDEF_"&amp;PROPERTIES[[#This Row],[LOADINGSPEED]],LOADINGSPEEDDEF[TYPE],0))</f>
        <v>20</v>
      </c>
      <c r="O7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4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8" s="2" t="str">
        <f>SUBSTITUTE(SUBSTITUTE(PROPERTIES[[#This Row],[PURCHASECOST_VALUE]], "PURCHASECOST_", ""), "_VALUE", "")</f>
        <v>COACH</v>
      </c>
      <c r="AO728" s="41" t="b">
        <v>0</v>
      </c>
      <c r="AP728" s="45" t="b">
        <v>0</v>
      </c>
      <c r="AQ728" s="45" t="b">
        <v>0</v>
      </c>
      <c r="AR728" s="45">
        <v>0</v>
      </c>
      <c r="AS728" s="45" t="b">
        <v>0</v>
      </c>
      <c r="AT728" s="7" t="b">
        <v>0</v>
      </c>
      <c r="AU7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29" spans="1:47" x14ac:dyDescent="0.35">
      <c r="A729" s="2" t="s">
        <v>93</v>
      </c>
      <c r="B729">
        <v>1900</v>
      </c>
      <c r="D7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29" s="37" t="str">
        <f>INDEX(CONTROL[ENGLISH],MATCH(PROPERTIES[[#This Row],[VEHIDCODE]],CONTROL[VEHIDCODE],0))</f>
        <v>Heavyweight Mail Coach</v>
      </c>
      <c r="G729" s="37" t="str">
        <f>_xlfn.IFNA(INDEX(COUNTRIES[COUNTRY_LABEL],MATCH(PROPERTIES[[#This Row],[COUNTRY]],COUNTRIES[COUNTRY_DESCRIPTION],0)),"")</f>
        <v/>
      </c>
      <c r="H7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INDEX(LOADINGSPEEDDEF[SPEED],MATCH("LOADINGSPEEDDEF_"&amp;PROPERTIES[[#This Row],[LOADINGSPEED]],LOADINGSPEEDDEF[TYPE],0))</f>
        <v>15</v>
      </c>
      <c r="O7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4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2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29" s="2" t="str">
        <f>SUBSTITUTE(SUBSTITUTE(PROPERTIES[[#This Row],[PURCHASECOST_VALUE]], "PURCHASECOST_", ""), "_VALUE", "")</f>
        <v>COACH</v>
      </c>
      <c r="AO729" s="41" t="b">
        <v>0</v>
      </c>
      <c r="AP729" s="45" t="b">
        <v>0</v>
      </c>
      <c r="AQ729" s="45" t="b">
        <v>0</v>
      </c>
      <c r="AR729" s="45">
        <v>0</v>
      </c>
      <c r="AS729" s="45" t="b">
        <v>0</v>
      </c>
      <c r="AT729" s="7" t="b">
        <v>0</v>
      </c>
      <c r="AU7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0" spans="1:47" x14ac:dyDescent="0.35">
      <c r="A730" s="2" t="s">
        <v>94</v>
      </c>
      <c r="B730">
        <v>1910</v>
      </c>
      <c r="D7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0" s="37" t="str">
        <f>INDEX(CONTROL[ENGLISH],MATCH(PROPERTIES[[#This Row],[VEHIDCODE]],CONTROL[VEHIDCODE],0))</f>
        <v>Steel Intercity Coach</v>
      </c>
      <c r="G730" s="37" t="str">
        <f>_xlfn.IFNA(INDEX(COUNTRIES[COUNTRY_LABEL],MATCH(PROPERTIES[[#This Row],[COUNTRY]],COUNTRIES[COUNTRY_DESCRIPTION],0)),"")</f>
        <v/>
      </c>
      <c r="H7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INDEX(LOADINGSPEEDDEF[SPEED],MATCH("LOADINGSPEEDDEF_"&amp;PROPERTIES[[#This Row],[LOADINGSPEED]],LOADINGSPEEDDEF[TYPE],0))</f>
        <v>60</v>
      </c>
      <c r="O7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4">
        <v>0</v>
      </c>
      <c r="AF730" s="6">
        <v>0</v>
      </c>
      <c r="AG730" t="s">
        <v>1937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0" s="2" t="str">
        <f>SUBSTITUTE(SUBSTITUTE(PROPERTIES[[#This Row],[PURCHASECOST_VALUE]], "PURCHASECOST_", ""), "_VALUE", "")</f>
        <v>COACH</v>
      </c>
      <c r="AO730" s="41" t="b">
        <v>0</v>
      </c>
      <c r="AP730" s="45" t="b">
        <v>0</v>
      </c>
      <c r="AQ730" s="45" t="b">
        <v>0</v>
      </c>
      <c r="AR730" s="45">
        <v>0</v>
      </c>
      <c r="AS730" s="45" t="b">
        <v>0</v>
      </c>
      <c r="AT730" s="7" t="b">
        <v>0</v>
      </c>
      <c r="AU7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1" spans="1:47" x14ac:dyDescent="0.35">
      <c r="A731" s="2" t="s">
        <v>95</v>
      </c>
      <c r="B731">
        <v>1910</v>
      </c>
      <c r="D7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1" s="37" t="str">
        <f>INDEX(CONTROL[ENGLISH],MATCH(PROPERTIES[[#This Row],[VEHIDCODE]],CONTROL[VEHIDCODE],0))</f>
        <v>Steel Compartment Coach</v>
      </c>
      <c r="G731" s="37" t="str">
        <f>_xlfn.IFNA(INDEX(COUNTRIES[COUNTRY_LABEL],MATCH(PROPERTIES[[#This Row],[COUNTRY]],COUNTRIES[COUNTRY_DESCRIPTION],0)),"")</f>
        <v/>
      </c>
      <c r="H7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INDEX(LOADINGSPEEDDEF[SPEED],MATCH("LOADINGSPEEDDEF_"&amp;PROPERTIES[[#This Row],[LOADINGSPEED]],LOADINGSPEEDDEF[TYPE],0))</f>
        <v>60</v>
      </c>
      <c r="O7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4">
        <v>0</v>
      </c>
      <c r="AF731" s="6">
        <v>0</v>
      </c>
      <c r="AG731" t="s">
        <v>1937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1" s="2" t="str">
        <f>SUBSTITUTE(SUBSTITUTE(PROPERTIES[[#This Row],[PURCHASECOST_VALUE]], "PURCHASECOST_", ""), "_VALUE", "")</f>
        <v>COACH</v>
      </c>
      <c r="AO731" s="41" t="b">
        <v>0</v>
      </c>
      <c r="AP731" s="45" t="b">
        <v>0</v>
      </c>
      <c r="AQ731" s="45" t="b">
        <v>0</v>
      </c>
      <c r="AR731" s="45">
        <v>0</v>
      </c>
      <c r="AS731" s="45" t="b">
        <v>0</v>
      </c>
      <c r="AT731" s="7" t="b">
        <v>0</v>
      </c>
      <c r="AU7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2" spans="1:47" x14ac:dyDescent="0.35">
      <c r="A732" s="2" t="s">
        <v>96</v>
      </c>
      <c r="B732">
        <v>1910</v>
      </c>
      <c r="D7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2" s="37" t="str">
        <f>INDEX(CONTROL[ENGLISH],MATCH(PROPERTIES[[#This Row],[VEHIDCODE]],CONTROL[VEHIDCODE],0))</f>
        <v>Steel Regional Coach</v>
      </c>
      <c r="G732" s="37" t="str">
        <f>_xlfn.IFNA(INDEX(COUNTRIES[COUNTRY_LABEL],MATCH(PROPERTIES[[#This Row],[COUNTRY]],COUNTRIES[COUNTRY_DESCRIPTION],0)),"")</f>
        <v/>
      </c>
      <c r="H7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INDEX(LOADINGSPEEDDEF[SPEED],MATCH("LOADINGSPEEDDEF_"&amp;PROPERTIES[[#This Row],[LOADINGSPEED]],LOADINGSPEEDDEF[TYPE],0))</f>
        <v>60</v>
      </c>
      <c r="O7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4">
        <v>0</v>
      </c>
      <c r="AF732" s="6">
        <v>0</v>
      </c>
      <c r="AG732" t="s">
        <v>1937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2" s="2" t="str">
        <f>SUBSTITUTE(SUBSTITUTE(PROPERTIES[[#This Row],[PURCHASECOST_VALUE]], "PURCHASECOST_", ""), "_VALUE", "")</f>
        <v>COACH</v>
      </c>
      <c r="AO732" s="41" t="b">
        <v>0</v>
      </c>
      <c r="AP732" s="45" t="b">
        <v>0</v>
      </c>
      <c r="AQ732" s="45" t="b">
        <v>0</v>
      </c>
      <c r="AR732" s="45">
        <v>0</v>
      </c>
      <c r="AS732" s="45" t="b">
        <v>0</v>
      </c>
      <c r="AT732" s="7" t="b">
        <v>0</v>
      </c>
      <c r="AU7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3" spans="1:47" x14ac:dyDescent="0.35">
      <c r="A733" s="2" t="s">
        <v>97</v>
      </c>
      <c r="B733">
        <v>1910</v>
      </c>
      <c r="D7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3" s="37" t="str">
        <f>INDEX(CONTROL[ENGLISH],MATCH(PROPERTIES[[#This Row],[VEHIDCODE]],CONTROL[VEHIDCODE],0))</f>
        <v>Steel Mail Coach</v>
      </c>
      <c r="G733" s="37" t="str">
        <f>_xlfn.IFNA(INDEX(COUNTRIES[COUNTRY_LABEL],MATCH(PROPERTIES[[#This Row],[COUNTRY]],COUNTRIES[COUNTRY_DESCRIPTION],0)),"")</f>
        <v/>
      </c>
      <c r="H7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INDEX(LOADINGSPEEDDEF[SPEED],MATCH("LOADINGSPEEDDEF_"&amp;PROPERTIES[[#This Row],[LOADINGSPEED]],LOADINGSPEEDDEF[TYPE],0))</f>
        <v>15</v>
      </c>
      <c r="O7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4">
        <v>0</v>
      </c>
      <c r="AF733" s="6">
        <v>0</v>
      </c>
      <c r="AG733" t="s">
        <v>1937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3" s="2" t="str">
        <f>SUBSTITUTE(SUBSTITUTE(PROPERTIES[[#This Row],[PURCHASECOST_VALUE]], "PURCHASECOST_", ""), "_VALUE", "")</f>
        <v>COACH</v>
      </c>
      <c r="AO733" s="41" t="b">
        <v>0</v>
      </c>
      <c r="AP733" s="45" t="b">
        <v>0</v>
      </c>
      <c r="AQ733" s="45" t="b">
        <v>0</v>
      </c>
      <c r="AR733" s="45">
        <v>0</v>
      </c>
      <c r="AS733" s="45" t="b">
        <v>0</v>
      </c>
      <c r="AT733" s="7" t="b">
        <v>0</v>
      </c>
      <c r="AU7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4" spans="1:47" x14ac:dyDescent="0.35">
      <c r="A734" s="2" t="s">
        <v>98</v>
      </c>
      <c r="B734">
        <v>1920</v>
      </c>
      <c r="D7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4" s="37" t="str">
        <f>INDEX(CONTROL[ENGLISH],MATCH(PROPERTIES[[#This Row],[VEHIDCODE]],CONTROL[VEHIDCODE],0))</f>
        <v>Steel 2-axle Compartment Coach</v>
      </c>
      <c r="G734" s="37" t="str">
        <f>_xlfn.IFNA(INDEX(COUNTRIES[COUNTRY_LABEL],MATCH(PROPERTIES[[#This Row],[COUNTRY]],COUNTRIES[COUNTRY_DESCRIPTION],0)),"")</f>
        <v/>
      </c>
      <c r="H7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INDEX(LOADINGSPEEDDEF[SPEED],MATCH("LOADINGSPEEDDEF_"&amp;PROPERTIES[[#This Row],[LOADINGSPEED]],LOADINGSPEEDDEF[TYPE],0))</f>
        <v>60</v>
      </c>
      <c r="O7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4">
        <v>0</v>
      </c>
      <c r="AF734" s="6">
        <v>0</v>
      </c>
      <c r="AG734" t="s">
        <v>1937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4" s="2" t="str">
        <f>SUBSTITUTE(SUBSTITUTE(PROPERTIES[[#This Row],[PURCHASECOST_VALUE]], "PURCHASECOST_", ""), "_VALUE", "")</f>
        <v>COACH</v>
      </c>
      <c r="AO734" s="41" t="b">
        <v>0</v>
      </c>
      <c r="AP734" s="45" t="b">
        <v>0</v>
      </c>
      <c r="AQ734" s="45" t="b">
        <v>0</v>
      </c>
      <c r="AR734" s="45">
        <v>0</v>
      </c>
      <c r="AS734" s="45" t="b">
        <v>0</v>
      </c>
      <c r="AT734" s="7" t="b">
        <v>0</v>
      </c>
      <c r="AU7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5" spans="1:47" x14ac:dyDescent="0.35">
      <c r="A735" s="2" t="s">
        <v>99</v>
      </c>
      <c r="B735">
        <v>1920</v>
      </c>
      <c r="D7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5" s="37" t="str">
        <f>INDEX(CONTROL[ENGLISH],MATCH(PROPERTIES[[#This Row],[VEHIDCODE]],CONTROL[VEHIDCODE],0))</f>
        <v>Steel 2-axle Regional Coach</v>
      </c>
      <c r="G735" s="37" t="str">
        <f>_xlfn.IFNA(INDEX(COUNTRIES[COUNTRY_LABEL],MATCH(PROPERTIES[[#This Row],[COUNTRY]],COUNTRIES[COUNTRY_DESCRIPTION],0)),"")</f>
        <v/>
      </c>
      <c r="H7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INDEX(LOADINGSPEEDDEF[SPEED],MATCH("LOADINGSPEEDDEF_"&amp;PROPERTIES[[#This Row],[LOADINGSPEED]],LOADINGSPEEDDEF[TYPE],0))</f>
        <v>60</v>
      </c>
      <c r="O7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4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5" s="2" t="str">
        <f>SUBSTITUTE(SUBSTITUTE(PROPERTIES[[#This Row],[PURCHASECOST_VALUE]], "PURCHASECOST_", ""), "_VALUE", "")</f>
        <v>COACH</v>
      </c>
      <c r="AO735" s="41" t="b">
        <v>0</v>
      </c>
      <c r="AP735" s="45" t="b">
        <v>0</v>
      </c>
      <c r="AQ735" s="45" t="b">
        <v>0</v>
      </c>
      <c r="AR735" s="45">
        <v>0</v>
      </c>
      <c r="AS735" s="45" t="b">
        <v>0</v>
      </c>
      <c r="AT735" s="7" t="b">
        <v>0</v>
      </c>
      <c r="AU7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6" spans="1:47" x14ac:dyDescent="0.35">
      <c r="A736" s="2" t="s">
        <v>100</v>
      </c>
      <c r="B736">
        <v>1920</v>
      </c>
      <c r="D7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6" s="37" t="str">
        <f>INDEX(CONTROL[ENGLISH],MATCH(PROPERTIES[[#This Row],[VEHIDCODE]],CONTROL[VEHIDCODE],0))</f>
        <v>Steel 2-axle Mail Coach</v>
      </c>
      <c r="G736" s="37" t="str">
        <f>_xlfn.IFNA(INDEX(COUNTRIES[COUNTRY_LABEL],MATCH(PROPERTIES[[#This Row],[COUNTRY]],COUNTRIES[COUNTRY_DESCRIPTION],0)),"")</f>
        <v/>
      </c>
      <c r="H7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INDEX(LOADINGSPEEDDEF[SPEED],MATCH("LOADINGSPEEDDEF_"&amp;PROPERTIES[[#This Row],[LOADINGSPEED]],LOADINGSPEEDDEF[TYPE],0))</f>
        <v>15</v>
      </c>
      <c r="O7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4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6" s="2" t="str">
        <f>SUBSTITUTE(SUBSTITUTE(PROPERTIES[[#This Row],[PURCHASECOST_VALUE]], "PURCHASECOST_", ""), "_VALUE", "")</f>
        <v>COACH</v>
      </c>
      <c r="AO736" s="41" t="b">
        <v>0</v>
      </c>
      <c r="AP736" s="45" t="b">
        <v>0</v>
      </c>
      <c r="AQ736" s="45" t="b">
        <v>0</v>
      </c>
      <c r="AR736" s="45">
        <v>0</v>
      </c>
      <c r="AS736" s="45" t="b">
        <v>0</v>
      </c>
      <c r="AT736" s="7" t="b">
        <v>0</v>
      </c>
      <c r="AU7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7" spans="1:47" x14ac:dyDescent="0.35">
      <c r="A737" s="2" t="s">
        <v>101</v>
      </c>
      <c r="B737">
        <v>1920</v>
      </c>
      <c r="D7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7" s="37" t="str">
        <f>INDEX(CONTROL[ENGLISH],MATCH(PROPERTIES[[#This Row],[VEHIDCODE]],CONTROL[VEHIDCODE],0))</f>
        <v>Steel 3-axle Compartment Coach</v>
      </c>
      <c r="G737" s="37" t="str">
        <f>_xlfn.IFNA(INDEX(COUNTRIES[COUNTRY_LABEL],MATCH(PROPERTIES[[#This Row],[COUNTRY]],COUNTRIES[COUNTRY_DESCRIPTION],0)),"")</f>
        <v/>
      </c>
      <c r="H7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INDEX(LOADINGSPEEDDEF[SPEED],MATCH("LOADINGSPEEDDEF_"&amp;PROPERTIES[[#This Row],[LOADINGSPEED]],LOADINGSPEEDDEF[TYPE],0))</f>
        <v>60</v>
      </c>
      <c r="O7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4">
        <v>0</v>
      </c>
      <c r="AF737" s="6">
        <v>0</v>
      </c>
      <c r="AG737" t="s">
        <v>1937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7" s="2" t="str">
        <f>SUBSTITUTE(SUBSTITUTE(PROPERTIES[[#This Row],[PURCHASECOST_VALUE]], "PURCHASECOST_", ""), "_VALUE", "")</f>
        <v>COACH</v>
      </c>
      <c r="AO737" s="41" t="b">
        <v>0</v>
      </c>
      <c r="AP737" s="45" t="b">
        <v>0</v>
      </c>
      <c r="AQ737" s="45" t="b">
        <v>0</v>
      </c>
      <c r="AR737" s="45">
        <v>0</v>
      </c>
      <c r="AS737" s="45" t="b">
        <v>0</v>
      </c>
      <c r="AT737" s="7" t="b">
        <v>0</v>
      </c>
      <c r="AU7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8" spans="1:47" x14ac:dyDescent="0.35">
      <c r="A738" s="2" t="s">
        <v>102</v>
      </c>
      <c r="B738">
        <v>1920</v>
      </c>
      <c r="D7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8" s="37" t="str">
        <f>INDEX(CONTROL[ENGLISH],MATCH(PROPERTIES[[#This Row],[VEHIDCODE]],CONTROL[VEHIDCODE],0))</f>
        <v>Steel 3-axle Regional Coach</v>
      </c>
      <c r="G738" s="37" t="str">
        <f>_xlfn.IFNA(INDEX(COUNTRIES[COUNTRY_LABEL],MATCH(PROPERTIES[[#This Row],[COUNTRY]],COUNTRIES[COUNTRY_DESCRIPTION],0)),"")</f>
        <v/>
      </c>
      <c r="H7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INDEX(LOADINGSPEEDDEF[SPEED],MATCH("LOADINGSPEEDDEF_"&amp;PROPERTIES[[#This Row],[LOADINGSPEED]],LOADINGSPEEDDEF[TYPE],0))</f>
        <v>60</v>
      </c>
      <c r="O7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4">
        <v>0</v>
      </c>
      <c r="AF738" s="6">
        <v>0</v>
      </c>
      <c r="AG738" t="s">
        <v>1937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8" s="2" t="str">
        <f>SUBSTITUTE(SUBSTITUTE(PROPERTIES[[#This Row],[PURCHASECOST_VALUE]], "PURCHASECOST_", ""), "_VALUE", "")</f>
        <v>COACH</v>
      </c>
      <c r="AO738" s="41" t="b">
        <v>0</v>
      </c>
      <c r="AP738" s="45" t="b">
        <v>0</v>
      </c>
      <c r="AQ738" s="45" t="b">
        <v>0</v>
      </c>
      <c r="AR738" s="45">
        <v>0</v>
      </c>
      <c r="AS738" s="45" t="b">
        <v>0</v>
      </c>
      <c r="AT738" s="7" t="b">
        <v>0</v>
      </c>
      <c r="AU7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39" spans="1:47" x14ac:dyDescent="0.35">
      <c r="A739" s="2" t="s">
        <v>103</v>
      </c>
      <c r="B739">
        <v>1920</v>
      </c>
      <c r="D7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39" s="37" t="str">
        <f>INDEX(CONTROL[ENGLISH],MATCH(PROPERTIES[[#This Row],[VEHIDCODE]],CONTROL[VEHIDCODE],0))</f>
        <v>Steel 3-axle Mail Coach</v>
      </c>
      <c r="G739" s="37" t="str">
        <f>_xlfn.IFNA(INDEX(COUNTRIES[COUNTRY_LABEL],MATCH(PROPERTIES[[#This Row],[COUNTRY]],COUNTRIES[COUNTRY_DESCRIPTION],0)),"")</f>
        <v/>
      </c>
      <c r="H7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INDEX(LOADINGSPEEDDEF[SPEED],MATCH("LOADINGSPEEDDEF_"&amp;PROPERTIES[[#This Row],[LOADINGSPEED]],LOADINGSPEEDDEF[TYPE],0))</f>
        <v>15</v>
      </c>
      <c r="O7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4">
        <v>0</v>
      </c>
      <c r="AF739" s="6">
        <v>0</v>
      </c>
      <c r="AG739" t="s">
        <v>1937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3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39" s="2" t="str">
        <f>SUBSTITUTE(SUBSTITUTE(PROPERTIES[[#This Row],[PURCHASECOST_VALUE]], "PURCHASECOST_", ""), "_VALUE", "")</f>
        <v>COACH</v>
      </c>
      <c r="AO739" s="41" t="b">
        <v>0</v>
      </c>
      <c r="AP739" s="45" t="b">
        <v>0</v>
      </c>
      <c r="AQ739" s="45" t="b">
        <v>0</v>
      </c>
      <c r="AR739" s="45">
        <v>0</v>
      </c>
      <c r="AS739" s="45" t="b">
        <v>0</v>
      </c>
      <c r="AT739" s="7" t="b">
        <v>0</v>
      </c>
      <c r="AU7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0" spans="1:47" x14ac:dyDescent="0.35">
      <c r="A740" s="2" t="s">
        <v>104</v>
      </c>
      <c r="B740">
        <v>1930</v>
      </c>
      <c r="D7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0" s="37" t="str">
        <f>INDEX(CONTROL[ENGLISH],MATCH(PROPERTIES[[#This Row],[VEHIDCODE]],CONTROL[VEHIDCODE],0))</f>
        <v>Lightweight Intercity Coach</v>
      </c>
      <c r="G740" s="37" t="str">
        <f>_xlfn.IFNA(INDEX(COUNTRIES[COUNTRY_LABEL],MATCH(PROPERTIES[[#This Row],[COUNTRY]],COUNTRIES[COUNTRY_DESCRIPTION],0)),"")</f>
        <v/>
      </c>
      <c r="H7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INDEX(LOADINGSPEEDDEF[SPEED],MATCH("LOADINGSPEEDDEF_"&amp;PROPERTIES[[#This Row],[LOADINGSPEED]],LOADINGSPEEDDEF[TYPE],0))</f>
        <v>60</v>
      </c>
      <c r="O7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4">
        <v>0</v>
      </c>
      <c r="AF740" s="6">
        <v>0</v>
      </c>
      <c r="AG740" t="s">
        <v>1939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0" s="2" t="str">
        <f>SUBSTITUTE(SUBSTITUTE(PROPERTIES[[#This Row],[PURCHASECOST_VALUE]], "PURCHASECOST_", ""), "_VALUE", "")</f>
        <v>COACH</v>
      </c>
      <c r="AO740" s="41" t="b">
        <v>0</v>
      </c>
      <c r="AP740" s="45" t="b">
        <v>0</v>
      </c>
      <c r="AQ740" s="45" t="b">
        <v>0</v>
      </c>
      <c r="AR740" s="45">
        <v>0</v>
      </c>
      <c r="AS740" s="45" t="b">
        <v>0</v>
      </c>
      <c r="AT740" s="7" t="b">
        <v>0</v>
      </c>
      <c r="AU7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1" spans="1:47" x14ac:dyDescent="0.35">
      <c r="A741" s="2" t="s">
        <v>105</v>
      </c>
      <c r="B741">
        <v>1930</v>
      </c>
      <c r="D7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1" s="37" t="str">
        <f>INDEX(CONTROL[ENGLISH],MATCH(PROPERTIES[[#This Row],[VEHIDCODE]],CONTROL[VEHIDCODE],0))</f>
        <v>Lightweight Regional Coach</v>
      </c>
      <c r="G741" s="37" t="str">
        <f>_xlfn.IFNA(INDEX(COUNTRIES[COUNTRY_LABEL],MATCH(PROPERTIES[[#This Row],[COUNTRY]],COUNTRIES[COUNTRY_DESCRIPTION],0)),"")</f>
        <v/>
      </c>
      <c r="H7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INDEX(LOADINGSPEEDDEF[SPEED],MATCH("LOADINGSPEEDDEF_"&amp;PROPERTIES[[#This Row],[LOADINGSPEED]],LOADINGSPEEDDEF[TYPE],0))</f>
        <v>60</v>
      </c>
      <c r="O7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4">
        <v>0</v>
      </c>
      <c r="AF741" s="6">
        <v>0</v>
      </c>
      <c r="AG741" t="s">
        <v>1939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1" s="2" t="str">
        <f>SUBSTITUTE(SUBSTITUTE(PROPERTIES[[#This Row],[PURCHASECOST_VALUE]], "PURCHASECOST_", ""), "_VALUE", "")</f>
        <v>COACH</v>
      </c>
      <c r="AO741" s="41" t="b">
        <v>0</v>
      </c>
      <c r="AP741" s="45" t="b">
        <v>0</v>
      </c>
      <c r="AQ741" s="45" t="b">
        <v>0</v>
      </c>
      <c r="AR741" s="45">
        <v>0</v>
      </c>
      <c r="AS741" s="45" t="b">
        <v>0</v>
      </c>
      <c r="AT741" s="7" t="b">
        <v>0</v>
      </c>
      <c r="AU7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2" spans="1:47" x14ac:dyDescent="0.35">
      <c r="A742" s="2" t="s">
        <v>106</v>
      </c>
      <c r="B742">
        <v>1930</v>
      </c>
      <c r="D7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2" s="37" t="str">
        <f>INDEX(CONTROL[ENGLISH],MATCH(PROPERTIES[[#This Row],[VEHIDCODE]],CONTROL[VEHIDCODE],0))</f>
        <v>Lightweight Mail Coach</v>
      </c>
      <c r="G742" s="37" t="str">
        <f>_xlfn.IFNA(INDEX(COUNTRIES[COUNTRY_LABEL],MATCH(PROPERTIES[[#This Row],[COUNTRY]],COUNTRIES[COUNTRY_DESCRIPTION],0)),"")</f>
        <v/>
      </c>
      <c r="H7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INDEX(LOADINGSPEEDDEF[SPEED],MATCH("LOADINGSPEEDDEF_"&amp;PROPERTIES[[#This Row],[LOADINGSPEED]],LOADINGSPEEDDEF[TYPE],0))</f>
        <v>15</v>
      </c>
      <c r="O7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4">
        <v>0</v>
      </c>
      <c r="AF742" s="6">
        <v>0</v>
      </c>
      <c r="AG742" t="s">
        <v>1939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2" s="2" t="str">
        <f>SUBSTITUTE(SUBSTITUTE(PROPERTIES[[#This Row],[PURCHASECOST_VALUE]], "PURCHASECOST_", ""), "_VALUE", "")</f>
        <v>COACH</v>
      </c>
      <c r="AO742" s="41" t="b">
        <v>0</v>
      </c>
      <c r="AP742" s="45" t="b">
        <v>0</v>
      </c>
      <c r="AQ742" s="45" t="b">
        <v>0</v>
      </c>
      <c r="AR742" s="45">
        <v>0</v>
      </c>
      <c r="AS742" s="45" t="b">
        <v>0</v>
      </c>
      <c r="AT742" s="7" t="b">
        <v>0</v>
      </c>
      <c r="AU7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3" spans="1:47" x14ac:dyDescent="0.35">
      <c r="A743" s="2" t="s">
        <v>107</v>
      </c>
      <c r="B743">
        <v>1940</v>
      </c>
      <c r="D7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3" s="37" t="str">
        <f>INDEX(CONTROL[ENGLISH],MATCH(PROPERTIES[[#This Row],[VEHIDCODE]],CONTROL[VEHIDCODE],0))</f>
        <v>Streamlined Intercity Coach</v>
      </c>
      <c r="G743" s="37" t="str">
        <f>_xlfn.IFNA(INDEX(COUNTRIES[COUNTRY_LABEL],MATCH(PROPERTIES[[#This Row],[COUNTRY]],COUNTRIES[COUNTRY_DESCRIPTION],0)),"")</f>
        <v/>
      </c>
      <c r="H7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INDEX(LOADINGSPEEDDEF[SPEED],MATCH("LOADINGSPEEDDEF_"&amp;PROPERTIES[[#This Row],[LOADINGSPEED]],LOADINGSPEEDDEF[TYPE],0))</f>
        <v>60</v>
      </c>
      <c r="O7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4">
        <v>0</v>
      </c>
      <c r="AF743" s="6">
        <v>0</v>
      </c>
      <c r="AG743" t="s">
        <v>1937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3" s="2" t="str">
        <f>SUBSTITUTE(SUBSTITUTE(PROPERTIES[[#This Row],[PURCHASECOST_VALUE]], "PURCHASECOST_", ""), "_VALUE", "")</f>
        <v>COACH</v>
      </c>
      <c r="AO743" s="41" t="b">
        <v>0</v>
      </c>
      <c r="AP743" s="45" t="b">
        <v>0</v>
      </c>
      <c r="AQ743" s="45" t="b">
        <v>0</v>
      </c>
      <c r="AR743" s="45">
        <v>0</v>
      </c>
      <c r="AS743" s="45" t="b">
        <v>0</v>
      </c>
      <c r="AT743" s="7" t="b">
        <v>0</v>
      </c>
      <c r="AU7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4" spans="1:47" x14ac:dyDescent="0.35">
      <c r="A744" s="2" t="s">
        <v>108</v>
      </c>
      <c r="B744">
        <v>1940</v>
      </c>
      <c r="D7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4" s="37" t="str">
        <f>INDEX(CONTROL[ENGLISH],MATCH(PROPERTIES[[#This Row],[VEHIDCODE]],CONTROL[VEHIDCODE],0))</f>
        <v>Streamlined Regional Coach</v>
      </c>
      <c r="G744" s="37" t="str">
        <f>_xlfn.IFNA(INDEX(COUNTRIES[COUNTRY_LABEL],MATCH(PROPERTIES[[#This Row],[COUNTRY]],COUNTRIES[COUNTRY_DESCRIPTION],0)),"")</f>
        <v/>
      </c>
      <c r="H7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INDEX(LOADINGSPEEDDEF[SPEED],MATCH("LOADINGSPEEDDEF_"&amp;PROPERTIES[[#This Row],[LOADINGSPEED]],LOADINGSPEEDDEF[TYPE],0))</f>
        <v>60</v>
      </c>
      <c r="O7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4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4" s="2" t="str">
        <f>SUBSTITUTE(SUBSTITUTE(PROPERTIES[[#This Row],[PURCHASECOST_VALUE]], "PURCHASECOST_", ""), "_VALUE", "")</f>
        <v>COACH</v>
      </c>
      <c r="AO744" s="41" t="b">
        <v>0</v>
      </c>
      <c r="AP744" s="45" t="b">
        <v>0</v>
      </c>
      <c r="AQ744" s="45" t="b">
        <v>0</v>
      </c>
      <c r="AR744" s="45">
        <v>0</v>
      </c>
      <c r="AS744" s="45" t="b">
        <v>0</v>
      </c>
      <c r="AT744" s="7" t="b">
        <v>0</v>
      </c>
      <c r="AU7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45" spans="1:47" x14ac:dyDescent="0.35">
      <c r="A745" s="2" t="s">
        <v>109</v>
      </c>
      <c r="B745">
        <v>1940</v>
      </c>
      <c r="D7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5" s="37" t="str">
        <f>INDEX(CONTROL[ENGLISH],MATCH(PROPERTIES[[#This Row],[VEHIDCODE]],CONTROL[VEHIDCODE],0))</f>
        <v>Streamlined Mail Coach</v>
      </c>
      <c r="G745" s="37" t="str">
        <f>_xlfn.IFNA(INDEX(COUNTRIES[COUNTRY_LABEL],MATCH(PROPERTIES[[#This Row],[COUNTRY]],COUNTRIES[COUNTRY_DESCRIPTION],0)),"")</f>
        <v/>
      </c>
      <c r="H7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INDEX(LOADINGSPEEDDEF[SPEED],MATCH("LOADINGSPEEDDEF_"&amp;PROPERTIES[[#This Row],[LOADINGSPEED]],LOADINGSPEEDDEF[TYPE],0))</f>
        <v>15</v>
      </c>
      <c r="O7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4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5" s="2" t="str">
        <f>SUBSTITUTE(SUBSTITUTE(PROPERTIES[[#This Row],[PURCHASECOST_VALUE]], "PURCHASECOST_", ""), "_VALUE", "")</f>
        <v>COACH</v>
      </c>
      <c r="AO745" s="41" t="b">
        <v>0</v>
      </c>
      <c r="AP745" s="45" t="b">
        <v>0</v>
      </c>
      <c r="AQ745" s="45" t="b">
        <v>0</v>
      </c>
      <c r="AR745" s="45">
        <v>0</v>
      </c>
      <c r="AS745" s="45" t="b">
        <v>0</v>
      </c>
      <c r="AT745" s="7" t="b">
        <v>0</v>
      </c>
      <c r="AU7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6" spans="1:47" x14ac:dyDescent="0.35">
      <c r="A746" s="2" t="s">
        <v>110</v>
      </c>
      <c r="B746">
        <v>1950</v>
      </c>
      <c r="D7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6" s="37" t="str">
        <f>INDEX(CONTROL[ENGLISH],MATCH(PROPERTIES[[#This Row],[VEHIDCODE]],CONTROL[VEHIDCODE],0))</f>
        <v>Gallery Car</v>
      </c>
      <c r="G746" s="37" t="str">
        <f>_xlfn.IFNA(INDEX(COUNTRIES[COUNTRY_LABEL],MATCH(PROPERTIES[[#This Row],[COUNTRY]],COUNTRIES[COUNTRY_DESCRIPTION],0)),"")</f>
        <v/>
      </c>
      <c r="H7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INDEX(LOADINGSPEEDDEF[SPEED],MATCH("LOADINGSPEEDDEF_"&amp;PROPERTIES[[#This Row],[LOADINGSPEED]],LOADINGSPEEDDEF[TYPE],0))</f>
        <v>60</v>
      </c>
      <c r="O7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4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6" s="2" t="str">
        <f>SUBSTITUTE(SUBSTITUTE(PROPERTIES[[#This Row],[PURCHASECOST_VALUE]], "PURCHASECOST_", ""), "_VALUE", "")</f>
        <v>COACH</v>
      </c>
      <c r="AO746" s="41" t="b">
        <v>0</v>
      </c>
      <c r="AP746" s="45" t="b">
        <v>1</v>
      </c>
      <c r="AQ746" s="45" t="b">
        <v>0</v>
      </c>
      <c r="AR746" s="45">
        <v>0</v>
      </c>
      <c r="AS746" s="45" t="b">
        <v>0</v>
      </c>
      <c r="AT746" s="7" t="b">
        <v>0</v>
      </c>
      <c r="AU7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7" spans="1:47" x14ac:dyDescent="0.35">
      <c r="A747" s="2" t="s">
        <v>111</v>
      </c>
      <c r="B747">
        <v>1950</v>
      </c>
      <c r="D7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7" s="37" t="str">
        <f>INDEX(CONTROL[ENGLISH],MATCH(PROPERTIES[[#This Row],[VEHIDCODE]],CONTROL[VEHIDCODE],0))</f>
        <v>Mk1 Intercity Coach</v>
      </c>
      <c r="G747" s="37" t="str">
        <f>_xlfn.IFNA(INDEX(COUNTRIES[COUNTRY_LABEL],MATCH(PROPERTIES[[#This Row],[COUNTRY]],COUNTRIES[COUNTRY_DESCRIPTION],0)),"")</f>
        <v/>
      </c>
      <c r="H7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INDEX(LOADINGSPEEDDEF[SPEED],MATCH("LOADINGSPEEDDEF_"&amp;PROPERTIES[[#This Row],[LOADINGSPEED]],LOADINGSPEEDDEF[TYPE],0))</f>
        <v>60</v>
      </c>
      <c r="O7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4">
        <v>0</v>
      </c>
      <c r="AF747" s="6">
        <v>0</v>
      </c>
      <c r="AG747" t="s">
        <v>1937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7" s="2" t="str">
        <f>SUBSTITUTE(SUBSTITUTE(PROPERTIES[[#This Row],[PURCHASECOST_VALUE]], "PURCHASECOST_", ""), "_VALUE", "")</f>
        <v>COACH</v>
      </c>
      <c r="AO747" s="41" t="b">
        <v>0</v>
      </c>
      <c r="AP747" s="45" t="b">
        <v>0</v>
      </c>
      <c r="AQ747" s="45" t="b">
        <v>0</v>
      </c>
      <c r="AR747" s="45">
        <v>0</v>
      </c>
      <c r="AS747" s="45" t="b">
        <v>0</v>
      </c>
      <c r="AT747" s="7" t="b">
        <v>0</v>
      </c>
      <c r="AU7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8" spans="1:47" x14ac:dyDescent="0.35">
      <c r="A748" s="2" t="s">
        <v>112</v>
      </c>
      <c r="B748">
        <v>1950</v>
      </c>
      <c r="D7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8" s="37" t="str">
        <f>INDEX(CONTROL[ENGLISH],MATCH(PROPERTIES[[#This Row],[VEHIDCODE]],CONTROL[VEHIDCODE],0))</f>
        <v>Mk1 Regional Coach</v>
      </c>
      <c r="G748" s="37" t="str">
        <f>_xlfn.IFNA(INDEX(COUNTRIES[COUNTRY_LABEL],MATCH(PROPERTIES[[#This Row],[COUNTRY]],COUNTRIES[COUNTRY_DESCRIPTION],0)),"")</f>
        <v/>
      </c>
      <c r="H7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INDEX(LOADINGSPEEDDEF[SPEED],MATCH("LOADINGSPEEDDEF_"&amp;PROPERTIES[[#This Row],[LOADINGSPEED]],LOADINGSPEEDDEF[TYPE],0))</f>
        <v>60</v>
      </c>
      <c r="O7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4">
        <v>0</v>
      </c>
      <c r="AF748" s="6">
        <v>0</v>
      </c>
      <c r="AG748" t="s">
        <v>1937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8" s="2" t="str">
        <f>SUBSTITUTE(SUBSTITUTE(PROPERTIES[[#This Row],[PURCHASECOST_VALUE]], "PURCHASECOST_", ""), "_VALUE", "")</f>
        <v>COACH</v>
      </c>
      <c r="AO748" s="41" t="b">
        <v>0</v>
      </c>
      <c r="AP748" s="45" t="b">
        <v>0</v>
      </c>
      <c r="AQ748" s="45" t="b">
        <v>0</v>
      </c>
      <c r="AR748" s="45">
        <v>0</v>
      </c>
      <c r="AS748" s="45" t="b">
        <v>0</v>
      </c>
      <c r="AT748" s="7" t="b">
        <v>0</v>
      </c>
      <c r="AU7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49" spans="1:47" x14ac:dyDescent="0.35">
      <c r="A749" s="2" t="s">
        <v>113</v>
      </c>
      <c r="B749">
        <v>1950</v>
      </c>
      <c r="D7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49" s="37" t="str">
        <f>INDEX(CONTROL[ENGLISH],MATCH(PROPERTIES[[#This Row],[VEHIDCODE]],CONTROL[VEHIDCODE],0))</f>
        <v>Mk1 Mail Coach</v>
      </c>
      <c r="G749" s="37" t="str">
        <f>_xlfn.IFNA(INDEX(COUNTRIES[COUNTRY_LABEL],MATCH(PROPERTIES[[#This Row],[COUNTRY]],COUNTRIES[COUNTRY_DESCRIPTION],0)),"")</f>
        <v/>
      </c>
      <c r="H7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INDEX(LOADINGSPEEDDEF[SPEED],MATCH("LOADINGSPEEDDEF_"&amp;PROPERTIES[[#This Row],[LOADINGSPEED]],LOADINGSPEEDDEF[TYPE],0))</f>
        <v>15</v>
      </c>
      <c r="O7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4">
        <v>0</v>
      </c>
      <c r="AF749" s="6">
        <v>0</v>
      </c>
      <c r="AG749" t="s">
        <v>1937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4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49" s="2" t="str">
        <f>SUBSTITUTE(SUBSTITUTE(PROPERTIES[[#This Row],[PURCHASECOST_VALUE]], "PURCHASECOST_", ""), "_VALUE", "")</f>
        <v>COACH</v>
      </c>
      <c r="AO749" s="41" t="b">
        <v>0</v>
      </c>
      <c r="AP749" s="45" t="b">
        <v>0</v>
      </c>
      <c r="AQ749" s="45" t="b">
        <v>0</v>
      </c>
      <c r="AR749" s="45">
        <v>0</v>
      </c>
      <c r="AS749" s="45" t="b">
        <v>0</v>
      </c>
      <c r="AT749" s="7" t="b">
        <v>0</v>
      </c>
      <c r="AU7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0" spans="1:47" x14ac:dyDescent="0.35">
      <c r="A750" s="2" t="s">
        <v>114</v>
      </c>
      <c r="B750">
        <v>1950</v>
      </c>
      <c r="D7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0" s="37" t="str">
        <f>INDEX(CONTROL[ENGLISH],MATCH(PROPERTIES[[#This Row],[VEHIDCODE]],CONTROL[VEHIDCODE],0))</f>
        <v>UIC-X Intercity Coach</v>
      </c>
      <c r="G750" s="37" t="str">
        <f>_xlfn.IFNA(INDEX(COUNTRIES[COUNTRY_LABEL],MATCH(PROPERTIES[[#This Row],[COUNTRY]],COUNTRIES[COUNTRY_DESCRIPTION],0)),"")</f>
        <v/>
      </c>
      <c r="H7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INDEX(LOADINGSPEEDDEF[SPEED],MATCH("LOADINGSPEEDDEF_"&amp;PROPERTIES[[#This Row],[LOADINGSPEED]],LOADINGSPEEDDEF[TYPE],0))</f>
        <v>60</v>
      </c>
      <c r="O7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4">
        <v>0</v>
      </c>
      <c r="AF750" s="6">
        <v>0</v>
      </c>
      <c r="AG750" t="s">
        <v>1937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0" s="2" t="str">
        <f>SUBSTITUTE(SUBSTITUTE(PROPERTIES[[#This Row],[PURCHASECOST_VALUE]], "PURCHASECOST_", ""), "_VALUE", "")</f>
        <v>COACH</v>
      </c>
      <c r="AO750" s="41" t="b">
        <v>0</v>
      </c>
      <c r="AP750" s="45" t="b">
        <v>0</v>
      </c>
      <c r="AQ750" s="45" t="b">
        <v>0</v>
      </c>
      <c r="AR750" s="45">
        <v>0</v>
      </c>
      <c r="AS750" s="45" t="b">
        <v>0</v>
      </c>
      <c r="AT750" s="7" t="b">
        <v>0</v>
      </c>
      <c r="AU7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1" spans="1:47" x14ac:dyDescent="0.35">
      <c r="A751" s="2" t="s">
        <v>115</v>
      </c>
      <c r="B751">
        <v>1950</v>
      </c>
      <c r="D7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1" s="37" t="str">
        <f>INDEX(CONTROL[ENGLISH],MATCH(PROPERTIES[[#This Row],[VEHIDCODE]],CONTROL[VEHIDCODE],0))</f>
        <v>TEE Intercity Coach</v>
      </c>
      <c r="G751" s="37" t="str">
        <f>_xlfn.IFNA(INDEX(COUNTRIES[COUNTRY_LABEL],MATCH(PROPERTIES[[#This Row],[COUNTRY]],COUNTRIES[COUNTRY_DESCRIPTION],0)),"")</f>
        <v/>
      </c>
      <c r="H7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INDEX(LOADINGSPEEDDEF[SPEED],MATCH("LOADINGSPEEDDEF_"&amp;PROPERTIES[[#This Row],[LOADINGSPEED]],LOADINGSPEEDDEF[TYPE],0))</f>
        <v>60</v>
      </c>
      <c r="O7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4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1" s="2" t="str">
        <f>SUBSTITUTE(SUBSTITUTE(PROPERTIES[[#This Row],[PURCHASECOST_VALUE]], "PURCHASECOST_", ""), "_VALUE", "")</f>
        <v>COACH</v>
      </c>
      <c r="AO751" s="41" t="b">
        <v>0</v>
      </c>
      <c r="AP751" s="45" t="b">
        <v>0</v>
      </c>
      <c r="AQ751" s="45" t="b">
        <v>0</v>
      </c>
      <c r="AR751" s="45">
        <v>0</v>
      </c>
      <c r="AS751" s="45" t="b">
        <v>0</v>
      </c>
      <c r="AT751" s="7" t="b">
        <v>0</v>
      </c>
      <c r="AU7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2" spans="1:47" x14ac:dyDescent="0.35">
      <c r="A752" s="2" t="s">
        <v>116</v>
      </c>
      <c r="B752">
        <v>1950</v>
      </c>
      <c r="D7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2" s="37" t="str">
        <f>INDEX(CONTROL[ENGLISH],MATCH(PROPERTIES[[#This Row],[VEHIDCODE]],CONTROL[VEHIDCODE],0))</f>
        <v>UIC-X Regional Coach</v>
      </c>
      <c r="G752" s="37" t="str">
        <f>_xlfn.IFNA(INDEX(COUNTRIES[COUNTRY_LABEL],MATCH(PROPERTIES[[#This Row],[COUNTRY]],COUNTRIES[COUNTRY_DESCRIPTION],0)),"")</f>
        <v/>
      </c>
      <c r="H7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INDEX(LOADINGSPEEDDEF[SPEED],MATCH("LOADINGSPEEDDEF_"&amp;PROPERTIES[[#This Row],[LOADINGSPEED]],LOADINGSPEEDDEF[TYPE],0))</f>
        <v>60</v>
      </c>
      <c r="O7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4">
        <v>0</v>
      </c>
      <c r="AF752" s="6">
        <v>0</v>
      </c>
      <c r="AG752" t="s">
        <v>1937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2" s="2" t="str">
        <f>SUBSTITUTE(SUBSTITUTE(PROPERTIES[[#This Row],[PURCHASECOST_VALUE]], "PURCHASECOST_", ""), "_VALUE", "")</f>
        <v>COACH</v>
      </c>
      <c r="AO752" s="41" t="b">
        <v>0</v>
      </c>
      <c r="AP752" s="45" t="b">
        <v>1</v>
      </c>
      <c r="AQ752" s="45" t="b">
        <v>0</v>
      </c>
      <c r="AR752" s="45">
        <v>0</v>
      </c>
      <c r="AS752" s="45" t="b">
        <v>0</v>
      </c>
      <c r="AT752" s="7" t="b">
        <v>0</v>
      </c>
      <c r="AU7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3" spans="1:47" x14ac:dyDescent="0.35">
      <c r="A753" s="2" t="s">
        <v>117</v>
      </c>
      <c r="B753">
        <v>1950</v>
      </c>
      <c r="D7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3" s="37" t="str">
        <f>INDEX(CONTROL[ENGLISH],MATCH(PROPERTIES[[#This Row],[VEHIDCODE]],CONTROL[VEHIDCODE],0))</f>
        <v>'Umbauwagen' Local Coach</v>
      </c>
      <c r="G753" s="37" t="str">
        <f>_xlfn.IFNA(INDEX(COUNTRIES[COUNTRY_LABEL],MATCH(PROPERTIES[[#This Row],[COUNTRY]],COUNTRIES[COUNTRY_DESCRIPTION],0)),"")</f>
        <v/>
      </c>
      <c r="H7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INDEX(LOADINGSPEEDDEF[SPEED],MATCH("LOADINGSPEEDDEF_"&amp;PROPERTIES[[#This Row],[LOADINGSPEED]],LOADINGSPEEDDEF[TYPE],0))</f>
        <v>60</v>
      </c>
      <c r="O75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4">
        <v>0</v>
      </c>
      <c r="AF753" s="6">
        <v>0</v>
      </c>
      <c r="AG753" t="s">
        <v>1937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3" s="2" t="str">
        <f>SUBSTITUTE(SUBSTITUTE(PROPERTIES[[#This Row],[PURCHASECOST_VALUE]], "PURCHASECOST_", ""), "_VALUE", "")</f>
        <v>COACH</v>
      </c>
      <c r="AO753" s="41" t="b">
        <v>0</v>
      </c>
      <c r="AP753" s="45" t="b">
        <v>0</v>
      </c>
      <c r="AQ753" s="45" t="b">
        <v>0</v>
      </c>
      <c r="AR753" s="45">
        <v>0</v>
      </c>
      <c r="AS753" s="45" t="b">
        <v>0</v>
      </c>
      <c r="AT753" s="7" t="b">
        <v>0</v>
      </c>
      <c r="AU7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4" spans="1:47" x14ac:dyDescent="0.35">
      <c r="A754" s="2" t="s">
        <v>3593</v>
      </c>
      <c r="B754">
        <v>1974</v>
      </c>
      <c r="D7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4" s="37" t="str">
        <f>INDEX(CONTROL[ENGLISH],MATCH(PROPERTIES[[#This Row],[VEHIDCODE]],CONTROL[VEHIDCODE],0))</f>
        <v>Goerlitz Double Decker Coach</v>
      </c>
      <c r="G754" s="37" t="str">
        <f>_xlfn.IFNA(INDEX(COUNTRIES[COUNTRY_LABEL],MATCH(PROPERTIES[[#This Row],[COUNTRY]],COUNTRIES[COUNTRY_DESCRIPTION],0)),"")</f>
        <v/>
      </c>
      <c r="H7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INDEX(LOADINGSPEEDDEF[SPEED],MATCH("LOADINGSPEEDDEF_"&amp;PROPERTIES[[#This Row],[LOADINGSPEED]],LOADINGSPEEDDEF[TYPE],0))</f>
        <v>60</v>
      </c>
      <c r="O7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4">
        <v>0</v>
      </c>
      <c r="AF754" s="6">
        <v>0</v>
      </c>
      <c r="AG754" t="s">
        <v>1937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4" s="2" t="str">
        <f>SUBSTITUTE(SUBSTITUTE(PROPERTIES[[#This Row],[PURCHASECOST_VALUE]], "PURCHASECOST_", ""), "_VALUE", "")</f>
        <v>COACH</v>
      </c>
      <c r="AO754" s="41" t="b">
        <v>0</v>
      </c>
      <c r="AP754" s="45" t="b">
        <v>1</v>
      </c>
      <c r="AQ754" s="45" t="b">
        <v>0</v>
      </c>
      <c r="AR754" s="45">
        <v>0</v>
      </c>
      <c r="AS754" s="45" t="b">
        <v>0</v>
      </c>
      <c r="AT754" s="7" t="b">
        <v>0</v>
      </c>
      <c r="AU7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5" spans="1:47" x14ac:dyDescent="0.35">
      <c r="A755" s="2" t="s">
        <v>118</v>
      </c>
      <c r="B755">
        <v>1950</v>
      </c>
      <c r="D7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5" s="37" t="str">
        <f>INDEX(CONTROL[ENGLISH],MATCH(PROPERTIES[[#This Row],[VEHIDCODE]],CONTROL[VEHIDCODE],0))</f>
        <v>UIC-X Mail Coach</v>
      </c>
      <c r="G755" s="37" t="str">
        <f>_xlfn.IFNA(INDEX(COUNTRIES[COUNTRY_LABEL],MATCH(PROPERTIES[[#This Row],[COUNTRY]],COUNTRIES[COUNTRY_DESCRIPTION],0)),"")</f>
        <v/>
      </c>
      <c r="H7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INDEX(LOADINGSPEEDDEF[SPEED],MATCH("LOADINGSPEEDDEF_"&amp;PROPERTIES[[#This Row],[LOADINGSPEED]],LOADINGSPEEDDEF[TYPE],0))</f>
        <v>15</v>
      </c>
      <c r="O7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4">
        <v>0</v>
      </c>
      <c r="AF755" s="6">
        <v>0</v>
      </c>
      <c r="AG755" t="s">
        <v>1937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5" s="2" t="str">
        <f>SUBSTITUTE(SUBSTITUTE(PROPERTIES[[#This Row],[PURCHASECOST_VALUE]], "PURCHASECOST_", ""), "_VALUE", "")</f>
        <v>COACH</v>
      </c>
      <c r="AO755" s="41" t="b">
        <v>0</v>
      </c>
      <c r="AP755" s="45" t="b">
        <v>0</v>
      </c>
      <c r="AQ755" s="45" t="b">
        <v>0</v>
      </c>
      <c r="AR755" s="45">
        <v>0</v>
      </c>
      <c r="AS755" s="45" t="b">
        <v>0</v>
      </c>
      <c r="AT755" s="7" t="b">
        <v>0</v>
      </c>
      <c r="AU7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6" spans="1:47" x14ac:dyDescent="0.35">
      <c r="A756" s="2" t="s">
        <v>119</v>
      </c>
      <c r="B756">
        <v>1950</v>
      </c>
      <c r="D7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6" s="37" t="str">
        <f>INDEX(CONTROL[ENGLISH],MATCH(PROPERTIES[[#This Row],[VEHIDCODE]],CONTROL[VEHIDCODE],0))</f>
        <v>Indian Intercity Coach</v>
      </c>
      <c r="G756" s="37" t="str">
        <f>_xlfn.IFNA(INDEX(COUNTRIES[COUNTRY_LABEL],MATCH(PROPERTIES[[#This Row],[COUNTRY]],COUNTRIES[COUNTRY_DESCRIPTION],0)),"")</f>
        <v/>
      </c>
      <c r="H7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INDEX(LOADINGSPEEDDEF[SPEED],MATCH("LOADINGSPEEDDEF_"&amp;PROPERTIES[[#This Row],[LOADINGSPEED]],LOADINGSPEEDDEF[TYPE],0))</f>
        <v>60</v>
      </c>
      <c r="O75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4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6" s="2" t="str">
        <f>SUBSTITUTE(SUBSTITUTE(PROPERTIES[[#This Row],[PURCHASECOST_VALUE]], "PURCHASECOST_", ""), "_VALUE", "")</f>
        <v>COACH</v>
      </c>
      <c r="AO756" s="41" t="b">
        <v>0</v>
      </c>
      <c r="AP756" s="45" t="b">
        <v>0</v>
      </c>
      <c r="AQ756" s="45" t="b">
        <v>0</v>
      </c>
      <c r="AR756" s="45">
        <v>0</v>
      </c>
      <c r="AS756" s="45" t="b">
        <v>0</v>
      </c>
      <c r="AT756" s="7" t="b">
        <v>0</v>
      </c>
      <c r="AU7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57" spans="1:47" x14ac:dyDescent="0.35">
      <c r="A757" s="2" t="s">
        <v>120</v>
      </c>
      <c r="B757">
        <v>1950</v>
      </c>
      <c r="D7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7" s="37" t="str">
        <f>INDEX(CONTROL[ENGLISH],MATCH(PROPERTIES[[#This Row],[VEHIDCODE]],CONTROL[VEHIDCODE],0))</f>
        <v>Indian Local Coach</v>
      </c>
      <c r="G757" s="37" t="str">
        <f>_xlfn.IFNA(INDEX(COUNTRIES[COUNTRY_LABEL],MATCH(PROPERTIES[[#This Row],[COUNTRY]],COUNTRIES[COUNTRY_DESCRIPTION],0)),"")</f>
        <v/>
      </c>
      <c r="H7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INDEX(LOADINGSPEEDDEF[SPEED],MATCH("LOADINGSPEEDDEF_"&amp;PROPERTIES[[#This Row],[LOADINGSPEED]],LOADINGSPEEDDEF[TYPE],0))</f>
        <v>60</v>
      </c>
      <c r="O7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4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7" s="2" t="str">
        <f>SUBSTITUTE(SUBSTITUTE(PROPERTIES[[#This Row],[PURCHASECOST_VALUE]], "PURCHASECOST_", ""), "_VALUE", "")</f>
        <v>COACH</v>
      </c>
      <c r="AO757" s="41" t="b">
        <v>0</v>
      </c>
      <c r="AP757" s="45" t="b">
        <v>0</v>
      </c>
      <c r="AQ757" s="45" t="b">
        <v>0</v>
      </c>
      <c r="AR757" s="45">
        <v>2</v>
      </c>
      <c r="AS757" s="45" t="b">
        <v>0</v>
      </c>
      <c r="AT757" s="7" t="b">
        <v>0</v>
      </c>
      <c r="AU7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58" spans="1:47" x14ac:dyDescent="0.35">
      <c r="A758" s="2" t="s">
        <v>121</v>
      </c>
      <c r="B758">
        <v>1950</v>
      </c>
      <c r="D7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8" s="37" t="str">
        <f>INDEX(CONTROL[ENGLISH],MATCH(PROPERTIES[[#This Row],[VEHIDCODE]],CONTROL[VEHIDCODE],0))</f>
        <v>Indian Regional Coach</v>
      </c>
      <c r="G758" s="37" t="str">
        <f>_xlfn.IFNA(INDEX(COUNTRIES[COUNTRY_LABEL],MATCH(PROPERTIES[[#This Row],[COUNTRY]],COUNTRIES[COUNTRY_DESCRIPTION],0)),"")</f>
        <v/>
      </c>
      <c r="H7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INDEX(LOADINGSPEEDDEF[SPEED],MATCH("LOADINGSPEEDDEF_"&amp;PROPERTIES[[#This Row],[LOADINGSPEED]],LOADINGSPEEDDEF[TYPE],0))</f>
        <v>60</v>
      </c>
      <c r="O7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4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8" s="2" t="str">
        <f>SUBSTITUTE(SUBSTITUTE(PROPERTIES[[#This Row],[PURCHASECOST_VALUE]], "PURCHASECOST_", ""), "_VALUE", "")</f>
        <v>COACH</v>
      </c>
      <c r="AO758" s="41" t="b">
        <v>0</v>
      </c>
      <c r="AP758" s="45" t="b">
        <v>0</v>
      </c>
      <c r="AQ758" s="45" t="b">
        <v>0</v>
      </c>
      <c r="AR758" s="45">
        <v>2</v>
      </c>
      <c r="AS758" s="45" t="b">
        <v>0</v>
      </c>
      <c r="AT758" s="7" t="b">
        <v>0</v>
      </c>
      <c r="AU7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759" spans="1:47" x14ac:dyDescent="0.35">
      <c r="A759" s="2" t="s">
        <v>122</v>
      </c>
      <c r="B759">
        <v>1950</v>
      </c>
      <c r="D7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59" s="37" t="str">
        <f>INDEX(CONTROL[ENGLISH],MATCH(PROPERTIES[[#This Row],[VEHIDCODE]],CONTROL[VEHIDCODE],0))</f>
        <v>Indian Mail Coach</v>
      </c>
      <c r="G759" s="37" t="str">
        <f>_xlfn.IFNA(INDEX(COUNTRIES[COUNTRY_LABEL],MATCH(PROPERTIES[[#This Row],[COUNTRY]],COUNTRIES[COUNTRY_DESCRIPTION],0)),"")</f>
        <v/>
      </c>
      <c r="H7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INDEX(LOADINGSPEEDDEF[SPEED],MATCH("LOADINGSPEEDDEF_"&amp;PROPERTIES[[#This Row],[LOADINGSPEED]],LOADINGSPEEDDEF[TYPE],0))</f>
        <v>15</v>
      </c>
      <c r="O7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4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5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59" s="2" t="str">
        <f>SUBSTITUTE(SUBSTITUTE(PROPERTIES[[#This Row],[PURCHASECOST_VALUE]], "PURCHASECOST_", ""), "_VALUE", "")</f>
        <v>COACH</v>
      </c>
      <c r="AO759" s="41" t="b">
        <v>0</v>
      </c>
      <c r="AP759" s="45" t="b">
        <v>0</v>
      </c>
      <c r="AQ759" s="45" t="b">
        <v>0</v>
      </c>
      <c r="AR759" s="45">
        <v>0</v>
      </c>
      <c r="AS759" s="45" t="b">
        <v>0</v>
      </c>
      <c r="AT759" s="7" t="b">
        <v>0</v>
      </c>
      <c r="AU7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0" spans="1:47" x14ac:dyDescent="0.35">
      <c r="A760" s="2" t="s">
        <v>123</v>
      </c>
      <c r="B760">
        <v>1970</v>
      </c>
      <c r="D7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0" s="37" t="str">
        <f>INDEX(CONTROL[ENGLISH],MATCH(PROPERTIES[[#This Row],[VEHIDCODE]],CONTROL[VEHIDCODE],0))</f>
        <v>Eurofima Coach</v>
      </c>
      <c r="G760" s="37" t="str">
        <f>_xlfn.IFNA(INDEX(COUNTRIES[COUNTRY_LABEL],MATCH(PROPERTIES[[#This Row],[COUNTRY]],COUNTRIES[COUNTRY_DESCRIPTION],0)),"")</f>
        <v/>
      </c>
      <c r="H7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INDEX(LOADINGSPEEDDEF[SPEED],MATCH("LOADINGSPEEDDEF_"&amp;PROPERTIES[[#This Row],[LOADINGSPEED]],LOADINGSPEEDDEF[TYPE],0))</f>
        <v>20</v>
      </c>
      <c r="O7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4">
        <v>0</v>
      </c>
      <c r="AF760" s="6">
        <v>0</v>
      </c>
      <c r="AG760" t="s">
        <v>1937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0" s="2" t="str">
        <f>SUBSTITUTE(SUBSTITUTE(PROPERTIES[[#This Row],[PURCHASECOST_VALUE]], "PURCHASECOST_", ""), "_VALUE", "")</f>
        <v>COACH</v>
      </c>
      <c r="AO760" s="41" t="b">
        <v>0</v>
      </c>
      <c r="AP760" s="45" t="b">
        <v>0</v>
      </c>
      <c r="AQ760" s="45" t="b">
        <v>0</v>
      </c>
      <c r="AR760" s="45">
        <v>0</v>
      </c>
      <c r="AS760" s="45" t="b">
        <v>0</v>
      </c>
      <c r="AT760" s="7" t="b">
        <v>0</v>
      </c>
      <c r="AU7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1" spans="1:47" x14ac:dyDescent="0.35">
      <c r="A761" s="2" t="s">
        <v>124</v>
      </c>
      <c r="B761">
        <v>1970</v>
      </c>
      <c r="D7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1" s="37" t="str">
        <f>INDEX(CONTROL[ENGLISH],MATCH(PROPERTIES[[#This Row],[VEHIDCODE]],CONTROL[VEHIDCODE],0))</f>
        <v>InterRegio Coach</v>
      </c>
      <c r="G761" s="37" t="str">
        <f>_xlfn.IFNA(INDEX(COUNTRIES[COUNTRY_LABEL],MATCH(PROPERTIES[[#This Row],[COUNTRY]],COUNTRIES[COUNTRY_DESCRIPTION],0)),"")</f>
        <v/>
      </c>
      <c r="H7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INDEX(LOADINGSPEEDDEF[SPEED],MATCH("LOADINGSPEEDDEF_"&amp;PROPERTIES[[#This Row],[LOADINGSPEED]],LOADINGSPEEDDEF[TYPE],0))</f>
        <v>20</v>
      </c>
      <c r="O7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4">
        <v>0</v>
      </c>
      <c r="AF761" s="6">
        <v>0</v>
      </c>
      <c r="AG761" t="s">
        <v>1937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1" s="2" t="str">
        <f>SUBSTITUTE(SUBSTITUTE(PROPERTIES[[#This Row],[PURCHASECOST_VALUE]], "PURCHASECOST_", ""), "_VALUE", "")</f>
        <v>COACH</v>
      </c>
      <c r="AO761" s="41" t="b">
        <v>0</v>
      </c>
      <c r="AP761" s="45" t="b">
        <v>0</v>
      </c>
      <c r="AQ761" s="45" t="b">
        <v>0</v>
      </c>
      <c r="AR761" s="45">
        <v>0</v>
      </c>
      <c r="AS761" s="45" t="b">
        <v>0</v>
      </c>
      <c r="AT761" s="7" t="b">
        <v>0</v>
      </c>
      <c r="AU7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2" spans="1:47" x14ac:dyDescent="0.35">
      <c r="A762" s="2" t="s">
        <v>125</v>
      </c>
      <c r="B762">
        <v>1960</v>
      </c>
      <c r="D7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2" s="37" t="str">
        <f>INDEX(CONTROL[ENGLISH],MATCH(PROPERTIES[[#This Row],[VEHIDCODE]],CONTROL[VEHIDCODE],0))</f>
        <v>'Silberling' Commuter Coach</v>
      </c>
      <c r="G762" s="37" t="str">
        <f>_xlfn.IFNA(INDEX(COUNTRIES[COUNTRY_LABEL],MATCH(PROPERTIES[[#This Row],[COUNTRY]],COUNTRIES[COUNTRY_DESCRIPTION],0)),"")</f>
        <v/>
      </c>
      <c r="H7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INDEX(LOADINGSPEEDDEF[SPEED],MATCH("LOADINGSPEEDDEF_"&amp;PROPERTIES[[#This Row],[LOADINGSPEED]],LOADINGSPEEDDEF[TYPE],0))</f>
        <v>60</v>
      </c>
      <c r="O76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4">
        <v>0</v>
      </c>
      <c r="AF762" s="6">
        <v>0</v>
      </c>
      <c r="AG762" t="s">
        <v>1937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2" s="2" t="str">
        <f>SUBSTITUTE(SUBSTITUTE(PROPERTIES[[#This Row],[PURCHASECOST_VALUE]], "PURCHASECOST_", ""), "_VALUE", "")</f>
        <v>COACH</v>
      </c>
      <c r="AO762" s="41" t="b">
        <v>0</v>
      </c>
      <c r="AP762" s="45" t="b">
        <v>1</v>
      </c>
      <c r="AQ762" s="45" t="b">
        <v>0</v>
      </c>
      <c r="AR762" s="45">
        <v>0</v>
      </c>
      <c r="AS762" s="45" t="b">
        <v>0</v>
      </c>
      <c r="AT762" s="7" t="b">
        <v>0</v>
      </c>
      <c r="AU7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3" spans="1:47" x14ac:dyDescent="0.35">
      <c r="A763" s="2" t="s">
        <v>126</v>
      </c>
      <c r="B763">
        <v>1970</v>
      </c>
      <c r="D7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3" s="37" t="str">
        <f>INDEX(CONTROL[ENGLISH],MATCH(PROPERTIES[[#This Row],[VEHIDCODE]],CONTROL[VEHIDCODE],0))</f>
        <v>Eurofima Mail Coach</v>
      </c>
      <c r="G763" s="37" t="str">
        <f>_xlfn.IFNA(INDEX(COUNTRIES[COUNTRY_LABEL],MATCH(PROPERTIES[[#This Row],[COUNTRY]],COUNTRIES[COUNTRY_DESCRIPTION],0)),"")</f>
        <v/>
      </c>
      <c r="H7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INDEX(LOADINGSPEEDDEF[SPEED],MATCH("LOADINGSPEEDDEF_"&amp;PROPERTIES[[#This Row],[LOADINGSPEED]],LOADINGSPEEDDEF[TYPE],0))</f>
        <v>15</v>
      </c>
      <c r="O76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4">
        <v>0</v>
      </c>
      <c r="AF763" s="6">
        <v>0</v>
      </c>
      <c r="AG763" t="s">
        <v>1937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3" s="2" t="str">
        <f>SUBSTITUTE(SUBSTITUTE(PROPERTIES[[#This Row],[PURCHASECOST_VALUE]], "PURCHASECOST_", ""), "_VALUE", "")</f>
        <v>COACH</v>
      </c>
      <c r="AO763" s="41" t="b">
        <v>0</v>
      </c>
      <c r="AP763" s="45" t="b">
        <v>0</v>
      </c>
      <c r="AQ763" s="45" t="b">
        <v>0</v>
      </c>
      <c r="AR763" s="45">
        <v>0</v>
      </c>
      <c r="AS763" s="45" t="b">
        <v>0</v>
      </c>
      <c r="AT763" s="7" t="b">
        <v>0</v>
      </c>
      <c r="AU7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4" spans="1:47" x14ac:dyDescent="0.35">
      <c r="A764" s="2" t="s">
        <v>127</v>
      </c>
      <c r="B764">
        <v>1970</v>
      </c>
      <c r="D7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4" s="37" t="str">
        <f>INDEX(CONTROL[ENGLISH],MATCH(PROPERTIES[[#This Row],[VEHIDCODE]],CONTROL[VEHIDCODE],0))</f>
        <v>Double Decker Coach</v>
      </c>
      <c r="G764" s="37" t="str">
        <f>_xlfn.IFNA(INDEX(COUNTRIES[COUNTRY_LABEL],MATCH(PROPERTIES[[#This Row],[COUNTRY]],COUNTRIES[COUNTRY_DESCRIPTION],0)),"")</f>
        <v/>
      </c>
      <c r="H7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INDEX(LOADINGSPEEDDEF[SPEED],MATCH("LOADINGSPEEDDEF_"&amp;PROPERTIES[[#This Row],[LOADINGSPEED]],LOADINGSPEEDDEF[TYPE],0))</f>
        <v>60</v>
      </c>
      <c r="O76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4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4" s="2" t="str">
        <f>SUBSTITUTE(SUBSTITUTE(PROPERTIES[[#This Row],[PURCHASECOST_VALUE]], "PURCHASECOST_", ""), "_VALUE", "")</f>
        <v>COACH</v>
      </c>
      <c r="AO764" s="41" t="b">
        <v>0</v>
      </c>
      <c r="AP764" s="45" t="b">
        <v>1</v>
      </c>
      <c r="AQ764" s="45" t="b">
        <v>0</v>
      </c>
      <c r="AR764" s="45">
        <v>0</v>
      </c>
      <c r="AS764" s="45" t="b">
        <v>0</v>
      </c>
      <c r="AT764" s="7" t="b">
        <v>0</v>
      </c>
      <c r="AU7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5" spans="1:47" x14ac:dyDescent="0.35">
      <c r="A765" s="2" t="s">
        <v>128</v>
      </c>
      <c r="B765">
        <v>1960</v>
      </c>
      <c r="D7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5" s="37" t="str">
        <f>INDEX(CONTROL[ENGLISH],MATCH(PROPERTIES[[#This Row],[VEHIDCODE]],CONTROL[VEHIDCODE],0))</f>
        <v>Russian Intercity Sleeper Coach</v>
      </c>
      <c r="G765" s="37" t="str">
        <f>_xlfn.IFNA(INDEX(COUNTRIES[COUNTRY_LABEL],MATCH(PROPERTIES[[#This Row],[COUNTRY]],COUNTRIES[COUNTRY_DESCRIPTION],0)),"")</f>
        <v/>
      </c>
      <c r="H7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INDEX(LOADINGSPEEDDEF[SPEED],MATCH("LOADINGSPEEDDEF_"&amp;PROPERTIES[[#This Row],[LOADINGSPEED]],LOADINGSPEEDDEF[TYPE],0))</f>
        <v>60</v>
      </c>
      <c r="O7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4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5" s="2" t="str">
        <f>SUBSTITUTE(SUBSTITUTE(PROPERTIES[[#This Row],[PURCHASECOST_VALUE]], "PURCHASECOST_", ""), "_VALUE", "")</f>
        <v>COACH</v>
      </c>
      <c r="AO765" s="41" t="b">
        <v>0</v>
      </c>
      <c r="AP765" s="45" t="b">
        <v>0</v>
      </c>
      <c r="AQ765" s="45" t="b">
        <v>0</v>
      </c>
      <c r="AR765" s="45">
        <v>0</v>
      </c>
      <c r="AS765" s="45" t="b">
        <v>0</v>
      </c>
      <c r="AT765" s="7" t="b">
        <v>0</v>
      </c>
      <c r="AU7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6" spans="1:47" x14ac:dyDescent="0.35">
      <c r="A766" s="2" t="s">
        <v>129</v>
      </c>
      <c r="B766">
        <v>1960</v>
      </c>
      <c r="D7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6" s="37" t="str">
        <f>INDEX(CONTROL[ENGLISH],MATCH(PROPERTIES[[#This Row],[VEHIDCODE]],CONTROL[VEHIDCODE],0))</f>
        <v>Russian Regional Coach</v>
      </c>
      <c r="G766" s="37" t="str">
        <f>_xlfn.IFNA(INDEX(COUNTRIES[COUNTRY_LABEL],MATCH(PROPERTIES[[#This Row],[COUNTRY]],COUNTRIES[COUNTRY_DESCRIPTION],0)),"")</f>
        <v/>
      </c>
      <c r="H7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INDEX(LOADINGSPEEDDEF[SPEED],MATCH("LOADINGSPEEDDEF_"&amp;PROPERTIES[[#This Row],[LOADINGSPEED]],LOADINGSPEEDDEF[TYPE],0))</f>
        <v>60</v>
      </c>
      <c r="O7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4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6" s="2" t="str">
        <f>SUBSTITUTE(SUBSTITUTE(PROPERTIES[[#This Row],[PURCHASECOST_VALUE]], "PURCHASECOST_", ""), "_VALUE", "")</f>
        <v>COACH</v>
      </c>
      <c r="AO766" s="41" t="b">
        <v>0</v>
      </c>
      <c r="AP766" s="45" t="b">
        <v>0</v>
      </c>
      <c r="AQ766" s="45" t="b">
        <v>0</v>
      </c>
      <c r="AR766" s="45">
        <v>0</v>
      </c>
      <c r="AS766" s="45" t="b">
        <v>0</v>
      </c>
      <c r="AT766" s="7" t="b">
        <v>0</v>
      </c>
      <c r="AU7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7" spans="1:47" x14ac:dyDescent="0.35">
      <c r="A767" s="2" t="s">
        <v>130</v>
      </c>
      <c r="B767">
        <v>1960</v>
      </c>
      <c r="D7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7" s="37" t="str">
        <f>INDEX(CONTROL[ENGLISH],MATCH(PROPERTIES[[#This Row],[VEHIDCODE]],CONTROL[VEHIDCODE],0))</f>
        <v>Russian Mail Coach</v>
      </c>
      <c r="G767" s="37" t="str">
        <f>_xlfn.IFNA(INDEX(COUNTRIES[COUNTRY_LABEL],MATCH(PROPERTIES[[#This Row],[COUNTRY]],COUNTRIES[COUNTRY_DESCRIPTION],0)),"")</f>
        <v/>
      </c>
      <c r="H7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INDEX(LOADINGSPEEDDEF[SPEED],MATCH("LOADINGSPEEDDEF_"&amp;PROPERTIES[[#This Row],[LOADINGSPEED]],LOADINGSPEEDDEF[TYPE],0))</f>
        <v>15</v>
      </c>
      <c r="O7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4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7" s="2" t="str">
        <f>SUBSTITUTE(SUBSTITUTE(PROPERTIES[[#This Row],[PURCHASECOST_VALUE]], "PURCHASECOST_", ""), "_VALUE", "")</f>
        <v>COACH</v>
      </c>
      <c r="AO767" s="41" t="b">
        <v>0</v>
      </c>
      <c r="AP767" s="45" t="b">
        <v>0</v>
      </c>
      <c r="AQ767" s="45" t="b">
        <v>0</v>
      </c>
      <c r="AR767" s="45">
        <v>0</v>
      </c>
      <c r="AS767" s="45" t="b">
        <v>0</v>
      </c>
      <c r="AT767" s="7" t="b">
        <v>0</v>
      </c>
      <c r="AU7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8" spans="1:47" x14ac:dyDescent="0.35">
      <c r="A768" s="2" t="s">
        <v>131</v>
      </c>
      <c r="B768">
        <v>1980</v>
      </c>
      <c r="D7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8" s="37" t="str">
        <f>INDEX(CONTROL[ENGLISH],MATCH(PROPERTIES[[#This Row],[VEHIDCODE]],CONTROL[VEHIDCODE],0))</f>
        <v>Superliner Coach</v>
      </c>
      <c r="G768" s="37" t="str">
        <f>_xlfn.IFNA(INDEX(COUNTRIES[COUNTRY_LABEL],MATCH(PROPERTIES[[#This Row],[COUNTRY]],COUNTRIES[COUNTRY_DESCRIPTION],0)),"")</f>
        <v/>
      </c>
      <c r="H7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INDEX(LOADINGSPEEDDEF[SPEED],MATCH("LOADINGSPEEDDEF_"&amp;PROPERTIES[[#This Row],[LOADINGSPEED]],LOADINGSPEEDDEF[TYPE],0))</f>
        <v>60</v>
      </c>
      <c r="O7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4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8" s="2" t="str">
        <f>SUBSTITUTE(SUBSTITUTE(PROPERTIES[[#This Row],[PURCHASECOST_VALUE]], "PURCHASECOST_", ""), "_VALUE", "")</f>
        <v>COACH</v>
      </c>
      <c r="AO768" s="41" t="b">
        <v>0</v>
      </c>
      <c r="AP768" s="45" t="b">
        <v>0</v>
      </c>
      <c r="AQ768" s="45" t="b">
        <v>0</v>
      </c>
      <c r="AR768" s="45">
        <v>0</v>
      </c>
      <c r="AS768" s="45" t="b">
        <v>0</v>
      </c>
      <c r="AT768" s="7" t="b">
        <v>0</v>
      </c>
      <c r="AU7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69" spans="1:47" x14ac:dyDescent="0.35">
      <c r="A769" s="2" t="s">
        <v>132</v>
      </c>
      <c r="B769">
        <v>1990</v>
      </c>
      <c r="D7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69" s="37" t="str">
        <f>INDEX(CONTROL[ENGLISH],MATCH(PROPERTIES[[#This Row],[VEHIDCODE]],CONTROL[VEHIDCODE],0))</f>
        <v>Superliner California</v>
      </c>
      <c r="G769" s="37" t="str">
        <f>_xlfn.IFNA(INDEX(COUNTRIES[COUNTRY_LABEL],MATCH(PROPERTIES[[#This Row],[COUNTRY]],COUNTRIES[COUNTRY_DESCRIPTION],0)),"")</f>
        <v/>
      </c>
      <c r="H7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INDEX(LOADINGSPEEDDEF[SPEED],MATCH("LOADINGSPEEDDEF_"&amp;PROPERTIES[[#This Row],[LOADINGSPEED]],LOADINGSPEEDDEF[TYPE],0))</f>
        <v>60</v>
      </c>
      <c r="O7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4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6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69" s="2" t="str">
        <f>SUBSTITUTE(SUBSTITUTE(PROPERTIES[[#This Row],[PURCHASECOST_VALUE]], "PURCHASECOST_", ""), "_VALUE", "")</f>
        <v>COACH</v>
      </c>
      <c r="AO769" s="41" t="b">
        <v>0</v>
      </c>
      <c r="AP769" s="45" t="b">
        <v>1</v>
      </c>
      <c r="AQ769" s="45" t="b">
        <v>0</v>
      </c>
      <c r="AR769" s="45">
        <v>0</v>
      </c>
      <c r="AS769" s="45" t="b">
        <v>0</v>
      </c>
      <c r="AT769" s="7" t="b">
        <v>0</v>
      </c>
      <c r="AU7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0" spans="1:47" x14ac:dyDescent="0.35">
      <c r="A770" s="2" t="s">
        <v>133</v>
      </c>
      <c r="B770">
        <v>1970</v>
      </c>
      <c r="D7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0" s="37" t="str">
        <f>INDEX(CONTROL[ENGLISH],MATCH(PROPERTIES[[#This Row],[VEHIDCODE]],CONTROL[VEHIDCODE],0))</f>
        <v>Amfleet Regional Coach</v>
      </c>
      <c r="G770" s="37" t="str">
        <f>_xlfn.IFNA(INDEX(COUNTRIES[COUNTRY_LABEL],MATCH(PROPERTIES[[#This Row],[COUNTRY]],COUNTRIES[COUNTRY_DESCRIPTION],0)),"")</f>
        <v/>
      </c>
      <c r="H7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INDEX(LOADINGSPEEDDEF[SPEED],MATCH("LOADINGSPEEDDEF_"&amp;PROPERTIES[[#This Row],[LOADINGSPEED]],LOADINGSPEEDDEF[TYPE],0))</f>
        <v>20</v>
      </c>
      <c r="O7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4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0" s="2" t="str">
        <f>SUBSTITUTE(SUBSTITUTE(PROPERTIES[[#This Row],[PURCHASECOST_VALUE]], "PURCHASECOST_", ""), "_VALUE", "")</f>
        <v>COACH</v>
      </c>
      <c r="AO770" s="41" t="b">
        <v>0</v>
      </c>
      <c r="AP770" s="45" t="b">
        <v>1</v>
      </c>
      <c r="AQ770" s="45" t="b">
        <v>0</v>
      </c>
      <c r="AR770" s="45">
        <v>0</v>
      </c>
      <c r="AS770" s="45" t="b">
        <v>0</v>
      </c>
      <c r="AT770" s="7" t="b">
        <v>0</v>
      </c>
      <c r="AU7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1" spans="1:47" x14ac:dyDescent="0.35">
      <c r="A771" s="2" t="s">
        <v>134</v>
      </c>
      <c r="B771">
        <v>1970</v>
      </c>
      <c r="D7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1" s="37" t="str">
        <f>INDEX(CONTROL[ENGLISH],MATCH(PROPERTIES[[#This Row],[VEHIDCODE]],CONTROL[VEHIDCODE],0))</f>
        <v>Amfleet Intercity Coach</v>
      </c>
      <c r="G771" s="37" t="str">
        <f>_xlfn.IFNA(INDEX(COUNTRIES[COUNTRY_LABEL],MATCH(PROPERTIES[[#This Row],[COUNTRY]],COUNTRIES[COUNTRY_DESCRIPTION],0)),"")</f>
        <v/>
      </c>
      <c r="H7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INDEX(LOADINGSPEEDDEF[SPEED],MATCH("LOADINGSPEEDDEF_"&amp;PROPERTIES[[#This Row],[LOADINGSPEED]],LOADINGSPEEDDEF[TYPE],0))</f>
        <v>20</v>
      </c>
      <c r="O7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4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1" s="2" t="str">
        <f>SUBSTITUTE(SUBSTITUTE(PROPERTIES[[#This Row],[PURCHASECOST_VALUE]], "PURCHASECOST_", ""), "_VALUE", "")</f>
        <v>COACH</v>
      </c>
      <c r="AO771" s="41" t="b">
        <v>0</v>
      </c>
      <c r="AP771" s="45" t="b">
        <v>0</v>
      </c>
      <c r="AQ771" s="45" t="b">
        <v>0</v>
      </c>
      <c r="AR771" s="45">
        <v>0</v>
      </c>
      <c r="AS771" s="45" t="b">
        <v>0</v>
      </c>
      <c r="AT771" s="7" t="b">
        <v>0</v>
      </c>
      <c r="AU7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2" spans="1:47" x14ac:dyDescent="0.35">
      <c r="A772" s="2" t="s">
        <v>135</v>
      </c>
      <c r="B772">
        <v>1970</v>
      </c>
      <c r="D7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2" s="37" t="str">
        <f>INDEX(CONTROL[ENGLISH],MATCH(PROPERTIES[[#This Row],[VEHIDCODE]],CONTROL[VEHIDCODE],0))</f>
        <v>Comet Commuter Coach</v>
      </c>
      <c r="G772" s="37" t="str">
        <f>_xlfn.IFNA(INDEX(COUNTRIES[COUNTRY_LABEL],MATCH(PROPERTIES[[#This Row],[COUNTRY]],COUNTRIES[COUNTRY_DESCRIPTION],0)),"")</f>
        <v/>
      </c>
      <c r="H7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INDEX(LOADINGSPEEDDEF[SPEED],MATCH("LOADINGSPEEDDEF_"&amp;PROPERTIES[[#This Row],[LOADINGSPEED]],LOADINGSPEEDDEF[TYPE],0))</f>
        <v>60</v>
      </c>
      <c r="O7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4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2" s="2" t="str">
        <f>SUBSTITUTE(SUBSTITUTE(PROPERTIES[[#This Row],[PURCHASECOST_VALUE]], "PURCHASECOST_", ""), "_VALUE", "")</f>
        <v>COACH</v>
      </c>
      <c r="AO772" s="41" t="b">
        <v>0</v>
      </c>
      <c r="AP772" s="45" t="b">
        <v>1</v>
      </c>
      <c r="AQ772" s="45" t="b">
        <v>0</v>
      </c>
      <c r="AR772" s="45">
        <v>0</v>
      </c>
      <c r="AS772" s="45" t="b">
        <v>0</v>
      </c>
      <c r="AT772" s="7" t="b">
        <v>0</v>
      </c>
      <c r="AU7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3" spans="1:47" x14ac:dyDescent="0.35">
      <c r="A773" s="2" t="s">
        <v>136</v>
      </c>
      <c r="B773">
        <v>1970</v>
      </c>
      <c r="D7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3" s="37" t="str">
        <f>INDEX(CONTROL[ENGLISH],MATCH(PROPERTIES[[#This Row],[VEHIDCODE]],CONTROL[VEHIDCODE],0))</f>
        <v>Horizon Regional Coach</v>
      </c>
      <c r="G773" s="37" t="str">
        <f>_xlfn.IFNA(INDEX(COUNTRIES[COUNTRY_LABEL],MATCH(PROPERTIES[[#This Row],[COUNTRY]],COUNTRIES[COUNTRY_DESCRIPTION],0)),"")</f>
        <v/>
      </c>
      <c r="H7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INDEX(LOADINGSPEEDDEF[SPEED],MATCH("LOADINGSPEEDDEF_"&amp;PROPERTIES[[#This Row],[LOADINGSPEED]],LOADINGSPEEDDEF[TYPE],0))</f>
        <v>20</v>
      </c>
      <c r="O7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4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3" s="2" t="str">
        <f>SUBSTITUTE(SUBSTITUTE(PROPERTIES[[#This Row],[PURCHASECOST_VALUE]], "PURCHASECOST_", ""), "_VALUE", "")</f>
        <v>COACH</v>
      </c>
      <c r="AO773" s="41" t="b">
        <v>0</v>
      </c>
      <c r="AP773" s="45" t="b">
        <v>0</v>
      </c>
      <c r="AQ773" s="45" t="b">
        <v>0</v>
      </c>
      <c r="AR773" s="45">
        <v>0</v>
      </c>
      <c r="AS773" s="45" t="b">
        <v>0</v>
      </c>
      <c r="AT773" s="7" t="b">
        <v>0</v>
      </c>
      <c r="AU7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4" spans="1:47" x14ac:dyDescent="0.35">
      <c r="A774" s="2" t="s">
        <v>137</v>
      </c>
      <c r="B774">
        <v>1970</v>
      </c>
      <c r="D7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4" s="37" t="str">
        <f>INDEX(CONTROL[ENGLISH],MATCH(PROPERTIES[[#This Row],[VEHIDCODE]],CONTROL[VEHIDCODE],0))</f>
        <v>Horizon Baggage Coach</v>
      </c>
      <c r="G774" s="37" t="str">
        <f>_xlfn.IFNA(INDEX(COUNTRIES[COUNTRY_LABEL],MATCH(PROPERTIES[[#This Row],[COUNTRY]],COUNTRIES[COUNTRY_DESCRIPTION],0)),"")</f>
        <v/>
      </c>
      <c r="H7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INDEX(LOADINGSPEEDDEF[SPEED],MATCH("LOADINGSPEEDDEF_"&amp;PROPERTIES[[#This Row],[LOADINGSPEED]],LOADINGSPEEDDEF[TYPE],0))</f>
        <v>15</v>
      </c>
      <c r="O77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4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4" s="2" t="str">
        <f>SUBSTITUTE(SUBSTITUTE(PROPERTIES[[#This Row],[PURCHASECOST_VALUE]], "PURCHASECOST_", ""), "_VALUE", "")</f>
        <v>COACH</v>
      </c>
      <c r="AO774" s="41" t="b">
        <v>0</v>
      </c>
      <c r="AP774" s="45" t="b">
        <v>0</v>
      </c>
      <c r="AQ774" s="45" t="b">
        <v>0</v>
      </c>
      <c r="AR774" s="45">
        <v>0</v>
      </c>
      <c r="AS774" s="45" t="b">
        <v>0</v>
      </c>
      <c r="AT774" s="7" t="b">
        <v>0</v>
      </c>
      <c r="AU7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5" spans="1:47" x14ac:dyDescent="0.35">
      <c r="A775" s="2" t="s">
        <v>138</v>
      </c>
      <c r="B775">
        <v>1970</v>
      </c>
      <c r="D7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5" s="37" t="str">
        <f>INDEX(CONTROL[ENGLISH],MATCH(PROPERTIES[[#This Row],[VEHIDCODE]],CONTROL[VEHIDCODE],0))</f>
        <v>Bombardier Bi-level</v>
      </c>
      <c r="G775" s="37" t="str">
        <f>_xlfn.IFNA(INDEX(COUNTRIES[COUNTRY_LABEL],MATCH(PROPERTIES[[#This Row],[COUNTRY]],COUNTRIES[COUNTRY_DESCRIPTION],0)),"")</f>
        <v/>
      </c>
      <c r="H7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INDEX(LOADINGSPEEDDEF[SPEED],MATCH("LOADINGSPEEDDEF_"&amp;PROPERTIES[[#This Row],[LOADINGSPEED]],LOADINGSPEEDDEF[TYPE],0))</f>
        <v>60</v>
      </c>
      <c r="O7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4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5" s="2" t="str">
        <f>SUBSTITUTE(SUBSTITUTE(PROPERTIES[[#This Row],[PURCHASECOST_VALUE]], "PURCHASECOST_", ""), "_VALUE", "")</f>
        <v>COACH</v>
      </c>
      <c r="AO775" s="41" t="b">
        <v>0</v>
      </c>
      <c r="AP775" s="45" t="b">
        <v>1</v>
      </c>
      <c r="AQ775" s="45" t="b">
        <v>0</v>
      </c>
      <c r="AR775" s="45">
        <v>0</v>
      </c>
      <c r="AS775" s="45" t="b">
        <v>0</v>
      </c>
      <c r="AT775" s="7" t="b">
        <v>0</v>
      </c>
      <c r="AU7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6" spans="1:47" x14ac:dyDescent="0.35">
      <c r="A776" s="2" t="s">
        <v>139</v>
      </c>
      <c r="B776">
        <v>2000</v>
      </c>
      <c r="D7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6" s="37" t="str">
        <f>INDEX(CONTROL[ENGLISH],MATCH(PROPERTIES[[#This Row],[VEHIDCODE]],CONTROL[VEHIDCODE],0))</f>
        <v>High Speed Coach</v>
      </c>
      <c r="G776" s="37" t="str">
        <f>_xlfn.IFNA(INDEX(COUNTRIES[COUNTRY_LABEL],MATCH(PROPERTIES[[#This Row],[COUNTRY]],COUNTRIES[COUNTRY_DESCRIPTION],0)),"")</f>
        <v/>
      </c>
      <c r="H7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INDEX(LOADINGSPEEDDEF[SPEED],MATCH("LOADINGSPEEDDEF_"&amp;PROPERTIES[[#This Row],[LOADINGSPEED]],LOADINGSPEEDDEF[TYPE],0))</f>
        <v>20</v>
      </c>
      <c r="O77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4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6" s="2" t="str">
        <f>SUBSTITUTE(SUBSTITUTE(PROPERTIES[[#This Row],[PURCHASECOST_VALUE]], "PURCHASECOST_", ""), "_VALUE", "")</f>
        <v>COACH</v>
      </c>
      <c r="AO776" s="41" t="b">
        <v>0</v>
      </c>
      <c r="AP776" s="45" t="b">
        <v>1</v>
      </c>
      <c r="AQ776" s="45" t="b">
        <v>0</v>
      </c>
      <c r="AR776" s="45">
        <v>0</v>
      </c>
      <c r="AS776" s="45" t="b">
        <v>0</v>
      </c>
      <c r="AT776" s="7" t="b">
        <v>0</v>
      </c>
      <c r="AU7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7" spans="1:47" x14ac:dyDescent="0.35">
      <c r="A777" s="2" t="s">
        <v>140</v>
      </c>
      <c r="B777">
        <v>2000</v>
      </c>
      <c r="D7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7" s="37" t="str">
        <f>INDEX(CONTROL[ENGLISH],MATCH(PROPERTIES[[#This Row],[VEHIDCODE]],CONTROL[VEHIDCODE],0))</f>
        <v>Modern Regional Coach</v>
      </c>
      <c r="G777" s="37" t="str">
        <f>_xlfn.IFNA(INDEX(COUNTRIES[COUNTRY_LABEL],MATCH(PROPERTIES[[#This Row],[COUNTRY]],COUNTRIES[COUNTRY_DESCRIPTION],0)),"")</f>
        <v/>
      </c>
      <c r="H7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INDEX(LOADINGSPEEDDEF[SPEED],MATCH("LOADINGSPEEDDEF_"&amp;PROPERTIES[[#This Row],[LOADINGSPEED]],LOADINGSPEEDDEF[TYPE],0))</f>
        <v>20</v>
      </c>
      <c r="O77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4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7" s="2" t="str">
        <f>SUBSTITUTE(SUBSTITUTE(PROPERTIES[[#This Row],[PURCHASECOST_VALUE]], "PURCHASECOST_", ""), "_VALUE", "")</f>
        <v>COACH</v>
      </c>
      <c r="AO777" s="41" t="b">
        <v>0</v>
      </c>
      <c r="AP777" s="45" t="b">
        <v>1</v>
      </c>
      <c r="AQ777" s="45" t="b">
        <v>0</v>
      </c>
      <c r="AR777" s="45">
        <v>0</v>
      </c>
      <c r="AS777" s="45" t="b">
        <v>0</v>
      </c>
      <c r="AT777" s="7" t="b">
        <v>0</v>
      </c>
      <c r="AU7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8" spans="1:47" x14ac:dyDescent="0.35">
      <c r="A778" s="2" t="s">
        <v>141</v>
      </c>
      <c r="B778">
        <v>2000</v>
      </c>
      <c r="D7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8" s="37" t="str">
        <f>INDEX(CONTROL[ENGLISH],MATCH(PROPERTIES[[#This Row],[VEHIDCODE]],CONTROL[VEHIDCODE],0))</f>
        <v>Modern Commuter Coach</v>
      </c>
      <c r="G778" s="37" t="str">
        <f>_xlfn.IFNA(INDEX(COUNTRIES[COUNTRY_LABEL],MATCH(PROPERTIES[[#This Row],[COUNTRY]],COUNTRIES[COUNTRY_DESCRIPTION],0)),"")</f>
        <v/>
      </c>
      <c r="H7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INDEX(LOADINGSPEEDDEF[SPEED],MATCH("LOADINGSPEEDDEF_"&amp;PROPERTIES[[#This Row],[LOADINGSPEED]],LOADINGSPEEDDEF[TYPE],0))</f>
        <v>20</v>
      </c>
      <c r="O7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4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8" s="2" t="str">
        <f>SUBSTITUTE(SUBSTITUTE(PROPERTIES[[#This Row],[PURCHASECOST_VALUE]], "PURCHASECOST_", ""), "_VALUE", "")</f>
        <v>COACH</v>
      </c>
      <c r="AO778" s="41" t="b">
        <v>0</v>
      </c>
      <c r="AP778" s="45" t="b">
        <v>1</v>
      </c>
      <c r="AQ778" s="45" t="b">
        <v>0</v>
      </c>
      <c r="AR778" s="45">
        <v>0</v>
      </c>
      <c r="AS778" s="45" t="b">
        <v>0</v>
      </c>
      <c r="AT778" s="7" t="b">
        <v>0</v>
      </c>
      <c r="AU7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79" spans="1:47" x14ac:dyDescent="0.35">
      <c r="A779" s="2" t="s">
        <v>142</v>
      </c>
      <c r="B779">
        <v>2000</v>
      </c>
      <c r="D7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79" s="37" t="str">
        <f>INDEX(CONTROL[ENGLISH],MATCH(PROPERTIES[[#This Row],[VEHIDCODE]],CONTROL[VEHIDCODE],0))</f>
        <v xml:space="preserve">Modern Double Decker Coach </v>
      </c>
      <c r="G779" s="37" t="str">
        <f>_xlfn.IFNA(INDEX(COUNTRIES[COUNTRY_LABEL],MATCH(PROPERTIES[[#This Row],[COUNTRY]],COUNTRIES[COUNTRY_DESCRIPTION],0)),"")</f>
        <v/>
      </c>
      <c r="H7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INDEX(LOADINGSPEEDDEF[SPEED],MATCH("LOADINGSPEEDDEF_"&amp;PROPERTIES[[#This Row],[LOADINGSPEED]],LOADINGSPEEDDEF[TYPE],0))</f>
        <v>60</v>
      </c>
      <c r="O77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4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7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79" s="2" t="str">
        <f>SUBSTITUTE(SUBSTITUTE(PROPERTIES[[#This Row],[PURCHASECOST_VALUE]], "PURCHASECOST_", ""), "_VALUE", "")</f>
        <v>COACH</v>
      </c>
      <c r="AO779" s="41" t="b">
        <v>0</v>
      </c>
      <c r="AP779" s="45" t="b">
        <v>1</v>
      </c>
      <c r="AQ779" s="45" t="b">
        <v>0</v>
      </c>
      <c r="AR779" s="45">
        <v>0</v>
      </c>
      <c r="AS779" s="45" t="b">
        <v>0</v>
      </c>
      <c r="AT779" s="7" t="b">
        <v>0</v>
      </c>
      <c r="AU7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0" spans="1:47" x14ac:dyDescent="0.35">
      <c r="A780" s="2" t="s">
        <v>143</v>
      </c>
      <c r="B780">
        <v>2000</v>
      </c>
      <c r="D7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0" s="37" t="str">
        <f>INDEX(CONTROL[ENGLISH],MATCH(PROPERTIES[[#This Row],[VEHIDCODE]],CONTROL[VEHIDCODE],0))</f>
        <v>High Speed Double Decker</v>
      </c>
      <c r="G780" s="37" t="str">
        <f>_xlfn.IFNA(INDEX(COUNTRIES[COUNTRY_LABEL],MATCH(PROPERTIES[[#This Row],[COUNTRY]],COUNTRIES[COUNTRY_DESCRIPTION],0)),"")</f>
        <v/>
      </c>
      <c r="H7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INDEX(LOADINGSPEEDDEF[SPEED],MATCH("LOADINGSPEEDDEF_"&amp;PROPERTIES[[#This Row],[LOADINGSPEED]],LOADINGSPEEDDEF[TYPE],0))</f>
        <v>20</v>
      </c>
      <c r="O78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4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0" s="2" t="str">
        <f>SUBSTITUTE(SUBSTITUTE(PROPERTIES[[#This Row],[PURCHASECOST_VALUE]], "PURCHASECOST_", ""), "_VALUE", "")</f>
        <v>COACH</v>
      </c>
      <c r="AO780" s="41" t="b">
        <v>0</v>
      </c>
      <c r="AP780" s="45" t="b">
        <v>1</v>
      </c>
      <c r="AQ780" s="45" t="b">
        <v>0</v>
      </c>
      <c r="AR780" s="45">
        <v>0</v>
      </c>
      <c r="AS780" s="45" t="b">
        <v>0</v>
      </c>
      <c r="AT780" s="7" t="b">
        <v>0</v>
      </c>
      <c r="AU7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1" spans="1:47" x14ac:dyDescent="0.35">
      <c r="A781" s="2" t="s">
        <v>144</v>
      </c>
      <c r="B781">
        <v>2000</v>
      </c>
      <c r="D7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1" s="37" t="str">
        <f>INDEX(CONTROL[ENGLISH],MATCH(PROPERTIES[[#This Row],[VEHIDCODE]],CONTROL[VEHIDCODE],0))</f>
        <v>High Speed Mail Coach</v>
      </c>
      <c r="G781" s="37" t="str">
        <f>_xlfn.IFNA(INDEX(COUNTRIES[COUNTRY_LABEL],MATCH(PROPERTIES[[#This Row],[COUNTRY]],COUNTRIES[COUNTRY_DESCRIPTION],0)),"")</f>
        <v/>
      </c>
      <c r="H7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INDEX(LOADINGSPEEDDEF[SPEED],MATCH("LOADINGSPEEDDEF_"&amp;PROPERTIES[[#This Row],[LOADINGSPEED]],LOADINGSPEEDDEF[TYPE],0))</f>
        <v>15</v>
      </c>
      <c r="O78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4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1" s="2" t="str">
        <f>SUBSTITUTE(SUBSTITUTE(PROPERTIES[[#This Row],[PURCHASECOST_VALUE]], "PURCHASECOST_", ""), "_VALUE", "")</f>
        <v>COACH</v>
      </c>
      <c r="AO781" s="41" t="b">
        <v>0</v>
      </c>
      <c r="AP781" s="45" t="b">
        <v>1</v>
      </c>
      <c r="AQ781" s="45" t="b">
        <v>0</v>
      </c>
      <c r="AR781" s="45">
        <v>0</v>
      </c>
      <c r="AS781" s="45" t="b">
        <v>0</v>
      </c>
      <c r="AT781" s="7" t="b">
        <v>0</v>
      </c>
      <c r="AU7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2" spans="1:47" x14ac:dyDescent="0.35">
      <c r="A782" s="2" t="s">
        <v>145</v>
      </c>
      <c r="B782">
        <v>1980</v>
      </c>
      <c r="D7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2" s="37" t="str">
        <f>INDEX(CONTROL[ENGLISH],MATCH(PROPERTIES[[#This Row],[VEHIDCODE]],CONTROL[VEHIDCODE],0))</f>
        <v>Talgo Pendular</v>
      </c>
      <c r="G782" s="37" t="str">
        <f>_xlfn.IFNA(INDEX(COUNTRIES[COUNTRY_LABEL],MATCH(PROPERTIES[[#This Row],[COUNTRY]],COUNTRIES[COUNTRY_DESCRIPTION],0)),"")</f>
        <v/>
      </c>
      <c r="H7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INDEX(LOADINGSPEEDDEF[SPEED],MATCH("LOADINGSPEEDDEF_"&amp;PROPERTIES[[#This Row],[LOADINGSPEED]],LOADINGSPEEDDEF[TYPE],0))</f>
        <v>20</v>
      </c>
      <c r="O7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4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2" s="2" t="str">
        <f>SUBSTITUTE(SUBSTITUTE(PROPERTIES[[#This Row],[PURCHASECOST_VALUE]], "PURCHASECOST_", ""), "_VALUE", "")</f>
        <v>COACH</v>
      </c>
      <c r="AO782" s="41" t="b">
        <v>0</v>
      </c>
      <c r="AP782" s="45" t="b">
        <v>0</v>
      </c>
      <c r="AQ782" s="45" t="b">
        <v>1</v>
      </c>
      <c r="AR782" s="45">
        <v>0</v>
      </c>
      <c r="AS782" s="45" t="b">
        <v>0</v>
      </c>
      <c r="AT782" s="7" t="b">
        <v>0</v>
      </c>
      <c r="AU7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83" spans="1:47" x14ac:dyDescent="0.35">
      <c r="A783" s="2" t="s">
        <v>146</v>
      </c>
      <c r="B783">
        <v>1980</v>
      </c>
      <c r="D7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3" s="37" t="str">
        <f>INDEX(CONTROL[ENGLISH],MATCH(PROPERTIES[[#This Row],[VEHIDCODE]],CONTROL[VEHIDCODE],0))</f>
        <v>Talgo Pendular Mail</v>
      </c>
      <c r="G783" s="37" t="str">
        <f>_xlfn.IFNA(INDEX(COUNTRIES[COUNTRY_LABEL],MATCH(PROPERTIES[[#This Row],[COUNTRY]],COUNTRIES[COUNTRY_DESCRIPTION],0)),"")</f>
        <v/>
      </c>
      <c r="H7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INDEX(LOADINGSPEEDDEF[SPEED],MATCH("LOADINGSPEEDDEF_"&amp;PROPERTIES[[#This Row],[LOADINGSPEED]],LOADINGSPEEDDEF[TYPE],0))</f>
        <v>15</v>
      </c>
      <c r="O7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4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3" s="2" t="str">
        <f>SUBSTITUTE(SUBSTITUTE(PROPERTIES[[#This Row],[PURCHASECOST_VALUE]], "PURCHASECOST_", ""), "_VALUE", "")</f>
        <v>COACH</v>
      </c>
      <c r="AO783" s="41" t="b">
        <v>0</v>
      </c>
      <c r="AP783" s="45" t="b">
        <v>0</v>
      </c>
      <c r="AQ783" s="45" t="b">
        <v>1</v>
      </c>
      <c r="AR783" s="45">
        <v>0</v>
      </c>
      <c r="AS783" s="45" t="b">
        <v>0</v>
      </c>
      <c r="AT783" s="7" t="b">
        <v>0</v>
      </c>
      <c r="AU7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784" spans="1:47" x14ac:dyDescent="0.35">
      <c r="A784" s="2" t="s">
        <v>147</v>
      </c>
      <c r="B784">
        <v>2030</v>
      </c>
      <c r="D7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4" s="37" t="str">
        <f>INDEX(CONTROL[ENGLISH],MATCH(PROPERTIES[[#This Row],[VEHIDCODE]],CONTROL[VEHIDCODE],0))</f>
        <v>Grand Voyager Coach</v>
      </c>
      <c r="G784" s="37" t="str">
        <f>_xlfn.IFNA(INDEX(COUNTRIES[COUNTRY_LABEL],MATCH(PROPERTIES[[#This Row],[COUNTRY]],COUNTRIES[COUNTRY_DESCRIPTION],0)),"")</f>
        <v/>
      </c>
      <c r="H7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INDEX(LOADINGSPEEDDEF[SPEED],MATCH("LOADINGSPEEDDEF_"&amp;PROPERTIES[[#This Row],[LOADINGSPEED]],LOADINGSPEEDDEF[TYPE],0))</f>
        <v>20</v>
      </c>
      <c r="O78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4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4" s="2" t="str">
        <f>SUBSTITUTE(SUBSTITUTE(PROPERTIES[[#This Row],[PURCHASECOST_VALUE]], "PURCHASECOST_", ""), "_VALUE", "")</f>
        <v>COACH</v>
      </c>
      <c r="AO784" s="41" t="b">
        <v>0</v>
      </c>
      <c r="AP784" s="45" t="b">
        <v>0</v>
      </c>
      <c r="AQ784" s="45" t="b">
        <v>0</v>
      </c>
      <c r="AR784" s="45">
        <v>0</v>
      </c>
      <c r="AS784" s="45" t="b">
        <v>0</v>
      </c>
      <c r="AT784" s="7" t="b">
        <v>0</v>
      </c>
      <c r="AU7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5" spans="1:47" x14ac:dyDescent="0.35">
      <c r="A785" s="2" t="s">
        <v>148</v>
      </c>
      <c r="B785">
        <v>2030</v>
      </c>
      <c r="D7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5" s="37" t="str">
        <f>INDEX(CONTROL[ENGLISH],MATCH(PROPERTIES[[#This Row],[VEHIDCODE]],CONTROL[VEHIDCODE],0))</f>
        <v>Grand Regio Coach</v>
      </c>
      <c r="G785" s="37" t="str">
        <f>_xlfn.IFNA(INDEX(COUNTRIES[COUNTRY_LABEL],MATCH(PROPERTIES[[#This Row],[COUNTRY]],COUNTRIES[COUNTRY_DESCRIPTION],0)),"")</f>
        <v/>
      </c>
      <c r="H7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INDEX(LOADINGSPEEDDEF[SPEED],MATCH("LOADINGSPEEDDEF_"&amp;PROPERTIES[[#This Row],[LOADINGSPEED]],LOADINGSPEEDDEF[TYPE],0))</f>
        <v>20</v>
      </c>
      <c r="O7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4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5" s="2" t="str">
        <f>SUBSTITUTE(SUBSTITUTE(PROPERTIES[[#This Row],[PURCHASECOST_VALUE]], "PURCHASECOST_", ""), "_VALUE", "")</f>
        <v>COACH</v>
      </c>
      <c r="AO785" s="41" t="b">
        <v>0</v>
      </c>
      <c r="AP785" s="45" t="b">
        <v>0</v>
      </c>
      <c r="AQ785" s="45" t="b">
        <v>0</v>
      </c>
      <c r="AR785" s="45">
        <v>0</v>
      </c>
      <c r="AS785" s="45" t="b">
        <v>0</v>
      </c>
      <c r="AT785" s="7" t="b">
        <v>0</v>
      </c>
      <c r="AU7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6" spans="1:47" x14ac:dyDescent="0.35">
      <c r="A786" s="2" t="s">
        <v>149</v>
      </c>
      <c r="B786">
        <v>2030</v>
      </c>
      <c r="D7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6" s="37" t="str">
        <f>INDEX(CONTROL[ENGLISH],MATCH(PROPERTIES[[#This Row],[VEHIDCODE]],CONTROL[VEHIDCODE],0))</f>
        <v>Metropolis Coach</v>
      </c>
      <c r="G786" s="37" t="str">
        <f>_xlfn.IFNA(INDEX(COUNTRIES[COUNTRY_LABEL],MATCH(PROPERTIES[[#This Row],[COUNTRY]],COUNTRIES[COUNTRY_DESCRIPTION],0)),"")</f>
        <v/>
      </c>
      <c r="H7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INDEX(LOADINGSPEEDDEF[SPEED],MATCH("LOADINGSPEEDDEF_"&amp;PROPERTIES[[#This Row],[LOADINGSPEED]],LOADINGSPEEDDEF[TYPE],0))</f>
        <v>60</v>
      </c>
      <c r="O78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4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6" s="2" t="str">
        <f>SUBSTITUTE(SUBSTITUTE(PROPERTIES[[#This Row],[PURCHASECOST_VALUE]], "PURCHASECOST_", ""), "_VALUE", "")</f>
        <v>COACH</v>
      </c>
      <c r="AO786" s="41" t="b">
        <v>0</v>
      </c>
      <c r="AP786" s="45" t="b">
        <v>0</v>
      </c>
      <c r="AQ786" s="45" t="b">
        <v>0</v>
      </c>
      <c r="AR786" s="45">
        <v>0</v>
      </c>
      <c r="AS786" s="45" t="b">
        <v>0</v>
      </c>
      <c r="AT786" s="7" t="b">
        <v>0</v>
      </c>
      <c r="AU7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7" spans="1:47" x14ac:dyDescent="0.35">
      <c r="A787" s="2" t="s">
        <v>150</v>
      </c>
      <c r="B787">
        <v>2030</v>
      </c>
      <c r="D7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7" s="37" t="str">
        <f>INDEX(CONTROL[ENGLISH],MATCH(PROPERTIES[[#This Row],[VEHIDCODE]],CONTROL[VEHIDCODE],0))</f>
        <v>Speedmail Coach</v>
      </c>
      <c r="G787" s="37" t="str">
        <f>_xlfn.IFNA(INDEX(COUNTRIES[COUNTRY_LABEL],MATCH(PROPERTIES[[#This Row],[COUNTRY]],COUNTRIES[COUNTRY_DESCRIPTION],0)),"")</f>
        <v/>
      </c>
      <c r="H7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INDEX(LOADINGSPEEDDEF[SPEED],MATCH("LOADINGSPEEDDEF_"&amp;PROPERTIES[[#This Row],[LOADINGSPEED]],LOADINGSPEEDDEF[TYPE],0))</f>
        <v>15</v>
      </c>
      <c r="O78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4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7" s="2" t="str">
        <f>SUBSTITUTE(SUBSTITUTE(PROPERTIES[[#This Row],[PURCHASECOST_VALUE]], "PURCHASECOST_", ""), "_VALUE", "")</f>
        <v>COACH</v>
      </c>
      <c r="AO787" s="41" t="b">
        <v>0</v>
      </c>
      <c r="AP787" s="45" t="b">
        <v>0</v>
      </c>
      <c r="AQ787" s="45" t="b">
        <v>0</v>
      </c>
      <c r="AR787" s="45">
        <v>0</v>
      </c>
      <c r="AS787" s="45" t="b">
        <v>0</v>
      </c>
      <c r="AT787" s="7" t="b">
        <v>0</v>
      </c>
      <c r="AU7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8" spans="1:47" x14ac:dyDescent="0.35">
      <c r="A788" s="2" t="s">
        <v>151</v>
      </c>
      <c r="B788">
        <v>2030</v>
      </c>
      <c r="D7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8" s="37" t="str">
        <f>INDEX(CONTROL[ENGLISH],MATCH(PROPERTIES[[#This Row],[VEHIDCODE]],CONTROL[VEHIDCODE],0))</f>
        <v>Super Regio Coach</v>
      </c>
      <c r="G788" s="37" t="str">
        <f>_xlfn.IFNA(INDEX(COUNTRIES[COUNTRY_LABEL],MATCH(PROPERTIES[[#This Row],[COUNTRY]],COUNTRIES[COUNTRY_DESCRIPTION],0)),"")</f>
        <v/>
      </c>
      <c r="H7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INDEX(LOADINGSPEEDDEF[SPEED],MATCH("LOADINGSPEEDDEF_"&amp;PROPERTIES[[#This Row],[LOADINGSPEED]],LOADINGSPEEDDEF[TYPE],0))</f>
        <v>20</v>
      </c>
      <c r="O7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4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8" s="2" t="str">
        <f>SUBSTITUTE(SUBSTITUTE(PROPERTIES[[#This Row],[PURCHASECOST_VALUE]], "PURCHASECOST_", ""), "_VALUE", "")</f>
        <v>COACH</v>
      </c>
      <c r="AO788" s="41" t="b">
        <v>0</v>
      </c>
      <c r="AP788" s="45" t="b">
        <v>0</v>
      </c>
      <c r="AQ788" s="45" t="b">
        <v>0</v>
      </c>
      <c r="AR788" s="45">
        <v>0</v>
      </c>
      <c r="AS788" s="45" t="b">
        <v>0</v>
      </c>
      <c r="AT788" s="7" t="b">
        <v>0</v>
      </c>
      <c r="AU7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89" spans="1:47" x14ac:dyDescent="0.35">
      <c r="A789" s="2" t="s">
        <v>152</v>
      </c>
      <c r="B789">
        <v>2030</v>
      </c>
      <c r="D7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89" s="37" t="str">
        <f>INDEX(CONTROL[ENGLISH],MATCH(PROPERTIES[[#This Row],[VEHIDCODE]],CONTROL[VEHIDCODE],0))</f>
        <v>Super Voyager Coach</v>
      </c>
      <c r="G789" s="37" t="str">
        <f>_xlfn.IFNA(INDEX(COUNTRIES[COUNTRY_LABEL],MATCH(PROPERTIES[[#This Row],[COUNTRY]],COUNTRIES[COUNTRY_DESCRIPTION],0)),"")</f>
        <v/>
      </c>
      <c r="H7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INDEX(LOADINGSPEEDDEF[SPEED],MATCH("LOADINGSPEEDDEF_"&amp;PROPERTIES[[#This Row],[LOADINGSPEED]],LOADINGSPEEDDEF[TYPE],0))</f>
        <v>20</v>
      </c>
      <c r="O78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4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78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789" s="2" t="str">
        <f>SUBSTITUTE(SUBSTITUTE(PROPERTIES[[#This Row],[PURCHASECOST_VALUE]], "PURCHASECOST_", ""), "_VALUE", "")</f>
        <v>COACH</v>
      </c>
      <c r="AO789" s="41" t="b">
        <v>0</v>
      </c>
      <c r="AP789" s="45" t="b">
        <v>0</v>
      </c>
      <c r="AQ789" s="45" t="b">
        <v>1</v>
      </c>
      <c r="AR789" s="45">
        <v>0</v>
      </c>
      <c r="AS789" s="45" t="b">
        <v>0</v>
      </c>
      <c r="AT789" s="7" t="b">
        <v>0</v>
      </c>
      <c r="AU7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790" spans="1:47" x14ac:dyDescent="0.35">
      <c r="A790" s="2" t="s">
        <v>3258</v>
      </c>
      <c r="B790">
        <v>1978</v>
      </c>
      <c r="D7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0" s="37" t="str">
        <f>INDEX(CONTROL[ENGLISH],MATCH(PROPERTIES[[#This Row],[VEHIDCODE]],CONTROL[VEHIDCODE],0))</f>
        <v>Alsthom AD30B</v>
      </c>
      <c r="F790" t="s">
        <v>1029</v>
      </c>
      <c r="G790" s="37" t="str">
        <f>_xlfn.IFNA(INDEX(COUNTRIES[COUNTRY_LABEL],MATCH(PROPERTIES[[#This Row],[COUNTRY]],COUNTRIES[COUNTRY_DESCRIPTION],0)),"")</f>
        <v>GA</v>
      </c>
      <c r="H7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INDEX(LOADINGSPEEDDEF[SPEED],MATCH("LOADINGSPEEDDEF_"&amp;PROPERTIES[[#This Row],[LOADINGSPEED]],LOADINGSPEEDDEF[TYPE],0))</f>
        <v>20</v>
      </c>
      <c r="O7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4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1" t="b">
        <v>0</v>
      </c>
      <c r="AP790" s="45" t="b">
        <v>0</v>
      </c>
      <c r="AQ790" s="45" t="b">
        <v>0</v>
      </c>
      <c r="AR790" s="45">
        <v>0</v>
      </c>
      <c r="AS790" s="45" t="b">
        <v>0</v>
      </c>
      <c r="AT790" s="7" t="b">
        <v>0</v>
      </c>
      <c r="AU7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791" spans="1:47" x14ac:dyDescent="0.35">
      <c r="A791" s="2" t="s">
        <v>3259</v>
      </c>
      <c r="B791">
        <v>1917</v>
      </c>
      <c r="C791">
        <v>1955</v>
      </c>
      <c r="D7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1" s="37" t="str">
        <f>INDEX(CONTROL[ENGLISH],MATCH(PROPERTIES[[#This Row],[VEHIDCODE]],CONTROL[VEHIDCODE],0))</f>
        <v>Porter 2-8-2 Class 200 'Katanga Mikado'</v>
      </c>
      <c r="F791" t="s">
        <v>567</v>
      </c>
      <c r="G791" s="37" t="str">
        <f>_xlfn.IFNA(INDEX(COUNTRIES[COUNTRY_LABEL],MATCH(PROPERTIES[[#This Row],[COUNTRY]],COUNTRIES[COUNTRY_DESCRIPTION],0)),"")</f>
        <v>CD</v>
      </c>
      <c r="H7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INDEX(LOADINGSPEEDDEF[SPEED],MATCH("LOADINGSPEEDDEF_"&amp;PROPERTIES[[#This Row],[LOADINGSPEED]],LOADINGSPEEDDEF[TYPE],0))</f>
        <v>20</v>
      </c>
      <c r="O7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4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1" t="b">
        <v>0</v>
      </c>
      <c r="AP791" s="45" t="b">
        <v>0</v>
      </c>
      <c r="AQ791" s="45" t="b">
        <v>0</v>
      </c>
      <c r="AR791" s="45">
        <v>0</v>
      </c>
      <c r="AS791" s="45" t="b">
        <v>0</v>
      </c>
      <c r="AT791" s="7" t="b">
        <v>0</v>
      </c>
      <c r="AU7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2" spans="1:47" x14ac:dyDescent="0.35">
      <c r="A792" s="2" t="s">
        <v>3260</v>
      </c>
      <c r="B792">
        <v>2003</v>
      </c>
      <c r="C792">
        <v>2030</v>
      </c>
      <c r="D7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792" s="37" t="str">
        <f>INDEX(CONTROL[ENGLISH],MATCH(PROPERTIES[[#This Row],[VEHIDCODE]],CONTROL[VEHIDCODE],0))</f>
        <v>Kawasaki/Nippon Sharyo/Toshiba M250</v>
      </c>
      <c r="F792" t="s">
        <v>640</v>
      </c>
      <c r="G792" s="37" t="str">
        <f>_xlfn.IFNA(INDEX(COUNTRIES[COUNTRY_LABEL],MATCH(PROPERTIES[[#This Row],[COUNTRY]],COUNTRIES[COUNTRY_DESCRIPTION],0)),"")</f>
        <v>JP</v>
      </c>
      <c r="H7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INDEX(LOADINGSPEEDDEF[SPEED],MATCH("LOADINGSPEEDDEF_"&amp;PROPERTIES[[#This Row],[LOADINGSPEED]],LOADINGSPEEDDEF[TYPE],0))</f>
        <v>20</v>
      </c>
      <c r="O7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4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79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792" s="2" t="str">
        <f>SUBSTITUTE(SUBSTITUTE(PROPERTIES[[#This Row],[PURCHASECOST_VALUE]], "PURCHASECOST_", ""), "_VALUE", "")</f>
        <v>EMU</v>
      </c>
      <c r="AO792" s="41" t="b">
        <v>0</v>
      </c>
      <c r="AP792" s="45" t="b">
        <v>0</v>
      </c>
      <c r="AQ792" s="45" t="b">
        <v>0</v>
      </c>
      <c r="AR792" s="45">
        <v>0</v>
      </c>
      <c r="AS792" s="45" t="b">
        <v>0</v>
      </c>
      <c r="AT792" s="7" t="b">
        <v>0</v>
      </c>
      <c r="AU7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TPL_42B</v>
      </c>
    </row>
    <row r="793" spans="1:47" x14ac:dyDescent="0.35">
      <c r="A793" s="2" t="s">
        <v>3261</v>
      </c>
      <c r="B793">
        <v>1880</v>
      </c>
      <c r="C793">
        <v>1900</v>
      </c>
      <c r="D7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3" s="37" t="str">
        <f>INDEX(CONTROL[ENGLISH],MATCH(PROPERTIES[[#This Row],[VEHIDCODE]],CONTROL[VEHIDCODE],0))</f>
        <v>Esslingen/MAN/Hohenzollern 'Thomas'</v>
      </c>
      <c r="F793" t="s">
        <v>584</v>
      </c>
      <c r="G793" s="37" t="str">
        <f>_xlfn.IFNA(INDEX(COUNTRIES[COUNTRY_LABEL],MATCH(PROPERTIES[[#This Row],[COUNTRY]],COUNTRIES[COUNTRY_DESCRIPTION],0)),"")</f>
        <v>DE</v>
      </c>
      <c r="H7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INDEX(LOADINGSPEEDDEF[SPEED],MATCH("LOADINGSPEEDDEF_"&amp;PROPERTIES[[#This Row],[LOADINGSPEED]],LOADINGSPEEDDEF[TYPE],0))</f>
        <v>60</v>
      </c>
      <c r="O7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4">
        <v>0</v>
      </c>
      <c r="AF793" s="6">
        <v>0</v>
      </c>
      <c r="AG793" t="s">
        <v>1942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93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1" t="b">
        <v>0</v>
      </c>
      <c r="AP793" s="45" t="b">
        <v>0</v>
      </c>
      <c r="AQ793" s="45" t="b">
        <v>0</v>
      </c>
      <c r="AR793" s="45">
        <v>0</v>
      </c>
      <c r="AS793" s="45" t="b">
        <v>0</v>
      </c>
      <c r="AT793" s="7" t="b">
        <v>0</v>
      </c>
      <c r="AU7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794" spans="1:47" x14ac:dyDescent="0.35">
      <c r="A794" s="2" t="s">
        <v>3262</v>
      </c>
      <c r="B794">
        <v>1905</v>
      </c>
      <c r="C794">
        <v>1908</v>
      </c>
      <c r="D7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4" s="37" t="str">
        <f>INDEX(CONTROL[ENGLISH],MATCH(PROPERTIES[[#This Row],[VEHIDCODE]],CONTROL[VEHIDCODE],0))</f>
        <v>Komarek NOLB 30-33</v>
      </c>
      <c r="F794" t="s">
        <v>540</v>
      </c>
      <c r="G794" s="37" t="str">
        <f>_xlfn.IFNA(INDEX(COUNTRIES[COUNTRY_LABEL],MATCH(PROPERTIES[[#This Row],[COUNTRY]],COUNTRIES[COUNTRY_DESCRIPTION],0)),"")</f>
        <v>AT</v>
      </c>
      <c r="H7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INDEX(LOADINGSPEEDDEF[SPEED],MATCH("LOADINGSPEEDDEF_"&amp;PROPERTIES[[#This Row],[LOADINGSPEED]],LOADINGSPEEDDEF[TYPE],0))</f>
        <v>60</v>
      </c>
      <c r="O7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4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"PURCHASECOST_"&amp;INDEX(VEHICLE_ID_RANGES[COST_VALUE_TYPE],MATCH(INDEX(CONTROL[VEHID_ID_CATEGORY],MATCH(PROPERTIES[[#This Row],[VEHIDCODE]],CONTROL[VEHIDCODE],0)),VEHICLE_ID_RANGES[ID Type],0))&amp;"_VALUE"</f>
        <v>PURCHASECOST_STEAMRAILBUS_VALUE</v>
      </c>
      <c r="AM794" t="str">
        <f>"RUNNINGCOST_"&amp;INDEX(VEHICLE_ID_RANGES[COST_VALUE_TYPE],MATCH(INDEX(CONTROL[VEHID_ID_CATEGORY],MATCH(PROPERTIES[[#This Row],[VEHIDCODE]],CONTROL[VEHIDCODE],0)),VEHICLE_ID_RANGES[ID Type],0))&amp;"_VALUE"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1" t="b">
        <v>0</v>
      </c>
      <c r="AP794" s="45" t="b">
        <v>0</v>
      </c>
      <c r="AQ794" s="45" t="b">
        <v>0</v>
      </c>
      <c r="AR794" s="45">
        <v>0</v>
      </c>
      <c r="AS794" s="45" t="b">
        <v>0</v>
      </c>
      <c r="AT794" s="7" t="b">
        <v>0</v>
      </c>
      <c r="AU7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TPL_01B</v>
      </c>
    </row>
    <row r="795" spans="1:47" x14ac:dyDescent="0.35">
      <c r="A795" t="s">
        <v>3263</v>
      </c>
      <c r="B795">
        <v>1923</v>
      </c>
      <c r="D7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5" s="37" t="str">
        <f>INDEX(CONTROL[ENGLISH],MATCH(PROPERTIES[[#This Row],[VEHIDCODE]],CONTROL[VEHIDCODE],0))</f>
        <v>Henschel 4-4-2 19906</v>
      </c>
      <c r="F795" t="s">
        <v>685</v>
      </c>
      <c r="G795" s="37" t="str">
        <f>_xlfn.IFNA(INDEX(COUNTRIES[COUNTRY_LABEL],MATCH(PROPERTIES[[#This Row],[COUNTRY]],COUNTRIES[COUNTRY_DESCRIPTION],0)),"")</f>
        <v>MZ</v>
      </c>
      <c r="H7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INDEX(LOADINGSPEEDDEF[SPEED],MATCH("LOADINGSPEEDDEF_"&amp;PROPERTIES[[#This Row],[LOADINGSPEED]],LOADINGSPEEDDEF[TYPE],0))</f>
        <v>20</v>
      </c>
      <c r="O7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4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1" t="b">
        <v>0</v>
      </c>
      <c r="AP795" s="45" t="b">
        <v>0</v>
      </c>
      <c r="AQ795" s="45" t="b">
        <v>0</v>
      </c>
      <c r="AR795" s="45">
        <v>0</v>
      </c>
      <c r="AS795" s="45" t="b">
        <v>0</v>
      </c>
      <c r="AT795" s="7" t="b">
        <v>0</v>
      </c>
      <c r="AU7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6" spans="1:47" x14ac:dyDescent="0.35">
      <c r="A796" t="s">
        <v>3438</v>
      </c>
      <c r="B796">
        <v>1930</v>
      </c>
      <c r="D7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6" s="37" t="str">
        <f>INDEX(CONTROL[ENGLISH],MATCH(PROPERTIES[[#This Row],[VEHIDCODE]],CONTROL[VEHIDCODE],0))</f>
        <v>Haine-Saint-Pierre 2-6-0+0-6-2T 'Golwe'</v>
      </c>
      <c r="F796" t="s">
        <v>571</v>
      </c>
      <c r="G796" s="37" t="str">
        <f>_xlfn.IFNA(INDEX(COUNTRIES[COUNTRY_LABEL],MATCH(PROPERTIES[[#This Row],[COUNTRY]],COUNTRIES[COUNTRY_DESCRIPTION],0)),"")</f>
        <v>CI</v>
      </c>
      <c r="H7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INDEX(LOADINGSPEEDDEF[SPEED],MATCH("LOADINGSPEEDDEF_"&amp;PROPERTIES[[#This Row],[LOADINGSPEED]],LOADINGSPEEDDEF[TYPE],0))</f>
        <v>20</v>
      </c>
      <c r="O7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4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79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1" t="b">
        <v>0</v>
      </c>
      <c r="AP796" s="45" t="b">
        <v>0</v>
      </c>
      <c r="AQ796" s="45" t="b">
        <v>0</v>
      </c>
      <c r="AR796" s="45">
        <v>0</v>
      </c>
      <c r="AS796" s="45" t="b">
        <v>0</v>
      </c>
      <c r="AT796" s="7" t="b">
        <v>0</v>
      </c>
      <c r="AU7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797" spans="1:47" x14ac:dyDescent="0.35">
      <c r="A797" t="s">
        <v>3264</v>
      </c>
      <c r="B797">
        <v>1959</v>
      </c>
      <c r="D7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7" s="37" t="str">
        <f>INDEX(CONTROL[ENGLISH],MATCH(PROPERTIES[[#This Row],[VEHIDCODE]],CONTROL[VEHIDCODE],0))</f>
        <v>Henschel EMD TT12</v>
      </c>
      <c r="F797" t="s">
        <v>608</v>
      </c>
      <c r="G797" s="37" t="str">
        <f>_xlfn.IFNA(INDEX(COUNTRIES[COUNTRY_LABEL],MATCH(PROPERTIES[[#This Row],[COUNTRY]],COUNTRIES[COUNTRY_DESCRIPTION],0)),"")</f>
        <v>GH</v>
      </c>
      <c r="H7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INDEX(LOADINGSPEEDDEF[SPEED],MATCH("LOADINGSPEEDDEF_"&amp;PROPERTIES[[#This Row],[LOADINGSPEED]],LOADINGSPEEDDEF[TYPE],0))</f>
        <v>20</v>
      </c>
      <c r="O7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4">
        <v>0</v>
      </c>
      <c r="AF797" s="27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6" t="s">
        <v>244</v>
      </c>
      <c r="AL7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1" t="b">
        <v>0</v>
      </c>
      <c r="AP797" s="45" t="b">
        <v>0</v>
      </c>
      <c r="AQ797" s="45" t="b">
        <v>0</v>
      </c>
      <c r="AR797" s="45">
        <v>0</v>
      </c>
      <c r="AS797" s="45" t="b">
        <v>0</v>
      </c>
      <c r="AT797" s="7" t="b">
        <v>0</v>
      </c>
      <c r="AU7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798" spans="1:47" x14ac:dyDescent="0.35">
      <c r="A798" s="2" t="s">
        <v>3265</v>
      </c>
      <c r="B798">
        <v>1962</v>
      </c>
      <c r="D7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8" s="37" t="str">
        <f>INDEX(CONTROL[ENGLISH],MATCH(PROPERTIES[[#This Row],[VEHIDCODE]],CONTROL[VEHIDCODE],0))</f>
        <v>Henschel GE G16</v>
      </c>
      <c r="F798" t="s">
        <v>657</v>
      </c>
      <c r="G798" s="37" t="str">
        <f>_xlfn.IFNA(INDEX(COUNTRIES[COUNTRY_LABEL],MATCH(PROPERTIES[[#This Row],[COUNTRY]],COUNTRIES[COUNTRY_DESCRIPTION],0)),"")</f>
        <v>LR</v>
      </c>
      <c r="H7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INDEX(LOADINGSPEEDDEF[SPEED],MATCH("LOADINGSPEEDDEF_"&amp;PROPERTIES[[#This Row],[LOADINGSPEED]],LOADINGSPEEDDEF[TYPE],0))</f>
        <v>20</v>
      </c>
      <c r="O7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4">
        <v>0</v>
      </c>
      <c r="AF798" s="27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6" t="s">
        <v>244</v>
      </c>
      <c r="AL7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7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1" t="b">
        <v>0</v>
      </c>
      <c r="AP798" s="45" t="b">
        <v>0</v>
      </c>
      <c r="AQ798" s="45" t="b">
        <v>0</v>
      </c>
      <c r="AR798" s="45">
        <v>0</v>
      </c>
      <c r="AS798" s="45" t="b">
        <v>0</v>
      </c>
      <c r="AT798" s="7" t="b">
        <v>0</v>
      </c>
      <c r="AU7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799" spans="1:47" x14ac:dyDescent="0.35">
      <c r="A799" s="2" t="s">
        <v>3266</v>
      </c>
      <c r="B799">
        <v>1963</v>
      </c>
      <c r="C799">
        <v>1969</v>
      </c>
      <c r="D7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799" s="37" t="str">
        <f>INDEX(CONTROL[ENGLISH],MATCH(PROPERTIES[[#This Row],[VEHIDCODE]],CONTROL[VEHIDCODE],0))</f>
        <v>ACEC/BN Type 2450</v>
      </c>
      <c r="F799" t="s">
        <v>567</v>
      </c>
      <c r="G799" s="37" t="str">
        <f>_xlfn.IFNA(INDEX(COUNTRIES[COUNTRY_LABEL],MATCH(PROPERTIES[[#This Row],[COUNTRY]],COUNTRIES[COUNTRY_DESCRIPTION],0)),"")</f>
        <v>CD</v>
      </c>
      <c r="H7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INDEX(LOADINGSPEEDDEF[SPEED],MATCH("LOADINGSPEEDDEF_"&amp;PROPERTIES[[#This Row],[LOADINGSPEED]],LOADINGSPEEDDEF[TYPE],0))</f>
        <v>20</v>
      </c>
      <c r="O7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4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6" t="s">
        <v>244</v>
      </c>
      <c r="AL79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79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1" t="b">
        <v>0</v>
      </c>
      <c r="AP799" s="45" t="b">
        <v>0</v>
      </c>
      <c r="AQ799" s="45" t="b">
        <v>0</v>
      </c>
      <c r="AR799" s="45">
        <v>0</v>
      </c>
      <c r="AS799" s="45" t="b">
        <v>0</v>
      </c>
      <c r="AT799" s="7" t="b">
        <v>0</v>
      </c>
      <c r="AU7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0" spans="1:47" x14ac:dyDescent="0.35">
      <c r="A800" s="2" t="s">
        <v>3267</v>
      </c>
      <c r="B800">
        <v>1970</v>
      </c>
      <c r="D8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0" s="37" t="str">
        <f>INDEX(CONTROL[ENGLISH],MATCH(PROPERTIES[[#This Row],[VEHIDCODE]],CONTROL[VEHIDCODE],0))</f>
        <v>Alsthom BB-BB 300</v>
      </c>
      <c r="F800" t="s">
        <v>569</v>
      </c>
      <c r="G800" s="37" t="str">
        <f>_xlfn.IFNA(INDEX(COUNTRIES[COUNTRY_LABEL],MATCH(PROPERTIES[[#This Row],[COUNTRY]],COUNTRIES[COUNTRY_DESCRIPTION],0)),"")</f>
        <v>CG</v>
      </c>
      <c r="H8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INDEX(LOADINGSPEEDDEF[SPEED],MATCH("LOADINGSPEEDDEF_"&amp;PROPERTIES[[#This Row],[LOADINGSPEED]],LOADINGSPEEDDEF[TYPE],0))</f>
        <v>20</v>
      </c>
      <c r="O8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4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1" t="b">
        <v>0</v>
      </c>
      <c r="AP800" s="45" t="b">
        <v>0</v>
      </c>
      <c r="AQ800" s="45" t="b">
        <v>0</v>
      </c>
      <c r="AR800" s="45">
        <v>0</v>
      </c>
      <c r="AS800" s="45" t="b">
        <v>0</v>
      </c>
      <c r="AT800" s="7" t="b">
        <v>0</v>
      </c>
      <c r="AU8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1" spans="1:47" x14ac:dyDescent="0.35">
      <c r="A801" s="2" t="s">
        <v>3268</v>
      </c>
      <c r="B801">
        <v>1965</v>
      </c>
      <c r="D8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1" s="37" t="str">
        <f>INDEX(CONTROL[ENGLISH],MATCH(PROPERTIES[[#This Row],[VEHIDCODE]],CONTROL[VEHIDCODE],0))</f>
        <v>Alsthom CC 200</v>
      </c>
      <c r="F801" t="s">
        <v>773</v>
      </c>
      <c r="G801" s="37" t="str">
        <f>_xlfn.IFNA(INDEX(COUNTRIES[COUNTRY_LABEL],MATCH(PROPERTIES[[#This Row],[COUNTRY]],COUNTRIES[COUNTRY_DESCRIPTION],0)),"")</f>
        <v>ZW</v>
      </c>
      <c r="H8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INDEX(LOADINGSPEEDDEF[SPEED],MATCH("LOADINGSPEEDDEF_"&amp;PROPERTIES[[#This Row],[LOADINGSPEED]],LOADINGSPEEDDEF[TYPE],0))</f>
        <v>20</v>
      </c>
      <c r="O8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4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1" t="b">
        <v>0</v>
      </c>
      <c r="AP801" s="45" t="b">
        <v>0</v>
      </c>
      <c r="AQ801" s="45" t="b">
        <v>0</v>
      </c>
      <c r="AR801" s="45">
        <v>0</v>
      </c>
      <c r="AS801" s="45" t="b">
        <v>0</v>
      </c>
      <c r="AT801" s="7" t="b">
        <v>0</v>
      </c>
      <c r="AU8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2" spans="1:47" x14ac:dyDescent="0.35">
      <c r="A802" s="2" t="s">
        <v>3269</v>
      </c>
      <c r="B802">
        <v>1981</v>
      </c>
      <c r="D8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2" s="37" t="str">
        <f>INDEX(CONTROL[ENGLISH],MATCH(PROPERTIES[[#This Row],[VEHIDCODE]],CONTROL[VEHIDCODE],0))</f>
        <v>GMD GT22LC-2</v>
      </c>
      <c r="F802" t="s">
        <v>571</v>
      </c>
      <c r="G802" s="37" t="str">
        <f>_xlfn.IFNA(INDEX(COUNTRIES[COUNTRY_LABEL],MATCH(PROPERTIES[[#This Row],[COUNTRY]],COUNTRIES[COUNTRY_DESCRIPTION],0)),"")</f>
        <v>CI</v>
      </c>
      <c r="H8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INDEX(LOADINGSPEEDDEF[SPEED],MATCH("LOADINGSPEEDDEF_"&amp;PROPERTIES[[#This Row],[LOADINGSPEED]],LOADINGSPEEDDEF[TYPE],0))</f>
        <v>20</v>
      </c>
      <c r="O8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4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0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1" t="b">
        <v>0</v>
      </c>
      <c r="AP802" s="45" t="b">
        <v>0</v>
      </c>
      <c r="AQ802" s="45" t="b">
        <v>0</v>
      </c>
      <c r="AR802" s="45">
        <v>0</v>
      </c>
      <c r="AS802" s="45" t="b">
        <v>0</v>
      </c>
      <c r="AT802" s="7" t="b">
        <v>0</v>
      </c>
      <c r="AU8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3" spans="1:47" x14ac:dyDescent="0.35">
      <c r="A803" s="2" t="s">
        <v>3270</v>
      </c>
      <c r="B803">
        <v>2024</v>
      </c>
      <c r="D8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3" s="37" t="str">
        <f>INDEX(CONTROL[ENGLISH],MATCH(PROPERTIES[[#This Row],[VEHIDCODE]],CONTROL[VEHIDCODE],0))</f>
        <v>TRC E6800</v>
      </c>
      <c r="F803" t="s">
        <v>753</v>
      </c>
      <c r="G803" s="37" t="str">
        <f>_xlfn.IFNA(INDEX(COUNTRIES[COUNTRY_LABEL],MATCH(PROPERTIES[[#This Row],[COUNTRY]],COUNTRIES[COUNTRY_DESCRIPTION],0)),"")</f>
        <v>TZ</v>
      </c>
      <c r="H8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INDEX(LOADINGSPEEDDEF[SPEED],MATCH("LOADINGSPEEDDEF_"&amp;PROPERTIES[[#This Row],[LOADINGSPEED]],LOADINGSPEEDDEF[TYPE],0))</f>
        <v>20</v>
      </c>
      <c r="O8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4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1" t="b">
        <v>0</v>
      </c>
      <c r="AP803" s="45" t="b">
        <v>0</v>
      </c>
      <c r="AQ803" s="45" t="b">
        <v>0</v>
      </c>
      <c r="AR803" s="45">
        <v>0</v>
      </c>
      <c r="AS803" s="45" t="b">
        <v>0</v>
      </c>
      <c r="AT803" s="7" t="b">
        <v>0</v>
      </c>
      <c r="AU8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04" spans="1:47" x14ac:dyDescent="0.35">
      <c r="A804" s="2" t="s">
        <v>3271</v>
      </c>
      <c r="B804">
        <v>1880</v>
      </c>
      <c r="D8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04" s="37" t="str">
        <f>INDEX(CONTROL[ENGLISH],MATCH(PROPERTIES[[#This Row],[VEHIDCODE]],CONTROL[VEHIDCODE],0))</f>
        <v>Brooklyn Union Gate Elevated</v>
      </c>
      <c r="F804" t="s">
        <v>757</v>
      </c>
      <c r="G804" s="37" t="str">
        <f>_xlfn.IFNA(INDEX(COUNTRIES[COUNTRY_LABEL],MATCH(PROPERTIES[[#This Row],[COUNTRY]],COUNTRIES[COUNTRY_DESCRIPTION],0)),"")</f>
        <v>US</v>
      </c>
      <c r="H8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INDEX(LOADINGSPEEDDEF[SPEED],MATCH("LOADINGSPEEDDEF_"&amp;PROPERTIES[[#This Row],[LOADINGSPEED]],LOADINGSPEEDDEF[TYPE],0))</f>
        <v>120</v>
      </c>
      <c r="O8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4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04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04" s="2" t="str">
        <f>SUBSTITUTE(SUBSTITUTE(PROPERTIES[[#This Row],[PURCHASECOST_VALUE]], "PURCHASECOST_", ""), "_VALUE", "")</f>
        <v>METRO</v>
      </c>
      <c r="AO804" s="41" t="b">
        <v>0</v>
      </c>
      <c r="AP804" s="45" t="b">
        <v>0</v>
      </c>
      <c r="AQ804" s="45" t="b">
        <v>0</v>
      </c>
      <c r="AR804" s="45">
        <v>0</v>
      </c>
      <c r="AS804" s="45" t="b">
        <v>0</v>
      </c>
      <c r="AT804" s="7" t="b">
        <v>0</v>
      </c>
      <c r="AU8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05" spans="1:47" x14ac:dyDescent="0.35">
      <c r="A805" s="2" t="s">
        <v>1723</v>
      </c>
      <c r="B805">
        <v>1995</v>
      </c>
      <c r="D8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5" s="37" t="str">
        <f>INDEX(CONTROL[ENGLISH],MATCH(PROPERTIES[[#This Row],[VEHIDCODE]],CONTROL[VEHIDCODE],0))</f>
        <v>'CityNightLine' Sleeper</v>
      </c>
      <c r="G805" s="37" t="str">
        <f>_xlfn.IFNA(INDEX(COUNTRIES[COUNTRY_LABEL],MATCH(PROPERTIES[[#This Row],[COUNTRY]],COUNTRIES[COUNTRY_DESCRIPTION],0)),"")</f>
        <v/>
      </c>
      <c r="H8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INDEX(LOADINGSPEEDDEF[SPEED],MATCH("LOADINGSPEEDDEF_"&amp;PROPERTIES[[#This Row],[LOADINGSPEED]],LOADINGSPEEDDEF[TYPE],0))</f>
        <v>60</v>
      </c>
      <c r="O80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4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80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805" s="2" t="str">
        <f>SUBSTITUTE(SUBSTITUTE(PROPERTIES[[#This Row],[PURCHASECOST_VALUE]], "PURCHASECOST_", ""), "_VALUE", "")</f>
        <v>COACH</v>
      </c>
      <c r="AO805" s="41" t="b">
        <v>0</v>
      </c>
      <c r="AP805" s="45" t="b">
        <v>0</v>
      </c>
      <c r="AQ805" s="45" t="b">
        <v>0</v>
      </c>
      <c r="AR805" s="45">
        <v>0</v>
      </c>
      <c r="AS805" s="45" t="b">
        <v>0</v>
      </c>
      <c r="AT805" s="7" t="b">
        <v>0</v>
      </c>
      <c r="AU8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806" spans="1:47" x14ac:dyDescent="0.35">
      <c r="A806" s="2" t="s">
        <v>1724</v>
      </c>
      <c r="B806">
        <v>1970</v>
      </c>
      <c r="D8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6" s="37" t="str">
        <f>INDEX(CONTROL[ENGLISH],MATCH(PROPERTIES[[#This Row],[VEHIDCODE]],CONTROL[VEHIDCODE],0))</f>
        <v>'Trans Euro Night' Sleeper</v>
      </c>
      <c r="G806" s="37" t="str">
        <f>_xlfn.IFNA(INDEX(COUNTRIES[COUNTRY_LABEL],MATCH(PROPERTIES[[#This Row],[COUNTRY]],COUNTRIES[COUNTRY_DESCRIPTION],0)),"")</f>
        <v/>
      </c>
      <c r="H8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INDEX(LOADINGSPEEDDEF[SPEED],MATCH("LOADINGSPEEDDEF_"&amp;PROPERTIES[[#This Row],[LOADINGSPEED]],LOADINGSPEEDDEF[TYPE],0))</f>
        <v>60</v>
      </c>
      <c r="O8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4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80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806" s="2" t="str">
        <f>SUBSTITUTE(SUBSTITUTE(PROPERTIES[[#This Row],[PURCHASECOST_VALUE]], "PURCHASECOST_", ""), "_VALUE", "")</f>
        <v>COACH</v>
      </c>
      <c r="AO806" s="41" t="b">
        <v>0</v>
      </c>
      <c r="AP806" s="45" t="b">
        <v>0</v>
      </c>
      <c r="AQ806" s="45" t="b">
        <v>0</v>
      </c>
      <c r="AR806" s="45">
        <v>0</v>
      </c>
      <c r="AS806" s="45" t="b">
        <v>0</v>
      </c>
      <c r="AT806" s="7" t="b">
        <v>0</v>
      </c>
      <c r="AU8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807" spans="1:47" x14ac:dyDescent="0.35">
      <c r="A807" s="2" t="s">
        <v>1709</v>
      </c>
      <c r="B807">
        <v>1830</v>
      </c>
      <c r="D8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7" s="37" t="str">
        <f>INDEX(CONTROL[ENGLISH],MATCH(PROPERTIES[[#This Row],[VEHIDCODE]],CONTROL[VEHIDCODE],0))</f>
        <v>1st Gen Livestock Van</v>
      </c>
      <c r="G807" s="37" t="str">
        <f>_xlfn.IFNA(INDEX(COUNTRIES[COUNTRY_LABEL],MATCH(PROPERTIES[[#This Row],[COUNTRY]],COUNTRIES[COUNTRY_DESCRIPTION],0)),"")</f>
        <v/>
      </c>
      <c r="H8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1717</v>
      </c>
      <c r="J807">
        <v>20</v>
      </c>
      <c r="K807">
        <v>4</v>
      </c>
      <c r="L807">
        <v>0</v>
      </c>
      <c r="M8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INDEX(LOADINGSPEEDDEF[SPEED],MATCH("LOADINGSPEEDDEF_"&amp;PROPERTIES[[#This Row],[LOADINGSPEED]],LOADINGSPEEDDEF[TYPE],0))</f>
        <v>20</v>
      </c>
      <c r="O8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4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7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7" s="2" t="str">
        <f>SUBSTITUTE(SUBSTITUTE(PROPERTIES[[#This Row],[PURCHASECOST_VALUE]], "PURCHASECOST_", ""), "_VALUE", "")</f>
        <v>WAGON</v>
      </c>
      <c r="AO807" s="41" t="b">
        <v>0</v>
      </c>
      <c r="AP807" s="45" t="b">
        <v>0</v>
      </c>
      <c r="AQ807" s="45" t="b">
        <v>0</v>
      </c>
      <c r="AR807" s="45">
        <v>2</v>
      </c>
      <c r="AS807" s="45" t="b">
        <v>0</v>
      </c>
      <c r="AT807" s="7" t="b">
        <v>0</v>
      </c>
      <c r="AU8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08" spans="1:47" x14ac:dyDescent="0.35">
      <c r="A808" s="2" t="s">
        <v>1704</v>
      </c>
      <c r="B808">
        <v>1890</v>
      </c>
      <c r="D8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8" s="37" t="str">
        <f>INDEX(CONTROL[ENGLISH],MATCH(PROPERTIES[[#This Row],[VEHIDCODE]],CONTROL[VEHIDCODE],0))</f>
        <v>2nd Gen Livestock Van</v>
      </c>
      <c r="G808" s="37" t="str">
        <f>_xlfn.IFNA(INDEX(COUNTRIES[COUNTRY_LABEL],MATCH(PROPERTIES[[#This Row],[COUNTRY]],COUNTRIES[COUNTRY_DESCRIPTION],0)),"")</f>
        <v/>
      </c>
      <c r="H8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1717</v>
      </c>
      <c r="J808">
        <v>25</v>
      </c>
      <c r="K808">
        <v>5</v>
      </c>
      <c r="L808">
        <v>0</v>
      </c>
      <c r="M8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INDEX(LOADINGSPEEDDEF[SPEED],MATCH("LOADINGSPEEDDEF_"&amp;PROPERTIES[[#This Row],[LOADINGSPEED]],LOADINGSPEEDDEF[TYPE],0))</f>
        <v>20</v>
      </c>
      <c r="O8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4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8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8" s="2" t="str">
        <f>SUBSTITUTE(SUBSTITUTE(PROPERTIES[[#This Row],[PURCHASECOST_VALUE]], "PURCHASECOST_", ""), "_VALUE", "")</f>
        <v>WAGON</v>
      </c>
      <c r="AO808" s="41" t="b">
        <v>0</v>
      </c>
      <c r="AP808" s="45" t="b">
        <v>0</v>
      </c>
      <c r="AQ808" s="45" t="b">
        <v>0</v>
      </c>
      <c r="AR808" s="45">
        <v>2</v>
      </c>
      <c r="AS808" s="45" t="b">
        <v>0</v>
      </c>
      <c r="AT808" s="7" t="b">
        <v>0</v>
      </c>
      <c r="AU8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09" spans="1:47" x14ac:dyDescent="0.35">
      <c r="A809" s="2" t="s">
        <v>1705</v>
      </c>
      <c r="B809">
        <v>1920</v>
      </c>
      <c r="D8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09" s="37" t="str">
        <f>INDEX(CONTROL[ENGLISH],MATCH(PROPERTIES[[#This Row],[VEHIDCODE]],CONTROL[VEHIDCODE],0))</f>
        <v>3rd Gen Livestock Van</v>
      </c>
      <c r="G809" s="37" t="str">
        <f>_xlfn.IFNA(INDEX(COUNTRIES[COUNTRY_LABEL],MATCH(PROPERTIES[[#This Row],[COUNTRY]],COUNTRIES[COUNTRY_DESCRIPTION],0)),"")</f>
        <v/>
      </c>
      <c r="H8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1717</v>
      </c>
      <c r="J809">
        <v>40</v>
      </c>
      <c r="K809">
        <v>6</v>
      </c>
      <c r="L809">
        <v>0</v>
      </c>
      <c r="M8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INDEX(LOADINGSPEEDDEF[SPEED],MATCH("LOADINGSPEEDDEF_"&amp;PROPERTIES[[#This Row],[LOADINGSPEED]],LOADINGSPEEDDEF[TYPE],0))</f>
        <v>20</v>
      </c>
      <c r="O8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4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09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09" s="2" t="str">
        <f>SUBSTITUTE(SUBSTITUTE(PROPERTIES[[#This Row],[PURCHASECOST_VALUE]], "PURCHASECOST_", ""), "_VALUE", "")</f>
        <v>WAGON</v>
      </c>
      <c r="AO809" s="41" t="b">
        <v>0</v>
      </c>
      <c r="AP809" s="45" t="b">
        <v>0</v>
      </c>
      <c r="AQ809" s="45" t="b">
        <v>0</v>
      </c>
      <c r="AR809" s="45">
        <v>2</v>
      </c>
      <c r="AS809" s="45" t="b">
        <v>0</v>
      </c>
      <c r="AT809" s="7" t="b">
        <v>0</v>
      </c>
      <c r="AU8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0" spans="1:47" x14ac:dyDescent="0.35">
      <c r="A810" s="2" t="s">
        <v>1706</v>
      </c>
      <c r="B810">
        <v>1950</v>
      </c>
      <c r="D8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0" s="37" t="str">
        <f>INDEX(CONTROL[ENGLISH],MATCH(PROPERTIES[[#This Row],[VEHIDCODE]],CONTROL[VEHIDCODE],0))</f>
        <v>4th Gen Livestock Van</v>
      </c>
      <c r="G810" s="37" t="str">
        <f>_xlfn.IFNA(INDEX(COUNTRIES[COUNTRY_LABEL],MATCH(PROPERTIES[[#This Row],[COUNTRY]],COUNTRIES[COUNTRY_DESCRIPTION],0)),"")</f>
        <v/>
      </c>
      <c r="H8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1717</v>
      </c>
      <c r="J810">
        <v>42</v>
      </c>
      <c r="K810">
        <v>7</v>
      </c>
      <c r="L810">
        <v>0</v>
      </c>
      <c r="M8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INDEX(LOADINGSPEEDDEF[SPEED],MATCH("LOADINGSPEEDDEF_"&amp;PROPERTIES[[#This Row],[LOADINGSPEED]],LOADINGSPEEDDEF[TYPE],0))</f>
        <v>20</v>
      </c>
      <c r="O8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4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0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0" s="2" t="str">
        <f>SUBSTITUTE(SUBSTITUTE(PROPERTIES[[#This Row],[PURCHASECOST_VALUE]], "PURCHASECOST_", ""), "_VALUE", "")</f>
        <v>WAGON</v>
      </c>
      <c r="AO810" s="41" t="b">
        <v>0</v>
      </c>
      <c r="AP810" s="45" t="b">
        <v>0</v>
      </c>
      <c r="AQ810" s="45" t="b">
        <v>0</v>
      </c>
      <c r="AR810" s="45">
        <v>2</v>
      </c>
      <c r="AS810" s="45" t="b">
        <v>0</v>
      </c>
      <c r="AT810" s="7" t="b">
        <v>0</v>
      </c>
      <c r="AU8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1" spans="1:47" x14ac:dyDescent="0.35">
      <c r="A811" s="2" t="s">
        <v>1707</v>
      </c>
      <c r="B811">
        <v>1990</v>
      </c>
      <c r="D8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1" s="37" t="str">
        <f>INDEX(CONTROL[ENGLISH],MATCH(PROPERTIES[[#This Row],[VEHIDCODE]],CONTROL[VEHIDCODE],0))</f>
        <v>5th Gen Livestock Van</v>
      </c>
      <c r="G811" s="37" t="str">
        <f>_xlfn.IFNA(INDEX(COUNTRIES[COUNTRY_LABEL],MATCH(PROPERTIES[[#This Row],[COUNTRY]],COUNTRIES[COUNTRY_DESCRIPTION],0)),"")</f>
        <v/>
      </c>
      <c r="H8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1717</v>
      </c>
      <c r="J811">
        <v>63</v>
      </c>
      <c r="K811">
        <v>8</v>
      </c>
      <c r="L811">
        <v>0</v>
      </c>
      <c r="M8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INDEX(LOADINGSPEEDDEF[SPEED],MATCH("LOADINGSPEEDDEF_"&amp;PROPERTIES[[#This Row],[LOADINGSPEED]],LOADINGSPEEDDEF[TYPE],0))</f>
        <v>20</v>
      </c>
      <c r="O8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4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1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1" s="2" t="str">
        <f>SUBSTITUTE(SUBSTITUTE(PROPERTIES[[#This Row],[PURCHASECOST_VALUE]], "PURCHASECOST_", ""), "_VALUE", "")</f>
        <v>WAGON</v>
      </c>
      <c r="AO811" s="41" t="b">
        <v>0</v>
      </c>
      <c r="AP811" s="45" t="b">
        <v>0</v>
      </c>
      <c r="AQ811" s="45" t="b">
        <v>0</v>
      </c>
      <c r="AR811" s="45">
        <v>2</v>
      </c>
      <c r="AS811" s="45" t="b">
        <v>0</v>
      </c>
      <c r="AT811" s="7" t="b">
        <v>0</v>
      </c>
      <c r="AU8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2" spans="1:47" x14ac:dyDescent="0.35">
      <c r="A812" s="2" t="s">
        <v>1708</v>
      </c>
      <c r="B812">
        <v>2010</v>
      </c>
      <c r="D8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2" s="37" t="str">
        <f>INDEX(CONTROL[ENGLISH],MATCH(PROPERTIES[[#This Row],[VEHIDCODE]],CONTROL[VEHIDCODE],0))</f>
        <v>6th Gen Livestock Van</v>
      </c>
      <c r="G812" s="37" t="str">
        <f>_xlfn.IFNA(INDEX(COUNTRIES[COUNTRY_LABEL],MATCH(PROPERTIES[[#This Row],[COUNTRY]],COUNTRIES[COUNTRY_DESCRIPTION],0)),"")</f>
        <v/>
      </c>
      <c r="H8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1717</v>
      </c>
      <c r="J812">
        <v>74</v>
      </c>
      <c r="K812">
        <v>8</v>
      </c>
      <c r="L812">
        <v>0</v>
      </c>
      <c r="M8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INDEX(LOADINGSPEEDDEF[SPEED],MATCH("LOADINGSPEEDDEF_"&amp;PROPERTIES[[#This Row],[LOADINGSPEED]],LOADINGSPEEDDEF[TYPE],0))</f>
        <v>20</v>
      </c>
      <c r="O81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4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2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2" s="2" t="str">
        <f>SUBSTITUTE(SUBSTITUTE(PROPERTIES[[#This Row],[PURCHASECOST_VALUE]], "PURCHASECOST_", ""), "_VALUE", "")</f>
        <v>WAGON</v>
      </c>
      <c r="AO812" s="41" t="b">
        <v>0</v>
      </c>
      <c r="AP812" s="45" t="b">
        <v>0</v>
      </c>
      <c r="AQ812" s="45" t="b">
        <v>0</v>
      </c>
      <c r="AR812" s="45">
        <v>2</v>
      </c>
      <c r="AS812" s="45" t="b">
        <v>0</v>
      </c>
      <c r="AT812" s="7" t="b">
        <v>0</v>
      </c>
      <c r="AU8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3" spans="1:47" x14ac:dyDescent="0.35">
      <c r="A813" s="2" t="s">
        <v>1727</v>
      </c>
      <c r="B813">
        <v>2010</v>
      </c>
      <c r="D8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3" s="37" t="str">
        <f>INDEX(CONTROL[ENGLISH],MATCH(PROPERTIES[[#This Row],[VEHIDCODE]],CONTROL[VEHIDCODE],0))</f>
        <v>7th Gen Livestock Van</v>
      </c>
      <c r="G813" s="37" t="str">
        <f>_xlfn.IFNA(INDEX(COUNTRIES[COUNTRY_LABEL],MATCH(PROPERTIES[[#This Row],[COUNTRY]],COUNTRIES[COUNTRY_DESCRIPTION],0)),"")</f>
        <v/>
      </c>
      <c r="H8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1717</v>
      </c>
      <c r="J813">
        <v>74</v>
      </c>
      <c r="K813">
        <v>8</v>
      </c>
      <c r="L813">
        <v>0</v>
      </c>
      <c r="M8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INDEX(LOADINGSPEEDDEF[SPEED],MATCH("LOADINGSPEEDDEF_"&amp;PROPERTIES[[#This Row],[LOADINGSPEED]],LOADINGSPEEDDEF[TYPE],0))</f>
        <v>20</v>
      </c>
      <c r="O81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4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"PURCHASECOST_"&amp;INDEX(VEHICLE_ID_RANGES[COST_VALUE_TYPE],MATCH(INDEX(CONTROL[VEHID_ID_CATEGORY],MATCH(PROPERTIES[[#This Row],[VEHIDCODE]],CONTROL[VEHIDCODE],0)),VEHICLE_ID_RANGES[ID Type],0))&amp;"_VALUE"</f>
        <v>PURCHASECOST_WAGON_VALUE</v>
      </c>
      <c r="AM813" t="str">
        <f>"RUNNINGCOST_"&amp;INDEX(VEHICLE_ID_RANGES[COST_VALUE_TYPE],MATCH(INDEX(CONTROL[VEHID_ID_CATEGORY],MATCH(PROPERTIES[[#This Row],[VEHIDCODE]],CONTROL[VEHIDCODE],0)),VEHICLE_ID_RANGES[ID Type],0))&amp;"_VALUE"</f>
        <v>RUNNINGCOST_WAGON_VALUE</v>
      </c>
      <c r="AN813" s="2" t="str">
        <f>SUBSTITUTE(SUBSTITUTE(PROPERTIES[[#This Row],[PURCHASECOST_VALUE]], "PURCHASECOST_", ""), "_VALUE", "")</f>
        <v>WAGON</v>
      </c>
      <c r="AO813" s="41" t="b">
        <v>0</v>
      </c>
      <c r="AP813" s="45" t="b">
        <v>0</v>
      </c>
      <c r="AQ813" s="45" t="b">
        <v>0</v>
      </c>
      <c r="AR813" s="45">
        <v>2</v>
      </c>
      <c r="AS813" s="45" t="b">
        <v>0</v>
      </c>
      <c r="AT813" s="7" t="b">
        <v>0</v>
      </c>
      <c r="AU8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TPL_04B</v>
      </c>
    </row>
    <row r="814" spans="1:47" x14ac:dyDescent="0.35">
      <c r="A814" s="2" t="s">
        <v>3272</v>
      </c>
      <c r="B814">
        <v>1974</v>
      </c>
      <c r="C814">
        <v>1996</v>
      </c>
      <c r="D8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14" s="37" t="str">
        <f>INDEX(CONTROL[ENGLISH],MATCH(PROPERTIES[[#This Row],[VEHIDCODE]],CONTROL[VEHIDCODE],0))</f>
        <v>Ganz-MAVAG VM15 'V63'</v>
      </c>
      <c r="F814" t="s">
        <v>626</v>
      </c>
      <c r="G814" s="37" t="str">
        <f>_xlfn.IFNA(INDEX(COUNTRIES[COUNTRY_LABEL],MATCH(PROPERTIES[[#This Row],[COUNTRY]],COUNTRIES[COUNTRY_DESCRIPTION],0)),"")</f>
        <v>HU</v>
      </c>
      <c r="H8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INDEX(LOADINGSPEEDDEF[SPEED],MATCH("LOADINGSPEEDDEF_"&amp;PROPERTIES[[#This Row],[LOADINGSPEED]],LOADINGSPEEDDEF[TYPE],0))</f>
        <v>20</v>
      </c>
      <c r="O8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4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1" t="b">
        <v>0</v>
      </c>
      <c r="AP814" s="45" t="b">
        <v>0</v>
      </c>
      <c r="AQ814" s="45" t="b">
        <v>0</v>
      </c>
      <c r="AR814" s="45">
        <v>0</v>
      </c>
      <c r="AS814" s="45" t="b">
        <v>0</v>
      </c>
      <c r="AT814" s="7" t="b">
        <v>0</v>
      </c>
      <c r="AU8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15" spans="1:47" x14ac:dyDescent="0.35">
      <c r="A815" s="2" t="s">
        <v>3273</v>
      </c>
      <c r="B815">
        <v>1992</v>
      </c>
      <c r="C815">
        <v>2030</v>
      </c>
      <c r="D8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5" s="37" t="str">
        <f>INDEX(CONTROL[ENGLISH],MATCH(PROPERTIES[[#This Row],[VEHIDCODE]],CONTROL[VEHIDCODE],0))</f>
        <v>BREL/ABB London 1992 Stock</v>
      </c>
      <c r="F815" t="s">
        <v>603</v>
      </c>
      <c r="G815" s="37" t="str">
        <f>_xlfn.IFNA(INDEX(COUNTRIES[COUNTRY_LABEL],MATCH(PROPERTIES[[#This Row],[COUNTRY]],COUNTRIES[COUNTRY_DESCRIPTION],0)),"")</f>
        <v>GB</v>
      </c>
      <c r="H8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INDEX(LOADINGSPEEDDEF[SPEED],MATCH("LOADINGSPEEDDEF_"&amp;PROPERTIES[[#This Row],[LOADINGSPEED]],LOADINGSPEEDDEF[TYPE],0))</f>
        <v>120</v>
      </c>
      <c r="O8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4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5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5" s="2" t="str">
        <f>SUBSTITUTE(SUBSTITUTE(PROPERTIES[[#This Row],[PURCHASECOST_VALUE]], "PURCHASECOST_", ""), "_VALUE", "")</f>
        <v>METRO</v>
      </c>
      <c r="AO815" s="41" t="b">
        <v>0</v>
      </c>
      <c r="AP815" s="45" t="b">
        <v>0</v>
      </c>
      <c r="AQ815" s="45" t="b">
        <v>0</v>
      </c>
      <c r="AR815" s="45">
        <v>0</v>
      </c>
      <c r="AS815" s="45" t="b">
        <v>0</v>
      </c>
      <c r="AT815" s="7" t="b">
        <v>0</v>
      </c>
      <c r="AU8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6" spans="1:47" x14ac:dyDescent="0.35">
      <c r="A816" s="2" t="s">
        <v>3274</v>
      </c>
      <c r="B816">
        <v>2010</v>
      </c>
      <c r="C816">
        <v>2030</v>
      </c>
      <c r="D8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6" s="37" t="str">
        <f>INDEX(CONTROL[ENGLISH],MATCH(PROPERTIES[[#This Row],[VEHIDCODE]],CONTROL[VEHIDCODE],0))</f>
        <v>Bombardier Movia London S Stock</v>
      </c>
      <c r="F816" t="s">
        <v>603</v>
      </c>
      <c r="G816" s="37" t="str">
        <f>_xlfn.IFNA(INDEX(COUNTRIES[COUNTRY_LABEL],MATCH(PROPERTIES[[#This Row],[COUNTRY]],COUNTRIES[COUNTRY_DESCRIPTION],0)),"")</f>
        <v>GB</v>
      </c>
      <c r="H8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INDEX(LOADINGSPEEDDEF[SPEED],MATCH("LOADINGSPEEDDEF_"&amp;PROPERTIES[[#This Row],[LOADINGSPEED]],LOADINGSPEEDDEF[TYPE],0))</f>
        <v>120</v>
      </c>
      <c r="O81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4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6" s="2" t="str">
        <f>SUBSTITUTE(SUBSTITUTE(PROPERTIES[[#This Row],[PURCHASECOST_VALUE]], "PURCHASECOST_", ""), "_VALUE", "")</f>
        <v>METRO</v>
      </c>
      <c r="AO816" s="41" t="b">
        <v>0</v>
      </c>
      <c r="AP816" s="45" t="b">
        <v>0</v>
      </c>
      <c r="AQ816" s="45" t="b">
        <v>0</v>
      </c>
      <c r="AR816" s="45">
        <v>0</v>
      </c>
      <c r="AS816" s="45" t="b">
        <v>0</v>
      </c>
      <c r="AT816" s="7" t="b">
        <v>0</v>
      </c>
      <c r="AU8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7" spans="1:47" x14ac:dyDescent="0.35">
      <c r="A817" s="2" t="s">
        <v>3275</v>
      </c>
      <c r="B817">
        <v>1972</v>
      </c>
      <c r="C817">
        <v>2030</v>
      </c>
      <c r="D8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7" s="37" t="str">
        <f>INDEX(CONTROL[ENGLISH],MATCH(PROPERTIES[[#This Row],[VEHIDCODE]],CONTROL[VEHIDCODE],0))</f>
        <v>Metro-Cammell London 1972 Stock</v>
      </c>
      <c r="F817" t="s">
        <v>603</v>
      </c>
      <c r="G817" s="37" t="str">
        <f>_xlfn.IFNA(INDEX(COUNTRIES[COUNTRY_LABEL],MATCH(PROPERTIES[[#This Row],[COUNTRY]],COUNTRIES[COUNTRY_DESCRIPTION],0)),"")</f>
        <v>GB</v>
      </c>
      <c r="H8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INDEX(LOADINGSPEEDDEF[SPEED],MATCH("LOADINGSPEEDDEF_"&amp;PROPERTIES[[#This Row],[LOADINGSPEED]],LOADINGSPEEDDEF[TYPE],0))</f>
        <v>120</v>
      </c>
      <c r="O8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4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7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7" s="2" t="str">
        <f>SUBSTITUTE(SUBSTITUTE(PROPERTIES[[#This Row],[PURCHASECOST_VALUE]], "PURCHASECOST_", ""), "_VALUE", "")</f>
        <v>METRO</v>
      </c>
      <c r="AO817" s="41" t="b">
        <v>0</v>
      </c>
      <c r="AP817" s="45" t="b">
        <v>0</v>
      </c>
      <c r="AQ817" s="45" t="b">
        <v>0</v>
      </c>
      <c r="AR817" s="45">
        <v>0</v>
      </c>
      <c r="AS817" s="45" t="b">
        <v>0</v>
      </c>
      <c r="AT817" s="7" t="b">
        <v>0</v>
      </c>
      <c r="AU8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8" spans="1:47" x14ac:dyDescent="0.35">
      <c r="A818" s="2" t="s">
        <v>3276</v>
      </c>
      <c r="B818">
        <v>1959</v>
      </c>
      <c r="C818">
        <v>2000</v>
      </c>
      <c r="D8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8" s="37" t="str">
        <f>INDEX(CONTROL[ENGLISH],MATCH(PROPERTIES[[#This Row],[VEHIDCODE]],CONTROL[VEHIDCODE],0))</f>
        <v>Metro-Cammell London 1959 Stock</v>
      </c>
      <c r="F818" t="s">
        <v>603</v>
      </c>
      <c r="G818" s="37" t="str">
        <f>_xlfn.IFNA(INDEX(COUNTRIES[COUNTRY_LABEL],MATCH(PROPERTIES[[#This Row],[COUNTRY]],COUNTRIES[COUNTRY_DESCRIPTION],0)),"")</f>
        <v>GB</v>
      </c>
      <c r="H8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INDEX(LOADINGSPEEDDEF[SPEED],MATCH("LOADINGSPEEDDEF_"&amp;PROPERTIES[[#This Row],[LOADINGSPEED]],LOADINGSPEEDDEF[TYPE],0))</f>
        <v>120</v>
      </c>
      <c r="O8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4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8" s="2" t="str">
        <f>SUBSTITUTE(SUBSTITUTE(PROPERTIES[[#This Row],[PURCHASECOST_VALUE]], "PURCHASECOST_", ""), "_VALUE", "")</f>
        <v>METRO</v>
      </c>
      <c r="AO818" s="41" t="b">
        <v>0</v>
      </c>
      <c r="AP818" s="45" t="b">
        <v>0</v>
      </c>
      <c r="AQ818" s="45" t="b">
        <v>0</v>
      </c>
      <c r="AR818" s="45">
        <v>0</v>
      </c>
      <c r="AS818" s="45" t="b">
        <v>0</v>
      </c>
      <c r="AT818" s="7" t="b">
        <v>0</v>
      </c>
      <c r="AU8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19" spans="1:47" x14ac:dyDescent="0.35">
      <c r="A819" s="2" t="s">
        <v>3277</v>
      </c>
      <c r="B819">
        <v>1987</v>
      </c>
      <c r="D8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19" s="37" t="str">
        <f>INDEX(CONTROL[ENGLISH],MATCH(PROPERTIES[[#This Row],[VEHIDCODE]],CONTROL[VEHIDCODE],0))</f>
        <v>Kawasaki HI C151</v>
      </c>
      <c r="F819" t="s">
        <v>723</v>
      </c>
      <c r="G819" s="37" t="str">
        <f>_xlfn.IFNA(INDEX(COUNTRIES[COUNTRY_LABEL],MATCH(PROPERTIES[[#This Row],[COUNTRY]],COUNTRIES[COUNTRY_DESCRIPTION],0)),"")</f>
        <v>SG</v>
      </c>
      <c r="H8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INDEX(LOADINGSPEEDDEF[SPEED],MATCH("LOADINGSPEEDDEF_"&amp;PROPERTIES[[#This Row],[LOADINGSPEED]],LOADINGSPEEDDEF[TYPE],0))</f>
        <v>120</v>
      </c>
      <c r="O8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4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19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19" s="2" t="str">
        <f>SUBSTITUTE(SUBSTITUTE(PROPERTIES[[#This Row],[PURCHASECOST_VALUE]], "PURCHASECOST_", ""), "_VALUE", "")</f>
        <v>METRO</v>
      </c>
      <c r="AO819" s="41" t="b">
        <v>0</v>
      </c>
      <c r="AP819" s="45" t="b">
        <v>0</v>
      </c>
      <c r="AQ819" s="45" t="b">
        <v>0</v>
      </c>
      <c r="AR819" s="45">
        <v>0</v>
      </c>
      <c r="AS819" s="45" t="b">
        <v>0</v>
      </c>
      <c r="AT819" s="7" t="b">
        <v>0</v>
      </c>
      <c r="AU8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0" spans="1:47" x14ac:dyDescent="0.35">
      <c r="A820" s="2" t="s">
        <v>3278</v>
      </c>
      <c r="B820">
        <v>2000</v>
      </c>
      <c r="D8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0" s="37" t="str">
        <f>INDEX(CONTROL[ENGLISH],MATCH(PROPERTIES[[#This Row],[VEHIDCODE]],CONTROL[VEHIDCODE],0))</f>
        <v>Kawasaki HI &amp; Nippon Sharyo C751B</v>
      </c>
      <c r="F820" t="s">
        <v>723</v>
      </c>
      <c r="G820" s="37" t="str">
        <f>_xlfn.IFNA(INDEX(COUNTRIES[COUNTRY_LABEL],MATCH(PROPERTIES[[#This Row],[COUNTRY]],COUNTRIES[COUNTRY_DESCRIPTION],0)),"")</f>
        <v>SG</v>
      </c>
      <c r="H8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INDEX(LOADINGSPEEDDEF[SPEED],MATCH("LOADINGSPEEDDEF_"&amp;PROPERTIES[[#This Row],[LOADINGSPEED]],LOADINGSPEEDDEF[TYPE],0))</f>
        <v>120</v>
      </c>
      <c r="O82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4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20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20" s="2" t="str">
        <f>SUBSTITUTE(SUBSTITUTE(PROPERTIES[[#This Row],[PURCHASECOST_VALUE]], "PURCHASECOST_", ""), "_VALUE", "")</f>
        <v>METRO</v>
      </c>
      <c r="AO820" s="41" t="b">
        <v>0</v>
      </c>
      <c r="AP820" s="45" t="b">
        <v>0</v>
      </c>
      <c r="AQ820" s="45" t="b">
        <v>0</v>
      </c>
      <c r="AR820" s="45">
        <v>0</v>
      </c>
      <c r="AS820" s="45" t="b">
        <v>0</v>
      </c>
      <c r="AT820" s="7" t="b">
        <v>0</v>
      </c>
      <c r="AU8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1" spans="1:47" x14ac:dyDescent="0.35">
      <c r="A821" s="2" t="s">
        <v>3279</v>
      </c>
      <c r="B821">
        <v>1965</v>
      </c>
      <c r="D8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1" s="37" t="str">
        <f>INDEX(CONTROL[ENGLISH],MATCH(PROPERTIES[[#This Row],[VEHIDCODE]],CONTROL[VEHIDCODE],0))</f>
        <v>Comeng Light Metro Prototype</v>
      </c>
      <c r="F821" t="s">
        <v>541</v>
      </c>
      <c r="G821" s="37" t="str">
        <f>_xlfn.IFNA(INDEX(COUNTRIES[COUNTRY_LABEL],MATCH(PROPERTIES[[#This Row],[COUNTRY]],COUNTRIES[COUNTRY_DESCRIPTION],0)),"")</f>
        <v>AU</v>
      </c>
      <c r="H8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INDEX(LOADINGSPEEDDEF[SPEED],MATCH("LOADINGSPEEDDEF_"&amp;PROPERTIES[[#This Row],[LOADINGSPEED]],LOADINGSPEEDDEF[TYPE],0))</f>
        <v>120</v>
      </c>
      <c r="O8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4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21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21" s="2" t="str">
        <f>SUBSTITUTE(SUBSTITUTE(PROPERTIES[[#This Row],[PURCHASECOST_VALUE]], "PURCHASECOST_", ""), "_VALUE", "")</f>
        <v>METRO</v>
      </c>
      <c r="AO821" s="41" t="b">
        <v>0</v>
      </c>
      <c r="AP821" s="45" t="b">
        <v>0</v>
      </c>
      <c r="AQ821" s="45" t="b">
        <v>0</v>
      </c>
      <c r="AR821" s="45">
        <v>0</v>
      </c>
      <c r="AS821" s="45" t="b">
        <v>0</v>
      </c>
      <c r="AT821" s="7" t="b">
        <v>0</v>
      </c>
      <c r="AU8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22" spans="1:47" x14ac:dyDescent="0.35">
      <c r="A822" t="s">
        <v>3280</v>
      </c>
      <c r="B822">
        <v>1981</v>
      </c>
      <c r="C822">
        <v>2030</v>
      </c>
      <c r="D8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2" s="37" t="str">
        <f>INDEX(CONTROL[ENGLISH],MATCH(PROPERTIES[[#This Row],[VEHIDCODE]],CONTROL[VEHIDCODE],0))</f>
        <v>Comeng EMU</v>
      </c>
      <c r="F822" t="s">
        <v>541</v>
      </c>
      <c r="G822" s="37" t="str">
        <f>_xlfn.IFNA(INDEX(COUNTRIES[COUNTRY_LABEL],MATCH(PROPERTIES[[#This Row],[COUNTRY]],COUNTRIES[COUNTRY_DESCRIPTION],0)),"")</f>
        <v>AU</v>
      </c>
      <c r="H8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INDEX(LOADINGSPEEDDEF[SPEED],MATCH("LOADINGSPEEDDEF_"&amp;PROPERTIES[[#This Row],[LOADINGSPEED]],LOADINGSPEEDDEF[TYPE],0))</f>
        <v>60</v>
      </c>
      <c r="O82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4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2" s="2" t="str">
        <f>SUBSTITUTE(SUBSTITUTE(PROPERTIES[[#This Row],[PURCHASECOST_VALUE]], "PURCHASECOST_", ""), "_VALUE", "")</f>
        <v>EMU</v>
      </c>
      <c r="AO822" s="41" t="b">
        <v>0</v>
      </c>
      <c r="AP822" s="45" t="b">
        <v>0</v>
      </c>
      <c r="AQ822" s="45" t="b">
        <v>0</v>
      </c>
      <c r="AR822" s="45">
        <v>0</v>
      </c>
      <c r="AS822" s="45" t="b">
        <v>0</v>
      </c>
      <c r="AT822" s="7" t="b">
        <v>0</v>
      </c>
      <c r="AU8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3" spans="1:47" x14ac:dyDescent="0.35">
      <c r="A823" s="2" t="s">
        <v>3281</v>
      </c>
      <c r="B823">
        <v>2020</v>
      </c>
      <c r="D8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3" s="37" t="str">
        <f>INDEX(CONTROL[ENGLISH],MATCH(PROPERTIES[[#This Row],[VEHIDCODE]],CONTROL[VEHIDCODE],0))</f>
        <v>Evolution Rail HCMT Munnel</v>
      </c>
      <c r="F823" t="s">
        <v>541</v>
      </c>
      <c r="G823" s="37" t="str">
        <f>_xlfn.IFNA(INDEX(COUNTRIES[COUNTRY_LABEL],MATCH(PROPERTIES[[#This Row],[COUNTRY]],COUNTRIES[COUNTRY_DESCRIPTION],0)),"")</f>
        <v>AU</v>
      </c>
      <c r="H8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INDEX(LOADINGSPEEDDEF[SPEED],MATCH("LOADINGSPEEDDEF_"&amp;PROPERTIES[[#This Row],[LOADINGSPEED]],LOADINGSPEEDDEF[TYPE],0))</f>
        <v>60</v>
      </c>
      <c r="O82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4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3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3" s="2" t="str">
        <f>SUBSTITUTE(SUBSTITUTE(PROPERTIES[[#This Row],[PURCHASECOST_VALUE]], "PURCHASECOST_", ""), "_VALUE", "")</f>
        <v>EMU</v>
      </c>
      <c r="AO823" s="41" t="b">
        <v>0</v>
      </c>
      <c r="AP823" s="45" t="b">
        <v>0</v>
      </c>
      <c r="AQ823" s="45" t="b">
        <v>0</v>
      </c>
      <c r="AR823" s="45">
        <v>0</v>
      </c>
      <c r="AS823" s="45" t="b">
        <v>0</v>
      </c>
      <c r="AT823" s="7" t="b">
        <v>0</v>
      </c>
      <c r="AU8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4" spans="1:47" x14ac:dyDescent="0.35">
      <c r="A824" s="2" t="s">
        <v>3282</v>
      </c>
      <c r="B824">
        <v>1973</v>
      </c>
      <c r="C824">
        <v>1994</v>
      </c>
      <c r="D8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4" s="37" t="str">
        <f>INDEX(CONTROL[ENGLISH],MATCH(PROPERTIES[[#This Row],[VEHIDCODE]],CONTROL[VEHIDCODE],0))</f>
        <v>LTZ DR 130</v>
      </c>
      <c r="F824" t="s">
        <v>584</v>
      </c>
      <c r="G824" s="37" t="str">
        <f>_xlfn.IFNA(INDEX(COUNTRIES[COUNTRY_LABEL],MATCH(PROPERTIES[[#This Row],[COUNTRY]],COUNTRIES[COUNTRY_DESCRIPTION],0)),"")</f>
        <v>DE</v>
      </c>
      <c r="H8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INDEX(LOADINGSPEEDDEF[SPEED],MATCH("LOADINGSPEEDDEF_"&amp;PROPERTIES[[#This Row],[LOADINGSPEED]],LOADINGSPEEDDEF[TYPE],0))</f>
        <v>20</v>
      </c>
      <c r="O8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4">
        <v>0</v>
      </c>
      <c r="AF824" s="6">
        <v>0</v>
      </c>
      <c r="AG824" t="s">
        <v>230</v>
      </c>
      <c r="AH824" t="s">
        <v>1940</v>
      </c>
      <c r="AI824" t="s">
        <v>229</v>
      </c>
      <c r="AJ824" s="2" t="s">
        <v>229</v>
      </c>
      <c r="AK824" s="2" t="s">
        <v>244</v>
      </c>
      <c r="AL82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1" t="b">
        <v>0</v>
      </c>
      <c r="AP824" s="45" t="b">
        <v>0</v>
      </c>
      <c r="AQ824" s="45" t="b">
        <v>1</v>
      </c>
      <c r="AR824" s="45">
        <v>0</v>
      </c>
      <c r="AS824" s="45" t="b">
        <v>0</v>
      </c>
      <c r="AT824" s="7" t="b">
        <v>1</v>
      </c>
      <c r="AU8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25" spans="1:47" x14ac:dyDescent="0.35">
      <c r="A825" t="s">
        <v>3283</v>
      </c>
      <c r="B825">
        <v>1995</v>
      </c>
      <c r="D8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5" s="37" t="str">
        <f>INDEX(CONTROL[ENGLISH],MATCH(PROPERTIES[[#This Row],[VEHIDCODE]],CONTROL[VEHIDCODE],0))</f>
        <v>GE AC6044CW</v>
      </c>
      <c r="F825" t="s">
        <v>757</v>
      </c>
      <c r="G825" s="37" t="str">
        <f>_xlfn.IFNA(INDEX(COUNTRIES[COUNTRY_LABEL],MATCH(PROPERTIES[[#This Row],[COUNTRY]],COUNTRIES[COUNTRY_DESCRIPTION],0)),"")</f>
        <v>US</v>
      </c>
      <c r="H8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INDEX(LOADINGSPEEDDEF[SPEED],MATCH("LOADINGSPEEDDEF_"&amp;PROPERTIES[[#This Row],[LOADINGSPEED]],LOADINGSPEEDDEF[TYPE],0))</f>
        <v>20</v>
      </c>
      <c r="O82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4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1" t="b">
        <v>0</v>
      </c>
      <c r="AP825" s="45" t="b">
        <v>0</v>
      </c>
      <c r="AQ825" s="45" t="b">
        <v>1</v>
      </c>
      <c r="AR825" s="45">
        <v>0</v>
      </c>
      <c r="AS825" s="45" t="b">
        <v>0</v>
      </c>
      <c r="AT825" s="7" t="b">
        <v>1</v>
      </c>
      <c r="AU8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26" spans="1:47" x14ac:dyDescent="0.35">
      <c r="A826" s="2" t="s">
        <v>3601</v>
      </c>
      <c r="B826">
        <v>1995</v>
      </c>
      <c r="D8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6" s="37" t="str">
        <f>INDEX(CONTROL[ENGLISH],MATCH(PROPERTIES[[#This Row],[VEHIDCODE]],CONTROL[VEHIDCODE],0))</f>
        <v>GE AC6000CW</v>
      </c>
      <c r="F826" t="s">
        <v>757</v>
      </c>
      <c r="G826" s="37" t="str">
        <f>_xlfn.IFNA(INDEX(COUNTRIES[COUNTRY_LABEL],MATCH(PROPERTIES[[#This Row],[COUNTRY]],COUNTRIES[COUNTRY_DESCRIPTION],0)),"")</f>
        <v>US</v>
      </c>
      <c r="H8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INDEX(LOADINGSPEEDDEF[SPEED],MATCH("LOADINGSPEEDDEF_"&amp;PROPERTIES[[#This Row],[LOADINGSPEED]],LOADINGSPEEDDEF[TYPE],0))</f>
        <v>20</v>
      </c>
      <c r="O82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4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2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1" t="b">
        <v>0</v>
      </c>
      <c r="AP826" s="45" t="b">
        <v>0</v>
      </c>
      <c r="AQ826" s="45" t="b">
        <v>0</v>
      </c>
      <c r="AR826" s="45">
        <v>0</v>
      </c>
      <c r="AS826" s="45" t="b">
        <v>0</v>
      </c>
      <c r="AT826" s="7" t="b">
        <v>0</v>
      </c>
      <c r="AU8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27" spans="1:47" x14ac:dyDescent="0.35">
      <c r="A827" s="2" t="s">
        <v>3284</v>
      </c>
      <c r="B827">
        <v>1867</v>
      </c>
      <c r="D8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27" s="37" t="str">
        <f>INDEX(CONTROL[ENGLISH],MATCH(PROPERTIES[[#This Row],[VEHIDCODE]],CONTROL[VEHIDCODE],0))</f>
        <v>Robert Stephenson and Co 2-2-2 192</v>
      </c>
      <c r="F827" t="s">
        <v>592</v>
      </c>
      <c r="G827" s="37" t="str">
        <f>_xlfn.IFNA(INDEX(COUNTRIES[COUNTRY_LABEL],MATCH(PROPERTIES[[#This Row],[COUNTRY]],COUNTRIES[COUNTRY_DESCRIPTION],0)),"")</f>
        <v>EG</v>
      </c>
      <c r="H8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INDEX(LOADINGSPEEDDEF[SPEED],MATCH("LOADINGSPEEDDEF_"&amp;PROPERTIES[[#This Row],[LOADINGSPEED]],LOADINGSPEEDDEF[TYPE],0))</f>
        <v>20</v>
      </c>
      <c r="O8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4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2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1" t="b">
        <v>0</v>
      </c>
      <c r="AP827" s="45" t="b">
        <v>0</v>
      </c>
      <c r="AQ827" s="45" t="b">
        <v>0</v>
      </c>
      <c r="AR827" s="45">
        <v>0</v>
      </c>
      <c r="AS827" s="45" t="b">
        <v>0</v>
      </c>
      <c r="AT827" s="7" t="b">
        <v>0</v>
      </c>
      <c r="AU8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28" spans="1:47" x14ac:dyDescent="0.35">
      <c r="A828" s="2" t="s">
        <v>3285</v>
      </c>
      <c r="B828">
        <v>1973</v>
      </c>
      <c r="C828">
        <v>2002</v>
      </c>
      <c r="D8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8" s="37" t="str">
        <f>INDEX(CONTROL[ENGLISH],MATCH(PROPERTIES[[#This Row],[VEHIDCODE]],CONTROL[VEHIDCODE],0))</f>
        <v>Comeng/MK Hitachi Trains</v>
      </c>
      <c r="F828" t="s">
        <v>541</v>
      </c>
      <c r="G828" s="37" t="str">
        <f>_xlfn.IFNA(INDEX(COUNTRIES[COUNTRY_LABEL],MATCH(PROPERTIES[[#This Row],[COUNTRY]],COUNTRIES[COUNTRY_DESCRIPTION],0)),"")</f>
        <v>AU</v>
      </c>
      <c r="H8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INDEX(LOADINGSPEEDDEF[SPEED],MATCH("LOADINGSPEEDDEF_"&amp;PROPERTIES[[#This Row],[LOADINGSPEED]],LOADINGSPEEDDEF[TYPE],0))</f>
        <v>60</v>
      </c>
      <c r="O8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4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8" s="2" t="str">
        <f>SUBSTITUTE(SUBSTITUTE(PROPERTIES[[#This Row],[PURCHASECOST_VALUE]], "PURCHASECOST_", ""), "_VALUE", "")</f>
        <v>EMU</v>
      </c>
      <c r="AO828" s="41" t="b">
        <v>0</v>
      </c>
      <c r="AP828" s="45" t="b">
        <v>0</v>
      </c>
      <c r="AQ828" s="45" t="b">
        <v>0</v>
      </c>
      <c r="AR828" s="45">
        <v>0</v>
      </c>
      <c r="AS828" s="45" t="b">
        <v>0</v>
      </c>
      <c r="AT828" s="7" t="b">
        <v>0</v>
      </c>
      <c r="AU8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29" spans="1:47" x14ac:dyDescent="0.35">
      <c r="A829" s="2" t="s">
        <v>3286</v>
      </c>
      <c r="B829">
        <v>1956</v>
      </c>
      <c r="C829">
        <v>1991</v>
      </c>
      <c r="D8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29" s="37" t="str">
        <f>INDEX(CONTROL[ENGLISH],MATCH(PROPERTIES[[#This Row],[VEHIDCODE]],CONTROL[VEHIDCODE],0))</f>
        <v>GRC&amp;W Harris Trains</v>
      </c>
      <c r="F829" t="s">
        <v>541</v>
      </c>
      <c r="G829" s="37" t="str">
        <f>_xlfn.IFNA(INDEX(COUNTRIES[COUNTRY_LABEL],MATCH(PROPERTIES[[#This Row],[COUNTRY]],COUNTRIES[COUNTRY_DESCRIPTION],0)),"")</f>
        <v>AU</v>
      </c>
      <c r="H8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INDEX(LOADINGSPEEDDEF[SPEED],MATCH("LOADINGSPEEDDEF_"&amp;PROPERTIES[[#This Row],[LOADINGSPEED]],LOADINGSPEEDDEF[TYPE],0))</f>
        <v>60</v>
      </c>
      <c r="O8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4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29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29" s="2" t="str">
        <f>SUBSTITUTE(SUBSTITUTE(PROPERTIES[[#This Row],[PURCHASECOST_VALUE]], "PURCHASECOST_", ""), "_VALUE", "")</f>
        <v>EMU</v>
      </c>
      <c r="AO829" s="41" t="b">
        <v>0</v>
      </c>
      <c r="AP829" s="45" t="b">
        <v>0</v>
      </c>
      <c r="AQ829" s="45" t="b">
        <v>0</v>
      </c>
      <c r="AR829" s="45">
        <v>0</v>
      </c>
      <c r="AS829" s="45" t="b">
        <v>0</v>
      </c>
      <c r="AT829" s="7" t="b">
        <v>0</v>
      </c>
      <c r="AU8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0" spans="1:47" x14ac:dyDescent="0.35">
      <c r="A830" s="2" t="s">
        <v>3287</v>
      </c>
      <c r="B830">
        <v>2023</v>
      </c>
      <c r="D8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0" s="37" t="str">
        <f>INDEX(CONTROL[ENGLISH],MATCH(PROPERTIES[[#This Row],[VEHIDCODE]],CONTROL[VEHIDCODE],0))</f>
        <v>Siemens Nexas</v>
      </c>
      <c r="F830" t="s">
        <v>541</v>
      </c>
      <c r="G830" s="37" t="str">
        <f>_xlfn.IFNA(INDEX(COUNTRIES[COUNTRY_LABEL],MATCH(PROPERTIES[[#This Row],[COUNTRY]],COUNTRIES[COUNTRY_DESCRIPTION],0)),"")</f>
        <v>AU</v>
      </c>
      <c r="H8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INDEX(LOADINGSPEEDDEF[SPEED],MATCH("LOADINGSPEEDDEF_"&amp;PROPERTIES[[#This Row],[LOADINGSPEED]],LOADINGSPEEDDEF[TYPE],0))</f>
        <v>60</v>
      </c>
      <c r="O83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4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3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30" s="2" t="str">
        <f>SUBSTITUTE(SUBSTITUTE(PROPERTIES[[#This Row],[PURCHASECOST_VALUE]], "PURCHASECOST_", ""), "_VALUE", "")</f>
        <v>EMU</v>
      </c>
      <c r="AO830" s="41" t="b">
        <v>0</v>
      </c>
      <c r="AP830" s="45" t="b">
        <v>0</v>
      </c>
      <c r="AQ830" s="45" t="b">
        <v>0</v>
      </c>
      <c r="AR830" s="45">
        <v>0</v>
      </c>
      <c r="AS830" s="45" t="b">
        <v>0</v>
      </c>
      <c r="AT830" s="7" t="b">
        <v>0</v>
      </c>
      <c r="AU8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1" spans="1:47" x14ac:dyDescent="0.35">
      <c r="A831" s="2" t="s">
        <v>3288</v>
      </c>
      <c r="B831">
        <v>1919</v>
      </c>
      <c r="C831">
        <v>1984</v>
      </c>
      <c r="D8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1" s="37" t="str">
        <f>INDEX(CONTROL[ENGLISH],MATCH(PROPERTIES[[#This Row],[VEHIDCODE]],CONTROL[VEHIDCODE],0))</f>
        <v>Victorian Railways Tait Trains</v>
      </c>
      <c r="F831" t="s">
        <v>541</v>
      </c>
      <c r="G831" s="37" t="str">
        <f>_xlfn.IFNA(INDEX(COUNTRIES[COUNTRY_LABEL],MATCH(PROPERTIES[[#This Row],[COUNTRY]],COUNTRIES[COUNTRY_DESCRIPTION],0)),"")</f>
        <v>AU</v>
      </c>
      <c r="H8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INDEX(LOADINGSPEEDDEF[SPEED],MATCH("LOADINGSPEEDDEF_"&amp;PROPERTIES[[#This Row],[LOADINGSPEED]],LOADINGSPEEDDEF[TYPE],0))</f>
        <v>60</v>
      </c>
      <c r="O8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4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31" s="2" t="str">
        <f>SUBSTITUTE(SUBSTITUTE(PROPERTIES[[#This Row],[PURCHASECOST_VALUE]], "PURCHASECOST_", ""), "_VALUE", "")</f>
        <v>EMU</v>
      </c>
      <c r="AO831" s="41" t="b">
        <v>0</v>
      </c>
      <c r="AP831" s="45" t="b">
        <v>0</v>
      </c>
      <c r="AQ831" s="45" t="b">
        <v>0</v>
      </c>
      <c r="AR831" s="45">
        <v>0</v>
      </c>
      <c r="AS831" s="45" t="b">
        <v>0</v>
      </c>
      <c r="AT831" s="7" t="b">
        <v>0</v>
      </c>
      <c r="AU8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32" spans="1:47" x14ac:dyDescent="0.35">
      <c r="A832" s="2" t="s">
        <v>3289</v>
      </c>
      <c r="B832">
        <v>1973</v>
      </c>
      <c r="C832">
        <v>2004</v>
      </c>
      <c r="D8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2" s="37" t="str">
        <f>INDEX(CONTROL[ENGLISH],MATCH(PROPERTIES[[#This Row],[VEHIDCODE]],CONTROL[VEHIDCODE],0))</f>
        <v>ABB Henschel Berlin BVG F74</v>
      </c>
      <c r="F832" t="s">
        <v>584</v>
      </c>
      <c r="G832" s="37" t="str">
        <f>_xlfn.IFNA(INDEX(COUNTRIES[COUNTRY_LABEL],MATCH(PROPERTIES[[#This Row],[COUNTRY]],COUNTRIES[COUNTRY_DESCRIPTION],0)),"")</f>
        <v>DE</v>
      </c>
      <c r="H8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INDEX(LOADINGSPEEDDEF[SPEED],MATCH("LOADINGSPEEDDEF_"&amp;PROPERTIES[[#This Row],[LOADINGSPEED]],LOADINGSPEEDDEF[TYPE],0))</f>
        <v>120</v>
      </c>
      <c r="O8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4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32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32" s="2" t="str">
        <f>SUBSTITUTE(SUBSTITUTE(PROPERTIES[[#This Row],[PURCHASECOST_VALUE]], "PURCHASECOST_", ""), "_VALUE", "")</f>
        <v>METRO</v>
      </c>
      <c r="AO832" s="41" t="b">
        <v>0</v>
      </c>
      <c r="AP832" s="45" t="b">
        <v>0</v>
      </c>
      <c r="AQ832" s="45" t="b">
        <v>0</v>
      </c>
      <c r="AR832" s="45">
        <v>0</v>
      </c>
      <c r="AS832" s="45" t="b">
        <v>0</v>
      </c>
      <c r="AT832" s="7" t="b">
        <v>0</v>
      </c>
      <c r="AU8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33" spans="1:47" x14ac:dyDescent="0.35">
      <c r="A833" s="2" t="s">
        <v>3290</v>
      </c>
      <c r="B833">
        <v>1996</v>
      </c>
      <c r="D8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33" s="37" t="str">
        <f>INDEX(CONTROL[ENGLISH],MATCH(PROPERTIES[[#This Row],[VEHIDCODE]],CONTROL[VEHIDCODE],0))</f>
        <v>Adtranz Berlin BVG H</v>
      </c>
      <c r="F833" t="s">
        <v>584</v>
      </c>
      <c r="G833" s="37" t="str">
        <f>_xlfn.IFNA(INDEX(COUNTRIES[COUNTRY_LABEL],MATCH(PROPERTIES[[#This Row],[COUNTRY]],COUNTRIES[COUNTRY_DESCRIPTION],0)),"")</f>
        <v>DE</v>
      </c>
      <c r="H8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INDEX(LOADINGSPEEDDEF[SPEED],MATCH("LOADINGSPEEDDEF_"&amp;PROPERTIES[[#This Row],[LOADINGSPEED]],LOADINGSPEEDDEF[TYPE],0))</f>
        <v>120</v>
      </c>
      <c r="O83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3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833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833" s="2" t="str">
        <f>SUBSTITUTE(SUBSTITUTE(PROPERTIES[[#This Row],[PURCHASECOST_VALUE]], "PURCHASECOST_", ""), "_VALUE", "")</f>
        <v>METRO</v>
      </c>
      <c r="AO833" s="41" t="b">
        <v>0</v>
      </c>
      <c r="AP833" s="45" t="b">
        <v>0</v>
      </c>
      <c r="AQ833" s="45" t="b">
        <v>0</v>
      </c>
      <c r="AR833" s="45">
        <v>0</v>
      </c>
      <c r="AS833" s="45" t="b">
        <v>0</v>
      </c>
      <c r="AT833" s="7" t="b">
        <v>0</v>
      </c>
      <c r="AU8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834" spans="1:47" x14ac:dyDescent="0.35">
      <c r="A834" s="2" t="s">
        <v>3291</v>
      </c>
      <c r="B834">
        <v>1875</v>
      </c>
      <c r="C834">
        <v>1902</v>
      </c>
      <c r="D8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4" s="37" t="str">
        <f>INDEX(CONTROL[ENGLISH],MATCH(PROPERTIES[[#This Row],[VEHIDCODE]],CONTROL[VEHIDCODE],0))</f>
        <v>LB&amp;SCR BRW 0-6-0T 'A1'</v>
      </c>
      <c r="F834" t="s">
        <v>603</v>
      </c>
      <c r="G834" s="37" t="str">
        <f>_xlfn.IFNA(INDEX(COUNTRIES[COUNTRY_LABEL],MATCH(PROPERTIES[[#This Row],[COUNTRY]],COUNTRIES[COUNTRY_DESCRIPTION],0)),"")</f>
        <v>GB</v>
      </c>
      <c r="H8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INDEX(LOADINGSPEEDDEF[SPEED],MATCH("LOADINGSPEEDDEF_"&amp;PROPERTIES[[#This Row],[LOADINGSPEED]],LOADINGSPEEDDEF[TYPE],0))</f>
        <v>20</v>
      </c>
      <c r="O8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4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1" t="b">
        <v>0</v>
      </c>
      <c r="AP834" s="45" t="b">
        <v>0</v>
      </c>
      <c r="AQ834" s="45" t="b">
        <v>0</v>
      </c>
      <c r="AR834" s="45">
        <v>0</v>
      </c>
      <c r="AS834" s="45" t="b">
        <v>0</v>
      </c>
      <c r="AT834" s="7" t="b">
        <v>0</v>
      </c>
      <c r="AU8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5" spans="1:47" x14ac:dyDescent="0.35">
      <c r="A835" s="2" t="s">
        <v>3292</v>
      </c>
      <c r="B835">
        <v>1903</v>
      </c>
      <c r="C835">
        <v>1957</v>
      </c>
      <c r="D8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5" s="37" t="str">
        <f>INDEX(CONTROL[ENGLISH],MATCH(PROPERTIES[[#This Row],[VEHIDCODE]],CONTROL[VEHIDCODE],0))</f>
        <v>BP 4-6-4T 4444-4478 'C30'</v>
      </c>
      <c r="F835" t="s">
        <v>541</v>
      </c>
      <c r="G835" s="37" t="str">
        <f>_xlfn.IFNA(INDEX(COUNTRIES[COUNTRY_LABEL],MATCH(PROPERTIES[[#This Row],[COUNTRY]],COUNTRIES[COUNTRY_DESCRIPTION],0)),"")</f>
        <v>AU</v>
      </c>
      <c r="H8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INDEX(LOADINGSPEEDDEF[SPEED],MATCH("LOADINGSPEEDDEF_"&amp;PROPERTIES[[#This Row],[LOADINGSPEED]],LOADINGSPEEDDEF[TYPE],0))</f>
        <v>20</v>
      </c>
      <c r="O8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4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1" t="b">
        <v>0</v>
      </c>
      <c r="AP835" s="45" t="b">
        <v>0</v>
      </c>
      <c r="AQ835" s="45" t="b">
        <v>0</v>
      </c>
      <c r="AR835" s="45">
        <v>0</v>
      </c>
      <c r="AS835" s="45" t="b">
        <v>0</v>
      </c>
      <c r="AT835" s="7" t="b">
        <v>0</v>
      </c>
      <c r="AU8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36" spans="1:47" x14ac:dyDescent="0.35">
      <c r="A836" s="2" t="s">
        <v>3293</v>
      </c>
      <c r="B836">
        <v>1892</v>
      </c>
      <c r="C836">
        <v>1956</v>
      </c>
      <c r="D8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6" s="37" t="str">
        <f>INDEX(CONTROL[ENGLISH],MATCH(PROPERTIES[[#This Row],[VEHIDCODE]],CONTROL[VEHIDCODE],0))</f>
        <v>BP/Baldwin/Clyde 4-6-0 'C32'</v>
      </c>
      <c r="F836" t="s">
        <v>541</v>
      </c>
      <c r="G836" s="37" t="str">
        <f>_xlfn.IFNA(INDEX(COUNTRIES[COUNTRY_LABEL],MATCH(PROPERTIES[[#This Row],[COUNTRY]],COUNTRIES[COUNTRY_DESCRIPTION],0)),"")</f>
        <v>AU</v>
      </c>
      <c r="H8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INDEX(LOADINGSPEEDDEF[SPEED],MATCH("LOADINGSPEEDDEF_"&amp;PROPERTIES[[#This Row],[LOADINGSPEED]],LOADINGSPEEDDEF[TYPE],0))</f>
        <v>20</v>
      </c>
      <c r="O8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4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1" t="b">
        <v>0</v>
      </c>
      <c r="AP836" s="45" t="b">
        <v>0</v>
      </c>
      <c r="AQ836" s="45" t="b">
        <v>0</v>
      </c>
      <c r="AR836" s="45">
        <v>0</v>
      </c>
      <c r="AS836" s="45" t="b">
        <v>0</v>
      </c>
      <c r="AT836" s="7" t="b">
        <v>0</v>
      </c>
      <c r="AU8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7" spans="1:47" x14ac:dyDescent="0.35">
      <c r="A837" s="2" t="s">
        <v>3294</v>
      </c>
      <c r="B837">
        <v>1896</v>
      </c>
      <c r="C837">
        <v>1932</v>
      </c>
      <c r="D8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7" s="37" t="str">
        <f>INDEX(CONTROL[ENGLISH],MATCH(PROPERTIES[[#This Row],[VEHIDCODE]],CONTROL[VEHIDCODE],0))</f>
        <v>BP/NBLC 2-8-0 'D50'</v>
      </c>
      <c r="F837" t="s">
        <v>541</v>
      </c>
      <c r="G837" s="37" t="str">
        <f>_xlfn.IFNA(INDEX(COUNTRIES[COUNTRY_LABEL],MATCH(PROPERTIES[[#This Row],[COUNTRY]],COUNTRIES[COUNTRY_DESCRIPTION],0)),"")</f>
        <v>AU</v>
      </c>
      <c r="H8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INDEX(LOADINGSPEEDDEF[SPEED],MATCH("LOADINGSPEEDDEF_"&amp;PROPERTIES[[#This Row],[LOADINGSPEED]],LOADINGSPEEDDEF[TYPE],0))</f>
        <v>20</v>
      </c>
      <c r="O83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4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1" t="b">
        <v>0</v>
      </c>
      <c r="AP837" s="45" t="b">
        <v>0</v>
      </c>
      <c r="AQ837" s="45" t="b">
        <v>0</v>
      </c>
      <c r="AR837" s="45">
        <v>0</v>
      </c>
      <c r="AS837" s="45" t="b">
        <v>0</v>
      </c>
      <c r="AT837" s="7" t="b">
        <v>0</v>
      </c>
      <c r="AU8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8" spans="1:47" x14ac:dyDescent="0.35">
      <c r="A838" s="2" t="s">
        <v>3295</v>
      </c>
      <c r="B838">
        <v>1877</v>
      </c>
      <c r="C838">
        <v>1957</v>
      </c>
      <c r="D8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8" s="37" t="str">
        <f>INDEX(CONTROL[ENGLISH],MATCH(PROPERTIES[[#This Row],[VEHIDCODE]],CONTROL[VEHIDCODE],0))</f>
        <v>BP/Dubs 4-4-0 'Z12'</v>
      </c>
      <c r="F838" t="s">
        <v>541</v>
      </c>
      <c r="G838" s="37" t="str">
        <f>_xlfn.IFNA(INDEX(COUNTRIES[COUNTRY_LABEL],MATCH(PROPERTIES[[#This Row],[COUNTRY]],COUNTRIES[COUNTRY_DESCRIPTION],0)),"")</f>
        <v>AU</v>
      </c>
      <c r="H8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INDEX(LOADINGSPEEDDEF[SPEED],MATCH("LOADINGSPEEDDEF_"&amp;PROPERTIES[[#This Row],[LOADINGSPEED]],LOADINGSPEEDDEF[TYPE],0))</f>
        <v>20</v>
      </c>
      <c r="O83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4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1" t="b">
        <v>0</v>
      </c>
      <c r="AP838" s="45" t="b">
        <v>0</v>
      </c>
      <c r="AQ838" s="45" t="b">
        <v>0</v>
      </c>
      <c r="AR838" s="45">
        <v>0</v>
      </c>
      <c r="AS838" s="45" t="b">
        <v>0</v>
      </c>
      <c r="AT838" s="7" t="b">
        <v>0</v>
      </c>
      <c r="AU8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39" spans="1:47" x14ac:dyDescent="0.35">
      <c r="A839" s="2" t="s">
        <v>3296</v>
      </c>
      <c r="B839">
        <v>1877</v>
      </c>
      <c r="C839">
        <v>1910</v>
      </c>
      <c r="D8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39" s="37" t="str">
        <f>INDEX(CONTROL[ENGLISH],MATCH(PROPERTIES[[#This Row],[VEHIDCODE]],CONTROL[VEHIDCODE],0))</f>
        <v>BP 0-6-0 'Z19'</v>
      </c>
      <c r="F839" t="s">
        <v>541</v>
      </c>
      <c r="G839" s="37" t="str">
        <f>_xlfn.IFNA(INDEX(COUNTRIES[COUNTRY_LABEL],MATCH(PROPERTIES[[#This Row],[COUNTRY]],COUNTRIES[COUNTRY_DESCRIPTION],0)),"")</f>
        <v>AU</v>
      </c>
      <c r="H8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INDEX(LOADINGSPEEDDEF[SPEED],MATCH("LOADINGSPEEDDEF_"&amp;PROPERTIES[[#This Row],[LOADINGSPEED]],LOADINGSPEEDDEF[TYPE],0))</f>
        <v>20</v>
      </c>
      <c r="O8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4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3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1" t="b">
        <v>0</v>
      </c>
      <c r="AP839" s="45" t="b">
        <v>0</v>
      </c>
      <c r="AQ839" s="45" t="b">
        <v>0</v>
      </c>
      <c r="AR839" s="45">
        <v>0</v>
      </c>
      <c r="AS839" s="45" t="b">
        <v>0</v>
      </c>
      <c r="AT839" s="7" t="b">
        <v>0</v>
      </c>
      <c r="AU8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0" spans="1:47" x14ac:dyDescent="0.35">
      <c r="A840" s="2" t="s">
        <v>3297</v>
      </c>
      <c r="B840">
        <v>1892</v>
      </c>
      <c r="C840">
        <v>1920</v>
      </c>
      <c r="D8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0" s="37" t="str">
        <f>INDEX(CONTROL[ENGLISH],MATCH(PROPERTIES[[#This Row],[VEHIDCODE]],CONTROL[VEHIDCODE],0))</f>
        <v>Dubs 2-6-2ST 'Z26'</v>
      </c>
      <c r="F840" t="s">
        <v>541</v>
      </c>
      <c r="G840" s="37" t="str">
        <f>_xlfn.IFNA(INDEX(COUNTRIES[COUNTRY_LABEL],MATCH(PROPERTIES[[#This Row],[COUNTRY]],COUNTRIES[COUNTRY_DESCRIPTION],0)),"")</f>
        <v>AU</v>
      </c>
      <c r="H8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INDEX(LOADINGSPEEDDEF[SPEED],MATCH("LOADINGSPEEDDEF_"&amp;PROPERTIES[[#This Row],[LOADINGSPEED]],LOADINGSPEEDDEF[TYPE],0))</f>
        <v>20</v>
      </c>
      <c r="O8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4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1" t="b">
        <v>0</v>
      </c>
      <c r="AP840" s="45" t="b">
        <v>0</v>
      </c>
      <c r="AQ840" s="45" t="b">
        <v>0</v>
      </c>
      <c r="AR840" s="45">
        <v>0</v>
      </c>
      <c r="AS840" s="45" t="b">
        <v>0</v>
      </c>
      <c r="AT840" s="7" t="b">
        <v>0</v>
      </c>
      <c r="AU8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41" spans="1:47" x14ac:dyDescent="0.35">
      <c r="A841" s="2" t="s">
        <v>3298</v>
      </c>
      <c r="B841">
        <v>1926</v>
      </c>
      <c r="C841">
        <v>1958</v>
      </c>
      <c r="D8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1" s="37" t="str">
        <f>INDEX(CONTROL[ENGLISH],MATCH(PROPERTIES[[#This Row],[VEHIDCODE]],CONTROL[VEHIDCODE],0))</f>
        <v>GCR/Kitson/NBLC ROD 2-8-0 '8K'</v>
      </c>
      <c r="F841" t="s">
        <v>603</v>
      </c>
      <c r="G841" s="37" t="str">
        <f>_xlfn.IFNA(INDEX(COUNTRIES[COUNTRY_LABEL],MATCH(PROPERTIES[[#This Row],[COUNTRY]],COUNTRIES[COUNTRY_DESCRIPTION],0)),"")</f>
        <v>GB</v>
      </c>
      <c r="H8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INDEX(LOADINGSPEEDDEF[SPEED],MATCH("LOADINGSPEEDDEF_"&amp;PROPERTIES[[#This Row],[LOADINGSPEED]],LOADINGSPEEDDEF[TYPE],0))</f>
        <v>20</v>
      </c>
      <c r="O8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4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1" t="b">
        <v>0</v>
      </c>
      <c r="AP841" s="45" t="b">
        <v>0</v>
      </c>
      <c r="AQ841" s="45" t="b">
        <v>0</v>
      </c>
      <c r="AR841" s="45">
        <v>0</v>
      </c>
      <c r="AS841" s="45" t="b">
        <v>0</v>
      </c>
      <c r="AT841" s="7" t="b">
        <v>0</v>
      </c>
      <c r="AU8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2" spans="1:47" x14ac:dyDescent="0.35">
      <c r="A842" s="2" t="s">
        <v>3299</v>
      </c>
      <c r="B842">
        <v>1925</v>
      </c>
      <c r="C842">
        <v>1961</v>
      </c>
      <c r="D8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2" s="37" t="str">
        <f>INDEX(CONTROL[ENGLISH],MATCH(PROPERTIES[[#This Row],[VEHIDCODE]],CONTROL[VEHIDCODE],0))</f>
        <v>ALCO 4-6-2 SAR 600</v>
      </c>
      <c r="F842" t="s">
        <v>541</v>
      </c>
      <c r="G842" s="37" t="str">
        <f>_xlfn.IFNA(INDEX(COUNTRIES[COUNTRY_LABEL],MATCH(PROPERTIES[[#This Row],[COUNTRY]],COUNTRIES[COUNTRY_DESCRIPTION],0)),"")</f>
        <v>AU</v>
      </c>
      <c r="H8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INDEX(LOADINGSPEEDDEF[SPEED],MATCH("LOADINGSPEEDDEF_"&amp;PROPERTIES[[#This Row],[LOADINGSPEED]],LOADINGSPEEDDEF[TYPE],0))</f>
        <v>20</v>
      </c>
      <c r="O8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4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1" t="b">
        <v>0</v>
      </c>
      <c r="AP842" s="45" t="b">
        <v>0</v>
      </c>
      <c r="AQ842" s="45" t="b">
        <v>0</v>
      </c>
      <c r="AR842" s="45">
        <v>0</v>
      </c>
      <c r="AS842" s="45" t="b">
        <v>0</v>
      </c>
      <c r="AT842" s="7" t="b">
        <v>0</v>
      </c>
      <c r="AU8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3" spans="1:47" x14ac:dyDescent="0.35">
      <c r="A843" s="2" t="s">
        <v>3300</v>
      </c>
      <c r="B843">
        <v>1911</v>
      </c>
      <c r="C843">
        <v>1982</v>
      </c>
      <c r="D8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3" s="37" t="str">
        <f>INDEX(CONTROL[ENGLISH],MATCH(PROPERTIES[[#This Row],[VEHIDCODE]],CONTROL[VEHIDCODE],0))</f>
        <v>BP 2-8-2T South Maitland 10</v>
      </c>
      <c r="F843" t="s">
        <v>541</v>
      </c>
      <c r="G843" s="37" t="str">
        <f>_xlfn.IFNA(INDEX(COUNTRIES[COUNTRY_LABEL],MATCH(PROPERTIES[[#This Row],[COUNTRY]],COUNTRIES[COUNTRY_DESCRIPTION],0)),"")</f>
        <v>AU</v>
      </c>
      <c r="H8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INDEX(LOADINGSPEEDDEF[SPEED],MATCH("LOADINGSPEEDDEF_"&amp;PROPERTIES[[#This Row],[LOADINGSPEED]],LOADINGSPEEDDEF[TYPE],0))</f>
        <v>20</v>
      </c>
      <c r="O8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4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1" t="b">
        <v>0</v>
      </c>
      <c r="AP843" s="45" t="b">
        <v>0</v>
      </c>
      <c r="AQ843" s="45" t="b">
        <v>0</v>
      </c>
      <c r="AR843" s="45">
        <v>0</v>
      </c>
      <c r="AS843" s="45" t="b">
        <v>0</v>
      </c>
      <c r="AT843" s="7" t="b">
        <v>0</v>
      </c>
      <c r="AU8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44" spans="1:47" x14ac:dyDescent="0.35">
      <c r="A844" s="2" t="s">
        <v>3301</v>
      </c>
      <c r="B844">
        <v>1941</v>
      </c>
      <c r="C844">
        <v>1956</v>
      </c>
      <c r="D8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4" s="37" t="str">
        <f>INDEX(CONTROL[ENGLISH],MATCH(PROPERTIES[[#This Row],[VEHIDCODE]],CONTROL[VEHIDCODE],0))</f>
        <v>Victorian Railways H</v>
      </c>
      <c r="F844" t="s">
        <v>541</v>
      </c>
      <c r="G844" s="37" t="str">
        <f>_xlfn.IFNA(INDEX(COUNTRIES[COUNTRY_LABEL],MATCH(PROPERTIES[[#This Row],[COUNTRY]],COUNTRIES[COUNTRY_DESCRIPTION],0)),"")</f>
        <v>AU</v>
      </c>
      <c r="H8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INDEX(LOADINGSPEEDDEF[SPEED],MATCH("LOADINGSPEEDDEF_"&amp;PROPERTIES[[#This Row],[LOADINGSPEED]],LOADINGSPEEDDEF[TYPE],0))</f>
        <v>20</v>
      </c>
      <c r="O8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4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4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1" t="b">
        <v>0</v>
      </c>
      <c r="AP844" s="45" t="b">
        <v>0</v>
      </c>
      <c r="AQ844" s="45" t="b">
        <v>0</v>
      </c>
      <c r="AR844" s="45">
        <v>0</v>
      </c>
      <c r="AS844" s="45" t="b">
        <v>0</v>
      </c>
      <c r="AT844" s="7" t="b">
        <v>0</v>
      </c>
      <c r="AU8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45" spans="1:47" x14ac:dyDescent="0.35">
      <c r="A845" s="2" t="s">
        <v>3302</v>
      </c>
      <c r="B845">
        <v>1953</v>
      </c>
      <c r="C845">
        <v>1975</v>
      </c>
      <c r="D8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5" s="37" t="str">
        <f>INDEX(CONTROL[ENGLISH],MATCH(PROPERTIES[[#This Row],[VEHIDCODE]],CONTROL[VEHIDCODE],0))</f>
        <v>BTH 41 Class</v>
      </c>
      <c r="F845" t="s">
        <v>541</v>
      </c>
      <c r="G845" s="37" t="str">
        <f>_xlfn.IFNA(INDEX(COUNTRIES[COUNTRY_LABEL],MATCH(PROPERTIES[[#This Row],[COUNTRY]],COUNTRIES[COUNTRY_DESCRIPTION],0)),"")</f>
        <v>AU</v>
      </c>
      <c r="H8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INDEX(LOADINGSPEEDDEF[SPEED],MATCH("LOADINGSPEEDDEF_"&amp;PROPERTIES[[#This Row],[LOADINGSPEED]],LOADINGSPEEDDEF[TYPE],0))</f>
        <v>20</v>
      </c>
      <c r="O8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4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1" t="b">
        <v>0</v>
      </c>
      <c r="AP845" s="45" t="b">
        <v>0</v>
      </c>
      <c r="AQ845" s="45" t="b">
        <v>0</v>
      </c>
      <c r="AR845" s="45">
        <v>0</v>
      </c>
      <c r="AS845" s="45" t="b">
        <v>0</v>
      </c>
      <c r="AT845" s="7" t="b">
        <v>0</v>
      </c>
      <c r="AU8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6" spans="1:47" x14ac:dyDescent="0.35">
      <c r="A846" s="2" t="s">
        <v>3303</v>
      </c>
      <c r="B846">
        <v>1959</v>
      </c>
      <c r="C846">
        <v>1994</v>
      </c>
      <c r="D8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6" s="37" t="str">
        <f>INDEX(CONTROL[ENGLISH],MATCH(PROPERTIES[[#This Row],[VEHIDCODE]],CONTROL[VEHIDCODE],0))</f>
        <v>ALCO/AE Goodwin DL531/532</v>
      </c>
      <c r="F846" t="s">
        <v>541</v>
      </c>
      <c r="G846" s="37" t="str">
        <f>_xlfn.IFNA(INDEX(COUNTRIES[COUNTRY_LABEL],MATCH(PROPERTIES[[#This Row],[COUNTRY]],COUNTRIES[COUNTRY_DESCRIPTION],0)),"")</f>
        <v>AU</v>
      </c>
      <c r="H8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INDEX(LOADINGSPEEDDEF[SPEED],MATCH("LOADINGSPEEDDEF_"&amp;PROPERTIES[[#This Row],[LOADINGSPEED]],LOADINGSPEEDDEF[TYPE],0))</f>
        <v>20</v>
      </c>
      <c r="O8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4">
        <v>0</v>
      </c>
      <c r="AF846" s="6">
        <v>0</v>
      </c>
      <c r="AG846" t="s">
        <v>1940</v>
      </c>
      <c r="AH846" t="s">
        <v>1939</v>
      </c>
      <c r="AI846" t="s">
        <v>229</v>
      </c>
      <c r="AJ846" s="2" t="s">
        <v>229</v>
      </c>
      <c r="AK846" s="2" t="s">
        <v>244</v>
      </c>
      <c r="AL8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1" t="b">
        <v>0</v>
      </c>
      <c r="AP846" s="45" t="b">
        <v>0</v>
      </c>
      <c r="AQ846" s="45" t="b">
        <v>0</v>
      </c>
      <c r="AR846" s="45">
        <v>0</v>
      </c>
      <c r="AS846" s="45" t="b">
        <v>0</v>
      </c>
      <c r="AT846" s="7" t="b">
        <v>0</v>
      </c>
      <c r="AU8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7" spans="1:47" x14ac:dyDescent="0.35">
      <c r="A847" s="2" t="s">
        <v>3304</v>
      </c>
      <c r="B847">
        <v>1946</v>
      </c>
      <c r="C847">
        <v>2030</v>
      </c>
      <c r="D8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7" s="37" t="str">
        <f>INDEX(CONTROL[ENGLISH],MATCH(PROPERTIES[[#This Row],[VEHIDCODE]],CONTROL[VEHIDCODE],0))</f>
        <v>ALCO/AE Goodwin DL500</v>
      </c>
      <c r="F847" t="s">
        <v>757</v>
      </c>
      <c r="G847" s="37" t="str">
        <f>_xlfn.IFNA(INDEX(COUNTRIES[COUNTRY_LABEL],MATCH(PROPERTIES[[#This Row],[COUNTRY]],COUNTRIES[COUNTRY_DESCRIPTION],0)),"")</f>
        <v>US</v>
      </c>
      <c r="H8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INDEX(LOADINGSPEEDDEF[SPEED],MATCH("LOADINGSPEEDDEF_"&amp;PROPERTIES[[#This Row],[LOADINGSPEED]],LOADINGSPEEDDEF[TYPE],0))</f>
        <v>20</v>
      </c>
      <c r="O8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4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1939</v>
      </c>
      <c r="AK847" s="2" t="s">
        <v>244</v>
      </c>
      <c r="AL8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1" t="b">
        <v>0</v>
      </c>
      <c r="AP847" s="45" t="b">
        <v>0</v>
      </c>
      <c r="AQ847" s="45" t="b">
        <v>0</v>
      </c>
      <c r="AR847" s="45">
        <v>0</v>
      </c>
      <c r="AS847" s="45" t="b">
        <v>0</v>
      </c>
      <c r="AT847" s="7" t="b">
        <v>0</v>
      </c>
      <c r="AU8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8" spans="1:47" x14ac:dyDescent="0.35">
      <c r="A848" s="2" t="s">
        <v>3305</v>
      </c>
      <c r="B848">
        <v>1951</v>
      </c>
      <c r="C848">
        <v>1988</v>
      </c>
      <c r="D8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8" s="37" t="str">
        <f>INDEX(CONTROL[ENGLISH],MATCH(PROPERTIES[[#This Row],[VEHIDCODE]],CONTROL[VEHIDCODE],0))</f>
        <v>EMD/Clyde A16C</v>
      </c>
      <c r="F848" t="s">
        <v>541</v>
      </c>
      <c r="G848" s="37" t="str">
        <f>_xlfn.IFNA(INDEX(COUNTRIES[COUNTRY_LABEL],MATCH(PROPERTIES[[#This Row],[COUNTRY]],COUNTRIES[COUNTRY_DESCRIPTION],0)),"")</f>
        <v>AU</v>
      </c>
      <c r="H8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INDEX(LOADINGSPEEDDEF[SPEED],MATCH("LOADINGSPEEDDEF_"&amp;PROPERTIES[[#This Row],[LOADINGSPEED]],LOADINGSPEEDDEF[TYPE],0))</f>
        <v>20</v>
      </c>
      <c r="O8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4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1" t="b">
        <v>0</v>
      </c>
      <c r="AP848" s="45" t="b">
        <v>0</v>
      </c>
      <c r="AQ848" s="45" t="b">
        <v>0</v>
      </c>
      <c r="AR848" s="45">
        <v>0</v>
      </c>
      <c r="AS848" s="45" t="b">
        <v>0</v>
      </c>
      <c r="AT848" s="7" t="b">
        <v>0</v>
      </c>
      <c r="AU8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49" spans="1:47" x14ac:dyDescent="0.35">
      <c r="A849" s="2" t="s">
        <v>3449</v>
      </c>
      <c r="B849">
        <v>1984</v>
      </c>
      <c r="C849">
        <v>2014</v>
      </c>
      <c r="D8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49" s="37" t="str">
        <f>INDEX(CONTROL[ENGLISH],MATCH(PROPERTIES[[#This Row],[VEHIDCODE]],CONTROL[VEHIDCODE],0))</f>
        <v>EMD/Clyde AAT22C-2R</v>
      </c>
      <c r="F849" t="s">
        <v>541</v>
      </c>
      <c r="G849" s="37" t="str">
        <f>_xlfn.IFNA(INDEX(COUNTRIES[COUNTRY_LABEL],MATCH(PROPERTIES[[#This Row],[COUNTRY]],COUNTRIES[COUNTRY_DESCRIPTION],0)),"")</f>
        <v>AU</v>
      </c>
      <c r="H8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INDEX(LOADINGSPEEDDEF[SPEED],MATCH("LOADINGSPEEDDEF_"&amp;PROPERTIES[[#This Row],[LOADINGSPEED]],LOADINGSPEEDDEF[TYPE],0))</f>
        <v>20</v>
      </c>
      <c r="O8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4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4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1" t="b">
        <v>0</v>
      </c>
      <c r="AP849" s="45" t="b">
        <v>0</v>
      </c>
      <c r="AQ849" s="45" t="b">
        <v>1</v>
      </c>
      <c r="AR849" s="45">
        <v>0</v>
      </c>
      <c r="AS849" s="45" t="b">
        <v>0</v>
      </c>
      <c r="AT849" s="7" t="b">
        <v>1</v>
      </c>
      <c r="AU8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0" spans="1:47" x14ac:dyDescent="0.35">
      <c r="A850" s="2" t="s">
        <v>3306</v>
      </c>
      <c r="B850">
        <v>1955</v>
      </c>
      <c r="C850">
        <v>1983</v>
      </c>
      <c r="D8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0" s="37" t="str">
        <f>INDEX(CONTROL[ENGLISH],MATCH(PROPERTIES[[#This Row],[VEHIDCODE]],CONTROL[VEHIDCODE],0))</f>
        <v>EMD/Clyde A7</v>
      </c>
      <c r="F850" t="s">
        <v>541</v>
      </c>
      <c r="G850" s="37" t="str">
        <f>_xlfn.IFNA(INDEX(COUNTRIES[COUNTRY_LABEL],MATCH(PROPERTIES[[#This Row],[COUNTRY]],COUNTRIES[COUNTRY_DESCRIPTION],0)),"")</f>
        <v>AU</v>
      </c>
      <c r="H8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INDEX(LOADINGSPEEDDEF[SPEED],MATCH("LOADINGSPEEDDEF_"&amp;PROPERTIES[[#This Row],[LOADINGSPEED]],LOADINGSPEEDDEF[TYPE],0))</f>
        <v>20</v>
      </c>
      <c r="O85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4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1" t="b">
        <v>0</v>
      </c>
      <c r="AP850" s="45" t="b">
        <v>0</v>
      </c>
      <c r="AQ850" s="45" t="b">
        <v>0</v>
      </c>
      <c r="AR850" s="45">
        <v>0</v>
      </c>
      <c r="AS850" s="45" t="b">
        <v>0</v>
      </c>
      <c r="AT850" s="7" t="b">
        <v>0</v>
      </c>
      <c r="AU8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1" spans="1:47" x14ac:dyDescent="0.35">
      <c r="A851" s="2" t="s">
        <v>3307</v>
      </c>
      <c r="B851">
        <v>1988</v>
      </c>
      <c r="C851">
        <v>1996</v>
      </c>
      <c r="D8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1" s="37" t="str">
        <f>INDEX(CONTROL[ENGLISH],MATCH(PROPERTIES[[#This Row],[VEHIDCODE]],CONTROL[VEHIDCODE],0))</f>
        <v xml:space="preserve">EMD/Clyde AT42C </v>
      </c>
      <c r="F851" t="s">
        <v>541</v>
      </c>
      <c r="G851" s="37" t="str">
        <f>_xlfn.IFNA(INDEX(COUNTRIES[COUNTRY_LABEL],MATCH(PROPERTIES[[#This Row],[COUNTRY]],COUNTRIES[COUNTRY_DESCRIPTION],0)),"")</f>
        <v>AU</v>
      </c>
      <c r="H8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INDEX(LOADINGSPEEDDEF[SPEED],MATCH("LOADINGSPEEDDEF_"&amp;PROPERTIES[[#This Row],[LOADINGSPEED]],LOADINGSPEEDDEF[TYPE],0))</f>
        <v>20</v>
      </c>
      <c r="O85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4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1" t="b">
        <v>0</v>
      </c>
      <c r="AP851" s="45" t="b">
        <v>0</v>
      </c>
      <c r="AQ851" s="45" t="b">
        <v>0</v>
      </c>
      <c r="AR851" s="45">
        <v>0</v>
      </c>
      <c r="AS851" s="45" t="b">
        <v>0</v>
      </c>
      <c r="AT851" s="7" t="b">
        <v>0</v>
      </c>
      <c r="AU8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2" spans="1:47" x14ac:dyDescent="0.35">
      <c r="A852" s="2" t="s">
        <v>3308</v>
      </c>
      <c r="B852">
        <v>1986</v>
      </c>
      <c r="D8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2" s="37" t="str">
        <f>INDEX(CONTROL[ENGLISH],MATCH(PROPERTIES[[#This Row],[VEHIDCODE]],CONTROL[VEHIDCODE],0))</f>
        <v>Clyde-ASEA CF48</v>
      </c>
      <c r="F852" t="s">
        <v>541</v>
      </c>
      <c r="G852" s="37" t="str">
        <f>_xlfn.IFNA(INDEX(COUNTRIES[COUNTRY_LABEL],MATCH(PROPERTIES[[#This Row],[COUNTRY]],COUNTRIES[COUNTRY_DESCRIPTION],0)),"")</f>
        <v>AU</v>
      </c>
      <c r="H8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INDEX(LOADINGSPEEDDEF[SPEED],MATCH("LOADINGSPEEDDEF_"&amp;PROPERTIES[[#This Row],[LOADINGSPEED]],LOADINGSPEEDDEF[TYPE],0))</f>
        <v>20</v>
      </c>
      <c r="O85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4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5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1" t="b">
        <v>0</v>
      </c>
      <c r="AP852" s="45" t="b">
        <v>0</v>
      </c>
      <c r="AQ852" s="45" t="b">
        <v>0</v>
      </c>
      <c r="AR852" s="45">
        <v>0</v>
      </c>
      <c r="AS852" s="45" t="b">
        <v>0</v>
      </c>
      <c r="AT852" s="7" t="b">
        <v>0</v>
      </c>
      <c r="AU8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3" spans="1:47" x14ac:dyDescent="0.35">
      <c r="A853" s="2" t="s">
        <v>3309</v>
      </c>
      <c r="B853">
        <v>1994</v>
      </c>
      <c r="C853">
        <v>2025</v>
      </c>
      <c r="D8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3" s="37" t="str">
        <f>INDEX(CONTROL[ENGLISH],MATCH(PROPERTIES[[#This Row],[VEHIDCODE]],CONTROL[VEHIDCODE],0))</f>
        <v>EMD GT46CWM</v>
      </c>
      <c r="F853" t="s">
        <v>541</v>
      </c>
      <c r="G853" s="37" t="str">
        <f>_xlfn.IFNA(INDEX(COUNTRIES[COUNTRY_LABEL],MATCH(PROPERTIES[[#This Row],[COUNTRY]],COUNTRIES[COUNTRY_DESCRIPTION],0)),"")</f>
        <v>AU</v>
      </c>
      <c r="H8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INDEX(LOADINGSPEEDDEF[SPEED],MATCH("LOADINGSPEEDDEF_"&amp;PROPERTIES[[#This Row],[LOADINGSPEED]],LOADINGSPEEDDEF[TYPE],0))</f>
        <v>20</v>
      </c>
      <c r="O8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4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1" t="b">
        <v>0</v>
      </c>
      <c r="AP853" s="45" t="b">
        <v>0</v>
      </c>
      <c r="AQ853" s="45" t="b">
        <v>0</v>
      </c>
      <c r="AR853" s="45">
        <v>0</v>
      </c>
      <c r="AS853" s="45" t="b">
        <v>0</v>
      </c>
      <c r="AT853" s="7" t="b">
        <v>0</v>
      </c>
      <c r="AU8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4" spans="1:47" x14ac:dyDescent="0.35">
      <c r="A854" s="2" t="s">
        <v>3310</v>
      </c>
      <c r="B854">
        <v>1996</v>
      </c>
      <c r="D8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4" s="37" t="str">
        <f>INDEX(CONTROL[ENGLISH],MATCH(PROPERTIES[[#This Row],[VEHIDCODE]],CONTROL[VEHIDCODE],0))</f>
        <v>Clyde-EMD GT46CW NR Concept</v>
      </c>
      <c r="F854" t="s">
        <v>541</v>
      </c>
      <c r="G854" s="37" t="str">
        <f>_xlfn.IFNA(INDEX(COUNTRIES[COUNTRY_LABEL],MATCH(PROPERTIES[[#This Row],[COUNTRY]],COUNTRIES[COUNTRY_DESCRIPTION],0)),"")</f>
        <v>AU</v>
      </c>
      <c r="H8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INDEX(LOADINGSPEEDDEF[SPEED],MATCH("LOADINGSPEEDDEF_"&amp;PROPERTIES[[#This Row],[LOADINGSPEED]],LOADINGSPEEDDEF[TYPE],0))</f>
        <v>20</v>
      </c>
      <c r="O85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4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1" t="b">
        <v>0</v>
      </c>
      <c r="AP854" s="45" t="b">
        <v>0</v>
      </c>
      <c r="AQ854" s="45" t="b">
        <v>0</v>
      </c>
      <c r="AR854" s="45">
        <v>0</v>
      </c>
      <c r="AS854" s="45" t="b">
        <v>0</v>
      </c>
      <c r="AT854" s="7" t="b">
        <v>0</v>
      </c>
      <c r="AU8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5" spans="1:47" x14ac:dyDescent="0.35">
      <c r="A855" s="2" t="s">
        <v>3311</v>
      </c>
      <c r="B855">
        <v>1977</v>
      </c>
      <c r="D8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5" s="37" t="str">
        <f>INDEX(CONTROL[ENGLISH],MATCH(PROPERTIES[[#This Row],[VEHIDCODE]],CONTROL[VEHIDCODE],0))</f>
        <v>Clyde JE28C PTC 73 Class Concept</v>
      </c>
      <c r="F855" t="s">
        <v>541</v>
      </c>
      <c r="G855" s="37" t="str">
        <f>_xlfn.IFNA(INDEX(COUNTRIES[COUNTRY_LABEL],MATCH(PROPERTIES[[#This Row],[COUNTRY]],COUNTRIES[COUNTRY_DESCRIPTION],0)),"")</f>
        <v>AU</v>
      </c>
      <c r="H8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INDEX(LOADINGSPEEDDEF[SPEED],MATCH("LOADINGSPEEDDEF_"&amp;PROPERTIES[[#This Row],[LOADINGSPEED]],LOADINGSPEEDDEF[TYPE],0))</f>
        <v>20</v>
      </c>
      <c r="O85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4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1" t="b">
        <v>0</v>
      </c>
      <c r="AP855" s="45" t="b">
        <v>0</v>
      </c>
      <c r="AQ855" s="45" t="b">
        <v>0</v>
      </c>
      <c r="AR855" s="45">
        <v>0</v>
      </c>
      <c r="AS855" s="45" t="b">
        <v>0</v>
      </c>
      <c r="AT855" s="7" t="b">
        <v>0</v>
      </c>
      <c r="AU8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6" spans="1:47" x14ac:dyDescent="0.35">
      <c r="A856" s="2" t="s">
        <v>3312</v>
      </c>
      <c r="B856">
        <v>1985</v>
      </c>
      <c r="C856">
        <v>2030</v>
      </c>
      <c r="D8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6" s="37" t="str">
        <f>INDEX(CONTROL[ENGLISH],MATCH(PROPERTIES[[#This Row],[VEHIDCODE]],CONTROL[VEHIDCODE],0))</f>
        <v>EMD/Clyde JT22HC-2</v>
      </c>
      <c r="F856" t="s">
        <v>541</v>
      </c>
      <c r="G856" s="37" t="str">
        <f>_xlfn.IFNA(INDEX(COUNTRIES[COUNTRY_LABEL],MATCH(PROPERTIES[[#This Row],[COUNTRY]],COUNTRIES[COUNTRY_DESCRIPTION],0)),"")</f>
        <v>AU</v>
      </c>
      <c r="H8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INDEX(LOADINGSPEEDDEF[SPEED],MATCH("LOADINGSPEEDDEF_"&amp;PROPERTIES[[#This Row],[LOADINGSPEED]],LOADINGSPEEDDEF[TYPE],0))</f>
        <v>20</v>
      </c>
      <c r="O85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4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1" t="b">
        <v>0</v>
      </c>
      <c r="AP856" s="45" t="b">
        <v>0</v>
      </c>
      <c r="AQ856" s="45" t="b">
        <v>0</v>
      </c>
      <c r="AR856" s="45">
        <v>0</v>
      </c>
      <c r="AS856" s="45" t="b">
        <v>0</v>
      </c>
      <c r="AT856" s="7" t="b">
        <v>0</v>
      </c>
      <c r="AU8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7" spans="1:47" x14ac:dyDescent="0.35">
      <c r="A857" s="2" t="s">
        <v>3444</v>
      </c>
      <c r="B857">
        <v>1982</v>
      </c>
      <c r="C857">
        <v>2030</v>
      </c>
      <c r="D8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7" s="37" t="str">
        <f>INDEX(CONTROL[ENGLISH],MATCH(PROPERTIES[[#This Row],[VEHIDCODE]],CONTROL[VEHIDCODE],0))</f>
        <v>EMD/Clyde JT26C-2SS NSW 81</v>
      </c>
      <c r="F857" t="s">
        <v>541</v>
      </c>
      <c r="G857" s="37" t="str">
        <f>_xlfn.IFNA(INDEX(COUNTRIES[COUNTRY_LABEL],MATCH(PROPERTIES[[#This Row],[COUNTRY]],COUNTRIES[COUNTRY_DESCRIPTION],0)),"")</f>
        <v>AU</v>
      </c>
      <c r="H8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INDEX(LOADINGSPEEDDEF[SPEED],MATCH("LOADINGSPEEDDEF_"&amp;PROPERTIES[[#This Row],[LOADINGSPEED]],LOADINGSPEEDDEF[TYPE],0))</f>
        <v>20</v>
      </c>
      <c r="O85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4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1" t="b">
        <v>0</v>
      </c>
      <c r="AP857" s="45" t="b">
        <v>0</v>
      </c>
      <c r="AQ857" s="45" t="b">
        <v>1</v>
      </c>
      <c r="AR857" s="45">
        <v>0</v>
      </c>
      <c r="AS857" s="45" t="b">
        <v>0</v>
      </c>
      <c r="AT857" s="7" t="b">
        <v>1</v>
      </c>
      <c r="AU8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8" spans="1:47" x14ac:dyDescent="0.35">
      <c r="A858" s="2" t="s">
        <v>3445</v>
      </c>
      <c r="B858">
        <v>1984</v>
      </c>
      <c r="C858">
        <v>2030</v>
      </c>
      <c r="D8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8" s="37" t="str">
        <f>INDEX(CONTROL[ENGLISH],MATCH(PROPERTIES[[#This Row],[VEHIDCODE]],CONTROL[VEHIDCODE],0))</f>
        <v>EMD/Clyde JT26C-2SS V-line G</v>
      </c>
      <c r="F858" t="s">
        <v>541</v>
      </c>
      <c r="G858" s="37" t="str">
        <f>_xlfn.IFNA(INDEX(COUNTRIES[COUNTRY_LABEL],MATCH(PROPERTIES[[#This Row],[COUNTRY]],COUNTRIES[COUNTRY_DESCRIPTION],0)),"")</f>
        <v>AU</v>
      </c>
      <c r="H8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INDEX(LOADINGSPEEDDEF[SPEED],MATCH("LOADINGSPEEDDEF_"&amp;PROPERTIES[[#This Row],[LOADINGSPEED]],LOADINGSPEEDDEF[TYPE],0))</f>
        <v>20</v>
      </c>
      <c r="O85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4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1" t="b">
        <v>0</v>
      </c>
      <c r="AP858" s="45" t="b">
        <v>0</v>
      </c>
      <c r="AQ858" s="45" t="b">
        <v>0</v>
      </c>
      <c r="AR858" s="45">
        <v>0</v>
      </c>
      <c r="AS858" s="45" t="b">
        <v>0</v>
      </c>
      <c r="AT858" s="7" t="b">
        <v>0</v>
      </c>
      <c r="AU8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59" spans="1:47" x14ac:dyDescent="0.35">
      <c r="A859" s="2" t="s">
        <v>3468</v>
      </c>
      <c r="B859">
        <v>1982</v>
      </c>
      <c r="C859">
        <v>2030</v>
      </c>
      <c r="D8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59" s="37" t="str">
        <f>INDEX(CONTROL[ENGLISH],MATCH(PROPERTIES[[#This Row],[VEHIDCODE]],CONTROL[VEHIDCODE],0))</f>
        <v>EMD/Clyde JT42C</v>
      </c>
      <c r="F859" t="s">
        <v>541</v>
      </c>
      <c r="G859" s="37" t="str">
        <f>_xlfn.IFNA(INDEX(COUNTRIES[COUNTRY_LABEL],MATCH(PROPERTIES[[#This Row],[COUNTRY]],COUNTRIES[COUNTRY_DESCRIPTION],0)),"")</f>
        <v>AU</v>
      </c>
      <c r="H8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INDEX(LOADINGSPEEDDEF[SPEED],MATCH("LOADINGSPEEDDEF_"&amp;PROPERTIES[[#This Row],[LOADINGSPEED]],LOADINGSPEEDDEF[TYPE],0))</f>
        <v>20</v>
      </c>
      <c r="O85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4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5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1" t="b">
        <v>0</v>
      </c>
      <c r="AP859" s="45" t="b">
        <v>0</v>
      </c>
      <c r="AQ859" s="45" t="b">
        <v>0</v>
      </c>
      <c r="AR859" s="45">
        <v>0</v>
      </c>
      <c r="AS859" s="45" t="b">
        <v>0</v>
      </c>
      <c r="AT859" s="7" t="b">
        <v>0</v>
      </c>
      <c r="AU8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0" spans="1:47" x14ac:dyDescent="0.35">
      <c r="A860" s="2" t="s">
        <v>3450</v>
      </c>
      <c r="B860">
        <v>1998</v>
      </c>
      <c r="C860">
        <v>2030</v>
      </c>
      <c r="D8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0" s="37" t="str">
        <f>INDEX(CONTROL[ENGLISH],MATCH(PROPERTIES[[#This Row],[VEHIDCODE]],CONTROL[VEHIDCODE],0))</f>
        <v>EMD JT42C 90-1277</v>
      </c>
      <c r="F860" t="s">
        <v>541</v>
      </c>
      <c r="G860" s="37" t="str">
        <f>_xlfn.IFNA(INDEX(COUNTRIES[COUNTRY_LABEL],MATCH(PROPERTIES[[#This Row],[COUNTRY]],COUNTRIES[COUNTRY_DESCRIPTION],0)),"")</f>
        <v>AU</v>
      </c>
      <c r="H8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INDEX(LOADINGSPEEDDEF[SPEED],MATCH("LOADINGSPEEDDEF_"&amp;PROPERTIES[[#This Row],[LOADINGSPEED]],LOADINGSPEEDDEF[TYPE],0))</f>
        <v>20</v>
      </c>
      <c r="O86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4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1" t="b">
        <v>0</v>
      </c>
      <c r="AP860" s="45" t="b">
        <v>0</v>
      </c>
      <c r="AQ860" s="45" t="b">
        <v>0</v>
      </c>
      <c r="AR860" s="45">
        <v>0</v>
      </c>
      <c r="AS860" s="45" t="b">
        <v>0</v>
      </c>
      <c r="AT860" s="7" t="b">
        <v>0</v>
      </c>
      <c r="AU8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1" spans="1:47" x14ac:dyDescent="0.35">
      <c r="A861" s="2" t="s">
        <v>3313</v>
      </c>
      <c r="B861">
        <v>1952</v>
      </c>
      <c r="C861">
        <v>1981</v>
      </c>
      <c r="D8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1" s="37" t="str">
        <f>INDEX(CONTROL[ENGLISH],MATCH(PROPERTIES[[#This Row],[VEHIDCODE]],CONTROL[VEHIDCODE],0))</f>
        <v>EMD/Clyde JT42C</v>
      </c>
      <c r="F861" t="s">
        <v>541</v>
      </c>
      <c r="G861" s="37" t="str">
        <f>_xlfn.IFNA(INDEX(COUNTRIES[COUNTRY_LABEL],MATCH(PROPERTIES[[#This Row],[COUNTRY]],COUNTRIES[COUNTRY_DESCRIPTION],0)),"")</f>
        <v>AU</v>
      </c>
      <c r="H8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INDEX(LOADINGSPEEDDEF[SPEED],MATCH("LOADINGSPEEDDEF_"&amp;PROPERTIES[[#This Row],[LOADINGSPEED]],LOADINGSPEEDDEF[TYPE],0))</f>
        <v>20</v>
      </c>
      <c r="O86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4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1" t="b">
        <v>0</v>
      </c>
      <c r="AP861" s="45" t="b">
        <v>0</v>
      </c>
      <c r="AQ861" s="45" t="b">
        <v>1</v>
      </c>
      <c r="AR861" s="45">
        <v>0</v>
      </c>
      <c r="AS861" s="45" t="b">
        <v>0</v>
      </c>
      <c r="AT861" s="7" t="b">
        <v>1</v>
      </c>
      <c r="AU8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2" spans="1:47" x14ac:dyDescent="0.35">
      <c r="A862" s="2" t="s">
        <v>3451</v>
      </c>
      <c r="B862">
        <v>1990</v>
      </c>
      <c r="C862">
        <v>2030</v>
      </c>
      <c r="D8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2" s="37" t="str">
        <f>INDEX(CONTROL[ENGLISH],MATCH(PROPERTIES[[#This Row],[VEHIDCODE]],CONTROL[VEHIDCODE],0))</f>
        <v>EMD/Clyde ML2</v>
      </c>
      <c r="F862" t="s">
        <v>541</v>
      </c>
      <c r="G862" s="37" t="str">
        <f>_xlfn.IFNA(INDEX(COUNTRIES[COUNTRY_LABEL],MATCH(PROPERTIES[[#This Row],[COUNTRY]],COUNTRIES[COUNTRY_DESCRIPTION],0)),"")</f>
        <v>AU</v>
      </c>
      <c r="H8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INDEX(LOADINGSPEEDDEF[SPEED],MATCH("LOADINGSPEEDDEF_"&amp;PROPERTIES[[#This Row],[LOADINGSPEED]],LOADINGSPEEDDEF[TYPE],0))</f>
        <v>20</v>
      </c>
      <c r="O8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4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1" t="b">
        <v>0</v>
      </c>
      <c r="AP862" s="45" t="b">
        <v>0</v>
      </c>
      <c r="AQ862" s="45" t="b">
        <v>0</v>
      </c>
      <c r="AR862" s="45">
        <v>0</v>
      </c>
      <c r="AS862" s="45" t="b">
        <v>0</v>
      </c>
      <c r="AT862" s="7" t="b">
        <v>0</v>
      </c>
      <c r="AU8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3" spans="1:47" x14ac:dyDescent="0.35">
      <c r="A863" s="2" t="s">
        <v>3314</v>
      </c>
      <c r="B863">
        <v>1966</v>
      </c>
      <c r="C863">
        <v>2030</v>
      </c>
      <c r="D8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3" s="37" t="str">
        <f>INDEX(CONTROL[ENGLISH],MATCH(PROPERTIES[[#This Row],[VEHIDCODE]],CONTROL[VEHIDCODE],0))</f>
        <v>EMD/Clyde G16C X1</v>
      </c>
      <c r="F863" t="s">
        <v>541</v>
      </c>
      <c r="G863" s="37" t="str">
        <f>_xlfn.IFNA(INDEX(COUNTRIES[COUNTRY_LABEL],MATCH(PROPERTIES[[#This Row],[COUNTRY]],COUNTRIES[COUNTRY_DESCRIPTION],0)),"")</f>
        <v>AU</v>
      </c>
      <c r="H8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INDEX(LOADINGSPEEDDEF[SPEED],MATCH("LOADINGSPEEDDEF_"&amp;PROPERTIES[[#This Row],[LOADINGSPEED]],LOADINGSPEEDDEF[TYPE],0))</f>
        <v>20</v>
      </c>
      <c r="O8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4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1" t="b">
        <v>0</v>
      </c>
      <c r="AP863" s="45" t="b">
        <v>0</v>
      </c>
      <c r="AQ863" s="45" t="b">
        <v>0</v>
      </c>
      <c r="AR863" s="45">
        <v>0</v>
      </c>
      <c r="AS863" s="45" t="b">
        <v>0</v>
      </c>
      <c r="AT863" s="7" t="b">
        <v>0</v>
      </c>
      <c r="AU8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4" spans="1:47" x14ac:dyDescent="0.35">
      <c r="A864" s="2" t="s">
        <v>3315</v>
      </c>
      <c r="B864">
        <v>1970</v>
      </c>
      <c r="C864">
        <v>2030</v>
      </c>
      <c r="D8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4" s="37" t="str">
        <f>INDEX(CONTROL[ENGLISH],MATCH(PROPERTIES[[#This Row],[VEHIDCODE]],CONTROL[VEHIDCODE],0))</f>
        <v>EMD/Clyde G26C X2</v>
      </c>
      <c r="F864" t="s">
        <v>541</v>
      </c>
      <c r="G864" s="37" t="str">
        <f>_xlfn.IFNA(INDEX(COUNTRIES[COUNTRY_LABEL],MATCH(PROPERTIES[[#This Row],[COUNTRY]],COUNTRIES[COUNTRY_DESCRIPTION],0)),"")</f>
        <v>AU</v>
      </c>
      <c r="H8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INDEX(LOADINGSPEEDDEF[SPEED],MATCH("LOADINGSPEEDDEF_"&amp;PROPERTIES[[#This Row],[LOADINGSPEED]],LOADINGSPEEDDEF[TYPE],0))</f>
        <v>20</v>
      </c>
      <c r="O8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4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1" t="b">
        <v>0</v>
      </c>
      <c r="AP864" s="45" t="b">
        <v>0</v>
      </c>
      <c r="AQ864" s="45" t="b">
        <v>1</v>
      </c>
      <c r="AR864" s="45">
        <v>0</v>
      </c>
      <c r="AS864" s="45" t="b">
        <v>0</v>
      </c>
      <c r="AT864" s="7" t="b">
        <v>1</v>
      </c>
      <c r="AU8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5" spans="1:47" x14ac:dyDescent="0.35">
      <c r="A865" s="2" t="s">
        <v>3316</v>
      </c>
      <c r="B865">
        <v>1975</v>
      </c>
      <c r="C865">
        <v>2030</v>
      </c>
      <c r="D8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5" s="37" t="str">
        <f>INDEX(CONTROL[ENGLISH],MATCH(PROPERTIES[[#This Row],[VEHIDCODE]],CONTROL[VEHIDCODE],0))</f>
        <v>EMD/Clyde G26C X3</v>
      </c>
      <c r="F865" t="s">
        <v>541</v>
      </c>
      <c r="G865" s="37" t="str">
        <f>_xlfn.IFNA(INDEX(COUNTRIES[COUNTRY_LABEL],MATCH(PROPERTIES[[#This Row],[COUNTRY]],COUNTRIES[COUNTRY_DESCRIPTION],0)),"")</f>
        <v>AU</v>
      </c>
      <c r="H8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INDEX(LOADINGSPEEDDEF[SPEED],MATCH("LOADINGSPEEDDEF_"&amp;PROPERTIES[[#This Row],[LOADINGSPEED]],LOADINGSPEEDDEF[TYPE],0))</f>
        <v>20</v>
      </c>
      <c r="O86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4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1" t="b">
        <v>0</v>
      </c>
      <c r="AP865" s="45" t="b">
        <v>0</v>
      </c>
      <c r="AQ865" s="45" t="b">
        <v>1</v>
      </c>
      <c r="AR865" s="45">
        <v>0</v>
      </c>
      <c r="AS865" s="45" t="b">
        <v>0</v>
      </c>
      <c r="AT865" s="7" t="b">
        <v>1</v>
      </c>
      <c r="AU8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6" spans="1:47" x14ac:dyDescent="0.35">
      <c r="A866" s="2" t="s">
        <v>3317</v>
      </c>
      <c r="B866">
        <v>1978</v>
      </c>
      <c r="D8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6" s="37" t="str">
        <f>INDEX(CONTROL[ENGLISH],MATCH(PROPERTIES[[#This Row],[VEHIDCODE]],CONTROL[VEHIDCODE],0))</f>
        <v>ALCO/Comeng CE615A</v>
      </c>
      <c r="F866" t="s">
        <v>541</v>
      </c>
      <c r="G866" s="37" t="str">
        <f>_xlfn.IFNA(INDEX(COUNTRIES[COUNTRY_LABEL],MATCH(PROPERTIES[[#This Row],[COUNTRY]],COUNTRIES[COUNTRY_DESCRIPTION],0)),"")</f>
        <v>AU</v>
      </c>
      <c r="H8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INDEX(LOADINGSPEEDDEF[SPEED],MATCH("LOADINGSPEEDDEF_"&amp;PROPERTIES[[#This Row],[LOADINGSPEED]],LOADINGSPEEDDEF[TYPE],0))</f>
        <v>20</v>
      </c>
      <c r="O8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4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1" t="b">
        <v>0</v>
      </c>
      <c r="AP866" s="45" t="b">
        <v>0</v>
      </c>
      <c r="AQ866" s="45" t="b">
        <v>0</v>
      </c>
      <c r="AR866" s="45">
        <v>0</v>
      </c>
      <c r="AS866" s="45" t="b">
        <v>0</v>
      </c>
      <c r="AT866" s="7" t="b">
        <v>0</v>
      </c>
      <c r="AU8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7" spans="1:47" x14ac:dyDescent="0.35">
      <c r="A867" t="s">
        <v>3318</v>
      </c>
      <c r="B867">
        <v>1979</v>
      </c>
      <c r="C867">
        <v>2007</v>
      </c>
      <c r="D8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7" s="37" t="str">
        <f>INDEX(CONTROL[ENGLISH],MATCH(PROPERTIES[[#This Row],[VEHIDCODE]],CONTROL[VEHIDCODE],0))</f>
        <v>Comeng Class 85</v>
      </c>
      <c r="F867" t="s">
        <v>541</v>
      </c>
      <c r="G867" s="37" t="str">
        <f>_xlfn.IFNA(INDEX(COUNTRIES[COUNTRY_LABEL],MATCH(PROPERTIES[[#This Row],[COUNTRY]],COUNTRIES[COUNTRY_DESCRIPTION],0)),"")</f>
        <v>AU</v>
      </c>
      <c r="H8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INDEX(LOADINGSPEEDDEF[SPEED],MATCH("LOADINGSPEEDDEF_"&amp;PROPERTIES[[#This Row],[LOADINGSPEED]],LOADINGSPEEDDEF[TYPE],0))</f>
        <v>20</v>
      </c>
      <c r="O8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4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6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1" t="b">
        <v>0</v>
      </c>
      <c r="AP867" s="45" t="b">
        <v>0</v>
      </c>
      <c r="AQ867" s="45" t="b">
        <v>0</v>
      </c>
      <c r="AR867" s="45">
        <v>0</v>
      </c>
      <c r="AS867" s="45" t="b">
        <v>0</v>
      </c>
      <c r="AT867" s="7" t="b">
        <v>0</v>
      </c>
      <c r="AU8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8" spans="1:47" x14ac:dyDescent="0.35">
      <c r="A868" s="2" t="s">
        <v>3319</v>
      </c>
      <c r="B868">
        <v>1987</v>
      </c>
      <c r="D8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8" s="37" t="str">
        <f>INDEX(CONTROL[ENGLISH],MATCH(PROPERTIES[[#This Row],[VEHIDCODE]],CONTROL[VEHIDCODE],0))</f>
        <v>Comeng Maldon-Dombarton '8650'</v>
      </c>
      <c r="F868" t="s">
        <v>541</v>
      </c>
      <c r="G868" s="37" t="str">
        <f>_xlfn.IFNA(INDEX(COUNTRIES[COUNTRY_LABEL],MATCH(PROPERTIES[[#This Row],[COUNTRY]],COUNTRIES[COUNTRY_DESCRIPTION],0)),"")</f>
        <v>AU</v>
      </c>
      <c r="H8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INDEX(LOADINGSPEEDDEF[SPEED],MATCH("LOADINGSPEEDDEF_"&amp;PROPERTIES[[#This Row],[LOADINGSPEED]],LOADINGSPEEDDEF[TYPE],0))</f>
        <v>20</v>
      </c>
      <c r="O86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4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1" t="b">
        <v>0</v>
      </c>
      <c r="AP868" s="45" t="b">
        <v>0</v>
      </c>
      <c r="AQ868" s="45" t="b">
        <v>0</v>
      </c>
      <c r="AR868" s="45">
        <v>0</v>
      </c>
      <c r="AS868" s="45" t="b">
        <v>0</v>
      </c>
      <c r="AT868" s="7" t="b">
        <v>0</v>
      </c>
      <c r="AU8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69" spans="1:47" x14ac:dyDescent="0.35">
      <c r="A869" s="2" t="s">
        <v>3320</v>
      </c>
      <c r="B869">
        <v>1972</v>
      </c>
      <c r="C869">
        <v>2008</v>
      </c>
      <c r="D8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69" s="37" t="str">
        <f>INDEX(CONTROL[ENGLISH],MATCH(PROPERTIES[[#This Row],[VEHIDCODE]],CONTROL[VEHIDCODE],0))</f>
        <v>EMD/NOHAB J30C-2DSB MZ III</v>
      </c>
      <c r="F869" t="s">
        <v>541</v>
      </c>
      <c r="G869" s="37" t="str">
        <f>_xlfn.IFNA(INDEX(COUNTRIES[COUNTRY_LABEL],MATCH(PROPERTIES[[#This Row],[COUNTRY]],COUNTRIES[COUNTRY_DESCRIPTION],0)),"")</f>
        <v>AU</v>
      </c>
      <c r="H8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INDEX(LOADINGSPEEDDEF[SPEED],MATCH("LOADINGSPEEDDEF_"&amp;PROPERTIES[[#This Row],[LOADINGSPEED]],LOADINGSPEEDDEF[TYPE],0))</f>
        <v>20</v>
      </c>
      <c r="O86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4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1" t="b">
        <v>0</v>
      </c>
      <c r="AP869" s="45" t="b">
        <v>0</v>
      </c>
      <c r="AQ869" s="45" t="b">
        <v>0</v>
      </c>
      <c r="AR869" s="45">
        <v>0</v>
      </c>
      <c r="AS869" s="45" t="b">
        <v>0</v>
      </c>
      <c r="AT869" s="7" t="b">
        <v>0</v>
      </c>
      <c r="AU8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0" spans="1:47" x14ac:dyDescent="0.35">
      <c r="A870" s="2" t="s">
        <v>3321</v>
      </c>
      <c r="B870">
        <v>1970</v>
      </c>
      <c r="D8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0" s="37" t="str">
        <f>INDEX(CONTROL[ENGLISH],MATCH(PROPERTIES[[#This Row],[VEHIDCODE]],CONTROL[VEHIDCODE],0))</f>
        <v>EMD/Clyde AT26C 'Twin 16-645'</v>
      </c>
      <c r="F870" t="s">
        <v>541</v>
      </c>
      <c r="G870" s="37" t="str">
        <f>_xlfn.IFNA(INDEX(COUNTRIES[COUNTRY_LABEL],MATCH(PROPERTIES[[#This Row],[COUNTRY]],COUNTRIES[COUNTRY_DESCRIPTION],0)),"")</f>
        <v>AU</v>
      </c>
      <c r="H8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INDEX(LOADINGSPEEDDEF[SPEED],MATCH("LOADINGSPEEDDEF_"&amp;PROPERTIES[[#This Row],[LOADINGSPEED]],LOADINGSPEEDDEF[TYPE],0))</f>
        <v>20</v>
      </c>
      <c r="O8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4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1" t="b">
        <v>0</v>
      </c>
      <c r="AP870" s="45" t="b">
        <v>0</v>
      </c>
      <c r="AQ870" s="45" t="b">
        <v>0</v>
      </c>
      <c r="AR870" s="45">
        <v>0</v>
      </c>
      <c r="AS870" s="45" t="b">
        <v>0</v>
      </c>
      <c r="AT870" s="7" t="b">
        <v>0</v>
      </c>
      <c r="AU8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TPL_16A</v>
      </c>
    </row>
    <row r="871" spans="1:47" x14ac:dyDescent="0.35">
      <c r="A871" s="2" t="s">
        <v>3452</v>
      </c>
      <c r="B871">
        <v>1982</v>
      </c>
      <c r="C871">
        <v>1989</v>
      </c>
      <c r="D8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1" s="37" t="str">
        <f>INDEX(CONTROL[ENGLISH],MATCH(PROPERTIES[[#This Row],[VEHIDCODE]],CONTROL[VEHIDCODE],0))</f>
        <v>EMD/Clyde GL26C-2</v>
      </c>
      <c r="F871" t="s">
        <v>541</v>
      </c>
      <c r="G871" s="37" t="str">
        <f>_xlfn.IFNA(INDEX(COUNTRIES[COUNTRY_LABEL],MATCH(PROPERTIES[[#This Row],[COUNTRY]],COUNTRIES[COUNTRY_DESCRIPTION],0)),"")</f>
        <v>AU</v>
      </c>
      <c r="H8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INDEX(LOADINGSPEEDDEF[SPEED],MATCH("LOADINGSPEEDDEF_"&amp;PROPERTIES[[#This Row],[LOADINGSPEED]],LOADINGSPEEDDEF[TYPE],0))</f>
        <v>20</v>
      </c>
      <c r="O8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4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1" t="b">
        <v>0</v>
      </c>
      <c r="AP871" s="45" t="b">
        <v>0</v>
      </c>
      <c r="AQ871" s="45" t="b">
        <v>0</v>
      </c>
      <c r="AR871" s="45">
        <v>0</v>
      </c>
      <c r="AS871" s="45" t="b">
        <v>0</v>
      </c>
      <c r="AT871" s="7" t="b">
        <v>0</v>
      </c>
      <c r="AU8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2" spans="1:47" x14ac:dyDescent="0.35">
      <c r="A872" s="2" t="s">
        <v>3322</v>
      </c>
      <c r="B872">
        <v>1973</v>
      </c>
      <c r="C872">
        <v>2014</v>
      </c>
      <c r="D8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2" s="37" t="str">
        <f>INDEX(CONTROL[ENGLISH],MATCH(PROPERTIES[[#This Row],[VEHIDCODE]],CONTROL[VEHIDCODE],0))</f>
        <v xml:space="preserve">EEC A.249 </v>
      </c>
      <c r="F872" t="s">
        <v>541</v>
      </c>
      <c r="G872" s="37" t="str">
        <f>_xlfn.IFNA(INDEX(COUNTRIES[COUNTRY_LABEL],MATCH(PROPERTIES[[#This Row],[COUNTRY]],COUNTRIES[COUNTRY_DESCRIPTION],0)),"")</f>
        <v>AU</v>
      </c>
      <c r="H8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INDEX(LOADINGSPEEDDEF[SPEED],MATCH("LOADINGSPEEDDEF_"&amp;PROPERTIES[[#This Row],[LOADINGSPEED]],LOADINGSPEEDDEF[TYPE],0))</f>
        <v>20</v>
      </c>
      <c r="O8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4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1" t="b">
        <v>0</v>
      </c>
      <c r="AP872" s="45" t="b">
        <v>0</v>
      </c>
      <c r="AQ872" s="45" t="b">
        <v>0</v>
      </c>
      <c r="AR872" s="45">
        <v>0</v>
      </c>
      <c r="AS872" s="45" t="b">
        <v>0</v>
      </c>
      <c r="AT872" s="7" t="b">
        <v>0</v>
      </c>
      <c r="AU8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3" spans="1:47" x14ac:dyDescent="0.35">
      <c r="A873" s="2" t="s">
        <v>3323</v>
      </c>
      <c r="B873">
        <v>1973</v>
      </c>
      <c r="C873">
        <v>1995</v>
      </c>
      <c r="D8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3" s="37" t="str">
        <f>INDEX(CONTROL[ENGLISH],MATCH(PROPERTIES[[#This Row],[VEHIDCODE]],CONTROL[VEHIDCODE],0))</f>
        <v>EEC A.253</v>
      </c>
      <c r="F873" t="s">
        <v>541</v>
      </c>
      <c r="G873" s="37" t="str">
        <f>_xlfn.IFNA(INDEX(COUNTRIES[COUNTRY_LABEL],MATCH(PROPERTIES[[#This Row],[COUNTRY]],COUNTRIES[COUNTRY_DESCRIPTION],0)),"")</f>
        <v>AU</v>
      </c>
      <c r="H8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INDEX(LOADINGSPEEDDEF[SPEED],MATCH("LOADINGSPEEDDEF_"&amp;PROPERTIES[[#This Row],[LOADINGSPEED]],LOADINGSPEEDDEF[TYPE],0))</f>
        <v>20</v>
      </c>
      <c r="O8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4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1" t="b">
        <v>0</v>
      </c>
      <c r="AP873" s="45" t="b">
        <v>0</v>
      </c>
      <c r="AQ873" s="45" t="b">
        <v>0</v>
      </c>
      <c r="AR873" s="45">
        <v>0</v>
      </c>
      <c r="AS873" s="45" t="b">
        <v>0</v>
      </c>
      <c r="AT873" s="7" t="b">
        <v>0</v>
      </c>
      <c r="AU8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4" spans="1:47" x14ac:dyDescent="0.35">
      <c r="A874" s="2" t="s">
        <v>3324</v>
      </c>
      <c r="B874">
        <v>1972</v>
      </c>
      <c r="C874">
        <v>2025</v>
      </c>
      <c r="D8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4" s="37" t="str">
        <f>INDEX(CONTROL[ENGLISH],MATCH(PROPERTIES[[#This Row],[VEHIDCODE]],CONTROL[VEHIDCODE],0))</f>
        <v>GE U26C</v>
      </c>
      <c r="F874" t="s">
        <v>697</v>
      </c>
      <c r="G874" s="37" t="str">
        <f>_xlfn.IFNA(INDEX(COUNTRIES[COUNTRY_LABEL],MATCH(PROPERTIES[[#This Row],[COUNTRY]],COUNTRIES[COUNTRY_DESCRIPTION],0)),"")</f>
        <v>NZ</v>
      </c>
      <c r="H8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INDEX(LOADINGSPEEDDEF[SPEED],MATCH("LOADINGSPEEDDEF_"&amp;PROPERTIES[[#This Row],[LOADINGSPEED]],LOADINGSPEEDDEF[TYPE],0))</f>
        <v>20</v>
      </c>
      <c r="O8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4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4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1" t="b">
        <v>0</v>
      </c>
      <c r="AP874" s="45" t="b">
        <v>0</v>
      </c>
      <c r="AQ874" s="45" t="b">
        <v>0</v>
      </c>
      <c r="AR874" s="45">
        <v>0</v>
      </c>
      <c r="AS874" s="45" t="b">
        <v>0</v>
      </c>
      <c r="AT874" s="7" t="b">
        <v>0</v>
      </c>
      <c r="AU8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5" spans="1:47" x14ac:dyDescent="0.35">
      <c r="A875" s="2" t="s">
        <v>3325</v>
      </c>
      <c r="B875">
        <v>1956</v>
      </c>
      <c r="C875">
        <v>1994</v>
      </c>
      <c r="D8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5" s="37" t="str">
        <f>INDEX(CONTROL[ENGLISH],MATCH(PROPERTIES[[#This Row],[VEHIDCODE]],CONTROL[VEHIDCODE],0))</f>
        <v>Metrowick/BP 786</v>
      </c>
      <c r="F875" t="s">
        <v>541</v>
      </c>
      <c r="G875" s="37" t="str">
        <f>_xlfn.IFNA(INDEX(COUNTRIES[COUNTRY_LABEL],MATCH(PROPERTIES[[#This Row],[COUNTRY]],COUNTRIES[COUNTRY_DESCRIPTION],0)),"")</f>
        <v>AU</v>
      </c>
      <c r="H8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INDEX(LOADINGSPEEDDEF[SPEED],MATCH("LOADINGSPEEDDEF_"&amp;PROPERTIES[[#This Row],[LOADINGSPEED]],LOADINGSPEEDDEF[TYPE],0))</f>
        <v>20</v>
      </c>
      <c r="O8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4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7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1" t="b">
        <v>0</v>
      </c>
      <c r="AP875" s="45" t="b">
        <v>0</v>
      </c>
      <c r="AQ875" s="45" t="b">
        <v>0</v>
      </c>
      <c r="AR875" s="45">
        <v>0</v>
      </c>
      <c r="AS875" s="45" t="b">
        <v>0</v>
      </c>
      <c r="AT875" s="7" t="b">
        <v>0</v>
      </c>
      <c r="AU8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6" spans="1:47" x14ac:dyDescent="0.35">
      <c r="A876" s="2" t="s">
        <v>3326</v>
      </c>
      <c r="B876">
        <v>1951</v>
      </c>
      <c r="C876">
        <v>1968</v>
      </c>
      <c r="D8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6" s="37" t="str">
        <f>INDEX(CONTROL[ENGLISH],MATCH(PROPERTIES[[#This Row],[VEHIDCODE]],CONTROL[VEHIDCODE],0))</f>
        <v>ALCO RSC-3 77732</v>
      </c>
      <c r="F876" t="s">
        <v>541</v>
      </c>
      <c r="G876" s="37" t="str">
        <f>_xlfn.IFNA(INDEX(COUNTRIES[COUNTRY_LABEL],MATCH(PROPERTIES[[#This Row],[COUNTRY]],COUNTRIES[COUNTRY_DESCRIPTION],0)),"")</f>
        <v>AU</v>
      </c>
      <c r="H8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INDEX(LOADINGSPEEDDEF[SPEED],MATCH("LOADINGSPEEDDEF_"&amp;PROPERTIES[[#This Row],[LOADINGSPEED]],LOADINGSPEEDDEF[TYPE],0))</f>
        <v>20</v>
      </c>
      <c r="O8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4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1" t="b">
        <v>0</v>
      </c>
      <c r="AP876" s="45" t="b">
        <v>0</v>
      </c>
      <c r="AQ876" s="45" t="b">
        <v>1</v>
      </c>
      <c r="AR876" s="45">
        <v>0</v>
      </c>
      <c r="AS876" s="45" t="b">
        <v>0</v>
      </c>
      <c r="AT876" s="7" t="b">
        <v>1</v>
      </c>
      <c r="AU8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7" spans="1:47" x14ac:dyDescent="0.35">
      <c r="A877" s="2" t="s">
        <v>3327</v>
      </c>
      <c r="B877">
        <v>1960</v>
      </c>
      <c r="C877">
        <v>1997</v>
      </c>
      <c r="D8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7" s="37" t="str">
        <f>INDEX(CONTROL[ENGLISH],MATCH(PROPERTIES[[#This Row],[VEHIDCODE]],CONTROL[VEHIDCODE],0))</f>
        <v>EMD/Clyde G8C</v>
      </c>
      <c r="F877" t="s">
        <v>541</v>
      </c>
      <c r="G877" s="37" t="str">
        <f>_xlfn.IFNA(INDEX(COUNTRIES[COUNTRY_LABEL],MATCH(PROPERTIES[[#This Row],[COUNTRY]],COUNTRIES[COUNTRY_DESCRIPTION],0)),"")</f>
        <v>AU</v>
      </c>
      <c r="H8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INDEX(LOADINGSPEEDDEF[SPEED],MATCH("LOADINGSPEEDDEF_"&amp;PROPERTIES[[#This Row],[LOADINGSPEED]],LOADINGSPEEDDEF[TYPE],0))</f>
        <v>20</v>
      </c>
      <c r="O8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4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1" t="b">
        <v>0</v>
      </c>
      <c r="AP877" s="45" t="b">
        <v>0</v>
      </c>
      <c r="AQ877" s="45" t="b">
        <v>0</v>
      </c>
      <c r="AR877" s="45">
        <v>0</v>
      </c>
      <c r="AS877" s="45" t="b">
        <v>0</v>
      </c>
      <c r="AT877" s="7" t="b">
        <v>0</v>
      </c>
      <c r="AU8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8" spans="1:47" x14ac:dyDescent="0.35">
      <c r="A878" s="2" t="s">
        <v>3328</v>
      </c>
      <c r="B878">
        <v>1955</v>
      </c>
      <c r="C878">
        <v>1986</v>
      </c>
      <c r="D8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8" s="37" t="str">
        <f>INDEX(CONTROL[ENGLISH],MATCH(PROPERTIES[[#This Row],[VEHIDCODE]],CONTROL[VEHIDCODE],0))</f>
        <v>EMD/Clyde G12</v>
      </c>
      <c r="F878" t="s">
        <v>697</v>
      </c>
      <c r="G878" s="37" t="str">
        <f>_xlfn.IFNA(INDEX(COUNTRIES[COUNTRY_LABEL],MATCH(PROPERTIES[[#This Row],[COUNTRY]],COUNTRIES[COUNTRY_DESCRIPTION],0)),"")</f>
        <v>NZ</v>
      </c>
      <c r="H8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INDEX(LOADINGSPEEDDEF[SPEED],MATCH("LOADINGSPEEDDEF_"&amp;PROPERTIES[[#This Row],[LOADINGSPEED]],LOADINGSPEEDDEF[TYPE],0))</f>
        <v>20</v>
      </c>
      <c r="O87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4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1" t="b">
        <v>0</v>
      </c>
      <c r="AP878" s="45" t="b">
        <v>0</v>
      </c>
      <c r="AQ878" s="45" t="b">
        <v>1</v>
      </c>
      <c r="AR878" s="45">
        <v>0</v>
      </c>
      <c r="AS878" s="45" t="b">
        <v>0</v>
      </c>
      <c r="AT878" s="7" t="b">
        <v>1</v>
      </c>
      <c r="AU8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79" spans="1:47" x14ac:dyDescent="0.35">
      <c r="A879" s="2" t="s">
        <v>3329</v>
      </c>
      <c r="B879">
        <v>1965</v>
      </c>
      <c r="C879">
        <v>1986</v>
      </c>
      <c r="D8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79" s="37" t="str">
        <f>INDEX(CONTROL[ENGLISH],MATCH(PROPERTIES[[#This Row],[VEHIDCODE]],CONTROL[VEHIDCODE],0))</f>
        <v>EMD/Clyde G8</v>
      </c>
      <c r="F879" t="s">
        <v>697</v>
      </c>
      <c r="G879" s="37" t="str">
        <f>_xlfn.IFNA(INDEX(COUNTRIES[COUNTRY_LABEL],MATCH(PROPERTIES[[#This Row],[COUNTRY]],COUNTRIES[COUNTRY_DESCRIPTION],0)),"")</f>
        <v>NZ</v>
      </c>
      <c r="H8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INDEX(LOADINGSPEEDDEF[SPEED],MATCH("LOADINGSPEEDDEF_"&amp;PROPERTIES[[#This Row],[LOADINGSPEED]],LOADINGSPEEDDEF[TYPE],0))</f>
        <v>20</v>
      </c>
      <c r="O8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4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1" t="b">
        <v>0</v>
      </c>
      <c r="AP879" s="45" t="b">
        <v>0</v>
      </c>
      <c r="AQ879" s="45" t="b">
        <v>0</v>
      </c>
      <c r="AR879" s="45">
        <v>0</v>
      </c>
      <c r="AS879" s="45" t="b">
        <v>0</v>
      </c>
      <c r="AT879" s="7" t="b">
        <v>0</v>
      </c>
      <c r="AU8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0" spans="1:47" x14ac:dyDescent="0.35">
      <c r="A880" s="2" t="s">
        <v>3330</v>
      </c>
      <c r="B880">
        <v>1972</v>
      </c>
      <c r="C880">
        <v>1987</v>
      </c>
      <c r="D8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0" s="37" t="str">
        <f>INDEX(CONTROL[ENGLISH],MATCH(PROPERTIES[[#This Row],[VEHIDCODE]],CONTROL[VEHIDCODE],0))</f>
        <v>Goninan 47 Class</v>
      </c>
      <c r="F880" t="s">
        <v>541</v>
      </c>
      <c r="G880" s="37" t="str">
        <f>_xlfn.IFNA(INDEX(COUNTRIES[COUNTRY_LABEL],MATCH(PROPERTIES[[#This Row],[COUNTRY]],COUNTRIES[COUNTRY_DESCRIPTION],0)),"")</f>
        <v>AU</v>
      </c>
      <c r="H8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INDEX(LOADINGSPEEDDEF[SPEED],MATCH("LOADINGSPEEDDEF_"&amp;PROPERTIES[[#This Row],[LOADINGSPEED]],LOADINGSPEEDDEF[TYPE],0))</f>
        <v>20</v>
      </c>
      <c r="O8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4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88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1" t="b">
        <v>0</v>
      </c>
      <c r="AP880" s="45" t="b">
        <v>0</v>
      </c>
      <c r="AQ880" s="45" t="b">
        <v>0</v>
      </c>
      <c r="AR880" s="45">
        <v>0</v>
      </c>
      <c r="AS880" s="45" t="b">
        <v>0</v>
      </c>
      <c r="AT880" s="7" t="b">
        <v>0</v>
      </c>
      <c r="AU8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1" spans="1:47" x14ac:dyDescent="0.35">
      <c r="A881" s="2" t="s">
        <v>3331</v>
      </c>
      <c r="B881">
        <v>1852</v>
      </c>
      <c r="C881">
        <v>1884</v>
      </c>
      <c r="D8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1" s="37" t="str">
        <f>INDEX(CONTROL[ENGLISH],MATCH(PROPERTIES[[#This Row],[VEHIDCODE]],CONTROL[VEHIDCODE],0))</f>
        <v>William Fairbairn 2-2-2 'Baroneza'</v>
      </c>
      <c r="F881" t="s">
        <v>558</v>
      </c>
      <c r="G881" s="37" t="str">
        <f>_xlfn.IFNA(INDEX(COUNTRIES[COUNTRY_LABEL],MATCH(PROPERTIES[[#This Row],[COUNTRY]],COUNTRIES[COUNTRY_DESCRIPTION],0)),"")</f>
        <v>BR</v>
      </c>
      <c r="H8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INDEX(LOADINGSPEEDDEF[SPEED],MATCH("LOADINGSPEEDDEF_"&amp;PROPERTIES[[#This Row],[LOADINGSPEED]],LOADINGSPEEDDEF[TYPE],0))</f>
        <v>20</v>
      </c>
      <c r="O8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4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1" t="b">
        <v>0</v>
      </c>
      <c r="AP881" s="45" t="b">
        <v>0</v>
      </c>
      <c r="AQ881" s="45" t="b">
        <v>0</v>
      </c>
      <c r="AR881" s="45">
        <v>0</v>
      </c>
      <c r="AS881" s="45" t="b">
        <v>0</v>
      </c>
      <c r="AT881" s="7" t="b">
        <v>0</v>
      </c>
      <c r="AU8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2" spans="1:47" x14ac:dyDescent="0.35">
      <c r="A882" s="2" t="s">
        <v>3332</v>
      </c>
      <c r="B882">
        <v>1857</v>
      </c>
      <c r="C882">
        <v>1890</v>
      </c>
      <c r="D8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2" s="37" t="str">
        <f>INDEX(CONTROL[ENGLISH],MATCH(PROPERTIES[[#This Row],[VEHIDCODE]],CONTROL[VEHIDCODE],0))</f>
        <v>Hunslet 0-4-0ST 'La Portena'</v>
      </c>
      <c r="F882" t="s">
        <v>538</v>
      </c>
      <c r="G882" s="37" t="str">
        <f>_xlfn.IFNA(INDEX(COUNTRIES[COUNTRY_LABEL],MATCH(PROPERTIES[[#This Row],[COUNTRY]],COUNTRIES[COUNTRY_DESCRIPTION],0)),"")</f>
        <v>AR</v>
      </c>
      <c r="H8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INDEX(LOADINGSPEEDDEF[SPEED],MATCH("LOADINGSPEEDDEF_"&amp;PROPERTIES[[#This Row],[LOADINGSPEED]],LOADINGSPEEDDEF[TYPE],0))</f>
        <v>20</v>
      </c>
      <c r="O88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4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1" t="b">
        <v>0</v>
      </c>
      <c r="AP882" s="45" t="b">
        <v>0</v>
      </c>
      <c r="AQ882" s="45" t="b">
        <v>0</v>
      </c>
      <c r="AR882" s="45">
        <v>0</v>
      </c>
      <c r="AS882" s="45" t="b">
        <v>0</v>
      </c>
      <c r="AT882" s="7" t="b">
        <v>0</v>
      </c>
      <c r="AU8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3" spans="1:47" x14ac:dyDescent="0.35">
      <c r="A883" s="2" t="s">
        <v>3333</v>
      </c>
      <c r="B883">
        <v>1885</v>
      </c>
      <c r="C883">
        <v>1907</v>
      </c>
      <c r="D8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3" s="37" t="str">
        <f>INDEX(CONTROL[ENGLISH],MATCH(PROPERTIES[[#This Row],[VEHIDCODE]],CONTROL[VEHIDCODE],0))</f>
        <v>Burnham 2-10-0 'Dom Pedro Segundo 119'</v>
      </c>
      <c r="F883" t="s">
        <v>558</v>
      </c>
      <c r="G883" s="37" t="str">
        <f>_xlfn.IFNA(INDEX(COUNTRIES[COUNTRY_LABEL],MATCH(PROPERTIES[[#This Row],[COUNTRY]],COUNTRIES[COUNTRY_DESCRIPTION],0)),"")</f>
        <v>BR</v>
      </c>
      <c r="H8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INDEX(LOADINGSPEEDDEF[SPEED],MATCH("LOADINGSPEEDDEF_"&amp;PROPERTIES[[#This Row],[LOADINGSPEED]],LOADINGSPEEDDEF[TYPE],0))</f>
        <v>20</v>
      </c>
      <c r="O8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4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1" t="b">
        <v>0</v>
      </c>
      <c r="AP883" s="45" t="b">
        <v>0</v>
      </c>
      <c r="AQ883" s="45" t="b">
        <v>0</v>
      </c>
      <c r="AR883" s="45">
        <v>0</v>
      </c>
      <c r="AS883" s="45" t="b">
        <v>0</v>
      </c>
      <c r="AT883" s="7" t="b">
        <v>0</v>
      </c>
      <c r="AU8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4" spans="1:47" x14ac:dyDescent="0.35">
      <c r="A884" s="2" t="s">
        <v>3334</v>
      </c>
      <c r="B884">
        <v>1910</v>
      </c>
      <c r="D8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4" s="37" t="str">
        <f>INDEX(CONTROL[ENGLISH],MATCH(PROPERTIES[[#This Row],[VEHIDCODE]],CONTROL[VEHIDCODE],0))</f>
        <v>Baldwin 0-22C No8 'Monsefu'</v>
      </c>
      <c r="F884" t="s">
        <v>700</v>
      </c>
      <c r="G884" s="37" t="str">
        <f>_xlfn.IFNA(INDEX(COUNTRIES[COUNTRY_LABEL],MATCH(PROPERTIES[[#This Row],[COUNTRY]],COUNTRIES[COUNTRY_DESCRIPTION],0)),"")</f>
        <v>PE</v>
      </c>
      <c r="H8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INDEX(LOADINGSPEEDDEF[SPEED],MATCH("LOADINGSPEEDDEF_"&amp;PROPERTIES[[#This Row],[LOADINGSPEED]],LOADINGSPEEDDEF[TYPE],0))</f>
        <v>20</v>
      </c>
      <c r="O8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4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4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1" t="b">
        <v>0</v>
      </c>
      <c r="AP884" s="45" t="b">
        <v>0</v>
      </c>
      <c r="AQ884" s="45" t="b">
        <v>0</v>
      </c>
      <c r="AR884" s="45">
        <v>0</v>
      </c>
      <c r="AS884" s="45" t="b">
        <v>0</v>
      </c>
      <c r="AT884" s="7" t="b">
        <v>0</v>
      </c>
      <c r="AU8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5" spans="1:47" x14ac:dyDescent="0.35">
      <c r="A885" s="2" t="s">
        <v>3335</v>
      </c>
      <c r="B885">
        <v>1910</v>
      </c>
      <c r="D8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5" s="37" t="str">
        <f>INDEX(CONTROL[ENGLISH],MATCH(PROPERTIES[[#This Row],[VEHIDCODE]],CONTROL[VEHIDCODE],0))</f>
        <v>North British 2-6-0 Q Class</v>
      </c>
      <c r="F885" t="s">
        <v>712</v>
      </c>
      <c r="G885" s="37" t="str">
        <f>_xlfn.IFNA(INDEX(COUNTRIES[COUNTRY_LABEL],MATCH(PROPERTIES[[#This Row],[COUNTRY]],COUNTRIES[COUNTRY_DESCRIPTION],0)),"")</f>
        <v>PY</v>
      </c>
      <c r="H8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INDEX(LOADINGSPEEDDEF[SPEED],MATCH("LOADINGSPEEDDEF_"&amp;PROPERTIES[[#This Row],[LOADINGSPEED]],LOADINGSPEEDDEF[TYPE],0))</f>
        <v>20</v>
      </c>
      <c r="O88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4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1" t="b">
        <v>0</v>
      </c>
      <c r="AP885" s="45" t="b">
        <v>0</v>
      </c>
      <c r="AQ885" s="45" t="b">
        <v>0</v>
      </c>
      <c r="AR885" s="45">
        <v>0</v>
      </c>
      <c r="AS885" s="45" t="b">
        <v>0</v>
      </c>
      <c r="AT885" s="7" t="b">
        <v>0</v>
      </c>
      <c r="AU8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6" spans="1:47" x14ac:dyDescent="0.35">
      <c r="A886" s="2" t="s">
        <v>3336</v>
      </c>
      <c r="B886">
        <v>1914</v>
      </c>
      <c r="C886">
        <v>1968</v>
      </c>
      <c r="D8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6" s="37" t="str">
        <f>INDEX(CONTROL[ENGLISH],MATCH(PROPERTIES[[#This Row],[VEHIDCODE]],CONTROL[VEHIDCODE],0))</f>
        <v>NBLC 4-6-2 PS10 Class</v>
      </c>
      <c r="F886" t="s">
        <v>538</v>
      </c>
      <c r="G886" s="37" t="str">
        <f>_xlfn.IFNA(INDEX(COUNTRIES[COUNTRY_LABEL],MATCH(PROPERTIES[[#This Row],[COUNTRY]],COUNTRIES[COUNTRY_DESCRIPTION],0)),"")</f>
        <v>AR</v>
      </c>
      <c r="H8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INDEX(LOADINGSPEEDDEF[SPEED],MATCH("LOADINGSPEEDDEF_"&amp;PROPERTIES[[#This Row],[LOADINGSPEED]],LOADINGSPEEDDEF[TYPE],0))</f>
        <v>20</v>
      </c>
      <c r="O8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4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1" t="b">
        <v>0</v>
      </c>
      <c r="AP886" s="45" t="b">
        <v>0</v>
      </c>
      <c r="AQ886" s="45" t="b">
        <v>0</v>
      </c>
      <c r="AR886" s="45">
        <v>0</v>
      </c>
      <c r="AS886" s="45" t="b">
        <v>0</v>
      </c>
      <c r="AT886" s="7" t="b">
        <v>0</v>
      </c>
      <c r="AU8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87" spans="1:47" x14ac:dyDescent="0.35">
      <c r="A887" s="2" t="s">
        <v>3337</v>
      </c>
      <c r="B887">
        <v>1924</v>
      </c>
      <c r="D8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7" s="37" t="str">
        <f>INDEX(CONTROL[ENGLISH],MATCH(PROPERTIES[[#This Row],[VEHIDCODE]],CONTROL[VEHIDCODE],0))</f>
        <v>Yorkshire Engine Co. 4-8-4T 'Nitrate 101'</v>
      </c>
      <c r="F887" t="s">
        <v>573</v>
      </c>
      <c r="G887" s="37" t="str">
        <f>_xlfn.IFNA(INDEX(COUNTRIES[COUNTRY_LABEL],MATCH(PROPERTIES[[#This Row],[COUNTRY]],COUNTRIES[COUNTRY_DESCRIPTION],0)),"")</f>
        <v>CL</v>
      </c>
      <c r="H8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INDEX(LOADINGSPEEDDEF[SPEED],MATCH("LOADINGSPEEDDEF_"&amp;PROPERTIES[[#This Row],[LOADINGSPEED]],LOADINGSPEEDDEF[TYPE],0))</f>
        <v>20</v>
      </c>
      <c r="O8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4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8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1" t="b">
        <v>0</v>
      </c>
      <c r="AP887" s="45" t="b">
        <v>0</v>
      </c>
      <c r="AQ887" s="45" t="b">
        <v>0</v>
      </c>
      <c r="AR887" s="45">
        <v>0</v>
      </c>
      <c r="AS887" s="45" t="b">
        <v>0</v>
      </c>
      <c r="AT887" s="7" t="b">
        <v>0</v>
      </c>
      <c r="AU8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888" spans="1:47" x14ac:dyDescent="0.35">
      <c r="A888" t="s">
        <v>3338</v>
      </c>
      <c r="B888">
        <v>1929</v>
      </c>
      <c r="C888">
        <v>1970</v>
      </c>
      <c r="D8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8" s="37" t="str">
        <f>INDEX(CONTROL[ENGLISH],MATCH(PROPERTIES[[#This Row],[VEHIDCODE]],CONTROL[VEHIDCODE],0))</f>
        <v>SLM-BBC 1-D-1</v>
      </c>
      <c r="F888" t="s">
        <v>558</v>
      </c>
      <c r="G888" s="37" t="str">
        <f>_xlfn.IFNA(INDEX(COUNTRIES[COUNTRY_LABEL],MATCH(PROPERTIES[[#This Row],[COUNTRY]],COUNTRIES[COUNTRY_DESCRIPTION],0)),"")</f>
        <v>BR</v>
      </c>
      <c r="H8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INDEX(LOADINGSPEEDDEF[SPEED],MATCH("LOADINGSPEEDDEF_"&amp;PROPERTIES[[#This Row],[LOADINGSPEED]],LOADINGSPEEDDEF[TYPE],0))</f>
        <v>20</v>
      </c>
      <c r="O88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4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8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1" t="b">
        <v>0</v>
      </c>
      <c r="AP888" s="45" t="b">
        <v>0</v>
      </c>
      <c r="AQ888" s="45" t="b">
        <v>0</v>
      </c>
      <c r="AR888" s="45">
        <v>0</v>
      </c>
      <c r="AS888" s="45" t="b">
        <v>0</v>
      </c>
      <c r="AT888" s="7" t="b">
        <v>0</v>
      </c>
      <c r="AU8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89" spans="1:47" x14ac:dyDescent="0.35">
      <c r="A889" t="s">
        <v>3339</v>
      </c>
      <c r="B889">
        <v>1940</v>
      </c>
      <c r="C889">
        <v>1998</v>
      </c>
      <c r="D8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89" s="37" t="str">
        <f>INDEX(CONTROL[ENGLISH],MATCH(PROPERTIES[[#This Row],[VEHIDCODE]],CONTROL[VEHIDCODE],0))</f>
        <v>GE 2-C+C-2</v>
      </c>
      <c r="F889" t="s">
        <v>558</v>
      </c>
      <c r="G889" s="37" t="str">
        <f>_xlfn.IFNA(INDEX(COUNTRIES[COUNTRY_LABEL],MATCH(PROPERTIES[[#This Row],[COUNTRY]],COUNTRIES[COUNTRY_DESCRIPTION],0)),"")</f>
        <v>BR</v>
      </c>
      <c r="H8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INDEX(LOADINGSPEEDDEF[SPEED],MATCH("LOADINGSPEEDDEF_"&amp;PROPERTIES[[#This Row],[LOADINGSPEED]],LOADINGSPEEDDEF[TYPE],0))</f>
        <v>20</v>
      </c>
      <c r="O88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4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89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1" t="b">
        <v>0</v>
      </c>
      <c r="AP889" s="45" t="b">
        <v>0</v>
      </c>
      <c r="AQ889" s="45" t="b">
        <v>0</v>
      </c>
      <c r="AR889" s="45">
        <v>0</v>
      </c>
      <c r="AS889" s="45" t="b">
        <v>0</v>
      </c>
      <c r="AT889" s="7" t="b">
        <v>0</v>
      </c>
      <c r="AU8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90" spans="1:47" x14ac:dyDescent="0.35">
      <c r="A890" s="2" t="s">
        <v>3340</v>
      </c>
      <c r="B890">
        <v>1850</v>
      </c>
      <c r="C890">
        <v>1929</v>
      </c>
      <c r="D8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0" s="37" t="str">
        <f>INDEX(CONTROL[ENGLISH],MATCH(PROPERTIES[[#This Row],[VEHIDCODE]],CONTROL[VEHIDCODE],0))</f>
        <v>Norris &amp; Brothers 4-4-0 'La Copiapo'</v>
      </c>
      <c r="F890" t="s">
        <v>573</v>
      </c>
      <c r="G890" s="37" t="str">
        <f>_xlfn.IFNA(INDEX(COUNTRIES[COUNTRY_LABEL],MATCH(PROPERTIES[[#This Row],[COUNTRY]],COUNTRIES[COUNTRY_DESCRIPTION],0)),"")</f>
        <v>CL</v>
      </c>
      <c r="H8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INDEX(LOADINGSPEEDDEF[SPEED],MATCH("LOADINGSPEEDDEF_"&amp;PROPERTIES[[#This Row],[LOADINGSPEED]],LOADINGSPEEDDEF[TYPE],0))</f>
        <v>20</v>
      </c>
      <c r="O89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4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1" t="b">
        <v>0</v>
      </c>
      <c r="AP890" s="45" t="b">
        <v>0</v>
      </c>
      <c r="AQ890" s="45" t="b">
        <v>0</v>
      </c>
      <c r="AR890" s="45">
        <v>0</v>
      </c>
      <c r="AS890" s="45" t="b">
        <v>0</v>
      </c>
      <c r="AT890" s="7" t="b">
        <v>0</v>
      </c>
      <c r="AU8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1" spans="1:47" x14ac:dyDescent="0.35">
      <c r="A891" s="2" t="s">
        <v>3341</v>
      </c>
      <c r="B891">
        <v>1930</v>
      </c>
      <c r="C891">
        <v>1978</v>
      </c>
      <c r="D8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1" s="37" t="str">
        <f>INDEX(CONTROL[ENGLISH],MATCH(PROPERTIES[[#This Row],[VEHIDCODE]],CONTROL[VEHIDCODE],0))</f>
        <v>AEG A1A+A1A</v>
      </c>
      <c r="F891" t="s">
        <v>577</v>
      </c>
      <c r="G891" s="37" t="str">
        <f>_xlfn.IFNA(INDEX(COUNTRIES[COUNTRY_LABEL],MATCH(PROPERTIES[[#This Row],[COUNTRY]],COUNTRIES[COUNTRY_DESCRIPTION],0)),"")</f>
        <v>CR</v>
      </c>
      <c r="H8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INDEX(LOADINGSPEEDDEF[SPEED],MATCH("LOADINGSPEEDDEF_"&amp;PROPERTIES[[#This Row],[LOADINGSPEED]],LOADINGSPEEDDEF[TYPE],0))</f>
        <v>20</v>
      </c>
      <c r="O89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4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89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1" t="b">
        <v>0</v>
      </c>
      <c r="AP891" s="45" t="b">
        <v>0</v>
      </c>
      <c r="AQ891" s="45" t="b">
        <v>0</v>
      </c>
      <c r="AR891" s="45">
        <v>0</v>
      </c>
      <c r="AS891" s="45" t="b">
        <v>0</v>
      </c>
      <c r="AT891" s="7" t="b">
        <v>0</v>
      </c>
      <c r="AU8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892" spans="1:47" x14ac:dyDescent="0.35">
      <c r="A892" t="s">
        <v>3683</v>
      </c>
      <c r="B892">
        <v>1938</v>
      </c>
      <c r="D8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2" s="37" t="str">
        <f>INDEX(CONTROL[ENGLISH],MATCH(PROPERTIES[[#This Row],[VEHIDCODE]],CONTROL[VEHIDCODE],0))</f>
        <v>Ganz 'Bariloche' DMU</v>
      </c>
      <c r="F892" t="s">
        <v>538</v>
      </c>
      <c r="G892" s="37" t="str">
        <f>_xlfn.IFNA(INDEX(COUNTRIES[COUNTRY_LABEL],MATCH(PROPERTIES[[#This Row],[COUNTRY]],COUNTRIES[COUNTRY_DESCRIPTION],0)),"")</f>
        <v>AR</v>
      </c>
      <c r="H8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INDEX(LOADINGSPEEDDEF[SPEED],MATCH("LOADINGSPEEDDEF_"&amp;PROPERTIES[[#This Row],[LOADINGSPEED]],LOADINGSPEEDDEF[TYPE],0))</f>
        <v>60</v>
      </c>
      <c r="O89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4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2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2" s="2" t="str">
        <f>SUBSTITUTE(SUBSTITUTE(PROPERTIES[[#This Row],[PURCHASECOST_VALUE]], "PURCHASECOST_", ""), "_VALUE", "")</f>
        <v>DMU</v>
      </c>
      <c r="AO892" s="41" t="b">
        <v>0</v>
      </c>
      <c r="AP892" s="45" t="b">
        <v>0</v>
      </c>
      <c r="AQ892" s="45" t="b">
        <v>0</v>
      </c>
      <c r="AR892" s="45">
        <v>0</v>
      </c>
      <c r="AS892" s="45" t="b">
        <v>0</v>
      </c>
      <c r="AT892" s="7" t="b">
        <v>0</v>
      </c>
      <c r="AU8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3" spans="1:47" x14ac:dyDescent="0.35">
      <c r="A893" t="s">
        <v>3342</v>
      </c>
      <c r="B893">
        <v>1867</v>
      </c>
      <c r="D8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893" s="37" t="str">
        <f>INDEX(CONTROL[ENGLISH],MATCH(PROPERTIES[[#This Row],[VEHIDCODE]],CONTROL[VEHIDCODE],0))</f>
        <v>Avonside 0-6-0ST Sao Paulo No. 13 - 14</v>
      </c>
      <c r="F893" t="s">
        <v>558</v>
      </c>
      <c r="G893" s="37" t="str">
        <f>_xlfn.IFNA(INDEX(COUNTRIES[COUNTRY_LABEL],MATCH(PROPERTIES[[#This Row],[COUNTRY]],COUNTRIES[COUNTRY_DESCRIPTION],0)),"")</f>
        <v>BR</v>
      </c>
      <c r="H8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INDEX(LOADINGSPEEDDEF[SPEED],MATCH("LOADINGSPEEDDEF_"&amp;PROPERTIES[[#This Row],[LOADINGSPEED]],LOADINGSPEEDDEF[TYPE],0))</f>
        <v>20</v>
      </c>
      <c r="O8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4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89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1" t="b">
        <v>0</v>
      </c>
      <c r="AP893" s="45" t="b">
        <v>0</v>
      </c>
      <c r="AQ893" s="45" t="b">
        <v>0</v>
      </c>
      <c r="AR893" s="45">
        <v>0</v>
      </c>
      <c r="AS893" s="45" t="b">
        <v>0</v>
      </c>
      <c r="AT893" s="7" t="b">
        <v>0</v>
      </c>
      <c r="AU8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894" spans="1:47" x14ac:dyDescent="0.35">
      <c r="A894" t="s">
        <v>3682</v>
      </c>
      <c r="B894">
        <v>1960</v>
      </c>
      <c r="D8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4" s="37" t="str">
        <f>INDEX(CONTROL[ENGLISH],MATCH(PROPERTIES[[#This Row],[VEHIDCODE]],CONTROL[VEHIDCODE],0))</f>
        <v>Ganz 'Transandino' CMU 4701</v>
      </c>
      <c r="F894" t="s">
        <v>538</v>
      </c>
      <c r="G894" s="37" t="str">
        <f>_xlfn.IFNA(INDEX(COUNTRIES[COUNTRY_LABEL],MATCH(PROPERTIES[[#This Row],[COUNTRY]],COUNTRIES[COUNTRY_DESCRIPTION],0)),"")</f>
        <v>AR</v>
      </c>
      <c r="H8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INDEX(LOADINGSPEEDDEF[SPEED],MATCH("LOADINGSPEEDDEF_"&amp;PROPERTIES[[#This Row],[LOADINGSPEED]],LOADINGSPEEDDEF[TYPE],0))</f>
        <v>60</v>
      </c>
      <c r="O89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4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4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4" s="2" t="str">
        <f>SUBSTITUTE(SUBSTITUTE(PROPERTIES[[#This Row],[PURCHASECOST_VALUE]], "PURCHASECOST_", ""), "_VALUE", "")</f>
        <v>DMU</v>
      </c>
      <c r="AO894" s="41" t="b">
        <v>0</v>
      </c>
      <c r="AP894" s="45" t="b">
        <v>0</v>
      </c>
      <c r="AQ894" s="45" t="b">
        <v>0</v>
      </c>
      <c r="AR894" s="45">
        <v>0</v>
      </c>
      <c r="AS894" s="45" t="b">
        <v>0</v>
      </c>
      <c r="AT894" s="7" t="b">
        <v>0</v>
      </c>
      <c r="AU8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5" spans="1:47" x14ac:dyDescent="0.35">
      <c r="A895" s="2" t="s">
        <v>3343</v>
      </c>
      <c r="B895">
        <v>1973</v>
      </c>
      <c r="C895">
        <v>2000</v>
      </c>
      <c r="D8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5" s="37" t="str">
        <f>INDEX(CONTROL[ENGLISH],MATCH(PROPERTIES[[#This Row],[VEHIDCODE]],CONTROL[VEHIDCODE],0))</f>
        <v>Kawasaki/Hitachi AEZ Railcar</v>
      </c>
      <c r="F895" t="s">
        <v>573</v>
      </c>
      <c r="G895" s="37" t="str">
        <f>_xlfn.IFNA(INDEX(COUNTRIES[COUNTRY_LABEL],MATCH(PROPERTIES[[#This Row],[COUNTRY]],COUNTRIES[COUNTRY_DESCRIPTION],0)),"")</f>
        <v>CL</v>
      </c>
      <c r="H8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INDEX(LOADINGSPEEDDEF[SPEED],MATCH("LOADINGSPEEDDEF_"&amp;PROPERTIES[[#This Row],[LOADINGSPEED]],LOADINGSPEEDDEF[TYPE],0))</f>
        <v>60</v>
      </c>
      <c r="O89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4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9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95" s="2" t="str">
        <f>SUBSTITUTE(SUBSTITUTE(PROPERTIES[[#This Row],[PURCHASECOST_VALUE]], "PURCHASECOST_", ""), "_VALUE", "")</f>
        <v>EMU</v>
      </c>
      <c r="AO895" s="41" t="b">
        <v>0</v>
      </c>
      <c r="AP895" s="45" t="b">
        <v>0</v>
      </c>
      <c r="AQ895" s="45" t="b">
        <v>0</v>
      </c>
      <c r="AR895" s="45">
        <v>0</v>
      </c>
      <c r="AS895" s="45" t="b">
        <v>0</v>
      </c>
      <c r="AT895" s="7" t="b">
        <v>0</v>
      </c>
      <c r="AU8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6" spans="1:47" x14ac:dyDescent="0.35">
      <c r="A896" t="s">
        <v>3344</v>
      </c>
      <c r="B896">
        <v>1977</v>
      </c>
      <c r="D8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6" s="37" t="str">
        <f>INDEX(CONTROL[ENGLISH],MATCH(PROPERTIES[[#This Row],[VEHIDCODE]],CONTROL[VEHIDCODE],0))</f>
        <v>BREL GEC Auckland ART Concept</v>
      </c>
      <c r="F896" t="s">
        <v>697</v>
      </c>
      <c r="G896" s="37" t="str">
        <f>_xlfn.IFNA(INDEX(COUNTRIES[COUNTRY_LABEL],MATCH(PROPERTIES[[#This Row],[COUNTRY]],COUNTRIES[COUNTRY_DESCRIPTION],0)),"")</f>
        <v>NZ</v>
      </c>
      <c r="H8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INDEX(LOADINGSPEEDDEF[SPEED],MATCH("LOADINGSPEEDDEF_"&amp;PROPERTIES[[#This Row],[LOADINGSPEED]],LOADINGSPEEDDEF[TYPE],0))</f>
        <v>60</v>
      </c>
      <c r="O8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4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89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896" s="2" t="str">
        <f>SUBSTITUTE(SUBSTITUTE(PROPERTIES[[#This Row],[PURCHASECOST_VALUE]], "PURCHASECOST_", ""), "_VALUE", "")</f>
        <v>EMU</v>
      </c>
      <c r="AO896" s="41" t="b">
        <v>0</v>
      </c>
      <c r="AP896" s="45" t="b">
        <v>0</v>
      </c>
      <c r="AQ896" s="45" t="b">
        <v>0</v>
      </c>
      <c r="AR896" s="45">
        <v>0</v>
      </c>
      <c r="AS896" s="45" t="b">
        <v>0</v>
      </c>
      <c r="AT896" s="7" t="b">
        <v>0</v>
      </c>
      <c r="AU8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7" spans="1:47" x14ac:dyDescent="0.35">
      <c r="A897" s="2" t="s">
        <v>3345</v>
      </c>
      <c r="B897">
        <v>1961</v>
      </c>
      <c r="C897">
        <v>1993</v>
      </c>
      <c r="D8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7" s="37" t="str">
        <f>INDEX(CONTROL[ENGLISH],MATCH(PROPERTIES[[#This Row],[VEHIDCODE]],CONTROL[VEHIDCODE],0))</f>
        <v>Comeng 1100 Railcar</v>
      </c>
      <c r="F897" t="s">
        <v>541</v>
      </c>
      <c r="G897" s="37" t="str">
        <f>_xlfn.IFNA(INDEX(COUNTRIES[COUNTRY_LABEL],MATCH(PROPERTIES[[#This Row],[COUNTRY]],COUNTRIES[COUNTRY_DESCRIPTION],0)),"")</f>
        <v>AU</v>
      </c>
      <c r="H8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INDEX(LOADINGSPEEDDEF[SPEED],MATCH("LOADINGSPEEDDEF_"&amp;PROPERTIES[[#This Row],[LOADINGSPEED]],LOADINGSPEEDDEF[TYPE],0))</f>
        <v>60</v>
      </c>
      <c r="O89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4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7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7" s="2" t="str">
        <f>SUBSTITUTE(SUBSTITUTE(PROPERTIES[[#This Row],[PURCHASECOST_VALUE]], "PURCHASECOST_", ""), "_VALUE", "")</f>
        <v>DMU</v>
      </c>
      <c r="AO897" s="41" t="b">
        <v>0</v>
      </c>
      <c r="AP897" s="45" t="b">
        <v>0</v>
      </c>
      <c r="AQ897" s="45" t="b">
        <v>0</v>
      </c>
      <c r="AR897" s="45">
        <v>0</v>
      </c>
      <c r="AS897" s="45" t="b">
        <v>0</v>
      </c>
      <c r="AT897" s="7" t="b">
        <v>0</v>
      </c>
      <c r="AU8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8" spans="1:47" x14ac:dyDescent="0.35">
      <c r="A898" s="2" t="s">
        <v>3346</v>
      </c>
      <c r="B898">
        <v>1985</v>
      </c>
      <c r="D8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8" s="37" t="str">
        <f>INDEX(CONTROL[ENGLISH],MATCH(PROPERTIES[[#This Row],[VEHIDCODE]],CONTROL[VEHIDCODE],0))</f>
        <v>Thai Comeng XPT Concept</v>
      </c>
      <c r="F898" t="s">
        <v>743</v>
      </c>
      <c r="G898" s="37" t="str">
        <f>_xlfn.IFNA(INDEX(COUNTRIES[COUNTRY_LABEL],MATCH(PROPERTIES[[#This Row],[COUNTRY]],COUNTRIES[COUNTRY_DESCRIPTION],0)),"")</f>
        <v>TH</v>
      </c>
      <c r="H8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INDEX(LOADINGSPEEDDEF[SPEED],MATCH("LOADINGSPEEDDEF_"&amp;PROPERTIES[[#This Row],[LOADINGSPEED]],LOADINGSPEEDDEF[TYPE],0))</f>
        <v>20</v>
      </c>
      <c r="O89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4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8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8" s="2" t="str">
        <f>SUBSTITUTE(SUBSTITUTE(PROPERTIES[[#This Row],[PURCHASECOST_VALUE]], "PURCHASECOST_", ""), "_VALUE", "")</f>
        <v>DMU</v>
      </c>
      <c r="AO898" s="41" t="b">
        <v>0</v>
      </c>
      <c r="AP898" s="45" t="b">
        <v>0</v>
      </c>
      <c r="AQ898" s="45" t="b">
        <v>0</v>
      </c>
      <c r="AR898" s="45">
        <v>0</v>
      </c>
      <c r="AS898" s="45" t="b">
        <v>0</v>
      </c>
      <c r="AT898" s="7" t="b">
        <v>0</v>
      </c>
      <c r="AU8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899" spans="1:47" x14ac:dyDescent="0.35">
      <c r="A899" s="2" t="s">
        <v>3347</v>
      </c>
      <c r="B899">
        <v>1982</v>
      </c>
      <c r="D8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899" s="37" t="str">
        <f>INDEX(CONTROL[ENGLISH],MATCH(PROPERTIES[[#This Row],[VEHIDCODE]],CONTROL[VEHIDCODE],0))</f>
        <v>Comeng NSW XPT</v>
      </c>
      <c r="F899" t="s">
        <v>541</v>
      </c>
      <c r="G899" s="37" t="str">
        <f>_xlfn.IFNA(INDEX(COUNTRIES[COUNTRY_LABEL],MATCH(PROPERTIES[[#This Row],[COUNTRY]],COUNTRIES[COUNTRY_DESCRIPTION],0)),"")</f>
        <v>AU</v>
      </c>
      <c r="H8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INDEX(LOADINGSPEEDDEF[SPEED],MATCH("LOADINGSPEEDDEF_"&amp;PROPERTIES[[#This Row],[LOADINGSPEED]],LOADINGSPEEDDEF[TYPE],0))</f>
        <v>20</v>
      </c>
      <c r="O8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4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899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899" s="2" t="str">
        <f>SUBSTITUTE(SUBSTITUTE(PROPERTIES[[#This Row],[PURCHASECOST_VALUE]], "PURCHASECOST_", ""), "_VALUE", "")</f>
        <v>DMU</v>
      </c>
      <c r="AO899" s="41" t="b">
        <v>0</v>
      </c>
      <c r="AP899" s="45" t="b">
        <v>0</v>
      </c>
      <c r="AQ899" s="45" t="b">
        <v>0</v>
      </c>
      <c r="AR899" s="45">
        <v>0</v>
      </c>
      <c r="AS899" s="45" t="b">
        <v>0</v>
      </c>
      <c r="AT899" s="7" t="b">
        <v>0</v>
      </c>
      <c r="AU8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0" spans="1:47" x14ac:dyDescent="0.35">
      <c r="A900" s="2" t="s">
        <v>3348</v>
      </c>
      <c r="B900">
        <v>1988</v>
      </c>
      <c r="D9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0" s="37" t="str">
        <f>INDEX(CONTROL[ENGLISH],MATCH(PROPERTIES[[#This Row],[VEHIDCODE]],CONTROL[VEHIDCODE],0))</f>
        <v>Tangara V-Set Hybrid Concept</v>
      </c>
      <c r="F900" t="s">
        <v>541</v>
      </c>
      <c r="G900" s="37" t="str">
        <f>_xlfn.IFNA(INDEX(COUNTRIES[COUNTRY_LABEL],MATCH(PROPERTIES[[#This Row],[COUNTRY]],COUNTRIES[COUNTRY_DESCRIPTION],0)),"")</f>
        <v>AU</v>
      </c>
      <c r="H9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INDEX(LOADINGSPEEDDEF[SPEED],MATCH("LOADINGSPEEDDEF_"&amp;PROPERTIES[[#This Row],[LOADINGSPEED]],LOADINGSPEEDDEF[TYPE],0))</f>
        <v>60</v>
      </c>
      <c r="O90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4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0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0" s="2" t="str">
        <f>SUBSTITUTE(SUBSTITUTE(PROPERTIES[[#This Row],[PURCHASECOST_VALUE]], "PURCHASECOST_", ""), "_VALUE", "")</f>
        <v>EMU</v>
      </c>
      <c r="AO900" s="41" t="b">
        <v>0</v>
      </c>
      <c r="AP900" s="45" t="b">
        <v>0</v>
      </c>
      <c r="AQ900" s="45" t="b">
        <v>0</v>
      </c>
      <c r="AR900" s="45">
        <v>0</v>
      </c>
      <c r="AS900" s="45" t="b">
        <v>0</v>
      </c>
      <c r="AT900" s="7" t="b">
        <v>0</v>
      </c>
      <c r="AU9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1" spans="1:47" x14ac:dyDescent="0.35">
      <c r="A901" s="2" t="s">
        <v>3349</v>
      </c>
      <c r="B901">
        <v>1951</v>
      </c>
      <c r="C901">
        <v>1994</v>
      </c>
      <c r="D9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1" s="37" t="str">
        <f>INDEX(CONTROL[ENGLISH],MATCH(PROPERTIES[[#This Row],[VEHIDCODE]],CONTROL[VEHIDCODE],0))</f>
        <v>NSWGR 800/900 'DEB'</v>
      </c>
      <c r="F901" t="s">
        <v>541</v>
      </c>
      <c r="G901" s="37" t="str">
        <f>_xlfn.IFNA(INDEX(COUNTRIES[COUNTRY_LABEL],MATCH(PROPERTIES[[#This Row],[COUNTRY]],COUNTRIES[COUNTRY_DESCRIPTION],0)),"")</f>
        <v>AU</v>
      </c>
      <c r="H9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INDEX(LOADINGSPEEDDEF[SPEED],MATCH("LOADINGSPEEDDEF_"&amp;PROPERTIES[[#This Row],[LOADINGSPEED]],LOADINGSPEEDDEF[TYPE],0))</f>
        <v>60</v>
      </c>
      <c r="O90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4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1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1" s="2" t="str">
        <f>SUBSTITUTE(SUBSTITUTE(PROPERTIES[[#This Row],[PURCHASECOST_VALUE]], "PURCHASECOST_", ""), "_VALUE", "")</f>
        <v>DMU</v>
      </c>
      <c r="AO901" s="41" t="b">
        <v>0</v>
      </c>
      <c r="AP901" s="45" t="b">
        <v>0</v>
      </c>
      <c r="AQ901" s="45" t="b">
        <v>0</v>
      </c>
      <c r="AR901" s="45">
        <v>0</v>
      </c>
      <c r="AS901" s="45" t="b">
        <v>0</v>
      </c>
      <c r="AT901" s="7" t="b">
        <v>0</v>
      </c>
      <c r="AU9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2" spans="1:47" x14ac:dyDescent="0.35">
      <c r="A902" s="2" t="s">
        <v>3350</v>
      </c>
      <c r="B902">
        <v>1992</v>
      </c>
      <c r="C902">
        <v>2006</v>
      </c>
      <c r="D9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2" s="37" t="str">
        <f>INDEX(CONTROL[ENGLISH],MATCH(PROPERTIES[[#This Row],[VEHIDCODE]],CONTROL[VEHIDCODE],0))</f>
        <v>Goninan Tangara 4D Prototype</v>
      </c>
      <c r="F902" t="s">
        <v>541</v>
      </c>
      <c r="G902" s="37" t="str">
        <f>_xlfn.IFNA(INDEX(COUNTRIES[COUNTRY_LABEL],MATCH(PROPERTIES[[#This Row],[COUNTRY]],COUNTRIES[COUNTRY_DESCRIPTION],0)),"")</f>
        <v>AU</v>
      </c>
      <c r="H9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INDEX(LOADINGSPEEDDEF[SPEED],MATCH("LOADINGSPEEDDEF_"&amp;PROPERTIES[[#This Row],[LOADINGSPEED]],LOADINGSPEEDDEF[TYPE],0))</f>
        <v>60</v>
      </c>
      <c r="O90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4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2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2" s="2" t="str">
        <f>SUBSTITUTE(SUBSTITUTE(PROPERTIES[[#This Row],[PURCHASECOST_VALUE]], "PURCHASECOST_", ""), "_VALUE", "")</f>
        <v>EMU</v>
      </c>
      <c r="AO902" s="41" t="b">
        <v>0</v>
      </c>
      <c r="AP902" s="45" t="b">
        <v>0</v>
      </c>
      <c r="AQ902" s="45" t="b">
        <v>0</v>
      </c>
      <c r="AR902" s="45">
        <v>0</v>
      </c>
      <c r="AS902" s="45" t="b">
        <v>0</v>
      </c>
      <c r="AT902" s="7" t="b">
        <v>0</v>
      </c>
      <c r="AU9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3" spans="1:47" x14ac:dyDescent="0.35">
      <c r="A903" s="2" t="s">
        <v>3351</v>
      </c>
      <c r="B903">
        <v>1988</v>
      </c>
      <c r="C903">
        <v>2003</v>
      </c>
      <c r="D9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3" s="37" t="str">
        <f>INDEX(CONTROL[ENGLISH],MATCH(PROPERTIES[[#This Row],[VEHIDCODE]],CONTROL[VEHIDCODE],0))</f>
        <v>Goninan Tangara T-Set</v>
      </c>
      <c r="F903" t="s">
        <v>541</v>
      </c>
      <c r="G903" s="37" t="str">
        <f>_xlfn.IFNA(INDEX(COUNTRIES[COUNTRY_LABEL],MATCH(PROPERTIES[[#This Row],[COUNTRY]],COUNTRIES[COUNTRY_DESCRIPTION],0)),"")</f>
        <v>AU</v>
      </c>
      <c r="H9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INDEX(LOADINGSPEEDDEF[SPEED],MATCH("LOADINGSPEEDDEF_"&amp;PROPERTIES[[#This Row],[LOADINGSPEED]],LOADINGSPEEDDEF[TYPE],0))</f>
        <v>60</v>
      </c>
      <c r="O9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4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3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3" s="2" t="str">
        <f>SUBSTITUTE(SUBSTITUTE(PROPERTIES[[#This Row],[PURCHASECOST_VALUE]], "PURCHASECOST_", ""), "_VALUE", "")</f>
        <v>EMU</v>
      </c>
      <c r="AO903" s="41" t="b">
        <v>0</v>
      </c>
      <c r="AP903" s="45" t="b">
        <v>0</v>
      </c>
      <c r="AQ903" s="45" t="b">
        <v>0</v>
      </c>
      <c r="AR903" s="45">
        <v>0</v>
      </c>
      <c r="AS903" s="45" t="b">
        <v>0</v>
      </c>
      <c r="AT903" s="7" t="b">
        <v>0</v>
      </c>
      <c r="AU9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4" spans="1:47" x14ac:dyDescent="0.35">
      <c r="A904" s="2" t="s">
        <v>3352</v>
      </c>
      <c r="B904">
        <v>1949</v>
      </c>
      <c r="C904">
        <v>1994</v>
      </c>
      <c r="D9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4" s="37" t="str">
        <f>INDEX(CONTROL[ENGLISH],MATCH(PROPERTIES[[#This Row],[VEHIDCODE]],CONTROL[VEHIDCODE],0))</f>
        <v>NSWGR 600/700</v>
      </c>
      <c r="F904" t="s">
        <v>541</v>
      </c>
      <c r="G904" s="37" t="str">
        <f>_xlfn.IFNA(INDEX(COUNTRIES[COUNTRY_LABEL],MATCH(PROPERTIES[[#This Row],[COUNTRY]],COUNTRIES[COUNTRY_DESCRIPTION],0)),"")</f>
        <v>AU</v>
      </c>
      <c r="H9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INDEX(LOADINGSPEEDDEF[SPEED],MATCH("LOADINGSPEEDDEF_"&amp;PROPERTIES[[#This Row],[LOADINGSPEED]],LOADINGSPEEDDEF[TYPE],0))</f>
        <v>60</v>
      </c>
      <c r="O90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4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4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4" s="2" t="str">
        <f>SUBSTITUTE(SUBSTITUTE(PROPERTIES[[#This Row],[PURCHASECOST_VALUE]], "PURCHASECOST_", ""), "_VALUE", "")</f>
        <v>DMU</v>
      </c>
      <c r="AO904" s="41" t="b">
        <v>0</v>
      </c>
      <c r="AP904" s="45" t="b">
        <v>0</v>
      </c>
      <c r="AQ904" s="45" t="b">
        <v>0</v>
      </c>
      <c r="AR904" s="45">
        <v>0</v>
      </c>
      <c r="AS904" s="45" t="b">
        <v>0</v>
      </c>
      <c r="AT904" s="7" t="b">
        <v>0</v>
      </c>
      <c r="AU9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5" spans="1:47" x14ac:dyDescent="0.35">
      <c r="A905" s="2" t="s">
        <v>3353</v>
      </c>
      <c r="B905">
        <v>1973</v>
      </c>
      <c r="C905">
        <v>2019</v>
      </c>
      <c r="D9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5" s="37" t="str">
        <f>INDEX(CONTROL[ENGLISH],MATCH(PROPERTIES[[#This Row],[VEHIDCODE]],CONTROL[VEHIDCODE],0))</f>
        <v>Kawasaki RM 'Silver Fern'</v>
      </c>
      <c r="F905" t="s">
        <v>697</v>
      </c>
      <c r="G905" s="37" t="str">
        <f>_xlfn.IFNA(INDEX(COUNTRIES[COUNTRY_LABEL],MATCH(PROPERTIES[[#This Row],[COUNTRY]],COUNTRIES[COUNTRY_DESCRIPTION],0)),"")</f>
        <v>NZ</v>
      </c>
      <c r="H9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INDEX(LOADINGSPEEDDEF[SPEED],MATCH("LOADINGSPEEDDEF_"&amp;PROPERTIES[[#This Row],[LOADINGSPEED]],LOADINGSPEEDDEF[TYPE],0))</f>
        <v>60</v>
      </c>
      <c r="O9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4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05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05" s="2" t="str">
        <f>SUBSTITUTE(SUBSTITUTE(PROPERTIES[[#This Row],[PURCHASECOST_VALUE]], "PURCHASECOST_", ""), "_VALUE", "")</f>
        <v>DMU</v>
      </c>
      <c r="AO905" s="41" t="b">
        <v>0</v>
      </c>
      <c r="AP905" s="45" t="b">
        <v>0</v>
      </c>
      <c r="AQ905" s="45" t="b">
        <v>0</v>
      </c>
      <c r="AR905" s="45">
        <v>0</v>
      </c>
      <c r="AS905" s="45" t="b">
        <v>0</v>
      </c>
      <c r="AT905" s="7" t="b">
        <v>0</v>
      </c>
      <c r="AU9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6" spans="1:47" x14ac:dyDescent="0.35">
      <c r="A906" s="2" t="s">
        <v>3354</v>
      </c>
      <c r="B906">
        <v>1957</v>
      </c>
      <c r="C906">
        <v>1993</v>
      </c>
      <c r="D9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6" s="37" t="str">
        <f>INDEX(CONTROL[ENGLISH],MATCH(PROPERTIES[[#This Row],[VEHIDCODE]],CONTROL[VEHIDCODE],0))</f>
        <v>Comeng W Class 'Sputnik'</v>
      </c>
      <c r="F906" t="s">
        <v>541</v>
      </c>
      <c r="G906" s="37" t="str">
        <f>_xlfn.IFNA(INDEX(COUNTRIES[COUNTRY_LABEL],MATCH(PROPERTIES[[#This Row],[COUNTRY]],COUNTRIES[COUNTRY_DESCRIPTION],0)),"")</f>
        <v>AU</v>
      </c>
      <c r="H9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INDEX(LOADINGSPEEDDEF[SPEED],MATCH("LOADINGSPEEDDEF_"&amp;PROPERTIES[[#This Row],[LOADINGSPEED]],LOADINGSPEEDDEF[TYPE],0))</f>
        <v>60</v>
      </c>
      <c r="O9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4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6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6" s="2" t="str">
        <f>SUBSTITUTE(SUBSTITUTE(PROPERTIES[[#This Row],[PURCHASECOST_VALUE]], "PURCHASECOST_", ""), "_VALUE", "")</f>
        <v>EMU</v>
      </c>
      <c r="AO906" s="41" t="b">
        <v>0</v>
      </c>
      <c r="AP906" s="45" t="b">
        <v>0</v>
      </c>
      <c r="AQ906" s="45" t="b">
        <v>0</v>
      </c>
      <c r="AR906" s="45">
        <v>0</v>
      </c>
      <c r="AS906" s="45" t="b">
        <v>0</v>
      </c>
      <c r="AT906" s="7" t="b">
        <v>0</v>
      </c>
      <c r="AU9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7" spans="1:47" x14ac:dyDescent="0.35">
      <c r="A907" s="2" t="s">
        <v>3355</v>
      </c>
      <c r="B907">
        <v>1925</v>
      </c>
      <c r="C907">
        <v>1970</v>
      </c>
      <c r="D9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7" s="37" t="str">
        <f>INDEX(CONTROL[ENGLISH],MATCH(PROPERTIES[[#This Row],[VEHIDCODE]],CONTROL[VEHIDCODE],0))</f>
        <v>Leeds/Clyde 'Standard' EMU</v>
      </c>
      <c r="F907" t="s">
        <v>541</v>
      </c>
      <c r="G907" s="37" t="str">
        <f>_xlfn.IFNA(INDEX(COUNTRIES[COUNTRY_LABEL],MATCH(PROPERTIES[[#This Row],[COUNTRY]],COUNTRIES[COUNTRY_DESCRIPTION],0)),"")</f>
        <v>AU</v>
      </c>
      <c r="H9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INDEX(LOADINGSPEEDDEF[SPEED],MATCH("LOADINGSPEEDDEF_"&amp;PROPERTIES[[#This Row],[LOADINGSPEED]],LOADINGSPEEDDEF[TYPE],0))</f>
        <v>60</v>
      </c>
      <c r="O9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4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7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7" s="2" t="str">
        <f>SUBSTITUTE(SUBSTITUTE(PROPERTIES[[#This Row],[PURCHASECOST_VALUE]], "PURCHASECOST_", ""), "_VALUE", "")</f>
        <v>EMU</v>
      </c>
      <c r="AO907" s="41" t="b">
        <v>0</v>
      </c>
      <c r="AP907" s="45" t="b">
        <v>0</v>
      </c>
      <c r="AQ907" s="45" t="b">
        <v>0</v>
      </c>
      <c r="AR907" s="45">
        <v>0</v>
      </c>
      <c r="AS907" s="45" t="b">
        <v>0</v>
      </c>
      <c r="AT907" s="7" t="b">
        <v>0</v>
      </c>
      <c r="AU9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8" spans="1:47" x14ac:dyDescent="0.35">
      <c r="A908" s="2" t="s">
        <v>3356</v>
      </c>
      <c r="B908">
        <v>1940</v>
      </c>
      <c r="C908">
        <v>1980</v>
      </c>
      <c r="D9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8" s="37" t="str">
        <f>INDEX(CONTROL[ENGLISH],MATCH(PROPERTIES[[#This Row],[VEHIDCODE]],CONTROL[VEHIDCODE],0))</f>
        <v>NSWGR 'Tulloch' EMU</v>
      </c>
      <c r="F908" t="s">
        <v>541</v>
      </c>
      <c r="G908" s="37" t="str">
        <f>_xlfn.IFNA(INDEX(COUNTRIES[COUNTRY_LABEL],MATCH(PROPERTIES[[#This Row],[COUNTRY]],COUNTRIES[COUNTRY_DESCRIPTION],0)),"")</f>
        <v>AU</v>
      </c>
      <c r="H9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INDEX(LOADINGSPEEDDEF[SPEED],MATCH("LOADINGSPEEDDEF_"&amp;PROPERTIES[[#This Row],[LOADINGSPEED]],LOADINGSPEEDDEF[TYPE],0))</f>
        <v>60</v>
      </c>
      <c r="O9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4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8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8" s="2" t="str">
        <f>SUBSTITUTE(SUBSTITUTE(PROPERTIES[[#This Row],[PURCHASECOST_VALUE]], "PURCHASECOST_", ""), "_VALUE", "")</f>
        <v>EMU</v>
      </c>
      <c r="AO908" s="41" t="b">
        <v>0</v>
      </c>
      <c r="AP908" s="45" t="b">
        <v>0</v>
      </c>
      <c r="AQ908" s="45" t="b">
        <v>0</v>
      </c>
      <c r="AR908" s="45">
        <v>0</v>
      </c>
      <c r="AS908" s="45" t="b">
        <v>0</v>
      </c>
      <c r="AT908" s="7" t="b">
        <v>0</v>
      </c>
      <c r="AU9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09" spans="1:47" x14ac:dyDescent="0.35">
      <c r="A909" s="2" t="s">
        <v>3357</v>
      </c>
      <c r="B909">
        <v>2003</v>
      </c>
      <c r="D9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09" s="37" t="str">
        <f>INDEX(CONTROL[ENGLISH],MATCH(PROPERTIES[[#This Row],[VEHIDCODE]],CONTROL[VEHIDCODE],0))</f>
        <v>Alstom X'Trapolis 100 Melbourne</v>
      </c>
      <c r="F909" t="s">
        <v>541</v>
      </c>
      <c r="G909" s="37" t="str">
        <f>_xlfn.IFNA(INDEX(COUNTRIES[COUNTRY_LABEL],MATCH(PROPERTIES[[#This Row],[COUNTRY]],COUNTRIES[COUNTRY_DESCRIPTION],0)),"")</f>
        <v>AU</v>
      </c>
      <c r="H9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INDEX(LOADINGSPEEDDEF[SPEED],MATCH("LOADINGSPEEDDEF_"&amp;PROPERTIES[[#This Row],[LOADINGSPEED]],LOADINGSPEEDDEF[TYPE],0))</f>
        <v>60</v>
      </c>
      <c r="O90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4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09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09" s="2" t="str">
        <f>SUBSTITUTE(SUBSTITUTE(PROPERTIES[[#This Row],[PURCHASECOST_VALUE]], "PURCHASECOST_", ""), "_VALUE", "")</f>
        <v>EMU</v>
      </c>
      <c r="AO909" s="41" t="b">
        <v>0</v>
      </c>
      <c r="AP909" s="45" t="b">
        <v>0</v>
      </c>
      <c r="AQ909" s="45" t="b">
        <v>0</v>
      </c>
      <c r="AR909" s="45">
        <v>0</v>
      </c>
      <c r="AS909" s="45" t="b">
        <v>0</v>
      </c>
      <c r="AT909" s="7" t="b">
        <v>1</v>
      </c>
      <c r="AU9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10" spans="1:47" x14ac:dyDescent="0.35">
      <c r="A910" s="2" t="s">
        <v>1826</v>
      </c>
      <c r="B910">
        <v>1877</v>
      </c>
      <c r="D9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0" s="37" t="str">
        <f>INDEX(CONTROL[ENGLISH],MATCH(PROPERTIES[[#This Row],[VEHIDCODE]],CONTROL[VEHIDCODE],0))</f>
        <v>Early American End-Platform Coach [Smaller]</v>
      </c>
      <c r="G910" s="37" t="str">
        <f>_xlfn.IFNA(INDEX(COUNTRIES[COUNTRY_LABEL],MATCH(PROPERTIES[[#This Row],[COUNTRY]],COUNTRIES[COUNTRY_DESCRIPTION],0)),"")</f>
        <v/>
      </c>
      <c r="H9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INDEX(LOADINGSPEEDDEF[SPEED],MATCH("LOADINGSPEEDDEF_"&amp;PROPERTIES[[#This Row],[LOADINGSPEED]],LOADINGSPEEDDEF[TYPE],0))</f>
        <v>60</v>
      </c>
      <c r="O9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4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0" s="2" t="str">
        <f>SUBSTITUTE(SUBSTITUTE(PROPERTIES[[#This Row],[PURCHASECOST_VALUE]], "PURCHASECOST_", ""), "_VALUE", "")</f>
        <v>COACH</v>
      </c>
      <c r="AO910" s="41" t="b">
        <v>0</v>
      </c>
      <c r="AP910" s="45" t="b">
        <v>0</v>
      </c>
      <c r="AQ910" s="45" t="b">
        <v>0</v>
      </c>
      <c r="AR910" s="45">
        <v>0</v>
      </c>
      <c r="AS910" s="45" t="b">
        <v>0</v>
      </c>
      <c r="AT910" s="7" t="b">
        <v>0</v>
      </c>
      <c r="AU9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1" spans="1:47" x14ac:dyDescent="0.35">
      <c r="A911" s="2" t="s">
        <v>1828</v>
      </c>
      <c r="B911">
        <v>1877</v>
      </c>
      <c r="D9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1" s="37" t="str">
        <f>INDEX(CONTROL[ENGLISH],MATCH(PROPERTIES[[#This Row],[VEHIDCODE]],CONTROL[VEHIDCODE],0))</f>
        <v>Early American End-Platform Mail Coach [Smaller]</v>
      </c>
      <c r="G911" s="37" t="str">
        <f>_xlfn.IFNA(INDEX(COUNTRIES[COUNTRY_LABEL],MATCH(PROPERTIES[[#This Row],[COUNTRY]],COUNTRIES[COUNTRY_DESCRIPTION],0)),"")</f>
        <v/>
      </c>
      <c r="H9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INDEX(LOADINGSPEEDDEF[SPEED],MATCH("LOADINGSPEEDDEF_"&amp;PROPERTIES[[#This Row],[LOADINGSPEED]],LOADINGSPEEDDEF[TYPE],0))</f>
        <v>15</v>
      </c>
      <c r="O91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4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1" s="2" t="str">
        <f>SUBSTITUTE(SUBSTITUTE(PROPERTIES[[#This Row],[PURCHASECOST_VALUE]], "PURCHASECOST_", ""), "_VALUE", "")</f>
        <v>COACH</v>
      </c>
      <c r="AO911" s="41" t="b">
        <v>0</v>
      </c>
      <c r="AP911" s="45" t="b">
        <v>0</v>
      </c>
      <c r="AQ911" s="45" t="b">
        <v>0</v>
      </c>
      <c r="AR911" s="45">
        <v>0</v>
      </c>
      <c r="AS911" s="45" t="b">
        <v>0</v>
      </c>
      <c r="AT911" s="7" t="b">
        <v>0</v>
      </c>
      <c r="AU9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2" spans="1:47" x14ac:dyDescent="0.35">
      <c r="A912" s="2" t="s">
        <v>1829</v>
      </c>
      <c r="B912">
        <v>1854</v>
      </c>
      <c r="D9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2" s="37" t="str">
        <f>INDEX(CONTROL[ENGLISH],MATCH(PROPERTIES[[#This Row],[VEHIDCODE]],CONTROL[VEHIDCODE],0))</f>
        <v>Early 2-axle Compartment Coach</v>
      </c>
      <c r="G912" s="37" t="str">
        <f>_xlfn.IFNA(INDEX(COUNTRIES[COUNTRY_LABEL],MATCH(PROPERTIES[[#This Row],[COUNTRY]],COUNTRIES[COUNTRY_DESCRIPTION],0)),"")</f>
        <v/>
      </c>
      <c r="H9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INDEX(LOADINGSPEEDDEF[SPEED],MATCH("LOADINGSPEEDDEF_"&amp;PROPERTIES[[#This Row],[LOADINGSPEED]],LOADINGSPEEDDEF[TYPE],0))</f>
        <v>60</v>
      </c>
      <c r="O9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4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2" s="2" t="str">
        <f>SUBSTITUTE(SUBSTITUTE(PROPERTIES[[#This Row],[PURCHASECOST_VALUE]], "PURCHASECOST_", ""), "_VALUE", "")</f>
        <v>COACH</v>
      </c>
      <c r="AO912" s="41" t="b">
        <v>0</v>
      </c>
      <c r="AP912" s="45" t="b">
        <v>0</v>
      </c>
      <c r="AQ912" s="45" t="b">
        <v>0</v>
      </c>
      <c r="AR912" s="45">
        <v>0</v>
      </c>
      <c r="AS912" s="45" t="b">
        <v>0</v>
      </c>
      <c r="AT912" s="7" t="b">
        <v>0</v>
      </c>
      <c r="AU9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3" spans="1:47" x14ac:dyDescent="0.35">
      <c r="A913" s="2" t="s">
        <v>1830</v>
      </c>
      <c r="B913">
        <v>1854</v>
      </c>
      <c r="D9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3" s="37" t="str">
        <f>INDEX(CONTROL[ENGLISH],MATCH(PROPERTIES[[#This Row],[VEHIDCODE]],CONTROL[VEHIDCODE],0))</f>
        <v>Early 2-axle Mail Coach</v>
      </c>
      <c r="G913" s="37" t="str">
        <f>_xlfn.IFNA(INDEX(COUNTRIES[COUNTRY_LABEL],MATCH(PROPERTIES[[#This Row],[COUNTRY]],COUNTRIES[COUNTRY_DESCRIPTION],0)),"")</f>
        <v/>
      </c>
      <c r="H9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INDEX(LOADINGSPEEDDEF[SPEED],MATCH("LOADINGSPEEDDEF_"&amp;PROPERTIES[[#This Row],[LOADINGSPEED]],LOADINGSPEEDDEF[TYPE],0))</f>
        <v>15</v>
      </c>
      <c r="O9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4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3" s="2" t="str">
        <f>SUBSTITUTE(SUBSTITUTE(PROPERTIES[[#This Row],[PURCHASECOST_VALUE]], "PURCHASECOST_", ""), "_VALUE", "")</f>
        <v>COACH</v>
      </c>
      <c r="AO913" s="41" t="b">
        <v>0</v>
      </c>
      <c r="AP913" s="45" t="b">
        <v>0</v>
      </c>
      <c r="AQ913" s="45" t="b">
        <v>0</v>
      </c>
      <c r="AR913" s="45">
        <v>0</v>
      </c>
      <c r="AS913" s="45" t="b">
        <v>0</v>
      </c>
      <c r="AT913" s="7" t="b">
        <v>0</v>
      </c>
      <c r="AU9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4" spans="1:47" x14ac:dyDescent="0.35">
      <c r="A914" t="s">
        <v>1833</v>
      </c>
      <c r="B914">
        <v>1877</v>
      </c>
      <c r="D9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4" s="37" t="str">
        <f>INDEX(CONTROL[ENGLISH],MATCH(PROPERTIES[[#This Row],[VEHIDCODE]],CONTROL[VEHIDCODE],0))</f>
        <v>Early 2-axle End-Platform Coach</v>
      </c>
      <c r="G914" s="37" t="str">
        <f>_xlfn.IFNA(INDEX(COUNTRIES[COUNTRY_LABEL],MATCH(PROPERTIES[[#This Row],[COUNTRY]],COUNTRIES[COUNTRY_DESCRIPTION],0)),"")</f>
        <v/>
      </c>
      <c r="H9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INDEX(LOADINGSPEEDDEF[SPEED],MATCH("LOADINGSPEEDDEF_"&amp;PROPERTIES[[#This Row],[LOADINGSPEED]],LOADINGSPEEDDEF[TYPE],0))</f>
        <v>60</v>
      </c>
      <c r="O9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4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4" s="2" t="str">
        <f>SUBSTITUTE(SUBSTITUTE(PROPERTIES[[#This Row],[PURCHASECOST_VALUE]], "PURCHASECOST_", ""), "_VALUE", "")</f>
        <v>COACH</v>
      </c>
      <c r="AO914" s="41" t="b">
        <v>0</v>
      </c>
      <c r="AP914" s="45" t="b">
        <v>0</v>
      </c>
      <c r="AQ914" s="45" t="b">
        <v>0</v>
      </c>
      <c r="AR914" s="45">
        <v>0</v>
      </c>
      <c r="AS914" s="45" t="b">
        <v>0</v>
      </c>
      <c r="AT914" s="7" t="b">
        <v>0</v>
      </c>
      <c r="AU9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5" spans="1:47" x14ac:dyDescent="0.35">
      <c r="A915" s="2" t="s">
        <v>1834</v>
      </c>
      <c r="B915">
        <v>1865</v>
      </c>
      <c r="D9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5" s="37" t="str">
        <f>INDEX(CONTROL[ENGLISH],MATCH(PROPERTIES[[#This Row],[VEHIDCODE]],CONTROL[VEHIDCODE],0))</f>
        <v>Early 2-axle Suburban Coach</v>
      </c>
      <c r="G915" s="37" t="str">
        <f>_xlfn.IFNA(INDEX(COUNTRIES[COUNTRY_LABEL],MATCH(PROPERTIES[[#This Row],[COUNTRY]],COUNTRIES[COUNTRY_DESCRIPTION],0)),"")</f>
        <v/>
      </c>
      <c r="H9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INDEX(LOADINGSPEEDDEF[SPEED],MATCH("LOADINGSPEEDDEF_"&amp;PROPERTIES[[#This Row],[LOADINGSPEED]],LOADINGSPEEDDEF[TYPE],0))</f>
        <v>60</v>
      </c>
      <c r="O91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4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5" s="2" t="str">
        <f>SUBSTITUTE(SUBSTITUTE(PROPERTIES[[#This Row],[PURCHASECOST_VALUE]], "PURCHASECOST_", ""), "_VALUE", "")</f>
        <v>COACH</v>
      </c>
      <c r="AO915" s="41" t="b">
        <v>0</v>
      </c>
      <c r="AP915" s="45" t="b">
        <v>0</v>
      </c>
      <c r="AQ915" s="45" t="b">
        <v>0</v>
      </c>
      <c r="AR915" s="45">
        <v>0</v>
      </c>
      <c r="AS915" s="45" t="b">
        <v>0</v>
      </c>
      <c r="AT915" s="7" t="b">
        <v>0</v>
      </c>
      <c r="AU9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6" spans="1:47" x14ac:dyDescent="0.35">
      <c r="A916" s="2" t="s">
        <v>1837</v>
      </c>
      <c r="B916">
        <v>1972</v>
      </c>
      <c r="C916">
        <v>2020</v>
      </c>
      <c r="D9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6" s="37" t="str">
        <f>INDEX(CONTROL[ENGLISH],MATCH(PROPERTIES[[#This Row],[VEHIDCODE]],CONTROL[VEHIDCODE],0))</f>
        <v>BREL Mk3 Coach</v>
      </c>
      <c r="G916" s="37" t="str">
        <f>_xlfn.IFNA(INDEX(COUNTRIES[COUNTRY_LABEL],MATCH(PROPERTIES[[#This Row],[COUNTRY]],COUNTRIES[COUNTRY_DESCRIPTION],0)),"")</f>
        <v/>
      </c>
      <c r="H9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16">
        <f>INDEX(LOADINGSPEEDDEF[SPEED],MATCH("LOADINGSPEEDDEF_"&amp;PROPERTIES[[#This Row],[LOADINGSPEED]],LOADINGSPEEDDEF[TYPE],0))</f>
        <v>20</v>
      </c>
      <c r="O9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201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4">
        <v>0</v>
      </c>
      <c r="AF916" s="6">
        <v>0</v>
      </c>
      <c r="AG916" t="s">
        <v>1937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6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6" s="2" t="str">
        <f>SUBSTITUTE(SUBSTITUTE(PROPERTIES[[#This Row],[PURCHASECOST_VALUE]], "PURCHASECOST_", ""), "_VALUE", "")</f>
        <v>COACH</v>
      </c>
      <c r="AO916" s="41" t="b">
        <v>0</v>
      </c>
      <c r="AP916" s="45" t="b">
        <v>1</v>
      </c>
      <c r="AQ916" s="45" t="b">
        <v>0</v>
      </c>
      <c r="AR916" s="45">
        <v>0</v>
      </c>
      <c r="AS916" s="45" t="b">
        <v>0</v>
      </c>
      <c r="AT916" s="7" t="b">
        <v>0</v>
      </c>
      <c r="AU9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917" spans="1:47" x14ac:dyDescent="0.35">
      <c r="A917" s="2" t="s">
        <v>1838</v>
      </c>
      <c r="B917">
        <v>1972</v>
      </c>
      <c r="C917">
        <v>2020</v>
      </c>
      <c r="D9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7" s="37" t="str">
        <f>INDEX(CONTROL[ENGLISH],MATCH(PROPERTIES[[#This Row],[VEHIDCODE]],CONTROL[VEHIDCODE],0))</f>
        <v>BREL Mk3 Mail Coach</v>
      </c>
      <c r="G917" s="37" t="str">
        <f>_xlfn.IFNA(INDEX(COUNTRIES[COUNTRY_LABEL],MATCH(PROPERTIES[[#This Row],[COUNTRY]],COUNTRIES[COUNTRY_DESCRIPTION],0)),"")</f>
        <v/>
      </c>
      <c r="H9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INDEX(LOADINGSPEEDDEF[SPEED],MATCH("LOADINGSPEEDDEF_"&amp;PROPERTIES[[#This Row],[LOADINGSPEED]],LOADINGSPEEDDEF[TYPE],0))</f>
        <v>15</v>
      </c>
      <c r="O91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201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4">
        <v>0</v>
      </c>
      <c r="AF917" s="6">
        <v>0</v>
      </c>
      <c r="AG917" t="s">
        <v>1937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7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7" s="2" t="str">
        <f>SUBSTITUTE(SUBSTITUTE(PROPERTIES[[#This Row],[PURCHASECOST_VALUE]], "PURCHASECOST_", ""), "_VALUE", "")</f>
        <v>COACH</v>
      </c>
      <c r="AO917" s="41" t="b">
        <v>0</v>
      </c>
      <c r="AP917" s="45" t="b">
        <v>0</v>
      </c>
      <c r="AQ917" s="45" t="b">
        <v>0</v>
      </c>
      <c r="AR917" s="45">
        <v>0</v>
      </c>
      <c r="AS917" s="45" t="b">
        <v>0</v>
      </c>
      <c r="AT917" s="7" t="b">
        <v>0</v>
      </c>
      <c r="AU9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8" spans="1:47" x14ac:dyDescent="0.35">
      <c r="A918" s="2" t="s">
        <v>1840</v>
      </c>
      <c r="B918">
        <v>1984</v>
      </c>
      <c r="D9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8" s="37" t="str">
        <f>INDEX(CONTROL[ENGLISH],MATCH(PROPERTIES[[#This Row],[VEHIDCODE]],CONTROL[VEHIDCODE],0))</f>
        <v>Comeng SA2000 SDD Concept</v>
      </c>
      <c r="G918" s="37" t="str">
        <f>_xlfn.IFNA(INDEX(COUNTRIES[COUNTRY_LABEL],MATCH(PROPERTIES[[#This Row],[COUNTRY]],COUNTRIES[COUNTRY_DESCRIPTION],0)),"")</f>
        <v/>
      </c>
      <c r="H9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INDEX(LOADINGSPEEDDEF[SPEED],MATCH("LOADINGSPEEDDEF_"&amp;PROPERTIES[[#This Row],[LOADINGSPEED]],LOADINGSPEEDDEF[TYPE],0))</f>
        <v>60</v>
      </c>
      <c r="O9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4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8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8" s="2" t="str">
        <f>SUBSTITUTE(SUBSTITUTE(PROPERTIES[[#This Row],[PURCHASECOST_VALUE]], "PURCHASECOST_", ""), "_VALUE", "")</f>
        <v>COACH</v>
      </c>
      <c r="AO918" s="41" t="b">
        <v>0</v>
      </c>
      <c r="AP918" s="45" t="b">
        <v>1</v>
      </c>
      <c r="AQ918" s="45" t="b">
        <v>0</v>
      </c>
      <c r="AR918" s="45">
        <v>0</v>
      </c>
      <c r="AS918" s="45" t="b">
        <v>0</v>
      </c>
      <c r="AT918" s="7" t="b">
        <v>0</v>
      </c>
      <c r="AU9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19" spans="1:47" x14ac:dyDescent="0.35">
      <c r="A919" s="2" t="s">
        <v>1842</v>
      </c>
      <c r="B919">
        <v>1992</v>
      </c>
      <c r="D9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19" s="37" t="str">
        <f>INDEX(CONTROL[ENGLISH],MATCH(PROPERTIES[[#This Row],[VEHIDCODE]],CONTROL[VEHIDCODE],0))</f>
        <v>Melbourne/Goninan 4D Coach Concept</v>
      </c>
      <c r="G919" s="37" t="str">
        <f>_xlfn.IFNA(INDEX(COUNTRIES[COUNTRY_LABEL],MATCH(PROPERTIES[[#This Row],[COUNTRY]],COUNTRIES[COUNTRY_DESCRIPTION],0)),"")</f>
        <v/>
      </c>
      <c r="H9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INDEX(LOADINGSPEEDDEF[SPEED],MATCH("LOADINGSPEEDDEF_"&amp;PROPERTIES[[#This Row],[LOADINGSPEED]],LOADINGSPEEDDEF[TYPE],0))</f>
        <v>60</v>
      </c>
      <c r="O9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4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19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19" s="2" t="str">
        <f>SUBSTITUTE(SUBSTITUTE(PROPERTIES[[#This Row],[PURCHASECOST_VALUE]], "PURCHASECOST_", ""), "_VALUE", "")</f>
        <v>COACH</v>
      </c>
      <c r="AO919" s="41" t="b">
        <v>0</v>
      </c>
      <c r="AP919" s="45" t="b">
        <v>1</v>
      </c>
      <c r="AQ919" s="45" t="b">
        <v>0</v>
      </c>
      <c r="AR919" s="45">
        <v>0</v>
      </c>
      <c r="AS919" s="45" t="b">
        <v>0</v>
      </c>
      <c r="AT919" s="7" t="b">
        <v>0</v>
      </c>
      <c r="AU9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0" spans="1:47" x14ac:dyDescent="0.35">
      <c r="A920" s="2" t="s">
        <v>1843</v>
      </c>
      <c r="B920">
        <v>1989</v>
      </c>
      <c r="D9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0" s="37" t="str">
        <f>INDEX(CONTROL[ENGLISH],MATCH(PROPERTIES[[#This Row],[VEHIDCODE]],CONTROL[VEHIDCODE],0))</f>
        <v>Tangara V-Set Hybrid Coach Concept</v>
      </c>
      <c r="G920" s="37" t="str">
        <f>_xlfn.IFNA(INDEX(COUNTRIES[COUNTRY_LABEL],MATCH(PROPERTIES[[#This Row],[COUNTRY]],COUNTRIES[COUNTRY_DESCRIPTION],0)),"")</f>
        <v/>
      </c>
      <c r="H9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INDEX(LOADINGSPEEDDEF[SPEED],MATCH("LOADINGSPEEDDEF_"&amp;PROPERTIES[[#This Row],[LOADINGSPEED]],LOADINGSPEEDDEF[TYPE],0))</f>
        <v>60</v>
      </c>
      <c r="O9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4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0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0" s="2" t="str">
        <f>SUBSTITUTE(SUBSTITUTE(PROPERTIES[[#This Row],[PURCHASECOST_VALUE]], "PURCHASECOST_", ""), "_VALUE", "")</f>
        <v>COACH</v>
      </c>
      <c r="AO920" s="41" t="b">
        <v>0</v>
      </c>
      <c r="AP920" s="45" t="b">
        <v>1</v>
      </c>
      <c r="AQ920" s="45" t="b">
        <v>0</v>
      </c>
      <c r="AR920" s="45">
        <v>0</v>
      </c>
      <c r="AS920" s="45" t="b">
        <v>0</v>
      </c>
      <c r="AT920" s="7" t="b">
        <v>0</v>
      </c>
      <c r="AU9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1" spans="1:47" x14ac:dyDescent="0.35">
      <c r="A921" s="2" t="s">
        <v>1845</v>
      </c>
      <c r="B921">
        <v>1971</v>
      </c>
      <c r="C921">
        <v>1979</v>
      </c>
      <c r="D9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1" s="37" t="str">
        <f>INDEX(CONTROL[ENGLISH],MATCH(PROPERTIES[[#This Row],[VEHIDCODE]],CONTROL[VEHIDCODE],0))</f>
        <v>NZR Silver Star Coach</v>
      </c>
      <c r="G921" s="37" t="str">
        <f>_xlfn.IFNA(INDEX(COUNTRIES[COUNTRY_LABEL],MATCH(PROPERTIES[[#This Row],[COUNTRY]],COUNTRIES[COUNTRY_DESCRIPTION],0)),"")</f>
        <v/>
      </c>
      <c r="H9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INDEX(LOADINGSPEEDDEF[SPEED],MATCH("LOADINGSPEEDDEF_"&amp;PROPERTIES[[#This Row],[LOADINGSPEED]],LOADINGSPEEDDEF[TYPE],0))</f>
        <v>60</v>
      </c>
      <c r="O9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4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1" s="2" t="str">
        <f>SUBSTITUTE(SUBSTITUTE(PROPERTIES[[#This Row],[PURCHASECOST_VALUE]], "PURCHASECOST_", ""), "_VALUE", "")</f>
        <v>COACH</v>
      </c>
      <c r="AO921" s="41" t="b">
        <v>0</v>
      </c>
      <c r="AP921" s="45" t="b">
        <v>0</v>
      </c>
      <c r="AQ921" s="45" t="b">
        <v>0</v>
      </c>
      <c r="AR921" s="45">
        <v>0</v>
      </c>
      <c r="AS921" s="45" t="b">
        <v>0</v>
      </c>
      <c r="AT921" s="7" t="b">
        <v>0</v>
      </c>
      <c r="AU9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2" spans="1:47" x14ac:dyDescent="0.35">
      <c r="A922" s="2" t="s">
        <v>1847</v>
      </c>
      <c r="B922">
        <v>1971</v>
      </c>
      <c r="C922">
        <v>1979</v>
      </c>
      <c r="D9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2" s="37" t="str">
        <f>INDEX(CONTROL[ENGLISH],MATCH(PROPERTIES[[#This Row],[VEHIDCODE]],CONTROL[VEHIDCODE],0))</f>
        <v>NZR Silver Star Mail Coach</v>
      </c>
      <c r="G922" s="37" t="str">
        <f>_xlfn.IFNA(INDEX(COUNTRIES[COUNTRY_LABEL],MATCH(PROPERTIES[[#This Row],[COUNTRY]],COUNTRIES[COUNTRY_DESCRIPTION],0)),"")</f>
        <v/>
      </c>
      <c r="H9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INDEX(LOADINGSPEEDDEF[SPEED],MATCH("LOADINGSPEEDDEF_"&amp;PROPERTIES[[#This Row],[LOADINGSPEED]],LOADINGSPEEDDEF[TYPE],0))</f>
        <v>15</v>
      </c>
      <c r="O9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4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2" s="2" t="str">
        <f>SUBSTITUTE(SUBSTITUTE(PROPERTIES[[#This Row],[PURCHASECOST_VALUE]], "PURCHASECOST_", ""), "_VALUE", "")</f>
        <v>COACH</v>
      </c>
      <c r="AO922" s="41" t="b">
        <v>0</v>
      </c>
      <c r="AP922" s="45" t="b">
        <v>0</v>
      </c>
      <c r="AQ922" s="45" t="b">
        <v>0</v>
      </c>
      <c r="AR922" s="45">
        <v>0</v>
      </c>
      <c r="AS922" s="45" t="b">
        <v>0</v>
      </c>
      <c r="AT922" s="7" t="b">
        <v>0</v>
      </c>
      <c r="AU9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3" spans="1:47" x14ac:dyDescent="0.35">
      <c r="A923" s="2" t="s">
        <v>1849</v>
      </c>
      <c r="B923">
        <v>1981</v>
      </c>
      <c r="D9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3" s="37" t="str">
        <f>INDEX(CONTROL[ENGLISH],MATCH(PROPERTIES[[#This Row],[VEHIDCODE]],CONTROL[VEHIDCODE],0))</f>
        <v>Comeng High Speed Coach</v>
      </c>
      <c r="G923" s="37" t="str">
        <f>_xlfn.IFNA(INDEX(COUNTRIES[COUNTRY_LABEL],MATCH(PROPERTIES[[#This Row],[COUNTRY]],COUNTRIES[COUNTRY_DESCRIPTION],0)),"")</f>
        <v/>
      </c>
      <c r="H9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INDEX(LOADINGSPEEDDEF[SPEED],MATCH("LOADINGSPEEDDEF_"&amp;PROPERTIES[[#This Row],[LOADINGSPEED]],LOADINGSPEEDDEF[TYPE],0))</f>
        <v>60</v>
      </c>
      <c r="O9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4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3" s="2" t="str">
        <f>SUBSTITUTE(SUBSTITUTE(PROPERTIES[[#This Row],[PURCHASECOST_VALUE]], "PURCHASECOST_", ""), "_VALUE", "")</f>
        <v>COACH</v>
      </c>
      <c r="AO923" s="41" t="b">
        <v>0</v>
      </c>
      <c r="AP923" s="45" t="b">
        <v>0</v>
      </c>
      <c r="AQ923" s="45" t="b">
        <v>0</v>
      </c>
      <c r="AR923" s="45">
        <v>0</v>
      </c>
      <c r="AS923" s="45" t="b">
        <v>0</v>
      </c>
      <c r="AT923" s="7" t="b">
        <v>0</v>
      </c>
      <c r="AU9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4" spans="1:47" x14ac:dyDescent="0.35">
      <c r="A924" s="2" t="s">
        <v>1850</v>
      </c>
      <c r="B924">
        <v>1981</v>
      </c>
      <c r="D9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4" s="37" t="str">
        <f>INDEX(CONTROL[ENGLISH],MATCH(PROPERTIES[[#This Row],[VEHIDCODE]],CONTROL[VEHIDCODE],0))</f>
        <v>Comeng High Speed Mail Coach</v>
      </c>
      <c r="G924" s="37" t="str">
        <f>_xlfn.IFNA(INDEX(COUNTRIES[COUNTRY_LABEL],MATCH(PROPERTIES[[#This Row],[COUNTRY]],COUNTRIES[COUNTRY_DESCRIPTION],0)),"")</f>
        <v/>
      </c>
      <c r="H9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INDEX(LOADINGSPEEDDEF[SPEED],MATCH("LOADINGSPEEDDEF_"&amp;PROPERTIES[[#This Row],[LOADINGSPEED]],LOADINGSPEEDDEF[TYPE],0))</f>
        <v>15</v>
      </c>
      <c r="O9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4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4" s="2" t="str">
        <f>SUBSTITUTE(SUBSTITUTE(PROPERTIES[[#This Row],[PURCHASECOST_VALUE]], "PURCHASECOST_", ""), "_VALUE", "")</f>
        <v>COACH</v>
      </c>
      <c r="AO924" s="41" t="b">
        <v>0</v>
      </c>
      <c r="AP924" s="45" t="b">
        <v>0</v>
      </c>
      <c r="AQ924" s="45" t="b">
        <v>0</v>
      </c>
      <c r="AR924" s="45">
        <v>0</v>
      </c>
      <c r="AS924" s="45" t="b">
        <v>0</v>
      </c>
      <c r="AT924" s="7" t="b">
        <v>0</v>
      </c>
      <c r="AU9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5" spans="1:47" x14ac:dyDescent="0.35">
      <c r="A925" s="2" t="s">
        <v>1854</v>
      </c>
      <c r="B925">
        <v>1984</v>
      </c>
      <c r="D9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5" s="37" t="str">
        <f>INDEX(CONTROL[ENGLISH],MATCH(PROPERTIES[[#This Row],[VEHIDCODE]],CONTROL[VEHIDCODE],0))</f>
        <v>Comeng-M&amp;K H-Type Suburban Coach</v>
      </c>
      <c r="G925" s="37" t="str">
        <f>_xlfn.IFNA(INDEX(COUNTRIES[COUNTRY_LABEL],MATCH(PROPERTIES[[#This Row],[COUNTRY]],COUNTRIES[COUNTRY_DESCRIPTION],0)),"")</f>
        <v/>
      </c>
      <c r="H9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INDEX(LOADINGSPEEDDEF[SPEED],MATCH("LOADINGSPEEDDEF_"&amp;PROPERTIES[[#This Row],[LOADINGSPEED]],LOADINGSPEEDDEF[TYPE],0))</f>
        <v>60</v>
      </c>
      <c r="O9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4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5" s="2" t="str">
        <f>SUBSTITUTE(SUBSTITUTE(PROPERTIES[[#This Row],[PURCHASECOST_VALUE]], "PURCHASECOST_", ""), "_VALUE", "")</f>
        <v>COACH</v>
      </c>
      <c r="AO925" s="41" t="b">
        <v>0</v>
      </c>
      <c r="AP925" s="45" t="b">
        <v>1</v>
      </c>
      <c r="AQ925" s="45" t="b">
        <v>0</v>
      </c>
      <c r="AR925" s="45">
        <v>0</v>
      </c>
      <c r="AS925" s="45" t="b">
        <v>0</v>
      </c>
      <c r="AT925" s="7" t="b">
        <v>0</v>
      </c>
      <c r="AU9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6" spans="1:47" x14ac:dyDescent="0.35">
      <c r="A926" s="2" t="s">
        <v>1856</v>
      </c>
      <c r="B926">
        <v>1948</v>
      </c>
      <c r="C926">
        <v>1975</v>
      </c>
      <c r="D9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6" s="37" t="str">
        <f>INDEX(CONTROL[ENGLISH],MATCH(PROPERTIES[[#This Row],[VEHIDCODE]],CONTROL[VEHIDCODE],0))</f>
        <v>NSWGR 'Tulloch' RUB Coach</v>
      </c>
      <c r="G926" s="37" t="str">
        <f>_xlfn.IFNA(INDEX(COUNTRIES[COUNTRY_LABEL],MATCH(PROPERTIES[[#This Row],[COUNTRY]],COUNTRIES[COUNTRY_DESCRIPTION],0)),"")</f>
        <v/>
      </c>
      <c r="H9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INDEX(LOADINGSPEEDDEF[SPEED],MATCH("LOADINGSPEEDDEF_"&amp;PROPERTIES[[#This Row],[LOADINGSPEED]],LOADINGSPEEDDEF[TYPE],0))</f>
        <v>60</v>
      </c>
      <c r="O9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4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6" s="2" t="str">
        <f>SUBSTITUTE(SUBSTITUTE(PROPERTIES[[#This Row],[PURCHASECOST_VALUE]], "PURCHASECOST_", ""), "_VALUE", "")</f>
        <v>COACH</v>
      </c>
      <c r="AO926" s="41" t="b">
        <v>0</v>
      </c>
      <c r="AP926" s="45" t="b">
        <v>0</v>
      </c>
      <c r="AQ926" s="45" t="b">
        <v>0</v>
      </c>
      <c r="AR926" s="45">
        <v>0</v>
      </c>
      <c r="AS926" s="45" t="b">
        <v>0</v>
      </c>
      <c r="AT926" s="7" t="b">
        <v>0</v>
      </c>
      <c r="AU9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7" spans="1:47" x14ac:dyDescent="0.35">
      <c r="A927" s="2" t="s">
        <v>1857</v>
      </c>
      <c r="B927">
        <v>1948</v>
      </c>
      <c r="C927">
        <v>1975</v>
      </c>
      <c r="D9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7" s="37" t="str">
        <f>INDEX(CONTROL[ENGLISH],MATCH(PROPERTIES[[#This Row],[VEHIDCODE]],CONTROL[VEHIDCODE],0))</f>
        <v>NSWGR 'Tulloch' RUB Mail Coach</v>
      </c>
      <c r="G927" s="37" t="str">
        <f>_xlfn.IFNA(INDEX(COUNTRIES[COUNTRY_LABEL],MATCH(PROPERTIES[[#This Row],[COUNTRY]],COUNTRIES[COUNTRY_DESCRIPTION],0)),"")</f>
        <v/>
      </c>
      <c r="H9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INDEX(LOADINGSPEEDDEF[SPEED],MATCH("LOADINGSPEEDDEF_"&amp;PROPERTIES[[#This Row],[LOADINGSPEED]],LOADINGSPEEDDEF[TYPE],0))</f>
        <v>15</v>
      </c>
      <c r="O9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4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7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7" s="2" t="str">
        <f>SUBSTITUTE(SUBSTITUTE(PROPERTIES[[#This Row],[PURCHASECOST_VALUE]], "PURCHASECOST_", ""), "_VALUE", "")</f>
        <v>COACH</v>
      </c>
      <c r="AO927" s="41" t="b">
        <v>0</v>
      </c>
      <c r="AP927" s="45" t="b">
        <v>0</v>
      </c>
      <c r="AQ927" s="45" t="b">
        <v>0</v>
      </c>
      <c r="AR927" s="45">
        <v>0</v>
      </c>
      <c r="AS927" s="45" t="b">
        <v>0</v>
      </c>
      <c r="AT927" s="7" t="b">
        <v>0</v>
      </c>
      <c r="AU9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8" spans="1:47" x14ac:dyDescent="0.35">
      <c r="A928" s="2" t="s">
        <v>1859</v>
      </c>
      <c r="B928">
        <v>1924</v>
      </c>
      <c r="D9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8" s="37" t="str">
        <f>INDEX(CONTROL[ENGLISH],MATCH(PROPERTIES[[#This Row],[VEHIDCODE]],CONTROL[VEHIDCODE],0))</f>
        <v>WAGR AY Suburban Coaches</v>
      </c>
      <c r="G928" s="37" t="str">
        <f>_xlfn.IFNA(INDEX(COUNTRIES[COUNTRY_LABEL],MATCH(PROPERTIES[[#This Row],[COUNTRY]],COUNTRIES[COUNTRY_DESCRIPTION],0)),"")</f>
        <v/>
      </c>
      <c r="H9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INDEX(LOADINGSPEEDDEF[SPEED],MATCH("LOADINGSPEEDDEF_"&amp;PROPERTIES[[#This Row],[LOADINGSPEED]],LOADINGSPEEDDEF[TYPE],0))</f>
        <v>60</v>
      </c>
      <c r="O9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4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8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8" s="2" t="str">
        <f>SUBSTITUTE(SUBSTITUTE(PROPERTIES[[#This Row],[PURCHASECOST_VALUE]], "PURCHASECOST_", ""), "_VALUE", "")</f>
        <v>COACH</v>
      </c>
      <c r="AO928" s="41" t="b">
        <v>0</v>
      </c>
      <c r="AP928" s="45" t="b">
        <v>0</v>
      </c>
      <c r="AQ928" s="45" t="b">
        <v>0</v>
      </c>
      <c r="AR928" s="45">
        <v>0</v>
      </c>
      <c r="AS928" s="45" t="b">
        <v>0</v>
      </c>
      <c r="AT928" s="7" t="b">
        <v>0</v>
      </c>
      <c r="AU9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29" spans="1:47" x14ac:dyDescent="0.35">
      <c r="A929" s="2" t="s">
        <v>1861</v>
      </c>
      <c r="B929">
        <v>1937</v>
      </c>
      <c r="D9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29" s="37" t="str">
        <f>INDEX(CONTROL[ENGLISH],MATCH(PROPERTIES[[#This Row],[VEHIDCODE]],CONTROL[VEHIDCODE],0))</f>
        <v>NZR 56ft Coach</v>
      </c>
      <c r="G929" s="37" t="str">
        <f>_xlfn.IFNA(INDEX(COUNTRIES[COUNTRY_LABEL],MATCH(PROPERTIES[[#This Row],[COUNTRY]],COUNTRIES[COUNTRY_DESCRIPTION],0)),"")</f>
        <v/>
      </c>
      <c r="H9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INDEX(LOADINGSPEEDDEF[SPEED],MATCH("LOADINGSPEEDDEF_"&amp;PROPERTIES[[#This Row],[LOADINGSPEED]],LOADINGSPEEDDEF[TYPE],0))</f>
        <v>60</v>
      </c>
      <c r="O9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4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29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29" s="2" t="str">
        <f>SUBSTITUTE(SUBSTITUTE(PROPERTIES[[#This Row],[PURCHASECOST_VALUE]], "PURCHASECOST_", ""), "_VALUE", "")</f>
        <v>COACH</v>
      </c>
      <c r="AO929" s="41" t="b">
        <v>0</v>
      </c>
      <c r="AP929" s="45" t="b">
        <v>0</v>
      </c>
      <c r="AQ929" s="45" t="b">
        <v>0</v>
      </c>
      <c r="AR929" s="45">
        <v>0</v>
      </c>
      <c r="AS929" s="45" t="b">
        <v>0</v>
      </c>
      <c r="AT929" s="7" t="b">
        <v>0</v>
      </c>
      <c r="AU9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0" spans="1:47" x14ac:dyDescent="0.35">
      <c r="A930" s="2" t="s">
        <v>1862</v>
      </c>
      <c r="B930">
        <v>1937</v>
      </c>
      <c r="D9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0" s="37" t="str">
        <f>INDEX(CONTROL[ENGLISH],MATCH(PROPERTIES[[#This Row],[VEHIDCODE]],CONTROL[VEHIDCODE],0))</f>
        <v>NZR 56ft Mail Coach</v>
      </c>
      <c r="G930" s="37" t="str">
        <f>_xlfn.IFNA(INDEX(COUNTRIES[COUNTRY_LABEL],MATCH(PROPERTIES[[#This Row],[COUNTRY]],COUNTRIES[COUNTRY_DESCRIPTION],0)),"")</f>
        <v/>
      </c>
      <c r="H9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INDEX(LOADINGSPEEDDEF[SPEED],MATCH("LOADINGSPEEDDEF_"&amp;PROPERTIES[[#This Row],[LOADINGSPEED]],LOADINGSPEEDDEF[TYPE],0))</f>
        <v>15</v>
      </c>
      <c r="O9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4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0" s="2" t="str">
        <f>SUBSTITUTE(SUBSTITUTE(PROPERTIES[[#This Row],[PURCHASECOST_VALUE]], "PURCHASECOST_", ""), "_VALUE", "")</f>
        <v>COACH</v>
      </c>
      <c r="AO930" s="41" t="b">
        <v>0</v>
      </c>
      <c r="AP930" s="45" t="b">
        <v>0</v>
      </c>
      <c r="AQ930" s="45" t="b">
        <v>0</v>
      </c>
      <c r="AR930" s="45">
        <v>0</v>
      </c>
      <c r="AS930" s="45" t="b">
        <v>0</v>
      </c>
      <c r="AT930" s="7" t="b">
        <v>0</v>
      </c>
      <c r="AU9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1" spans="1:47" x14ac:dyDescent="0.35">
      <c r="A931" s="2" t="s">
        <v>1870</v>
      </c>
      <c r="B931">
        <v>1902</v>
      </c>
      <c r="D9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1" s="37" t="str">
        <f>INDEX(CONTROL[ENGLISH],MATCH(PROPERTIES[[#This Row],[VEHIDCODE]],CONTROL[VEHIDCODE],0))</f>
        <v>NZR 50ft Coach</v>
      </c>
      <c r="G931" s="37" t="str">
        <f>_xlfn.IFNA(INDEX(COUNTRIES[COUNTRY_LABEL],MATCH(PROPERTIES[[#This Row],[COUNTRY]],COUNTRIES[COUNTRY_DESCRIPTION],0)),"")</f>
        <v/>
      </c>
      <c r="H9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INDEX(LOADINGSPEEDDEF[SPEED],MATCH("LOADINGSPEEDDEF_"&amp;PROPERTIES[[#This Row],[LOADINGSPEED]],LOADINGSPEEDDEF[TYPE],0))</f>
        <v>60</v>
      </c>
      <c r="O9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4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1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1" s="2" t="str">
        <f>SUBSTITUTE(SUBSTITUTE(PROPERTIES[[#This Row],[PURCHASECOST_VALUE]], "PURCHASECOST_", ""), "_VALUE", "")</f>
        <v>COACH</v>
      </c>
      <c r="AO931" s="41" t="b">
        <v>0</v>
      </c>
      <c r="AP931" s="45" t="b">
        <v>0</v>
      </c>
      <c r="AQ931" s="45" t="b">
        <v>0</v>
      </c>
      <c r="AR931" s="45">
        <v>0</v>
      </c>
      <c r="AS931" s="45" t="b">
        <v>0</v>
      </c>
      <c r="AT931" s="7" t="b">
        <v>0</v>
      </c>
      <c r="AU9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2" spans="1:47" x14ac:dyDescent="0.35">
      <c r="A932" s="2" t="s">
        <v>1871</v>
      </c>
      <c r="B932">
        <v>1902</v>
      </c>
      <c r="D9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2" s="37" t="str">
        <f>INDEX(CONTROL[ENGLISH],MATCH(PROPERTIES[[#This Row],[VEHIDCODE]],CONTROL[VEHIDCODE],0))</f>
        <v>NZR 50ft Mail Coach</v>
      </c>
      <c r="G932" s="37" t="str">
        <f>_xlfn.IFNA(INDEX(COUNTRIES[COUNTRY_LABEL],MATCH(PROPERTIES[[#This Row],[COUNTRY]],COUNTRIES[COUNTRY_DESCRIPTION],0)),"")</f>
        <v/>
      </c>
      <c r="H9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INDEX(LOADINGSPEEDDEF[SPEED],MATCH("LOADINGSPEEDDEF_"&amp;PROPERTIES[[#This Row],[LOADINGSPEED]],LOADINGSPEEDDEF[TYPE],0))</f>
        <v>15</v>
      </c>
      <c r="O9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4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2" s="2" t="str">
        <f>SUBSTITUTE(SUBSTITUTE(PROPERTIES[[#This Row],[PURCHASECOST_VALUE]], "PURCHASECOST_", ""), "_VALUE", "")</f>
        <v>COACH</v>
      </c>
      <c r="AO932" s="41" t="b">
        <v>0</v>
      </c>
      <c r="AP932" s="45" t="b">
        <v>0</v>
      </c>
      <c r="AQ932" s="45" t="b">
        <v>0</v>
      </c>
      <c r="AR932" s="45">
        <v>0</v>
      </c>
      <c r="AS932" s="45" t="b">
        <v>0</v>
      </c>
      <c r="AT932" s="7" t="b">
        <v>0</v>
      </c>
      <c r="AU9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3" spans="1:47" x14ac:dyDescent="0.35">
      <c r="A933" s="2" t="s">
        <v>1873</v>
      </c>
      <c r="B933">
        <v>1877</v>
      </c>
      <c r="D9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3" s="37" t="str">
        <f>INDEX(CONTROL[ENGLISH],MATCH(PROPERTIES[[#This Row],[VEHIDCODE]],CONTROL[VEHIDCODE],0))</f>
        <v>KA Type Tram Car</v>
      </c>
      <c r="G933" s="37" t="str">
        <f>_xlfn.IFNA(INDEX(COUNTRIES[COUNTRY_LABEL],MATCH(PROPERTIES[[#This Row],[COUNTRY]],COUNTRIES[COUNTRY_DESCRIPTION],0)),"")</f>
        <v/>
      </c>
      <c r="H9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INDEX(LOADINGSPEEDDEF[SPEED],MATCH("LOADINGSPEEDDEF_"&amp;PROPERTIES[[#This Row],[LOADINGSPEED]],LOADINGSPEEDDEF[TYPE],0))</f>
        <v>60</v>
      </c>
      <c r="O9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4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33" s="2" t="str">
        <f>SUBSTITUTE(SUBSTITUTE(PROPERTIES[[#This Row],[PURCHASECOST_VALUE]], "PURCHASECOST_", ""), "_VALUE", "")</f>
        <v>COACH</v>
      </c>
      <c r="AO933" s="41" t="b">
        <v>0</v>
      </c>
      <c r="AP933" s="45" t="b">
        <v>0</v>
      </c>
      <c r="AQ933" s="45" t="b">
        <v>0</v>
      </c>
      <c r="AR933" s="45">
        <v>0</v>
      </c>
      <c r="AS933" s="45" t="b">
        <v>0</v>
      </c>
      <c r="AT933" s="7" t="b">
        <v>0</v>
      </c>
      <c r="AU9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34" spans="1:47" x14ac:dyDescent="0.35">
      <c r="A934" s="2" t="s">
        <v>3358</v>
      </c>
      <c r="B934">
        <v>1983</v>
      </c>
      <c r="C934">
        <v>1997</v>
      </c>
      <c r="D9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4" s="37" t="str">
        <f>INDEX(CONTROL[ENGLISH],MATCH(PROPERTIES[[#This Row],[VEHIDCODE]],CONTROL[VEHIDCODE],0))</f>
        <v>Comeng 86 Class</v>
      </c>
      <c r="F934" t="s">
        <v>541</v>
      </c>
      <c r="G934" s="37" t="str">
        <f>_xlfn.IFNA(INDEX(COUNTRIES[COUNTRY_LABEL],MATCH(PROPERTIES[[#This Row],[COUNTRY]],COUNTRIES[COUNTRY_DESCRIPTION],0)),"")</f>
        <v>AU</v>
      </c>
      <c r="H9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INDEX(LOADINGSPEEDDEF[SPEED],MATCH("LOADINGSPEEDDEF_"&amp;PROPERTIES[[#This Row],[LOADINGSPEED]],LOADINGSPEEDDEF[TYPE],0))</f>
        <v>20</v>
      </c>
      <c r="O9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4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3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1" t="b">
        <v>0</v>
      </c>
      <c r="AP934" s="45" t="b">
        <v>0</v>
      </c>
      <c r="AQ934" s="45" t="b">
        <v>0</v>
      </c>
      <c r="AR934" s="45">
        <v>0</v>
      </c>
      <c r="AS934" s="45" t="b">
        <v>0</v>
      </c>
      <c r="AT934" s="7" t="b">
        <v>0</v>
      </c>
      <c r="AU9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35" spans="1:47" x14ac:dyDescent="0.35">
      <c r="A935" s="2" t="s">
        <v>3232</v>
      </c>
      <c r="B935">
        <v>1982</v>
      </c>
      <c r="C935">
        <v>2016</v>
      </c>
      <c r="D9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5" s="37" t="str">
        <f>INDEX(CONTROL[ENGLISH],MATCH(PROPERTIES[[#This Row],[VEHIDCODE]],CONTROL[VEHIDCODE],0))</f>
        <v>Ganz-MAVAG EM/ET</v>
      </c>
      <c r="F935" t="s">
        <v>697</v>
      </c>
      <c r="G935" s="37" t="str">
        <f>_xlfn.IFNA(INDEX(COUNTRIES[COUNTRY_LABEL],MATCH(PROPERTIES[[#This Row],[COUNTRY]],COUNTRIES[COUNTRY_DESCRIPTION],0)),"")</f>
        <v>NZ</v>
      </c>
      <c r="H9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INDEX(LOADINGSPEEDDEF[SPEED],MATCH("LOADINGSPEEDDEF_"&amp;PROPERTIES[[#This Row],[LOADINGSPEED]],LOADINGSPEEDDEF[TYPE],0))</f>
        <v>60</v>
      </c>
      <c r="O9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4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5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5" s="2" t="str">
        <f>SUBSTITUTE(SUBSTITUTE(PROPERTIES[[#This Row],[PURCHASECOST_VALUE]], "PURCHASECOST_", ""), "_VALUE", "")</f>
        <v>EMU</v>
      </c>
      <c r="AO935" s="41" t="b">
        <v>0</v>
      </c>
      <c r="AP935" s="45" t="b">
        <v>0</v>
      </c>
      <c r="AQ935" s="45" t="b">
        <v>0</v>
      </c>
      <c r="AR935" s="45">
        <v>0</v>
      </c>
      <c r="AS935" s="45" t="b">
        <v>0</v>
      </c>
      <c r="AT935" s="7" t="b">
        <v>0</v>
      </c>
      <c r="AU9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6" spans="1:47" x14ac:dyDescent="0.35">
      <c r="A936" s="2" t="s">
        <v>3359</v>
      </c>
      <c r="B936">
        <v>1938</v>
      </c>
      <c r="C936">
        <v>1981</v>
      </c>
      <c r="D9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6" s="37" t="str">
        <f>INDEX(CONTROL[ENGLISH],MATCH(PROPERTIES[[#This Row],[VEHIDCODE]],CONTROL[VEHIDCODE],0))</f>
        <v>EEC DM EMU</v>
      </c>
      <c r="F936" t="s">
        <v>697</v>
      </c>
      <c r="G936" s="37" t="str">
        <f>_xlfn.IFNA(INDEX(COUNTRIES[COUNTRY_LABEL],MATCH(PROPERTIES[[#This Row],[COUNTRY]],COUNTRIES[COUNTRY_DESCRIPTION],0)),"")</f>
        <v>NZ</v>
      </c>
      <c r="H9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INDEX(LOADINGSPEEDDEF[SPEED],MATCH("LOADINGSPEEDDEF_"&amp;PROPERTIES[[#This Row],[LOADINGSPEED]],LOADINGSPEEDDEF[TYPE],0))</f>
        <v>60</v>
      </c>
      <c r="O9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4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6" s="2" t="str">
        <f>SUBSTITUTE(SUBSTITUTE(PROPERTIES[[#This Row],[PURCHASECOST_VALUE]], "PURCHASECOST_", ""), "_VALUE", "")</f>
        <v>EMU</v>
      </c>
      <c r="AO936" s="41" t="b">
        <v>0</v>
      </c>
      <c r="AP936" s="45" t="b">
        <v>0</v>
      </c>
      <c r="AQ936" s="45" t="b">
        <v>0</v>
      </c>
      <c r="AR936" s="45">
        <v>0</v>
      </c>
      <c r="AS936" s="45" t="b">
        <v>0</v>
      </c>
      <c r="AT936" s="7" t="b">
        <v>0</v>
      </c>
      <c r="AU9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7" spans="1:47" x14ac:dyDescent="0.35">
      <c r="A937" s="2" t="s">
        <v>3360</v>
      </c>
      <c r="B937">
        <v>2010</v>
      </c>
      <c r="D9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7" s="37" t="str">
        <f>INDEX(CONTROL[ENGLISH],MATCH(PROPERTIES[[#This Row],[VEHIDCODE]],CONTROL[VEHIDCODE],0))</f>
        <v>Hyundai Rotem/Mitsui 'Matangi'</v>
      </c>
      <c r="F937" t="s">
        <v>697</v>
      </c>
      <c r="G937" s="37" t="str">
        <f>_xlfn.IFNA(INDEX(COUNTRIES[COUNTRY_LABEL],MATCH(PROPERTIES[[#This Row],[COUNTRY]],COUNTRIES[COUNTRY_DESCRIPTION],0)),"")</f>
        <v>NZ</v>
      </c>
      <c r="H9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INDEX(LOADINGSPEEDDEF[SPEED],MATCH("LOADINGSPEEDDEF_"&amp;PROPERTIES[[#This Row],[LOADINGSPEED]],LOADINGSPEEDDEF[TYPE],0))</f>
        <v>60</v>
      </c>
      <c r="O93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4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37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37" s="2" t="str">
        <f>SUBSTITUTE(SUBSTITUTE(PROPERTIES[[#This Row],[PURCHASECOST_VALUE]], "PURCHASECOST_", ""), "_VALUE", "")</f>
        <v>EMU</v>
      </c>
      <c r="AO937" s="41" t="b">
        <v>0</v>
      </c>
      <c r="AP937" s="45" t="b">
        <v>0</v>
      </c>
      <c r="AQ937" s="45" t="b">
        <v>0</v>
      </c>
      <c r="AR937" s="45">
        <v>0</v>
      </c>
      <c r="AS937" s="45" t="b">
        <v>0</v>
      </c>
      <c r="AT937" s="7" t="b">
        <v>0</v>
      </c>
      <c r="AU9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38" spans="1:47" x14ac:dyDescent="0.35">
      <c r="A938" s="2" t="s">
        <v>3361</v>
      </c>
      <c r="B938">
        <v>1990</v>
      </c>
      <c r="C938">
        <v>1995</v>
      </c>
      <c r="D9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38" s="37" t="str">
        <f>INDEX(CONTROL[ENGLISH],MATCH(PROPERTIES[[#This Row],[VEHIDCODE]],CONTROL[VEHIDCODE],0))</f>
        <v>Ganz Hunslet Budapest G2</v>
      </c>
      <c r="F938" t="s">
        <v>626</v>
      </c>
      <c r="G938" s="37" t="str">
        <f>_xlfn.IFNA(INDEX(COUNTRIES[COUNTRY_LABEL],MATCH(PROPERTIES[[#This Row],[COUNTRY]],COUNTRIES[COUNTRY_DESCRIPTION],0)),"")</f>
        <v>HU</v>
      </c>
      <c r="H9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INDEX(LOADINGSPEEDDEF[SPEED],MATCH("LOADINGSPEEDDEF_"&amp;PROPERTIES[[#This Row],[LOADINGSPEED]],LOADINGSPEEDDEF[TYPE],0))</f>
        <v>120</v>
      </c>
      <c r="O9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4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938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938" s="2" t="str">
        <f>SUBSTITUTE(SUBSTITUTE(PROPERTIES[[#This Row],[PURCHASECOST_VALUE]], "PURCHASECOST_", ""), "_VALUE", "")</f>
        <v>METRO</v>
      </c>
      <c r="AO938" s="41" t="b">
        <v>0</v>
      </c>
      <c r="AP938" s="45" t="b">
        <v>0</v>
      </c>
      <c r="AQ938" s="45" t="b">
        <v>0</v>
      </c>
      <c r="AR938" s="45">
        <v>0</v>
      </c>
      <c r="AS938" s="45" t="b">
        <v>0</v>
      </c>
      <c r="AT938" s="7" t="b">
        <v>0</v>
      </c>
      <c r="AU9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939" spans="1:47" x14ac:dyDescent="0.35">
      <c r="A939" s="2" t="s">
        <v>3362</v>
      </c>
      <c r="B939">
        <v>1954</v>
      </c>
      <c r="C939">
        <v>1987</v>
      </c>
      <c r="D9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39" s="37" t="str">
        <f>INDEX(CONTROL[ENGLISH],MATCH(PROPERTIES[[#This Row],[VEHIDCODE]],CONTROL[VEHIDCODE],0))</f>
        <v>BRC&amp;W NSU Class</v>
      </c>
      <c r="F939" t="s">
        <v>541</v>
      </c>
      <c r="G939" s="37" t="str">
        <f>_xlfn.IFNA(INDEX(COUNTRIES[COUNTRY_LABEL],MATCH(PROPERTIES[[#This Row],[COUNTRY]],COUNTRIES[COUNTRY_DESCRIPTION],0)),"")</f>
        <v>AU</v>
      </c>
      <c r="H9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INDEX(LOADINGSPEEDDEF[SPEED],MATCH("LOADINGSPEEDDEF_"&amp;PROPERTIES[[#This Row],[LOADINGSPEED]],LOADINGSPEEDDEF[TYPE],0))</f>
        <v>20</v>
      </c>
      <c r="O9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4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3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1" t="b">
        <v>0</v>
      </c>
      <c r="AP939" s="45" t="b">
        <v>0</v>
      </c>
      <c r="AQ939" s="45" t="b">
        <v>0</v>
      </c>
      <c r="AR939" s="45">
        <v>0</v>
      </c>
      <c r="AS939" s="45" t="b">
        <v>0</v>
      </c>
      <c r="AT939" s="7" t="b">
        <v>0</v>
      </c>
      <c r="AU9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0" spans="1:47" x14ac:dyDescent="0.35">
      <c r="A940" s="2" t="s">
        <v>3363</v>
      </c>
      <c r="B940">
        <v>2001</v>
      </c>
      <c r="D9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40" s="37" t="str">
        <f>INDEX(CONTROL[ENGLISH],MATCH(PROPERTIES[[#This Row],[VEHIDCODE]],CONTROL[VEHIDCODE],0))</f>
        <v>Itochu/Kinki/Kawasaki SP1900</v>
      </c>
      <c r="F940" t="s">
        <v>621</v>
      </c>
      <c r="G940" s="37" t="str">
        <f>_xlfn.IFNA(INDEX(COUNTRIES[COUNTRY_LABEL],MATCH(PROPERTIES[[#This Row],[COUNTRY]],COUNTRIES[COUNTRY_DESCRIPTION],0)),"")</f>
        <v>HK</v>
      </c>
      <c r="H9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INDEX(LOADINGSPEEDDEF[SPEED],MATCH("LOADINGSPEEDDEF_"&amp;PROPERTIES[[#This Row],[LOADINGSPEED]],LOADINGSPEEDDEF[TYPE],0))</f>
        <v>60</v>
      </c>
      <c r="O94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4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40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40" s="2" t="str">
        <f>SUBSTITUTE(SUBSTITUTE(PROPERTIES[[#This Row],[PURCHASECOST_VALUE]], "PURCHASECOST_", ""), "_VALUE", "")</f>
        <v>EMU</v>
      </c>
      <c r="AO940" s="41" t="b">
        <v>0</v>
      </c>
      <c r="AP940" s="45" t="b">
        <v>0</v>
      </c>
      <c r="AQ940" s="45" t="b">
        <v>0</v>
      </c>
      <c r="AR940" s="45">
        <v>0</v>
      </c>
      <c r="AS940" s="45" t="b">
        <v>0</v>
      </c>
      <c r="AT940" s="7" t="b">
        <v>0</v>
      </c>
      <c r="AU9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41" spans="1:47" x14ac:dyDescent="0.35">
      <c r="A941" t="s">
        <v>3364</v>
      </c>
      <c r="B941">
        <v>2007</v>
      </c>
      <c r="D9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1" s="37" t="str">
        <f>INDEX(CONTROL[ENGLISH],MATCH(PROPERTIES[[#This Row],[VEHIDCODE]],CONTROL[VEHIDCODE],0))</f>
        <v>Alstom/CRRC Datong HXD2</v>
      </c>
      <c r="F941" t="s">
        <v>575</v>
      </c>
      <c r="G941" s="37" t="str">
        <f>_xlfn.IFNA(INDEX(COUNTRIES[COUNTRY_LABEL],MATCH(PROPERTIES[[#This Row],[COUNTRY]],COUNTRIES[COUNTRY_DESCRIPTION],0)),"")</f>
        <v>CN</v>
      </c>
      <c r="H9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INDEX(LOADINGSPEEDDEF[SPEED],MATCH("LOADINGSPEEDDEF_"&amp;PROPERTIES[[#This Row],[LOADINGSPEED]],LOADINGSPEEDDEF[TYPE],0))</f>
        <v>20</v>
      </c>
      <c r="O94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4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1" t="b">
        <v>0</v>
      </c>
      <c r="AP941" s="45" t="b">
        <v>0</v>
      </c>
      <c r="AQ941" s="45" t="b">
        <v>0</v>
      </c>
      <c r="AR941" s="45">
        <v>0</v>
      </c>
      <c r="AS941" s="45" t="b">
        <v>0</v>
      </c>
      <c r="AT941" s="7" t="b">
        <v>0</v>
      </c>
      <c r="AU9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942" spans="1:47" x14ac:dyDescent="0.35">
      <c r="A942" t="s">
        <v>3365</v>
      </c>
      <c r="B942">
        <v>1992</v>
      </c>
      <c r="D9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2" s="37" t="str">
        <f>INDEX(CONTROL[ENGLISH],MATCH(PROPERTIES[[#This Row],[VEHIDCODE]],CONTROL[VEHIDCODE],0))</f>
        <v>CRRC Qishuyan DF11</v>
      </c>
      <c r="F942" t="s">
        <v>575</v>
      </c>
      <c r="G942" s="37" t="str">
        <f>_xlfn.IFNA(INDEX(COUNTRIES[COUNTRY_LABEL],MATCH(PROPERTIES[[#This Row],[COUNTRY]],COUNTRIES[COUNTRY_DESCRIPTION],0)),"")</f>
        <v>CN</v>
      </c>
      <c r="H9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INDEX(LOADINGSPEEDDEF[SPEED],MATCH("LOADINGSPEEDDEF_"&amp;PROPERTIES[[#This Row],[LOADINGSPEED]],LOADINGSPEEDDEF[TYPE],0))</f>
        <v>20</v>
      </c>
      <c r="O94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4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1" t="b">
        <v>0</v>
      </c>
      <c r="AP942" s="45" t="b">
        <v>0</v>
      </c>
      <c r="AQ942" s="45" t="b">
        <v>0</v>
      </c>
      <c r="AR942" s="45">
        <v>0</v>
      </c>
      <c r="AS942" s="45" t="b">
        <v>0</v>
      </c>
      <c r="AT942" s="7" t="b">
        <v>0</v>
      </c>
      <c r="AU9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3" spans="1:47" x14ac:dyDescent="0.35">
      <c r="A943" s="2" t="s">
        <v>3366</v>
      </c>
      <c r="B943">
        <v>1994</v>
      </c>
      <c r="D9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3" s="37" t="str">
        <f>INDEX(CONTROL[ENGLISH],MATCH(PROPERTIES[[#This Row],[VEHIDCODE]],CONTROL[VEHIDCODE],0))</f>
        <v>Zhuzhou SS8</v>
      </c>
      <c r="F943" t="s">
        <v>575</v>
      </c>
      <c r="G943" s="37" t="str">
        <f>_xlfn.IFNA(INDEX(COUNTRIES[COUNTRY_LABEL],MATCH(PROPERTIES[[#This Row],[COUNTRY]],COUNTRIES[COUNTRY_DESCRIPTION],0)),"")</f>
        <v>CN</v>
      </c>
      <c r="H9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INDEX(LOADINGSPEEDDEF[SPEED],MATCH("LOADINGSPEEDDEF_"&amp;PROPERTIES[[#This Row],[LOADINGSPEED]],LOADINGSPEEDDEF[TYPE],0))</f>
        <v>20</v>
      </c>
      <c r="O94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4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1" t="b">
        <v>0</v>
      </c>
      <c r="AP943" s="45" t="b">
        <v>0</v>
      </c>
      <c r="AQ943" s="45" t="b">
        <v>0</v>
      </c>
      <c r="AR943" s="45">
        <v>0</v>
      </c>
      <c r="AS943" s="45" t="b">
        <v>0</v>
      </c>
      <c r="AT943" s="7" t="b">
        <v>0</v>
      </c>
      <c r="AU9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4" spans="1:47" x14ac:dyDescent="0.35">
      <c r="A944" s="2" t="s">
        <v>3367</v>
      </c>
      <c r="B944">
        <v>2007</v>
      </c>
      <c r="D9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4" s="37" t="str">
        <f>INDEX(CONTROL[ENGLISH],MATCH(PROPERTIES[[#This Row],[VEHIDCODE]],CONTROL[VEHIDCODE],0))</f>
        <v>Alstom/CRRC Datong HXD2B</v>
      </c>
      <c r="F944" t="s">
        <v>575</v>
      </c>
      <c r="G944" s="37" t="str">
        <f>_xlfn.IFNA(INDEX(COUNTRIES[COUNTRY_LABEL],MATCH(PROPERTIES[[#This Row],[COUNTRY]],COUNTRIES[COUNTRY_DESCRIPTION],0)),"")</f>
        <v>CN</v>
      </c>
      <c r="H9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INDEX(LOADINGSPEEDDEF[SPEED],MATCH("LOADINGSPEEDDEF_"&amp;PROPERTIES[[#This Row],[LOADINGSPEED]],LOADINGSPEEDDEF[TYPE],0))</f>
        <v>20</v>
      </c>
      <c r="O94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4">
        <v>0</v>
      </c>
      <c r="AF944" s="6">
        <v>0</v>
      </c>
      <c r="AG944" t="s">
        <v>1940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1" t="b">
        <v>0</v>
      </c>
      <c r="AP944" s="45" t="b">
        <v>0</v>
      </c>
      <c r="AQ944" s="45" t="b">
        <v>0</v>
      </c>
      <c r="AR944" s="45">
        <v>0</v>
      </c>
      <c r="AS944" s="45" t="b">
        <v>0</v>
      </c>
      <c r="AT944" s="7" t="b">
        <v>0</v>
      </c>
      <c r="AU9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5" spans="1:47" x14ac:dyDescent="0.35">
      <c r="A945" s="2" t="s">
        <v>3368</v>
      </c>
      <c r="B945">
        <v>2012</v>
      </c>
      <c r="D9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5" s="37" t="str">
        <f>INDEX(CONTROL[ENGLISH],MATCH(PROPERTIES[[#This Row],[VEHIDCODE]],CONTROL[VEHIDCODE],0))</f>
        <v>CRRC Dalian HXD3D</v>
      </c>
      <c r="F945" t="s">
        <v>575</v>
      </c>
      <c r="G945" s="37" t="str">
        <f>_xlfn.IFNA(INDEX(COUNTRIES[COUNTRY_LABEL],MATCH(PROPERTIES[[#This Row],[COUNTRY]],COUNTRIES[COUNTRY_DESCRIPTION],0)),"")</f>
        <v>CN</v>
      </c>
      <c r="H9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INDEX(LOADINGSPEEDDEF[SPEED],MATCH("LOADINGSPEEDDEF_"&amp;PROPERTIES[[#This Row],[LOADINGSPEED]],LOADINGSPEEDDEF[TYPE],0))</f>
        <v>20</v>
      </c>
      <c r="O94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4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1" t="b">
        <v>0</v>
      </c>
      <c r="AP945" s="45" t="b">
        <v>0</v>
      </c>
      <c r="AQ945" s="45" t="b">
        <v>0</v>
      </c>
      <c r="AR945" s="45">
        <v>0</v>
      </c>
      <c r="AS945" s="45" t="b">
        <v>0</v>
      </c>
      <c r="AT945" s="7" t="b">
        <v>0</v>
      </c>
      <c r="AU9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6" spans="1:47" x14ac:dyDescent="0.35">
      <c r="A946" s="2" t="s">
        <v>3369</v>
      </c>
      <c r="B946">
        <v>1984</v>
      </c>
      <c r="D9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6" s="37" t="str">
        <f>INDEX(CONTROL[ENGLISH],MATCH(PROPERTIES[[#This Row],[VEHIDCODE]],CONTROL[VEHIDCODE],0))</f>
        <v>CRRC Dalian DF4</v>
      </c>
      <c r="F946" t="s">
        <v>575</v>
      </c>
      <c r="G946" s="37" t="str">
        <f>_xlfn.IFNA(INDEX(COUNTRIES[COUNTRY_LABEL],MATCH(PROPERTIES[[#This Row],[COUNTRY]],COUNTRIES[COUNTRY_DESCRIPTION],0)),"")</f>
        <v>CN</v>
      </c>
      <c r="H9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INDEX(LOADINGSPEEDDEF[SPEED],MATCH("LOADINGSPEEDDEF_"&amp;PROPERTIES[[#This Row],[LOADINGSPEED]],LOADINGSPEEDDEF[TYPE],0))</f>
        <v>20</v>
      </c>
      <c r="O94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4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1" t="b">
        <v>0</v>
      </c>
      <c r="AP946" s="45" t="b">
        <v>0</v>
      </c>
      <c r="AQ946" s="45" t="b">
        <v>0</v>
      </c>
      <c r="AR946" s="45">
        <v>0</v>
      </c>
      <c r="AS946" s="45" t="b">
        <v>0</v>
      </c>
      <c r="AT946" s="7" t="b">
        <v>0</v>
      </c>
      <c r="AU9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47" spans="1:47" x14ac:dyDescent="0.35">
      <c r="A947" s="2" t="s">
        <v>3370</v>
      </c>
      <c r="B947">
        <v>1976</v>
      </c>
      <c r="D9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7" s="37" t="str">
        <f>INDEX(CONTROL[ENGLISH],MATCH(PROPERTIES[[#This Row],[VEHIDCODE]],CONTROL[VEHIDCODE],0))</f>
        <v>Tangshan/Dalian/Sifang DF5</v>
      </c>
      <c r="F947" t="s">
        <v>575</v>
      </c>
      <c r="G947" s="37" t="str">
        <f>_xlfn.IFNA(INDEX(COUNTRIES[COUNTRY_LABEL],MATCH(PROPERTIES[[#This Row],[COUNTRY]],COUNTRIES[COUNTRY_DESCRIPTION],0)),"")</f>
        <v>CN</v>
      </c>
      <c r="H9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INDEX(LOADINGSPEEDDEF[SPEED],MATCH("LOADINGSPEEDDEF_"&amp;PROPERTIES[[#This Row],[LOADINGSPEED]],LOADINGSPEEDDEF[TYPE],0))</f>
        <v>20</v>
      </c>
      <c r="O94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4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4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1" t="b">
        <v>0</v>
      </c>
      <c r="AP947" s="45" t="b">
        <v>0</v>
      </c>
      <c r="AQ947" s="45" t="b">
        <v>0</v>
      </c>
      <c r="AR947" s="45">
        <v>0</v>
      </c>
      <c r="AS947" s="45" t="b">
        <v>0</v>
      </c>
      <c r="AT947" s="7" t="b">
        <v>0</v>
      </c>
      <c r="AU9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48" spans="1:47" x14ac:dyDescent="0.35">
      <c r="A948" s="2" t="s">
        <v>3371</v>
      </c>
      <c r="B948">
        <v>1957</v>
      </c>
      <c r="C948">
        <v>2024</v>
      </c>
      <c r="D9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8" s="37" t="str">
        <f>INDEX(CONTROL[ENGLISH],MATCH(PROPERTIES[[#This Row],[VEHIDCODE]],CONTROL[VEHIDCODE],0))</f>
        <v>Dalian 2-8-2 JS Class</v>
      </c>
      <c r="F948" t="s">
        <v>575</v>
      </c>
      <c r="G948" s="37" t="str">
        <f>_xlfn.IFNA(INDEX(COUNTRIES[COUNTRY_LABEL],MATCH(PROPERTIES[[#This Row],[COUNTRY]],COUNTRIES[COUNTRY_DESCRIPTION],0)),"")</f>
        <v>CN</v>
      </c>
      <c r="H9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INDEX(LOADINGSPEEDDEF[SPEED],MATCH("LOADINGSPEEDDEF_"&amp;PROPERTIES[[#This Row],[LOADINGSPEED]],LOADINGSPEEDDEF[TYPE],0))</f>
        <v>20</v>
      </c>
      <c r="O94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4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1" t="b">
        <v>0</v>
      </c>
      <c r="AP948" s="45" t="b">
        <v>0</v>
      </c>
      <c r="AQ948" s="45" t="b">
        <v>0</v>
      </c>
      <c r="AR948" s="45">
        <v>0</v>
      </c>
      <c r="AS948" s="45" t="b">
        <v>0</v>
      </c>
      <c r="AT948" s="7" t="b">
        <v>0</v>
      </c>
      <c r="AU9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49" spans="1:47" x14ac:dyDescent="0.35">
      <c r="A949" s="2" t="s">
        <v>3372</v>
      </c>
      <c r="B949">
        <v>1958</v>
      </c>
      <c r="C949">
        <v>1982</v>
      </c>
      <c r="D9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49" s="37" t="str">
        <f>INDEX(CONTROL[ENGLISH],MATCH(PROPERTIES[[#This Row],[VEHIDCODE]],CONTROL[VEHIDCODE],0))</f>
        <v>CSR Sifang 4-6-2 RM</v>
      </c>
      <c r="F949" t="s">
        <v>575</v>
      </c>
      <c r="G949" s="37" t="str">
        <f>_xlfn.IFNA(INDEX(COUNTRIES[COUNTRY_LABEL],MATCH(PROPERTIES[[#This Row],[COUNTRY]],COUNTRIES[COUNTRY_DESCRIPTION],0)),"")</f>
        <v>CN</v>
      </c>
      <c r="H9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INDEX(LOADINGSPEEDDEF[SPEED],MATCH("LOADINGSPEEDDEF_"&amp;PROPERTIES[[#This Row],[LOADINGSPEED]],LOADINGSPEEDDEF[TYPE],0))</f>
        <v>20</v>
      </c>
      <c r="O9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4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4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1" t="b">
        <v>0</v>
      </c>
      <c r="AP949" s="45" t="b">
        <v>0</v>
      </c>
      <c r="AQ949" s="45" t="b">
        <v>0</v>
      </c>
      <c r="AR949" s="45">
        <v>0</v>
      </c>
      <c r="AS949" s="45" t="b">
        <v>0</v>
      </c>
      <c r="AT949" s="7" t="b">
        <v>0</v>
      </c>
      <c r="AU9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0" spans="1:47" x14ac:dyDescent="0.35">
      <c r="A950" s="2" t="s">
        <v>3373</v>
      </c>
      <c r="B950">
        <v>1986</v>
      </c>
      <c r="D9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0" s="37" t="str">
        <f>INDEX(CONTROL[ENGLISH],MATCH(PROPERTIES[[#This Row],[VEHIDCODE]],CONTROL[VEHIDCODE],0))</f>
        <v>MAV Ikarus 260</v>
      </c>
      <c r="F950" t="s">
        <v>626</v>
      </c>
      <c r="G950" s="37" t="str">
        <f>_xlfn.IFNA(INDEX(COUNTRIES[COUNTRY_LABEL],MATCH(PROPERTIES[[#This Row],[COUNTRY]],COUNTRIES[COUNTRY_DESCRIPTION],0)),"")</f>
        <v>HU</v>
      </c>
      <c r="H9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INDEX(LOADINGSPEEDDEF[SPEED],MATCH("LOADINGSPEEDDEF_"&amp;PROPERTIES[[#This Row],[LOADINGSPEED]],LOADINGSPEEDDEF[TYPE],0))</f>
        <v>60</v>
      </c>
      <c r="O9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4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950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1" t="b">
        <v>0</v>
      </c>
      <c r="AP950" s="45" t="b">
        <v>0</v>
      </c>
      <c r="AQ950" s="45" t="b">
        <v>0</v>
      </c>
      <c r="AR950" s="45">
        <v>0</v>
      </c>
      <c r="AS950" s="45" t="b">
        <v>0</v>
      </c>
      <c r="AT950" s="7" t="b">
        <v>0</v>
      </c>
      <c r="AU9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1" spans="1:47" x14ac:dyDescent="0.35">
      <c r="A951" s="2" t="s">
        <v>3374</v>
      </c>
      <c r="B951">
        <v>2003</v>
      </c>
      <c r="D9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1" s="37" t="str">
        <f>INDEX(CONTROL[ENGLISH],MATCH(PROPERTIES[[#This Row],[VEHIDCODE]],CONTROL[VEHIDCODE],0))</f>
        <v>GE ES43ACi</v>
      </c>
      <c r="F951" t="s">
        <v>704</v>
      </c>
      <c r="G951" s="37" t="str">
        <f>_xlfn.IFNA(INDEX(COUNTRIES[COUNTRY_LABEL],MATCH(PROPERTIES[[#This Row],[COUNTRY]],COUNTRIES[COUNTRY_DESCRIPTION],0)),"")</f>
        <v>PK</v>
      </c>
      <c r="H9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INDEX(LOADINGSPEEDDEF[SPEED],MATCH("LOADINGSPEEDDEF_"&amp;PROPERTIES[[#This Row],[LOADINGSPEED]],LOADINGSPEEDDEF[TYPE],0))</f>
        <v>20</v>
      </c>
      <c r="O95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4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1" t="b">
        <v>0</v>
      </c>
      <c r="AP951" s="45" t="b">
        <v>0</v>
      </c>
      <c r="AQ951" s="45" t="b">
        <v>0</v>
      </c>
      <c r="AR951" s="45">
        <v>0</v>
      </c>
      <c r="AS951" s="45" t="b">
        <v>0</v>
      </c>
      <c r="AT951" s="7" t="b">
        <v>0</v>
      </c>
      <c r="AU9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2" spans="1:47" x14ac:dyDescent="0.35">
      <c r="A952" s="2" t="s">
        <v>3375</v>
      </c>
      <c r="B952">
        <v>1966</v>
      </c>
      <c r="D95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2" s="37" t="str">
        <f>INDEX(CONTROL[ENGLISH],MATCH(PROPERTIES[[#This Row],[VEHIDCODE]],CONTROL[VEHIDCODE],0))</f>
        <v>EMD GP40</v>
      </c>
      <c r="F952" t="s">
        <v>757</v>
      </c>
      <c r="G952" s="37" t="str">
        <f>_xlfn.IFNA(INDEX(COUNTRIES[COUNTRY_LABEL],MATCH(PROPERTIES[[#This Row],[COUNTRY]],COUNTRIES[COUNTRY_DESCRIPTION],0)),"")</f>
        <v>US</v>
      </c>
      <c r="H95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INDEX(LOADINGSPEEDDEF[SPEED],MATCH("LOADINGSPEEDDEF_"&amp;PROPERTIES[[#This Row],[LOADINGSPEED]],LOADINGSPEEDDEF[TYPE],0))</f>
        <v>20</v>
      </c>
      <c r="O95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4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2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1" t="b">
        <v>0</v>
      </c>
      <c r="AP952" s="45" t="b">
        <v>0</v>
      </c>
      <c r="AQ952" s="45" t="b">
        <v>0</v>
      </c>
      <c r="AR952" s="45">
        <v>0</v>
      </c>
      <c r="AS952" s="45" t="b">
        <v>0</v>
      </c>
      <c r="AT952" s="7" t="b">
        <v>0</v>
      </c>
      <c r="AU95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3" spans="1:47" x14ac:dyDescent="0.35">
      <c r="A953" s="2" t="s">
        <v>3376</v>
      </c>
      <c r="B953">
        <v>1992</v>
      </c>
      <c r="D95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3" s="37" t="str">
        <f>INDEX(CONTROL[ENGLISH],MATCH(PROPERTIES[[#This Row],[VEHIDCODE]],CONTROL[VEHIDCODE],0))</f>
        <v>EMD SD70</v>
      </c>
      <c r="F953" t="s">
        <v>757</v>
      </c>
      <c r="G953" s="37" t="str">
        <f>_xlfn.IFNA(INDEX(COUNTRIES[COUNTRY_LABEL],MATCH(PROPERTIES[[#This Row],[COUNTRY]],COUNTRIES[COUNTRY_DESCRIPTION],0)),"")</f>
        <v>US</v>
      </c>
      <c r="H95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INDEX(LOADINGSPEEDDEF[SPEED],MATCH("LOADINGSPEEDDEF_"&amp;PROPERTIES[[#This Row],[LOADINGSPEED]],LOADINGSPEEDDEF[TYPE],0))</f>
        <v>20</v>
      </c>
      <c r="O95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4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3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1" t="b">
        <v>0</v>
      </c>
      <c r="AP953" s="45" t="b">
        <v>0</v>
      </c>
      <c r="AQ953" s="45" t="b">
        <v>0</v>
      </c>
      <c r="AR953" s="45">
        <v>0</v>
      </c>
      <c r="AS953" s="45" t="b">
        <v>0</v>
      </c>
      <c r="AT953" s="7" t="b">
        <v>0</v>
      </c>
      <c r="AU95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4" spans="1:47" x14ac:dyDescent="0.35">
      <c r="A954" s="2" t="s">
        <v>3377</v>
      </c>
      <c r="B954">
        <v>1976</v>
      </c>
      <c r="D95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4" s="37" t="str">
        <f>INDEX(CONTROL[ENGLISH],MATCH(PROPERTIES[[#This Row],[VEHIDCODE]],CONTROL[VEHIDCODE],0))</f>
        <v>GE C30-7 'Dash 7'</v>
      </c>
      <c r="F954" t="s">
        <v>683</v>
      </c>
      <c r="G954" s="37" t="str">
        <f>_xlfn.IFNA(INDEX(COUNTRIES[COUNTRY_LABEL],MATCH(PROPERTIES[[#This Row],[COUNTRY]],COUNTRIES[COUNTRY_DESCRIPTION],0)),"")</f>
        <v>MX</v>
      </c>
      <c r="H95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INDEX(LOADINGSPEEDDEF[SPEED],MATCH("LOADINGSPEEDDEF_"&amp;PROPERTIES[[#This Row],[LOADINGSPEED]],LOADINGSPEEDDEF[TYPE],0))</f>
        <v>20</v>
      </c>
      <c r="O95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4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4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1" t="b">
        <v>0</v>
      </c>
      <c r="AP954" s="45" t="b">
        <v>0</v>
      </c>
      <c r="AQ954" s="45" t="b">
        <v>0</v>
      </c>
      <c r="AR954" s="45">
        <v>0</v>
      </c>
      <c r="AS954" s="45" t="b">
        <v>0</v>
      </c>
      <c r="AT954" s="7" t="b">
        <v>0</v>
      </c>
      <c r="AU95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5" spans="1:47" x14ac:dyDescent="0.35">
      <c r="A955" s="2" t="s">
        <v>3378</v>
      </c>
      <c r="B955">
        <v>1987</v>
      </c>
      <c r="C955">
        <v>2022</v>
      </c>
      <c r="D95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5" s="37" t="str">
        <f>INDEX(CONTROL[ENGLISH],MATCH(PROPERTIES[[#This Row],[VEHIDCODE]],CONTROL[VEHIDCODE],0))</f>
        <v>GE C40-8 'Dash-8'</v>
      </c>
      <c r="F955" t="s">
        <v>558</v>
      </c>
      <c r="G955" s="37" t="str">
        <f>_xlfn.IFNA(INDEX(COUNTRIES[COUNTRY_LABEL],MATCH(PROPERTIES[[#This Row],[COUNTRY]],COUNTRIES[COUNTRY_DESCRIPTION],0)),"")</f>
        <v>BR</v>
      </c>
      <c r="H95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INDEX(LOADINGSPEEDDEF[SPEED],MATCH("LOADINGSPEEDDEF_"&amp;PROPERTIES[[#This Row],[LOADINGSPEED]],LOADINGSPEEDDEF[TYPE],0))</f>
        <v>20</v>
      </c>
      <c r="O95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4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5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1" t="b">
        <v>0</v>
      </c>
      <c r="AP955" s="45" t="b">
        <v>0</v>
      </c>
      <c r="AQ955" s="45" t="b">
        <v>0</v>
      </c>
      <c r="AR955" s="45">
        <v>0</v>
      </c>
      <c r="AS955" s="45" t="b">
        <v>0</v>
      </c>
      <c r="AT955" s="7" t="b">
        <v>0</v>
      </c>
      <c r="AU95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6" spans="1:47" x14ac:dyDescent="0.35">
      <c r="A956" s="2" t="s">
        <v>3379</v>
      </c>
      <c r="B956">
        <v>1993</v>
      </c>
      <c r="D95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6" s="37" t="str">
        <f>INDEX(CONTROL[ENGLISH],MATCH(PROPERTIES[[#This Row],[VEHIDCODE]],CONTROL[VEHIDCODE],0))</f>
        <v>GE C44-9W 'Dash 9'</v>
      </c>
      <c r="F956" t="s">
        <v>565</v>
      </c>
      <c r="G956" s="37" t="str">
        <f>_xlfn.IFNA(INDEX(COUNTRIES[COUNTRY_LABEL],MATCH(PROPERTIES[[#This Row],[COUNTRY]],COUNTRIES[COUNTRY_DESCRIPTION],0)),"")</f>
        <v>CA</v>
      </c>
      <c r="H95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INDEX(LOADINGSPEEDDEF[SPEED],MATCH("LOADINGSPEEDDEF_"&amp;PROPERTIES[[#This Row],[LOADINGSPEED]],LOADINGSPEEDDEF[TYPE],0))</f>
        <v>20</v>
      </c>
      <c r="O95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4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6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1" t="b">
        <v>0</v>
      </c>
      <c r="AP956" s="45" t="b">
        <v>0</v>
      </c>
      <c r="AQ956" s="45" t="b">
        <v>0</v>
      </c>
      <c r="AR956" s="45">
        <v>0</v>
      </c>
      <c r="AS956" s="45" t="b">
        <v>0</v>
      </c>
      <c r="AT956" s="7" t="b">
        <v>0</v>
      </c>
      <c r="AU95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7" spans="1:47" x14ac:dyDescent="0.35">
      <c r="A957" s="2" t="s">
        <v>3469</v>
      </c>
      <c r="B957">
        <v>1971</v>
      </c>
      <c r="D95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7" s="37" t="str">
        <f>INDEX(CONTROL[ENGLISH],MATCH(PROPERTIES[[#This Row],[VEHIDCODE]],CONTROL[VEHIDCODE],0))</f>
        <v>EMD GP40</v>
      </c>
      <c r="F957" t="s">
        <v>757</v>
      </c>
      <c r="G957" s="37" t="str">
        <f>_xlfn.IFNA(INDEX(COUNTRIES[COUNTRY_LABEL],MATCH(PROPERTIES[[#This Row],[COUNTRY]],COUNTRIES[COUNTRY_DESCRIPTION],0)),"")</f>
        <v>US</v>
      </c>
      <c r="H95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INDEX(LOADINGSPEEDDEF[SPEED],MATCH("LOADINGSPEEDDEF_"&amp;PROPERTIES[[#This Row],[LOADINGSPEED]],LOADINGSPEEDDEF[TYPE],0))</f>
        <v>20</v>
      </c>
      <c r="O95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4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57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1" t="b">
        <v>0</v>
      </c>
      <c r="AP957" s="45" t="b">
        <v>0</v>
      </c>
      <c r="AQ957" s="45" t="b">
        <v>1</v>
      </c>
      <c r="AR957" s="45">
        <v>0</v>
      </c>
      <c r="AS957" s="45" t="b">
        <v>0</v>
      </c>
      <c r="AT957" s="7" t="b">
        <v>1</v>
      </c>
      <c r="AU95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58" spans="1:47" x14ac:dyDescent="0.35">
      <c r="A958" s="2" t="s">
        <v>3380</v>
      </c>
      <c r="B958">
        <v>1889</v>
      </c>
      <c r="C958">
        <v>1904</v>
      </c>
      <c r="D95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8" s="37" t="str">
        <f>INDEX(CONTROL[ENGLISH],MATCH(PROPERTIES[[#This Row],[VEHIDCODE]],CONTROL[VEHIDCODE],0))</f>
        <v>Kitson 2-2-2 3166-3171</v>
      </c>
      <c r="F958" t="s">
        <v>592</v>
      </c>
      <c r="G958" s="37" t="str">
        <f>_xlfn.IFNA(INDEX(COUNTRIES[COUNTRY_LABEL],MATCH(PROPERTIES[[#This Row],[COUNTRY]],COUNTRIES[COUNTRY_DESCRIPTION],0)),"")</f>
        <v>EG</v>
      </c>
      <c r="H95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INDEX(LOADINGSPEEDDEF[SPEED],MATCH("LOADINGSPEEDDEF_"&amp;PROPERTIES[[#This Row],[LOADINGSPEED]],LOADINGSPEEDDEF[TYPE],0))</f>
        <v>20</v>
      </c>
      <c r="O95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4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8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1" t="b">
        <v>0</v>
      </c>
      <c r="AP958" s="45" t="b">
        <v>0</v>
      </c>
      <c r="AQ958" s="45" t="b">
        <v>0</v>
      </c>
      <c r="AR958" s="45">
        <v>0</v>
      </c>
      <c r="AS958" s="45" t="b">
        <v>0</v>
      </c>
      <c r="AT958" s="7" t="b">
        <v>0</v>
      </c>
      <c r="AU95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59" spans="1:47" x14ac:dyDescent="0.35">
      <c r="A959" t="s">
        <v>3381</v>
      </c>
      <c r="B959">
        <v>1898</v>
      </c>
      <c r="D95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59" s="37" t="str">
        <f>INDEX(CONTROL[ENGLISH],MATCH(PROPERTIES[[#This Row],[VEHIDCODE]],CONTROL[VEHIDCODE],0))</f>
        <v>Burnham 2-6-0 15857-15871</v>
      </c>
      <c r="F959" t="s">
        <v>592</v>
      </c>
      <c r="G959" s="37" t="str">
        <f>_xlfn.IFNA(INDEX(COUNTRIES[COUNTRY_LABEL],MATCH(PROPERTIES[[#This Row],[COUNTRY]],COUNTRIES[COUNTRY_DESCRIPTION],0)),"")</f>
        <v>EG</v>
      </c>
      <c r="H95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INDEX(LOADINGSPEEDDEF[SPEED],MATCH("LOADINGSPEEDDEF_"&amp;PROPERTIES[[#This Row],[LOADINGSPEED]],LOADINGSPEEDDEF[TYPE],0))</f>
        <v>20</v>
      </c>
      <c r="O95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4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59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1" t="b">
        <v>0</v>
      </c>
      <c r="AP959" s="45" t="b">
        <v>0</v>
      </c>
      <c r="AQ959" s="45" t="b">
        <v>0</v>
      </c>
      <c r="AR959" s="45">
        <v>0</v>
      </c>
      <c r="AS959" s="45" t="b">
        <v>0</v>
      </c>
      <c r="AT959" s="7" t="b">
        <v>0</v>
      </c>
      <c r="AU95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0" spans="1:47" x14ac:dyDescent="0.35">
      <c r="A960" t="s">
        <v>3382</v>
      </c>
      <c r="B960">
        <v>1892</v>
      </c>
      <c r="D96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0" s="37" t="str">
        <f>INDEX(CONTROL[ENGLISH],MATCH(PROPERTIES[[#This Row],[VEHIDCODE]],CONTROL[VEHIDCODE],0))</f>
        <v>SA Franco-Belge 0-6-0 'Class 4'</v>
      </c>
      <c r="F960" t="s">
        <v>592</v>
      </c>
      <c r="G960" s="37" t="str">
        <f>_xlfn.IFNA(INDEX(COUNTRIES[COUNTRY_LABEL],MATCH(PROPERTIES[[#This Row],[COUNTRY]],COUNTRIES[COUNTRY_DESCRIPTION],0)),"")</f>
        <v>EG</v>
      </c>
      <c r="H96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INDEX(LOADINGSPEEDDEF[SPEED],MATCH("LOADINGSPEEDDEF_"&amp;PROPERTIES[[#This Row],[LOADINGSPEED]],LOADINGSPEEDDEF[TYPE],0))</f>
        <v>20</v>
      </c>
      <c r="O96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4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0" s="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1" t="b">
        <v>0</v>
      </c>
      <c r="AP960" s="45" t="b">
        <v>0</v>
      </c>
      <c r="AQ960" s="45" t="b">
        <v>0</v>
      </c>
      <c r="AR960" s="45">
        <v>0</v>
      </c>
      <c r="AS960" s="45" t="b">
        <v>0</v>
      </c>
      <c r="AT960" s="7" t="b">
        <v>0</v>
      </c>
      <c r="AU96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61" spans="1:47" x14ac:dyDescent="0.35">
      <c r="A961" s="2" t="s">
        <v>3383</v>
      </c>
      <c r="B961">
        <v>2010</v>
      </c>
      <c r="D96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1" s="37" t="str">
        <f>INDEX(CONTROL[ENGLISH],MATCH(PROPERTIES[[#This Row],[VEHIDCODE]],CONTROL[VEHIDCODE],0))</f>
        <v>ACME Corp. Pegasus</v>
      </c>
      <c r="F961" t="s">
        <v>1028</v>
      </c>
      <c r="G961" s="37" t="str">
        <f>_xlfn.IFNA(INDEX(COUNTRIES[COUNTRY_LABEL],MATCH(PROPERTIES[[#This Row],[COUNTRY]],COUNTRIES[COUNTRY_DESCRIPTION],0)),"")</f>
        <v>WRLD</v>
      </c>
      <c r="H96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INDEX(LOADINGSPEEDDEF[SPEED],MATCH("LOADINGSPEEDDEF_"&amp;PROPERTIES[[#This Row],[LOADINGSPEED]],LOADINGSPEEDDEF[TYPE],0))</f>
        <v>20</v>
      </c>
      <c r="O96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4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"PURCHASECOST_"&amp;INDEX(VEHICLE_ID_RANGES[COST_VALUE_TYPE],MATCH(INDEX(CONTROL[VEHID_ID_CATEGORY],MATCH(PROPERTIES[[#This Row],[VEHIDCODE]],CONTROL[VEHIDCODE],0)),VEHICLE_ID_RANGES[ID Type],0))&amp;"_VALUE"</f>
        <v>PURCHASECOST_MAGLEVENGINE_VALUE</v>
      </c>
      <c r="AM961" s="6" t="str">
        <f>"RUNNINGCOST_"&amp;INDEX(VEHICLE_ID_RANGES[COST_VALUE_TYPE],MATCH(INDEX(CONTROL[VEHID_ID_CATEGORY],MATCH(PROPERTIES[[#This Row],[VEHIDCODE]],CONTROL[VEHIDCODE],0)),VEHICLE_ID_RANGES[ID Type],0))&amp;"_VALUE"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1" t="b">
        <v>0</v>
      </c>
      <c r="AP961" s="45" t="b">
        <v>0</v>
      </c>
      <c r="AQ961" s="46" t="b">
        <v>0</v>
      </c>
      <c r="AR961" s="46">
        <v>0</v>
      </c>
      <c r="AS961" s="46" t="b">
        <v>0</v>
      </c>
      <c r="AT961" s="6" t="b">
        <v>0</v>
      </c>
      <c r="AU96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62" spans="1:47" x14ac:dyDescent="0.35">
      <c r="A962" s="2" t="s">
        <v>3384</v>
      </c>
      <c r="B962">
        <v>2030</v>
      </c>
      <c r="D96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62" s="37" t="str">
        <f>INDEX(CONTROL[ENGLISH],MATCH(PROPERTIES[[#This Row],[VEHIDCODE]],CONTROL[VEHIDCODE],0))</f>
        <v>ACME Corp. Chimaera</v>
      </c>
      <c r="F962" t="s">
        <v>1028</v>
      </c>
      <c r="G962" s="37" t="str">
        <f>_xlfn.IFNA(INDEX(COUNTRIES[COUNTRY_LABEL],MATCH(PROPERTIES[[#This Row],[COUNTRY]],COUNTRIES[COUNTRY_DESCRIPTION],0)),"")</f>
        <v>WRLD</v>
      </c>
      <c r="H96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INDEX(LOADINGSPEEDDEF[SPEED],MATCH("LOADINGSPEEDDEF_"&amp;PROPERTIES[[#This Row],[LOADINGSPEED]],LOADINGSPEEDDEF[TYPE],0))</f>
        <v>20</v>
      </c>
      <c r="O96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4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"PURCHASECOST_"&amp;INDEX(VEHICLE_ID_RANGES[COST_VALUE_TYPE],MATCH(INDEX(CONTROL[VEHID_ID_CATEGORY],MATCH(PROPERTIES[[#This Row],[VEHIDCODE]],CONTROL[VEHIDCODE],0)),VEHICLE_ID_RANGES[ID Type],0))&amp;"_VALUE"</f>
        <v>PURCHASECOST_MMU_VALUE</v>
      </c>
      <c r="AM962" s="6" t="str">
        <f>"RUNNINGCOST_"&amp;INDEX(VEHICLE_ID_RANGES[COST_VALUE_TYPE],MATCH(INDEX(CONTROL[VEHID_ID_CATEGORY],MATCH(PROPERTIES[[#This Row],[VEHIDCODE]],CONTROL[VEHIDCODE],0)),VEHICLE_ID_RANGES[ID Type],0))&amp;"_VALUE"</f>
        <v>RUNNINGCOST_MMU_VALUE</v>
      </c>
      <c r="AN962" s="2" t="str">
        <f>SUBSTITUTE(SUBSTITUTE(PROPERTIES[[#This Row],[PURCHASECOST_VALUE]], "PURCHASECOST_", ""), "_VALUE", "")</f>
        <v>MMU</v>
      </c>
      <c r="AO962" s="41" t="b">
        <v>0</v>
      </c>
      <c r="AP962" s="45" t="b">
        <v>0</v>
      </c>
      <c r="AQ962" s="46" t="b">
        <v>0</v>
      </c>
      <c r="AR962" s="46">
        <v>0</v>
      </c>
      <c r="AS962" s="46" t="b">
        <v>0</v>
      </c>
      <c r="AT962" s="6" t="b">
        <v>0</v>
      </c>
      <c r="AU96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63" spans="1:47" x14ac:dyDescent="0.35">
      <c r="A963" s="2" t="s">
        <v>1907</v>
      </c>
      <c r="B963">
        <v>2010</v>
      </c>
      <c r="D96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3" s="37" t="str">
        <f>INDEX(CONTROL[ENGLISH],MATCH(PROPERTIES[[#This Row],[VEHIDCODE]],CONTROL[VEHIDCODE],0))</f>
        <v>ACME Corp. Chimaera Passenger Coach</v>
      </c>
      <c r="F963" t="s">
        <v>1028</v>
      </c>
      <c r="G963" s="37" t="str">
        <f>_xlfn.IFNA(INDEX(COUNTRIES[COUNTRY_LABEL],MATCH(PROPERTIES[[#This Row],[COUNTRY]],COUNTRIES[COUNTRY_DESCRIPTION],0)),"")</f>
        <v>WRLD</v>
      </c>
      <c r="H96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INDEX(LOADINGSPEEDDEF[SPEED],MATCH("LOADINGSPEEDDEF_"&amp;PROPERTIES[[#This Row],[LOADINGSPEED]],LOADINGSPEEDDEF[TYPE],0))</f>
        <v>20</v>
      </c>
      <c r="O96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4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63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63" s="2" t="str">
        <f>SUBSTITUTE(SUBSTITUTE(PROPERTIES[[#This Row],[PURCHASECOST_VALUE]], "PURCHASECOST_", ""), "_VALUE", "")</f>
        <v>COACH</v>
      </c>
      <c r="AO963" s="41" t="b">
        <v>0</v>
      </c>
      <c r="AP963" s="45" t="b">
        <v>0</v>
      </c>
      <c r="AQ963" s="46" t="b">
        <v>0</v>
      </c>
      <c r="AR963" s="46">
        <v>0</v>
      </c>
      <c r="AS963" s="46" t="b">
        <v>0</v>
      </c>
      <c r="AT963" s="6" t="b">
        <v>0</v>
      </c>
      <c r="AU96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64" spans="1:47" x14ac:dyDescent="0.35">
      <c r="A964" s="2" t="s">
        <v>1908</v>
      </c>
      <c r="B964">
        <v>2010</v>
      </c>
      <c r="D96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4" s="37" t="str">
        <f>INDEX(CONTROL[ENGLISH],MATCH(PROPERTIES[[#This Row],[VEHIDCODE]],CONTROL[VEHIDCODE],0))</f>
        <v>ACME Corp. Chimaera Mail Coach</v>
      </c>
      <c r="F964" t="s">
        <v>1028</v>
      </c>
      <c r="G964" s="37" t="str">
        <f>_xlfn.IFNA(INDEX(COUNTRIES[COUNTRY_LABEL],MATCH(PROPERTIES[[#This Row],[COUNTRY]],COUNTRIES[COUNTRY_DESCRIPTION],0)),"")</f>
        <v>WRLD</v>
      </c>
      <c r="H96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INDEX(LOADINGSPEEDDEF[SPEED],MATCH("LOADINGSPEEDDEF_"&amp;PROPERTIES[[#This Row],[LOADINGSPEED]],LOADINGSPEEDDEF[TYPE],0))</f>
        <v>15</v>
      </c>
      <c r="O96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4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964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964" s="2" t="str">
        <f>SUBSTITUTE(SUBSTITUTE(PROPERTIES[[#This Row],[PURCHASECOST_VALUE]], "PURCHASECOST_", ""), "_VALUE", "")</f>
        <v>COACH</v>
      </c>
      <c r="AO964" s="41" t="b">
        <v>0</v>
      </c>
      <c r="AP964" s="45" t="b">
        <v>0</v>
      </c>
      <c r="AQ964" s="46" t="b">
        <v>0</v>
      </c>
      <c r="AR964" s="46">
        <v>0</v>
      </c>
      <c r="AS964" s="46" t="b">
        <v>0</v>
      </c>
      <c r="AT964" s="6" t="b">
        <v>0</v>
      </c>
      <c r="AU96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965" spans="1:47" x14ac:dyDescent="0.35">
      <c r="A965" s="2" t="s">
        <v>3385</v>
      </c>
      <c r="B965">
        <v>1868</v>
      </c>
      <c r="C965">
        <v>1914</v>
      </c>
      <c r="D96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5" s="37" t="str">
        <f>INDEX(CONTROL[ENGLISH],MATCH(PROPERTIES[[#This Row],[VEHIDCODE]],CONTROL[VEHIDCODE],0))</f>
        <v>Sharp/BP 0-6-0 BDZ 142-150</v>
      </c>
      <c r="F965" t="s">
        <v>550</v>
      </c>
      <c r="G965" s="37" t="str">
        <f>_xlfn.IFNA(INDEX(COUNTRIES[COUNTRY_LABEL],MATCH(PROPERTIES[[#This Row],[COUNTRY]],COUNTRIES[COUNTRY_DESCRIPTION],0)),"")</f>
        <v>BG</v>
      </c>
      <c r="H96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INDEX(LOADINGSPEEDDEF[SPEED],MATCH("LOADINGSPEEDDEF_"&amp;PROPERTIES[[#This Row],[LOADINGSPEED]],LOADINGSPEEDDEF[TYPE],0))</f>
        <v>20</v>
      </c>
      <c r="O96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4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5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1" t="b">
        <v>0</v>
      </c>
      <c r="AP965" s="45" t="b">
        <v>0</v>
      </c>
      <c r="AQ965" s="45" t="b">
        <v>0</v>
      </c>
      <c r="AR965" s="45">
        <v>0</v>
      </c>
      <c r="AS965" s="45" t="b">
        <v>0</v>
      </c>
      <c r="AT965" s="7" t="b">
        <v>0</v>
      </c>
      <c r="AU96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6" spans="1:47" x14ac:dyDescent="0.35">
      <c r="A966" s="2" t="s">
        <v>3386</v>
      </c>
      <c r="B966">
        <v>1906</v>
      </c>
      <c r="C966">
        <v>1944</v>
      </c>
      <c r="D96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6" s="37" t="str">
        <f>INDEX(CONTROL[ENGLISH],MATCH(PROPERTIES[[#This Row],[VEHIDCODE]],CONTROL[VEHIDCODE],0))</f>
        <v>MAVAG 4-4-2 Class 203</v>
      </c>
      <c r="F966" t="s">
        <v>626</v>
      </c>
      <c r="G966" s="37" t="str">
        <f>_xlfn.IFNA(INDEX(COUNTRIES[COUNTRY_LABEL],MATCH(PROPERTIES[[#This Row],[COUNTRY]],COUNTRIES[COUNTRY_DESCRIPTION],0)),"")</f>
        <v>HU</v>
      </c>
      <c r="H96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INDEX(LOADINGSPEEDDEF[SPEED],MATCH("LOADINGSPEEDDEF_"&amp;PROPERTIES[[#This Row],[LOADINGSPEED]],LOADINGSPEEDDEF[TYPE],0))</f>
        <v>20</v>
      </c>
      <c r="O96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4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1" t="b">
        <v>0</v>
      </c>
      <c r="AP966" s="45" t="b">
        <v>0</v>
      </c>
      <c r="AQ966" s="45" t="b">
        <v>0</v>
      </c>
      <c r="AR966" s="45">
        <v>0</v>
      </c>
      <c r="AS966" s="45" t="b">
        <v>0</v>
      </c>
      <c r="AT966" s="7" t="b">
        <v>0</v>
      </c>
      <c r="AU96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7" spans="1:47" x14ac:dyDescent="0.35">
      <c r="A967" s="2" t="s">
        <v>3387</v>
      </c>
      <c r="B967">
        <v>1914</v>
      </c>
      <c r="C967">
        <v>1958</v>
      </c>
      <c r="D96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7" s="37" t="str">
        <f>INDEX(CONTROL[ENGLISH],MATCH(PROPERTIES[[#This Row],[VEHIDCODE]],CONTROL[VEHIDCODE],0))</f>
        <v>MAVAG 2-6-6-0 Class 601</v>
      </c>
      <c r="F967" t="s">
        <v>626</v>
      </c>
      <c r="G967" s="37" t="str">
        <f>_xlfn.IFNA(INDEX(COUNTRIES[COUNTRY_LABEL],MATCH(PROPERTIES[[#This Row],[COUNTRY]],COUNTRIES[COUNTRY_DESCRIPTION],0)),"")</f>
        <v>HU</v>
      </c>
      <c r="H96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INDEX(LOADINGSPEEDDEF[SPEED],MATCH("LOADINGSPEEDDEF_"&amp;PROPERTIES[[#This Row],[LOADINGSPEED]],LOADINGSPEEDDEF[TYPE],0))</f>
        <v>20</v>
      </c>
      <c r="O96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4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67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1" t="b">
        <v>0</v>
      </c>
      <c r="AP967" s="45" t="b">
        <v>0</v>
      </c>
      <c r="AQ967" s="45" t="b">
        <v>0</v>
      </c>
      <c r="AR967" s="45">
        <v>0</v>
      </c>
      <c r="AS967" s="45" t="b">
        <v>0</v>
      </c>
      <c r="AT967" s="7" t="b">
        <v>0</v>
      </c>
      <c r="AU96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68" spans="1:47" x14ac:dyDescent="0.35">
      <c r="A968" s="2" t="s">
        <v>3388</v>
      </c>
      <c r="B968">
        <v>1932</v>
      </c>
      <c r="C968">
        <v>1967</v>
      </c>
      <c r="D96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8" s="37" t="str">
        <f>INDEX(CONTROL[ENGLISH],MATCH(PROPERTIES[[#This Row],[VEHIDCODE]],CONTROL[VEHIDCODE],0))</f>
        <v>Ganz-MAVAG VM7 'V40'</v>
      </c>
      <c r="F968" t="s">
        <v>626</v>
      </c>
      <c r="G968" s="37" t="str">
        <f>_xlfn.IFNA(INDEX(COUNTRIES[COUNTRY_LABEL],MATCH(PROPERTIES[[#This Row],[COUNTRY]],COUNTRIES[COUNTRY_DESCRIPTION],0)),"")</f>
        <v>HU</v>
      </c>
      <c r="H96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INDEX(LOADINGSPEEDDEF[SPEED],MATCH("LOADINGSPEEDDEF_"&amp;PROPERTIES[[#This Row],[LOADINGSPEED]],LOADINGSPEEDDEF[TYPE],0))</f>
        <v>20</v>
      </c>
      <c r="O96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4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6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1" t="b">
        <v>0</v>
      </c>
      <c r="AP968" s="45" t="b">
        <v>0</v>
      </c>
      <c r="AQ968" s="45" t="b">
        <v>0</v>
      </c>
      <c r="AR968" s="45">
        <v>0</v>
      </c>
      <c r="AS968" s="45" t="b">
        <v>0</v>
      </c>
      <c r="AT968" s="7" t="b">
        <v>0</v>
      </c>
      <c r="AU96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69" spans="1:47" x14ac:dyDescent="0.35">
      <c r="A969" s="2" t="s">
        <v>3389</v>
      </c>
      <c r="B969">
        <v>2012</v>
      </c>
      <c r="D96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69" s="37" t="str">
        <f>INDEX(CONTROL[ENGLISH],MATCH(PROPERTIES[[#This Row],[VEHIDCODE]],CONTROL[VEHIDCODE],0))</f>
        <v>PESA 111D</v>
      </c>
      <c r="F969" t="s">
        <v>705</v>
      </c>
      <c r="G969" s="37" t="str">
        <f>_xlfn.IFNA(INDEX(COUNTRIES[COUNTRY_LABEL],MATCH(PROPERTIES[[#This Row],[COUNTRY]],COUNTRIES[COUNTRY_DESCRIPTION],0)),"")</f>
        <v>PL</v>
      </c>
      <c r="H96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INDEX(LOADINGSPEEDDEF[SPEED],MATCH("LOADINGSPEEDDEF_"&amp;PROPERTIES[[#This Row],[LOADINGSPEED]],LOADINGSPEEDDEF[TYPE],0))</f>
        <v>20</v>
      </c>
      <c r="O96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4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6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1" t="b">
        <v>0</v>
      </c>
      <c r="AP969" s="45" t="b">
        <v>0</v>
      </c>
      <c r="AQ969" s="45" t="b">
        <v>0</v>
      </c>
      <c r="AR969" s="45">
        <v>0</v>
      </c>
      <c r="AS969" s="45" t="b">
        <v>0</v>
      </c>
      <c r="AT969" s="7" t="b">
        <v>0</v>
      </c>
      <c r="AU96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70" spans="1:47" x14ac:dyDescent="0.35">
      <c r="A970" s="2" t="s">
        <v>3390</v>
      </c>
      <c r="B970">
        <v>1857</v>
      </c>
      <c r="C970">
        <v>1874</v>
      </c>
      <c r="D97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0" s="37" t="str">
        <f>INDEX(CONTROL[ENGLISH],MATCH(PROPERTIES[[#This Row],[VEHIDCODE]],CONTROL[VEHIDCODE],0))</f>
        <v>Stephenson/BP 2-2-2 LVCI Class 1</v>
      </c>
      <c r="F970" t="s">
        <v>636</v>
      </c>
      <c r="G970" s="37" t="str">
        <f>_xlfn.IFNA(INDEX(COUNTRIES[COUNTRY_LABEL],MATCH(PROPERTIES[[#This Row],[COUNTRY]],COUNTRIES[COUNTRY_DESCRIPTION],0)),"")</f>
        <v>IT</v>
      </c>
      <c r="H97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INDEX(LOADINGSPEEDDEF[SPEED],MATCH("LOADINGSPEEDDEF_"&amp;PROPERTIES[[#This Row],[LOADINGSPEED]],LOADINGSPEEDDEF[TYPE],0))</f>
        <v>20</v>
      </c>
      <c r="O97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4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1" t="b">
        <v>0</v>
      </c>
      <c r="AP970" s="45" t="b">
        <v>0</v>
      </c>
      <c r="AQ970" s="45" t="b">
        <v>0</v>
      </c>
      <c r="AR970" s="45">
        <v>0</v>
      </c>
      <c r="AS970" s="45" t="b">
        <v>0</v>
      </c>
      <c r="AT970" s="7" t="b">
        <v>0</v>
      </c>
      <c r="AU97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TPL_03A</v>
      </c>
    </row>
    <row r="971" spans="1:47" x14ac:dyDescent="0.35">
      <c r="A971" t="s">
        <v>3391</v>
      </c>
      <c r="B971">
        <v>1931</v>
      </c>
      <c r="C971">
        <v>1955</v>
      </c>
      <c r="D97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1" s="37" t="str">
        <f>INDEX(CONTROL[ENGLISH],MATCH(PROPERTIES[[#This Row],[VEHIDCODE]],CONTROL[VEHIDCODE],0))</f>
        <v>Babcock 4-6-2+2-6-4T '462'</v>
      </c>
      <c r="F971" t="s">
        <v>595</v>
      </c>
      <c r="G971" s="37" t="str">
        <f>_xlfn.IFNA(INDEX(COUNTRIES[COUNTRY_LABEL],MATCH(PROPERTIES[[#This Row],[COUNTRY]],COUNTRIES[COUNTRY_DESCRIPTION],0)),"")</f>
        <v>ES</v>
      </c>
      <c r="H97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INDEX(LOADINGSPEEDDEF[SPEED],MATCH("LOADINGSPEEDDEF_"&amp;PROPERTIES[[#This Row],[LOADINGSPEED]],LOADINGSPEEDDEF[TYPE],0))</f>
        <v>20</v>
      </c>
      <c r="O97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4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1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1" t="b">
        <v>0</v>
      </c>
      <c r="AP971" s="45" t="b">
        <v>0</v>
      </c>
      <c r="AQ971" s="45" t="b">
        <v>0</v>
      </c>
      <c r="AR971" s="45">
        <v>0</v>
      </c>
      <c r="AS971" s="45" t="b">
        <v>0</v>
      </c>
      <c r="AT971" s="7" t="b">
        <v>0</v>
      </c>
      <c r="AU97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TPL_17C</v>
      </c>
    </row>
    <row r="972" spans="1:47" x14ac:dyDescent="0.35">
      <c r="A972" s="2" t="s">
        <v>3392</v>
      </c>
      <c r="B972">
        <v>1870</v>
      </c>
      <c r="D97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2" s="37" t="str">
        <f>INDEX(CONTROL[ENGLISH],MATCH(PROPERTIES[[#This Row],[VEHIDCODE]],CONTROL[VEHIDCODE],0))</f>
        <v>Koechlin 0-6-0 '030'</v>
      </c>
      <c r="F972" t="s">
        <v>595</v>
      </c>
      <c r="G972" s="37" t="str">
        <f>_xlfn.IFNA(INDEX(COUNTRIES[COUNTRY_LABEL],MATCH(PROPERTIES[[#This Row],[COUNTRY]],COUNTRIES[COUNTRY_DESCRIPTION],0)),"")</f>
        <v>ES</v>
      </c>
      <c r="H97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INDEX(LOADINGSPEEDDEF[SPEED],MATCH("LOADINGSPEEDDEF_"&amp;PROPERTIES[[#This Row],[LOADINGSPEED]],LOADINGSPEEDDEF[TYPE],0))</f>
        <v>20</v>
      </c>
      <c r="O97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4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2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1" t="b">
        <v>0</v>
      </c>
      <c r="AP972" s="45" t="b">
        <v>0</v>
      </c>
      <c r="AQ972" s="45" t="b">
        <v>0</v>
      </c>
      <c r="AR972" s="45">
        <v>0</v>
      </c>
      <c r="AS972" s="45" t="b">
        <v>0</v>
      </c>
      <c r="AT972" s="7" t="b">
        <v>0</v>
      </c>
      <c r="AU97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73" spans="1:47" x14ac:dyDescent="0.35">
      <c r="A973" s="2" t="s">
        <v>3393</v>
      </c>
      <c r="B973">
        <v>1913</v>
      </c>
      <c r="C973">
        <v>1964</v>
      </c>
      <c r="D97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3" s="37" t="str">
        <f>INDEX(CONTROL[ENGLISH],MATCH(PROPERTIES[[#This Row],[VEHIDCODE]],CONTROL[VEHIDCODE],0))</f>
        <v>Hanomag/ALCO 4-8-0 '240'</v>
      </c>
      <c r="F973" t="s">
        <v>595</v>
      </c>
      <c r="G973" s="37" t="str">
        <f>_xlfn.IFNA(INDEX(COUNTRIES[COUNTRY_LABEL],MATCH(PROPERTIES[[#This Row],[COUNTRY]],COUNTRIES[COUNTRY_DESCRIPTION],0)),"")</f>
        <v>ES</v>
      </c>
      <c r="H97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INDEX(LOADINGSPEEDDEF[SPEED],MATCH("LOADINGSPEEDDEF_"&amp;PROPERTIES[[#This Row],[LOADINGSPEED]],LOADINGSPEEDDEF[TYPE],0))</f>
        <v>20</v>
      </c>
      <c r="O97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4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973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1" t="b">
        <v>0</v>
      </c>
      <c r="AP973" s="45" t="b">
        <v>0</v>
      </c>
      <c r="AQ973" s="45" t="b">
        <v>0</v>
      </c>
      <c r="AR973" s="45">
        <v>0</v>
      </c>
      <c r="AS973" s="45" t="b">
        <v>0</v>
      </c>
      <c r="AT973" s="7" t="b">
        <v>0</v>
      </c>
      <c r="AU97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974" spans="1:47" x14ac:dyDescent="0.35">
      <c r="A974" s="2" t="s">
        <v>3394</v>
      </c>
      <c r="B974">
        <v>2024</v>
      </c>
      <c r="D97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74" s="37" t="str">
        <f>INDEX(CONTROL[ENGLISH],MATCH(PROPERTIES[[#This Row],[VEHIDCODE]],CONTROL[VEHIDCODE],0))</f>
        <v>CRRC Sifang SFB-500</v>
      </c>
      <c r="F974" t="s">
        <v>573</v>
      </c>
      <c r="G974" s="37" t="str">
        <f>_xlfn.IFNA(INDEX(COUNTRIES[COUNTRY_LABEL],MATCH(PROPERTIES[[#This Row],[COUNTRY]],COUNTRIES[COUNTRY_DESCRIPTION],0)),"")</f>
        <v>CL</v>
      </c>
      <c r="H97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INDEX(LOADINGSPEEDDEF[SPEED],MATCH("LOADINGSPEEDDEF_"&amp;PROPERTIES[[#This Row],[LOADINGSPEED]],LOADINGSPEEDDEF[TYPE],0))</f>
        <v>20</v>
      </c>
      <c r="O97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4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7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74" s="2" t="str">
        <f>SUBSTITUTE(SUBSTITUTE(PROPERTIES[[#This Row],[PURCHASECOST_VALUE]], "PURCHASECOST_", ""), "_VALUE", "")</f>
        <v>EMU</v>
      </c>
      <c r="AO974" s="41" t="b">
        <v>0</v>
      </c>
      <c r="AP974" s="45" t="b">
        <v>0</v>
      </c>
      <c r="AQ974" s="45" t="b">
        <v>0</v>
      </c>
      <c r="AR974" s="45">
        <v>0</v>
      </c>
      <c r="AS974" s="45" t="b">
        <v>0</v>
      </c>
      <c r="AT974" s="7" t="b">
        <v>0</v>
      </c>
      <c r="AU97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75" spans="1:47" x14ac:dyDescent="0.35">
      <c r="A975" s="2" t="s">
        <v>3395</v>
      </c>
      <c r="B975">
        <v>1938</v>
      </c>
      <c r="D97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5" s="37" t="str">
        <f>INDEX(CONTROL[ENGLISH],MATCH(PROPERTIES[[#This Row],[VEHIDCODE]],CONTROL[VEHIDCODE],0))</f>
        <v>EMC E3</v>
      </c>
      <c r="F975" t="s">
        <v>757</v>
      </c>
      <c r="G975" s="37" t="str">
        <f>_xlfn.IFNA(INDEX(COUNTRIES[COUNTRY_LABEL],MATCH(PROPERTIES[[#This Row],[COUNTRY]],COUNTRIES[COUNTRY_DESCRIPTION],0)),"")</f>
        <v>US</v>
      </c>
      <c r="H97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INDEX(LOADINGSPEEDDEF[SPEED],MATCH("LOADINGSPEEDDEF_"&amp;PROPERTIES[[#This Row],[LOADINGSPEED]],LOADINGSPEEDDEF[TYPE],0))</f>
        <v>20</v>
      </c>
      <c r="O97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4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5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1" t="b">
        <v>0</v>
      </c>
      <c r="AP975" s="45" t="b">
        <v>0</v>
      </c>
      <c r="AQ975" s="45" t="b">
        <v>0</v>
      </c>
      <c r="AR975" s="45">
        <v>0</v>
      </c>
      <c r="AS975" s="45" t="b">
        <v>0</v>
      </c>
      <c r="AT975" s="7" t="b">
        <v>0</v>
      </c>
      <c r="AU97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76" spans="1:47" x14ac:dyDescent="0.35">
      <c r="A976" s="2" t="s">
        <v>3396</v>
      </c>
      <c r="B976">
        <v>1939</v>
      </c>
      <c r="D97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6" s="37" t="str">
        <f>INDEX(CONTROL[ENGLISH],MATCH(PROPERTIES[[#This Row],[VEHIDCODE]],CONTROL[VEHIDCODE],0))</f>
        <v>EMD FT</v>
      </c>
      <c r="F976" t="s">
        <v>757</v>
      </c>
      <c r="G976" s="37" t="str">
        <f>_xlfn.IFNA(INDEX(COUNTRIES[COUNTRY_LABEL],MATCH(PROPERTIES[[#This Row],[COUNTRY]],COUNTRIES[COUNTRY_DESCRIPTION],0)),"")</f>
        <v>US</v>
      </c>
      <c r="H97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INDEX(LOADINGSPEEDDEF[SPEED],MATCH("LOADINGSPEEDDEF_"&amp;PROPERTIES[[#This Row],[LOADINGSPEED]],LOADINGSPEEDDEF[TYPE],0))</f>
        <v>20</v>
      </c>
      <c r="O97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4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1" t="b">
        <v>0</v>
      </c>
      <c r="AP976" s="45" t="b">
        <v>0</v>
      </c>
      <c r="AQ976" s="45" t="b">
        <v>0</v>
      </c>
      <c r="AR976" s="45">
        <v>0</v>
      </c>
      <c r="AS976" s="45" t="b">
        <v>0</v>
      </c>
      <c r="AT976" s="7" t="b">
        <v>0</v>
      </c>
      <c r="AU97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977" spans="1:47" x14ac:dyDescent="0.35">
      <c r="A977" s="2" t="s">
        <v>3397</v>
      </c>
      <c r="B977">
        <v>1973</v>
      </c>
      <c r="C977">
        <v>2015</v>
      </c>
      <c r="D97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7" s="37" t="str">
        <f>INDEX(CONTROL[ENGLISH],MATCH(PROPERTIES[[#This Row],[VEHIDCODE]],CONTROL[VEHIDCODE],0))</f>
        <v>LTZ TE109</v>
      </c>
      <c r="F977" t="s">
        <v>584</v>
      </c>
      <c r="G977" s="37" t="str">
        <f>_xlfn.IFNA(INDEX(COUNTRIES[COUNTRY_LABEL],MATCH(PROPERTIES[[#This Row],[COUNTRY]],COUNTRIES[COUNTRY_DESCRIPTION],0)),"")</f>
        <v>DE</v>
      </c>
      <c r="H97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INDEX(LOADINGSPEEDDEF[SPEED],MATCH("LOADINGSPEEDDEF_"&amp;PROPERTIES[[#This Row],[LOADINGSPEED]],LOADINGSPEEDDEF[TYPE],0))</f>
        <v>20</v>
      </c>
      <c r="O97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4">
        <v>0</v>
      </c>
      <c r="AF977" s="6">
        <v>0</v>
      </c>
      <c r="AG977" t="s">
        <v>230</v>
      </c>
      <c r="AH977" t="s">
        <v>1940</v>
      </c>
      <c r="AI977" t="s">
        <v>229</v>
      </c>
      <c r="AJ977" s="2" t="s">
        <v>229</v>
      </c>
      <c r="AK977" s="2" t="s">
        <v>244</v>
      </c>
      <c r="AL97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1" t="b">
        <v>0</v>
      </c>
      <c r="AP977" s="45" t="b">
        <v>0</v>
      </c>
      <c r="AQ977" s="45" t="b">
        <v>0</v>
      </c>
      <c r="AR977" s="45">
        <v>0</v>
      </c>
      <c r="AS977" s="45" t="b">
        <v>0</v>
      </c>
      <c r="AT977" s="7" t="b">
        <v>0</v>
      </c>
      <c r="AU97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78" spans="1:47" x14ac:dyDescent="0.35">
      <c r="A978" s="2" t="s">
        <v>3398</v>
      </c>
      <c r="B978">
        <v>1985</v>
      </c>
      <c r="C978">
        <v>2012</v>
      </c>
      <c r="D97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78" s="37" t="str">
        <f>INDEX(CONTROL[ENGLISH],MATCH(PROPERTIES[[#This Row],[VEHIDCODE]],CONTROL[VEHIDCODE],0))</f>
        <v>Hitachi/Kawasaki Shinkansen Series 100</v>
      </c>
      <c r="F978" t="s">
        <v>640</v>
      </c>
      <c r="G978" s="37" t="str">
        <f>_xlfn.IFNA(INDEX(COUNTRIES[COUNTRY_LABEL],MATCH(PROPERTIES[[#This Row],[COUNTRY]],COUNTRIES[COUNTRY_DESCRIPTION],0)),"")</f>
        <v>JP</v>
      </c>
      <c r="H97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INDEX(LOADINGSPEEDDEF[SPEED],MATCH("LOADINGSPEEDDEF_"&amp;PROPERTIES[[#This Row],[LOADINGSPEED]],LOADINGSPEEDDEF[TYPE],0))</f>
        <v>20</v>
      </c>
      <c r="O97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4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78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78" s="2" t="str">
        <f>SUBSTITUTE(SUBSTITUTE(PROPERTIES[[#This Row],[PURCHASECOST_VALUE]], "PURCHASECOST_", ""), "_VALUE", "")</f>
        <v>EMU</v>
      </c>
      <c r="AO978" s="41" t="b">
        <v>0</v>
      </c>
      <c r="AP978" s="45" t="b">
        <v>0</v>
      </c>
      <c r="AQ978" s="45" t="b">
        <v>0</v>
      </c>
      <c r="AR978" s="45">
        <v>0</v>
      </c>
      <c r="AS978" s="45" t="b">
        <v>0</v>
      </c>
      <c r="AT978" s="7" t="b">
        <v>0</v>
      </c>
      <c r="AU97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79" spans="1:47" x14ac:dyDescent="0.35">
      <c r="A979" s="2" t="s">
        <v>3399</v>
      </c>
      <c r="B979">
        <v>1957</v>
      </c>
      <c r="C979">
        <v>1991</v>
      </c>
      <c r="D97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79" s="37" t="str">
        <f>INDEX(CONTROL[ENGLISH],MATCH(PROPERTIES[[#This Row],[VEHIDCODE]],CONTROL[VEHIDCODE],0))</f>
        <v>Krauss-Maffei ML 2200</v>
      </c>
      <c r="F979" t="s">
        <v>776</v>
      </c>
      <c r="G979" s="37" t="str">
        <f>_xlfn.IFNA(INDEX(COUNTRIES[COUNTRY_LABEL],MATCH(PROPERTIES[[#This Row],[COUNTRY]],COUNTRIES[COUNTRY_DESCRIPTION],0)),"")</f>
        <v>YU</v>
      </c>
      <c r="H97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INDEX(LOADINGSPEEDDEF[SPEED],MATCH("LOADINGSPEEDDEF_"&amp;PROPERTIES[[#This Row],[LOADINGSPEED]],LOADINGSPEEDDEF[TYPE],0))</f>
        <v>20</v>
      </c>
      <c r="O97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4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7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1" t="b">
        <v>0</v>
      </c>
      <c r="AP979" s="45" t="b">
        <v>0</v>
      </c>
      <c r="AQ979" s="45" t="b">
        <v>0</v>
      </c>
      <c r="AR979" s="45">
        <v>0</v>
      </c>
      <c r="AS979" s="45" t="b">
        <v>0</v>
      </c>
      <c r="AT979" s="7" t="b">
        <v>0</v>
      </c>
      <c r="AU97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0" spans="1:47" x14ac:dyDescent="0.35">
      <c r="A980" s="2" t="s">
        <v>3400</v>
      </c>
      <c r="B980">
        <v>1944</v>
      </c>
      <c r="C980">
        <v>1975</v>
      </c>
      <c r="D98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80" s="37" t="str">
        <f>INDEX(CONTROL[ENGLISH],MATCH(PROPERTIES[[#This Row],[VEHIDCODE]],CONTROL[VEHIDCODE],0))</f>
        <v>Ganz 'Hargita' M440</v>
      </c>
      <c r="F980" t="s">
        <v>626</v>
      </c>
      <c r="G980" s="37" t="str">
        <f>_xlfn.IFNA(INDEX(COUNTRIES[COUNTRY_LABEL],MATCH(PROPERTIES[[#This Row],[COUNTRY]],COUNTRIES[COUNTRY_DESCRIPTION],0)),"")</f>
        <v>HU</v>
      </c>
      <c r="H98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INDEX(LOADINGSPEEDDEF[SPEED],MATCH("LOADINGSPEEDDEF_"&amp;PROPERTIES[[#This Row],[LOADINGSPEED]],LOADINGSPEEDDEF[TYPE],0))</f>
        <v>60</v>
      </c>
      <c r="O98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4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80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80" s="2" t="str">
        <f>SUBSTITUTE(SUBSTITUTE(PROPERTIES[[#This Row],[PURCHASECOST_VALUE]], "PURCHASECOST_", ""), "_VALUE", "")</f>
        <v>DMU</v>
      </c>
      <c r="AO980" s="41" t="b">
        <v>0</v>
      </c>
      <c r="AP980" s="45" t="b">
        <v>0</v>
      </c>
      <c r="AQ980" s="45" t="b">
        <v>0</v>
      </c>
      <c r="AR980" s="45">
        <v>0</v>
      </c>
      <c r="AS980" s="45" t="b">
        <v>0</v>
      </c>
      <c r="AT980" s="7" t="b">
        <v>0</v>
      </c>
      <c r="AU98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981" spans="1:47" x14ac:dyDescent="0.35">
      <c r="A981" s="2" t="s">
        <v>3401</v>
      </c>
      <c r="B981">
        <v>1932</v>
      </c>
      <c r="C981">
        <v>1984</v>
      </c>
      <c r="D98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1" s="37" t="str">
        <f>INDEX(CONTROL[ENGLISH],MATCH(PROPERTIES[[#This Row],[VEHIDCODE]],CONTROL[VEHIDCODE],0))</f>
        <v>SSW/Krauss E44</v>
      </c>
      <c r="F981" t="s">
        <v>584</v>
      </c>
      <c r="G981" s="37" t="str">
        <f>_xlfn.IFNA(INDEX(COUNTRIES[COUNTRY_LABEL],MATCH(PROPERTIES[[#This Row],[COUNTRY]],COUNTRIES[COUNTRY_DESCRIPTION],0)),"")</f>
        <v>DE</v>
      </c>
      <c r="H98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INDEX(LOADINGSPEEDDEF[SPEED],MATCH("LOADINGSPEEDDEF_"&amp;PROPERTIES[[#This Row],[LOADINGSPEED]],LOADINGSPEEDDEF[TYPE],0))</f>
        <v>20</v>
      </c>
      <c r="O98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4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1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1" t="b">
        <v>0</v>
      </c>
      <c r="AP981" s="45" t="b">
        <v>0</v>
      </c>
      <c r="AQ981" s="45" t="b">
        <v>0</v>
      </c>
      <c r="AR981" s="45">
        <v>0</v>
      </c>
      <c r="AS981" s="45" t="b">
        <v>0</v>
      </c>
      <c r="AT981" s="7" t="b">
        <v>0</v>
      </c>
      <c r="AU98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2" spans="1:47" x14ac:dyDescent="0.35">
      <c r="A982" s="2" t="s">
        <v>3402</v>
      </c>
      <c r="B982">
        <v>2016</v>
      </c>
      <c r="D98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2" s="37" t="str">
        <f>INDEX(CONTROL[ENGLISH],MATCH(PROPERTIES[[#This Row],[VEHIDCODE]],CONTROL[VEHIDCODE],0))</f>
        <v>PESA 111MS</v>
      </c>
      <c r="F982" t="s">
        <v>705</v>
      </c>
      <c r="G982" s="37" t="str">
        <f>_xlfn.IFNA(INDEX(COUNTRIES[COUNTRY_LABEL],MATCH(PROPERTIES[[#This Row],[COUNTRY]],COUNTRIES[COUNTRY_DESCRIPTION],0)),"")</f>
        <v>PL</v>
      </c>
      <c r="H98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INDEX(LOADINGSPEEDDEF[SPEED],MATCH("LOADINGSPEEDDEF_"&amp;PROPERTIES[[#This Row],[LOADINGSPEED]],LOADINGSPEEDDEF[TYPE],0))</f>
        <v>20</v>
      </c>
      <c r="O98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4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2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1" t="b">
        <v>0</v>
      </c>
      <c r="AP982" s="45" t="b">
        <v>0</v>
      </c>
      <c r="AQ982" s="45" t="b">
        <v>0</v>
      </c>
      <c r="AR982" s="45">
        <v>0</v>
      </c>
      <c r="AS982" s="45" t="b">
        <v>0</v>
      </c>
      <c r="AT982" s="7" t="b">
        <v>0</v>
      </c>
      <c r="AU98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3" spans="1:47" x14ac:dyDescent="0.35">
      <c r="A983" s="2" t="s">
        <v>3403</v>
      </c>
      <c r="B983">
        <v>1932</v>
      </c>
      <c r="C983">
        <v>1969</v>
      </c>
      <c r="D98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3" s="37" t="str">
        <f>INDEX(CONTROL[ENGLISH],MATCH(PROPERTIES[[#This Row],[VEHIDCODE]],CONTROL[VEHIDCODE],0))</f>
        <v>Kolomna VL19</v>
      </c>
      <c r="F983" t="s">
        <v>716</v>
      </c>
      <c r="G983" s="37" t="str">
        <f>_xlfn.IFNA(INDEX(COUNTRIES[COUNTRY_LABEL],MATCH(PROPERTIES[[#This Row],[COUNTRY]],COUNTRIES[COUNTRY_DESCRIPTION],0)),"")</f>
        <v>RU</v>
      </c>
      <c r="H98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INDEX(LOADINGSPEEDDEF[SPEED],MATCH("LOADINGSPEEDDEF_"&amp;PROPERTIES[[#This Row],[LOADINGSPEED]],LOADINGSPEEDDEF[TYPE],0))</f>
        <v>20</v>
      </c>
      <c r="O98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4">
        <v>0</v>
      </c>
      <c r="AF983" s="6">
        <v>0</v>
      </c>
      <c r="AG983" t="s">
        <v>1940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1" t="b">
        <v>0</v>
      </c>
      <c r="AP983" s="45" t="b">
        <v>0</v>
      </c>
      <c r="AQ983" s="45" t="b">
        <v>0</v>
      </c>
      <c r="AR983" s="45">
        <v>0</v>
      </c>
      <c r="AS983" s="45" t="b">
        <v>0</v>
      </c>
      <c r="AT983" s="7" t="b">
        <v>0</v>
      </c>
      <c r="AU98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4" spans="1:47" x14ac:dyDescent="0.35">
      <c r="A984" s="2" t="s">
        <v>3404</v>
      </c>
      <c r="B984">
        <v>1935</v>
      </c>
      <c r="C984">
        <v>1976</v>
      </c>
      <c r="D98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4" s="37" t="str">
        <f>INDEX(CONTROL[ENGLISH],MATCH(PROPERTIES[[#This Row],[VEHIDCODE]],CONTROL[VEHIDCODE],0))</f>
        <v>AEG/Krupp E18</v>
      </c>
      <c r="F984" t="s">
        <v>584</v>
      </c>
      <c r="G984" s="37" t="str">
        <f>_xlfn.IFNA(INDEX(COUNTRIES[COUNTRY_LABEL],MATCH(PROPERTIES[[#This Row],[COUNTRY]],COUNTRIES[COUNTRY_DESCRIPTION],0)),"")</f>
        <v>DE</v>
      </c>
      <c r="H98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INDEX(LOADINGSPEEDDEF[SPEED],MATCH("LOADINGSPEEDDEF_"&amp;PROPERTIES[[#This Row],[LOADINGSPEED]],LOADINGSPEEDDEF[TYPE],0))</f>
        <v>20</v>
      </c>
      <c r="O98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4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1" t="b">
        <v>0</v>
      </c>
      <c r="AP984" s="45" t="b">
        <v>0</v>
      </c>
      <c r="AQ984" s="45" t="b">
        <v>0</v>
      </c>
      <c r="AR984" s="45">
        <v>0</v>
      </c>
      <c r="AS984" s="45" t="b">
        <v>0</v>
      </c>
      <c r="AT984" s="7" t="b">
        <v>0</v>
      </c>
      <c r="AU98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5" spans="1:47" x14ac:dyDescent="0.35">
      <c r="A985" s="2" t="s">
        <v>3405</v>
      </c>
      <c r="B985">
        <v>2027</v>
      </c>
      <c r="D98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85" s="37" t="str">
        <f>INDEX(CONTROL[ENGLISH],MATCH(PROPERTIES[[#This Row],[VEHIDCODE]],CONTROL[VEHIDCODE],0))</f>
        <v>Hitachi-Alstom Zefiro Class 895 'HS2'</v>
      </c>
      <c r="F985" t="s">
        <v>603</v>
      </c>
      <c r="G985" s="37" t="str">
        <f>_xlfn.IFNA(INDEX(COUNTRIES[COUNTRY_LABEL],MATCH(PROPERTIES[[#This Row],[COUNTRY]],COUNTRIES[COUNTRY_DESCRIPTION],0)),"")</f>
        <v>GB</v>
      </c>
      <c r="H98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INDEX(LOADINGSPEEDDEF[SPEED],MATCH("LOADINGSPEEDDEF_"&amp;PROPERTIES[[#This Row],[LOADINGSPEED]],LOADINGSPEEDDEF[TYPE],0))</f>
        <v>20</v>
      </c>
      <c r="O98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4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85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85" s="2" t="str">
        <f>SUBSTITUTE(SUBSTITUTE(PROPERTIES[[#This Row],[PURCHASECOST_VALUE]], "PURCHASECOST_", ""), "_VALUE", "")</f>
        <v>EMU</v>
      </c>
      <c r="AO985" s="41" t="b">
        <v>0</v>
      </c>
      <c r="AP985" s="45" t="b">
        <v>0</v>
      </c>
      <c r="AQ985" s="45" t="b">
        <v>0</v>
      </c>
      <c r="AR985" s="45">
        <v>0</v>
      </c>
      <c r="AS985" s="45" t="b">
        <v>0</v>
      </c>
      <c r="AT985" s="7" t="b">
        <v>0</v>
      </c>
      <c r="AU98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86" spans="1:47" x14ac:dyDescent="0.35">
      <c r="A986" s="2" t="s">
        <v>3406</v>
      </c>
      <c r="B986">
        <v>1976</v>
      </c>
      <c r="C986">
        <v>2006</v>
      </c>
      <c r="D98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6" s="37" t="str">
        <f>INDEX(CONTROL[ENGLISH],MATCH(PROPERTIES[[#This Row],[VEHIDCODE]],CONTROL[VEHIDCODE],0))</f>
        <v>EMD JT22CW</v>
      </c>
      <c r="F986" t="s">
        <v>757</v>
      </c>
      <c r="G986" s="37" t="str">
        <f>_xlfn.IFNA(INDEX(COUNTRIES[COUNTRY_LABEL],MATCH(PROPERTIES[[#This Row],[COUNTRY]],COUNTRIES[COUNTRY_DESCRIPTION],0)),"")</f>
        <v>US</v>
      </c>
      <c r="H98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INDEX(LOADINGSPEEDDEF[SPEED],MATCH("LOADINGSPEEDDEF_"&amp;PROPERTIES[[#This Row],[LOADINGSPEED]],LOADINGSPEEDDEF[TYPE],0))</f>
        <v>20</v>
      </c>
      <c r="O98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4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86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1" t="b">
        <v>0</v>
      </c>
      <c r="AP986" s="45" t="b">
        <v>0</v>
      </c>
      <c r="AQ986" s="45" t="b">
        <v>0</v>
      </c>
      <c r="AR986" s="45">
        <v>0</v>
      </c>
      <c r="AS986" s="45" t="b">
        <v>0</v>
      </c>
      <c r="AT986" s="7" t="b">
        <v>0</v>
      </c>
      <c r="AU98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7" spans="1:47" x14ac:dyDescent="0.35">
      <c r="A987" s="2" t="s">
        <v>3407</v>
      </c>
      <c r="B987">
        <v>1963</v>
      </c>
      <c r="D98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87" s="37" t="str">
        <f>INDEX(CONTROL[ENGLISH],MATCH(PROPERTIES[[#This Row],[VEHIDCODE]],CONTROL[VEHIDCODE],0))</f>
        <v>RVR DR1A</v>
      </c>
      <c r="F987" t="s">
        <v>659</v>
      </c>
      <c r="G987" s="37" t="str">
        <f>_xlfn.IFNA(INDEX(COUNTRIES[COUNTRY_LABEL],MATCH(PROPERTIES[[#This Row],[COUNTRY]],COUNTRIES[COUNTRY_DESCRIPTION],0)),"")</f>
        <v>LT</v>
      </c>
      <c r="H98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INDEX(LOADINGSPEEDDEF[SPEED],MATCH("LOADINGSPEEDDEF_"&amp;PROPERTIES[[#This Row],[LOADINGSPEED]],LOADINGSPEEDDEF[TYPE],0))</f>
        <v>60</v>
      </c>
      <c r="O98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1943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87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87" s="2" t="str">
        <f>SUBSTITUTE(SUBSTITUTE(PROPERTIES[[#This Row],[PURCHASECOST_VALUE]], "PURCHASECOST_", ""), "_VALUE", "")</f>
        <v>DMU</v>
      </c>
      <c r="AO987" s="41" t="b">
        <v>0</v>
      </c>
      <c r="AP987" s="45" t="b">
        <v>0</v>
      </c>
      <c r="AQ987" s="45" t="b">
        <v>0</v>
      </c>
      <c r="AR987" s="45">
        <v>0</v>
      </c>
      <c r="AS987" s="45" t="b">
        <v>0</v>
      </c>
      <c r="AT987" s="7" t="b">
        <v>0</v>
      </c>
      <c r="AU98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TPL_02D</v>
      </c>
    </row>
    <row r="988" spans="1:47" x14ac:dyDescent="0.35">
      <c r="A988" s="2" t="s">
        <v>3408</v>
      </c>
      <c r="B988">
        <v>2043</v>
      </c>
      <c r="D98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8" s="37" t="str">
        <f>INDEX(CONTROL[ENGLISH],MATCH(PROPERTIES[[#This Row],[VEHIDCODE]],CONTROL[VEHIDCODE],0))</f>
        <v>ACME Corp. HS001</v>
      </c>
      <c r="F988" t="s">
        <v>692</v>
      </c>
      <c r="G988" s="37" t="str">
        <f>_xlfn.IFNA(INDEX(COUNTRIES[COUNTRY_LABEL],MATCH(PROPERTIES[[#This Row],[COUNTRY]],COUNTRIES[COUNTRY_DESCRIPTION],0)),"")</f>
        <v>NL</v>
      </c>
      <c r="H98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INDEX(LOADINGSPEEDDEF[SPEED],MATCH("LOADINGSPEEDDEF_"&amp;PROPERTIES[[#This Row],[LOADINGSPEED]],LOADINGSPEEDDEF[TYPE],0))</f>
        <v>20</v>
      </c>
      <c r="O98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4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8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1" t="b">
        <v>0</v>
      </c>
      <c r="AP988" s="45" t="b">
        <v>0</v>
      </c>
      <c r="AQ988" s="45" t="b">
        <v>0</v>
      </c>
      <c r="AR988" s="45">
        <v>0</v>
      </c>
      <c r="AS988" s="45" t="b">
        <v>0</v>
      </c>
      <c r="AT988" s="7" t="b">
        <v>0</v>
      </c>
      <c r="AU98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89" spans="1:47" x14ac:dyDescent="0.35">
      <c r="A989" s="2" t="s">
        <v>3409</v>
      </c>
      <c r="B989">
        <v>2051</v>
      </c>
      <c r="D98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89" s="37" t="str">
        <f>INDEX(CONTROL[ENGLISH],MATCH(PROPERTIES[[#This Row],[VEHIDCODE]],CONTROL[VEHIDCODE],0))</f>
        <v>ACME Corp. HS002</v>
      </c>
      <c r="F989" t="s">
        <v>692</v>
      </c>
      <c r="G989" s="37" t="str">
        <f>_xlfn.IFNA(INDEX(COUNTRIES[COUNTRY_LABEL],MATCH(PROPERTIES[[#This Row],[COUNTRY]],COUNTRIES[COUNTRY_DESCRIPTION],0)),"")</f>
        <v>NL</v>
      </c>
      <c r="H98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INDEX(LOADINGSPEEDDEF[SPEED],MATCH("LOADINGSPEEDDEF_"&amp;PROPERTIES[[#This Row],[LOADINGSPEED]],LOADINGSPEEDDEF[TYPE],0))</f>
        <v>20</v>
      </c>
      <c r="O98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4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89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1" t="b">
        <v>0</v>
      </c>
      <c r="AP989" s="45" t="b">
        <v>0</v>
      </c>
      <c r="AQ989" s="45" t="b">
        <v>0</v>
      </c>
      <c r="AR989" s="45">
        <v>0</v>
      </c>
      <c r="AS989" s="45" t="b">
        <v>0</v>
      </c>
      <c r="AT989" s="7" t="b">
        <v>0</v>
      </c>
      <c r="AU98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TPL_03D</v>
      </c>
    </row>
    <row r="990" spans="1:47" x14ac:dyDescent="0.35">
      <c r="A990" s="2" t="s">
        <v>3410</v>
      </c>
      <c r="B990">
        <v>2040</v>
      </c>
      <c r="D99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0" s="37" t="str">
        <f>INDEX(CONTROL[ENGLISH],MATCH(PROPERTIES[[#This Row],[VEHIDCODE]],CONTROL[VEHIDCODE],0))</f>
        <v>ACME Corp. V200D DMU</v>
      </c>
      <c r="F990" t="s">
        <v>692</v>
      </c>
      <c r="G990" s="37" t="str">
        <f>_xlfn.IFNA(INDEX(COUNTRIES[COUNTRY_LABEL],MATCH(PROPERTIES[[#This Row],[COUNTRY]],COUNTRIES[COUNTRY_DESCRIPTION],0)),"")</f>
        <v>NL</v>
      </c>
      <c r="H99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INDEX(LOADINGSPEEDDEF[SPEED],MATCH("LOADINGSPEEDDEF_"&amp;PROPERTIES[[#This Row],[LOADINGSPEED]],LOADINGSPEEDDEF[TYPE],0))</f>
        <v>20</v>
      </c>
      <c r="O99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4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990" s="6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990" s="2" t="str">
        <f>SUBSTITUTE(SUBSTITUTE(PROPERTIES[[#This Row],[PURCHASECOST_VALUE]], "PURCHASECOST_", ""), "_VALUE", "")</f>
        <v>DMU</v>
      </c>
      <c r="AO990" s="41" t="b">
        <v>0</v>
      </c>
      <c r="AP990" s="45" t="b">
        <v>0</v>
      </c>
      <c r="AQ990" s="45" t="b">
        <v>0</v>
      </c>
      <c r="AR990" s="45">
        <v>0</v>
      </c>
      <c r="AS990" s="45" t="b">
        <v>0</v>
      </c>
      <c r="AT990" s="7" t="b">
        <v>0</v>
      </c>
      <c r="AU99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TPL_02G</v>
      </c>
    </row>
    <row r="991" spans="1:47" x14ac:dyDescent="0.35">
      <c r="A991" s="2" t="s">
        <v>3411</v>
      </c>
      <c r="B991">
        <v>2045</v>
      </c>
      <c r="D99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1" s="37" t="str">
        <f>INDEX(CONTROL[ENGLISH],MATCH(PROPERTIES[[#This Row],[VEHIDCODE]],CONTROL[VEHIDCODE],0))</f>
        <v>ACME Corp. V200E EMU</v>
      </c>
      <c r="F991" t="s">
        <v>692</v>
      </c>
      <c r="G991" s="37" t="str">
        <f>_xlfn.IFNA(INDEX(COUNTRIES[COUNTRY_LABEL],MATCH(PROPERTIES[[#This Row],[COUNTRY]],COUNTRIES[COUNTRY_DESCRIPTION],0)),"")</f>
        <v>NL</v>
      </c>
      <c r="H99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INDEX(LOADINGSPEEDDEF[SPEED],MATCH("LOADINGSPEEDDEF_"&amp;PROPERTIES[[#This Row],[LOADINGSPEED]],LOADINGSPEEDDEF[TYPE],0))</f>
        <v>20</v>
      </c>
      <c r="O99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4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1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1" s="2" t="str">
        <f>SUBSTITUTE(SUBSTITUTE(PROPERTIES[[#This Row],[PURCHASECOST_VALUE]], "PURCHASECOST_", ""), "_VALUE", "")</f>
        <v>EMU</v>
      </c>
      <c r="AO991" s="41" t="b">
        <v>0</v>
      </c>
      <c r="AP991" s="45" t="b">
        <v>0</v>
      </c>
      <c r="AQ991" s="45" t="b">
        <v>0</v>
      </c>
      <c r="AR991" s="45">
        <v>0</v>
      </c>
      <c r="AS991" s="45" t="b">
        <v>0</v>
      </c>
      <c r="AT991" s="7" t="b">
        <v>0</v>
      </c>
      <c r="AU99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TPL_02G</v>
      </c>
    </row>
    <row r="992" spans="1:47" x14ac:dyDescent="0.35">
      <c r="A992" s="2" t="s">
        <v>3412</v>
      </c>
      <c r="B992">
        <v>2045</v>
      </c>
      <c r="D99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2" s="37" t="str">
        <f>INDEX(CONTROL[ENGLISH],MATCH(PROPERTIES[[#This Row],[VEHIDCODE]],CONTROL[VEHIDCODE],0))</f>
        <v>ACME Corp. DD CargoEMU</v>
      </c>
      <c r="F992" t="s">
        <v>692</v>
      </c>
      <c r="G992" s="37" t="str">
        <f>_xlfn.IFNA(INDEX(COUNTRIES[COUNTRY_LABEL],MATCH(PROPERTIES[[#This Row],[COUNTRY]],COUNTRIES[COUNTRY_DESCRIPTION],0)),"")</f>
        <v>NL</v>
      </c>
      <c r="H99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INDEX(LOADINGSPEEDDEF[SPEED],MATCH("LOADINGSPEEDDEF_"&amp;PROPERTIES[[#This Row],[LOADINGSPEED]],LOADINGSPEEDDEF[TYPE],0))</f>
        <v>20</v>
      </c>
      <c r="O992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4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2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2" s="2" t="str">
        <f>SUBSTITUTE(SUBSTITUTE(PROPERTIES[[#This Row],[PURCHASECOST_VALUE]], "PURCHASECOST_", ""), "_VALUE", "")</f>
        <v>EMU</v>
      </c>
      <c r="AO992" s="41" t="b">
        <v>0</v>
      </c>
      <c r="AP992" s="45" t="b">
        <v>0</v>
      </c>
      <c r="AQ992" s="45" t="b">
        <v>0</v>
      </c>
      <c r="AR992" s="45">
        <v>0</v>
      </c>
      <c r="AS992" s="45" t="b">
        <v>0</v>
      </c>
      <c r="AT992" s="7" t="b">
        <v>0</v>
      </c>
      <c r="AU99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TPL_42C</v>
      </c>
    </row>
    <row r="993" spans="1:47" x14ac:dyDescent="0.35">
      <c r="A993" s="2" t="s">
        <v>3413</v>
      </c>
      <c r="B993">
        <v>1960</v>
      </c>
      <c r="C993">
        <v>1998</v>
      </c>
      <c r="D99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3" s="37" t="str">
        <f>INDEX(CONTROL[ENGLISH],MATCH(PROPERTIES[[#This Row],[VEHIDCODE]],CONTROL[VEHIDCODE],0))</f>
        <v>VEB LKM V180 B'B'</v>
      </c>
      <c r="F993" t="s">
        <v>584</v>
      </c>
      <c r="G993" s="37" t="str">
        <f>_xlfn.IFNA(INDEX(COUNTRIES[COUNTRY_LABEL],MATCH(PROPERTIES[[#This Row],[COUNTRY]],COUNTRIES[COUNTRY_DESCRIPTION],0)),"")</f>
        <v>DE</v>
      </c>
      <c r="H99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INDEX(LOADINGSPEEDDEF[SPEED],MATCH("LOADINGSPEEDDEF_"&amp;PROPERTIES[[#This Row],[LOADINGSPEED]],LOADINGSPEEDDEF[TYPE],0))</f>
        <v>20</v>
      </c>
      <c r="O99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4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1" t="b">
        <v>0</v>
      </c>
      <c r="AP993" s="45" t="b">
        <v>0</v>
      </c>
      <c r="AQ993" s="45" t="b">
        <v>0</v>
      </c>
      <c r="AR993" s="45">
        <v>0</v>
      </c>
      <c r="AS993" s="45" t="b">
        <v>0</v>
      </c>
      <c r="AT993" s="7" t="b">
        <v>0</v>
      </c>
      <c r="AU99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4" spans="1:47" x14ac:dyDescent="0.35">
      <c r="A994" s="2" t="s">
        <v>3414</v>
      </c>
      <c r="B994">
        <v>2014</v>
      </c>
      <c r="D99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994" s="37" t="str">
        <f>INDEX(CONTROL[ENGLISH],MATCH(PROPERTIES[[#This Row],[VEHIDCODE]],CONTROL[VEHIDCODE],0))</f>
        <v>PESA 43WE 'DART'</v>
      </c>
      <c r="F994" t="s">
        <v>705</v>
      </c>
      <c r="G994" s="37" t="str">
        <f>_xlfn.IFNA(INDEX(COUNTRIES[COUNTRY_LABEL],MATCH(PROPERTIES[[#This Row],[COUNTRY]],COUNTRIES[COUNTRY_DESCRIPTION],0)),"")</f>
        <v>PL</v>
      </c>
      <c r="H99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INDEX(LOADINGSPEEDDEF[SPEED],MATCH("LOADINGSPEEDDEF_"&amp;PROPERTIES[[#This Row],[LOADINGSPEED]],LOADINGSPEEDDEF[TYPE],0))</f>
        <v>60</v>
      </c>
      <c r="O99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4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994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994" s="2" t="str">
        <f>SUBSTITUTE(SUBSTITUTE(PROPERTIES[[#This Row],[PURCHASECOST_VALUE]], "PURCHASECOST_", ""), "_VALUE", "")</f>
        <v>EMU</v>
      </c>
      <c r="AO994" s="41" t="b">
        <v>0</v>
      </c>
      <c r="AP994" s="45" t="b">
        <v>0</v>
      </c>
      <c r="AQ994" s="45" t="b">
        <v>0</v>
      </c>
      <c r="AR994" s="45">
        <v>0</v>
      </c>
      <c r="AS994" s="45" t="b">
        <v>0</v>
      </c>
      <c r="AT994" s="7" t="b">
        <v>0</v>
      </c>
      <c r="AU99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995" spans="1:47" x14ac:dyDescent="0.35">
      <c r="A995" s="2" t="s">
        <v>3415</v>
      </c>
      <c r="B995">
        <v>1952</v>
      </c>
      <c r="C995">
        <v>2030</v>
      </c>
      <c r="D99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5" s="37" t="str">
        <f>INDEX(CONTROL[ENGLISH],MATCH(PROPERTIES[[#This Row],[VEHIDCODE]],CONTROL[VEHIDCODE],0))</f>
        <v>LEW EL2</v>
      </c>
      <c r="F995" t="s">
        <v>584</v>
      </c>
      <c r="G995" s="37" t="str">
        <f>_xlfn.IFNA(INDEX(COUNTRIES[COUNTRY_LABEL],MATCH(PROPERTIES[[#This Row],[COUNTRY]],COUNTRIES[COUNTRY_DESCRIPTION],0)),"")</f>
        <v>DE</v>
      </c>
      <c r="H99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INDEX(LOADINGSPEEDDEF[SPEED],MATCH("LOADINGSPEEDDEF_"&amp;PROPERTIES[[#This Row],[LOADINGSPEED]],LOADINGSPEEDDEF[TYPE],0))</f>
        <v>20</v>
      </c>
      <c r="O99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4">
        <v>0</v>
      </c>
      <c r="AF995" s="6">
        <v>0</v>
      </c>
      <c r="AG995" t="s">
        <v>1940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9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1" t="b">
        <v>0</v>
      </c>
      <c r="AP995" s="45" t="b">
        <v>0</v>
      </c>
      <c r="AQ995" s="45" t="b">
        <v>0</v>
      </c>
      <c r="AR995" s="45">
        <v>0</v>
      </c>
      <c r="AS995" s="45" t="b">
        <v>0</v>
      </c>
      <c r="AT995" s="7" t="b">
        <v>0</v>
      </c>
      <c r="AU99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6" spans="1:47" x14ac:dyDescent="0.35">
      <c r="A996" s="2" t="s">
        <v>3416</v>
      </c>
      <c r="B996">
        <v>1971</v>
      </c>
      <c r="D99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6" s="37" t="str">
        <f>INDEX(CONTROL[ENGLISH],MATCH(PROPERTIES[[#This Row],[VEHIDCODE]],CONTROL[VEHIDCODE],0))</f>
        <v>Pafawag 201E</v>
      </c>
      <c r="F996" t="s">
        <v>705</v>
      </c>
      <c r="G996" s="37" t="str">
        <f>_xlfn.IFNA(INDEX(COUNTRIES[COUNTRY_LABEL],MATCH(PROPERTIES[[#This Row],[COUNTRY]],COUNTRIES[COUNTRY_DESCRIPTION],0)),"")</f>
        <v>PL</v>
      </c>
      <c r="H99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INDEX(LOADINGSPEEDDEF[SPEED],MATCH("LOADINGSPEEDDEF_"&amp;PROPERTIES[[#This Row],[LOADINGSPEED]],LOADINGSPEEDDEF[TYPE],0))</f>
        <v>20</v>
      </c>
      <c r="O99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4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99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1" t="b">
        <v>0</v>
      </c>
      <c r="AP996" s="45" t="b">
        <v>0</v>
      </c>
      <c r="AQ996" s="45" t="b">
        <v>0</v>
      </c>
      <c r="AR996" s="45">
        <v>0</v>
      </c>
      <c r="AS996" s="45" t="b">
        <v>0</v>
      </c>
      <c r="AT996" s="7" t="b">
        <v>0</v>
      </c>
      <c r="AU99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7" spans="1:47" x14ac:dyDescent="0.35">
      <c r="A997" s="2" t="s">
        <v>3417</v>
      </c>
      <c r="B997">
        <v>1954</v>
      </c>
      <c r="C997">
        <v>2030</v>
      </c>
      <c r="D99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7" s="37" t="str">
        <f>INDEX(CONTROL[ENGLISH],MATCH(PROPERTIES[[#This Row],[VEHIDCODE]],CONTROL[VEHIDCODE],0))</f>
        <v>NOHAB AA16</v>
      </c>
      <c r="F997" t="s">
        <v>722</v>
      </c>
      <c r="G997" s="37" t="str">
        <f>_xlfn.IFNA(INDEX(COUNTRIES[COUNTRY_LABEL],MATCH(PROPERTIES[[#This Row],[COUNTRY]],COUNTRIES[COUNTRY_DESCRIPTION],0)),"")</f>
        <v>SE</v>
      </c>
      <c r="H99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INDEX(LOADINGSPEEDDEF[SPEED],MATCH("LOADINGSPEEDDEF_"&amp;PROPERTIES[[#This Row],[LOADINGSPEED]],LOADINGSPEEDDEF[TYPE],0))</f>
        <v>20</v>
      </c>
      <c r="O99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4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1" t="b">
        <v>0</v>
      </c>
      <c r="AP997" s="45" t="b">
        <v>0</v>
      </c>
      <c r="AQ997" s="45" t="b">
        <v>0</v>
      </c>
      <c r="AR997" s="45">
        <v>0</v>
      </c>
      <c r="AS997" s="45" t="b">
        <v>0</v>
      </c>
      <c r="AT997" s="7" t="b">
        <v>0</v>
      </c>
      <c r="AU99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8" spans="1:47" x14ac:dyDescent="0.35">
      <c r="A998" s="2" t="s">
        <v>3418</v>
      </c>
      <c r="B998">
        <v>1966</v>
      </c>
      <c r="D99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8" s="37" t="str">
        <f>INDEX(CONTROL[ENGLISH],MATCH(PROPERTIES[[#This Row],[VEHIDCODE]],CONTROL[VEHIDCODE],0))</f>
        <v>LEW V100</v>
      </c>
      <c r="F998" t="s">
        <v>584</v>
      </c>
      <c r="G998" s="37" t="str">
        <f>_xlfn.IFNA(INDEX(COUNTRIES[COUNTRY_LABEL],MATCH(PROPERTIES[[#This Row],[COUNTRY]],COUNTRIES[COUNTRY_DESCRIPTION],0)),"")</f>
        <v>DE</v>
      </c>
      <c r="H99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INDEX(LOADINGSPEEDDEF[SPEED],MATCH("LOADINGSPEEDDEF_"&amp;PROPERTIES[[#This Row],[LOADINGSPEED]],LOADINGSPEEDDEF[TYPE],0))</f>
        <v>20</v>
      </c>
      <c r="O99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4">
        <v>0</v>
      </c>
      <c r="AF998" s="6">
        <v>0</v>
      </c>
      <c r="AG998" t="s">
        <v>1940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1" t="b">
        <v>0</v>
      </c>
      <c r="AP998" s="45" t="b">
        <v>0</v>
      </c>
      <c r="AQ998" s="45" t="b">
        <v>0</v>
      </c>
      <c r="AR998" s="45">
        <v>0</v>
      </c>
      <c r="AS998" s="45" t="b">
        <v>0</v>
      </c>
      <c r="AT998" s="7" t="b">
        <v>0</v>
      </c>
      <c r="AU99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999" spans="1:47" x14ac:dyDescent="0.35">
      <c r="A999" s="2" t="s">
        <v>3419</v>
      </c>
      <c r="B999">
        <v>1964</v>
      </c>
      <c r="D99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999" s="37" t="str">
        <f>INDEX(CONTROL[ENGLISH],MATCH(PROPERTIES[[#This Row],[VEHIDCODE]],CONTROL[VEHIDCODE],0))</f>
        <v>Fablok 6D</v>
      </c>
      <c r="F999" t="s">
        <v>705</v>
      </c>
      <c r="G999" s="37" t="str">
        <f>_xlfn.IFNA(INDEX(COUNTRIES[COUNTRY_LABEL],MATCH(PROPERTIES[[#This Row],[COUNTRY]],COUNTRIES[COUNTRY_DESCRIPTION],0)),"")</f>
        <v>PL</v>
      </c>
      <c r="H99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INDEX(LOADINGSPEEDDEF[SPEED],MATCH("LOADINGSPEEDDEF_"&amp;PROPERTIES[[#This Row],[LOADINGSPEED]],LOADINGSPEEDDEF[TYPE],0))</f>
        <v>20</v>
      </c>
      <c r="O99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4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99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1" t="b">
        <v>0</v>
      </c>
      <c r="AP999" s="45" t="b">
        <v>0</v>
      </c>
      <c r="AQ999" s="45" t="b">
        <v>0</v>
      </c>
      <c r="AR999" s="45">
        <v>0</v>
      </c>
      <c r="AS999" s="45" t="b">
        <v>0</v>
      </c>
      <c r="AT999" s="7" t="b">
        <v>0</v>
      </c>
      <c r="AU99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0" spans="1:47" x14ac:dyDescent="0.35">
      <c r="A1000" s="2" t="s">
        <v>3420</v>
      </c>
      <c r="B1000">
        <v>1970</v>
      </c>
      <c r="D100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0" s="37" t="str">
        <f>INDEX(CONTROL[ENGLISH],MATCH(PROPERTIES[[#This Row],[VEHIDCODE]],CONTROL[VEHIDCODE],0))</f>
        <v>HCP 301D</v>
      </c>
      <c r="F1000" t="s">
        <v>705</v>
      </c>
      <c r="G1000" s="37" t="str">
        <f>_xlfn.IFNA(INDEX(COUNTRIES[COUNTRY_LABEL],MATCH(PROPERTIES[[#This Row],[COUNTRY]],COUNTRIES[COUNTRY_DESCRIPTION],0)),"")</f>
        <v>PL</v>
      </c>
      <c r="H100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INDEX(LOADINGSPEEDDEF[SPEED],MATCH("LOADINGSPEEDDEF_"&amp;PROPERTIES[[#This Row],[LOADINGSPEED]],LOADINGSPEEDDEF[TYPE],0))</f>
        <v>20</v>
      </c>
      <c r="O100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4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0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1" t="b">
        <v>0</v>
      </c>
      <c r="AP1000" s="45" t="b">
        <v>0</v>
      </c>
      <c r="AQ1000" s="45" t="b">
        <v>0</v>
      </c>
      <c r="AR1000" s="45">
        <v>0</v>
      </c>
      <c r="AS1000" s="45" t="b">
        <v>0</v>
      </c>
      <c r="AT1000" s="7" t="b">
        <v>0</v>
      </c>
      <c r="AU100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1" spans="1:47" x14ac:dyDescent="0.35">
      <c r="A1001" s="2" t="s">
        <v>3421</v>
      </c>
      <c r="B1001">
        <v>2004</v>
      </c>
      <c r="D100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01" s="37" t="str">
        <f>INDEX(CONTROL[ENGLISH],MATCH(PROPERTIES[[#This Row],[VEHIDCODE]],CONTROL[VEHIDCODE],0))</f>
        <v>Stadler 'Flirt' PowerPack DMU</v>
      </c>
      <c r="F1001" t="s">
        <v>570</v>
      </c>
      <c r="G1001" s="37" t="str">
        <f>_xlfn.IFNA(INDEX(COUNTRIES[COUNTRY_LABEL],MATCH(PROPERTIES[[#This Row],[COUNTRY]],COUNTRIES[COUNTRY_DESCRIPTION],0)),"")</f>
        <v>CH</v>
      </c>
      <c r="H100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INDEX(LOADINGSPEEDDEF[SPEED],MATCH("LOADINGSPEEDDEF_"&amp;PROPERTIES[[#This Row],[LOADINGSPEED]],LOADINGSPEEDDEF[TYPE],0))</f>
        <v>60</v>
      </c>
      <c r="O100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4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"PURCHASECOST_"&amp;INDEX(VEHICLE_ID_RANGES[COST_VALUE_TYPE],MATCH(INDEX(CONTROL[VEHID_ID_CATEGORY],MATCH(PROPERTIES[[#This Row],[VEHIDCODE]],CONTROL[VEHIDCODE],0)),VEHICLE_ID_RANGES[ID Type],0))&amp;"_VALUE"</f>
        <v>PURCHASECOST_DMU_VALUE</v>
      </c>
      <c r="AM1001" t="str">
        <f>"RUNNINGCOST_"&amp;INDEX(VEHICLE_ID_RANGES[COST_VALUE_TYPE],MATCH(INDEX(CONTROL[VEHID_ID_CATEGORY],MATCH(PROPERTIES[[#This Row],[VEHIDCODE]],CONTROL[VEHIDCODE],0)),VEHICLE_ID_RANGES[ID Type],0))&amp;"_VALUE"</f>
        <v>RUNNINGCOST_DMU_VALUE</v>
      </c>
      <c r="AN1001" s="2" t="str">
        <f>SUBSTITUTE(SUBSTITUTE(PROPERTIES[[#This Row],[PURCHASECOST_VALUE]], "PURCHASECOST_", ""), "_VALUE", "")</f>
        <v>DMU</v>
      </c>
      <c r="AO1001" s="41" t="b">
        <v>0</v>
      </c>
      <c r="AP1001" s="45" t="b">
        <v>0</v>
      </c>
      <c r="AQ1001" s="45" t="b">
        <v>0</v>
      </c>
      <c r="AR1001" s="45">
        <v>0</v>
      </c>
      <c r="AS1001" s="45" t="b">
        <v>0</v>
      </c>
      <c r="AT1001" s="7" t="b">
        <v>0</v>
      </c>
      <c r="AU100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TPL_02E</v>
      </c>
    </row>
    <row r="1002" spans="1:47" x14ac:dyDescent="0.35">
      <c r="A1002" s="2" t="s">
        <v>3422</v>
      </c>
      <c r="B1002">
        <v>1960</v>
      </c>
      <c r="D100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02" s="37" t="str">
        <f>INDEX(CONTROL[ENGLISH],MATCH(PROPERTIES[[#This Row],[VEHIDCODE]],CONTROL[VEHIDCODE],0))</f>
        <v>JNR Container Bullet Train Concept</v>
      </c>
      <c r="F1002" t="s">
        <v>640</v>
      </c>
      <c r="G1002" s="37" t="str">
        <f>_xlfn.IFNA(INDEX(COUNTRIES[COUNTRY_LABEL],MATCH(PROPERTIES[[#This Row],[COUNTRY]],COUNTRIES[COUNTRY_DESCRIPTION],0)),"")</f>
        <v>JP</v>
      </c>
      <c r="H100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INDEX(LOADINGSPEEDDEF[SPEED],MATCH("LOADINGSPEEDDEF_"&amp;PROPERTIES[[#This Row],[LOADINGSPEED]],LOADINGSPEEDDEF[TYPE],0))</f>
        <v>20</v>
      </c>
      <c r="O100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4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0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02" s="2" t="str">
        <f>SUBSTITUTE(SUBSTITUTE(PROPERTIES[[#This Row],[PURCHASECOST_VALUE]], "PURCHASECOST_", ""), "_VALUE", "")</f>
        <v>EMU</v>
      </c>
      <c r="AO1002" s="41" t="b">
        <v>0</v>
      </c>
      <c r="AP1002" s="45" t="b">
        <v>0</v>
      </c>
      <c r="AQ1002" s="45" t="b">
        <v>0</v>
      </c>
      <c r="AR1002" s="45">
        <v>0</v>
      </c>
      <c r="AS1002" s="45" t="b">
        <v>0</v>
      </c>
      <c r="AT1002" s="7" t="b">
        <v>0</v>
      </c>
      <c r="AU100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TPL_42B</v>
      </c>
    </row>
    <row r="1003" spans="1:47" x14ac:dyDescent="0.35">
      <c r="A1003" s="2" t="s">
        <v>3423</v>
      </c>
      <c r="B1003">
        <v>1998</v>
      </c>
      <c r="D100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3" s="37" t="str">
        <f>INDEX(CONTROL[ENGLISH],MATCH(PROPERTIES[[#This Row],[VEHIDCODE]],CONTROL[VEHIDCODE],0))</f>
        <v>Hitachi WAG-6B/C</v>
      </c>
      <c r="F1003" t="s">
        <v>631</v>
      </c>
      <c r="G1003" s="37" t="str">
        <f>_xlfn.IFNA(INDEX(COUNTRIES[COUNTRY_LABEL],MATCH(PROPERTIES[[#This Row],[COUNTRY]],COUNTRIES[COUNTRY_DESCRIPTION],0)),"")</f>
        <v>IN</v>
      </c>
      <c r="H100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INDEX(LOADINGSPEEDDEF[SPEED],MATCH("LOADINGSPEEDDEF_"&amp;PROPERTIES[[#This Row],[LOADINGSPEED]],LOADINGSPEEDDEF[TYPE],0))</f>
        <v>20</v>
      </c>
      <c r="O1003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4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1" t="b">
        <v>0</v>
      </c>
      <c r="AP1003" s="45" t="b">
        <v>0</v>
      </c>
      <c r="AQ1003" s="45" t="b">
        <v>0</v>
      </c>
      <c r="AR1003" s="45">
        <v>0</v>
      </c>
      <c r="AS1003" s="45" t="b">
        <v>0</v>
      </c>
      <c r="AT1003" s="7" t="b">
        <v>0</v>
      </c>
      <c r="AU100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4" spans="1:47" x14ac:dyDescent="0.35">
      <c r="A1004" s="2" t="s">
        <v>3424</v>
      </c>
      <c r="B1004">
        <v>1985</v>
      </c>
      <c r="D100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4" s="37" t="str">
        <f>INDEX(CONTROL[ENGLISH],MATCH(PROPERTIES[[#This Row],[VEHIDCODE]],CONTROL[VEHIDCODE],0))</f>
        <v>Toshiba 10E</v>
      </c>
      <c r="F1004" t="s">
        <v>771</v>
      </c>
      <c r="G1004" s="37" t="str">
        <f>_xlfn.IFNA(INDEX(COUNTRIES[COUNTRY_LABEL],MATCH(PROPERTIES[[#This Row],[COUNTRY]],COUNTRIES[COUNTRY_DESCRIPTION],0)),"")</f>
        <v>ZA</v>
      </c>
      <c r="H100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INDEX(LOADINGSPEEDDEF[SPEED],MATCH("LOADINGSPEEDDEF_"&amp;PROPERTIES[[#This Row],[LOADINGSPEED]],LOADINGSPEEDDEF[TYPE],0))</f>
        <v>20</v>
      </c>
      <c r="O1004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4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1" t="b">
        <v>0</v>
      </c>
      <c r="AP1004" s="45" t="b">
        <v>0</v>
      </c>
      <c r="AQ1004" s="45" t="b">
        <v>0</v>
      </c>
      <c r="AR1004" s="45">
        <v>0</v>
      </c>
      <c r="AS1004" s="45" t="b">
        <v>0</v>
      </c>
      <c r="AT1004" s="7" t="b">
        <v>0</v>
      </c>
      <c r="AU100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5" spans="1:47" x14ac:dyDescent="0.35">
      <c r="A1005" s="2" t="s">
        <v>3425</v>
      </c>
      <c r="B1005">
        <v>1978</v>
      </c>
      <c r="C1005">
        <v>1998</v>
      </c>
      <c r="D100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5" s="37" t="str">
        <f>INDEX(CONTROL[ENGLISH],MATCH(PROPERTIES[[#This Row],[VEHIDCODE]],CONTROL[VEHIDCODE],0))</f>
        <v>GEC 9E</v>
      </c>
      <c r="F1005" t="s">
        <v>771</v>
      </c>
      <c r="G1005" s="37" t="str">
        <f>_xlfn.IFNA(INDEX(COUNTRIES[COUNTRY_LABEL],MATCH(PROPERTIES[[#This Row],[COUNTRY]],COUNTRIES[COUNTRY_DESCRIPTION],0)),"")</f>
        <v>ZA</v>
      </c>
      <c r="H100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INDEX(LOADINGSPEEDDEF[SPEED],MATCH("LOADINGSPEEDDEF_"&amp;PROPERTIES[[#This Row],[LOADINGSPEED]],LOADINGSPEEDDEF[TYPE],0))</f>
        <v>20</v>
      </c>
      <c r="O100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4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1" t="b">
        <v>0</v>
      </c>
      <c r="AP1005" s="45" t="b">
        <v>0</v>
      </c>
      <c r="AQ1005" s="45" t="b">
        <v>0</v>
      </c>
      <c r="AR1005" s="45">
        <v>0</v>
      </c>
      <c r="AS1005" s="45" t="b">
        <v>0</v>
      </c>
      <c r="AT1005" s="7" t="b">
        <v>0</v>
      </c>
      <c r="AU100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6" spans="1:47" x14ac:dyDescent="0.35">
      <c r="A1006" s="2" t="s">
        <v>3426</v>
      </c>
      <c r="B1006">
        <v>1977</v>
      </c>
      <c r="C1006">
        <v>1998</v>
      </c>
      <c r="D100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6" s="37" t="str">
        <f>INDEX(CONTROL[ENGLISH],MATCH(PROPERTIES[[#This Row],[VEHIDCODE]],CONTROL[VEHIDCODE],0))</f>
        <v>Hitachi E1100</v>
      </c>
      <c r="F1006" t="s">
        <v>663</v>
      </c>
      <c r="G1006" s="37" t="str">
        <f>_xlfn.IFNA(INDEX(COUNTRIES[COUNTRY_LABEL],MATCH(PROPERTIES[[#This Row],[COUNTRY]],COUNTRIES[COUNTRY_DESCRIPTION],0)),"")</f>
        <v>MA</v>
      </c>
      <c r="H100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INDEX(LOADINGSPEEDDEF[SPEED],MATCH("LOADINGSPEEDDEF_"&amp;PROPERTIES[[#This Row],[LOADINGSPEED]],LOADINGSPEEDDEF[TYPE],0))</f>
        <v>20</v>
      </c>
      <c r="O100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4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1" t="b">
        <v>0</v>
      </c>
      <c r="AP1006" s="45" t="b">
        <v>0</v>
      </c>
      <c r="AQ1006" s="45" t="b">
        <v>0</v>
      </c>
      <c r="AR1006" s="45">
        <v>0</v>
      </c>
      <c r="AS1006" s="45" t="b">
        <v>0</v>
      </c>
      <c r="AT1006" s="7" t="b">
        <v>0</v>
      </c>
      <c r="AU100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7" spans="1:47" x14ac:dyDescent="0.35">
      <c r="A1007" s="2" t="s">
        <v>3427</v>
      </c>
      <c r="B1007">
        <v>1970</v>
      </c>
      <c r="C1007">
        <v>1994</v>
      </c>
      <c r="D100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7" s="37" t="str">
        <f>INDEX(CONTROL[ENGLISH],MATCH(PROPERTIES[[#This Row],[VEHIDCODE]],CONTROL[VEHIDCODE],0))</f>
        <v>RDSO/CLW WAM-4</v>
      </c>
      <c r="F1007" t="s">
        <v>631</v>
      </c>
      <c r="G1007" s="37" t="str">
        <f>_xlfn.IFNA(INDEX(COUNTRIES[COUNTRY_LABEL],MATCH(PROPERTIES[[#This Row],[COUNTRY]],COUNTRIES[COUNTRY_DESCRIPTION],0)),"")</f>
        <v>IN</v>
      </c>
      <c r="H100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INDEX(LOADINGSPEEDDEF[SPEED],MATCH("LOADINGSPEEDDEF_"&amp;PROPERTIES[[#This Row],[LOADINGSPEED]],LOADINGSPEEDDEF[TYPE],0))</f>
        <v>20</v>
      </c>
      <c r="O100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4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7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1" t="b">
        <v>0</v>
      </c>
      <c r="AP1007" s="45" t="b">
        <v>0</v>
      </c>
      <c r="AQ1007" s="45" t="b">
        <v>0</v>
      </c>
      <c r="AR1007" s="45">
        <v>0</v>
      </c>
      <c r="AS1007" s="45" t="b">
        <v>0</v>
      </c>
      <c r="AT1007" s="7" t="b">
        <v>0</v>
      </c>
      <c r="AU100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8" spans="1:47" x14ac:dyDescent="0.35">
      <c r="A1008" s="2" t="s">
        <v>3428</v>
      </c>
      <c r="B1008">
        <v>1960</v>
      </c>
      <c r="C1008">
        <v>1980</v>
      </c>
      <c r="D100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8" s="37" t="str">
        <f>INDEX(CONTROL[ENGLISH],MATCH(PROPERTIES[[#This Row],[VEHIDCODE]],CONTROL[VEHIDCODE],0))</f>
        <v>Groupement 50 Hz WAM 1</v>
      </c>
      <c r="F1008" t="s">
        <v>631</v>
      </c>
      <c r="G1008" s="37" t="str">
        <f>_xlfn.IFNA(INDEX(COUNTRIES[COUNTRY_LABEL],MATCH(PROPERTIES[[#This Row],[COUNTRY]],COUNTRIES[COUNTRY_DESCRIPTION],0)),"")</f>
        <v>IN</v>
      </c>
      <c r="H100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INDEX(LOADINGSPEEDDEF[SPEED],MATCH("LOADINGSPEEDDEF_"&amp;PROPERTIES[[#This Row],[LOADINGSPEED]],LOADINGSPEEDDEF[TYPE],0))</f>
        <v>20</v>
      </c>
      <c r="O100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4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08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1" t="b">
        <v>0</v>
      </c>
      <c r="AP1008" s="45" t="b">
        <v>0</v>
      </c>
      <c r="AQ1008" s="45" t="b">
        <v>0</v>
      </c>
      <c r="AR1008" s="45">
        <v>0</v>
      </c>
      <c r="AS1008" s="45" t="b">
        <v>0</v>
      </c>
      <c r="AT1008" s="7" t="b">
        <v>0</v>
      </c>
      <c r="AU100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09" spans="1:47" x14ac:dyDescent="0.35">
      <c r="A1009" s="2" t="s">
        <v>3429</v>
      </c>
      <c r="B1009">
        <v>1953</v>
      </c>
      <c r="C1009">
        <v>1975</v>
      </c>
      <c r="D100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09" s="37" t="str">
        <f>INDEX(CONTROL[ENGLISH],MATCH(PROPERTIES[[#This Row],[VEHIDCODE]],CONTROL[VEHIDCODE],0))</f>
        <v>Baldwin-Lima-Hamilton RF-615-E</v>
      </c>
      <c r="F1009" t="s">
        <v>538</v>
      </c>
      <c r="G1009" s="37" t="str">
        <f>_xlfn.IFNA(INDEX(COUNTRIES[COUNTRY_LABEL],MATCH(PROPERTIES[[#This Row],[COUNTRY]],COUNTRIES[COUNTRY_DESCRIPTION],0)),"")</f>
        <v>AR</v>
      </c>
      <c r="H100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INDEX(LOADINGSPEEDDEF[SPEED],MATCH("LOADINGSPEEDDEF_"&amp;PROPERTIES[[#This Row],[LOADINGSPEED]],LOADINGSPEEDDEF[TYPE],0))</f>
        <v>20</v>
      </c>
      <c r="O100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4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09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1" t="b">
        <v>0</v>
      </c>
      <c r="AP1009" s="45" t="b">
        <v>0</v>
      </c>
      <c r="AQ1009" s="45" t="b">
        <v>0</v>
      </c>
      <c r="AR1009" s="45">
        <v>0</v>
      </c>
      <c r="AS1009" s="45" t="b">
        <v>0</v>
      </c>
      <c r="AT1009" s="7" t="b">
        <v>0</v>
      </c>
      <c r="AU100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0" spans="1:47" x14ac:dyDescent="0.35">
      <c r="A1010" s="2" t="s">
        <v>3430</v>
      </c>
      <c r="B1010">
        <v>1955</v>
      </c>
      <c r="D101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0" s="37" t="str">
        <f>INDEX(CONTROL[ENGLISH],MATCH(PROPERTIES[[#This Row],[VEHIDCODE]],CONTROL[VEHIDCODE],0))</f>
        <v>EE/Dick, Kerr &amp; Co/Vulcan Foundry DE2</v>
      </c>
      <c r="F1010" t="s">
        <v>773</v>
      </c>
      <c r="G1010" s="37" t="str">
        <f>_xlfn.IFNA(INDEX(COUNTRIES[COUNTRY_LABEL],MATCH(PROPERTIES[[#This Row],[COUNTRY]],COUNTRIES[COUNTRY_DESCRIPTION],0)),"")</f>
        <v>ZW</v>
      </c>
      <c r="H101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INDEX(LOADINGSPEEDDEF[SPEED],MATCH("LOADINGSPEEDDEF_"&amp;PROPERTIES[[#This Row],[LOADINGSPEED]],LOADINGSPEEDDEF[TYPE],0))</f>
        <v>20</v>
      </c>
      <c r="O101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4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0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1" t="b">
        <v>0</v>
      </c>
      <c r="AP1010" s="45" t="b">
        <v>0</v>
      </c>
      <c r="AQ1010" s="45" t="b">
        <v>0</v>
      </c>
      <c r="AR1010" s="45">
        <v>0</v>
      </c>
      <c r="AS1010" s="45" t="b">
        <v>0</v>
      </c>
      <c r="AT1010" s="7" t="b">
        <v>0</v>
      </c>
      <c r="AU101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1" spans="1:47" x14ac:dyDescent="0.35">
      <c r="A1011" t="s">
        <v>3479</v>
      </c>
      <c r="B1011">
        <v>2008</v>
      </c>
      <c r="D101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1" s="37" t="str">
        <f>INDEX(CONTROL[ENGLISH],MATCH(PROPERTIES[[#This Row],[VEHIDCODE]],CONTROL[VEHIDCODE],0))</f>
        <v>Ingeteam TD2000 series</v>
      </c>
      <c r="F1011" t="s">
        <v>595</v>
      </c>
      <c r="G1011" s="37" t="str">
        <f>_xlfn.IFNA(INDEX(COUNTRIES[COUNTRY_LABEL],MATCH(PROPERTIES[[#This Row],[COUNTRY]],COUNTRIES[COUNTRY_DESCRIPTION],0)),"")</f>
        <v>ES</v>
      </c>
      <c r="H101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INDEX(LOADINGSPEEDDEF[SPEED],MATCH("LOADINGSPEEDDEF_"&amp;PROPERTIES[[#This Row],[LOADINGSPEED]],LOADINGSPEEDDEF[TYPE],0))</f>
        <v>20</v>
      </c>
      <c r="O1011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4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1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1" t="b">
        <v>0</v>
      </c>
      <c r="AP1011" s="45" t="b">
        <v>0</v>
      </c>
      <c r="AQ1011" s="45" t="b">
        <v>0</v>
      </c>
      <c r="AR1011" s="45">
        <v>0</v>
      </c>
      <c r="AS1011" s="45" t="b">
        <v>0</v>
      </c>
      <c r="AT1011" s="7" t="b">
        <v>0</v>
      </c>
      <c r="AU101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2" spans="1:47" x14ac:dyDescent="0.35">
      <c r="A1012" s="2" t="s">
        <v>3471</v>
      </c>
      <c r="B1012">
        <v>1952</v>
      </c>
      <c r="C1012">
        <v>1961</v>
      </c>
      <c r="D101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2" s="37" t="str">
        <f>INDEX(CONTROL[ENGLISH],MATCH(PROPERTIES[[#This Row],[VEHIDCODE]],CONTROL[VEHIDCODE],0))</f>
        <v>Tulloch 0-6-0DM 'W' Class</v>
      </c>
      <c r="F1012" t="s">
        <v>541</v>
      </c>
      <c r="G1012" s="37" t="str">
        <f>_xlfn.IFNA(INDEX(COUNTRIES[COUNTRY_LABEL],MATCH(PROPERTIES[[#This Row],[COUNTRY]],COUNTRIES[COUNTRY_DESCRIPTION],0)),"")</f>
        <v>AU</v>
      </c>
      <c r="H101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INDEX(LOADINGSPEEDDEF[SPEED],MATCH("LOADINGSPEEDDEF_"&amp;PROPERTIES[[#This Row],[LOADINGSPEED]],LOADINGSPEEDDEF[TYPE],0))</f>
        <v>20</v>
      </c>
      <c r="O101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4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2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1" t="b">
        <v>0</v>
      </c>
      <c r="AP1012" s="45" t="b">
        <v>0</v>
      </c>
      <c r="AQ1012" s="45" t="b">
        <v>0</v>
      </c>
      <c r="AR1012" s="45">
        <v>0</v>
      </c>
      <c r="AS1012" s="45" t="b">
        <v>0</v>
      </c>
      <c r="AT1012" s="7" t="b">
        <v>0</v>
      </c>
      <c r="AU101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3" spans="1:47" x14ac:dyDescent="0.35">
      <c r="A1013" s="2" t="s">
        <v>3483</v>
      </c>
      <c r="B1013">
        <v>1927</v>
      </c>
      <c r="C1013">
        <v>2015</v>
      </c>
      <c r="D101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3" s="37" t="str">
        <f>INDEX(CONTROL[ENGLISH],MATCH(PROPERTIES[[#This Row],[VEHIDCODE]],CONTROL[VEHIDCODE],0))</f>
        <v>GE 289A Boxcab</v>
      </c>
      <c r="F1013" t="s">
        <v>573</v>
      </c>
      <c r="G1013" s="37" t="str">
        <f>_xlfn.IFNA(INDEX(COUNTRIES[COUNTRY_LABEL],MATCH(PROPERTIES[[#This Row],[COUNTRY]],COUNTRIES[COUNTRY_DESCRIPTION],0)),"")</f>
        <v>CL</v>
      </c>
      <c r="H101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INDEX(LOADINGSPEEDDEF[SPEED],MATCH("LOADINGSPEEDDEF_"&amp;PROPERTIES[[#This Row],[LOADINGSPEED]],LOADINGSPEEDDEF[TYPE],0))</f>
        <v>20</v>
      </c>
      <c r="O101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4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3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1" t="b">
        <v>0</v>
      </c>
      <c r="AP1013" s="45" t="b">
        <v>0</v>
      </c>
      <c r="AQ1013" s="45" t="b">
        <v>0</v>
      </c>
      <c r="AR1013" s="45">
        <v>0</v>
      </c>
      <c r="AS1013" s="45" t="b">
        <v>0</v>
      </c>
      <c r="AT1013" s="7" t="b">
        <v>0</v>
      </c>
      <c r="AU101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4" spans="1:47" x14ac:dyDescent="0.35">
      <c r="A1014" s="2" t="s">
        <v>3486</v>
      </c>
      <c r="B1014">
        <v>1984</v>
      </c>
      <c r="D101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4" s="37" t="str">
        <f>INDEX(CONTROL[ENGLISH],MATCH(PROPERTIES[[#This Row],[VEHIDCODE]],CONTROL[VEHIDCODE],0))</f>
        <v>Alsthom EC 386</v>
      </c>
      <c r="F1014" t="s">
        <v>573</v>
      </c>
      <c r="G1014" s="37" t="str">
        <f>_xlfn.IFNA(INDEX(COUNTRIES[COUNTRY_LABEL],MATCH(PROPERTIES[[#This Row],[COUNTRY]],COUNTRIES[COUNTRY_DESCRIPTION],0)),"")</f>
        <v>CL</v>
      </c>
      <c r="H101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INDEX(LOADINGSPEEDDEF[SPEED],MATCH("LOADINGSPEEDDEF_"&amp;PROPERTIES[[#This Row],[LOADINGSPEED]],LOADINGSPEEDDEF[TYPE],0))</f>
        <v>20</v>
      </c>
      <c r="O101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4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1" t="b">
        <v>0</v>
      </c>
      <c r="AP1014" s="45" t="b">
        <v>0</v>
      </c>
      <c r="AQ1014" s="45" t="b">
        <v>0</v>
      </c>
      <c r="AR1014" s="45">
        <v>0</v>
      </c>
      <c r="AS1014" s="45" t="b">
        <v>0</v>
      </c>
      <c r="AT1014" s="7" t="b">
        <v>0</v>
      </c>
      <c r="AU101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5" spans="1:47" x14ac:dyDescent="0.35">
      <c r="A1015" t="s">
        <v>3491</v>
      </c>
      <c r="B1015">
        <v>2008</v>
      </c>
      <c r="C1015">
        <v>2016</v>
      </c>
      <c r="D101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5" s="37" t="str">
        <f>INDEX(CONTROL[ENGLISH],MATCH(PROPERTIES[[#This Row],[VEHIDCODE]],CONTROL[VEHIDCODE],0))</f>
        <v>Chesta Casagrande E650</v>
      </c>
      <c r="F1015" t="s">
        <v>573</v>
      </c>
      <c r="G1015" s="37" t="str">
        <f>_xlfn.IFNA(INDEX(COUNTRIES[COUNTRY_LABEL],MATCH(PROPERTIES[[#This Row],[COUNTRY]],COUNTRIES[COUNTRY_DESCRIPTION],0)),"")</f>
        <v>CL</v>
      </c>
      <c r="H101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INDEX(LOADINGSPEEDDEF[SPEED],MATCH("LOADINGSPEEDDEF_"&amp;PROPERTIES[[#This Row],[LOADINGSPEED]],LOADINGSPEEDDEF[TYPE],0))</f>
        <v>20</v>
      </c>
      <c r="O1015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4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1" t="b">
        <v>0</v>
      </c>
      <c r="AP1015" s="45" t="b">
        <v>0</v>
      </c>
      <c r="AQ1015" s="45" t="b">
        <v>0</v>
      </c>
      <c r="AR1015" s="45">
        <v>0</v>
      </c>
      <c r="AS1015" s="45" t="b">
        <v>0</v>
      </c>
      <c r="AT1015" s="7" t="b">
        <v>0</v>
      </c>
      <c r="AU101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6" spans="1:47" x14ac:dyDescent="0.35">
      <c r="A1016" s="2" t="s">
        <v>3484</v>
      </c>
      <c r="B1016">
        <v>1961</v>
      </c>
      <c r="D101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6" s="37" t="str">
        <f>INDEX(CONTROL[ENGLISH],MATCH(PROPERTIES[[#This Row],[VEHIDCODE]],CONTROL[VEHIDCODE],0))</f>
        <v>Breda Marelli E32</v>
      </c>
      <c r="F1016" t="s">
        <v>573</v>
      </c>
      <c r="G1016" s="37" t="str">
        <f>_xlfn.IFNA(INDEX(COUNTRIES[COUNTRY_LABEL],MATCH(PROPERTIES[[#This Row],[COUNTRY]],COUNTRIES[COUNTRY_DESCRIPTION],0)),"")</f>
        <v>CL</v>
      </c>
      <c r="H101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INDEX(LOADINGSPEEDDEF[SPEED],MATCH("LOADINGSPEEDDEF_"&amp;PROPERTIES[[#This Row],[LOADINGSPEED]],LOADINGSPEEDDEF[TYPE],0))</f>
        <v>20</v>
      </c>
      <c r="O101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4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1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1" t="b">
        <v>0</v>
      </c>
      <c r="AP1016" s="45" t="b">
        <v>0</v>
      </c>
      <c r="AQ1016" s="45" t="b">
        <v>0</v>
      </c>
      <c r="AR1016" s="45">
        <v>0</v>
      </c>
      <c r="AS1016" s="45" t="b">
        <v>0</v>
      </c>
      <c r="AT1016" s="7" t="b">
        <v>0</v>
      </c>
      <c r="AU101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7" spans="1:47" x14ac:dyDescent="0.35">
      <c r="A1017" s="2" t="s">
        <v>3494</v>
      </c>
      <c r="B1017">
        <v>2011</v>
      </c>
      <c r="D101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7" s="37" t="str">
        <f>INDEX(CONTROL[ENGLISH],MATCH(PROPERTIES[[#This Row],[VEHIDCODE]],CONTROL[VEHIDCODE],0))</f>
        <v>GE ES58ACi</v>
      </c>
      <c r="F1017" t="s">
        <v>558</v>
      </c>
      <c r="G1017" s="37" t="str">
        <f>_xlfn.IFNA(INDEX(COUNTRIES[COUNTRY_LABEL],MATCH(PROPERTIES[[#This Row],[COUNTRY]],COUNTRIES[COUNTRY_DESCRIPTION],0)),"")</f>
        <v>BR</v>
      </c>
      <c r="H101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INDEX(LOADINGSPEEDDEF[SPEED],MATCH("LOADINGSPEEDDEF_"&amp;PROPERTIES[[#This Row],[LOADINGSPEED]],LOADINGSPEEDDEF[TYPE],0))</f>
        <v>20</v>
      </c>
      <c r="O101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4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1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1" t="b">
        <v>0</v>
      </c>
      <c r="AP1017" s="45" t="b">
        <v>0</v>
      </c>
      <c r="AQ1017" s="45" t="b">
        <v>0</v>
      </c>
      <c r="AR1017" s="45">
        <v>0</v>
      </c>
      <c r="AS1017" s="45" t="b">
        <v>0</v>
      </c>
      <c r="AT1017" s="7" t="b">
        <v>0</v>
      </c>
      <c r="AU101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18" spans="1:47" x14ac:dyDescent="0.35">
      <c r="A1018" s="2" t="s">
        <v>3694</v>
      </c>
      <c r="B1018">
        <v>1983</v>
      </c>
      <c r="C1018">
        <v>1995</v>
      </c>
      <c r="D101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18" s="37" t="str">
        <f>INDEX(CONTROL[ENGLISH],MATCH(PROPERTIES[[#This Row],[VEHIDCODE]],CONTROL[VEHIDCODE],0))</f>
        <v>Ganz-MAVAG Ikarus 725.00</v>
      </c>
      <c r="F1018" t="s">
        <v>626</v>
      </c>
      <c r="G1018" s="37" t="str">
        <f>_xlfn.IFNA(INDEX(COUNTRIES[COUNTRY_LABEL],MATCH(PROPERTIES[[#This Row],[COUNTRY]],COUNTRIES[COUNTRY_DESCRIPTION],0)),"")</f>
        <v>HU</v>
      </c>
      <c r="H101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INDEX(LOADINGSPEEDDEF[SPEED],MATCH("LOADINGSPEEDDEF_"&amp;PROPERTIES[[#This Row],[LOADINGSPEED]],LOADINGSPEEDDEF[TYPE],0))</f>
        <v>60</v>
      </c>
      <c r="O101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4">
        <v>0</v>
      </c>
      <c r="AF1018" s="6">
        <v>7</v>
      </c>
      <c r="AG1018" s="6" t="s">
        <v>1940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18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1" t="b">
        <v>0</v>
      </c>
      <c r="AP1018" s="45" t="b">
        <v>0</v>
      </c>
      <c r="AQ1018" s="45" t="b">
        <v>0</v>
      </c>
      <c r="AR1018" s="45">
        <v>0</v>
      </c>
      <c r="AS1018" s="45" t="b">
        <v>0</v>
      </c>
      <c r="AT1018" s="7" t="b">
        <v>0</v>
      </c>
      <c r="AU101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TPL_03E</v>
      </c>
    </row>
    <row r="1019" spans="1:47" x14ac:dyDescent="0.35">
      <c r="A1019" s="2" t="s">
        <v>3550</v>
      </c>
      <c r="B1019">
        <v>1998</v>
      </c>
      <c r="D101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19" s="37" t="str">
        <f>INDEX(CONTROL[ENGLISH],MATCH(PROPERTIES[[#This Row],[VEHIDCODE]],CONTROL[VEHIDCODE],0))</f>
        <v>Alstom Metropolis</v>
      </c>
      <c r="F1019" t="s">
        <v>602</v>
      </c>
      <c r="G1019" s="37" t="str">
        <f>_xlfn.IFNA(INDEX(COUNTRIES[COUNTRY_LABEL],MATCH(PROPERTIES[[#This Row],[COUNTRY]],COUNTRIES[COUNTRY_DESCRIPTION],0)),"")</f>
        <v>FR</v>
      </c>
      <c r="H101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INDEX(LOADINGSPEEDDEF[SPEED],MATCH("LOADINGSPEEDDEF_"&amp;PROPERTIES[[#This Row],[LOADINGSPEED]],LOADINGSPEEDDEF[TYPE],0))</f>
        <v>120</v>
      </c>
      <c r="O1019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4">
        <v>250</v>
      </c>
      <c r="AF1019" s="6">
        <v>8</v>
      </c>
      <c r="AG1019" s="6" t="s">
        <v>240</v>
      </c>
      <c r="AH1019" s="6" t="s">
        <v>1939</v>
      </c>
      <c r="AI1019" t="s">
        <v>230</v>
      </c>
      <c r="AJ1019" s="2" t="s">
        <v>236</v>
      </c>
      <c r="AK1019" s="7" t="s">
        <v>244</v>
      </c>
      <c r="AL1019" s="6" t="str">
        <f>"PURCHASECOST_"&amp;INDEX(VEHICLE_ID_RANGES[COST_VALUE_TYPE],MATCH(INDEX(CONTROL[VEHID_ID_CATEGORY],MATCH(PROPERTIES[[#This Row],[VEHIDCODE]],CONTROL[VEHIDCODE],0)),VEHICLE_ID_RANGES[ID Type],0))&amp;"_VALUE"</f>
        <v>PURCHASECOST_METRO_VALUE</v>
      </c>
      <c r="AM1019" s="6" t="str">
        <f>"RUNNINGCOST_"&amp;INDEX(VEHICLE_ID_RANGES[COST_VALUE_TYPE],MATCH(INDEX(CONTROL[VEHID_ID_CATEGORY],MATCH(PROPERTIES[[#This Row],[VEHIDCODE]],CONTROL[VEHIDCODE],0)),VEHICLE_ID_RANGES[ID Type],0))&amp;"_VALUE"</f>
        <v>RUNNINGCOST_METRO_VALUE</v>
      </c>
      <c r="AN1019" s="2" t="str">
        <f>SUBSTITUTE(SUBSTITUTE(PROPERTIES[[#This Row],[PURCHASECOST_VALUE]], "PURCHASECOST_", ""), "_VALUE", "")</f>
        <v>METRO</v>
      </c>
      <c r="AO1019" s="41" t="b">
        <v>0</v>
      </c>
      <c r="AP1019" s="45" t="b">
        <v>0</v>
      </c>
      <c r="AQ1019" s="45" t="b">
        <v>0</v>
      </c>
      <c r="AR1019" s="45">
        <v>0</v>
      </c>
      <c r="AS1019" s="45" t="b">
        <v>0</v>
      </c>
      <c r="AT1019" s="7" t="b">
        <v>0</v>
      </c>
      <c r="AU101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TPL_02C</v>
      </c>
    </row>
    <row r="1020" spans="1:47" x14ac:dyDescent="0.35">
      <c r="A1020" s="2" t="s">
        <v>3553</v>
      </c>
      <c r="B1020">
        <v>1844</v>
      </c>
      <c r="D102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0" s="37" t="str">
        <f>INDEX(CONTROL[ENGLISH],MATCH(PROPERTIES[[#This Row],[VEHIDCODE]],CONTROL[VEHIDCODE],0))</f>
        <v>Sharp Brothers 2-2-2 'Patriot'</v>
      </c>
      <c r="F1020" t="s">
        <v>638</v>
      </c>
      <c r="G1020" s="37" t="str">
        <f>_xlfn.IFNA(INDEX(COUNTRIES[COUNTRY_LABEL],MATCH(PROPERTIES[[#This Row],[COUNTRY]],COUNTRIES[COUNTRY_DESCRIPTION],0)),"")</f>
        <v>JM</v>
      </c>
      <c r="H102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INDEX(LOADINGSPEEDDEF[SPEED],MATCH("LOADINGSPEEDDEF_"&amp;PROPERTIES[[#This Row],[LOADINGSPEED]],LOADINGSPEEDDEF[TYPE],0))</f>
        <v>20</v>
      </c>
      <c r="O102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4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20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1" t="b">
        <v>0</v>
      </c>
      <c r="AP1020" s="45" t="b">
        <v>0</v>
      </c>
      <c r="AQ1020" s="45" t="b">
        <v>0</v>
      </c>
      <c r="AR1020" s="45">
        <v>0</v>
      </c>
      <c r="AS1020" s="45" t="b">
        <v>0</v>
      </c>
      <c r="AT1020" s="7" t="b">
        <v>0</v>
      </c>
      <c r="AU102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TPL_03C</v>
      </c>
    </row>
    <row r="1021" spans="1:47" x14ac:dyDescent="0.35">
      <c r="A1021" s="2" t="s">
        <v>3562</v>
      </c>
      <c r="B1021">
        <v>1900</v>
      </c>
      <c r="D102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1" s="37" t="str">
        <f>INDEX(CONTROL[ENGLISH],MATCH(PROPERTIES[[#This Row],[VEHIDCODE]],CONTROL[VEHIDCODE],0))</f>
        <v>Heavyweight Regional Coach</v>
      </c>
      <c r="G1021" s="37" t="str">
        <f>_xlfn.IFNA(INDEX(COUNTRIES[COUNTRY_LABEL],MATCH(PROPERTIES[[#This Row],[COUNTRY]],COUNTRIES[COUNTRY_DESCRIPTION],0)),"")</f>
        <v/>
      </c>
      <c r="H102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INDEX(LOADINGSPEEDDEF[SPEED],MATCH("LOADINGSPEEDDEF_"&amp;PROPERTIES[[#This Row],[LOADINGSPEED]],LOADINGSPEEDDEF[TYPE],0))</f>
        <v>60</v>
      </c>
      <c r="O102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4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1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1" s="2" t="str">
        <f>SUBSTITUTE(SUBSTITUTE(PROPERTIES[[#This Row],[PURCHASECOST_VALUE]], "PURCHASECOST_", ""), "_VALUE", "")</f>
        <v>COACH</v>
      </c>
      <c r="AO1021" s="41" t="b">
        <v>0</v>
      </c>
      <c r="AP1021" s="45" t="b">
        <v>0</v>
      </c>
      <c r="AQ1021" s="45" t="b">
        <v>0</v>
      </c>
      <c r="AR1021" s="45">
        <v>0</v>
      </c>
      <c r="AS1021" s="45" t="b">
        <v>0</v>
      </c>
      <c r="AT1021" s="7" t="b">
        <v>0</v>
      </c>
      <c r="AU102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2" spans="1:47" x14ac:dyDescent="0.35">
      <c r="A1022" s="2" t="s">
        <v>3567</v>
      </c>
      <c r="B1022">
        <v>1870</v>
      </c>
      <c r="D102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2" s="37" t="str">
        <f>INDEX(CONTROL[ENGLISH],MATCH(PROPERTIES[[#This Row],[VEHIDCODE]],CONTROL[VEHIDCODE],0))</f>
        <v>Early American End-Platform Coach [Larger]</v>
      </c>
      <c r="G1022" s="37" t="str">
        <f>_xlfn.IFNA(INDEX(COUNTRIES[COUNTRY_LABEL],MATCH(PROPERTIES[[#This Row],[COUNTRY]],COUNTRIES[COUNTRY_DESCRIPTION],0)),"")</f>
        <v/>
      </c>
      <c r="H102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INDEX(LOADINGSPEEDDEF[SPEED],MATCH("LOADINGSPEEDDEF_"&amp;PROPERTIES[[#This Row],[LOADINGSPEED]],LOADINGSPEEDDEF[TYPE],0))</f>
        <v>60</v>
      </c>
      <c r="O102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4">
        <v>0</v>
      </c>
      <c r="AF1022" s="6">
        <v>0</v>
      </c>
      <c r="AG1022" s="6" t="s">
        <v>1938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2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2" s="2" t="str">
        <f>SUBSTITUTE(SUBSTITUTE(PROPERTIES[[#This Row],[PURCHASECOST_VALUE]], "PURCHASECOST_", ""), "_VALUE", "")</f>
        <v>COACH</v>
      </c>
      <c r="AO1022" s="41" t="b">
        <v>0</v>
      </c>
      <c r="AP1022" s="45" t="b">
        <v>0</v>
      </c>
      <c r="AQ1022" s="45" t="b">
        <v>0</v>
      </c>
      <c r="AR1022" s="45">
        <v>0</v>
      </c>
      <c r="AS1022" s="45" t="b">
        <v>0</v>
      </c>
      <c r="AT1022" s="7" t="b">
        <v>0</v>
      </c>
      <c r="AU102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3" spans="1:47" x14ac:dyDescent="0.35">
      <c r="A1023" s="2" t="s">
        <v>3566</v>
      </c>
      <c r="B1023">
        <v>1870</v>
      </c>
      <c r="D102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3" s="37" t="str">
        <f>INDEX(CONTROL[ENGLISH],MATCH(PROPERTIES[[#This Row],[VEHIDCODE]],CONTROL[VEHIDCODE],0))</f>
        <v>Early American End-Platform Mail Coach [Larger]</v>
      </c>
      <c r="G1023" s="37" t="str">
        <f>_xlfn.IFNA(INDEX(COUNTRIES[COUNTRY_LABEL],MATCH(PROPERTIES[[#This Row],[COUNTRY]],COUNTRIES[COUNTRY_DESCRIPTION],0)),"")</f>
        <v/>
      </c>
      <c r="H102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INDEX(LOADINGSPEEDDEF[SPEED],MATCH("LOADINGSPEEDDEF_"&amp;PROPERTIES[[#This Row],[LOADINGSPEED]],LOADINGSPEEDDEF[TYPE],0))</f>
        <v>15</v>
      </c>
      <c r="O102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4">
        <v>0</v>
      </c>
      <c r="AF1023" s="6">
        <v>0</v>
      </c>
      <c r="AG1023" s="6" t="s">
        <v>1938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3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3" s="2" t="str">
        <f>SUBSTITUTE(SUBSTITUTE(PROPERTIES[[#This Row],[PURCHASECOST_VALUE]], "PURCHASECOST_", ""), "_VALUE", "")</f>
        <v>COACH</v>
      </c>
      <c r="AO1023" s="41" t="b">
        <v>0</v>
      </c>
      <c r="AP1023" s="45" t="b">
        <v>0</v>
      </c>
      <c r="AQ1023" s="45" t="b">
        <v>0</v>
      </c>
      <c r="AR1023" s="45">
        <v>0</v>
      </c>
      <c r="AS1023" s="45" t="b">
        <v>0</v>
      </c>
      <c r="AT1023" s="7" t="b">
        <v>0</v>
      </c>
      <c r="AU102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4" spans="1:47" x14ac:dyDescent="0.35">
      <c r="A1024" s="2" t="s">
        <v>3573</v>
      </c>
      <c r="B1024">
        <v>1950</v>
      </c>
      <c r="D102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4" s="37" t="str">
        <f>INDEX(CONTROL[ENGLISH],MATCH(PROPERTIES[[#This Row],[VEHIDCODE]],CONTROL[VEHIDCODE],0))</f>
        <v>Lightweight Commuter Coach</v>
      </c>
      <c r="G1024" s="37" t="str">
        <f>_xlfn.IFNA(INDEX(COUNTRIES[COUNTRY_LABEL],MATCH(PROPERTIES[[#This Row],[COUNTRY]],COUNTRIES[COUNTRY_DESCRIPTION],0)),"")</f>
        <v/>
      </c>
      <c r="H102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INDEX(LOADINGSPEEDDEF[SPEED],MATCH("LOADINGSPEEDDEF_"&amp;PROPERTIES[[#This Row],[LOADINGSPEED]],LOADINGSPEEDDEF[TYPE],0))</f>
        <v>60</v>
      </c>
      <c r="O102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4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24" s="6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24" s="2" t="str">
        <f>SUBSTITUTE(SUBSTITUTE(PROPERTIES[[#This Row],[PURCHASECOST_VALUE]], "PURCHASECOST_", ""), "_VALUE", "")</f>
        <v>COACH</v>
      </c>
      <c r="AO1024" s="41" t="b">
        <v>0</v>
      </c>
      <c r="AP1024" s="45" t="b">
        <v>1</v>
      </c>
      <c r="AQ1024" s="45" t="b">
        <v>0</v>
      </c>
      <c r="AR1024" s="45">
        <v>0</v>
      </c>
      <c r="AS1024" s="45" t="b">
        <v>0</v>
      </c>
      <c r="AT1024" s="7" t="b">
        <v>0</v>
      </c>
      <c r="AU102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25" spans="1:47" x14ac:dyDescent="0.35">
      <c r="A1025" s="2" t="s">
        <v>3575</v>
      </c>
      <c r="B1025">
        <v>1913</v>
      </c>
      <c r="D102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5" s="37" t="str">
        <f>INDEX(CONTROL[ENGLISH],MATCH(PROPERTIES[[#This Row],[VEHIDCODE]],CONTROL[VEHIDCODE],0))</f>
        <v>ALCO-GE T-Motor</v>
      </c>
      <c r="F1025" t="s">
        <v>757</v>
      </c>
      <c r="G1025" s="37" t="str">
        <f>_xlfn.IFNA(INDEX(COUNTRIES[COUNTRY_LABEL],MATCH(PROPERTIES[[#This Row],[COUNTRY]],COUNTRIES[COUNTRY_DESCRIPTION],0)),"")</f>
        <v>US</v>
      </c>
      <c r="H102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INDEX(LOADINGSPEEDDEF[SPEED],MATCH("LOADINGSPEEDDEF_"&amp;PROPERTIES[[#This Row],[LOADINGSPEED]],LOADINGSPEEDDEF[TYPE],0))</f>
        <v>20</v>
      </c>
      <c r="O102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4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25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1" t="b">
        <v>0</v>
      </c>
      <c r="AP1025" s="45" t="b">
        <v>0</v>
      </c>
      <c r="AQ1025" s="45" t="b">
        <v>0</v>
      </c>
      <c r="AR1025" s="45">
        <v>0</v>
      </c>
      <c r="AS1025" s="45" t="b">
        <v>0</v>
      </c>
      <c r="AT1025" s="7" t="b">
        <v>0</v>
      </c>
      <c r="AU102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26" spans="1:47" x14ac:dyDescent="0.35">
      <c r="A1026" t="s">
        <v>3578</v>
      </c>
      <c r="B1026">
        <v>1910</v>
      </c>
      <c r="C1026">
        <v>1949</v>
      </c>
      <c r="D102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6" s="37" t="str">
        <f>INDEX(CONTROL[ENGLISH],MATCH(PROPERTIES[[#This Row],[VEHIDCODE]],CONTROL[VEHIDCODE],0))</f>
        <v>Altoona Works Pennsylvania Railroad DD1</v>
      </c>
      <c r="F1026" t="s">
        <v>757</v>
      </c>
      <c r="G1026" s="37" t="str">
        <f>_xlfn.IFNA(INDEX(COUNTRIES[COUNTRY_LABEL],MATCH(PROPERTIES[[#This Row],[COUNTRY]],COUNTRIES[COUNTRY_DESCRIPTION],0)),"")</f>
        <v>US</v>
      </c>
      <c r="H102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INDEX(LOADINGSPEEDDEF[SPEED],MATCH("LOADINGSPEEDDEF_"&amp;PROPERTIES[[#This Row],[LOADINGSPEED]],LOADINGSPEEDDEF[TYPE],0))</f>
        <v>20</v>
      </c>
      <c r="O102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5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4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26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1" t="b">
        <v>0</v>
      </c>
      <c r="AP1026" s="45" t="b">
        <v>0</v>
      </c>
      <c r="AQ1026" s="45" t="b">
        <v>0</v>
      </c>
      <c r="AR1026" s="45">
        <v>0</v>
      </c>
      <c r="AS1026" s="45" t="b">
        <v>0</v>
      </c>
      <c r="AT1026" s="7" t="b">
        <v>0</v>
      </c>
      <c r="AU102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TPL_17E</v>
      </c>
    </row>
    <row r="1027" spans="1:47" x14ac:dyDescent="0.35">
      <c r="A1027" s="2" t="s">
        <v>3583</v>
      </c>
      <c r="B1027">
        <v>1932</v>
      </c>
      <c r="C1027">
        <v>1972</v>
      </c>
      <c r="D102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27" s="37" t="str">
        <f>INDEX(CONTROL[ENGLISH],MATCH(PROPERTIES[[#This Row],[VEHIDCODE]],CONTROL[VEHIDCODE],0))</f>
        <v>PRR MP70</v>
      </c>
      <c r="F1027" t="s">
        <v>757</v>
      </c>
      <c r="G1027" s="37" t="str">
        <f>_xlfn.IFNA(INDEX(COUNTRIES[COUNTRY_LABEL],MATCH(PROPERTIES[[#This Row],[COUNTRY]],COUNTRIES[COUNTRY_DESCRIPTION],0)),"")</f>
        <v>US</v>
      </c>
      <c r="H102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INDEX(LOADINGSPEEDDEF[SPEED],MATCH("LOADINGSPEEDDEF_"&amp;PROPERTIES[[#This Row],[LOADINGSPEED]],LOADINGSPEEDDEF[TYPE],0))</f>
        <v>60</v>
      </c>
      <c r="O1027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4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27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27" s="2" t="str">
        <f>SUBSTITUTE(SUBSTITUTE(PROPERTIES[[#This Row],[PURCHASECOST_VALUE]], "PURCHASECOST_", ""), "_VALUE", "")</f>
        <v>EMU</v>
      </c>
      <c r="AO1027" s="41" t="b">
        <v>0</v>
      </c>
      <c r="AP1027" s="45" t="b">
        <v>0</v>
      </c>
      <c r="AQ1027" s="45" t="b">
        <v>0</v>
      </c>
      <c r="AR1027" s="45">
        <v>0</v>
      </c>
      <c r="AS1027" s="45" t="b">
        <v>0</v>
      </c>
      <c r="AT1027" s="7" t="b">
        <v>0</v>
      </c>
      <c r="AU102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28" spans="1:47" x14ac:dyDescent="0.35">
      <c r="A1028" s="2" t="s">
        <v>3584</v>
      </c>
      <c r="B1028">
        <v>1963</v>
      </c>
      <c r="C1028">
        <v>2004</v>
      </c>
      <c r="D102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28" s="37" t="str">
        <f>INDEX(CONTROL[ENGLISH],MATCH(PROPERTIES[[#This Row],[VEHIDCODE]],CONTROL[VEHIDCODE],0))</f>
        <v>Pullman Standard LIRR MP75 ACMU</v>
      </c>
      <c r="F1028" t="s">
        <v>757</v>
      </c>
      <c r="G1028" s="37" t="str">
        <f>_xlfn.IFNA(INDEX(COUNTRIES[COUNTRY_LABEL],MATCH(PROPERTIES[[#This Row],[COUNTRY]],COUNTRIES[COUNTRY_DESCRIPTION],0)),"")</f>
        <v>US</v>
      </c>
      <c r="H102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INDEX(LOADINGSPEEDDEF[SPEED],MATCH("LOADINGSPEEDDEF_"&amp;PROPERTIES[[#This Row],[LOADINGSPEED]],LOADINGSPEEDDEF[TYPE],0))</f>
        <v>60</v>
      </c>
      <c r="O1028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4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28" s="6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28" s="2" t="str">
        <f>SUBSTITUTE(SUBSTITUTE(PROPERTIES[[#This Row],[PURCHASECOST_VALUE]], "PURCHASECOST_", ""), "_VALUE", "")</f>
        <v>EMU</v>
      </c>
      <c r="AO1028" s="41" t="b">
        <v>0</v>
      </c>
      <c r="AP1028" s="45" t="b">
        <v>0</v>
      </c>
      <c r="AQ1028" s="45" t="b">
        <v>0</v>
      </c>
      <c r="AR1028" s="45">
        <v>0</v>
      </c>
      <c r="AS1028" s="45" t="b">
        <v>0</v>
      </c>
      <c r="AT1028" s="7" t="b">
        <v>0</v>
      </c>
      <c r="AU102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29" spans="1:47" x14ac:dyDescent="0.35">
      <c r="A1029" s="2" t="s">
        <v>3588</v>
      </c>
      <c r="B1029">
        <v>1906</v>
      </c>
      <c r="C1029">
        <v>1973</v>
      </c>
      <c r="D102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29" s="37" t="str">
        <f>INDEX(CONTROL[ENGLISH],MATCH(PROPERTIES[[#This Row],[VEHIDCODE]],CONTROL[VEHIDCODE],0))</f>
        <v>ACF New York Central Heavyweight MU</v>
      </c>
      <c r="F1029" t="s">
        <v>757</v>
      </c>
      <c r="G1029" s="37" t="str">
        <f>_xlfn.IFNA(INDEX(COUNTRIES[COUNTRY_LABEL],MATCH(PROPERTIES[[#This Row],[COUNTRY]],COUNTRIES[COUNTRY_DESCRIPTION],0)),"")</f>
        <v>US</v>
      </c>
      <c r="H102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INDEX(LOADINGSPEEDDEF[SPEED],MATCH("LOADINGSPEEDDEF_"&amp;PROPERTIES[[#This Row],[LOADINGSPEED]],LOADINGSPEEDDEF[TYPE],0))</f>
        <v>120</v>
      </c>
      <c r="O102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4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"PURCHASECOST_"&amp;INDEX(VEHICLE_ID_RANGES[COST_VALUE_TYPE],MATCH(INDEX(CONTROL[VEHID_ID_CATEGORY],MATCH(PROPERTIES[[#This Row],[VEHIDCODE]],CONTROL[VEHIDCODE],0)),VEHICLE_ID_RANGES[ID Type],0))&amp;"_VALUE"</f>
        <v>PURCHASECOST_METRORAILBUS_VALUE</v>
      </c>
      <c r="AM1029" s="6" t="str">
        <f>"RUNNINGCOST_"&amp;INDEX(VEHICLE_ID_RANGES[COST_VALUE_TYPE],MATCH(INDEX(CONTROL[VEHID_ID_CATEGORY],MATCH(PROPERTIES[[#This Row],[VEHIDCODE]],CONTROL[VEHIDCODE],0)),VEHICLE_ID_RANGES[ID Type],0))&amp;"_VALUE"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1" t="b">
        <v>0</v>
      </c>
      <c r="AP1029" s="45" t="b">
        <v>0</v>
      </c>
      <c r="AQ1029" s="45" t="b">
        <v>0</v>
      </c>
      <c r="AR1029" s="45">
        <v>0</v>
      </c>
      <c r="AS1029" s="45" t="b">
        <v>0</v>
      </c>
      <c r="AT1029" s="7" t="b">
        <v>0</v>
      </c>
      <c r="AU102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30" spans="1:47" x14ac:dyDescent="0.35">
      <c r="A1030" s="2" t="s">
        <v>3590</v>
      </c>
      <c r="B1030">
        <v>1952</v>
      </c>
      <c r="D103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0" s="37" t="str">
        <f>INDEX(CONTROL[ENGLISH],MATCH(PROPERTIES[[#This Row],[VEHIDCODE]],CONTROL[VEHIDCODE],0))</f>
        <v>Goerlitz Articulated Double Decker Coach</v>
      </c>
      <c r="G1030" s="37" t="str">
        <f>_xlfn.IFNA(INDEX(COUNTRIES[COUNTRY_LABEL],MATCH(PROPERTIES[[#This Row],[COUNTRY]],COUNTRIES[COUNTRY_DESCRIPTION],0)),"")</f>
        <v/>
      </c>
      <c r="H103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INDEX(LOADINGSPEEDDEF[SPEED],MATCH("LOADINGSPEEDDEF_"&amp;PROPERTIES[[#This Row],[LOADINGSPEED]],LOADINGSPEEDDEF[TYPE],0))</f>
        <v>60</v>
      </c>
      <c r="O103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4">
        <v>0</v>
      </c>
      <c r="AF1030" s="6">
        <v>0</v>
      </c>
      <c r="AG1030" t="s">
        <v>1937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0" s="2" t="str">
        <f>SUBSTITUTE(SUBSTITUTE(PROPERTIES[[#This Row],[PURCHASECOST_VALUE]], "PURCHASECOST_", ""), "_VALUE", "")</f>
        <v>COACH</v>
      </c>
      <c r="AO1030" s="41" t="b">
        <v>0</v>
      </c>
      <c r="AP1030" s="45" t="b">
        <v>0</v>
      </c>
      <c r="AQ1030" s="45" t="b">
        <v>0</v>
      </c>
      <c r="AR1030" s="45">
        <v>0</v>
      </c>
      <c r="AS1030" s="45" t="b">
        <v>0</v>
      </c>
      <c r="AT1030" s="7" t="b">
        <v>0</v>
      </c>
      <c r="AU103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TPL_04S</v>
      </c>
    </row>
    <row r="1031" spans="1:47" x14ac:dyDescent="0.35">
      <c r="A1031" s="2" t="s">
        <v>3595</v>
      </c>
      <c r="B1031">
        <v>1908</v>
      </c>
      <c r="C1031">
        <v>1958</v>
      </c>
      <c r="D103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31" s="37" t="str">
        <f>INDEX(CONTROL[ENGLISH],MATCH(PROPERTIES[[#This Row],[VEHIDCODE]],CONTROL[VEHIDCODE],0))</f>
        <v>PRR MP54</v>
      </c>
      <c r="F1031" t="s">
        <v>757</v>
      </c>
      <c r="G1031" s="37" t="str">
        <f>_xlfn.IFNA(INDEX(COUNTRIES[COUNTRY_LABEL],MATCH(PROPERTIES[[#This Row],[COUNTRY]],COUNTRIES[COUNTRY_DESCRIPTION],0)),"")</f>
        <v>US</v>
      </c>
      <c r="H103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INDEX(LOADINGSPEEDDEF[SPEED],MATCH("LOADINGSPEEDDEF_"&amp;PROPERTIES[[#This Row],[LOADINGSPEED]],LOADINGSPEEDDEF[TYPE],0))</f>
        <v>60</v>
      </c>
      <c r="O103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4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31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31" s="2" t="str">
        <f>SUBSTITUTE(SUBSTITUTE(PROPERTIES[[#This Row],[PURCHASECOST_VALUE]], "PURCHASECOST_", ""), "_VALUE", "")</f>
        <v>EMU</v>
      </c>
      <c r="AO1031" s="41" t="b">
        <v>0</v>
      </c>
      <c r="AP1031" s="45" t="b">
        <v>0</v>
      </c>
      <c r="AQ1031" s="45" t="b">
        <v>0</v>
      </c>
      <c r="AR1031" s="45">
        <v>0</v>
      </c>
      <c r="AS1031" s="45" t="b">
        <v>0</v>
      </c>
      <c r="AT1031" s="7" t="b">
        <v>0</v>
      </c>
      <c r="AU103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32" spans="1:47" x14ac:dyDescent="0.35">
      <c r="A1032" s="2" t="s">
        <v>3596</v>
      </c>
      <c r="B1032">
        <v>1915</v>
      </c>
      <c r="C1032">
        <v>1958</v>
      </c>
      <c r="D103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1</v>
      </c>
      <c r="E1032" s="37" t="str">
        <f>INDEX(CONTROL[ENGLISH],MATCH(PROPERTIES[[#This Row],[VEHIDCODE]],CONTROL[VEHIDCODE],0))</f>
        <v>PRR MP54</v>
      </c>
      <c r="F1032" t="s">
        <v>757</v>
      </c>
      <c r="G1032" s="37" t="str">
        <f>_xlfn.IFNA(INDEX(COUNTRIES[COUNTRY_LABEL],MATCH(PROPERTIES[[#This Row],[COUNTRY]],COUNTRIES[COUNTRY_DESCRIPTION],0)),"")</f>
        <v>US</v>
      </c>
      <c r="H103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INDEX(LOADINGSPEEDDEF[SPEED],MATCH("LOADINGSPEEDDEF_"&amp;PROPERTIES[[#This Row],[LOADINGSPEED]],LOADINGSPEEDDEF[TYPE],0))</f>
        <v>60</v>
      </c>
      <c r="O103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4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"PURCHASECOST_"&amp;INDEX(VEHICLE_ID_RANGES[COST_VALUE_TYPE],MATCH(INDEX(CONTROL[VEHID_ID_CATEGORY],MATCH(PROPERTIES[[#This Row],[VEHIDCODE]],CONTROL[VEHIDCODE],0)),VEHICLE_ID_RANGES[ID Type],0))&amp;"_VALUE"</f>
        <v>PURCHASECOST_EMU_VALUE</v>
      </c>
      <c r="AM1032" t="str">
        <f>"RUNNINGCOST_"&amp;INDEX(VEHICLE_ID_RANGES[COST_VALUE_TYPE],MATCH(INDEX(CONTROL[VEHID_ID_CATEGORY],MATCH(PROPERTIES[[#This Row],[VEHIDCODE]],CONTROL[VEHIDCODE],0)),VEHICLE_ID_RANGES[ID Type],0))&amp;"_VALUE"</f>
        <v>RUNNINGCOST_EMU_VALUE</v>
      </c>
      <c r="AN1032" s="2" t="str">
        <f>SUBSTITUTE(SUBSTITUTE(PROPERTIES[[#This Row],[PURCHASECOST_VALUE]], "PURCHASECOST_", ""), "_VALUE", "")</f>
        <v>EMU</v>
      </c>
      <c r="AO1032" s="41" t="b">
        <v>0</v>
      </c>
      <c r="AP1032" s="45" t="b">
        <v>0</v>
      </c>
      <c r="AQ1032" s="45" t="b">
        <v>0</v>
      </c>
      <c r="AR1032" s="45">
        <v>0</v>
      </c>
      <c r="AS1032" s="45" t="b">
        <v>0</v>
      </c>
      <c r="AT1032" s="7" t="b">
        <v>0</v>
      </c>
      <c r="AU103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TPL_02A</v>
      </c>
    </row>
    <row r="1033" spans="1:47" x14ac:dyDescent="0.35">
      <c r="A1033" s="2" t="s">
        <v>3598</v>
      </c>
      <c r="B1033">
        <v>1908</v>
      </c>
      <c r="C1033">
        <v>1958</v>
      </c>
      <c r="D103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3" s="37" t="str">
        <f>INDEX(CONTROL[ENGLISH],MATCH(PROPERTIES[[#This Row],[VEHIDCODE]],CONTROL[VEHIDCODE],0))</f>
        <v>PRR P54 Commuter Coach</v>
      </c>
      <c r="G1033" s="37" t="str">
        <f>_xlfn.IFNA(INDEX(COUNTRIES[COUNTRY_LABEL],MATCH(PROPERTIES[[#This Row],[COUNTRY]],COUNTRIES[COUNTRY_DESCRIPTION],0)),"")</f>
        <v/>
      </c>
      <c r="H103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INDEX(LOADINGSPEEDDEF[SPEED],MATCH("LOADINGSPEEDDEF_"&amp;PROPERTIES[[#This Row],[LOADINGSPEED]],LOADINGSPEEDDEF[TYPE],0))</f>
        <v>60</v>
      </c>
      <c r="O103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4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3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3" s="2" t="str">
        <f>SUBSTITUTE(SUBSTITUTE(PROPERTIES[[#This Row],[PURCHASECOST_VALUE]], "PURCHASECOST_", ""), "_VALUE", "")</f>
        <v>COACH</v>
      </c>
      <c r="AO1033" s="41" t="b">
        <v>0</v>
      </c>
      <c r="AP1033" s="45" t="b">
        <v>0</v>
      </c>
      <c r="AQ1033" s="45" t="b">
        <v>0</v>
      </c>
      <c r="AR1033" s="45">
        <v>0</v>
      </c>
      <c r="AS1033" s="45" t="b">
        <v>0</v>
      </c>
      <c r="AT1033" s="7" t="b">
        <v>0</v>
      </c>
      <c r="AU103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4" spans="1:47" x14ac:dyDescent="0.35">
      <c r="A1034" s="2" t="s">
        <v>3597</v>
      </c>
      <c r="B1034">
        <v>1908</v>
      </c>
      <c r="C1034">
        <v>1958</v>
      </c>
      <c r="D103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4" s="37" t="str">
        <f>INDEX(CONTROL[ENGLISH],MATCH(PROPERTIES[[#This Row],[VEHIDCODE]],CONTROL[VEHIDCODE],0))</f>
        <v>PRR P54 Mail Coach</v>
      </c>
      <c r="G1034" s="37" t="str">
        <f>_xlfn.IFNA(INDEX(COUNTRIES[COUNTRY_LABEL],MATCH(PROPERTIES[[#This Row],[COUNTRY]],COUNTRIES[COUNTRY_DESCRIPTION],0)),"")</f>
        <v/>
      </c>
      <c r="H103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INDEX(LOADINGSPEEDDEF[SPEED],MATCH("LOADINGSPEEDDEF_"&amp;PROPERTIES[[#This Row],[LOADINGSPEED]],LOADINGSPEEDDEF[TYPE],0))</f>
        <v>15</v>
      </c>
      <c r="O103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4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4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4" s="2" t="str">
        <f>SUBSTITUTE(SUBSTITUTE(PROPERTIES[[#This Row],[PURCHASECOST_VALUE]], "PURCHASECOST_", ""), "_VALUE", "")</f>
        <v>COACH</v>
      </c>
      <c r="AO1034" s="41" t="b">
        <v>0</v>
      </c>
      <c r="AP1034" s="45" t="b">
        <v>0</v>
      </c>
      <c r="AQ1034" s="45" t="b">
        <v>0</v>
      </c>
      <c r="AR1034" s="45">
        <v>0</v>
      </c>
      <c r="AS1034" s="45" t="b">
        <v>0</v>
      </c>
      <c r="AT1034" s="7" t="b">
        <v>0</v>
      </c>
      <c r="AU103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5" spans="1:47" x14ac:dyDescent="0.35">
      <c r="A1035" s="2" t="s">
        <v>3604</v>
      </c>
      <c r="B1035">
        <v>1932</v>
      </c>
      <c r="D103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5" s="37" t="str">
        <f>INDEX(CONTROL[ENGLISH],MATCH(PROPERTIES[[#This Row],[VEHIDCODE]],CONTROL[VEHIDCODE],0))</f>
        <v>PRR P70 Bilevel Coach</v>
      </c>
      <c r="G1035" s="37" t="str">
        <f>_xlfn.IFNA(INDEX(COUNTRIES[COUNTRY_LABEL],MATCH(PROPERTIES[[#This Row],[COUNTRY]],COUNTRIES[COUNTRY_DESCRIPTION],0)),"")</f>
        <v/>
      </c>
      <c r="H103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INDEX(LOADINGSPEEDDEF[SPEED],MATCH("LOADINGSPEEDDEF_"&amp;PROPERTIES[[#This Row],[LOADINGSPEED]],LOADINGSPEEDDEF[TYPE],0))</f>
        <v>60</v>
      </c>
      <c r="O103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4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35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35" s="2" t="str">
        <f>SUBSTITUTE(SUBSTITUTE(PROPERTIES[[#This Row],[PURCHASECOST_VALUE]], "PURCHASECOST_", ""), "_VALUE", "")</f>
        <v>COACH</v>
      </c>
      <c r="AO1035" s="41" t="b">
        <v>0</v>
      </c>
      <c r="AP1035" s="45" t="b">
        <v>1</v>
      </c>
      <c r="AQ1035" s="45" t="b">
        <v>0</v>
      </c>
      <c r="AR1035" s="45">
        <v>0</v>
      </c>
      <c r="AS1035" s="45" t="b">
        <v>0</v>
      </c>
      <c r="AT1035" s="7" t="b">
        <v>0</v>
      </c>
      <c r="AU103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TPL_04A</v>
      </c>
    </row>
    <row r="1036" spans="1:47" x14ac:dyDescent="0.35">
      <c r="A1036" s="2" t="s">
        <v>3606</v>
      </c>
      <c r="B1036">
        <v>1981</v>
      </c>
      <c r="D103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6" s="37" t="str">
        <f>INDEX(CONTROL[ENGLISH],MATCH(PROPERTIES[[#This Row],[VEHIDCODE]],CONTROL[VEHIDCODE],0))</f>
        <v>LTZ 2TE10M</v>
      </c>
      <c r="F1036" t="s">
        <v>716</v>
      </c>
      <c r="G1036" s="37" t="str">
        <f>_xlfn.IFNA(INDEX(COUNTRIES[COUNTRY_LABEL],MATCH(PROPERTIES[[#This Row],[COUNTRY]],COUNTRIES[COUNTRY_DESCRIPTION],0)),"")</f>
        <v>RU</v>
      </c>
      <c r="H103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INDEX(LOADINGSPEEDDEF[SPEED],MATCH("LOADINGSPEEDDEF_"&amp;PROPERTIES[[#This Row],[LOADINGSPEED]],LOADINGSPEEDDEF[TYPE],0))</f>
        <v>20</v>
      </c>
      <c r="O1036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4">
        <v>0</v>
      </c>
      <c r="AF1036" s="6">
        <v>0</v>
      </c>
      <c r="AG1036" t="s">
        <v>1943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1" t="b">
        <v>0</v>
      </c>
      <c r="AP1036" s="45" t="b">
        <v>0</v>
      </c>
      <c r="AQ1036" s="45" t="b">
        <v>0</v>
      </c>
      <c r="AR1036" s="45">
        <v>0</v>
      </c>
      <c r="AS1036" s="45" t="b">
        <v>0</v>
      </c>
      <c r="AT1036" s="7" t="b">
        <v>0</v>
      </c>
      <c r="AU103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37" spans="1:47" x14ac:dyDescent="0.35">
      <c r="A1037" s="2" t="s">
        <v>3607</v>
      </c>
      <c r="B1037">
        <v>1988</v>
      </c>
      <c r="C1037">
        <v>1990</v>
      </c>
      <c r="D103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7" s="37" t="str">
        <f>INDEX(CONTROL[ENGLISH],MATCH(PROPERTIES[[#This Row],[VEHIDCODE]],CONTROL[VEHIDCODE],0))</f>
        <v>LTZ 2TE126</v>
      </c>
      <c r="F1037" t="s">
        <v>754</v>
      </c>
      <c r="G1037" s="37" t="str">
        <f>_xlfn.IFNA(INDEX(COUNTRIES[COUNTRY_LABEL],MATCH(PROPERTIES[[#This Row],[COUNTRY]],COUNTRIES[COUNTRY_DESCRIPTION],0)),"")</f>
        <v>UA</v>
      </c>
      <c r="H103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INDEX(LOADINGSPEEDDEF[SPEED],MATCH("LOADINGSPEEDDEF_"&amp;PROPERTIES[[#This Row],[LOADINGSPEED]],LOADINGSPEEDDEF[TYPE],0))</f>
        <v>20</v>
      </c>
      <c r="O103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4">
        <v>0</v>
      </c>
      <c r="AF1037" s="6">
        <v>2</v>
      </c>
      <c r="AG1037" t="s">
        <v>1940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7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1" t="b">
        <v>0</v>
      </c>
      <c r="AP1037" s="45" t="b">
        <v>0</v>
      </c>
      <c r="AQ1037" s="45" t="b">
        <v>0</v>
      </c>
      <c r="AR1037" s="45">
        <v>0</v>
      </c>
      <c r="AS1037" s="45" t="b">
        <v>0</v>
      </c>
      <c r="AT1037" s="7" t="b">
        <v>0</v>
      </c>
      <c r="AU103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TPL_32D</v>
      </c>
    </row>
    <row r="1038" spans="1:47" x14ac:dyDescent="0.35">
      <c r="A1038" s="2" t="s">
        <v>3608</v>
      </c>
      <c r="B1038">
        <v>1989</v>
      </c>
      <c r="D103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8" s="37" t="str">
        <f>INDEX(CONTROL[ENGLISH],MATCH(PROPERTIES[[#This Row],[VEHIDCODE]],CONTROL[VEHIDCODE],0))</f>
        <v>LTZ 2TE10Ut</v>
      </c>
      <c r="F1038" t="s">
        <v>754</v>
      </c>
      <c r="G1038" s="37" t="str">
        <f>_xlfn.IFNA(INDEX(COUNTRIES[COUNTRY_LABEL],MATCH(PROPERTIES[[#This Row],[COUNTRY]],COUNTRIES[COUNTRY_DESCRIPTION],0)),"")</f>
        <v>UA</v>
      </c>
      <c r="H103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INDEX(LOADINGSPEEDDEF[SPEED],MATCH("LOADINGSPEEDDEF_"&amp;PROPERTIES[[#This Row],[LOADINGSPEED]],LOADINGSPEEDDEF[TYPE],0))</f>
        <v>20</v>
      </c>
      <c r="O103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4">
        <v>0</v>
      </c>
      <c r="AF1038" s="6">
        <v>0</v>
      </c>
      <c r="AG1038" t="s">
        <v>1940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38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1" t="b">
        <v>0</v>
      </c>
      <c r="AP1038" s="45" t="b">
        <v>0</v>
      </c>
      <c r="AQ1038" s="45" t="b">
        <v>0</v>
      </c>
      <c r="AR1038" s="45">
        <v>0</v>
      </c>
      <c r="AS1038" s="45" t="b">
        <v>0</v>
      </c>
      <c r="AT1038" s="7" t="b">
        <v>0</v>
      </c>
      <c r="AU103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39" spans="1:47" x14ac:dyDescent="0.35">
      <c r="A1039" t="s">
        <v>3648</v>
      </c>
      <c r="B1039">
        <v>1984</v>
      </c>
      <c r="D103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39" s="37" t="str">
        <f>INDEX(CONTROL[ENGLISH],MATCH(PROPERTIES[[#This Row],[VEHIDCODE]],CONTROL[VEHIDCODE],0))</f>
        <v>Faur A20D-P</v>
      </c>
      <c r="F1039" t="s">
        <v>714</v>
      </c>
      <c r="G1039" s="37" t="str">
        <f>_xlfn.IFNA(INDEX(COUNTRIES[COUNTRY_LABEL],MATCH(PROPERTIES[[#This Row],[COUNTRY]],COUNTRIES[COUNTRY_DESCRIPTION],0)),"")</f>
        <v>RO</v>
      </c>
      <c r="H103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INDEX(LOADINGSPEEDDEF[SPEED],MATCH("LOADINGSPEEDDEF_"&amp;PROPERTIES[[#This Row],[LOADINGSPEED]],LOADINGSPEEDDEF[TYPE],0))</f>
        <v>60</v>
      </c>
      <c r="O103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4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39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1" t="b">
        <v>0</v>
      </c>
      <c r="AP1039" s="45" t="b">
        <v>0</v>
      </c>
      <c r="AQ1039" s="45" t="b">
        <v>0</v>
      </c>
      <c r="AR1039" s="45">
        <v>0</v>
      </c>
      <c r="AS1039" s="45" t="b">
        <v>0</v>
      </c>
      <c r="AT1039" s="7" t="b">
        <v>0</v>
      </c>
      <c r="AU103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0" spans="1:47" x14ac:dyDescent="0.35">
      <c r="A1040" s="2" t="s">
        <v>3611</v>
      </c>
      <c r="B1040">
        <v>1984</v>
      </c>
      <c r="D104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0" s="37" t="str">
        <f>INDEX(CONTROL[ENGLISH],MATCH(PROPERTIES[[#This Row],[VEHIDCODE]],CONTROL[VEHIDCODE],0))</f>
        <v>Faur A20D-P Trailer</v>
      </c>
      <c r="G1040" s="37" t="str">
        <f>_xlfn.IFNA(INDEX(COUNTRIES[COUNTRY_LABEL],MATCH(PROPERTIES[[#This Row],[COUNTRY]],COUNTRIES[COUNTRY_DESCRIPTION],0)),"")</f>
        <v/>
      </c>
      <c r="H104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INDEX(LOADINGSPEEDDEF[SPEED],MATCH("LOADINGSPEEDDEF_"&amp;PROPERTIES[[#This Row],[LOADINGSPEED]],LOADINGSPEEDDEF[TYPE],0))</f>
        <v>60</v>
      </c>
      <c r="O1040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4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40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40" s="2" t="str">
        <f>SUBSTITUTE(SUBSTITUTE(PROPERTIES[[#This Row],[PURCHASECOST_VALUE]], "PURCHASECOST_", ""), "_VALUE", "")</f>
        <v>COACH</v>
      </c>
      <c r="AO1040" s="41" t="b">
        <v>0</v>
      </c>
      <c r="AP1040" s="45" t="b">
        <v>0</v>
      </c>
      <c r="AQ1040" s="45" t="b">
        <v>0</v>
      </c>
      <c r="AR1040" s="45">
        <v>0</v>
      </c>
      <c r="AS1040" s="45" t="b">
        <v>0</v>
      </c>
      <c r="AT1040" s="7" t="b">
        <v>0</v>
      </c>
      <c r="AU104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1041" spans="1:47" x14ac:dyDescent="0.35">
      <c r="A1041" s="2" t="s">
        <v>3613</v>
      </c>
      <c r="B1041">
        <v>1964</v>
      </c>
      <c r="C1041">
        <v>1990</v>
      </c>
      <c r="D104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1" s="37" t="str">
        <f>INDEX(CONTROL[ENGLISH],MATCH(PROPERTIES[[#This Row],[VEHIDCODE]],CONTROL[VEHIDCODE],0))</f>
        <v>Faur L45H</v>
      </c>
      <c r="F1041" t="s">
        <v>714</v>
      </c>
      <c r="G1041" s="37" t="str">
        <f>_xlfn.IFNA(INDEX(COUNTRIES[COUNTRY_LABEL],MATCH(PROPERTIES[[#This Row],[COUNTRY]],COUNTRIES[COUNTRY_DESCRIPTION],0)),"")</f>
        <v>RO</v>
      </c>
      <c r="H104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INDEX(LOADINGSPEEDDEF[SPEED],MATCH("LOADINGSPEEDDEF_"&amp;PROPERTIES[[#This Row],[LOADINGSPEED]],LOADINGSPEEDDEF[TYPE],0))</f>
        <v>20</v>
      </c>
      <c r="O104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4">
        <v>0</v>
      </c>
      <c r="AF1041" s="6">
        <v>0</v>
      </c>
      <c r="AG1041" s="6" t="s">
        <v>1940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1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1" t="b">
        <v>0</v>
      </c>
      <c r="AP1041" s="45" t="b">
        <v>0</v>
      </c>
      <c r="AQ1041" s="45" t="b">
        <v>0</v>
      </c>
      <c r="AR1041" s="45">
        <v>0</v>
      </c>
      <c r="AS1041" s="45" t="b">
        <v>0</v>
      </c>
      <c r="AT1041" s="7" t="b">
        <v>0</v>
      </c>
      <c r="AU104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2" spans="1:47" x14ac:dyDescent="0.35">
      <c r="A1042" s="2" t="s">
        <v>3617</v>
      </c>
      <c r="B1042">
        <v>1954</v>
      </c>
      <c r="D1042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2" s="37" t="str">
        <f>INDEX(CONTROL[ENGLISH],MATCH(PROPERTIES[[#This Row],[VEHIDCODE]],CONTROL[VEHIDCODE],0))</f>
        <v>Pafawag 3Aw</v>
      </c>
      <c r="F1042" t="s">
        <v>705</v>
      </c>
      <c r="G1042" s="37" t="str">
        <f>_xlfn.IFNA(INDEX(COUNTRIES[COUNTRY_LABEL],MATCH(PROPERTIES[[#This Row],[COUNTRY]],COUNTRIES[COUNTRY_DESCRIPTION],0)),"")</f>
        <v>PL</v>
      </c>
      <c r="H1042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INDEX(LOADINGSPEEDDEF[SPEED],MATCH("LOADINGSPEEDDEF_"&amp;PROPERTIES[[#This Row],[LOADINGSPEED]],LOADINGSPEEDDEF[TYPE],0))</f>
        <v>60</v>
      </c>
      <c r="O1042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4">
        <v>0</v>
      </c>
      <c r="AF1042" s="6">
        <v>0</v>
      </c>
      <c r="AG1042" s="6" t="s">
        <v>1940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"PURCHASECOST_"&amp;INDEX(VEHICLE_ID_RANGES[COST_VALUE_TYPE],MATCH(INDEX(CONTROL[VEHID_ID_CATEGORY],MATCH(PROPERTIES[[#This Row],[VEHIDCODE]],CONTROL[VEHIDCODE],0)),VEHICLE_ID_RANGES[ID Type],0))&amp;"_VALUE"</f>
        <v>PURCHASECOST_COACH_VALUE</v>
      </c>
      <c r="AM1042" t="str">
        <f>"RUNNINGCOST_"&amp;INDEX(VEHICLE_ID_RANGES[COST_VALUE_TYPE],MATCH(INDEX(CONTROL[VEHID_ID_CATEGORY],MATCH(PROPERTIES[[#This Row],[VEHIDCODE]],CONTROL[VEHIDCODE],0)),VEHICLE_ID_RANGES[ID Type],0))&amp;"_VALUE"</f>
        <v>RUNNINGCOST_COACH_VALUE</v>
      </c>
      <c r="AN1042" s="2" t="str">
        <f>SUBSTITUTE(SUBSTITUTE(PROPERTIES[[#This Row],[PURCHASECOST_VALUE]], "PURCHASECOST_", ""), "_VALUE", "")</f>
        <v>COACH</v>
      </c>
      <c r="AO1042" s="41" t="b">
        <v>0</v>
      </c>
      <c r="AP1042" s="45" t="b">
        <v>0</v>
      </c>
      <c r="AQ1042" s="45" t="b">
        <v>0</v>
      </c>
      <c r="AR1042" s="45">
        <v>0</v>
      </c>
      <c r="AS1042" s="45" t="b">
        <v>0</v>
      </c>
      <c r="AT1042" s="7" t="b">
        <v>0</v>
      </c>
      <c r="AU1042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TPL_04U</v>
      </c>
    </row>
    <row r="1043" spans="1:47" x14ac:dyDescent="0.35">
      <c r="A1043" s="2" t="s">
        <v>3619</v>
      </c>
      <c r="B1043">
        <v>1971</v>
      </c>
      <c r="D1043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3" s="37" t="str">
        <f>INDEX(CONTROL[ENGLISH],MATCH(PROPERTIES[[#This Row],[VEHIDCODE]],CONTROL[VEHIDCODE],0))</f>
        <v>KMZ TU7/TGM40</v>
      </c>
      <c r="F1043" t="s">
        <v>716</v>
      </c>
      <c r="G1043" s="37" t="str">
        <f>_xlfn.IFNA(INDEX(COUNTRIES[COUNTRY_LABEL],MATCH(PROPERTIES[[#This Row],[COUNTRY]],COUNTRIES[COUNTRY_DESCRIPTION],0)),"")</f>
        <v>RU</v>
      </c>
      <c r="H1043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INDEX(LOADINGSPEEDDEF[SPEED],MATCH("LOADINGSPEEDDEF_"&amp;PROPERTIES[[#This Row],[LOADINGSPEED]],LOADINGSPEEDDEF[TYPE],0))</f>
        <v>20</v>
      </c>
      <c r="O1043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4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3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1" t="b">
        <v>0</v>
      </c>
      <c r="AP1043" s="45" t="b">
        <v>0</v>
      </c>
      <c r="AQ1043" s="45" t="b">
        <v>0</v>
      </c>
      <c r="AR1043" s="45">
        <v>0</v>
      </c>
      <c r="AS1043" s="45" t="b">
        <v>0</v>
      </c>
      <c r="AT1043" s="7" t="b">
        <v>0</v>
      </c>
      <c r="AU1043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4" spans="1:47" x14ac:dyDescent="0.35">
      <c r="A1044" s="2" t="s">
        <v>3624</v>
      </c>
      <c r="B1044">
        <v>1952</v>
      </c>
      <c r="C1044">
        <v>2001</v>
      </c>
      <c r="D1044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4" s="37" t="str">
        <f>INDEX(CONTROL[ENGLISH],MATCH(PROPERTIES[[#This Row],[VEHIDCODE]],CONTROL[VEHIDCODE],0))</f>
        <v>Alsthom CC 7100</v>
      </c>
      <c r="F1044" t="s">
        <v>602</v>
      </c>
      <c r="G1044" s="37" t="str">
        <f>_xlfn.IFNA(INDEX(COUNTRIES[COUNTRY_LABEL],MATCH(PROPERTIES[[#This Row],[COUNTRY]],COUNTRIES[COUNTRY_DESCRIPTION],0)),"")</f>
        <v>FR</v>
      </c>
      <c r="H1044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INDEX(LOADINGSPEEDDEF[SPEED],MATCH("LOADINGSPEEDDEF_"&amp;PROPERTIES[[#This Row],[LOADINGSPEED]],LOADINGSPEEDDEF[TYPE],0))</f>
        <v>20</v>
      </c>
      <c r="O1044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4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4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1" t="b">
        <v>0</v>
      </c>
      <c r="AP1044" s="45" t="b">
        <v>0</v>
      </c>
      <c r="AQ1044" s="45" t="b">
        <v>0</v>
      </c>
      <c r="AR1044" s="45">
        <v>0</v>
      </c>
      <c r="AS1044" s="45" t="b">
        <v>0</v>
      </c>
      <c r="AT1044" s="7" t="b">
        <v>0</v>
      </c>
      <c r="AU1044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5" spans="1:47" x14ac:dyDescent="0.35">
      <c r="A1045" s="2" t="s">
        <v>3622</v>
      </c>
      <c r="B1045">
        <v>1959</v>
      </c>
      <c r="C1045">
        <v>1987</v>
      </c>
      <c r="D1045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5" s="37" t="str">
        <f>INDEX(CONTROL[ENGLISH],MATCH(PROPERTIES[[#This Row],[VEHIDCODE]],CONTROL[VEHIDCODE],0))</f>
        <v>Alsthom F Series</v>
      </c>
      <c r="F1045" t="s">
        <v>602</v>
      </c>
      <c r="G1045" s="37" t="str">
        <f>_xlfn.IFNA(INDEX(COUNTRIES[COUNTRY_LABEL],MATCH(PROPERTIES[[#This Row],[COUNTRY]],COUNTRIES[COUNTRY_DESCRIPTION],0)),"")</f>
        <v>FR</v>
      </c>
      <c r="H1045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INDEX(LOADINGSPEEDDEF[SPEED],MATCH("LOADINGSPEEDDEF_"&amp;PROPERTIES[[#This Row],[LOADINGSPEED]],LOADINGSPEEDDEF[TYPE],0))</f>
        <v>20</v>
      </c>
      <c r="O1045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4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5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1" t="b">
        <v>0</v>
      </c>
      <c r="AP1045" s="45" t="b">
        <v>0</v>
      </c>
      <c r="AQ1045" s="45" t="b">
        <v>0</v>
      </c>
      <c r="AR1045" s="45">
        <v>0</v>
      </c>
      <c r="AS1045" s="45" t="b">
        <v>0</v>
      </c>
      <c r="AT1045" s="7" t="b">
        <v>0</v>
      </c>
      <c r="AU1045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6" spans="1:47" x14ac:dyDescent="0.35">
      <c r="A1046" s="2" t="s">
        <v>3668</v>
      </c>
      <c r="B1046">
        <v>2015</v>
      </c>
      <c r="D1046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6" s="37" t="str">
        <f>INDEX(CONTROL[ENGLISH],MATCH(PROPERTIES[[#This Row],[VEHIDCODE]],CONTROL[VEHIDCODE],0))</f>
        <v>Siemens Vectron MS</v>
      </c>
      <c r="F1046" t="s">
        <v>584</v>
      </c>
      <c r="G1046" s="37" t="str">
        <f>_xlfn.IFNA(INDEX(COUNTRIES[COUNTRY_LABEL],MATCH(PROPERTIES[[#This Row],[COUNTRY]],COUNTRIES[COUNTRY_DESCRIPTION],0)),"")</f>
        <v>DE</v>
      </c>
      <c r="H1046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INDEX(LOADINGSPEEDDEF[SPEED],MATCH("LOADINGSPEEDDEF_"&amp;PROPERTIES[[#This Row],[LOADINGSPEED]],LOADINGSPEEDDEF[TYPE],0))</f>
        <v>20</v>
      </c>
      <c r="O1046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4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6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1" t="b">
        <v>0</v>
      </c>
      <c r="AP1046" s="45" t="b">
        <v>0</v>
      </c>
      <c r="AQ1046" s="45" t="b">
        <v>0</v>
      </c>
      <c r="AR1046" s="45">
        <v>0</v>
      </c>
      <c r="AS1046" s="45" t="b">
        <v>0</v>
      </c>
      <c r="AT1046" s="7" t="b">
        <v>0</v>
      </c>
      <c r="AU1046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7" spans="1:47" x14ac:dyDescent="0.35">
      <c r="A1047" s="2" t="s">
        <v>3633</v>
      </c>
      <c r="B1047">
        <v>2016</v>
      </c>
      <c r="D1047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7" s="37" t="str">
        <f>INDEX(CONTROL[ENGLISH],MATCH(PROPERTIES[[#This Row],[VEHIDCODE]],CONTROL[VEHIDCODE],0))</f>
        <v>Siemens Vectron DE</v>
      </c>
      <c r="F1047" t="s">
        <v>584</v>
      </c>
      <c r="G1047" s="37" t="str">
        <f>_xlfn.IFNA(INDEX(COUNTRIES[COUNTRY_LABEL],MATCH(PROPERTIES[[#This Row],[COUNTRY]],COUNTRIES[COUNTRY_DESCRIPTION],0)),"")</f>
        <v>DE</v>
      </c>
      <c r="H1047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INDEX(LOADINGSPEEDDEF[SPEED],MATCH("LOADINGSPEEDDEF_"&amp;PROPERTIES[[#This Row],[LOADINGSPEED]],LOADINGSPEEDDEF[TYPE],0))</f>
        <v>20</v>
      </c>
      <c r="O1047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4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47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1" t="b">
        <v>0</v>
      </c>
      <c r="AP1047" s="45" t="b">
        <v>0</v>
      </c>
      <c r="AQ1047" s="45" t="b">
        <v>0</v>
      </c>
      <c r="AR1047" s="45">
        <v>0</v>
      </c>
      <c r="AS1047" s="45" t="b">
        <v>0</v>
      </c>
      <c r="AT1047" s="7" t="b">
        <v>0</v>
      </c>
      <c r="AU1047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8" spans="1:47" x14ac:dyDescent="0.35">
      <c r="A1048" s="2" t="s">
        <v>3630</v>
      </c>
      <c r="B1048">
        <v>2026</v>
      </c>
      <c r="D1048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8" s="37" t="str">
        <f>INDEX(CONTROL[ENGLISH],MATCH(PROPERTIES[[#This Row],[VEHIDCODE]],CONTROL[VEHIDCODE],0))</f>
        <v>Siemens Vectron Dual Mode</v>
      </c>
      <c r="F1048" t="s">
        <v>584</v>
      </c>
      <c r="G1048" s="37" t="str">
        <f>_xlfn.IFNA(INDEX(COUNTRIES[COUNTRY_LABEL],MATCH(PROPERTIES[[#This Row],[COUNTRY]],COUNTRIES[COUNTRY_DESCRIPTION],0)),"")</f>
        <v>DE</v>
      </c>
      <c r="H1048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INDEX(LOADINGSPEEDDEF[SPEED],MATCH("LOADINGSPEEDDEF_"&amp;PROPERTIES[[#This Row],[LOADINGSPEED]],LOADINGSPEEDDEF[TYPE],0))</f>
        <v>20</v>
      </c>
      <c r="O1048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4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"PURCHASECOST_"&amp;INDEX(VEHICLE_ID_RANGES[COST_VALUE_TYPE],MATCH(INDEX(CONTROL[VEHID_ID_CATEGORY],MATCH(PROPERTIES[[#This Row],[VEHIDCODE]],CONTROL[VEHIDCODE],0)),VEHICLE_ID_RANGES[ID Type],0))&amp;"_VALUE"</f>
        <v>PURCHASECOST_ELECTRICENGINE_VALUE</v>
      </c>
      <c r="AM1048" s="6" t="str">
        <f>"RUNNINGCOST_"&amp;INDEX(VEHICLE_ID_RANGES[COST_VALUE_TYPE],MATCH(INDEX(CONTROL[VEHID_ID_CATEGORY],MATCH(PROPERTIES[[#This Row],[VEHIDCODE]],CONTROL[VEHIDCODE],0)),VEHICLE_ID_RANGES[ID Type],0))&amp;"_VALUE"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1" t="s">
        <v>3637</v>
      </c>
      <c r="AP1048" s="45" t="b">
        <v>0</v>
      </c>
      <c r="AQ1048" s="45" t="b">
        <v>0</v>
      </c>
      <c r="AR1048" s="45">
        <v>0</v>
      </c>
      <c r="AS1048" s="45" t="b">
        <v>0</v>
      </c>
      <c r="AT1048" s="7" t="b">
        <v>0</v>
      </c>
      <c r="AU1048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TPL_01A</v>
      </c>
    </row>
    <row r="1049" spans="1:47" x14ac:dyDescent="0.35">
      <c r="A1049" s="2" t="s">
        <v>3651</v>
      </c>
      <c r="B1049">
        <v>1946</v>
      </c>
      <c r="C1049">
        <v>1954</v>
      </c>
      <c r="D1049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49" s="37" t="str">
        <f>INDEX(CONTROL[ENGLISH],MATCH(PROPERTIES[[#This Row],[VEHIDCODE]],CONTROL[VEHIDCODE],0))</f>
        <v>Tours/Chapelon 2-12-0 SNCF 160A</v>
      </c>
      <c r="F1049" t="s">
        <v>602</v>
      </c>
      <c r="G1049" s="37" t="str">
        <f>_xlfn.IFNA(INDEX(COUNTRIES[COUNTRY_LABEL],MATCH(PROPERTIES[[#This Row],[COUNTRY]],COUNTRIES[COUNTRY_DESCRIPTION],0)),"")</f>
        <v>FR</v>
      </c>
      <c r="H1049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INDEX(LOADINGSPEEDDEF[SPEED],MATCH("LOADINGSPEEDDEF_"&amp;PROPERTIES[[#This Row],[LOADINGSPEED]],LOADINGSPEEDDEF[TYPE],0))</f>
        <v>20</v>
      </c>
      <c r="O1049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4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"PURCHASECOST_"&amp;INDEX(VEHICLE_ID_RANGES[COST_VALUE_TYPE],MATCH(INDEX(CONTROL[VEHID_ID_CATEGORY],MATCH(PROPERTIES[[#This Row],[VEHIDCODE]],CONTROL[VEHIDCODE],0)),VEHICLE_ID_RANGES[ID Type],0))&amp;"_VALUE"</f>
        <v>PURCHASECOST_STEAMENGINE_VALUE</v>
      </c>
      <c r="AM1049" s="6" t="str">
        <f>"RUNNINGCOST_"&amp;INDEX(VEHICLE_ID_RANGES[COST_VALUE_TYPE],MATCH(INDEX(CONTROL[VEHID_ID_CATEGORY],MATCH(PROPERTIES[[#This Row],[VEHIDCODE]],CONTROL[VEHIDCODE],0)),VEHICLE_ID_RANGES[ID Type],0))&amp;"_VALUE"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1" t="b">
        <v>0</v>
      </c>
      <c r="AP1049" s="45" t="b">
        <v>0</v>
      </c>
      <c r="AQ1049" s="45" t="b">
        <v>0</v>
      </c>
      <c r="AR1049" s="45">
        <v>0</v>
      </c>
      <c r="AS1049" s="45" t="b">
        <v>0</v>
      </c>
      <c r="AT1049" s="7" t="b">
        <v>0</v>
      </c>
      <c r="AU1049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TPL_03G</v>
      </c>
    </row>
    <row r="1050" spans="1:47" x14ac:dyDescent="0.35">
      <c r="A1050" s="2" t="s">
        <v>3666</v>
      </c>
      <c r="B1050">
        <v>1971</v>
      </c>
      <c r="C1050">
        <v>2030</v>
      </c>
      <c r="D1050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50" s="37" t="str">
        <f>INDEX(CONTROL[ENGLISH],MATCH(PROPERTIES[[#This Row],[VEHIDCODE]],CONTROL[VEHIDCODE],0))</f>
        <v>LTZ 2TE116</v>
      </c>
      <c r="F1050" t="s">
        <v>754</v>
      </c>
      <c r="G1050" s="37" t="str">
        <f>_xlfn.IFNA(INDEX(COUNTRIES[COUNTRY_LABEL],MATCH(PROPERTIES[[#This Row],[COUNTRY]],COUNTRIES[COUNTRY_DESCRIPTION],0)),"")</f>
        <v>UA</v>
      </c>
      <c r="H1050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INDEX(LOADINGSPEEDDEF[SPEED],MATCH("LOADINGSPEEDDEF_"&amp;PROPERTIES[[#This Row],[LOADINGSPEED]],LOADINGSPEEDDEF[TYPE],0))</f>
        <v>20</v>
      </c>
      <c r="O1050" t="str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4">
        <v>0</v>
      </c>
      <c r="AF1050" s="6">
        <v>0</v>
      </c>
      <c r="AG1050" s="6" t="s">
        <v>1940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"PURCHASECOST_"&amp;INDEX(VEHICLE_ID_RANGES[COST_VALUE_TYPE],MATCH(INDEX(CONTROL[VEHID_ID_CATEGORY],MATCH(PROPERTIES[[#This Row],[VEHIDCODE]],CONTROL[VEHIDCODE],0)),VEHICLE_ID_RANGES[ID Type],0))&amp;"_VALUE"</f>
        <v>PURCHASECOST_DIESELENGINE_VALUE</v>
      </c>
      <c r="AM1050" s="6" t="str">
        <f>"RUNNINGCOST_"&amp;INDEX(VEHICLE_ID_RANGES[COST_VALUE_TYPE],MATCH(INDEX(CONTROL[VEHID_ID_CATEGORY],MATCH(PROPERTIES[[#This Row],[VEHIDCODE]],CONTROL[VEHIDCODE],0)),VEHICLE_ID_RANGES[ID Type],0))&amp;"_VALUE"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1" t="b">
        <v>0</v>
      </c>
      <c r="AP1050" s="45" t="b">
        <v>0</v>
      </c>
      <c r="AQ1050" s="45" t="b">
        <v>0</v>
      </c>
      <c r="AR1050" s="45">
        <v>0</v>
      </c>
      <c r="AS1050" s="45" t="b">
        <v>0</v>
      </c>
      <c r="AT1050" s="7" t="b">
        <v>0</v>
      </c>
      <c r="AU1050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TPL_03F</v>
      </c>
    </row>
    <row r="1051" spans="1:47" x14ac:dyDescent="0.35">
      <c r="A1051" s="2" t="s">
        <v>3691</v>
      </c>
      <c r="B1051">
        <v>1960</v>
      </c>
      <c r="C1051">
        <v>1975</v>
      </c>
      <c r="D1051">
        <f>_xlfn.IFS(ISNUMBER(SEARCH("wagon",PROPERTIES[[#This Row],[VEHIDCODE]])),0,OR(MID(PROPERTIES[[#This Row],[VEHIDCODE]],2,2)="mu",LEFT(PROPERTIES[[#This Row],[VEHIDCODE]],FIND("_",PROPERTIES[[#This Row],[VEHIDCODE]])-1)="mtro",LEFT(PROPERTIES[[#This Row],[VEHIDCODE]],FIND("_",PROPERTIES[[#This Row],[VEHIDCODE]])-1)="cargodmu",LEFT(PROPERTIES[[#This Row],[VEHIDCODE]],FIND("_",PROPERTIES[[#This Row],[VEHIDCODE]])-1)="cargoemu"),1,1=1,0)</f>
        <v>0</v>
      </c>
      <c r="E1051" s="37" t="str">
        <f>INDEX(CONTROL[ENGLISH],MATCH(PROPERTIES[[#This Row],[VEHIDCODE]],CONTROL[VEHIDCODE],0))</f>
        <v>Ganz-MAVAG SN61</v>
      </c>
      <c r="F1051" t="s">
        <v>626</v>
      </c>
      <c r="G1051" s="37" t="str">
        <f>_xlfn.IFNA(INDEX(COUNTRIES[COUNTRY_LABEL],MATCH(PROPERTIES[[#This Row],[COUNTRY]],COUNTRIES[COUNTRY_DESCRIPTION],0)),"")</f>
        <v>HU</v>
      </c>
      <c r="H1051" t="str">
        <f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1" t="s">
        <v>22</v>
      </c>
      <c r="J1051">
        <v>48</v>
      </c>
      <c r="K1051">
        <v>8</v>
      </c>
      <c r="L1051">
        <v>0</v>
      </c>
      <c r="M1051" t="str">
        <f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51">
        <f>INDEX(LOADINGSPEEDDEF[SPEED],MATCH("LOADINGSPEEDDEF_"&amp;PROPERTIES[[#This Row],[LOADINGSPEED]],LOADINGSPEEDDEF[TYPE],0))</f>
        <v>60</v>
      </c>
      <c r="O1051">
        <f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1">
        <f>IF(ISNUMBER(SEARCH("passenger",PROPERTIES[[#This Row],[CARGODEF]])),1,0)</f>
        <v>1</v>
      </c>
      <c r="Q1051" s="23">
        <v>57</v>
      </c>
      <c r="R1051">
        <v>500</v>
      </c>
      <c r="U1051">
        <v>0</v>
      </c>
      <c r="V1051">
        <v>108</v>
      </c>
      <c r="Y1051">
        <v>0</v>
      </c>
      <c r="Z1051" s="20">
        <v>0</v>
      </c>
      <c r="AA1051" s="20">
        <f>IFERROR(PROPERTIES[[#This Row],[TE_STARTING_KN]]/(PROPERTIES[[#This Row],[WEIGHT]]*9.81),0)</f>
        <v>0</v>
      </c>
      <c r="AB1051" s="20">
        <v>0.2</v>
      </c>
      <c r="AC1051" s="16">
        <f>ROUND(IF(IFERROR(PROPERTIES[[#This Row],[TE_COEFFICIENT_CALC]],0)=0,PROPERTIES[[#This Row],[TE_COEFFICIENT_MANUAL]],PROPERTIES[[#This Row],[TE_COEFFICIENT_CALC]]),3)</f>
        <v>0.2</v>
      </c>
      <c r="AD1051" s="36">
        <f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1" s="24">
        <v>0</v>
      </c>
      <c r="AF1051" s="6">
        <v>0</v>
      </c>
      <c r="AG1051" s="6" t="s">
        <v>236</v>
      </c>
      <c r="AH1051" t="s">
        <v>229</v>
      </c>
      <c r="AI1051" t="s">
        <v>229</v>
      </c>
      <c r="AJ1051" s="2" t="s">
        <v>229</v>
      </c>
      <c r="AK1051" s="2" t="s">
        <v>244</v>
      </c>
      <c r="AL1051" s="6" t="str">
        <f>"PURCHASECOST_"&amp;INDEX(VEHICLE_ID_RANGES[COST_VALUE_TYPE],MATCH(INDEX(CONTROL[VEHID_ID_CATEGORY],MATCH(PROPERTIES[[#This Row],[VEHIDCODE]],CONTROL[VEHIDCODE],0)),VEHICLE_ID_RANGES[ID Type],0))&amp;"_VALUE"</f>
        <v>PURCHASECOST_DIESELRAILBUS_VALUE</v>
      </c>
      <c r="AM1051" s="6" t="str">
        <f>"RUNNINGCOST_"&amp;INDEX(VEHICLE_ID_RANGES[COST_VALUE_TYPE],MATCH(INDEX(CONTROL[VEHID_ID_CATEGORY],MATCH(PROPERTIES[[#This Row],[VEHIDCODE]],CONTROL[VEHIDCODE],0)),VEHICLE_ID_RANGES[ID Type],0))&amp;"_VALUE"</f>
        <v>RUNNINGCOST_DIESELRAILBUS_VALUE</v>
      </c>
      <c r="AN1051" s="2" t="str">
        <f>SUBSTITUTE(SUBSTITUTE(PROPERTIES[[#This Row],[PURCHASECOST_VALUE]], "PURCHASECOST_", ""), "_VALUE", "")</f>
        <v>DIESELRAILBUS</v>
      </c>
      <c r="AO1051" s="41" t="b">
        <v>0</v>
      </c>
      <c r="AP1051" s="45" t="b">
        <v>0</v>
      </c>
      <c r="AQ1051" s="45" t="b">
        <v>0</v>
      </c>
      <c r="AR1051" s="45">
        <v>0</v>
      </c>
      <c r="AS1051" s="45" t="b">
        <v>0</v>
      </c>
      <c r="AT1051" s="7" t="b">
        <v>0</v>
      </c>
      <c r="AU1051" s="37" t="str">
        <f>INDEX(GRAPHICS_PROPERTIES[TEMPLATE_ID],MATCH(PROPERTIES[[#This Row],[VEHIDCODE]],GRAPHICS_PROPERTIES[VEHIDCODE],0))&amp;INDEX(GRAPHICS_PROPERTIES[TEMPLATE_AMENDMENT_CODE],MATCH(PROPERTIES[[#This Row],[VEHIDCODE]],GRAPHICS_PROPERTIES[VEHIDCODE],0))</f>
        <v>TPL_01H</v>
      </c>
    </row>
  </sheetData>
  <phoneticPr fontId="18" type="noConversion"/>
  <conditionalFormatting sqref="A1:A891 A895:A1050 A1052:A1048576">
    <cfRule type="expression" dxfId="76" priority="39">
      <formula>$AT1=TRUE</formula>
    </cfRule>
  </conditionalFormatting>
  <conditionalFormatting sqref="A892:A894">
    <cfRule type="expression" dxfId="75" priority="15">
      <formula>$Q892=TRUE</formula>
    </cfRule>
  </conditionalFormatting>
  <conditionalFormatting sqref="A892:A940">
    <cfRule type="containsText" dxfId="74" priority="16" operator="containsText" text=" ">
      <formula>NOT(ISERROR(SEARCH(" ",A892)))</formula>
    </cfRule>
  </conditionalFormatting>
  <conditionalFormatting sqref="A942:A943">
    <cfRule type="containsText" dxfId="73" priority="225" operator="containsText" text=" ">
      <formula>NOT(ISERROR(SEARCH(" ",A942)))</formula>
    </cfRule>
  </conditionalFormatting>
  <conditionalFormatting sqref="A946:A950">
    <cfRule type="containsText" dxfId="72" priority="214" operator="containsText" text=" ">
      <formula>NOT(ISERROR(SEARCH(" ",A946)))</formula>
    </cfRule>
  </conditionalFormatting>
  <conditionalFormatting sqref="A952:A953">
    <cfRule type="containsText" dxfId="71" priority="205" operator="containsText" text=" ">
      <formula>NOT(ISERROR(SEARCH(" ",A952)))</formula>
    </cfRule>
  </conditionalFormatting>
  <conditionalFormatting sqref="A956:A971">
    <cfRule type="containsText" dxfId="70" priority="172" operator="containsText" text=" ">
      <formula>NOT(ISERROR(SEARCH(" ",A956)))</formula>
    </cfRule>
  </conditionalFormatting>
  <conditionalFormatting sqref="A974:A977">
    <cfRule type="containsText" dxfId="69" priority="159" operator="containsText" text=" ">
      <formula>NOT(ISERROR(SEARCH(" ",A974)))</formula>
    </cfRule>
  </conditionalFormatting>
  <conditionalFormatting sqref="A979:A982">
    <cfRule type="containsText" dxfId="68" priority="144" operator="containsText" text=" ">
      <formula>NOT(ISERROR(SEARCH(" ",A979)))</formula>
    </cfRule>
  </conditionalFormatting>
  <conditionalFormatting sqref="A985:A986">
    <cfRule type="containsText" dxfId="67" priority="140" operator="containsText" text=" ">
      <formula>NOT(ISERROR(SEARCH(" ",A985)))</formula>
    </cfRule>
  </conditionalFormatting>
  <conditionalFormatting sqref="A988:A991">
    <cfRule type="containsText" dxfId="66" priority="135" operator="containsText" text=" ">
      <formula>NOT(ISERROR(SEARCH(" ",A988)))</formula>
    </cfRule>
  </conditionalFormatting>
  <conditionalFormatting sqref="A994:A1029">
    <cfRule type="containsText" dxfId="65" priority="64" operator="containsText" text=" ">
      <formula>NOT(ISERROR(SEARCH(" ",A994)))</formula>
    </cfRule>
  </conditionalFormatting>
  <conditionalFormatting sqref="A1031:A1051">
    <cfRule type="containsText" dxfId="64" priority="2" operator="containsText" text=" ">
      <formula>NOT(ISERROR(SEARCH(" ",A1031)))</formula>
    </cfRule>
  </conditionalFormatting>
  <conditionalFormatting sqref="A1050:A1051">
    <cfRule type="expression" dxfId="63" priority="1">
      <formula>$Q1050=TRUE</formula>
    </cfRule>
  </conditionalFormatting>
  <conditionalFormatting sqref="J1:J1048576">
    <cfRule type="expression" dxfId="61" priority="211">
      <formula>AND(I1="NONE",J1&gt;0)</formula>
    </cfRule>
  </conditionalFormatting>
  <conditionalFormatting sqref="W1:Y1051 L1:L1048576 R1:U1048576">
    <cfRule type="cellIs" dxfId="60" priority="40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59" priority="324" operator="equal">
      <formula>0</formula>
    </cfRule>
  </conditionalFormatting>
  <conditionalFormatting sqref="Z898:Z899">
    <cfRule type="cellIs" dxfId="58" priority="283" operator="equal">
      <formula>0</formula>
    </cfRule>
  </conditionalFormatting>
  <conditionalFormatting sqref="Z914:Z915">
    <cfRule type="cellIs" dxfId="57" priority="262" operator="equal">
      <formula>0</formula>
    </cfRule>
  </conditionalFormatting>
  <conditionalFormatting sqref="Z975">
    <cfRule type="cellIs" dxfId="56" priority="163" operator="equal">
      <formula>0</formula>
    </cfRule>
  </conditionalFormatting>
  <conditionalFormatting sqref="Z1033:Z1034">
    <cfRule type="cellIs" dxfId="55" priority="58" operator="equal">
      <formula>0</formula>
    </cfRule>
  </conditionalFormatting>
  <conditionalFormatting sqref="Z1013:AA1013">
    <cfRule type="cellIs" dxfId="54" priority="83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3" priority="370" operator="equal">
      <formula>0</formula>
    </cfRule>
  </conditionalFormatting>
  <conditionalFormatting sqref="Z970:AB973">
    <cfRule type="cellIs" dxfId="52" priority="168" operator="equal">
      <formula>0</formula>
    </cfRule>
  </conditionalFormatting>
  <conditionalFormatting sqref="Z977:AB978">
    <cfRule type="cellIs" dxfId="51" priority="156" operator="equal">
      <formula>0</formula>
    </cfRule>
  </conditionalFormatting>
  <conditionalFormatting sqref="Z981:AB981">
    <cfRule type="cellIs" dxfId="50" priority="147" operator="equal">
      <formula>0</formula>
    </cfRule>
  </conditionalFormatting>
  <conditionalFormatting sqref="Z992:AB992">
    <cfRule type="cellIs" dxfId="49" priority="134" operator="equal">
      <formula>0</formula>
    </cfRule>
  </conditionalFormatting>
  <conditionalFormatting sqref="Z999:AB999">
    <cfRule type="cellIs" dxfId="48" priority="113" operator="equal">
      <formula>0</formula>
    </cfRule>
  </conditionalFormatting>
  <conditionalFormatting sqref="Z1001:AB1002">
    <cfRule type="cellIs" dxfId="47" priority="110" operator="equal">
      <formula>0</formula>
    </cfRule>
  </conditionalFormatting>
  <conditionalFormatting sqref="Z1012:AB1012">
    <cfRule type="cellIs" dxfId="46" priority="90" operator="equal">
      <formula>0</formula>
    </cfRule>
  </conditionalFormatting>
  <conditionalFormatting sqref="Z1020:AB1021">
    <cfRule type="cellIs" dxfId="45" priority="73" operator="equal">
      <formula>0</formula>
    </cfRule>
  </conditionalFormatting>
  <conditionalFormatting sqref="Z1026:AB1026">
    <cfRule type="cellIs" dxfId="44" priority="68" operator="equal">
      <formula>0</formula>
    </cfRule>
  </conditionalFormatting>
  <conditionalFormatting sqref="Z1030:AB1032">
    <cfRule type="cellIs" dxfId="43" priority="61" operator="equal">
      <formula>0</formula>
    </cfRule>
  </conditionalFormatting>
  <conditionalFormatting sqref="Z1036:AB1038">
    <cfRule type="cellIs" dxfId="42" priority="55" operator="equal">
      <formula>0</formula>
    </cfRule>
  </conditionalFormatting>
  <conditionalFormatting sqref="AA980:AB980">
    <cfRule type="cellIs" dxfId="41" priority="151" operator="equal">
      <formula>0</formula>
    </cfRule>
  </conditionalFormatting>
  <conditionalFormatting sqref="AA1033:AB1034">
    <cfRule type="cellIs" dxfId="40" priority="59" operator="equal">
      <formula>0</formula>
    </cfRule>
  </conditionalFormatting>
  <conditionalFormatting sqref="AG1:AJ1048576">
    <cfRule type="containsText" dxfId="39" priority="79" operator="containsText" text="NO_REGION">
      <formula>NOT(ISERROR(SEARCH("NO_REGION",AG1)))</formula>
    </cfRule>
  </conditionalFormatting>
  <conditionalFormatting sqref="AK2:AK1051">
    <cfRule type="containsText" dxfId="38" priority="80" operator="containsText" text="NO_CONCEPT">
      <formula>NOT(ISERROR(SEARCH("NO_CONCEPT",AK2)))</formula>
    </cfRule>
  </conditionalFormatting>
  <conditionalFormatting sqref="AL2:AM1051">
    <cfRule type="cellIs" dxfId="37" priority="306" operator="equal">
      <formula>FALSE</formula>
    </cfRule>
  </conditionalFormatting>
  <conditionalFormatting sqref="AO2:AO1051">
    <cfRule type="containsText" dxfId="36" priority="355" operator="containsText" text="FALSE">
      <formula>NOT(ISERROR(SEARCH("FALSE",AO2)))</formula>
    </cfRule>
  </conditionalFormatting>
  <conditionalFormatting sqref="AP2:AT1051">
    <cfRule type="cellIs" dxfId="35" priority="47" operator="equal">
      <formula>FALSE</formula>
    </cfRule>
  </conditionalFormatting>
  <dataValidations count="16">
    <dataValidation type="whole" operator="greaterThanOrEqual" allowBlank="1" showInputMessage="1" showErrorMessage="1" sqref="Q1013 R2:Y1051 P2:P1051 AE2:AF1051 J2:J1051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1" xr:uid="{F342F512-E760-4CD3-801B-E5B9CF70B7FD}">
      <formula1>0</formula1>
    </dataValidation>
    <dataValidation operator="greaterThanOrEqual" allowBlank="1" showInputMessage="1" showErrorMessage="1" sqref="AU792:AV992 AR1:AS1 AU790:AU791 AV993:AV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P1052:AQ1048576" xr:uid="{3DF92062-7B45-4CFD-B785-6FCE07E25CA8}">
      <formula1>"GAS_TURBINE,DUAL"</formula1>
    </dataValidation>
    <dataValidation type="list" allowBlank="1" showInputMessage="1" showErrorMessage="1" sqref="F2:F1051" xr:uid="{33652263-03A3-437A-966A-BE8C0F8BE076}">
      <formula1>INDIRECT("COUNTRIES[COUNTRY_DESCRIPTION]")</formula1>
    </dataValidation>
    <dataValidation type="list" allowBlank="1" showInputMessage="1" showErrorMessage="1" sqref="G2:G1051" xr:uid="{588AE673-9464-4BE0-859D-79E758214056}">
      <formula1>INDIRECT("COUNTRIES[COUNTRY_LABEL]")</formula1>
    </dataValidation>
    <dataValidation type="list" allowBlank="1" showInputMessage="1" showErrorMessage="1" sqref="AT2:AT1051 AP2:AQ1051" xr:uid="{F2DE25A7-EAF4-4DA6-85FD-9F7B7EE18717}">
      <formula1>"TRUE,FALSE"</formula1>
    </dataValidation>
    <dataValidation type="whole" allowBlank="1" showInputMessage="1" showErrorMessage="1" sqref="K2:K1051" xr:uid="{607F370E-253D-4A13-94DF-726661E11AFB}">
      <formula1>1</formula1>
      <formula2>8</formula2>
    </dataValidation>
    <dataValidation type="list" allowBlank="1" showInputMessage="1" showErrorMessage="1" sqref="I2:I1051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71" stopIfTrue="1" id="{9191B1E1-7461-4383-9D6F-0E7C931046BC}">
            <xm:f>AND(ISBLANK(F1),INDEX('control'!$I:$I,MATCH(A1,'control'!$A:$A,0))=FALSE)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1"/>
  <sheetViews>
    <sheetView zoomScaleNormal="100" workbookViewId="0">
      <pane xSplit="1" ySplit="1" topLeftCell="M618" activePane="bottomRight" state="frozen"/>
      <selection pane="topRight" activeCell="B1" sqref="B1"/>
      <selection pane="bottomLeft" activeCell="A2" sqref="A2"/>
      <selection pane="bottomRight" activeCell="W634" sqref="W634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5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38" t="s">
        <v>2558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5" t="s">
        <v>1730</v>
      </c>
      <c r="AF1" s="35" t="s">
        <v>1731</v>
      </c>
      <c r="AG1" s="35" t="s">
        <v>1732</v>
      </c>
      <c r="AH1" s="10" t="s">
        <v>1733</v>
      </c>
    </row>
    <row r="2" spans="1:44" x14ac:dyDescent="0.35">
      <c r="A2" s="2" t="s">
        <v>71</v>
      </c>
      <c r="B2" s="37" t="str">
        <f>INDEX(CONTROL[ENGLISH],MATCH(PROPERTIES[[#This Row],[VEHIDCODE]],CONTROL[VEHIDCODE],0))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5" t="b">
        <f>IFERROR(OR(TRACK_TYPES[[#This Row],[TRACK_TYPE_STANDARD_GAUGE_RAILTYPE_OHLE]:[TRACK_TYPE_STANDARD_GAUGE_RAILTYPE_NONE]]),FALSE)</f>
        <v>0</v>
      </c>
      <c r="AF2" s="35" t="b">
        <f>IFERROR(OR(TRACK_TYPES[[#This Row],[TRACK_TYPE_NARROW_GAUGE_RAILTYPE_OHLE]:[TRACK_TYPE_NARROW_GAUGE_RAILTYPE_NONE]]),FALSE)</f>
        <v>0</v>
      </c>
      <c r="AG2" s="35" t="b">
        <f>IFERROR(OR(TRACK_TYPES[[#This Row],[TRACK_TYPE_BROAD_GAUGE_RAILTYPE_OHLE]:[TRACK_TYPE_BROAD_GAUGE_RAILTYPE_NONE]]),FALSE)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37" t="str">
        <f>INDEX(CONTROL[ENGLISH],MATCH(PROPERTIES[[#This Row],[VEHIDCODE]],CONTROL[VEHIDCODE],0))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5" t="b">
        <f>IFERROR(OR(TRACK_TYPES[[#This Row],[TRACK_TYPE_STANDARD_GAUGE_RAILTYPE_OHLE]:[TRACK_TYPE_STANDARD_GAUGE_RAILTYPE_NONE]]),FALSE)</f>
        <v>0</v>
      </c>
      <c r="AF3" s="35" t="b">
        <f>IFERROR(OR(TRACK_TYPES[[#This Row],[TRACK_TYPE_NARROW_GAUGE_RAILTYPE_OHLE]:[TRACK_TYPE_NARROW_GAUGE_RAILTYPE_NONE]]),FALSE)</f>
        <v>0</v>
      </c>
      <c r="AG3" s="35" t="b">
        <f>IFERROR(OR(TRACK_TYPES[[#This Row],[TRACK_TYPE_BROAD_GAUGE_RAILTYPE_OHLE]:[TRACK_TYPE_BROAD_GAUGE_RAILTYPE_NONE]]),FALSE)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2641</v>
      </c>
      <c r="B4" s="37" t="str">
        <f>INDEX(CONTROL[ENGLISH],MATCH(PROPERTIES[[#This Row],[VEHIDCODE]],CONTROL[VEHIDCODE],0))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5" t="b">
        <f>IFERROR(OR(TRACK_TYPES[[#This Row],[TRACK_TYPE_STANDARD_GAUGE_RAILTYPE_OHLE]:[TRACK_TYPE_STANDARD_GAUGE_RAILTYPE_NONE]]),FALSE)</f>
        <v>0</v>
      </c>
      <c r="AF4" s="35" t="b">
        <f>IFERROR(OR(TRACK_TYPES[[#This Row],[TRACK_TYPE_NARROW_GAUGE_RAILTYPE_OHLE]:[TRACK_TYPE_NARROW_GAUGE_RAILTYPE_NONE]]),FALSE)</f>
        <v>1</v>
      </c>
      <c r="AG4" s="35" t="b">
        <f>IFERROR(OR(TRACK_TYPES[[#This Row],[TRACK_TYPE_BROAD_GAUGE_RAILTYPE_OHLE]:[TRACK_TYPE_BROAD_GAUGE_RAILTYPE_NONE]]),FALSE)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2642</v>
      </c>
      <c r="B5" s="37" t="str">
        <f>INDEX(CONTROL[ENGLISH],MATCH(PROPERTIES[[#This Row],[VEHIDCODE]],CONTROL[VEHIDCODE],0))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5" t="b">
        <f>IFERROR(OR(TRACK_TYPES[[#This Row],[TRACK_TYPE_STANDARD_GAUGE_RAILTYPE_OHLE]:[TRACK_TYPE_STANDARD_GAUGE_RAILTYPE_NONE]]),FALSE)</f>
        <v>1</v>
      </c>
      <c r="AF5" s="35" t="b">
        <f>IFERROR(OR(TRACK_TYPES[[#This Row],[TRACK_TYPE_NARROW_GAUGE_RAILTYPE_OHLE]:[TRACK_TYPE_NARROW_GAUGE_RAILTYPE_NONE]]),FALSE)</f>
        <v>0</v>
      </c>
      <c r="AG5" s="35" t="b">
        <f>IFERROR(OR(TRACK_TYPES[[#This Row],[TRACK_TYPE_BROAD_GAUGE_RAILTYPE_OHLE]:[TRACK_TYPE_BROAD_GAUGE_RAILTYPE_NONE]]),FALSE)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2643</v>
      </c>
      <c r="B6" s="37" t="str">
        <f>INDEX(CONTROL[ENGLISH],MATCH(PROPERTIES[[#This Row],[VEHIDCODE]],CONTROL[VEHIDCODE],0))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5" t="b">
        <f>IFERROR(OR(TRACK_TYPES[[#This Row],[TRACK_TYPE_STANDARD_GAUGE_RAILTYPE_OHLE]:[TRACK_TYPE_STANDARD_GAUGE_RAILTYPE_NONE]]),FALSE)</f>
        <v>0</v>
      </c>
      <c r="AF6" s="35" t="b">
        <f>IFERROR(OR(TRACK_TYPES[[#This Row],[TRACK_TYPE_NARROW_GAUGE_RAILTYPE_OHLE]:[TRACK_TYPE_NARROW_GAUGE_RAILTYPE_NONE]]),FALSE)</f>
        <v>0</v>
      </c>
      <c r="AG6" s="35" t="b">
        <f>IFERROR(OR(TRACK_TYPES[[#This Row],[TRACK_TYPE_BROAD_GAUGE_RAILTYPE_OHLE]:[TRACK_TYPE_BROAD_GAUGE_RAILTYPE_NONE]]),FALSE)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2644</v>
      </c>
      <c r="B7" s="37" t="str">
        <f>INDEX(CONTROL[ENGLISH],MATCH(PROPERTIES[[#This Row],[VEHIDCODE]],CONTROL[VEHIDCODE],0))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5" t="b">
        <f>IFERROR(OR(TRACK_TYPES[[#This Row],[TRACK_TYPE_STANDARD_GAUGE_RAILTYPE_OHLE]:[TRACK_TYPE_STANDARD_GAUGE_RAILTYPE_NONE]]),FALSE)</f>
        <v>1</v>
      </c>
      <c r="AF7" s="35" t="b">
        <f>IFERROR(OR(TRACK_TYPES[[#This Row],[TRACK_TYPE_NARROW_GAUGE_RAILTYPE_OHLE]:[TRACK_TYPE_NARROW_GAUGE_RAILTYPE_NONE]]),FALSE)</f>
        <v>0</v>
      </c>
      <c r="AG7" s="35" t="b">
        <f>IFERROR(OR(TRACK_TYPES[[#This Row],[TRACK_TYPE_BROAD_GAUGE_RAILTYPE_OHLE]:[TRACK_TYPE_BROAD_GAUGE_RAILTYPE_NONE]]),FALSE)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2645</v>
      </c>
      <c r="B8" s="37" t="str">
        <f>INDEX(CONTROL[ENGLISH],MATCH(PROPERTIES[[#This Row],[VEHIDCODE]],CONTROL[VEHIDCODE],0))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5" t="b">
        <f>IFERROR(OR(TRACK_TYPES[[#This Row],[TRACK_TYPE_STANDARD_GAUGE_RAILTYPE_OHLE]:[TRACK_TYPE_STANDARD_GAUGE_RAILTYPE_NONE]]),FALSE)</f>
        <v>1</v>
      </c>
      <c r="AF8" s="35" t="b">
        <f>IFERROR(OR(TRACK_TYPES[[#This Row],[TRACK_TYPE_NARROW_GAUGE_RAILTYPE_OHLE]:[TRACK_TYPE_NARROW_GAUGE_RAILTYPE_NONE]]),FALSE)</f>
        <v>0</v>
      </c>
      <c r="AG8" s="35" t="b">
        <f>IFERROR(OR(TRACK_TYPES[[#This Row],[TRACK_TYPE_BROAD_GAUGE_RAILTYPE_OHLE]:[TRACK_TYPE_BROAD_GAUGE_RAILTYPE_NONE]]),FALSE)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2646</v>
      </c>
      <c r="B9" s="37" t="str">
        <f>INDEX(CONTROL[ENGLISH],MATCH(PROPERTIES[[#This Row],[VEHIDCODE]],CONTROL[VEHIDCODE],0))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5" t="b">
        <f>IFERROR(OR(TRACK_TYPES[[#This Row],[TRACK_TYPE_STANDARD_GAUGE_RAILTYPE_OHLE]:[TRACK_TYPE_STANDARD_GAUGE_RAILTYPE_NONE]]),FALSE)</f>
        <v>0</v>
      </c>
      <c r="AF9" s="35" t="b">
        <f>IFERROR(OR(TRACK_TYPES[[#This Row],[TRACK_TYPE_NARROW_GAUGE_RAILTYPE_OHLE]:[TRACK_TYPE_NARROW_GAUGE_RAILTYPE_NONE]]),FALSE)</f>
        <v>1</v>
      </c>
      <c r="AG9" s="35" t="b">
        <f>IFERROR(OR(TRACK_TYPES[[#This Row],[TRACK_TYPE_BROAD_GAUGE_RAILTYPE_OHLE]:[TRACK_TYPE_BROAD_GAUGE_RAILTYPE_NONE]]),FALSE)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2647</v>
      </c>
      <c r="B10" s="37" t="str">
        <f>INDEX(CONTROL[ENGLISH],MATCH(PROPERTIES[[#This Row],[VEHIDCODE]],CONTROL[VEHIDCODE],0))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5" t="b">
        <f>IFERROR(OR(TRACK_TYPES[[#This Row],[TRACK_TYPE_STANDARD_GAUGE_RAILTYPE_OHLE]:[TRACK_TYPE_STANDARD_GAUGE_RAILTYPE_NONE]]),FALSE)</f>
        <v>0</v>
      </c>
      <c r="AF10" s="35" t="b">
        <f>IFERROR(OR(TRACK_TYPES[[#This Row],[TRACK_TYPE_NARROW_GAUGE_RAILTYPE_OHLE]:[TRACK_TYPE_NARROW_GAUGE_RAILTYPE_NONE]]),FALSE)</f>
        <v>0</v>
      </c>
      <c r="AG10" s="35" t="b">
        <f>IFERROR(OR(TRACK_TYPES[[#This Row],[TRACK_TYPE_BROAD_GAUGE_RAILTYPE_OHLE]:[TRACK_TYPE_BROAD_GAUGE_RAILTYPE_NONE]]),FALSE)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2648</v>
      </c>
      <c r="B11" s="37" t="str">
        <f>INDEX(CONTROL[ENGLISH],MATCH(PROPERTIES[[#This Row],[VEHIDCODE]],CONTROL[VEHIDCODE],0))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5" t="b">
        <f>IFERROR(OR(TRACK_TYPES[[#This Row],[TRACK_TYPE_STANDARD_GAUGE_RAILTYPE_OHLE]:[TRACK_TYPE_STANDARD_GAUGE_RAILTYPE_NONE]]),FALSE)</f>
        <v>1</v>
      </c>
      <c r="AF11" s="35" t="b">
        <f>IFERROR(OR(TRACK_TYPES[[#This Row],[TRACK_TYPE_NARROW_GAUGE_RAILTYPE_OHLE]:[TRACK_TYPE_NARROW_GAUGE_RAILTYPE_NONE]]),FALSE)</f>
        <v>0</v>
      </c>
      <c r="AG11" s="35" t="b">
        <f>IFERROR(OR(TRACK_TYPES[[#This Row],[TRACK_TYPE_BROAD_GAUGE_RAILTYPE_OHLE]:[TRACK_TYPE_BROAD_GAUGE_RAILTYPE_NONE]]),FALSE)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2649</v>
      </c>
      <c r="B12" s="37" t="str">
        <f>INDEX(CONTROL[ENGLISH],MATCH(PROPERTIES[[#This Row],[VEHIDCODE]],CONTROL[VEHIDCODE],0))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5" t="b">
        <f>IFERROR(OR(TRACK_TYPES[[#This Row],[TRACK_TYPE_STANDARD_GAUGE_RAILTYPE_OHLE]:[TRACK_TYPE_STANDARD_GAUGE_RAILTYPE_NONE]]),FALSE)</f>
        <v>0</v>
      </c>
      <c r="AF12" s="35" t="b">
        <f>IFERROR(OR(TRACK_TYPES[[#This Row],[TRACK_TYPE_NARROW_GAUGE_RAILTYPE_OHLE]:[TRACK_TYPE_NARROW_GAUGE_RAILTYPE_NONE]]),FALSE)</f>
        <v>0</v>
      </c>
      <c r="AG12" s="35" t="b">
        <f>IFERROR(OR(TRACK_TYPES[[#This Row],[TRACK_TYPE_BROAD_GAUGE_RAILTYPE_OHLE]:[TRACK_TYPE_BROAD_GAUGE_RAILTYPE_NONE]]),FALSE)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2650</v>
      </c>
      <c r="B13" s="37" t="str">
        <f>INDEX(CONTROL[ENGLISH],MATCH(PROPERTIES[[#This Row],[VEHIDCODE]],CONTROL[VEHIDCODE],0))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5" t="b">
        <f>IFERROR(OR(TRACK_TYPES[[#This Row],[TRACK_TYPE_STANDARD_GAUGE_RAILTYPE_OHLE]:[TRACK_TYPE_STANDARD_GAUGE_RAILTYPE_NONE]]),FALSE)</f>
        <v>1</v>
      </c>
      <c r="AF13" s="35" t="b">
        <f>IFERROR(OR(TRACK_TYPES[[#This Row],[TRACK_TYPE_NARROW_GAUGE_RAILTYPE_OHLE]:[TRACK_TYPE_NARROW_GAUGE_RAILTYPE_NONE]]),FALSE)</f>
        <v>1</v>
      </c>
      <c r="AG13" s="35" t="b">
        <f>IFERROR(OR(TRACK_TYPES[[#This Row],[TRACK_TYPE_BROAD_GAUGE_RAILTYPE_OHLE]:[TRACK_TYPE_BROAD_GAUGE_RAILTYPE_NONE]]),FALSE)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2651</v>
      </c>
      <c r="B14" s="37" t="str">
        <f>INDEX(CONTROL[ENGLISH],MATCH(PROPERTIES[[#This Row],[VEHIDCODE]],CONTROL[VEHIDCODE],0))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5" t="b">
        <f>IFERROR(OR(TRACK_TYPES[[#This Row],[TRACK_TYPE_STANDARD_GAUGE_RAILTYPE_OHLE]:[TRACK_TYPE_STANDARD_GAUGE_RAILTYPE_NONE]]),FALSE)</f>
        <v>1</v>
      </c>
      <c r="AF14" s="35" t="b">
        <f>IFERROR(OR(TRACK_TYPES[[#This Row],[TRACK_TYPE_NARROW_GAUGE_RAILTYPE_OHLE]:[TRACK_TYPE_NARROW_GAUGE_RAILTYPE_NONE]]),FALSE)</f>
        <v>0</v>
      </c>
      <c r="AG14" s="35" t="b">
        <f>IFERROR(OR(TRACK_TYPES[[#This Row],[TRACK_TYPE_BROAD_GAUGE_RAILTYPE_OHLE]:[TRACK_TYPE_BROAD_GAUGE_RAILTYPE_NONE]]),FALSE)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2652</v>
      </c>
      <c r="B15" s="37" t="str">
        <f>INDEX(CONTROL[ENGLISH],MATCH(PROPERTIES[[#This Row],[VEHIDCODE]],CONTROL[VEHIDCODE],0))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5" t="b">
        <f>IFERROR(OR(TRACK_TYPES[[#This Row],[TRACK_TYPE_STANDARD_GAUGE_RAILTYPE_OHLE]:[TRACK_TYPE_STANDARD_GAUGE_RAILTYPE_NONE]]),FALSE)</f>
        <v>1</v>
      </c>
      <c r="AF15" s="35" t="b">
        <f>IFERROR(OR(TRACK_TYPES[[#This Row],[TRACK_TYPE_NARROW_GAUGE_RAILTYPE_OHLE]:[TRACK_TYPE_NARROW_GAUGE_RAILTYPE_NONE]]),FALSE)</f>
        <v>0</v>
      </c>
      <c r="AG15" s="35" t="b">
        <f>IFERROR(OR(TRACK_TYPES[[#This Row],[TRACK_TYPE_BROAD_GAUGE_RAILTYPE_OHLE]:[TRACK_TYPE_BROAD_GAUGE_RAILTYPE_NONE]]),FALSE)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2653</v>
      </c>
      <c r="B16" s="37" t="str">
        <f>INDEX(CONTROL[ENGLISH],MATCH(PROPERTIES[[#This Row],[VEHIDCODE]],CONTROL[VEHIDCODE],0))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5" t="b">
        <f>IFERROR(OR(TRACK_TYPES[[#This Row],[TRACK_TYPE_STANDARD_GAUGE_RAILTYPE_OHLE]:[TRACK_TYPE_STANDARD_GAUGE_RAILTYPE_NONE]]),FALSE)</f>
        <v>0</v>
      </c>
      <c r="AF16" s="35" t="b">
        <f>IFERROR(OR(TRACK_TYPES[[#This Row],[TRACK_TYPE_NARROW_GAUGE_RAILTYPE_OHLE]:[TRACK_TYPE_NARROW_GAUGE_RAILTYPE_NONE]]),FALSE)</f>
        <v>1</v>
      </c>
      <c r="AG16" s="35" t="b">
        <f>IFERROR(OR(TRACK_TYPES[[#This Row],[TRACK_TYPE_BROAD_GAUGE_RAILTYPE_OHLE]:[TRACK_TYPE_BROAD_GAUGE_RAILTYPE_NONE]]),FALSE)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2654</v>
      </c>
      <c r="B17" s="37" t="str">
        <f>INDEX(CONTROL[ENGLISH],MATCH(PROPERTIES[[#This Row],[VEHIDCODE]],CONTROL[VEHIDCODE],0))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5" t="b">
        <f>IFERROR(OR(TRACK_TYPES[[#This Row],[TRACK_TYPE_STANDARD_GAUGE_RAILTYPE_OHLE]:[TRACK_TYPE_STANDARD_GAUGE_RAILTYPE_NONE]]),FALSE)</f>
        <v>0</v>
      </c>
      <c r="AF17" s="35" t="b">
        <f>IFERROR(OR(TRACK_TYPES[[#This Row],[TRACK_TYPE_NARROW_GAUGE_RAILTYPE_OHLE]:[TRACK_TYPE_NARROW_GAUGE_RAILTYPE_NONE]]),FALSE)</f>
        <v>0</v>
      </c>
      <c r="AG17" s="35" t="b">
        <f>IFERROR(OR(TRACK_TYPES[[#This Row],[TRACK_TYPE_BROAD_GAUGE_RAILTYPE_OHLE]:[TRACK_TYPE_BROAD_GAUGE_RAILTYPE_NONE]]),FALSE)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2655</v>
      </c>
      <c r="B18" s="37" t="str">
        <f>INDEX(CONTROL[ENGLISH],MATCH(PROPERTIES[[#This Row],[VEHIDCODE]],CONTROL[VEHIDCODE],0))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5" t="b">
        <f>IFERROR(OR(TRACK_TYPES[[#This Row],[TRACK_TYPE_STANDARD_GAUGE_RAILTYPE_OHLE]:[TRACK_TYPE_STANDARD_GAUGE_RAILTYPE_NONE]]),FALSE)</f>
        <v>1</v>
      </c>
      <c r="AF18" s="35" t="b">
        <f>IFERROR(OR(TRACK_TYPES[[#This Row],[TRACK_TYPE_NARROW_GAUGE_RAILTYPE_OHLE]:[TRACK_TYPE_NARROW_GAUGE_RAILTYPE_NONE]]),FALSE)</f>
        <v>1</v>
      </c>
      <c r="AG18" s="35" t="b">
        <f>IFERROR(OR(TRACK_TYPES[[#This Row],[TRACK_TYPE_BROAD_GAUGE_RAILTYPE_OHLE]:[TRACK_TYPE_BROAD_GAUGE_RAILTYPE_NONE]]),FALSE)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2656</v>
      </c>
      <c r="B19" s="37" t="str">
        <f>INDEX(CONTROL[ENGLISH],MATCH(PROPERTIES[[#This Row],[VEHIDCODE]],CONTROL[VEHIDCODE],0))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5" t="b">
        <f>IFERROR(OR(TRACK_TYPES[[#This Row],[TRACK_TYPE_STANDARD_GAUGE_RAILTYPE_OHLE]:[TRACK_TYPE_STANDARD_GAUGE_RAILTYPE_NONE]]),FALSE)</f>
        <v>1</v>
      </c>
      <c r="AF19" s="35" t="b">
        <f>IFERROR(OR(TRACK_TYPES[[#This Row],[TRACK_TYPE_NARROW_GAUGE_RAILTYPE_OHLE]:[TRACK_TYPE_NARROW_GAUGE_RAILTYPE_NONE]]),FALSE)</f>
        <v>0</v>
      </c>
      <c r="AG19" s="35" t="b">
        <f>IFERROR(OR(TRACK_TYPES[[#This Row],[TRACK_TYPE_BROAD_GAUGE_RAILTYPE_OHLE]:[TRACK_TYPE_BROAD_GAUGE_RAILTYPE_NONE]]),FALSE)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2657</v>
      </c>
      <c r="B20" s="37" t="str">
        <f>INDEX(CONTROL[ENGLISH],MATCH(PROPERTIES[[#This Row],[VEHIDCODE]],CONTROL[VEHIDCODE],0))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5" t="b">
        <f>IFERROR(OR(TRACK_TYPES[[#This Row],[TRACK_TYPE_STANDARD_GAUGE_RAILTYPE_OHLE]:[TRACK_TYPE_STANDARD_GAUGE_RAILTYPE_NONE]]),FALSE)</f>
        <v>1</v>
      </c>
      <c r="AF20" s="35" t="b">
        <f>IFERROR(OR(TRACK_TYPES[[#This Row],[TRACK_TYPE_NARROW_GAUGE_RAILTYPE_OHLE]:[TRACK_TYPE_NARROW_GAUGE_RAILTYPE_NONE]]),FALSE)</f>
        <v>0</v>
      </c>
      <c r="AG20" s="35" t="b">
        <f>IFERROR(OR(TRACK_TYPES[[#This Row],[TRACK_TYPE_BROAD_GAUGE_RAILTYPE_OHLE]:[TRACK_TYPE_BROAD_GAUGE_RAILTYPE_NONE]]),FALSE)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2658</v>
      </c>
      <c r="B21" s="37" t="str">
        <f>INDEX(CONTROL[ENGLISH],MATCH(PROPERTIES[[#This Row],[VEHIDCODE]],CONTROL[VEHIDCODE],0))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5" t="b">
        <f>IFERROR(OR(TRACK_TYPES[[#This Row],[TRACK_TYPE_STANDARD_GAUGE_RAILTYPE_OHLE]:[TRACK_TYPE_STANDARD_GAUGE_RAILTYPE_NONE]]),FALSE)</f>
        <v>1</v>
      </c>
      <c r="AF21" s="35" t="b">
        <f>IFERROR(OR(TRACK_TYPES[[#This Row],[TRACK_TYPE_NARROW_GAUGE_RAILTYPE_OHLE]:[TRACK_TYPE_NARROW_GAUGE_RAILTYPE_NONE]]),FALSE)</f>
        <v>0</v>
      </c>
      <c r="AG21" s="35" t="b">
        <f>IFERROR(OR(TRACK_TYPES[[#This Row],[TRACK_TYPE_BROAD_GAUGE_RAILTYPE_OHLE]:[TRACK_TYPE_BROAD_GAUGE_RAILTYPE_NONE]]),FALSE)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2659</v>
      </c>
      <c r="B22" s="37" t="str">
        <f>INDEX(CONTROL[ENGLISH],MATCH(PROPERTIES[[#This Row],[VEHIDCODE]],CONTROL[VEHIDCODE],0))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5" t="b">
        <f>IFERROR(OR(TRACK_TYPES[[#This Row],[TRACK_TYPE_STANDARD_GAUGE_RAILTYPE_OHLE]:[TRACK_TYPE_STANDARD_GAUGE_RAILTYPE_NONE]]),FALSE)</f>
        <v>1</v>
      </c>
      <c r="AF22" s="35" t="b">
        <f>IFERROR(OR(TRACK_TYPES[[#This Row],[TRACK_TYPE_NARROW_GAUGE_RAILTYPE_OHLE]:[TRACK_TYPE_NARROW_GAUGE_RAILTYPE_NONE]]),FALSE)</f>
        <v>0</v>
      </c>
      <c r="AG22" s="35" t="b">
        <f>IFERROR(OR(TRACK_TYPES[[#This Row],[TRACK_TYPE_BROAD_GAUGE_RAILTYPE_OHLE]:[TRACK_TYPE_BROAD_GAUGE_RAILTYPE_NONE]]),FALSE)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2660</v>
      </c>
      <c r="B23" s="37" t="str">
        <f>INDEX(CONTROL[ENGLISH],MATCH(PROPERTIES[[#This Row],[VEHIDCODE]],CONTROL[VEHIDCODE],0))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5" t="b">
        <f>IFERROR(OR(TRACK_TYPES[[#This Row],[TRACK_TYPE_STANDARD_GAUGE_RAILTYPE_OHLE]:[TRACK_TYPE_STANDARD_GAUGE_RAILTYPE_NONE]]),FALSE)</f>
        <v>1</v>
      </c>
      <c r="AF23" s="35" t="b">
        <f>IFERROR(OR(TRACK_TYPES[[#This Row],[TRACK_TYPE_NARROW_GAUGE_RAILTYPE_OHLE]:[TRACK_TYPE_NARROW_GAUGE_RAILTYPE_NONE]]),FALSE)</f>
        <v>0</v>
      </c>
      <c r="AG23" s="35" t="b">
        <f>IFERROR(OR(TRACK_TYPES[[#This Row],[TRACK_TYPE_BROAD_GAUGE_RAILTYPE_OHLE]:[TRACK_TYPE_BROAD_GAUGE_RAILTYPE_NONE]]),FALSE)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2661</v>
      </c>
      <c r="B24" s="37" t="str">
        <f>INDEX(CONTROL[ENGLISH],MATCH(PROPERTIES[[#This Row],[VEHIDCODE]],CONTROL[VEHIDCODE],0))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5" t="b">
        <f>IFERROR(OR(TRACK_TYPES[[#This Row],[TRACK_TYPE_STANDARD_GAUGE_RAILTYPE_OHLE]:[TRACK_TYPE_STANDARD_GAUGE_RAILTYPE_NONE]]),FALSE)</f>
        <v>1</v>
      </c>
      <c r="AF24" s="35" t="b">
        <f>IFERROR(OR(TRACK_TYPES[[#This Row],[TRACK_TYPE_NARROW_GAUGE_RAILTYPE_OHLE]:[TRACK_TYPE_NARROW_GAUGE_RAILTYPE_NONE]]),FALSE)</f>
        <v>0</v>
      </c>
      <c r="AG24" s="35" t="b">
        <f>IFERROR(OR(TRACK_TYPES[[#This Row],[TRACK_TYPE_BROAD_GAUGE_RAILTYPE_OHLE]:[TRACK_TYPE_BROAD_GAUGE_RAILTYPE_NONE]]),FALSE)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2662</v>
      </c>
      <c r="B25" s="37" t="str">
        <f>INDEX(CONTROL[ENGLISH],MATCH(PROPERTIES[[#This Row],[VEHIDCODE]],CONTROL[VEHIDCODE],0))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5" t="b">
        <f>IFERROR(OR(TRACK_TYPES[[#This Row],[TRACK_TYPE_STANDARD_GAUGE_RAILTYPE_OHLE]:[TRACK_TYPE_STANDARD_GAUGE_RAILTYPE_NONE]]),FALSE)</f>
        <v>1</v>
      </c>
      <c r="AF25" s="35" t="b">
        <f>IFERROR(OR(TRACK_TYPES[[#This Row],[TRACK_TYPE_NARROW_GAUGE_RAILTYPE_OHLE]:[TRACK_TYPE_NARROW_GAUGE_RAILTYPE_NONE]]),FALSE)</f>
        <v>0</v>
      </c>
      <c r="AG25" s="35" t="b">
        <f>IFERROR(OR(TRACK_TYPES[[#This Row],[TRACK_TYPE_BROAD_GAUGE_RAILTYPE_OHLE]:[TRACK_TYPE_BROAD_GAUGE_RAILTYPE_NONE]]),FALSE)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2663</v>
      </c>
      <c r="B26" s="37" t="str">
        <f>INDEX(CONTROL[ENGLISH],MATCH(PROPERTIES[[#This Row],[VEHIDCODE]],CONTROL[VEHIDCODE],0))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5" t="b">
        <f>IFERROR(OR(TRACK_TYPES[[#This Row],[TRACK_TYPE_STANDARD_GAUGE_RAILTYPE_OHLE]:[TRACK_TYPE_STANDARD_GAUGE_RAILTYPE_NONE]]),FALSE)</f>
        <v>1</v>
      </c>
      <c r="AF26" s="35" t="b">
        <f>IFERROR(OR(TRACK_TYPES[[#This Row],[TRACK_TYPE_NARROW_GAUGE_RAILTYPE_OHLE]:[TRACK_TYPE_NARROW_GAUGE_RAILTYPE_NONE]]),FALSE)</f>
        <v>0</v>
      </c>
      <c r="AG26" s="35" t="b">
        <f>IFERROR(OR(TRACK_TYPES[[#This Row],[TRACK_TYPE_BROAD_GAUGE_RAILTYPE_OHLE]:[TRACK_TYPE_BROAD_GAUGE_RAILTYPE_NONE]]),FALSE)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2664</v>
      </c>
      <c r="B27" s="37" t="str">
        <f>INDEX(CONTROL[ENGLISH],MATCH(PROPERTIES[[#This Row],[VEHIDCODE]],CONTROL[VEHIDCODE],0))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5" t="b">
        <f>IFERROR(OR(TRACK_TYPES[[#This Row],[TRACK_TYPE_STANDARD_GAUGE_RAILTYPE_OHLE]:[TRACK_TYPE_STANDARD_GAUGE_RAILTYPE_NONE]]),FALSE)</f>
        <v>0</v>
      </c>
      <c r="AF27" s="35" t="b">
        <f>IFERROR(OR(TRACK_TYPES[[#This Row],[TRACK_TYPE_NARROW_GAUGE_RAILTYPE_OHLE]:[TRACK_TYPE_NARROW_GAUGE_RAILTYPE_NONE]]),FALSE)</f>
        <v>0</v>
      </c>
      <c r="AG27" s="35" t="b">
        <f>IFERROR(OR(TRACK_TYPES[[#This Row],[TRACK_TYPE_BROAD_GAUGE_RAILTYPE_OHLE]:[TRACK_TYPE_BROAD_GAUGE_RAILTYPE_NONE]]),FALSE)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2665</v>
      </c>
      <c r="B28" s="37" t="str">
        <f>INDEX(CONTROL[ENGLISH],MATCH(PROPERTIES[[#This Row],[VEHIDCODE]],CONTROL[VEHIDCODE],0))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5" t="b">
        <f>IFERROR(OR(TRACK_TYPES[[#This Row],[TRACK_TYPE_STANDARD_GAUGE_RAILTYPE_OHLE]:[TRACK_TYPE_STANDARD_GAUGE_RAILTYPE_NONE]]),FALSE)</f>
        <v>1</v>
      </c>
      <c r="AF28" s="35" t="b">
        <f>IFERROR(OR(TRACK_TYPES[[#This Row],[TRACK_TYPE_NARROW_GAUGE_RAILTYPE_OHLE]:[TRACK_TYPE_NARROW_GAUGE_RAILTYPE_NONE]]),FALSE)</f>
        <v>0</v>
      </c>
      <c r="AG28" s="35" t="b">
        <f>IFERROR(OR(TRACK_TYPES[[#This Row],[TRACK_TYPE_BROAD_GAUGE_RAILTYPE_OHLE]:[TRACK_TYPE_BROAD_GAUGE_RAILTYPE_NONE]]),FALSE)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2666</v>
      </c>
      <c r="B29" s="37" t="str">
        <f>INDEX(CONTROL[ENGLISH],MATCH(PROPERTIES[[#This Row],[VEHIDCODE]],CONTROL[VEHIDCODE],0))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5" t="b">
        <f>IFERROR(OR(TRACK_TYPES[[#This Row],[TRACK_TYPE_STANDARD_GAUGE_RAILTYPE_OHLE]:[TRACK_TYPE_STANDARD_GAUGE_RAILTYPE_NONE]]),FALSE)</f>
        <v>1</v>
      </c>
      <c r="AF29" s="35" t="b">
        <f>IFERROR(OR(TRACK_TYPES[[#This Row],[TRACK_TYPE_NARROW_GAUGE_RAILTYPE_OHLE]:[TRACK_TYPE_NARROW_GAUGE_RAILTYPE_NONE]]),FALSE)</f>
        <v>0</v>
      </c>
      <c r="AG29" s="35" t="b">
        <f>IFERROR(OR(TRACK_TYPES[[#This Row],[TRACK_TYPE_BROAD_GAUGE_RAILTYPE_OHLE]:[TRACK_TYPE_BROAD_GAUGE_RAILTYPE_NONE]]),FALSE)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2667</v>
      </c>
      <c r="B30" s="37" t="str">
        <f>INDEX(CONTROL[ENGLISH],MATCH(PROPERTIES[[#This Row],[VEHIDCODE]],CONTROL[VEHIDCODE],0))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5" t="b">
        <f>IFERROR(OR(TRACK_TYPES[[#This Row],[TRACK_TYPE_STANDARD_GAUGE_RAILTYPE_OHLE]:[TRACK_TYPE_STANDARD_GAUGE_RAILTYPE_NONE]]),FALSE)</f>
        <v>1</v>
      </c>
      <c r="AF30" s="35" t="b">
        <f>IFERROR(OR(TRACK_TYPES[[#This Row],[TRACK_TYPE_NARROW_GAUGE_RAILTYPE_OHLE]:[TRACK_TYPE_NARROW_GAUGE_RAILTYPE_NONE]]),FALSE)</f>
        <v>0</v>
      </c>
      <c r="AG30" s="35" t="b">
        <f>IFERROR(OR(TRACK_TYPES[[#This Row],[TRACK_TYPE_BROAD_GAUGE_RAILTYPE_OHLE]:[TRACK_TYPE_BROAD_GAUGE_RAILTYPE_NONE]]),FALSE)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2668</v>
      </c>
      <c r="B31" s="37" t="str">
        <f>INDEX(CONTROL[ENGLISH],MATCH(PROPERTIES[[#This Row],[VEHIDCODE]],CONTROL[VEHIDCODE],0))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5" t="b">
        <f>IFERROR(OR(TRACK_TYPES[[#This Row],[TRACK_TYPE_STANDARD_GAUGE_RAILTYPE_OHLE]:[TRACK_TYPE_STANDARD_GAUGE_RAILTYPE_NONE]]),FALSE)</f>
        <v>1</v>
      </c>
      <c r="AF31" s="35" t="b">
        <f>IFERROR(OR(TRACK_TYPES[[#This Row],[TRACK_TYPE_NARROW_GAUGE_RAILTYPE_OHLE]:[TRACK_TYPE_NARROW_GAUGE_RAILTYPE_NONE]]),FALSE)</f>
        <v>0</v>
      </c>
      <c r="AG31" s="35" t="b">
        <f>IFERROR(OR(TRACK_TYPES[[#This Row],[TRACK_TYPE_BROAD_GAUGE_RAILTYPE_OHLE]:[TRACK_TYPE_BROAD_GAUGE_RAILTYPE_NONE]]),FALSE)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2669</v>
      </c>
      <c r="B32" s="37" t="str">
        <f>INDEX(CONTROL[ENGLISH],MATCH(PROPERTIES[[#This Row],[VEHIDCODE]],CONTROL[VEHIDCODE],0))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5" t="b">
        <f>IFERROR(OR(TRACK_TYPES[[#This Row],[TRACK_TYPE_STANDARD_GAUGE_RAILTYPE_OHLE]:[TRACK_TYPE_STANDARD_GAUGE_RAILTYPE_NONE]]),FALSE)</f>
        <v>1</v>
      </c>
      <c r="AF32" s="35" t="b">
        <f>IFERROR(OR(TRACK_TYPES[[#This Row],[TRACK_TYPE_NARROW_GAUGE_RAILTYPE_OHLE]:[TRACK_TYPE_NARROW_GAUGE_RAILTYPE_NONE]]),FALSE)</f>
        <v>0</v>
      </c>
      <c r="AG32" s="35" t="b">
        <f>IFERROR(OR(TRACK_TYPES[[#This Row],[TRACK_TYPE_BROAD_GAUGE_RAILTYPE_OHLE]:[TRACK_TYPE_BROAD_GAUGE_RAILTYPE_NONE]]),FALSE)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2670</v>
      </c>
      <c r="B33" s="37" t="str">
        <f>INDEX(CONTROL[ENGLISH],MATCH(PROPERTIES[[#This Row],[VEHIDCODE]],CONTROL[VEHIDCODE],0))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5" t="b">
        <f>IFERROR(OR(TRACK_TYPES[[#This Row],[TRACK_TYPE_STANDARD_GAUGE_RAILTYPE_OHLE]:[TRACK_TYPE_STANDARD_GAUGE_RAILTYPE_NONE]]),FALSE)</f>
        <v>0</v>
      </c>
      <c r="AF33" s="35" t="b">
        <f>IFERROR(OR(TRACK_TYPES[[#This Row],[TRACK_TYPE_NARROW_GAUGE_RAILTYPE_OHLE]:[TRACK_TYPE_NARROW_GAUGE_RAILTYPE_NONE]]),FALSE)</f>
        <v>0</v>
      </c>
      <c r="AG33" s="35" t="b">
        <f>IFERROR(OR(TRACK_TYPES[[#This Row],[TRACK_TYPE_BROAD_GAUGE_RAILTYPE_OHLE]:[TRACK_TYPE_BROAD_GAUGE_RAILTYPE_NONE]]),FALSE)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2671</v>
      </c>
      <c r="B34" s="37" t="str">
        <f>INDEX(CONTROL[ENGLISH],MATCH(PROPERTIES[[#This Row],[VEHIDCODE]],CONTROL[VEHIDCODE],0))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5" t="b">
        <f>IFERROR(OR(TRACK_TYPES[[#This Row],[TRACK_TYPE_STANDARD_GAUGE_RAILTYPE_OHLE]:[TRACK_TYPE_STANDARD_GAUGE_RAILTYPE_NONE]]),FALSE)</f>
        <v>1</v>
      </c>
      <c r="AF34" s="35" t="b">
        <f>IFERROR(OR(TRACK_TYPES[[#This Row],[TRACK_TYPE_NARROW_GAUGE_RAILTYPE_OHLE]:[TRACK_TYPE_NARROW_GAUGE_RAILTYPE_NONE]]),FALSE)</f>
        <v>0</v>
      </c>
      <c r="AG34" s="35" t="b">
        <f>IFERROR(OR(TRACK_TYPES[[#This Row],[TRACK_TYPE_BROAD_GAUGE_RAILTYPE_OHLE]:[TRACK_TYPE_BROAD_GAUGE_RAILTYPE_NONE]]),FALSE)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2672</v>
      </c>
      <c r="B35" s="37" t="str">
        <f>INDEX(CONTROL[ENGLISH],MATCH(PROPERTIES[[#This Row],[VEHIDCODE]],CONTROL[VEHIDCODE],0))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5" t="b">
        <f>IFERROR(OR(TRACK_TYPES[[#This Row],[TRACK_TYPE_STANDARD_GAUGE_RAILTYPE_OHLE]:[TRACK_TYPE_STANDARD_GAUGE_RAILTYPE_NONE]]),FALSE)</f>
        <v>1</v>
      </c>
      <c r="AF35" s="35" t="b">
        <f>IFERROR(OR(TRACK_TYPES[[#This Row],[TRACK_TYPE_NARROW_GAUGE_RAILTYPE_OHLE]:[TRACK_TYPE_NARROW_GAUGE_RAILTYPE_NONE]]),FALSE)</f>
        <v>0</v>
      </c>
      <c r="AG35" s="35" t="b">
        <f>IFERROR(OR(TRACK_TYPES[[#This Row],[TRACK_TYPE_BROAD_GAUGE_RAILTYPE_OHLE]:[TRACK_TYPE_BROAD_GAUGE_RAILTYPE_NONE]]),FALSE)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2673</v>
      </c>
      <c r="B36" s="37" t="str">
        <f>INDEX(CONTROL[ENGLISH],MATCH(PROPERTIES[[#This Row],[VEHIDCODE]],CONTROL[VEHIDCODE],0))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5" t="b">
        <f>IFERROR(OR(TRACK_TYPES[[#This Row],[TRACK_TYPE_STANDARD_GAUGE_RAILTYPE_OHLE]:[TRACK_TYPE_STANDARD_GAUGE_RAILTYPE_NONE]]),FALSE)</f>
        <v>1</v>
      </c>
      <c r="AF36" s="35" t="b">
        <f>IFERROR(OR(TRACK_TYPES[[#This Row],[TRACK_TYPE_NARROW_GAUGE_RAILTYPE_OHLE]:[TRACK_TYPE_NARROW_GAUGE_RAILTYPE_NONE]]),FALSE)</f>
        <v>0</v>
      </c>
      <c r="AG36" s="35" t="b">
        <f>IFERROR(OR(TRACK_TYPES[[#This Row],[TRACK_TYPE_BROAD_GAUGE_RAILTYPE_OHLE]:[TRACK_TYPE_BROAD_GAUGE_RAILTYPE_NONE]]),FALSE)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2674</v>
      </c>
      <c r="B37" s="37" t="str">
        <f>INDEX(CONTROL[ENGLISH],MATCH(PROPERTIES[[#This Row],[VEHIDCODE]],CONTROL[VEHIDCODE],0))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5" t="b">
        <f>IFERROR(OR(TRACK_TYPES[[#This Row],[TRACK_TYPE_STANDARD_GAUGE_RAILTYPE_OHLE]:[TRACK_TYPE_STANDARD_GAUGE_RAILTYPE_NONE]]),FALSE)</f>
        <v>1</v>
      </c>
      <c r="AF37" s="35" t="b">
        <f>IFERROR(OR(TRACK_TYPES[[#This Row],[TRACK_TYPE_NARROW_GAUGE_RAILTYPE_OHLE]:[TRACK_TYPE_NARROW_GAUGE_RAILTYPE_NONE]]),FALSE)</f>
        <v>0</v>
      </c>
      <c r="AG37" s="35" t="b">
        <f>IFERROR(OR(TRACK_TYPES[[#This Row],[TRACK_TYPE_BROAD_GAUGE_RAILTYPE_OHLE]:[TRACK_TYPE_BROAD_GAUGE_RAILTYPE_NONE]]),FALSE)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2675</v>
      </c>
      <c r="B38" s="37" t="str">
        <f>INDEX(CONTROL[ENGLISH],MATCH(PROPERTIES[[#This Row],[VEHIDCODE]],CONTROL[VEHIDCODE],0))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5" t="b">
        <f>IFERROR(OR(TRACK_TYPES[[#This Row],[TRACK_TYPE_STANDARD_GAUGE_RAILTYPE_OHLE]:[TRACK_TYPE_STANDARD_GAUGE_RAILTYPE_NONE]]),FALSE)</f>
        <v>1</v>
      </c>
      <c r="AF38" s="35" t="b">
        <f>IFERROR(OR(TRACK_TYPES[[#This Row],[TRACK_TYPE_NARROW_GAUGE_RAILTYPE_OHLE]:[TRACK_TYPE_NARROW_GAUGE_RAILTYPE_NONE]]),FALSE)</f>
        <v>0</v>
      </c>
      <c r="AG38" s="35" t="b">
        <f>IFERROR(OR(TRACK_TYPES[[#This Row],[TRACK_TYPE_BROAD_GAUGE_RAILTYPE_OHLE]:[TRACK_TYPE_BROAD_GAUGE_RAILTYPE_NONE]]),FALSE)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2676</v>
      </c>
      <c r="B39" s="37" t="str">
        <f>INDEX(CONTROL[ENGLISH],MATCH(PROPERTIES[[#This Row],[VEHIDCODE]],CONTROL[VEHIDCODE],0))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5" t="b">
        <f>IFERROR(OR(TRACK_TYPES[[#This Row],[TRACK_TYPE_STANDARD_GAUGE_RAILTYPE_OHLE]:[TRACK_TYPE_STANDARD_GAUGE_RAILTYPE_NONE]]),FALSE)</f>
        <v>1</v>
      </c>
      <c r="AF39" s="35" t="b">
        <f>IFERROR(OR(TRACK_TYPES[[#This Row],[TRACK_TYPE_NARROW_GAUGE_RAILTYPE_OHLE]:[TRACK_TYPE_NARROW_GAUGE_RAILTYPE_NONE]]),FALSE)</f>
        <v>0</v>
      </c>
      <c r="AG39" s="35" t="b">
        <f>IFERROR(OR(TRACK_TYPES[[#This Row],[TRACK_TYPE_BROAD_GAUGE_RAILTYPE_OHLE]:[TRACK_TYPE_BROAD_GAUGE_RAILTYPE_NONE]]),FALSE)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2677</v>
      </c>
      <c r="B40" s="37" t="str">
        <f>INDEX(CONTROL[ENGLISH],MATCH(PROPERTIES[[#This Row],[VEHIDCODE]],CONTROL[VEHIDCODE],0))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5" t="b">
        <f>IFERROR(OR(TRACK_TYPES[[#This Row],[TRACK_TYPE_STANDARD_GAUGE_RAILTYPE_OHLE]:[TRACK_TYPE_STANDARD_GAUGE_RAILTYPE_NONE]]),FALSE)</f>
        <v>1</v>
      </c>
      <c r="AF40" s="35" t="b">
        <f>IFERROR(OR(TRACK_TYPES[[#This Row],[TRACK_TYPE_NARROW_GAUGE_RAILTYPE_OHLE]:[TRACK_TYPE_NARROW_GAUGE_RAILTYPE_NONE]]),FALSE)</f>
        <v>0</v>
      </c>
      <c r="AG40" s="35" t="b">
        <f>IFERROR(OR(TRACK_TYPES[[#This Row],[TRACK_TYPE_BROAD_GAUGE_RAILTYPE_OHLE]:[TRACK_TYPE_BROAD_GAUGE_RAILTYPE_NONE]]),FALSE)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2678</v>
      </c>
      <c r="B41" s="37" t="str">
        <f>INDEX(CONTROL[ENGLISH],MATCH(PROPERTIES[[#This Row],[VEHIDCODE]],CONTROL[VEHIDCODE],0))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5" t="b">
        <f>IFERROR(OR(TRACK_TYPES[[#This Row],[TRACK_TYPE_STANDARD_GAUGE_RAILTYPE_OHLE]:[TRACK_TYPE_STANDARD_GAUGE_RAILTYPE_NONE]]),FALSE)</f>
        <v>0</v>
      </c>
      <c r="AF41" s="35" t="b">
        <f>IFERROR(OR(TRACK_TYPES[[#This Row],[TRACK_TYPE_NARROW_GAUGE_RAILTYPE_OHLE]:[TRACK_TYPE_NARROW_GAUGE_RAILTYPE_NONE]]),FALSE)</f>
        <v>1</v>
      </c>
      <c r="AG41" s="35" t="b">
        <f>IFERROR(OR(TRACK_TYPES[[#This Row],[TRACK_TYPE_BROAD_GAUGE_RAILTYPE_OHLE]:[TRACK_TYPE_BROAD_GAUGE_RAILTYPE_NONE]]),FALSE)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2679</v>
      </c>
      <c r="B42" s="37" t="str">
        <f>INDEX(CONTROL[ENGLISH],MATCH(PROPERTIES[[#This Row],[VEHIDCODE]],CONTROL[VEHIDCODE],0))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5" t="b">
        <f>IFERROR(OR(TRACK_TYPES[[#This Row],[TRACK_TYPE_STANDARD_GAUGE_RAILTYPE_OHLE]:[TRACK_TYPE_STANDARD_GAUGE_RAILTYPE_NONE]]),FALSE)</f>
        <v>1</v>
      </c>
      <c r="AF42" s="35" t="b">
        <f>IFERROR(OR(TRACK_TYPES[[#This Row],[TRACK_TYPE_NARROW_GAUGE_RAILTYPE_OHLE]:[TRACK_TYPE_NARROW_GAUGE_RAILTYPE_NONE]]),FALSE)</f>
        <v>0</v>
      </c>
      <c r="AG42" s="35" t="b">
        <f>IFERROR(OR(TRACK_TYPES[[#This Row],[TRACK_TYPE_BROAD_GAUGE_RAILTYPE_OHLE]:[TRACK_TYPE_BROAD_GAUGE_RAILTYPE_NONE]]),FALSE)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2680</v>
      </c>
      <c r="B43" s="37" t="str">
        <f>INDEX(CONTROL[ENGLISH],MATCH(PROPERTIES[[#This Row],[VEHIDCODE]],CONTROL[VEHIDCODE],0))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5" t="b">
        <f>IFERROR(OR(TRACK_TYPES[[#This Row],[TRACK_TYPE_STANDARD_GAUGE_RAILTYPE_OHLE]:[TRACK_TYPE_STANDARD_GAUGE_RAILTYPE_NONE]]),FALSE)</f>
        <v>1</v>
      </c>
      <c r="AF43" s="35" t="b">
        <f>IFERROR(OR(TRACK_TYPES[[#This Row],[TRACK_TYPE_NARROW_GAUGE_RAILTYPE_OHLE]:[TRACK_TYPE_NARROW_GAUGE_RAILTYPE_NONE]]),FALSE)</f>
        <v>0</v>
      </c>
      <c r="AG43" s="35" t="b">
        <f>IFERROR(OR(TRACK_TYPES[[#This Row],[TRACK_TYPE_BROAD_GAUGE_RAILTYPE_OHLE]:[TRACK_TYPE_BROAD_GAUGE_RAILTYPE_NONE]]),FALSE)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2681</v>
      </c>
      <c r="B44" s="37" t="str">
        <f>INDEX(CONTROL[ENGLISH],MATCH(PROPERTIES[[#This Row],[VEHIDCODE]],CONTROL[VEHIDCODE],0))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5" t="b">
        <f>IFERROR(OR(TRACK_TYPES[[#This Row],[TRACK_TYPE_STANDARD_GAUGE_RAILTYPE_OHLE]:[TRACK_TYPE_STANDARD_GAUGE_RAILTYPE_NONE]]),FALSE)</f>
        <v>1</v>
      </c>
      <c r="AF44" s="35" t="b">
        <f>IFERROR(OR(TRACK_TYPES[[#This Row],[TRACK_TYPE_NARROW_GAUGE_RAILTYPE_OHLE]:[TRACK_TYPE_NARROW_GAUGE_RAILTYPE_NONE]]),FALSE)</f>
        <v>0</v>
      </c>
      <c r="AG44" s="35" t="b">
        <f>IFERROR(OR(TRACK_TYPES[[#This Row],[TRACK_TYPE_BROAD_GAUGE_RAILTYPE_OHLE]:[TRACK_TYPE_BROAD_GAUGE_RAILTYPE_NONE]]),FALSE)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2682</v>
      </c>
      <c r="B45" s="37" t="str">
        <f>INDEX(CONTROL[ENGLISH],MATCH(PROPERTIES[[#This Row],[VEHIDCODE]],CONTROL[VEHIDCODE],0))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5" t="b">
        <f>IFERROR(OR(TRACK_TYPES[[#This Row],[TRACK_TYPE_STANDARD_GAUGE_RAILTYPE_OHLE]:[TRACK_TYPE_STANDARD_GAUGE_RAILTYPE_NONE]]),FALSE)</f>
        <v>1</v>
      </c>
      <c r="AF45" s="35" t="b">
        <f>IFERROR(OR(TRACK_TYPES[[#This Row],[TRACK_TYPE_NARROW_GAUGE_RAILTYPE_OHLE]:[TRACK_TYPE_NARROW_GAUGE_RAILTYPE_NONE]]),FALSE)</f>
        <v>0</v>
      </c>
      <c r="AG45" s="35" t="b">
        <f>IFERROR(OR(TRACK_TYPES[[#This Row],[TRACK_TYPE_BROAD_GAUGE_RAILTYPE_OHLE]:[TRACK_TYPE_BROAD_GAUGE_RAILTYPE_NONE]]),FALSE)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2683</v>
      </c>
      <c r="B46" s="37" t="str">
        <f>INDEX(CONTROL[ENGLISH],MATCH(PROPERTIES[[#This Row],[VEHIDCODE]],CONTROL[VEHIDCODE],0))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5" t="b">
        <f>IFERROR(OR(TRACK_TYPES[[#This Row],[TRACK_TYPE_STANDARD_GAUGE_RAILTYPE_OHLE]:[TRACK_TYPE_STANDARD_GAUGE_RAILTYPE_NONE]]),FALSE)</f>
        <v>1</v>
      </c>
      <c r="AF46" s="35" t="b">
        <f>IFERROR(OR(TRACK_TYPES[[#This Row],[TRACK_TYPE_NARROW_GAUGE_RAILTYPE_OHLE]:[TRACK_TYPE_NARROW_GAUGE_RAILTYPE_NONE]]),FALSE)</f>
        <v>0</v>
      </c>
      <c r="AG46" s="35" t="b">
        <f>IFERROR(OR(TRACK_TYPES[[#This Row],[TRACK_TYPE_BROAD_GAUGE_RAILTYPE_OHLE]:[TRACK_TYPE_BROAD_GAUGE_RAILTYPE_NONE]]),FALSE)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2684</v>
      </c>
      <c r="B47" s="37" t="str">
        <f>INDEX(CONTROL[ENGLISH],MATCH(PROPERTIES[[#This Row],[VEHIDCODE]],CONTROL[VEHIDCODE],0))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5" t="b">
        <f>IFERROR(OR(TRACK_TYPES[[#This Row],[TRACK_TYPE_STANDARD_GAUGE_RAILTYPE_OHLE]:[TRACK_TYPE_STANDARD_GAUGE_RAILTYPE_NONE]]),FALSE)</f>
        <v>0</v>
      </c>
      <c r="AF47" s="35" t="b">
        <f>IFERROR(OR(TRACK_TYPES[[#This Row],[TRACK_TYPE_NARROW_GAUGE_RAILTYPE_OHLE]:[TRACK_TYPE_NARROW_GAUGE_RAILTYPE_NONE]]),FALSE)</f>
        <v>0</v>
      </c>
      <c r="AG47" s="35" t="b">
        <f>IFERROR(OR(TRACK_TYPES[[#This Row],[TRACK_TYPE_BROAD_GAUGE_RAILTYPE_OHLE]:[TRACK_TYPE_BROAD_GAUGE_RAILTYPE_NONE]]),FALSE)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3446</v>
      </c>
      <c r="B48" s="37" t="str">
        <f>INDEX(CONTROL[ENGLISH],MATCH(PROPERTIES[[#This Row],[VEHIDCODE]],CONTROL[VEHIDCODE],0))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5" t="b">
        <f>IFERROR(OR(TRACK_TYPES[[#This Row],[TRACK_TYPE_STANDARD_GAUGE_RAILTYPE_OHLE]:[TRACK_TYPE_STANDARD_GAUGE_RAILTYPE_NONE]]),FALSE)</f>
        <v>1</v>
      </c>
      <c r="AF48" s="35" t="b">
        <f>IFERROR(OR(TRACK_TYPES[[#This Row],[TRACK_TYPE_NARROW_GAUGE_RAILTYPE_OHLE]:[TRACK_TYPE_NARROW_GAUGE_RAILTYPE_NONE]]),FALSE)</f>
        <v>0</v>
      </c>
      <c r="AG48" s="35" t="b">
        <f>IFERROR(OR(TRACK_TYPES[[#This Row],[TRACK_TYPE_BROAD_GAUGE_RAILTYPE_OHLE]:[TRACK_TYPE_BROAD_GAUGE_RAILTYPE_NONE]]),FALSE)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2685</v>
      </c>
      <c r="B49" s="37" t="str">
        <f>INDEX(CONTROL[ENGLISH],MATCH(PROPERTIES[[#This Row],[VEHIDCODE]],CONTROL[VEHIDCODE],0))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5" t="b">
        <f>IFERROR(OR(TRACK_TYPES[[#This Row],[TRACK_TYPE_STANDARD_GAUGE_RAILTYPE_OHLE]:[TRACK_TYPE_STANDARD_GAUGE_RAILTYPE_NONE]]),FALSE)</f>
        <v>1</v>
      </c>
      <c r="AF49" s="35" t="b">
        <f>IFERROR(OR(TRACK_TYPES[[#This Row],[TRACK_TYPE_NARROW_GAUGE_RAILTYPE_OHLE]:[TRACK_TYPE_NARROW_GAUGE_RAILTYPE_NONE]]),FALSE)</f>
        <v>0</v>
      </c>
      <c r="AG49" s="35" t="b">
        <f>IFERROR(OR(TRACK_TYPES[[#This Row],[TRACK_TYPE_BROAD_GAUGE_RAILTYPE_OHLE]:[TRACK_TYPE_BROAD_GAUGE_RAILTYPE_NONE]]),FALSE)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2686</v>
      </c>
      <c r="B50" s="37" t="str">
        <f>INDEX(CONTROL[ENGLISH],MATCH(PROPERTIES[[#This Row],[VEHIDCODE]],CONTROL[VEHIDCODE],0))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5" t="b">
        <f>IFERROR(OR(TRACK_TYPES[[#This Row],[TRACK_TYPE_STANDARD_GAUGE_RAILTYPE_OHLE]:[TRACK_TYPE_STANDARD_GAUGE_RAILTYPE_NONE]]),FALSE)</f>
        <v>1</v>
      </c>
      <c r="AF50" s="35" t="b">
        <f>IFERROR(OR(TRACK_TYPES[[#This Row],[TRACK_TYPE_NARROW_GAUGE_RAILTYPE_OHLE]:[TRACK_TYPE_NARROW_GAUGE_RAILTYPE_NONE]]),FALSE)</f>
        <v>0</v>
      </c>
      <c r="AG50" s="35" t="b">
        <f>IFERROR(OR(TRACK_TYPES[[#This Row],[TRACK_TYPE_BROAD_GAUGE_RAILTYPE_OHLE]:[TRACK_TYPE_BROAD_GAUGE_RAILTYPE_NONE]]),FALSE)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2687</v>
      </c>
      <c r="B51" s="37" t="str">
        <f>INDEX(CONTROL[ENGLISH],MATCH(PROPERTIES[[#This Row],[VEHIDCODE]],CONTROL[VEHIDCODE],0))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5" t="b">
        <f>IFERROR(OR(TRACK_TYPES[[#This Row],[TRACK_TYPE_STANDARD_GAUGE_RAILTYPE_OHLE]:[TRACK_TYPE_STANDARD_GAUGE_RAILTYPE_NONE]]),FALSE)</f>
        <v>1</v>
      </c>
      <c r="AF51" s="35" t="b">
        <f>IFERROR(OR(TRACK_TYPES[[#This Row],[TRACK_TYPE_NARROW_GAUGE_RAILTYPE_OHLE]:[TRACK_TYPE_NARROW_GAUGE_RAILTYPE_NONE]]),FALSE)</f>
        <v>0</v>
      </c>
      <c r="AG51" s="35" t="b">
        <f>IFERROR(OR(TRACK_TYPES[[#This Row],[TRACK_TYPE_BROAD_GAUGE_RAILTYPE_OHLE]:[TRACK_TYPE_BROAD_GAUGE_RAILTYPE_NONE]]),FALSE)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2688</v>
      </c>
      <c r="B52" s="37" t="str">
        <f>INDEX(CONTROL[ENGLISH],MATCH(PROPERTIES[[#This Row],[VEHIDCODE]],CONTROL[VEHIDCODE],0))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5" t="b">
        <f>IFERROR(OR(TRACK_TYPES[[#This Row],[TRACK_TYPE_STANDARD_GAUGE_RAILTYPE_OHLE]:[TRACK_TYPE_STANDARD_GAUGE_RAILTYPE_NONE]]),FALSE)</f>
        <v>1</v>
      </c>
      <c r="AF52" s="35" t="b">
        <f>IFERROR(OR(TRACK_TYPES[[#This Row],[TRACK_TYPE_NARROW_GAUGE_RAILTYPE_OHLE]:[TRACK_TYPE_NARROW_GAUGE_RAILTYPE_NONE]]),FALSE)</f>
        <v>0</v>
      </c>
      <c r="AG52" s="35" t="b">
        <f>IFERROR(OR(TRACK_TYPES[[#This Row],[TRACK_TYPE_BROAD_GAUGE_RAILTYPE_OHLE]:[TRACK_TYPE_BROAD_GAUGE_RAILTYPE_NONE]]),FALSE)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3463</v>
      </c>
      <c r="B53" s="37" t="str">
        <f>INDEX(CONTROL[ENGLISH],MATCH(PROPERTIES[[#This Row],[VEHIDCODE]],CONTROL[VEHIDCODE],0))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5" t="b">
        <f>IFERROR(OR(TRACK_TYPES[[#This Row],[TRACK_TYPE_STANDARD_GAUGE_RAILTYPE_OHLE]:[TRACK_TYPE_STANDARD_GAUGE_RAILTYPE_NONE]]),FALSE)</f>
        <v>1</v>
      </c>
      <c r="AF53" s="35" t="b">
        <f>IFERROR(OR(TRACK_TYPES[[#This Row],[TRACK_TYPE_NARROW_GAUGE_RAILTYPE_OHLE]:[TRACK_TYPE_NARROW_GAUGE_RAILTYPE_NONE]]),FALSE)</f>
        <v>0</v>
      </c>
      <c r="AG53" s="35" t="b">
        <f>IFERROR(OR(TRACK_TYPES[[#This Row],[TRACK_TYPE_BROAD_GAUGE_RAILTYPE_OHLE]:[TRACK_TYPE_BROAD_GAUGE_RAILTYPE_NONE]]),FALSE)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2689</v>
      </c>
      <c r="B54" s="37" t="str">
        <f>INDEX(CONTROL[ENGLISH],MATCH(PROPERTIES[[#This Row],[VEHIDCODE]],CONTROL[VEHIDCODE],0))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5" t="b">
        <f>IFERROR(OR(TRACK_TYPES[[#This Row],[TRACK_TYPE_STANDARD_GAUGE_RAILTYPE_OHLE]:[TRACK_TYPE_STANDARD_GAUGE_RAILTYPE_NONE]]),FALSE)</f>
        <v>0</v>
      </c>
      <c r="AF54" s="35" t="b">
        <f>IFERROR(OR(TRACK_TYPES[[#This Row],[TRACK_TYPE_NARROW_GAUGE_RAILTYPE_OHLE]:[TRACK_TYPE_NARROW_GAUGE_RAILTYPE_NONE]]),FALSE)</f>
        <v>1</v>
      </c>
      <c r="AG54" s="35" t="b">
        <f>IFERROR(OR(TRACK_TYPES[[#This Row],[TRACK_TYPE_BROAD_GAUGE_RAILTYPE_OHLE]:[TRACK_TYPE_BROAD_GAUGE_RAILTYPE_NONE]]),FALSE)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2690</v>
      </c>
      <c r="B55" s="37" t="str">
        <f>INDEX(CONTROL[ENGLISH],MATCH(PROPERTIES[[#This Row],[VEHIDCODE]],CONTROL[VEHIDCODE],0))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5" t="b">
        <f>IFERROR(OR(TRACK_TYPES[[#This Row],[TRACK_TYPE_STANDARD_GAUGE_RAILTYPE_OHLE]:[TRACK_TYPE_STANDARD_GAUGE_RAILTYPE_NONE]]),FALSE)</f>
        <v>1</v>
      </c>
      <c r="AF55" s="35" t="b">
        <f>IFERROR(OR(TRACK_TYPES[[#This Row],[TRACK_TYPE_NARROW_GAUGE_RAILTYPE_OHLE]:[TRACK_TYPE_NARROW_GAUGE_RAILTYPE_NONE]]),FALSE)</f>
        <v>0</v>
      </c>
      <c r="AG55" s="35" t="b">
        <f>IFERROR(OR(TRACK_TYPES[[#This Row],[TRACK_TYPE_BROAD_GAUGE_RAILTYPE_OHLE]:[TRACK_TYPE_BROAD_GAUGE_RAILTYPE_NONE]]),FALSE)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2691</v>
      </c>
      <c r="B56" s="37" t="str">
        <f>INDEX(CONTROL[ENGLISH],MATCH(PROPERTIES[[#This Row],[VEHIDCODE]],CONTROL[VEHIDCODE],0))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5" t="b">
        <f>IFERROR(OR(TRACK_TYPES[[#This Row],[TRACK_TYPE_STANDARD_GAUGE_RAILTYPE_OHLE]:[TRACK_TYPE_STANDARD_GAUGE_RAILTYPE_NONE]]),FALSE)</f>
        <v>1</v>
      </c>
      <c r="AF56" s="35" t="b">
        <f>IFERROR(OR(TRACK_TYPES[[#This Row],[TRACK_TYPE_NARROW_GAUGE_RAILTYPE_OHLE]:[TRACK_TYPE_NARROW_GAUGE_RAILTYPE_NONE]]),FALSE)</f>
        <v>0</v>
      </c>
      <c r="AG56" s="35" t="b">
        <f>IFERROR(OR(TRACK_TYPES[[#This Row],[TRACK_TYPE_BROAD_GAUGE_RAILTYPE_OHLE]:[TRACK_TYPE_BROAD_GAUGE_RAILTYPE_NONE]]),FALSE)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2692</v>
      </c>
      <c r="B57" s="37" t="str">
        <f>INDEX(CONTROL[ENGLISH],MATCH(PROPERTIES[[#This Row],[VEHIDCODE]],CONTROL[VEHIDCODE],0))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5" t="b">
        <f>IFERROR(OR(TRACK_TYPES[[#This Row],[TRACK_TYPE_STANDARD_GAUGE_RAILTYPE_OHLE]:[TRACK_TYPE_STANDARD_GAUGE_RAILTYPE_NONE]]),FALSE)</f>
        <v>1</v>
      </c>
      <c r="AF57" s="35" t="b">
        <f>IFERROR(OR(TRACK_TYPES[[#This Row],[TRACK_TYPE_NARROW_GAUGE_RAILTYPE_OHLE]:[TRACK_TYPE_NARROW_GAUGE_RAILTYPE_NONE]]),FALSE)</f>
        <v>0</v>
      </c>
      <c r="AG57" s="35" t="b">
        <f>IFERROR(OR(TRACK_TYPES[[#This Row],[TRACK_TYPE_BROAD_GAUGE_RAILTYPE_OHLE]:[TRACK_TYPE_BROAD_GAUGE_RAILTYPE_NONE]]),FALSE)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2693</v>
      </c>
      <c r="B58" s="37" t="str">
        <f>INDEX(CONTROL[ENGLISH],MATCH(PROPERTIES[[#This Row],[VEHIDCODE]],CONTROL[VEHIDCODE],0))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5" t="b">
        <f>IFERROR(OR(TRACK_TYPES[[#This Row],[TRACK_TYPE_STANDARD_GAUGE_RAILTYPE_OHLE]:[TRACK_TYPE_STANDARD_GAUGE_RAILTYPE_NONE]]),FALSE)</f>
        <v>1</v>
      </c>
      <c r="AF58" s="35" t="b">
        <f>IFERROR(OR(TRACK_TYPES[[#This Row],[TRACK_TYPE_NARROW_GAUGE_RAILTYPE_OHLE]:[TRACK_TYPE_NARROW_GAUGE_RAILTYPE_NONE]]),FALSE)</f>
        <v>0</v>
      </c>
      <c r="AG58" s="35" t="b">
        <f>IFERROR(OR(TRACK_TYPES[[#This Row],[TRACK_TYPE_BROAD_GAUGE_RAILTYPE_OHLE]:[TRACK_TYPE_BROAD_GAUGE_RAILTYPE_NONE]]),FALSE)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2694</v>
      </c>
      <c r="B59" s="37" t="str">
        <f>INDEX(CONTROL[ENGLISH],MATCH(PROPERTIES[[#This Row],[VEHIDCODE]],CONTROL[VEHIDCODE],0))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5" t="b">
        <f>IFERROR(OR(TRACK_TYPES[[#This Row],[TRACK_TYPE_STANDARD_GAUGE_RAILTYPE_OHLE]:[TRACK_TYPE_STANDARD_GAUGE_RAILTYPE_NONE]]),FALSE)</f>
        <v>1</v>
      </c>
      <c r="AF59" s="35" t="b">
        <f>IFERROR(OR(TRACK_TYPES[[#This Row],[TRACK_TYPE_NARROW_GAUGE_RAILTYPE_OHLE]:[TRACK_TYPE_NARROW_GAUGE_RAILTYPE_NONE]]),FALSE)</f>
        <v>0</v>
      </c>
      <c r="AG59" s="35" t="b">
        <f>IFERROR(OR(TRACK_TYPES[[#This Row],[TRACK_TYPE_BROAD_GAUGE_RAILTYPE_OHLE]:[TRACK_TYPE_BROAD_GAUGE_RAILTYPE_NONE]]),FALSE)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2695</v>
      </c>
      <c r="B60" s="37" t="str">
        <f>INDEX(CONTROL[ENGLISH],MATCH(PROPERTIES[[#This Row],[VEHIDCODE]],CONTROL[VEHIDCODE],0))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5" t="b">
        <f>IFERROR(OR(TRACK_TYPES[[#This Row],[TRACK_TYPE_STANDARD_GAUGE_RAILTYPE_OHLE]:[TRACK_TYPE_STANDARD_GAUGE_RAILTYPE_NONE]]),FALSE)</f>
        <v>1</v>
      </c>
      <c r="AF60" s="35" t="b">
        <f>IFERROR(OR(TRACK_TYPES[[#This Row],[TRACK_TYPE_NARROW_GAUGE_RAILTYPE_OHLE]:[TRACK_TYPE_NARROW_GAUGE_RAILTYPE_NONE]]),FALSE)</f>
        <v>0</v>
      </c>
      <c r="AG60" s="35" t="b">
        <f>IFERROR(OR(TRACK_TYPES[[#This Row],[TRACK_TYPE_BROAD_GAUGE_RAILTYPE_OHLE]:[TRACK_TYPE_BROAD_GAUGE_RAILTYPE_NONE]]),FALSE)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2696</v>
      </c>
      <c r="B61" s="37" t="str">
        <f>INDEX(CONTROL[ENGLISH],MATCH(PROPERTIES[[#This Row],[VEHIDCODE]],CONTROL[VEHIDCODE],0))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5" t="b">
        <f>IFERROR(OR(TRACK_TYPES[[#This Row],[TRACK_TYPE_STANDARD_GAUGE_RAILTYPE_OHLE]:[TRACK_TYPE_STANDARD_GAUGE_RAILTYPE_NONE]]),FALSE)</f>
        <v>1</v>
      </c>
      <c r="AF61" s="35" t="b">
        <f>IFERROR(OR(TRACK_TYPES[[#This Row],[TRACK_TYPE_NARROW_GAUGE_RAILTYPE_OHLE]:[TRACK_TYPE_NARROW_GAUGE_RAILTYPE_NONE]]),FALSE)</f>
        <v>0</v>
      </c>
      <c r="AG61" s="35" t="b">
        <f>IFERROR(OR(TRACK_TYPES[[#This Row],[TRACK_TYPE_BROAD_GAUGE_RAILTYPE_OHLE]:[TRACK_TYPE_BROAD_GAUGE_RAILTYPE_NONE]]),FALSE)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2697</v>
      </c>
      <c r="B62" s="37" t="str">
        <f>INDEX(CONTROL[ENGLISH],MATCH(PROPERTIES[[#This Row],[VEHIDCODE]],CONTROL[VEHIDCODE],0))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5" t="b">
        <f>IFERROR(OR(TRACK_TYPES[[#This Row],[TRACK_TYPE_STANDARD_GAUGE_RAILTYPE_OHLE]:[TRACK_TYPE_STANDARD_GAUGE_RAILTYPE_NONE]]),FALSE)</f>
        <v>1</v>
      </c>
      <c r="AF62" s="35" t="b">
        <f>IFERROR(OR(TRACK_TYPES[[#This Row],[TRACK_TYPE_NARROW_GAUGE_RAILTYPE_OHLE]:[TRACK_TYPE_NARROW_GAUGE_RAILTYPE_NONE]]),FALSE)</f>
        <v>0</v>
      </c>
      <c r="AG62" s="35" t="b">
        <f>IFERROR(OR(TRACK_TYPES[[#This Row],[TRACK_TYPE_BROAD_GAUGE_RAILTYPE_OHLE]:[TRACK_TYPE_BROAD_GAUGE_RAILTYPE_NONE]]),FALSE)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2698</v>
      </c>
      <c r="B63" s="37" t="str">
        <f>INDEX(CONTROL[ENGLISH],MATCH(PROPERTIES[[#This Row],[VEHIDCODE]],CONTROL[VEHIDCODE],0))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5" t="b">
        <f>IFERROR(OR(TRACK_TYPES[[#This Row],[TRACK_TYPE_STANDARD_GAUGE_RAILTYPE_OHLE]:[TRACK_TYPE_STANDARD_GAUGE_RAILTYPE_NONE]]),FALSE)</f>
        <v>1</v>
      </c>
      <c r="AF63" s="35" t="b">
        <f>IFERROR(OR(TRACK_TYPES[[#This Row],[TRACK_TYPE_NARROW_GAUGE_RAILTYPE_OHLE]:[TRACK_TYPE_NARROW_GAUGE_RAILTYPE_NONE]]),FALSE)</f>
        <v>0</v>
      </c>
      <c r="AG63" s="35" t="b">
        <f>IFERROR(OR(TRACK_TYPES[[#This Row],[TRACK_TYPE_BROAD_GAUGE_RAILTYPE_OHLE]:[TRACK_TYPE_BROAD_GAUGE_RAILTYPE_NONE]]),FALSE)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2699</v>
      </c>
      <c r="B64" s="37" t="str">
        <f>INDEX(CONTROL[ENGLISH],MATCH(PROPERTIES[[#This Row],[VEHIDCODE]],CONTROL[VEHIDCODE],0))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5" t="b">
        <f>IFERROR(OR(TRACK_TYPES[[#This Row],[TRACK_TYPE_STANDARD_GAUGE_RAILTYPE_OHLE]:[TRACK_TYPE_STANDARD_GAUGE_RAILTYPE_NONE]]),FALSE)</f>
        <v>1</v>
      </c>
      <c r="AF64" s="35" t="b">
        <f>IFERROR(OR(TRACK_TYPES[[#This Row],[TRACK_TYPE_NARROW_GAUGE_RAILTYPE_OHLE]:[TRACK_TYPE_NARROW_GAUGE_RAILTYPE_NONE]]),FALSE)</f>
        <v>0</v>
      </c>
      <c r="AG64" s="35" t="b">
        <f>IFERROR(OR(TRACK_TYPES[[#This Row],[TRACK_TYPE_BROAD_GAUGE_RAILTYPE_OHLE]:[TRACK_TYPE_BROAD_GAUGE_RAILTYPE_NONE]]),FALSE)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2700</v>
      </c>
      <c r="B65" s="37" t="str">
        <f>INDEX(CONTROL[ENGLISH],MATCH(PROPERTIES[[#This Row],[VEHIDCODE]],CONTROL[VEHIDCODE],0))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5" t="b">
        <f>IFERROR(OR(TRACK_TYPES[[#This Row],[TRACK_TYPE_STANDARD_GAUGE_RAILTYPE_OHLE]:[TRACK_TYPE_STANDARD_GAUGE_RAILTYPE_NONE]]),FALSE)</f>
        <v>1</v>
      </c>
      <c r="AF65" s="35" t="b">
        <f>IFERROR(OR(TRACK_TYPES[[#This Row],[TRACK_TYPE_NARROW_GAUGE_RAILTYPE_OHLE]:[TRACK_TYPE_NARROW_GAUGE_RAILTYPE_NONE]]),FALSE)</f>
        <v>0</v>
      </c>
      <c r="AG65" s="35" t="b">
        <f>IFERROR(OR(TRACK_TYPES[[#This Row],[TRACK_TYPE_BROAD_GAUGE_RAILTYPE_OHLE]:[TRACK_TYPE_BROAD_GAUGE_RAILTYPE_NONE]]),FALSE)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2701</v>
      </c>
      <c r="B66" s="37" t="str">
        <f>INDEX(CONTROL[ENGLISH],MATCH(PROPERTIES[[#This Row],[VEHIDCODE]],CONTROL[VEHIDCODE],0))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5" t="b">
        <f>IFERROR(OR(TRACK_TYPES[[#This Row],[TRACK_TYPE_STANDARD_GAUGE_RAILTYPE_OHLE]:[TRACK_TYPE_STANDARD_GAUGE_RAILTYPE_NONE]]),FALSE)</f>
        <v>1</v>
      </c>
      <c r="AF66" s="35" t="b">
        <f>IFERROR(OR(TRACK_TYPES[[#This Row],[TRACK_TYPE_NARROW_GAUGE_RAILTYPE_OHLE]:[TRACK_TYPE_NARROW_GAUGE_RAILTYPE_NONE]]),FALSE)</f>
        <v>0</v>
      </c>
      <c r="AG66" s="35" t="b">
        <f>IFERROR(OR(TRACK_TYPES[[#This Row],[TRACK_TYPE_BROAD_GAUGE_RAILTYPE_OHLE]:[TRACK_TYPE_BROAD_GAUGE_RAILTYPE_NONE]]),FALSE)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2702</v>
      </c>
      <c r="B67" s="37" t="str">
        <f>INDEX(CONTROL[ENGLISH],MATCH(PROPERTIES[[#This Row],[VEHIDCODE]],CONTROL[VEHIDCODE],0))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5" t="b">
        <f>IFERROR(OR(TRACK_TYPES[[#This Row],[TRACK_TYPE_STANDARD_GAUGE_RAILTYPE_OHLE]:[TRACK_TYPE_STANDARD_GAUGE_RAILTYPE_NONE]]),FALSE)</f>
        <v>1</v>
      </c>
      <c r="AF67" s="35" t="b">
        <f>IFERROR(OR(TRACK_TYPES[[#This Row],[TRACK_TYPE_NARROW_GAUGE_RAILTYPE_OHLE]:[TRACK_TYPE_NARROW_GAUGE_RAILTYPE_NONE]]),FALSE)</f>
        <v>0</v>
      </c>
      <c r="AG67" s="35" t="b">
        <f>IFERROR(OR(TRACK_TYPES[[#This Row],[TRACK_TYPE_BROAD_GAUGE_RAILTYPE_OHLE]:[TRACK_TYPE_BROAD_GAUGE_RAILTYPE_NONE]]),FALSE)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2703</v>
      </c>
      <c r="B68" s="37" t="str">
        <f>INDEX(CONTROL[ENGLISH],MATCH(PROPERTIES[[#This Row],[VEHIDCODE]],CONTROL[VEHIDCODE],0))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5" t="b">
        <f>IFERROR(OR(TRACK_TYPES[[#This Row],[TRACK_TYPE_STANDARD_GAUGE_RAILTYPE_OHLE]:[TRACK_TYPE_STANDARD_GAUGE_RAILTYPE_NONE]]),FALSE)</f>
        <v>1</v>
      </c>
      <c r="AF68" s="35" t="b">
        <f>IFERROR(OR(TRACK_TYPES[[#This Row],[TRACK_TYPE_NARROW_GAUGE_RAILTYPE_OHLE]:[TRACK_TYPE_NARROW_GAUGE_RAILTYPE_NONE]]),FALSE)</f>
        <v>0</v>
      </c>
      <c r="AG68" s="35" t="b">
        <f>IFERROR(OR(TRACK_TYPES[[#This Row],[TRACK_TYPE_BROAD_GAUGE_RAILTYPE_OHLE]:[TRACK_TYPE_BROAD_GAUGE_RAILTYPE_NONE]]),FALSE)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2704</v>
      </c>
      <c r="B69" s="37" t="str">
        <f>INDEX(CONTROL[ENGLISH],MATCH(PROPERTIES[[#This Row],[VEHIDCODE]],CONTROL[VEHIDCODE],0))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5" t="b">
        <f>IFERROR(OR(TRACK_TYPES[[#This Row],[TRACK_TYPE_STANDARD_GAUGE_RAILTYPE_OHLE]:[TRACK_TYPE_STANDARD_GAUGE_RAILTYPE_NONE]]),FALSE)</f>
        <v>1</v>
      </c>
      <c r="AF69" s="35" t="b">
        <f>IFERROR(OR(TRACK_TYPES[[#This Row],[TRACK_TYPE_NARROW_GAUGE_RAILTYPE_OHLE]:[TRACK_TYPE_NARROW_GAUGE_RAILTYPE_NONE]]),FALSE)</f>
        <v>0</v>
      </c>
      <c r="AG69" s="35" t="b">
        <f>IFERROR(OR(TRACK_TYPES[[#This Row],[TRACK_TYPE_BROAD_GAUGE_RAILTYPE_OHLE]:[TRACK_TYPE_BROAD_GAUGE_RAILTYPE_NONE]]),FALSE)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2705</v>
      </c>
      <c r="B70" s="37" t="str">
        <f>INDEX(CONTROL[ENGLISH],MATCH(PROPERTIES[[#This Row],[VEHIDCODE]],CONTROL[VEHIDCODE],0))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5" t="b">
        <f>IFERROR(OR(TRACK_TYPES[[#This Row],[TRACK_TYPE_STANDARD_GAUGE_RAILTYPE_OHLE]:[TRACK_TYPE_STANDARD_GAUGE_RAILTYPE_NONE]]),FALSE)</f>
        <v>1</v>
      </c>
      <c r="AF70" s="35" t="b">
        <f>IFERROR(OR(TRACK_TYPES[[#This Row],[TRACK_TYPE_NARROW_GAUGE_RAILTYPE_OHLE]:[TRACK_TYPE_NARROW_GAUGE_RAILTYPE_NONE]]),FALSE)</f>
        <v>0</v>
      </c>
      <c r="AG70" s="35" t="b">
        <f>IFERROR(OR(TRACK_TYPES[[#This Row],[TRACK_TYPE_BROAD_GAUGE_RAILTYPE_OHLE]:[TRACK_TYPE_BROAD_GAUGE_RAILTYPE_NONE]]),FALSE)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2706</v>
      </c>
      <c r="B71" s="37" t="str">
        <f>INDEX(CONTROL[ENGLISH],MATCH(PROPERTIES[[#This Row],[VEHIDCODE]],CONTROL[VEHIDCODE],0))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5" t="b">
        <f>IFERROR(OR(TRACK_TYPES[[#This Row],[TRACK_TYPE_STANDARD_GAUGE_RAILTYPE_OHLE]:[TRACK_TYPE_STANDARD_GAUGE_RAILTYPE_NONE]]),FALSE)</f>
        <v>1</v>
      </c>
      <c r="AF71" s="35" t="b">
        <f>IFERROR(OR(TRACK_TYPES[[#This Row],[TRACK_TYPE_NARROW_GAUGE_RAILTYPE_OHLE]:[TRACK_TYPE_NARROW_GAUGE_RAILTYPE_NONE]]),FALSE)</f>
        <v>0</v>
      </c>
      <c r="AG71" s="35" t="b">
        <f>IFERROR(OR(TRACK_TYPES[[#This Row],[TRACK_TYPE_BROAD_GAUGE_RAILTYPE_OHLE]:[TRACK_TYPE_BROAD_GAUGE_RAILTYPE_NONE]]),FALSE)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2707</v>
      </c>
      <c r="B72" s="37" t="str">
        <f>INDEX(CONTROL[ENGLISH],MATCH(PROPERTIES[[#This Row],[VEHIDCODE]],CONTROL[VEHIDCODE],0))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5" t="b">
        <f>IFERROR(OR(TRACK_TYPES[[#This Row],[TRACK_TYPE_STANDARD_GAUGE_RAILTYPE_OHLE]:[TRACK_TYPE_STANDARD_GAUGE_RAILTYPE_NONE]]),FALSE)</f>
        <v>1</v>
      </c>
      <c r="AF72" s="35" t="b">
        <f>IFERROR(OR(TRACK_TYPES[[#This Row],[TRACK_TYPE_NARROW_GAUGE_RAILTYPE_OHLE]:[TRACK_TYPE_NARROW_GAUGE_RAILTYPE_NONE]]),FALSE)</f>
        <v>0</v>
      </c>
      <c r="AG72" s="35" t="b">
        <f>IFERROR(OR(TRACK_TYPES[[#This Row],[TRACK_TYPE_BROAD_GAUGE_RAILTYPE_OHLE]:[TRACK_TYPE_BROAD_GAUGE_RAILTYPE_NONE]]),FALSE)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2708</v>
      </c>
      <c r="B73" s="37" t="str">
        <f>INDEX(CONTROL[ENGLISH],MATCH(PROPERTIES[[#This Row],[VEHIDCODE]],CONTROL[VEHIDCODE],0))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5" t="b">
        <f>IFERROR(OR(TRACK_TYPES[[#This Row],[TRACK_TYPE_STANDARD_GAUGE_RAILTYPE_OHLE]:[TRACK_TYPE_STANDARD_GAUGE_RAILTYPE_NONE]]),FALSE)</f>
        <v>1</v>
      </c>
      <c r="AF73" s="35" t="b">
        <f>IFERROR(OR(TRACK_TYPES[[#This Row],[TRACK_TYPE_NARROW_GAUGE_RAILTYPE_OHLE]:[TRACK_TYPE_NARROW_GAUGE_RAILTYPE_NONE]]),FALSE)</f>
        <v>0</v>
      </c>
      <c r="AG73" s="35" t="b">
        <f>IFERROR(OR(TRACK_TYPES[[#This Row],[TRACK_TYPE_BROAD_GAUGE_RAILTYPE_OHLE]:[TRACK_TYPE_BROAD_GAUGE_RAILTYPE_NONE]]),FALSE)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2709</v>
      </c>
      <c r="B74" s="37" t="str">
        <f>INDEX(CONTROL[ENGLISH],MATCH(PROPERTIES[[#This Row],[VEHIDCODE]],CONTROL[VEHIDCODE],0))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5" t="b">
        <f>IFERROR(OR(TRACK_TYPES[[#This Row],[TRACK_TYPE_STANDARD_GAUGE_RAILTYPE_OHLE]:[TRACK_TYPE_STANDARD_GAUGE_RAILTYPE_NONE]]),FALSE)</f>
        <v>1</v>
      </c>
      <c r="AF74" s="35" t="b">
        <f>IFERROR(OR(TRACK_TYPES[[#This Row],[TRACK_TYPE_NARROW_GAUGE_RAILTYPE_OHLE]:[TRACK_TYPE_NARROW_GAUGE_RAILTYPE_NONE]]),FALSE)</f>
        <v>0</v>
      </c>
      <c r="AG74" s="35" t="b">
        <f>IFERROR(OR(TRACK_TYPES[[#This Row],[TRACK_TYPE_BROAD_GAUGE_RAILTYPE_OHLE]:[TRACK_TYPE_BROAD_GAUGE_RAILTYPE_NONE]]),FALSE)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2710</v>
      </c>
      <c r="B75" s="37" t="str">
        <f>INDEX(CONTROL[ENGLISH],MATCH(PROPERTIES[[#This Row],[VEHIDCODE]],CONTROL[VEHIDCODE],0))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5" t="b">
        <f>IFERROR(OR(TRACK_TYPES[[#This Row],[TRACK_TYPE_STANDARD_GAUGE_RAILTYPE_OHLE]:[TRACK_TYPE_STANDARD_GAUGE_RAILTYPE_NONE]]),FALSE)</f>
        <v>1</v>
      </c>
      <c r="AF75" s="35" t="b">
        <f>IFERROR(OR(TRACK_TYPES[[#This Row],[TRACK_TYPE_NARROW_GAUGE_RAILTYPE_OHLE]:[TRACK_TYPE_NARROW_GAUGE_RAILTYPE_NONE]]),FALSE)</f>
        <v>0</v>
      </c>
      <c r="AG75" s="35" t="b">
        <f>IFERROR(OR(TRACK_TYPES[[#This Row],[TRACK_TYPE_BROAD_GAUGE_RAILTYPE_OHLE]:[TRACK_TYPE_BROAD_GAUGE_RAILTYPE_NONE]]),FALSE)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2711</v>
      </c>
      <c r="B76" s="37" t="str">
        <f>INDEX(CONTROL[ENGLISH],MATCH(PROPERTIES[[#This Row],[VEHIDCODE]],CONTROL[VEHIDCODE],0))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5" t="b">
        <f>IFERROR(OR(TRACK_TYPES[[#This Row],[TRACK_TYPE_STANDARD_GAUGE_RAILTYPE_OHLE]:[TRACK_TYPE_STANDARD_GAUGE_RAILTYPE_NONE]]),FALSE)</f>
        <v>1</v>
      </c>
      <c r="AF76" s="35" t="b">
        <f>IFERROR(OR(TRACK_TYPES[[#This Row],[TRACK_TYPE_NARROW_GAUGE_RAILTYPE_OHLE]:[TRACK_TYPE_NARROW_GAUGE_RAILTYPE_NONE]]),FALSE)</f>
        <v>0</v>
      </c>
      <c r="AG76" s="35" t="b">
        <f>IFERROR(OR(TRACK_TYPES[[#This Row],[TRACK_TYPE_BROAD_GAUGE_RAILTYPE_OHLE]:[TRACK_TYPE_BROAD_GAUGE_RAILTYPE_NONE]]),FALSE)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2712</v>
      </c>
      <c r="B77" s="37" t="str">
        <f>INDEX(CONTROL[ENGLISH],MATCH(PROPERTIES[[#This Row],[VEHIDCODE]],CONTROL[VEHIDCODE],0))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5" t="b">
        <f>IFERROR(OR(TRACK_TYPES[[#This Row],[TRACK_TYPE_STANDARD_GAUGE_RAILTYPE_OHLE]:[TRACK_TYPE_STANDARD_GAUGE_RAILTYPE_NONE]]),FALSE)</f>
        <v>0</v>
      </c>
      <c r="AF77" s="35" t="b">
        <f>IFERROR(OR(TRACK_TYPES[[#This Row],[TRACK_TYPE_NARROW_GAUGE_RAILTYPE_OHLE]:[TRACK_TYPE_NARROW_GAUGE_RAILTYPE_NONE]]),FALSE)</f>
        <v>1</v>
      </c>
      <c r="AG77" s="35" t="b">
        <f>IFERROR(OR(TRACK_TYPES[[#This Row],[TRACK_TYPE_BROAD_GAUGE_RAILTYPE_OHLE]:[TRACK_TYPE_BROAD_GAUGE_RAILTYPE_NONE]]),FALSE)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3442</v>
      </c>
      <c r="B78" s="37" t="str">
        <f>INDEX(CONTROL[ENGLISH],MATCH(PROPERTIES[[#This Row],[VEHIDCODE]],CONTROL[VEHIDCODE],0))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5" t="b">
        <f>IFERROR(OR(TRACK_TYPES[[#This Row],[TRACK_TYPE_STANDARD_GAUGE_RAILTYPE_OHLE]:[TRACK_TYPE_STANDARD_GAUGE_RAILTYPE_NONE]]),FALSE)</f>
        <v>1</v>
      </c>
      <c r="AF78" s="35" t="b">
        <f>IFERROR(OR(TRACK_TYPES[[#This Row],[TRACK_TYPE_NARROW_GAUGE_RAILTYPE_OHLE]:[TRACK_TYPE_NARROW_GAUGE_RAILTYPE_NONE]]),FALSE)</f>
        <v>0</v>
      </c>
      <c r="AG78" s="35" t="b">
        <f>IFERROR(OR(TRACK_TYPES[[#This Row],[TRACK_TYPE_BROAD_GAUGE_RAILTYPE_OHLE]:[TRACK_TYPE_BROAD_GAUGE_RAILTYPE_NONE]]),FALSE)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2713</v>
      </c>
      <c r="B79" s="37" t="str">
        <f>INDEX(CONTROL[ENGLISH],MATCH(PROPERTIES[[#This Row],[VEHIDCODE]],CONTROL[VEHIDCODE],0))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5" t="b">
        <f>IFERROR(OR(TRACK_TYPES[[#This Row],[TRACK_TYPE_STANDARD_GAUGE_RAILTYPE_OHLE]:[TRACK_TYPE_STANDARD_GAUGE_RAILTYPE_NONE]]),FALSE)</f>
        <v>1</v>
      </c>
      <c r="AF79" s="35" t="b">
        <f>IFERROR(OR(TRACK_TYPES[[#This Row],[TRACK_TYPE_NARROW_GAUGE_RAILTYPE_OHLE]:[TRACK_TYPE_NARROW_GAUGE_RAILTYPE_NONE]]),FALSE)</f>
        <v>0</v>
      </c>
      <c r="AG79" s="35" t="b">
        <f>IFERROR(OR(TRACK_TYPES[[#This Row],[TRACK_TYPE_BROAD_GAUGE_RAILTYPE_OHLE]:[TRACK_TYPE_BROAD_GAUGE_RAILTYPE_NONE]]),FALSE)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2714</v>
      </c>
      <c r="B80" s="37" t="str">
        <f>INDEX(CONTROL[ENGLISH],MATCH(PROPERTIES[[#This Row],[VEHIDCODE]],CONTROL[VEHIDCODE],0))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5" t="b">
        <f>IFERROR(OR(TRACK_TYPES[[#This Row],[TRACK_TYPE_STANDARD_GAUGE_RAILTYPE_OHLE]:[TRACK_TYPE_STANDARD_GAUGE_RAILTYPE_NONE]]),FALSE)</f>
        <v>1</v>
      </c>
      <c r="AF80" s="35" t="b">
        <f>IFERROR(OR(TRACK_TYPES[[#This Row],[TRACK_TYPE_NARROW_GAUGE_RAILTYPE_OHLE]:[TRACK_TYPE_NARROW_GAUGE_RAILTYPE_NONE]]),FALSE)</f>
        <v>0</v>
      </c>
      <c r="AG80" s="35" t="b">
        <f>IFERROR(OR(TRACK_TYPES[[#This Row],[TRACK_TYPE_BROAD_GAUGE_RAILTYPE_OHLE]:[TRACK_TYPE_BROAD_GAUGE_RAILTYPE_NONE]]),FALSE)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2715</v>
      </c>
      <c r="B81" s="37" t="str">
        <f>INDEX(CONTROL[ENGLISH],MATCH(PROPERTIES[[#This Row],[VEHIDCODE]],CONTROL[VEHIDCODE],0))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5" t="b">
        <f>IFERROR(OR(TRACK_TYPES[[#This Row],[TRACK_TYPE_STANDARD_GAUGE_RAILTYPE_OHLE]:[TRACK_TYPE_STANDARD_GAUGE_RAILTYPE_NONE]]),FALSE)</f>
        <v>1</v>
      </c>
      <c r="AF81" s="35" t="b">
        <f>IFERROR(OR(TRACK_TYPES[[#This Row],[TRACK_TYPE_NARROW_GAUGE_RAILTYPE_OHLE]:[TRACK_TYPE_NARROW_GAUGE_RAILTYPE_NONE]]),FALSE)</f>
        <v>0</v>
      </c>
      <c r="AG81" s="35" t="b">
        <f>IFERROR(OR(TRACK_TYPES[[#This Row],[TRACK_TYPE_BROAD_GAUGE_RAILTYPE_OHLE]:[TRACK_TYPE_BROAD_GAUGE_RAILTYPE_NONE]]),FALSE)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3464</v>
      </c>
      <c r="B82" s="37" t="str">
        <f>INDEX(CONTROL[ENGLISH],MATCH(PROPERTIES[[#This Row],[VEHIDCODE]],CONTROL[VEHIDCODE],0))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5" t="b">
        <f>IFERROR(OR(TRACK_TYPES[[#This Row],[TRACK_TYPE_STANDARD_GAUGE_RAILTYPE_OHLE]:[TRACK_TYPE_STANDARD_GAUGE_RAILTYPE_NONE]]),FALSE)</f>
        <v>1</v>
      </c>
      <c r="AF82" s="35" t="b">
        <f>IFERROR(OR(TRACK_TYPES[[#This Row],[TRACK_TYPE_NARROW_GAUGE_RAILTYPE_OHLE]:[TRACK_TYPE_NARROW_GAUGE_RAILTYPE_NONE]]),FALSE)</f>
        <v>0</v>
      </c>
      <c r="AG82" s="35" t="b">
        <f>IFERROR(OR(TRACK_TYPES[[#This Row],[TRACK_TYPE_BROAD_GAUGE_RAILTYPE_OHLE]:[TRACK_TYPE_BROAD_GAUGE_RAILTYPE_NONE]]),FALSE)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2716</v>
      </c>
      <c r="B83" s="37" t="str">
        <f>INDEX(CONTROL[ENGLISH],MATCH(PROPERTIES[[#This Row],[VEHIDCODE]],CONTROL[VEHIDCODE],0))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5" t="b">
        <f>IFERROR(OR(TRACK_TYPES[[#This Row],[TRACK_TYPE_STANDARD_GAUGE_RAILTYPE_OHLE]:[TRACK_TYPE_STANDARD_GAUGE_RAILTYPE_NONE]]),FALSE)</f>
        <v>1</v>
      </c>
      <c r="AF83" s="35" t="b">
        <f>IFERROR(OR(TRACK_TYPES[[#This Row],[TRACK_TYPE_NARROW_GAUGE_RAILTYPE_OHLE]:[TRACK_TYPE_NARROW_GAUGE_RAILTYPE_NONE]]),FALSE)</f>
        <v>0</v>
      </c>
      <c r="AG83" s="35" t="b">
        <f>IFERROR(OR(TRACK_TYPES[[#This Row],[TRACK_TYPE_BROAD_GAUGE_RAILTYPE_OHLE]:[TRACK_TYPE_BROAD_GAUGE_RAILTYPE_NONE]]),FALSE)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2717</v>
      </c>
      <c r="B84" s="37" t="str">
        <f>INDEX(CONTROL[ENGLISH],MATCH(PROPERTIES[[#This Row],[VEHIDCODE]],CONTROL[VEHIDCODE],0))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5" t="b">
        <f>IFERROR(OR(TRACK_TYPES[[#This Row],[TRACK_TYPE_STANDARD_GAUGE_RAILTYPE_OHLE]:[TRACK_TYPE_STANDARD_GAUGE_RAILTYPE_NONE]]),FALSE)</f>
        <v>1</v>
      </c>
      <c r="AF84" s="35" t="b">
        <f>IFERROR(OR(TRACK_TYPES[[#This Row],[TRACK_TYPE_NARROW_GAUGE_RAILTYPE_OHLE]:[TRACK_TYPE_NARROW_GAUGE_RAILTYPE_NONE]]),FALSE)</f>
        <v>0</v>
      </c>
      <c r="AG84" s="35" t="b">
        <f>IFERROR(OR(TRACK_TYPES[[#This Row],[TRACK_TYPE_BROAD_GAUGE_RAILTYPE_OHLE]:[TRACK_TYPE_BROAD_GAUGE_RAILTYPE_NONE]]),FALSE)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2718</v>
      </c>
      <c r="B85" s="37" t="str">
        <f>INDEX(CONTROL[ENGLISH],MATCH(PROPERTIES[[#This Row],[VEHIDCODE]],CONTROL[VEHIDCODE],0))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5" t="b">
        <f>IFERROR(OR(TRACK_TYPES[[#This Row],[TRACK_TYPE_STANDARD_GAUGE_RAILTYPE_OHLE]:[TRACK_TYPE_STANDARD_GAUGE_RAILTYPE_NONE]]),FALSE)</f>
        <v>1</v>
      </c>
      <c r="AF85" s="35" t="b">
        <f>IFERROR(OR(TRACK_TYPES[[#This Row],[TRACK_TYPE_NARROW_GAUGE_RAILTYPE_OHLE]:[TRACK_TYPE_NARROW_GAUGE_RAILTYPE_NONE]]),FALSE)</f>
        <v>0</v>
      </c>
      <c r="AG85" s="35" t="b">
        <f>IFERROR(OR(TRACK_TYPES[[#This Row],[TRACK_TYPE_BROAD_GAUGE_RAILTYPE_OHLE]:[TRACK_TYPE_BROAD_GAUGE_RAILTYPE_NONE]]),FALSE)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2719</v>
      </c>
      <c r="B86" s="37" t="str">
        <f>INDEX(CONTROL[ENGLISH],MATCH(PROPERTIES[[#This Row],[VEHIDCODE]],CONTROL[VEHIDCODE],0))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5" t="b">
        <f>IFERROR(OR(TRACK_TYPES[[#This Row],[TRACK_TYPE_STANDARD_GAUGE_RAILTYPE_OHLE]:[TRACK_TYPE_STANDARD_GAUGE_RAILTYPE_NONE]]),FALSE)</f>
        <v>1</v>
      </c>
      <c r="AF86" s="35" t="b">
        <f>IFERROR(OR(TRACK_TYPES[[#This Row],[TRACK_TYPE_NARROW_GAUGE_RAILTYPE_OHLE]:[TRACK_TYPE_NARROW_GAUGE_RAILTYPE_NONE]]),FALSE)</f>
        <v>0</v>
      </c>
      <c r="AG86" s="35" t="b">
        <f>IFERROR(OR(TRACK_TYPES[[#This Row],[TRACK_TYPE_BROAD_GAUGE_RAILTYPE_OHLE]:[TRACK_TYPE_BROAD_GAUGE_RAILTYPE_NONE]]),FALSE)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2720</v>
      </c>
      <c r="B87" s="37" t="str">
        <f>INDEX(CONTROL[ENGLISH],MATCH(PROPERTIES[[#This Row],[VEHIDCODE]],CONTROL[VEHIDCODE],0))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5" t="b">
        <f>IFERROR(OR(TRACK_TYPES[[#This Row],[TRACK_TYPE_STANDARD_GAUGE_RAILTYPE_OHLE]:[TRACK_TYPE_STANDARD_GAUGE_RAILTYPE_NONE]]),FALSE)</f>
        <v>1</v>
      </c>
      <c r="AF87" s="35" t="b">
        <f>IFERROR(OR(TRACK_TYPES[[#This Row],[TRACK_TYPE_NARROW_GAUGE_RAILTYPE_OHLE]:[TRACK_TYPE_NARROW_GAUGE_RAILTYPE_NONE]]),FALSE)</f>
        <v>0</v>
      </c>
      <c r="AG87" s="35" t="b">
        <f>IFERROR(OR(TRACK_TYPES[[#This Row],[TRACK_TYPE_BROAD_GAUGE_RAILTYPE_OHLE]:[TRACK_TYPE_BROAD_GAUGE_RAILTYPE_NONE]]),FALSE)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2721</v>
      </c>
      <c r="B88" s="37" t="str">
        <f>INDEX(CONTROL[ENGLISH],MATCH(PROPERTIES[[#This Row],[VEHIDCODE]],CONTROL[VEHIDCODE],0))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5" t="b">
        <f>IFERROR(OR(TRACK_TYPES[[#This Row],[TRACK_TYPE_STANDARD_GAUGE_RAILTYPE_OHLE]:[TRACK_TYPE_STANDARD_GAUGE_RAILTYPE_NONE]]),FALSE)</f>
        <v>1</v>
      </c>
      <c r="AF88" s="35" t="b">
        <f>IFERROR(OR(TRACK_TYPES[[#This Row],[TRACK_TYPE_NARROW_GAUGE_RAILTYPE_OHLE]:[TRACK_TYPE_NARROW_GAUGE_RAILTYPE_NONE]]),FALSE)</f>
        <v>0</v>
      </c>
      <c r="AG88" s="35" t="b">
        <f>IFERROR(OR(TRACK_TYPES[[#This Row],[TRACK_TYPE_BROAD_GAUGE_RAILTYPE_OHLE]:[TRACK_TYPE_BROAD_GAUGE_RAILTYPE_NONE]]),FALSE)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2722</v>
      </c>
      <c r="B89" s="37" t="str">
        <f>INDEX(CONTROL[ENGLISH],MATCH(PROPERTIES[[#This Row],[VEHIDCODE]],CONTROL[VEHIDCODE],0))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5" t="b">
        <f>IFERROR(OR(TRACK_TYPES[[#This Row],[TRACK_TYPE_STANDARD_GAUGE_RAILTYPE_OHLE]:[TRACK_TYPE_STANDARD_GAUGE_RAILTYPE_NONE]]),FALSE)</f>
        <v>0</v>
      </c>
      <c r="AF89" s="35" t="b">
        <f>IFERROR(OR(TRACK_TYPES[[#This Row],[TRACK_TYPE_NARROW_GAUGE_RAILTYPE_OHLE]:[TRACK_TYPE_NARROW_GAUGE_RAILTYPE_NONE]]),FALSE)</f>
        <v>0</v>
      </c>
      <c r="AG89" s="35" t="b">
        <f>IFERROR(OR(TRACK_TYPES[[#This Row],[TRACK_TYPE_BROAD_GAUGE_RAILTYPE_OHLE]:[TRACK_TYPE_BROAD_GAUGE_RAILTYPE_NONE]]),FALSE)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2723</v>
      </c>
      <c r="B90" s="37" t="str">
        <f>INDEX(CONTROL[ENGLISH],MATCH(PROPERTIES[[#This Row],[VEHIDCODE]],CONTROL[VEHIDCODE],0))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5" t="b">
        <f>IFERROR(OR(TRACK_TYPES[[#This Row],[TRACK_TYPE_STANDARD_GAUGE_RAILTYPE_OHLE]:[TRACK_TYPE_STANDARD_GAUGE_RAILTYPE_NONE]]),FALSE)</f>
        <v>1</v>
      </c>
      <c r="AF90" s="35" t="b">
        <f>IFERROR(OR(TRACK_TYPES[[#This Row],[TRACK_TYPE_NARROW_GAUGE_RAILTYPE_OHLE]:[TRACK_TYPE_NARROW_GAUGE_RAILTYPE_NONE]]),FALSE)</f>
        <v>0</v>
      </c>
      <c r="AG90" s="35" t="b">
        <f>IFERROR(OR(TRACK_TYPES[[#This Row],[TRACK_TYPE_BROAD_GAUGE_RAILTYPE_OHLE]:[TRACK_TYPE_BROAD_GAUGE_RAILTYPE_NONE]]),FALSE)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2724</v>
      </c>
      <c r="B91" s="37" t="str">
        <f>INDEX(CONTROL[ENGLISH],MATCH(PROPERTIES[[#This Row],[VEHIDCODE]],CONTROL[VEHIDCODE],0))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5" t="b">
        <f>IFERROR(OR(TRACK_TYPES[[#This Row],[TRACK_TYPE_STANDARD_GAUGE_RAILTYPE_OHLE]:[TRACK_TYPE_STANDARD_GAUGE_RAILTYPE_NONE]]),FALSE)</f>
        <v>1</v>
      </c>
      <c r="AF91" s="35" t="b">
        <f>IFERROR(OR(TRACK_TYPES[[#This Row],[TRACK_TYPE_NARROW_GAUGE_RAILTYPE_OHLE]:[TRACK_TYPE_NARROW_GAUGE_RAILTYPE_NONE]]),FALSE)</f>
        <v>0</v>
      </c>
      <c r="AG91" s="35" t="b">
        <f>IFERROR(OR(TRACK_TYPES[[#This Row],[TRACK_TYPE_BROAD_GAUGE_RAILTYPE_OHLE]:[TRACK_TYPE_BROAD_GAUGE_RAILTYPE_NONE]]),FALSE)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2725</v>
      </c>
      <c r="B92" s="37" t="str">
        <f>INDEX(CONTROL[ENGLISH],MATCH(PROPERTIES[[#This Row],[VEHIDCODE]],CONTROL[VEHIDCODE],0))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5" t="b">
        <f>IFERROR(OR(TRACK_TYPES[[#This Row],[TRACK_TYPE_STANDARD_GAUGE_RAILTYPE_OHLE]:[TRACK_TYPE_STANDARD_GAUGE_RAILTYPE_NONE]]),FALSE)</f>
        <v>1</v>
      </c>
      <c r="AF92" s="35" t="b">
        <f>IFERROR(OR(TRACK_TYPES[[#This Row],[TRACK_TYPE_NARROW_GAUGE_RAILTYPE_OHLE]:[TRACK_TYPE_NARROW_GAUGE_RAILTYPE_NONE]]),FALSE)</f>
        <v>0</v>
      </c>
      <c r="AG92" s="35" t="b">
        <f>IFERROR(OR(TRACK_TYPES[[#This Row],[TRACK_TYPE_BROAD_GAUGE_RAILTYPE_OHLE]:[TRACK_TYPE_BROAD_GAUGE_RAILTYPE_NONE]]),FALSE)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2726</v>
      </c>
      <c r="B93" s="37" t="str">
        <f>INDEX(CONTROL[ENGLISH],MATCH(PROPERTIES[[#This Row],[VEHIDCODE]],CONTROL[VEHIDCODE],0))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5" t="b">
        <f>IFERROR(OR(TRACK_TYPES[[#This Row],[TRACK_TYPE_STANDARD_GAUGE_RAILTYPE_OHLE]:[TRACK_TYPE_STANDARD_GAUGE_RAILTYPE_NONE]]),FALSE)</f>
        <v>1</v>
      </c>
      <c r="AF93" s="35" t="b">
        <f>IFERROR(OR(TRACK_TYPES[[#This Row],[TRACK_TYPE_NARROW_GAUGE_RAILTYPE_OHLE]:[TRACK_TYPE_NARROW_GAUGE_RAILTYPE_NONE]]),FALSE)</f>
        <v>0</v>
      </c>
      <c r="AG93" s="35" t="b">
        <f>IFERROR(OR(TRACK_TYPES[[#This Row],[TRACK_TYPE_BROAD_GAUGE_RAILTYPE_OHLE]:[TRACK_TYPE_BROAD_GAUGE_RAILTYPE_NONE]]),FALSE)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2727</v>
      </c>
      <c r="B94" s="37" t="str">
        <f>INDEX(CONTROL[ENGLISH],MATCH(PROPERTIES[[#This Row],[VEHIDCODE]],CONTROL[VEHIDCODE],0))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5" t="b">
        <f>IFERROR(OR(TRACK_TYPES[[#This Row],[TRACK_TYPE_STANDARD_GAUGE_RAILTYPE_OHLE]:[TRACK_TYPE_STANDARD_GAUGE_RAILTYPE_NONE]]),FALSE)</f>
        <v>1</v>
      </c>
      <c r="AF94" s="35" t="b">
        <f>IFERROR(OR(TRACK_TYPES[[#This Row],[TRACK_TYPE_NARROW_GAUGE_RAILTYPE_OHLE]:[TRACK_TYPE_NARROW_GAUGE_RAILTYPE_NONE]]),FALSE)</f>
        <v>0</v>
      </c>
      <c r="AG94" s="35" t="b">
        <f>IFERROR(OR(TRACK_TYPES[[#This Row],[TRACK_TYPE_BROAD_GAUGE_RAILTYPE_OHLE]:[TRACK_TYPE_BROAD_GAUGE_RAILTYPE_NONE]]),FALSE)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2728</v>
      </c>
      <c r="B95" s="37" t="str">
        <f>INDEX(CONTROL[ENGLISH],MATCH(PROPERTIES[[#This Row],[VEHIDCODE]],CONTROL[VEHIDCODE],0))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5" t="b">
        <f>IFERROR(OR(TRACK_TYPES[[#This Row],[TRACK_TYPE_STANDARD_GAUGE_RAILTYPE_OHLE]:[TRACK_TYPE_STANDARD_GAUGE_RAILTYPE_NONE]]),FALSE)</f>
        <v>0</v>
      </c>
      <c r="AF95" s="35" t="b">
        <f>IFERROR(OR(TRACK_TYPES[[#This Row],[TRACK_TYPE_NARROW_GAUGE_RAILTYPE_OHLE]:[TRACK_TYPE_NARROW_GAUGE_RAILTYPE_NONE]]),FALSE)</f>
        <v>1</v>
      </c>
      <c r="AG95" s="35" t="b">
        <f>IFERROR(OR(TRACK_TYPES[[#This Row],[TRACK_TYPE_BROAD_GAUGE_RAILTYPE_OHLE]:[TRACK_TYPE_BROAD_GAUGE_RAILTYPE_NONE]]),FALSE)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2729</v>
      </c>
      <c r="B96" s="37" t="str">
        <f>INDEX(CONTROL[ENGLISH],MATCH(PROPERTIES[[#This Row],[VEHIDCODE]],CONTROL[VEHIDCODE],0))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5" t="b">
        <f>IFERROR(OR(TRACK_TYPES[[#This Row],[TRACK_TYPE_STANDARD_GAUGE_RAILTYPE_OHLE]:[TRACK_TYPE_STANDARD_GAUGE_RAILTYPE_NONE]]),FALSE)</f>
        <v>0</v>
      </c>
      <c r="AF96" s="35" t="b">
        <f>IFERROR(OR(TRACK_TYPES[[#This Row],[TRACK_TYPE_NARROW_GAUGE_RAILTYPE_OHLE]:[TRACK_TYPE_NARROW_GAUGE_RAILTYPE_NONE]]),FALSE)</f>
        <v>0</v>
      </c>
      <c r="AG96" s="35" t="b">
        <f>IFERROR(OR(TRACK_TYPES[[#This Row],[TRACK_TYPE_BROAD_GAUGE_RAILTYPE_OHLE]:[TRACK_TYPE_BROAD_GAUGE_RAILTYPE_NONE]]),FALSE)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2730</v>
      </c>
      <c r="B97" s="37" t="str">
        <f>INDEX(CONTROL[ENGLISH],MATCH(PROPERTIES[[#This Row],[VEHIDCODE]],CONTROL[VEHIDCODE],0))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5" t="b">
        <f>IFERROR(OR(TRACK_TYPES[[#This Row],[TRACK_TYPE_STANDARD_GAUGE_RAILTYPE_OHLE]:[TRACK_TYPE_STANDARD_GAUGE_RAILTYPE_NONE]]),FALSE)</f>
        <v>1</v>
      </c>
      <c r="AF97" s="35" t="b">
        <f>IFERROR(OR(TRACK_TYPES[[#This Row],[TRACK_TYPE_NARROW_GAUGE_RAILTYPE_OHLE]:[TRACK_TYPE_NARROW_GAUGE_RAILTYPE_NONE]]),FALSE)</f>
        <v>0</v>
      </c>
      <c r="AG97" s="35" t="b">
        <f>IFERROR(OR(TRACK_TYPES[[#This Row],[TRACK_TYPE_BROAD_GAUGE_RAILTYPE_OHLE]:[TRACK_TYPE_BROAD_GAUGE_RAILTYPE_NONE]]),FALSE)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2731</v>
      </c>
      <c r="B98" s="37" t="str">
        <f>INDEX(CONTROL[ENGLISH],MATCH(PROPERTIES[[#This Row],[VEHIDCODE]],CONTROL[VEHIDCODE],0))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5" t="b">
        <f>IFERROR(OR(TRACK_TYPES[[#This Row],[TRACK_TYPE_STANDARD_GAUGE_RAILTYPE_OHLE]:[TRACK_TYPE_STANDARD_GAUGE_RAILTYPE_NONE]]),FALSE)</f>
        <v>1</v>
      </c>
      <c r="AF98" s="35" t="b">
        <f>IFERROR(OR(TRACK_TYPES[[#This Row],[TRACK_TYPE_NARROW_GAUGE_RAILTYPE_OHLE]:[TRACK_TYPE_NARROW_GAUGE_RAILTYPE_NONE]]),FALSE)</f>
        <v>0</v>
      </c>
      <c r="AG98" s="35" t="b">
        <f>IFERROR(OR(TRACK_TYPES[[#This Row],[TRACK_TYPE_BROAD_GAUGE_RAILTYPE_OHLE]:[TRACK_TYPE_BROAD_GAUGE_RAILTYPE_NONE]]),FALSE)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2732</v>
      </c>
      <c r="B99" s="37" t="str">
        <f>INDEX(CONTROL[ENGLISH],MATCH(PROPERTIES[[#This Row],[VEHIDCODE]],CONTROL[VEHIDCODE],0))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5" t="b">
        <f>IFERROR(OR(TRACK_TYPES[[#This Row],[TRACK_TYPE_STANDARD_GAUGE_RAILTYPE_OHLE]:[TRACK_TYPE_STANDARD_GAUGE_RAILTYPE_NONE]]),FALSE)</f>
        <v>1</v>
      </c>
      <c r="AF99" s="35" t="b">
        <f>IFERROR(OR(TRACK_TYPES[[#This Row],[TRACK_TYPE_NARROW_GAUGE_RAILTYPE_OHLE]:[TRACK_TYPE_NARROW_GAUGE_RAILTYPE_NONE]]),FALSE)</f>
        <v>0</v>
      </c>
      <c r="AG99" s="35" t="b">
        <f>IFERROR(OR(TRACK_TYPES[[#This Row],[TRACK_TYPE_BROAD_GAUGE_RAILTYPE_OHLE]:[TRACK_TYPE_BROAD_GAUGE_RAILTYPE_NONE]]),FALSE)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2733</v>
      </c>
      <c r="B100" s="37" t="str">
        <f>INDEX(CONTROL[ENGLISH],MATCH(PROPERTIES[[#This Row],[VEHIDCODE]],CONTROL[VEHIDCODE],0))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5" t="b">
        <f>IFERROR(OR(TRACK_TYPES[[#This Row],[TRACK_TYPE_STANDARD_GAUGE_RAILTYPE_OHLE]:[TRACK_TYPE_STANDARD_GAUGE_RAILTYPE_NONE]]),FALSE)</f>
        <v>1</v>
      </c>
      <c r="AF100" s="35" t="b">
        <f>IFERROR(OR(TRACK_TYPES[[#This Row],[TRACK_TYPE_NARROW_GAUGE_RAILTYPE_OHLE]:[TRACK_TYPE_NARROW_GAUGE_RAILTYPE_NONE]]),FALSE)</f>
        <v>0</v>
      </c>
      <c r="AG100" s="35" t="b">
        <f>IFERROR(OR(TRACK_TYPES[[#This Row],[TRACK_TYPE_BROAD_GAUGE_RAILTYPE_OHLE]:[TRACK_TYPE_BROAD_GAUGE_RAILTYPE_NONE]]),FALSE)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2734</v>
      </c>
      <c r="B101" s="37" t="str">
        <f>INDEX(CONTROL[ENGLISH],MATCH(PROPERTIES[[#This Row],[VEHIDCODE]],CONTROL[VEHIDCODE],0))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5" t="b">
        <f>IFERROR(OR(TRACK_TYPES[[#This Row],[TRACK_TYPE_STANDARD_GAUGE_RAILTYPE_OHLE]:[TRACK_TYPE_STANDARD_GAUGE_RAILTYPE_NONE]]),FALSE)</f>
        <v>1</v>
      </c>
      <c r="AF101" s="35" t="b">
        <f>IFERROR(OR(TRACK_TYPES[[#This Row],[TRACK_TYPE_NARROW_GAUGE_RAILTYPE_OHLE]:[TRACK_TYPE_NARROW_GAUGE_RAILTYPE_NONE]]),FALSE)</f>
        <v>0</v>
      </c>
      <c r="AG101" s="35" t="b">
        <f>IFERROR(OR(TRACK_TYPES[[#This Row],[TRACK_TYPE_BROAD_GAUGE_RAILTYPE_OHLE]:[TRACK_TYPE_BROAD_GAUGE_RAILTYPE_NONE]]),FALSE)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2735</v>
      </c>
      <c r="B102" s="37" t="str">
        <f>INDEX(CONTROL[ENGLISH],MATCH(PROPERTIES[[#This Row],[VEHIDCODE]],CONTROL[VEHIDCODE],0))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5" t="b">
        <f>IFERROR(OR(TRACK_TYPES[[#This Row],[TRACK_TYPE_STANDARD_GAUGE_RAILTYPE_OHLE]:[TRACK_TYPE_STANDARD_GAUGE_RAILTYPE_NONE]]),FALSE)</f>
        <v>1</v>
      </c>
      <c r="AF102" s="35" t="b">
        <f>IFERROR(OR(TRACK_TYPES[[#This Row],[TRACK_TYPE_NARROW_GAUGE_RAILTYPE_OHLE]:[TRACK_TYPE_NARROW_GAUGE_RAILTYPE_NONE]]),FALSE)</f>
        <v>0</v>
      </c>
      <c r="AG102" s="35" t="b">
        <f>IFERROR(OR(TRACK_TYPES[[#This Row],[TRACK_TYPE_BROAD_GAUGE_RAILTYPE_OHLE]:[TRACK_TYPE_BROAD_GAUGE_RAILTYPE_NONE]]),FALSE)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2736</v>
      </c>
      <c r="B103" s="37" t="str">
        <f>INDEX(CONTROL[ENGLISH],MATCH(PROPERTIES[[#This Row],[VEHIDCODE]],CONTROL[VEHIDCODE],0))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5" t="b">
        <f>IFERROR(OR(TRACK_TYPES[[#This Row],[TRACK_TYPE_STANDARD_GAUGE_RAILTYPE_OHLE]:[TRACK_TYPE_STANDARD_GAUGE_RAILTYPE_NONE]]),FALSE)</f>
        <v>0</v>
      </c>
      <c r="AF103" s="35" t="b">
        <f>IFERROR(OR(TRACK_TYPES[[#This Row],[TRACK_TYPE_NARROW_GAUGE_RAILTYPE_OHLE]:[TRACK_TYPE_NARROW_GAUGE_RAILTYPE_NONE]]),FALSE)</f>
        <v>0</v>
      </c>
      <c r="AG103" s="35" t="b">
        <f>IFERROR(OR(TRACK_TYPES[[#This Row],[TRACK_TYPE_BROAD_GAUGE_RAILTYPE_OHLE]:[TRACK_TYPE_BROAD_GAUGE_RAILTYPE_NONE]]),FALSE)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2737</v>
      </c>
      <c r="B104" s="37" t="str">
        <f>INDEX(CONTROL[ENGLISH],MATCH(PROPERTIES[[#This Row],[VEHIDCODE]],CONTROL[VEHIDCODE],0))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5" t="b">
        <f>IFERROR(OR(TRACK_TYPES[[#This Row],[TRACK_TYPE_STANDARD_GAUGE_RAILTYPE_OHLE]:[TRACK_TYPE_STANDARD_GAUGE_RAILTYPE_NONE]]),FALSE)</f>
        <v>1</v>
      </c>
      <c r="AF104" s="35" t="b">
        <f>IFERROR(OR(TRACK_TYPES[[#This Row],[TRACK_TYPE_NARROW_GAUGE_RAILTYPE_OHLE]:[TRACK_TYPE_NARROW_GAUGE_RAILTYPE_NONE]]),FALSE)</f>
        <v>0</v>
      </c>
      <c r="AG104" s="35" t="b">
        <f>IFERROR(OR(TRACK_TYPES[[#This Row],[TRACK_TYPE_BROAD_GAUGE_RAILTYPE_OHLE]:[TRACK_TYPE_BROAD_GAUGE_RAILTYPE_NONE]]),FALSE)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2738</v>
      </c>
      <c r="B105" s="37" t="str">
        <f>INDEX(CONTROL[ENGLISH],MATCH(PROPERTIES[[#This Row],[VEHIDCODE]],CONTROL[VEHIDCODE],0))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5" t="b">
        <f>IFERROR(OR(TRACK_TYPES[[#This Row],[TRACK_TYPE_STANDARD_GAUGE_RAILTYPE_OHLE]:[TRACK_TYPE_STANDARD_GAUGE_RAILTYPE_NONE]]),FALSE)</f>
        <v>1</v>
      </c>
      <c r="AF105" s="35" t="b">
        <f>IFERROR(OR(TRACK_TYPES[[#This Row],[TRACK_TYPE_NARROW_GAUGE_RAILTYPE_OHLE]:[TRACK_TYPE_NARROW_GAUGE_RAILTYPE_NONE]]),FALSE)</f>
        <v>0</v>
      </c>
      <c r="AG105" s="35" t="b">
        <f>IFERROR(OR(TRACK_TYPES[[#This Row],[TRACK_TYPE_BROAD_GAUGE_RAILTYPE_OHLE]:[TRACK_TYPE_BROAD_GAUGE_RAILTYPE_NONE]]),FALSE)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2739</v>
      </c>
      <c r="B106" s="37" t="str">
        <f>INDEX(CONTROL[ENGLISH],MATCH(PROPERTIES[[#This Row],[VEHIDCODE]],CONTROL[VEHIDCODE],0))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5" t="b">
        <f>IFERROR(OR(TRACK_TYPES[[#This Row],[TRACK_TYPE_STANDARD_GAUGE_RAILTYPE_OHLE]:[TRACK_TYPE_STANDARD_GAUGE_RAILTYPE_NONE]]),FALSE)</f>
        <v>1</v>
      </c>
      <c r="AF106" s="35" t="b">
        <f>IFERROR(OR(TRACK_TYPES[[#This Row],[TRACK_TYPE_NARROW_GAUGE_RAILTYPE_OHLE]:[TRACK_TYPE_NARROW_GAUGE_RAILTYPE_NONE]]),FALSE)</f>
        <v>0</v>
      </c>
      <c r="AG106" s="35" t="b">
        <f>IFERROR(OR(TRACK_TYPES[[#This Row],[TRACK_TYPE_BROAD_GAUGE_RAILTYPE_OHLE]:[TRACK_TYPE_BROAD_GAUGE_RAILTYPE_NONE]]),FALSE)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2740</v>
      </c>
      <c r="B107" s="37" t="str">
        <f>INDEX(CONTROL[ENGLISH],MATCH(PROPERTIES[[#This Row],[VEHIDCODE]],CONTROL[VEHIDCODE],0))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5" t="b">
        <f>IFERROR(OR(TRACK_TYPES[[#This Row],[TRACK_TYPE_STANDARD_GAUGE_RAILTYPE_OHLE]:[TRACK_TYPE_STANDARD_GAUGE_RAILTYPE_NONE]]),FALSE)</f>
        <v>0</v>
      </c>
      <c r="AF107" s="35" t="b">
        <f>IFERROR(OR(TRACK_TYPES[[#This Row],[TRACK_TYPE_NARROW_GAUGE_RAILTYPE_OHLE]:[TRACK_TYPE_NARROW_GAUGE_RAILTYPE_NONE]]),FALSE)</f>
        <v>1</v>
      </c>
      <c r="AG107" s="35" t="b">
        <f>IFERROR(OR(TRACK_TYPES[[#This Row],[TRACK_TYPE_BROAD_GAUGE_RAILTYPE_OHLE]:[TRACK_TYPE_BROAD_GAUGE_RAILTYPE_NONE]]),FALSE)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2741</v>
      </c>
      <c r="B108" s="37" t="str">
        <f>INDEX(CONTROL[ENGLISH],MATCH(PROPERTIES[[#This Row],[VEHIDCODE]],CONTROL[VEHIDCODE],0))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5" t="b">
        <f>IFERROR(OR(TRACK_TYPES[[#This Row],[TRACK_TYPE_STANDARD_GAUGE_RAILTYPE_OHLE]:[TRACK_TYPE_STANDARD_GAUGE_RAILTYPE_NONE]]),FALSE)</f>
        <v>1</v>
      </c>
      <c r="AF108" s="35" t="b">
        <f>IFERROR(OR(TRACK_TYPES[[#This Row],[TRACK_TYPE_NARROW_GAUGE_RAILTYPE_OHLE]:[TRACK_TYPE_NARROW_GAUGE_RAILTYPE_NONE]]),FALSE)</f>
        <v>0</v>
      </c>
      <c r="AG108" s="35" t="b">
        <f>IFERROR(OR(TRACK_TYPES[[#This Row],[TRACK_TYPE_BROAD_GAUGE_RAILTYPE_OHLE]:[TRACK_TYPE_BROAD_GAUGE_RAILTYPE_NONE]]),FALSE)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2742</v>
      </c>
      <c r="B109" s="37" t="str">
        <f>INDEX(CONTROL[ENGLISH],MATCH(PROPERTIES[[#This Row],[VEHIDCODE]],CONTROL[VEHIDCODE],0))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5" t="b">
        <f>IFERROR(OR(TRACK_TYPES[[#This Row],[TRACK_TYPE_STANDARD_GAUGE_RAILTYPE_OHLE]:[TRACK_TYPE_STANDARD_GAUGE_RAILTYPE_NONE]]),FALSE)</f>
        <v>1</v>
      </c>
      <c r="AF109" s="35" t="b">
        <f>IFERROR(OR(TRACK_TYPES[[#This Row],[TRACK_TYPE_NARROW_GAUGE_RAILTYPE_OHLE]:[TRACK_TYPE_NARROW_GAUGE_RAILTYPE_NONE]]),FALSE)</f>
        <v>0</v>
      </c>
      <c r="AG109" s="35" t="b">
        <f>IFERROR(OR(TRACK_TYPES[[#This Row],[TRACK_TYPE_BROAD_GAUGE_RAILTYPE_OHLE]:[TRACK_TYPE_BROAD_GAUGE_RAILTYPE_NONE]]),FALSE)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2743</v>
      </c>
      <c r="B110" s="37" t="str">
        <f>INDEX(CONTROL[ENGLISH],MATCH(PROPERTIES[[#This Row],[VEHIDCODE]],CONTROL[VEHIDCODE],0))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5" t="b">
        <f>IFERROR(OR(TRACK_TYPES[[#This Row],[TRACK_TYPE_STANDARD_GAUGE_RAILTYPE_OHLE]:[TRACK_TYPE_STANDARD_GAUGE_RAILTYPE_NONE]]),FALSE)</f>
        <v>0</v>
      </c>
      <c r="AF110" s="35" t="b">
        <f>IFERROR(OR(TRACK_TYPES[[#This Row],[TRACK_TYPE_NARROW_GAUGE_RAILTYPE_OHLE]:[TRACK_TYPE_NARROW_GAUGE_RAILTYPE_NONE]]),FALSE)</f>
        <v>1</v>
      </c>
      <c r="AG110" s="35" t="b">
        <f>IFERROR(OR(TRACK_TYPES[[#This Row],[TRACK_TYPE_BROAD_GAUGE_RAILTYPE_OHLE]:[TRACK_TYPE_BROAD_GAUGE_RAILTYPE_NONE]]),FALSE)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2744</v>
      </c>
      <c r="B111" s="37" t="str">
        <f>INDEX(CONTROL[ENGLISH],MATCH(PROPERTIES[[#This Row],[VEHIDCODE]],CONTROL[VEHIDCODE],0))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5" t="b">
        <f>IFERROR(OR(TRACK_TYPES[[#This Row],[TRACK_TYPE_STANDARD_GAUGE_RAILTYPE_OHLE]:[TRACK_TYPE_STANDARD_GAUGE_RAILTYPE_NONE]]),FALSE)</f>
        <v>0</v>
      </c>
      <c r="AF111" s="35" t="b">
        <f>IFERROR(OR(TRACK_TYPES[[#This Row],[TRACK_TYPE_NARROW_GAUGE_RAILTYPE_OHLE]:[TRACK_TYPE_NARROW_GAUGE_RAILTYPE_NONE]]),FALSE)</f>
        <v>0</v>
      </c>
      <c r="AG111" s="35" t="b">
        <f>IFERROR(OR(TRACK_TYPES[[#This Row],[TRACK_TYPE_BROAD_GAUGE_RAILTYPE_OHLE]:[TRACK_TYPE_BROAD_GAUGE_RAILTYPE_NONE]]),FALSE)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2745</v>
      </c>
      <c r="B112" s="37" t="str">
        <f>INDEX(CONTROL[ENGLISH],MATCH(PROPERTIES[[#This Row],[VEHIDCODE]],CONTROL[VEHIDCODE],0))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5" t="b">
        <f>IFERROR(OR(TRACK_TYPES[[#This Row],[TRACK_TYPE_STANDARD_GAUGE_RAILTYPE_OHLE]:[TRACK_TYPE_STANDARD_GAUGE_RAILTYPE_NONE]]),FALSE)</f>
        <v>0</v>
      </c>
      <c r="AF112" s="35" t="b">
        <f>IFERROR(OR(TRACK_TYPES[[#This Row],[TRACK_TYPE_NARROW_GAUGE_RAILTYPE_OHLE]:[TRACK_TYPE_NARROW_GAUGE_RAILTYPE_NONE]]),FALSE)</f>
        <v>1</v>
      </c>
      <c r="AG112" s="35" t="b">
        <f>IFERROR(OR(TRACK_TYPES[[#This Row],[TRACK_TYPE_BROAD_GAUGE_RAILTYPE_OHLE]:[TRACK_TYPE_BROAD_GAUGE_RAILTYPE_NONE]]),FALSE)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2746</v>
      </c>
      <c r="B113" s="37" t="str">
        <f>INDEX(CONTROL[ENGLISH],MATCH(PROPERTIES[[#This Row],[VEHIDCODE]],CONTROL[VEHIDCODE],0))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5" t="b">
        <f>IFERROR(OR(TRACK_TYPES[[#This Row],[TRACK_TYPE_STANDARD_GAUGE_RAILTYPE_OHLE]:[TRACK_TYPE_STANDARD_GAUGE_RAILTYPE_NONE]]),FALSE)</f>
        <v>1</v>
      </c>
      <c r="AF113" s="35" t="b">
        <f>IFERROR(OR(TRACK_TYPES[[#This Row],[TRACK_TYPE_NARROW_GAUGE_RAILTYPE_OHLE]:[TRACK_TYPE_NARROW_GAUGE_RAILTYPE_NONE]]),FALSE)</f>
        <v>0</v>
      </c>
      <c r="AG113" s="35" t="b">
        <f>IFERROR(OR(TRACK_TYPES[[#This Row],[TRACK_TYPE_BROAD_GAUGE_RAILTYPE_OHLE]:[TRACK_TYPE_BROAD_GAUGE_RAILTYPE_NONE]]),FALSE)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2747</v>
      </c>
      <c r="B114" s="37" t="str">
        <f>INDEX(CONTROL[ENGLISH],MATCH(PROPERTIES[[#This Row],[VEHIDCODE]],CONTROL[VEHIDCODE],0))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5" t="b">
        <f>IFERROR(OR(TRACK_TYPES[[#This Row],[TRACK_TYPE_STANDARD_GAUGE_RAILTYPE_OHLE]:[TRACK_TYPE_STANDARD_GAUGE_RAILTYPE_NONE]]),FALSE)</f>
        <v>1</v>
      </c>
      <c r="AF114" s="35" t="b">
        <f>IFERROR(OR(TRACK_TYPES[[#This Row],[TRACK_TYPE_NARROW_GAUGE_RAILTYPE_OHLE]:[TRACK_TYPE_NARROW_GAUGE_RAILTYPE_NONE]]),FALSE)</f>
        <v>0</v>
      </c>
      <c r="AG114" s="35" t="b">
        <f>IFERROR(OR(TRACK_TYPES[[#This Row],[TRACK_TYPE_BROAD_GAUGE_RAILTYPE_OHLE]:[TRACK_TYPE_BROAD_GAUGE_RAILTYPE_NONE]]),FALSE)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2748</v>
      </c>
      <c r="B115" s="37" t="str">
        <f>INDEX(CONTROL[ENGLISH],MATCH(PROPERTIES[[#This Row],[VEHIDCODE]],CONTROL[VEHIDCODE],0))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5" t="b">
        <f>IFERROR(OR(TRACK_TYPES[[#This Row],[TRACK_TYPE_STANDARD_GAUGE_RAILTYPE_OHLE]:[TRACK_TYPE_STANDARD_GAUGE_RAILTYPE_NONE]]),FALSE)</f>
        <v>1</v>
      </c>
      <c r="AF115" s="35" t="b">
        <f>IFERROR(OR(TRACK_TYPES[[#This Row],[TRACK_TYPE_NARROW_GAUGE_RAILTYPE_OHLE]:[TRACK_TYPE_NARROW_GAUGE_RAILTYPE_NONE]]),FALSE)</f>
        <v>0</v>
      </c>
      <c r="AG115" s="35" t="b">
        <f>IFERROR(OR(TRACK_TYPES[[#This Row],[TRACK_TYPE_BROAD_GAUGE_RAILTYPE_OHLE]:[TRACK_TYPE_BROAD_GAUGE_RAILTYPE_NONE]]),FALSE)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2749</v>
      </c>
      <c r="B116" s="37" t="str">
        <f>INDEX(CONTROL[ENGLISH],MATCH(PROPERTIES[[#This Row],[VEHIDCODE]],CONTROL[VEHIDCODE],0))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5" t="b">
        <f>IFERROR(OR(TRACK_TYPES[[#This Row],[TRACK_TYPE_STANDARD_GAUGE_RAILTYPE_OHLE]:[TRACK_TYPE_STANDARD_GAUGE_RAILTYPE_NONE]]),FALSE)</f>
        <v>1</v>
      </c>
      <c r="AF116" s="35" t="b">
        <f>IFERROR(OR(TRACK_TYPES[[#This Row],[TRACK_TYPE_NARROW_GAUGE_RAILTYPE_OHLE]:[TRACK_TYPE_NARROW_GAUGE_RAILTYPE_NONE]]),FALSE)</f>
        <v>0</v>
      </c>
      <c r="AG116" s="35" t="b">
        <f>IFERROR(OR(TRACK_TYPES[[#This Row],[TRACK_TYPE_BROAD_GAUGE_RAILTYPE_OHLE]:[TRACK_TYPE_BROAD_GAUGE_RAILTYPE_NONE]]),FALSE)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2750</v>
      </c>
      <c r="B117" s="37" t="str">
        <f>INDEX(CONTROL[ENGLISH],MATCH(PROPERTIES[[#This Row],[VEHIDCODE]],CONTROL[VEHIDCODE],0))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5" t="b">
        <f>IFERROR(OR(TRACK_TYPES[[#This Row],[TRACK_TYPE_STANDARD_GAUGE_RAILTYPE_OHLE]:[TRACK_TYPE_STANDARD_GAUGE_RAILTYPE_NONE]]),FALSE)</f>
        <v>0</v>
      </c>
      <c r="AF117" s="35" t="b">
        <f>IFERROR(OR(TRACK_TYPES[[#This Row],[TRACK_TYPE_NARROW_GAUGE_RAILTYPE_OHLE]:[TRACK_TYPE_NARROW_GAUGE_RAILTYPE_NONE]]),FALSE)</f>
        <v>1</v>
      </c>
      <c r="AG117" s="35" t="b">
        <f>IFERROR(OR(TRACK_TYPES[[#This Row],[TRACK_TYPE_BROAD_GAUGE_RAILTYPE_OHLE]:[TRACK_TYPE_BROAD_GAUGE_RAILTYPE_NONE]]),FALSE)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2751</v>
      </c>
      <c r="B118" s="37" t="str">
        <f>INDEX(CONTROL[ENGLISH],MATCH(PROPERTIES[[#This Row],[VEHIDCODE]],CONTROL[VEHIDCODE],0))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5" t="b">
        <f>IFERROR(OR(TRACK_TYPES[[#This Row],[TRACK_TYPE_STANDARD_GAUGE_RAILTYPE_OHLE]:[TRACK_TYPE_STANDARD_GAUGE_RAILTYPE_NONE]]),FALSE)</f>
        <v>0</v>
      </c>
      <c r="AF118" s="35" t="b">
        <f>IFERROR(OR(TRACK_TYPES[[#This Row],[TRACK_TYPE_NARROW_GAUGE_RAILTYPE_OHLE]:[TRACK_TYPE_NARROW_GAUGE_RAILTYPE_NONE]]),FALSE)</f>
        <v>1</v>
      </c>
      <c r="AG118" s="35" t="b">
        <f>IFERROR(OR(TRACK_TYPES[[#This Row],[TRACK_TYPE_BROAD_GAUGE_RAILTYPE_OHLE]:[TRACK_TYPE_BROAD_GAUGE_RAILTYPE_NONE]]),FALSE)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2752</v>
      </c>
      <c r="B119" s="37" t="str">
        <f>INDEX(CONTROL[ENGLISH],MATCH(PROPERTIES[[#This Row],[VEHIDCODE]],CONTROL[VEHIDCODE],0))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5" t="b">
        <f>IFERROR(OR(TRACK_TYPES[[#This Row],[TRACK_TYPE_STANDARD_GAUGE_RAILTYPE_OHLE]:[TRACK_TYPE_STANDARD_GAUGE_RAILTYPE_NONE]]),FALSE)</f>
        <v>1</v>
      </c>
      <c r="AF119" s="35" t="b">
        <f>IFERROR(OR(TRACK_TYPES[[#This Row],[TRACK_TYPE_NARROW_GAUGE_RAILTYPE_OHLE]:[TRACK_TYPE_NARROW_GAUGE_RAILTYPE_NONE]]),FALSE)</f>
        <v>0</v>
      </c>
      <c r="AG119" s="35" t="b">
        <f>IFERROR(OR(TRACK_TYPES[[#This Row],[TRACK_TYPE_BROAD_GAUGE_RAILTYPE_OHLE]:[TRACK_TYPE_BROAD_GAUGE_RAILTYPE_NONE]]),FALSE)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2753</v>
      </c>
      <c r="B120" s="37" t="str">
        <f>INDEX(CONTROL[ENGLISH],MATCH(PROPERTIES[[#This Row],[VEHIDCODE]],CONTROL[VEHIDCODE],0))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5" t="b">
        <f>IFERROR(OR(TRACK_TYPES[[#This Row],[TRACK_TYPE_STANDARD_GAUGE_RAILTYPE_OHLE]:[TRACK_TYPE_STANDARD_GAUGE_RAILTYPE_NONE]]),FALSE)</f>
        <v>1</v>
      </c>
      <c r="AF120" s="35" t="b">
        <f>IFERROR(OR(TRACK_TYPES[[#This Row],[TRACK_TYPE_NARROW_GAUGE_RAILTYPE_OHLE]:[TRACK_TYPE_NARROW_GAUGE_RAILTYPE_NONE]]),FALSE)</f>
        <v>0</v>
      </c>
      <c r="AG120" s="35" t="b">
        <f>IFERROR(OR(TRACK_TYPES[[#This Row],[TRACK_TYPE_BROAD_GAUGE_RAILTYPE_OHLE]:[TRACK_TYPE_BROAD_GAUGE_RAILTYPE_NONE]]),FALSE)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2754</v>
      </c>
      <c r="B121" s="37" t="str">
        <f>INDEX(CONTROL[ENGLISH],MATCH(PROPERTIES[[#This Row],[VEHIDCODE]],CONTROL[VEHIDCODE],0))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5" t="b">
        <f>IFERROR(OR(TRACK_TYPES[[#This Row],[TRACK_TYPE_STANDARD_GAUGE_RAILTYPE_OHLE]:[TRACK_TYPE_STANDARD_GAUGE_RAILTYPE_NONE]]),FALSE)</f>
        <v>1</v>
      </c>
      <c r="AF121" s="35" t="b">
        <f>IFERROR(OR(TRACK_TYPES[[#This Row],[TRACK_TYPE_NARROW_GAUGE_RAILTYPE_OHLE]:[TRACK_TYPE_NARROW_GAUGE_RAILTYPE_NONE]]),FALSE)</f>
        <v>0</v>
      </c>
      <c r="AG121" s="35" t="b">
        <f>IFERROR(OR(TRACK_TYPES[[#This Row],[TRACK_TYPE_BROAD_GAUGE_RAILTYPE_OHLE]:[TRACK_TYPE_BROAD_GAUGE_RAILTYPE_NONE]]),FALSE)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2755</v>
      </c>
      <c r="B122" s="37" t="str">
        <f>INDEX(CONTROL[ENGLISH],MATCH(PROPERTIES[[#This Row],[VEHIDCODE]],CONTROL[VEHIDCODE],0))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5" t="b">
        <f>IFERROR(OR(TRACK_TYPES[[#This Row],[TRACK_TYPE_STANDARD_GAUGE_RAILTYPE_OHLE]:[TRACK_TYPE_STANDARD_GAUGE_RAILTYPE_NONE]]),FALSE)</f>
        <v>0</v>
      </c>
      <c r="AF122" s="35" t="b">
        <f>IFERROR(OR(TRACK_TYPES[[#This Row],[TRACK_TYPE_NARROW_GAUGE_RAILTYPE_OHLE]:[TRACK_TYPE_NARROW_GAUGE_RAILTYPE_NONE]]),FALSE)</f>
        <v>0</v>
      </c>
      <c r="AG122" s="35" t="b">
        <f>IFERROR(OR(TRACK_TYPES[[#This Row],[TRACK_TYPE_BROAD_GAUGE_RAILTYPE_OHLE]:[TRACK_TYPE_BROAD_GAUGE_RAILTYPE_NONE]]),FALSE)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2756</v>
      </c>
      <c r="B123" s="37" t="str">
        <f>INDEX(CONTROL[ENGLISH],MATCH(PROPERTIES[[#This Row],[VEHIDCODE]],CONTROL[VEHIDCODE],0))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5" t="b">
        <f>IFERROR(OR(TRACK_TYPES[[#This Row],[TRACK_TYPE_STANDARD_GAUGE_RAILTYPE_OHLE]:[TRACK_TYPE_STANDARD_GAUGE_RAILTYPE_NONE]]),FALSE)</f>
        <v>1</v>
      </c>
      <c r="AF123" s="35" t="b">
        <f>IFERROR(OR(TRACK_TYPES[[#This Row],[TRACK_TYPE_NARROW_GAUGE_RAILTYPE_OHLE]:[TRACK_TYPE_NARROW_GAUGE_RAILTYPE_NONE]]),FALSE)</f>
        <v>0</v>
      </c>
      <c r="AG123" s="35" t="b">
        <f>IFERROR(OR(TRACK_TYPES[[#This Row],[TRACK_TYPE_BROAD_GAUGE_RAILTYPE_OHLE]:[TRACK_TYPE_BROAD_GAUGE_RAILTYPE_NONE]]),FALSE)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3447</v>
      </c>
      <c r="B124" s="37" t="str">
        <f>INDEX(CONTROL[ENGLISH],MATCH(PROPERTIES[[#This Row],[VEHIDCODE]],CONTROL[VEHIDCODE],0))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5" t="b">
        <f>IFERROR(OR(TRACK_TYPES[[#This Row],[TRACK_TYPE_STANDARD_GAUGE_RAILTYPE_OHLE]:[TRACK_TYPE_STANDARD_GAUGE_RAILTYPE_NONE]]),FALSE)</f>
        <v>1</v>
      </c>
      <c r="AF124" s="35" t="b">
        <f>IFERROR(OR(TRACK_TYPES[[#This Row],[TRACK_TYPE_NARROW_GAUGE_RAILTYPE_OHLE]:[TRACK_TYPE_NARROW_GAUGE_RAILTYPE_NONE]]),FALSE)</f>
        <v>0</v>
      </c>
      <c r="AG124" s="35" t="b">
        <f>IFERROR(OR(TRACK_TYPES[[#This Row],[TRACK_TYPE_BROAD_GAUGE_RAILTYPE_OHLE]:[TRACK_TYPE_BROAD_GAUGE_RAILTYPE_NONE]]),FALSE)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2757</v>
      </c>
      <c r="B125" s="37" t="str">
        <f>INDEX(CONTROL[ENGLISH],MATCH(PROPERTIES[[#This Row],[VEHIDCODE]],CONTROL[VEHIDCODE],0))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5" t="b">
        <f>IFERROR(OR(TRACK_TYPES[[#This Row],[TRACK_TYPE_STANDARD_GAUGE_RAILTYPE_OHLE]:[TRACK_TYPE_STANDARD_GAUGE_RAILTYPE_NONE]]),FALSE)</f>
        <v>0</v>
      </c>
      <c r="AF125" s="35" t="b">
        <f>IFERROR(OR(TRACK_TYPES[[#This Row],[TRACK_TYPE_NARROW_GAUGE_RAILTYPE_OHLE]:[TRACK_TYPE_NARROW_GAUGE_RAILTYPE_NONE]]),FALSE)</f>
        <v>0</v>
      </c>
      <c r="AG125" s="35" t="b">
        <f>IFERROR(OR(TRACK_TYPES[[#This Row],[TRACK_TYPE_BROAD_GAUGE_RAILTYPE_OHLE]:[TRACK_TYPE_BROAD_GAUGE_RAILTYPE_NONE]]),FALSE)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2758</v>
      </c>
      <c r="B126" s="37" t="str">
        <f>INDEX(CONTROL[ENGLISH],MATCH(PROPERTIES[[#This Row],[VEHIDCODE]],CONTROL[VEHIDCODE],0))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5" t="b">
        <f>IFERROR(OR(TRACK_TYPES[[#This Row],[TRACK_TYPE_STANDARD_GAUGE_RAILTYPE_OHLE]:[TRACK_TYPE_STANDARD_GAUGE_RAILTYPE_NONE]]),FALSE)</f>
        <v>1</v>
      </c>
      <c r="AF126" s="35" t="b">
        <f>IFERROR(OR(TRACK_TYPES[[#This Row],[TRACK_TYPE_NARROW_GAUGE_RAILTYPE_OHLE]:[TRACK_TYPE_NARROW_GAUGE_RAILTYPE_NONE]]),FALSE)</f>
        <v>0</v>
      </c>
      <c r="AG126" s="35" t="b">
        <f>IFERROR(OR(TRACK_TYPES[[#This Row],[TRACK_TYPE_BROAD_GAUGE_RAILTYPE_OHLE]:[TRACK_TYPE_BROAD_GAUGE_RAILTYPE_NONE]]),FALSE)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2759</v>
      </c>
      <c r="B127" s="37" t="str">
        <f>INDEX(CONTROL[ENGLISH],MATCH(PROPERTIES[[#This Row],[VEHIDCODE]],CONTROL[VEHIDCODE],0))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5" t="b">
        <f>IFERROR(OR(TRACK_TYPES[[#This Row],[TRACK_TYPE_STANDARD_GAUGE_RAILTYPE_OHLE]:[TRACK_TYPE_STANDARD_GAUGE_RAILTYPE_NONE]]),FALSE)</f>
        <v>1</v>
      </c>
      <c r="AF127" s="35" t="b">
        <f>IFERROR(OR(TRACK_TYPES[[#This Row],[TRACK_TYPE_NARROW_GAUGE_RAILTYPE_OHLE]:[TRACK_TYPE_NARROW_GAUGE_RAILTYPE_NONE]]),FALSE)</f>
        <v>0</v>
      </c>
      <c r="AG127" s="35" t="b">
        <f>IFERROR(OR(TRACK_TYPES[[#This Row],[TRACK_TYPE_BROAD_GAUGE_RAILTYPE_OHLE]:[TRACK_TYPE_BROAD_GAUGE_RAILTYPE_NONE]]),FALSE)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2760</v>
      </c>
      <c r="B128" s="37" t="str">
        <f>INDEX(CONTROL[ENGLISH],MATCH(PROPERTIES[[#This Row],[VEHIDCODE]],CONTROL[VEHIDCODE],0))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5" t="b">
        <f>IFERROR(OR(TRACK_TYPES[[#This Row],[TRACK_TYPE_STANDARD_GAUGE_RAILTYPE_OHLE]:[TRACK_TYPE_STANDARD_GAUGE_RAILTYPE_NONE]]),FALSE)</f>
        <v>1</v>
      </c>
      <c r="AF128" s="35" t="b">
        <f>IFERROR(OR(TRACK_TYPES[[#This Row],[TRACK_TYPE_NARROW_GAUGE_RAILTYPE_OHLE]:[TRACK_TYPE_NARROW_GAUGE_RAILTYPE_NONE]]),FALSE)</f>
        <v>0</v>
      </c>
      <c r="AG128" s="35" t="b">
        <f>IFERROR(OR(TRACK_TYPES[[#This Row],[TRACK_TYPE_BROAD_GAUGE_RAILTYPE_OHLE]:[TRACK_TYPE_BROAD_GAUGE_RAILTYPE_NONE]]),FALSE)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2761</v>
      </c>
      <c r="B129" s="37" t="str">
        <f>INDEX(CONTROL[ENGLISH],MATCH(PROPERTIES[[#This Row],[VEHIDCODE]],CONTROL[VEHIDCODE],0))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5" t="b">
        <f>IFERROR(OR(TRACK_TYPES[[#This Row],[TRACK_TYPE_STANDARD_GAUGE_RAILTYPE_OHLE]:[TRACK_TYPE_STANDARD_GAUGE_RAILTYPE_NONE]]),FALSE)</f>
        <v>0</v>
      </c>
      <c r="AF129" s="35" t="b">
        <f>IFERROR(OR(TRACK_TYPES[[#This Row],[TRACK_TYPE_NARROW_GAUGE_RAILTYPE_OHLE]:[TRACK_TYPE_NARROW_GAUGE_RAILTYPE_NONE]]),FALSE)</f>
        <v>0</v>
      </c>
      <c r="AG129" s="35" t="b">
        <f>IFERROR(OR(TRACK_TYPES[[#This Row],[TRACK_TYPE_BROAD_GAUGE_RAILTYPE_OHLE]:[TRACK_TYPE_BROAD_GAUGE_RAILTYPE_NONE]]),FALSE)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2762</v>
      </c>
      <c r="B130" s="37" t="str">
        <f>INDEX(CONTROL[ENGLISH],MATCH(PROPERTIES[[#This Row],[VEHIDCODE]],CONTROL[VEHIDCODE],0))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5" t="b">
        <f>IFERROR(OR(TRACK_TYPES[[#This Row],[TRACK_TYPE_STANDARD_GAUGE_RAILTYPE_OHLE]:[TRACK_TYPE_STANDARD_GAUGE_RAILTYPE_NONE]]),FALSE)</f>
        <v>0</v>
      </c>
      <c r="AF130" s="35" t="b">
        <f>IFERROR(OR(TRACK_TYPES[[#This Row],[TRACK_TYPE_NARROW_GAUGE_RAILTYPE_OHLE]:[TRACK_TYPE_NARROW_GAUGE_RAILTYPE_NONE]]),FALSE)</f>
        <v>1</v>
      </c>
      <c r="AG130" s="35" t="b">
        <f>IFERROR(OR(TRACK_TYPES[[#This Row],[TRACK_TYPE_BROAD_GAUGE_RAILTYPE_OHLE]:[TRACK_TYPE_BROAD_GAUGE_RAILTYPE_NONE]]),FALSE)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2763</v>
      </c>
      <c r="B131" s="37" t="str">
        <f>INDEX(CONTROL[ENGLISH],MATCH(PROPERTIES[[#This Row],[VEHIDCODE]],CONTROL[VEHIDCODE],0))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5" t="b">
        <f>IFERROR(OR(TRACK_TYPES[[#This Row],[TRACK_TYPE_STANDARD_GAUGE_RAILTYPE_OHLE]:[TRACK_TYPE_STANDARD_GAUGE_RAILTYPE_NONE]]),FALSE)</f>
        <v>1</v>
      </c>
      <c r="AF131" s="35" t="b">
        <f>IFERROR(OR(TRACK_TYPES[[#This Row],[TRACK_TYPE_NARROW_GAUGE_RAILTYPE_OHLE]:[TRACK_TYPE_NARROW_GAUGE_RAILTYPE_NONE]]),FALSE)</f>
        <v>0</v>
      </c>
      <c r="AG131" s="35" t="b">
        <f>IFERROR(OR(TRACK_TYPES[[#This Row],[TRACK_TYPE_BROAD_GAUGE_RAILTYPE_OHLE]:[TRACK_TYPE_BROAD_GAUGE_RAILTYPE_NONE]]),FALSE)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2764</v>
      </c>
      <c r="B132" s="37" t="str">
        <f>INDEX(CONTROL[ENGLISH],MATCH(PROPERTIES[[#This Row],[VEHIDCODE]],CONTROL[VEHIDCODE],0))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5" t="b">
        <f>IFERROR(OR(TRACK_TYPES[[#This Row],[TRACK_TYPE_STANDARD_GAUGE_RAILTYPE_OHLE]:[TRACK_TYPE_STANDARD_GAUGE_RAILTYPE_NONE]]),FALSE)</f>
        <v>0</v>
      </c>
      <c r="AF132" s="35" t="b">
        <f>IFERROR(OR(TRACK_TYPES[[#This Row],[TRACK_TYPE_NARROW_GAUGE_RAILTYPE_OHLE]:[TRACK_TYPE_NARROW_GAUGE_RAILTYPE_NONE]]),FALSE)</f>
        <v>1</v>
      </c>
      <c r="AG132" s="35" t="b">
        <f>IFERROR(OR(TRACK_TYPES[[#This Row],[TRACK_TYPE_BROAD_GAUGE_RAILTYPE_OHLE]:[TRACK_TYPE_BROAD_GAUGE_RAILTYPE_NONE]]),FALSE)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2765</v>
      </c>
      <c r="B133" s="37" t="str">
        <f>INDEX(CONTROL[ENGLISH],MATCH(PROPERTIES[[#This Row],[VEHIDCODE]],CONTROL[VEHIDCODE],0))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5" t="b">
        <f>IFERROR(OR(TRACK_TYPES[[#This Row],[TRACK_TYPE_STANDARD_GAUGE_RAILTYPE_OHLE]:[TRACK_TYPE_STANDARD_GAUGE_RAILTYPE_NONE]]),FALSE)</f>
        <v>1</v>
      </c>
      <c r="AF133" s="35" t="b">
        <f>IFERROR(OR(TRACK_TYPES[[#This Row],[TRACK_TYPE_NARROW_GAUGE_RAILTYPE_OHLE]:[TRACK_TYPE_NARROW_GAUGE_RAILTYPE_NONE]]),FALSE)</f>
        <v>0</v>
      </c>
      <c r="AG133" s="35" t="b">
        <f>IFERROR(OR(TRACK_TYPES[[#This Row],[TRACK_TYPE_BROAD_GAUGE_RAILTYPE_OHLE]:[TRACK_TYPE_BROAD_GAUGE_RAILTYPE_NONE]]),FALSE)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2766</v>
      </c>
      <c r="B134" s="37" t="str">
        <f>INDEX(CONTROL[ENGLISH],MATCH(PROPERTIES[[#This Row],[VEHIDCODE]],CONTROL[VEHIDCODE],0))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5" t="b">
        <f>IFERROR(OR(TRACK_TYPES[[#This Row],[TRACK_TYPE_STANDARD_GAUGE_RAILTYPE_OHLE]:[TRACK_TYPE_STANDARD_GAUGE_RAILTYPE_NONE]]),FALSE)</f>
        <v>0</v>
      </c>
      <c r="AF134" s="35" t="b">
        <f>IFERROR(OR(TRACK_TYPES[[#This Row],[TRACK_TYPE_NARROW_GAUGE_RAILTYPE_OHLE]:[TRACK_TYPE_NARROW_GAUGE_RAILTYPE_NONE]]),FALSE)</f>
        <v>0</v>
      </c>
      <c r="AG134" s="35" t="b">
        <f>IFERROR(OR(TRACK_TYPES[[#This Row],[TRACK_TYPE_BROAD_GAUGE_RAILTYPE_OHLE]:[TRACK_TYPE_BROAD_GAUGE_RAILTYPE_NONE]]),FALSE)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2767</v>
      </c>
      <c r="B135" s="37" t="str">
        <f>INDEX(CONTROL[ENGLISH],MATCH(PROPERTIES[[#This Row],[VEHIDCODE]],CONTROL[VEHIDCODE],0))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5" t="b">
        <f>IFERROR(OR(TRACK_TYPES[[#This Row],[TRACK_TYPE_STANDARD_GAUGE_RAILTYPE_OHLE]:[TRACK_TYPE_STANDARD_GAUGE_RAILTYPE_NONE]]),FALSE)</f>
        <v>1</v>
      </c>
      <c r="AF135" s="35" t="b">
        <f>IFERROR(OR(TRACK_TYPES[[#This Row],[TRACK_TYPE_NARROW_GAUGE_RAILTYPE_OHLE]:[TRACK_TYPE_NARROW_GAUGE_RAILTYPE_NONE]]),FALSE)</f>
        <v>0</v>
      </c>
      <c r="AG135" s="35" t="b">
        <f>IFERROR(OR(TRACK_TYPES[[#This Row],[TRACK_TYPE_BROAD_GAUGE_RAILTYPE_OHLE]:[TRACK_TYPE_BROAD_GAUGE_RAILTYPE_NONE]]),FALSE)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2768</v>
      </c>
      <c r="B136" s="37" t="str">
        <f>INDEX(CONTROL[ENGLISH],MATCH(PROPERTIES[[#This Row],[VEHIDCODE]],CONTROL[VEHIDCODE],0))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5" t="b">
        <f>IFERROR(OR(TRACK_TYPES[[#This Row],[TRACK_TYPE_STANDARD_GAUGE_RAILTYPE_OHLE]:[TRACK_TYPE_STANDARD_GAUGE_RAILTYPE_NONE]]),FALSE)</f>
        <v>1</v>
      </c>
      <c r="AF136" s="35" t="b">
        <f>IFERROR(OR(TRACK_TYPES[[#This Row],[TRACK_TYPE_NARROW_GAUGE_RAILTYPE_OHLE]:[TRACK_TYPE_NARROW_GAUGE_RAILTYPE_NONE]]),FALSE)</f>
        <v>0</v>
      </c>
      <c r="AG136" s="35" t="b">
        <f>IFERROR(OR(TRACK_TYPES[[#This Row],[TRACK_TYPE_BROAD_GAUGE_RAILTYPE_OHLE]:[TRACK_TYPE_BROAD_GAUGE_RAILTYPE_NONE]]),FALSE)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2769</v>
      </c>
      <c r="B137" s="37" t="str">
        <f>INDEX(CONTROL[ENGLISH],MATCH(PROPERTIES[[#This Row],[VEHIDCODE]],CONTROL[VEHIDCODE],0))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5" t="b">
        <f>IFERROR(OR(TRACK_TYPES[[#This Row],[TRACK_TYPE_STANDARD_GAUGE_RAILTYPE_OHLE]:[TRACK_TYPE_STANDARD_GAUGE_RAILTYPE_NONE]]),FALSE)</f>
        <v>0</v>
      </c>
      <c r="AF137" s="35" t="b">
        <f>IFERROR(OR(TRACK_TYPES[[#This Row],[TRACK_TYPE_NARROW_GAUGE_RAILTYPE_OHLE]:[TRACK_TYPE_NARROW_GAUGE_RAILTYPE_NONE]]),FALSE)</f>
        <v>0</v>
      </c>
      <c r="AG137" s="35" t="b">
        <f>IFERROR(OR(TRACK_TYPES[[#This Row],[TRACK_TYPE_BROAD_GAUGE_RAILTYPE_OHLE]:[TRACK_TYPE_BROAD_GAUGE_RAILTYPE_NONE]]),FALSE)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2770</v>
      </c>
      <c r="B138" s="37" t="str">
        <f>INDEX(CONTROL[ENGLISH],MATCH(PROPERTIES[[#This Row],[VEHIDCODE]],CONTROL[VEHIDCODE],0))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5" t="b">
        <f>IFERROR(OR(TRACK_TYPES[[#This Row],[TRACK_TYPE_STANDARD_GAUGE_RAILTYPE_OHLE]:[TRACK_TYPE_STANDARD_GAUGE_RAILTYPE_NONE]]),FALSE)</f>
        <v>0</v>
      </c>
      <c r="AF138" s="35" t="b">
        <f>IFERROR(OR(TRACK_TYPES[[#This Row],[TRACK_TYPE_NARROW_GAUGE_RAILTYPE_OHLE]:[TRACK_TYPE_NARROW_GAUGE_RAILTYPE_NONE]]),FALSE)</f>
        <v>0</v>
      </c>
      <c r="AG138" s="35" t="b">
        <f>IFERROR(OR(TRACK_TYPES[[#This Row],[TRACK_TYPE_BROAD_GAUGE_RAILTYPE_OHLE]:[TRACK_TYPE_BROAD_GAUGE_RAILTYPE_NONE]]),FALSE)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2771</v>
      </c>
      <c r="B139" s="37" t="str">
        <f>INDEX(CONTROL[ENGLISH],MATCH(PROPERTIES[[#This Row],[VEHIDCODE]],CONTROL[VEHIDCODE],0))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5" t="b">
        <f>IFERROR(OR(TRACK_TYPES[[#This Row],[TRACK_TYPE_STANDARD_GAUGE_RAILTYPE_OHLE]:[TRACK_TYPE_STANDARD_GAUGE_RAILTYPE_NONE]]),FALSE)</f>
        <v>0</v>
      </c>
      <c r="AF139" s="35" t="b">
        <f>IFERROR(OR(TRACK_TYPES[[#This Row],[TRACK_TYPE_NARROW_GAUGE_RAILTYPE_OHLE]:[TRACK_TYPE_NARROW_GAUGE_RAILTYPE_NONE]]),FALSE)</f>
        <v>1</v>
      </c>
      <c r="AG139" s="35" t="b">
        <f>IFERROR(OR(TRACK_TYPES[[#This Row],[TRACK_TYPE_BROAD_GAUGE_RAILTYPE_OHLE]:[TRACK_TYPE_BROAD_GAUGE_RAILTYPE_NONE]]),FALSE)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2772</v>
      </c>
      <c r="B140" s="37" t="str">
        <f>INDEX(CONTROL[ENGLISH],MATCH(PROPERTIES[[#This Row],[VEHIDCODE]],CONTROL[VEHIDCODE],0))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5" t="b">
        <f>IFERROR(OR(TRACK_TYPES[[#This Row],[TRACK_TYPE_STANDARD_GAUGE_RAILTYPE_OHLE]:[TRACK_TYPE_STANDARD_GAUGE_RAILTYPE_NONE]]),FALSE)</f>
        <v>0</v>
      </c>
      <c r="AF140" s="35" t="b">
        <f>IFERROR(OR(TRACK_TYPES[[#This Row],[TRACK_TYPE_NARROW_GAUGE_RAILTYPE_OHLE]:[TRACK_TYPE_NARROW_GAUGE_RAILTYPE_NONE]]),FALSE)</f>
        <v>1</v>
      </c>
      <c r="AG140" s="35" t="b">
        <f>IFERROR(OR(TRACK_TYPES[[#This Row],[TRACK_TYPE_BROAD_GAUGE_RAILTYPE_OHLE]:[TRACK_TYPE_BROAD_GAUGE_RAILTYPE_NONE]]),FALSE)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2773</v>
      </c>
      <c r="B141" s="37" t="str">
        <f>INDEX(CONTROL[ENGLISH],MATCH(PROPERTIES[[#This Row],[VEHIDCODE]],CONTROL[VEHIDCODE],0))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5" t="b">
        <f>IFERROR(OR(TRACK_TYPES[[#This Row],[TRACK_TYPE_STANDARD_GAUGE_RAILTYPE_OHLE]:[TRACK_TYPE_STANDARD_GAUGE_RAILTYPE_NONE]]),FALSE)</f>
        <v>0</v>
      </c>
      <c r="AF141" s="35" t="b">
        <f>IFERROR(OR(TRACK_TYPES[[#This Row],[TRACK_TYPE_NARROW_GAUGE_RAILTYPE_OHLE]:[TRACK_TYPE_NARROW_GAUGE_RAILTYPE_NONE]]),FALSE)</f>
        <v>1</v>
      </c>
      <c r="AG141" s="35" t="b">
        <f>IFERROR(OR(TRACK_TYPES[[#This Row],[TRACK_TYPE_BROAD_GAUGE_RAILTYPE_OHLE]:[TRACK_TYPE_BROAD_GAUGE_RAILTYPE_NONE]]),FALSE)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2774</v>
      </c>
      <c r="B142" s="37" t="str">
        <f>INDEX(CONTROL[ENGLISH],MATCH(PROPERTIES[[#This Row],[VEHIDCODE]],CONTROL[VEHIDCODE],0))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5" t="b">
        <f>IFERROR(OR(TRACK_TYPES[[#This Row],[TRACK_TYPE_STANDARD_GAUGE_RAILTYPE_OHLE]:[TRACK_TYPE_STANDARD_GAUGE_RAILTYPE_NONE]]),FALSE)</f>
        <v>0</v>
      </c>
      <c r="AF142" s="35" t="b">
        <f>IFERROR(OR(TRACK_TYPES[[#This Row],[TRACK_TYPE_NARROW_GAUGE_RAILTYPE_OHLE]:[TRACK_TYPE_NARROW_GAUGE_RAILTYPE_NONE]]),FALSE)</f>
        <v>1</v>
      </c>
      <c r="AG142" s="35" t="b">
        <f>IFERROR(OR(TRACK_TYPES[[#This Row],[TRACK_TYPE_BROAD_GAUGE_RAILTYPE_OHLE]:[TRACK_TYPE_BROAD_GAUGE_RAILTYPE_NONE]]),FALSE)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2775</v>
      </c>
      <c r="B143" s="37" t="str">
        <f>INDEX(CONTROL[ENGLISH],MATCH(PROPERTIES[[#This Row],[VEHIDCODE]],CONTROL[VEHIDCODE],0))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5" t="b">
        <f>IFERROR(OR(TRACK_TYPES[[#This Row],[TRACK_TYPE_STANDARD_GAUGE_RAILTYPE_OHLE]:[TRACK_TYPE_STANDARD_GAUGE_RAILTYPE_NONE]]),FALSE)</f>
        <v>0</v>
      </c>
      <c r="AF143" s="35" t="b">
        <f>IFERROR(OR(TRACK_TYPES[[#This Row],[TRACK_TYPE_NARROW_GAUGE_RAILTYPE_OHLE]:[TRACK_TYPE_NARROW_GAUGE_RAILTYPE_NONE]]),FALSE)</f>
        <v>1</v>
      </c>
      <c r="AG143" s="35" t="b">
        <f>IFERROR(OR(TRACK_TYPES[[#This Row],[TRACK_TYPE_BROAD_GAUGE_RAILTYPE_OHLE]:[TRACK_TYPE_BROAD_GAUGE_RAILTYPE_NONE]]),FALSE)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2776</v>
      </c>
      <c r="B144" s="37" t="str">
        <f>INDEX(CONTROL[ENGLISH],MATCH(PROPERTIES[[#This Row],[VEHIDCODE]],CONTROL[VEHIDCODE],0))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5" t="b">
        <f>IFERROR(OR(TRACK_TYPES[[#This Row],[TRACK_TYPE_STANDARD_GAUGE_RAILTYPE_OHLE]:[TRACK_TYPE_STANDARD_GAUGE_RAILTYPE_NONE]]),FALSE)</f>
        <v>0</v>
      </c>
      <c r="AF144" s="35" t="b">
        <f>IFERROR(OR(TRACK_TYPES[[#This Row],[TRACK_TYPE_NARROW_GAUGE_RAILTYPE_OHLE]:[TRACK_TYPE_NARROW_GAUGE_RAILTYPE_NONE]]),FALSE)</f>
        <v>1</v>
      </c>
      <c r="AG144" s="35" t="b">
        <f>IFERROR(OR(TRACK_TYPES[[#This Row],[TRACK_TYPE_BROAD_GAUGE_RAILTYPE_OHLE]:[TRACK_TYPE_BROAD_GAUGE_RAILTYPE_NONE]]),FALSE)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2777</v>
      </c>
      <c r="B145" s="37" t="str">
        <f>INDEX(CONTROL[ENGLISH],MATCH(PROPERTIES[[#This Row],[VEHIDCODE]],CONTROL[VEHIDCODE],0))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5" t="b">
        <f>IFERROR(OR(TRACK_TYPES[[#This Row],[TRACK_TYPE_STANDARD_GAUGE_RAILTYPE_OHLE]:[TRACK_TYPE_STANDARD_GAUGE_RAILTYPE_NONE]]),FALSE)</f>
        <v>0</v>
      </c>
      <c r="AF145" s="35" t="b">
        <f>IFERROR(OR(TRACK_TYPES[[#This Row],[TRACK_TYPE_NARROW_GAUGE_RAILTYPE_OHLE]:[TRACK_TYPE_NARROW_GAUGE_RAILTYPE_NONE]]),FALSE)</f>
        <v>1</v>
      </c>
      <c r="AG145" s="35" t="b">
        <f>IFERROR(OR(TRACK_TYPES[[#This Row],[TRACK_TYPE_BROAD_GAUGE_RAILTYPE_OHLE]:[TRACK_TYPE_BROAD_GAUGE_RAILTYPE_NONE]]),FALSE)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2778</v>
      </c>
      <c r="B146" s="37" t="str">
        <f>INDEX(CONTROL[ENGLISH],MATCH(PROPERTIES[[#This Row],[VEHIDCODE]],CONTROL[VEHIDCODE],0))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5" t="b">
        <f>IFERROR(OR(TRACK_TYPES[[#This Row],[TRACK_TYPE_STANDARD_GAUGE_RAILTYPE_OHLE]:[TRACK_TYPE_STANDARD_GAUGE_RAILTYPE_NONE]]),FALSE)</f>
        <v>0</v>
      </c>
      <c r="AF146" s="35" t="b">
        <f>IFERROR(OR(TRACK_TYPES[[#This Row],[TRACK_TYPE_NARROW_GAUGE_RAILTYPE_OHLE]:[TRACK_TYPE_NARROW_GAUGE_RAILTYPE_NONE]]),FALSE)</f>
        <v>0</v>
      </c>
      <c r="AG146" s="35" t="b">
        <f>IFERROR(OR(TRACK_TYPES[[#This Row],[TRACK_TYPE_BROAD_GAUGE_RAILTYPE_OHLE]:[TRACK_TYPE_BROAD_GAUGE_RAILTYPE_NONE]]),FALSE)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2779</v>
      </c>
      <c r="B147" s="37" t="str">
        <f>INDEX(CONTROL[ENGLISH],MATCH(PROPERTIES[[#This Row],[VEHIDCODE]],CONTROL[VEHIDCODE],0))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5" t="b">
        <f>IFERROR(OR(TRACK_TYPES[[#This Row],[TRACK_TYPE_STANDARD_GAUGE_RAILTYPE_OHLE]:[TRACK_TYPE_STANDARD_GAUGE_RAILTYPE_NONE]]),FALSE)</f>
        <v>0</v>
      </c>
      <c r="AF147" s="35" t="b">
        <f>IFERROR(OR(TRACK_TYPES[[#This Row],[TRACK_TYPE_NARROW_GAUGE_RAILTYPE_OHLE]:[TRACK_TYPE_NARROW_GAUGE_RAILTYPE_NONE]]),FALSE)</f>
        <v>1</v>
      </c>
      <c r="AG147" s="35" t="b">
        <f>IFERROR(OR(TRACK_TYPES[[#This Row],[TRACK_TYPE_BROAD_GAUGE_RAILTYPE_OHLE]:[TRACK_TYPE_BROAD_GAUGE_RAILTYPE_NONE]]),FALSE)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2780</v>
      </c>
      <c r="B148" s="37" t="str">
        <f>INDEX(CONTROL[ENGLISH],MATCH(PROPERTIES[[#This Row],[VEHIDCODE]],CONTROL[VEHIDCODE],0))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5" t="b">
        <f>IFERROR(OR(TRACK_TYPES[[#This Row],[TRACK_TYPE_STANDARD_GAUGE_RAILTYPE_OHLE]:[TRACK_TYPE_STANDARD_GAUGE_RAILTYPE_NONE]]),FALSE)</f>
        <v>1</v>
      </c>
      <c r="AF148" s="35" t="b">
        <f>IFERROR(OR(TRACK_TYPES[[#This Row],[TRACK_TYPE_NARROW_GAUGE_RAILTYPE_OHLE]:[TRACK_TYPE_NARROW_GAUGE_RAILTYPE_NONE]]),FALSE)</f>
        <v>0</v>
      </c>
      <c r="AG148" s="35" t="b">
        <f>IFERROR(OR(TRACK_TYPES[[#This Row],[TRACK_TYPE_BROAD_GAUGE_RAILTYPE_OHLE]:[TRACK_TYPE_BROAD_GAUGE_RAILTYPE_NONE]]),FALSE)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2781</v>
      </c>
      <c r="B149" s="37" t="str">
        <f>INDEX(CONTROL[ENGLISH],MATCH(PROPERTIES[[#This Row],[VEHIDCODE]],CONTROL[VEHIDCODE],0))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5" t="b">
        <f>IFERROR(OR(TRACK_TYPES[[#This Row],[TRACK_TYPE_STANDARD_GAUGE_RAILTYPE_OHLE]:[TRACK_TYPE_STANDARD_GAUGE_RAILTYPE_NONE]]),FALSE)</f>
        <v>0</v>
      </c>
      <c r="AF149" s="35" t="b">
        <f>IFERROR(OR(TRACK_TYPES[[#This Row],[TRACK_TYPE_NARROW_GAUGE_RAILTYPE_OHLE]:[TRACK_TYPE_NARROW_GAUGE_RAILTYPE_NONE]]),FALSE)</f>
        <v>0</v>
      </c>
      <c r="AG149" s="35" t="b">
        <f>IFERROR(OR(TRACK_TYPES[[#This Row],[TRACK_TYPE_BROAD_GAUGE_RAILTYPE_OHLE]:[TRACK_TYPE_BROAD_GAUGE_RAILTYPE_NONE]]),FALSE)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2782</v>
      </c>
      <c r="B150" s="37" t="str">
        <f>INDEX(CONTROL[ENGLISH],MATCH(PROPERTIES[[#This Row],[VEHIDCODE]],CONTROL[VEHIDCODE],0))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5" t="b">
        <f>IFERROR(OR(TRACK_TYPES[[#This Row],[TRACK_TYPE_STANDARD_GAUGE_RAILTYPE_OHLE]:[TRACK_TYPE_STANDARD_GAUGE_RAILTYPE_NONE]]),FALSE)</f>
        <v>1</v>
      </c>
      <c r="AF150" s="35" t="b">
        <f>IFERROR(OR(TRACK_TYPES[[#This Row],[TRACK_TYPE_NARROW_GAUGE_RAILTYPE_OHLE]:[TRACK_TYPE_NARROW_GAUGE_RAILTYPE_NONE]]),FALSE)</f>
        <v>0</v>
      </c>
      <c r="AG150" s="35" t="b">
        <f>IFERROR(OR(TRACK_TYPES[[#This Row],[TRACK_TYPE_BROAD_GAUGE_RAILTYPE_OHLE]:[TRACK_TYPE_BROAD_GAUGE_RAILTYPE_NONE]]),FALSE)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2783</v>
      </c>
      <c r="B151" s="37" t="str">
        <f>INDEX(CONTROL[ENGLISH],MATCH(PROPERTIES[[#This Row],[VEHIDCODE]],CONTROL[VEHIDCODE],0))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5" t="b">
        <f>IFERROR(OR(TRACK_TYPES[[#This Row],[TRACK_TYPE_STANDARD_GAUGE_RAILTYPE_OHLE]:[TRACK_TYPE_STANDARD_GAUGE_RAILTYPE_NONE]]),FALSE)</f>
        <v>1</v>
      </c>
      <c r="AF151" s="35" t="b">
        <f>IFERROR(OR(TRACK_TYPES[[#This Row],[TRACK_TYPE_NARROW_GAUGE_RAILTYPE_OHLE]:[TRACK_TYPE_NARROW_GAUGE_RAILTYPE_NONE]]),FALSE)</f>
        <v>0</v>
      </c>
      <c r="AG151" s="35" t="b">
        <f>IFERROR(OR(TRACK_TYPES[[#This Row],[TRACK_TYPE_BROAD_GAUGE_RAILTYPE_OHLE]:[TRACK_TYPE_BROAD_GAUGE_RAILTYPE_NONE]]),FALSE)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2784</v>
      </c>
      <c r="B152" s="37" t="str">
        <f>INDEX(CONTROL[ENGLISH],MATCH(PROPERTIES[[#This Row],[VEHIDCODE]],CONTROL[VEHIDCODE],0))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5" t="b">
        <f>IFERROR(OR(TRACK_TYPES[[#This Row],[TRACK_TYPE_STANDARD_GAUGE_RAILTYPE_OHLE]:[TRACK_TYPE_STANDARD_GAUGE_RAILTYPE_NONE]]),FALSE)</f>
        <v>1</v>
      </c>
      <c r="AF152" s="35" t="b">
        <f>IFERROR(OR(TRACK_TYPES[[#This Row],[TRACK_TYPE_NARROW_GAUGE_RAILTYPE_OHLE]:[TRACK_TYPE_NARROW_GAUGE_RAILTYPE_NONE]]),FALSE)</f>
        <v>0</v>
      </c>
      <c r="AG152" s="35" t="b">
        <f>IFERROR(OR(TRACK_TYPES[[#This Row],[TRACK_TYPE_BROAD_GAUGE_RAILTYPE_OHLE]:[TRACK_TYPE_BROAD_GAUGE_RAILTYPE_NONE]]),FALSE)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2785</v>
      </c>
      <c r="B153" s="37" t="str">
        <f>INDEX(CONTROL[ENGLISH],MATCH(PROPERTIES[[#This Row],[VEHIDCODE]],CONTROL[VEHIDCODE],0))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5" t="b">
        <f>IFERROR(OR(TRACK_TYPES[[#This Row],[TRACK_TYPE_STANDARD_GAUGE_RAILTYPE_OHLE]:[TRACK_TYPE_STANDARD_GAUGE_RAILTYPE_NONE]]),FALSE)</f>
        <v>1</v>
      </c>
      <c r="AF153" s="35" t="b">
        <f>IFERROR(OR(TRACK_TYPES[[#This Row],[TRACK_TYPE_NARROW_GAUGE_RAILTYPE_OHLE]:[TRACK_TYPE_NARROW_GAUGE_RAILTYPE_NONE]]),FALSE)</f>
        <v>0</v>
      </c>
      <c r="AG153" s="35" t="b">
        <f>IFERROR(OR(TRACK_TYPES[[#This Row],[TRACK_TYPE_BROAD_GAUGE_RAILTYPE_OHLE]:[TRACK_TYPE_BROAD_GAUGE_RAILTYPE_NONE]]),FALSE)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2786</v>
      </c>
      <c r="B154" s="37" t="str">
        <f>INDEX(CONTROL[ENGLISH],MATCH(PROPERTIES[[#This Row],[VEHIDCODE]],CONTROL[VEHIDCODE],0))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5" t="b">
        <f>IFERROR(OR(TRACK_TYPES[[#This Row],[TRACK_TYPE_STANDARD_GAUGE_RAILTYPE_OHLE]:[TRACK_TYPE_STANDARD_GAUGE_RAILTYPE_NONE]]),FALSE)</f>
        <v>1</v>
      </c>
      <c r="AF154" s="35" t="b">
        <f>IFERROR(OR(TRACK_TYPES[[#This Row],[TRACK_TYPE_NARROW_GAUGE_RAILTYPE_OHLE]:[TRACK_TYPE_NARROW_GAUGE_RAILTYPE_NONE]]),FALSE)</f>
        <v>0</v>
      </c>
      <c r="AG154" s="35" t="b">
        <f>IFERROR(OR(TRACK_TYPES[[#This Row],[TRACK_TYPE_BROAD_GAUGE_RAILTYPE_OHLE]:[TRACK_TYPE_BROAD_GAUGE_RAILTYPE_NONE]]),FALSE)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2787</v>
      </c>
      <c r="B155" s="37" t="str">
        <f>INDEX(CONTROL[ENGLISH],MATCH(PROPERTIES[[#This Row],[VEHIDCODE]],CONTROL[VEHIDCODE],0))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5" t="b">
        <f>IFERROR(OR(TRACK_TYPES[[#This Row],[TRACK_TYPE_STANDARD_GAUGE_RAILTYPE_OHLE]:[TRACK_TYPE_STANDARD_GAUGE_RAILTYPE_NONE]]),FALSE)</f>
        <v>1</v>
      </c>
      <c r="AF155" s="35" t="b">
        <f>IFERROR(OR(TRACK_TYPES[[#This Row],[TRACK_TYPE_NARROW_GAUGE_RAILTYPE_OHLE]:[TRACK_TYPE_NARROW_GAUGE_RAILTYPE_NONE]]),FALSE)</f>
        <v>0</v>
      </c>
      <c r="AG155" s="35" t="b">
        <f>IFERROR(OR(TRACK_TYPES[[#This Row],[TRACK_TYPE_BROAD_GAUGE_RAILTYPE_OHLE]:[TRACK_TYPE_BROAD_GAUGE_RAILTYPE_NONE]]),FALSE)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3466</v>
      </c>
      <c r="B156" s="37" t="str">
        <f>INDEX(CONTROL[ENGLISH],MATCH(PROPERTIES[[#This Row],[VEHIDCODE]],CONTROL[VEHIDCODE],0))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5" t="b">
        <f>IFERROR(OR(TRACK_TYPES[[#This Row],[TRACK_TYPE_STANDARD_GAUGE_RAILTYPE_OHLE]:[TRACK_TYPE_STANDARD_GAUGE_RAILTYPE_NONE]]),FALSE)</f>
        <v>0</v>
      </c>
      <c r="AF156" s="35" t="b">
        <f>IFERROR(OR(TRACK_TYPES[[#This Row],[TRACK_TYPE_NARROW_GAUGE_RAILTYPE_OHLE]:[TRACK_TYPE_NARROW_GAUGE_RAILTYPE_NONE]]),FALSE)</f>
        <v>0</v>
      </c>
      <c r="AG156" s="35" t="b">
        <f>IFERROR(OR(TRACK_TYPES[[#This Row],[TRACK_TYPE_BROAD_GAUGE_RAILTYPE_OHLE]:[TRACK_TYPE_BROAD_GAUGE_RAILTYPE_NONE]]),FALSE)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2788</v>
      </c>
      <c r="B157" s="37" t="str">
        <f>INDEX(CONTROL[ENGLISH],MATCH(PROPERTIES[[#This Row],[VEHIDCODE]],CONTROL[VEHIDCODE],0))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5" t="b">
        <f>IFERROR(OR(TRACK_TYPES[[#This Row],[TRACK_TYPE_STANDARD_GAUGE_RAILTYPE_OHLE]:[TRACK_TYPE_STANDARD_GAUGE_RAILTYPE_NONE]]),FALSE)</f>
        <v>1</v>
      </c>
      <c r="AF157" s="35" t="b">
        <f>IFERROR(OR(TRACK_TYPES[[#This Row],[TRACK_TYPE_NARROW_GAUGE_RAILTYPE_OHLE]:[TRACK_TYPE_NARROW_GAUGE_RAILTYPE_NONE]]),FALSE)</f>
        <v>0</v>
      </c>
      <c r="AG157" s="35" t="b">
        <f>IFERROR(OR(TRACK_TYPES[[#This Row],[TRACK_TYPE_BROAD_GAUGE_RAILTYPE_OHLE]:[TRACK_TYPE_BROAD_GAUGE_RAILTYPE_NONE]]),FALSE)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2789</v>
      </c>
      <c r="B158" s="37" t="str">
        <f>INDEX(CONTROL[ENGLISH],MATCH(PROPERTIES[[#This Row],[VEHIDCODE]],CONTROL[VEHIDCODE],0))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5" t="b">
        <f>IFERROR(OR(TRACK_TYPES[[#This Row],[TRACK_TYPE_STANDARD_GAUGE_RAILTYPE_OHLE]:[TRACK_TYPE_STANDARD_GAUGE_RAILTYPE_NONE]]),FALSE)</f>
        <v>1</v>
      </c>
      <c r="AF158" s="35" t="b">
        <f>IFERROR(OR(TRACK_TYPES[[#This Row],[TRACK_TYPE_NARROW_GAUGE_RAILTYPE_OHLE]:[TRACK_TYPE_NARROW_GAUGE_RAILTYPE_NONE]]),FALSE)</f>
        <v>0</v>
      </c>
      <c r="AG158" s="35" t="b">
        <f>IFERROR(OR(TRACK_TYPES[[#This Row],[TRACK_TYPE_BROAD_GAUGE_RAILTYPE_OHLE]:[TRACK_TYPE_BROAD_GAUGE_RAILTYPE_NONE]]),FALSE)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2790</v>
      </c>
      <c r="B159" s="37" t="str">
        <f>INDEX(CONTROL[ENGLISH],MATCH(PROPERTIES[[#This Row],[VEHIDCODE]],CONTROL[VEHIDCODE],0))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5" t="b">
        <f>IFERROR(OR(TRACK_TYPES[[#This Row],[TRACK_TYPE_STANDARD_GAUGE_RAILTYPE_OHLE]:[TRACK_TYPE_STANDARD_GAUGE_RAILTYPE_NONE]]),FALSE)</f>
        <v>1</v>
      </c>
      <c r="AF159" s="35" t="b">
        <f>IFERROR(OR(TRACK_TYPES[[#This Row],[TRACK_TYPE_NARROW_GAUGE_RAILTYPE_OHLE]:[TRACK_TYPE_NARROW_GAUGE_RAILTYPE_NONE]]),FALSE)</f>
        <v>0</v>
      </c>
      <c r="AG159" s="35" t="b">
        <f>IFERROR(OR(TRACK_TYPES[[#This Row],[TRACK_TYPE_BROAD_GAUGE_RAILTYPE_OHLE]:[TRACK_TYPE_BROAD_GAUGE_RAILTYPE_NONE]]),FALSE)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2791</v>
      </c>
      <c r="B160" s="37" t="str">
        <f>INDEX(CONTROL[ENGLISH],MATCH(PROPERTIES[[#This Row],[VEHIDCODE]],CONTROL[VEHIDCODE],0))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5" t="b">
        <f>IFERROR(OR(TRACK_TYPES[[#This Row],[TRACK_TYPE_STANDARD_GAUGE_RAILTYPE_OHLE]:[TRACK_TYPE_STANDARD_GAUGE_RAILTYPE_NONE]]),FALSE)</f>
        <v>1</v>
      </c>
      <c r="AF160" s="35" t="b">
        <f>IFERROR(OR(TRACK_TYPES[[#This Row],[TRACK_TYPE_NARROW_GAUGE_RAILTYPE_OHLE]:[TRACK_TYPE_NARROW_GAUGE_RAILTYPE_NONE]]),FALSE)</f>
        <v>0</v>
      </c>
      <c r="AG160" s="35" t="b">
        <f>IFERROR(OR(TRACK_TYPES[[#This Row],[TRACK_TYPE_BROAD_GAUGE_RAILTYPE_OHLE]:[TRACK_TYPE_BROAD_GAUGE_RAILTYPE_NONE]]),FALSE)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2792</v>
      </c>
      <c r="B161" s="37" t="str">
        <f>INDEX(CONTROL[ENGLISH],MATCH(PROPERTIES[[#This Row],[VEHIDCODE]],CONTROL[VEHIDCODE],0))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5" t="b">
        <f>IFERROR(OR(TRACK_TYPES[[#This Row],[TRACK_TYPE_STANDARD_GAUGE_RAILTYPE_OHLE]:[TRACK_TYPE_STANDARD_GAUGE_RAILTYPE_NONE]]),FALSE)</f>
        <v>1</v>
      </c>
      <c r="AF161" s="35" t="b">
        <f>IFERROR(OR(TRACK_TYPES[[#This Row],[TRACK_TYPE_NARROW_GAUGE_RAILTYPE_OHLE]:[TRACK_TYPE_NARROW_GAUGE_RAILTYPE_NONE]]),FALSE)</f>
        <v>0</v>
      </c>
      <c r="AG161" s="35" t="b">
        <f>IFERROR(OR(TRACK_TYPES[[#This Row],[TRACK_TYPE_BROAD_GAUGE_RAILTYPE_OHLE]:[TRACK_TYPE_BROAD_GAUGE_RAILTYPE_NONE]]),FALSE)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2793</v>
      </c>
      <c r="B162" s="37" t="str">
        <f>INDEX(CONTROL[ENGLISH],MATCH(PROPERTIES[[#This Row],[VEHIDCODE]],CONTROL[VEHIDCODE],0))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5" t="b">
        <f>IFERROR(OR(TRACK_TYPES[[#This Row],[TRACK_TYPE_STANDARD_GAUGE_RAILTYPE_OHLE]:[TRACK_TYPE_STANDARD_GAUGE_RAILTYPE_NONE]]),FALSE)</f>
        <v>1</v>
      </c>
      <c r="AF162" s="35" t="b">
        <f>IFERROR(OR(TRACK_TYPES[[#This Row],[TRACK_TYPE_NARROW_GAUGE_RAILTYPE_OHLE]:[TRACK_TYPE_NARROW_GAUGE_RAILTYPE_NONE]]),FALSE)</f>
        <v>0</v>
      </c>
      <c r="AG162" s="35" t="b">
        <f>IFERROR(OR(TRACK_TYPES[[#This Row],[TRACK_TYPE_BROAD_GAUGE_RAILTYPE_OHLE]:[TRACK_TYPE_BROAD_GAUGE_RAILTYPE_NONE]]),FALSE)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2794</v>
      </c>
      <c r="B163" s="37" t="str">
        <f>INDEX(CONTROL[ENGLISH],MATCH(PROPERTIES[[#This Row],[VEHIDCODE]],CONTROL[VEHIDCODE],0))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5" t="b">
        <f>IFERROR(OR(TRACK_TYPES[[#This Row],[TRACK_TYPE_STANDARD_GAUGE_RAILTYPE_OHLE]:[TRACK_TYPE_STANDARD_GAUGE_RAILTYPE_NONE]]),FALSE)</f>
        <v>1</v>
      </c>
      <c r="AF163" s="35" t="b">
        <f>IFERROR(OR(TRACK_TYPES[[#This Row],[TRACK_TYPE_NARROW_GAUGE_RAILTYPE_OHLE]:[TRACK_TYPE_NARROW_GAUGE_RAILTYPE_NONE]]),FALSE)</f>
        <v>0</v>
      </c>
      <c r="AG163" s="35" t="b">
        <f>IFERROR(OR(TRACK_TYPES[[#This Row],[TRACK_TYPE_BROAD_GAUGE_RAILTYPE_OHLE]:[TRACK_TYPE_BROAD_GAUGE_RAILTYPE_NONE]]),FALSE)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2795</v>
      </c>
      <c r="B164" s="37" t="str">
        <f>INDEX(CONTROL[ENGLISH],MATCH(PROPERTIES[[#This Row],[VEHIDCODE]],CONTROL[VEHIDCODE],0))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5" t="b">
        <f>IFERROR(OR(TRACK_TYPES[[#This Row],[TRACK_TYPE_STANDARD_GAUGE_RAILTYPE_OHLE]:[TRACK_TYPE_STANDARD_GAUGE_RAILTYPE_NONE]]),FALSE)</f>
        <v>1</v>
      </c>
      <c r="AF164" s="35" t="b">
        <f>IFERROR(OR(TRACK_TYPES[[#This Row],[TRACK_TYPE_NARROW_GAUGE_RAILTYPE_OHLE]:[TRACK_TYPE_NARROW_GAUGE_RAILTYPE_NONE]]),FALSE)</f>
        <v>0</v>
      </c>
      <c r="AG164" s="35" t="b">
        <f>IFERROR(OR(TRACK_TYPES[[#This Row],[TRACK_TYPE_BROAD_GAUGE_RAILTYPE_OHLE]:[TRACK_TYPE_BROAD_GAUGE_RAILTYPE_NONE]]),FALSE)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2796</v>
      </c>
      <c r="B165" s="37" t="str">
        <f>INDEX(CONTROL[ENGLISH],MATCH(PROPERTIES[[#This Row],[VEHIDCODE]],CONTROL[VEHIDCODE],0))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5" t="b">
        <f>IFERROR(OR(TRACK_TYPES[[#This Row],[TRACK_TYPE_STANDARD_GAUGE_RAILTYPE_OHLE]:[TRACK_TYPE_STANDARD_GAUGE_RAILTYPE_NONE]]),FALSE)</f>
        <v>0</v>
      </c>
      <c r="AF165" s="35" t="b">
        <f>IFERROR(OR(TRACK_TYPES[[#This Row],[TRACK_TYPE_NARROW_GAUGE_RAILTYPE_OHLE]:[TRACK_TYPE_NARROW_GAUGE_RAILTYPE_NONE]]),FALSE)</f>
        <v>0</v>
      </c>
      <c r="AG165" s="35" t="b">
        <f>IFERROR(OR(TRACK_TYPES[[#This Row],[TRACK_TYPE_BROAD_GAUGE_RAILTYPE_OHLE]:[TRACK_TYPE_BROAD_GAUGE_RAILTYPE_NONE]]),FALSE)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2797</v>
      </c>
      <c r="B166" s="37" t="str">
        <f>INDEX(CONTROL[ENGLISH],MATCH(PROPERTIES[[#This Row],[VEHIDCODE]],CONTROL[VEHIDCODE],0))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5" t="b">
        <f>IFERROR(OR(TRACK_TYPES[[#This Row],[TRACK_TYPE_STANDARD_GAUGE_RAILTYPE_OHLE]:[TRACK_TYPE_STANDARD_GAUGE_RAILTYPE_NONE]]),FALSE)</f>
        <v>1</v>
      </c>
      <c r="AF166" s="35" t="b">
        <f>IFERROR(OR(TRACK_TYPES[[#This Row],[TRACK_TYPE_NARROW_GAUGE_RAILTYPE_OHLE]:[TRACK_TYPE_NARROW_GAUGE_RAILTYPE_NONE]]),FALSE)</f>
        <v>0</v>
      </c>
      <c r="AG166" s="35" t="b">
        <f>IFERROR(OR(TRACK_TYPES[[#This Row],[TRACK_TYPE_BROAD_GAUGE_RAILTYPE_OHLE]:[TRACK_TYPE_BROAD_GAUGE_RAILTYPE_NONE]]),FALSE)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2798</v>
      </c>
      <c r="B167" s="37" t="str">
        <f>INDEX(CONTROL[ENGLISH],MATCH(PROPERTIES[[#This Row],[VEHIDCODE]],CONTROL[VEHIDCODE],0))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5" t="b">
        <f>IFERROR(OR(TRACK_TYPES[[#This Row],[TRACK_TYPE_STANDARD_GAUGE_RAILTYPE_OHLE]:[TRACK_TYPE_STANDARD_GAUGE_RAILTYPE_NONE]]),FALSE)</f>
        <v>0</v>
      </c>
      <c r="AF167" s="35" t="b">
        <f>IFERROR(OR(TRACK_TYPES[[#This Row],[TRACK_TYPE_NARROW_GAUGE_RAILTYPE_OHLE]:[TRACK_TYPE_NARROW_GAUGE_RAILTYPE_NONE]]),FALSE)</f>
        <v>0</v>
      </c>
      <c r="AG167" s="35" t="b">
        <f>IFERROR(OR(TRACK_TYPES[[#This Row],[TRACK_TYPE_BROAD_GAUGE_RAILTYPE_OHLE]:[TRACK_TYPE_BROAD_GAUGE_RAILTYPE_NONE]]),FALSE)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2799</v>
      </c>
      <c r="B168" s="37" t="str">
        <f>INDEX(CONTROL[ENGLISH],MATCH(PROPERTIES[[#This Row],[VEHIDCODE]],CONTROL[VEHIDCODE],0))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5" t="b">
        <f>IFERROR(OR(TRACK_TYPES[[#This Row],[TRACK_TYPE_STANDARD_GAUGE_RAILTYPE_OHLE]:[TRACK_TYPE_STANDARD_GAUGE_RAILTYPE_NONE]]),FALSE)</f>
        <v>1</v>
      </c>
      <c r="AF168" s="35" t="b">
        <f>IFERROR(OR(TRACK_TYPES[[#This Row],[TRACK_TYPE_NARROW_GAUGE_RAILTYPE_OHLE]:[TRACK_TYPE_NARROW_GAUGE_RAILTYPE_NONE]]),FALSE)</f>
        <v>0</v>
      </c>
      <c r="AG168" s="35" t="b">
        <f>IFERROR(OR(TRACK_TYPES[[#This Row],[TRACK_TYPE_BROAD_GAUGE_RAILTYPE_OHLE]:[TRACK_TYPE_BROAD_GAUGE_RAILTYPE_NONE]]),FALSE)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2800</v>
      </c>
      <c r="B169" s="37" t="str">
        <f>INDEX(CONTROL[ENGLISH],MATCH(PROPERTIES[[#This Row],[VEHIDCODE]],CONTROL[VEHIDCODE],0))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5" t="b">
        <f>IFERROR(OR(TRACK_TYPES[[#This Row],[TRACK_TYPE_STANDARD_GAUGE_RAILTYPE_OHLE]:[TRACK_TYPE_STANDARD_GAUGE_RAILTYPE_NONE]]),FALSE)</f>
        <v>1</v>
      </c>
      <c r="AF169" s="35" t="b">
        <f>IFERROR(OR(TRACK_TYPES[[#This Row],[TRACK_TYPE_NARROW_GAUGE_RAILTYPE_OHLE]:[TRACK_TYPE_NARROW_GAUGE_RAILTYPE_NONE]]),FALSE)</f>
        <v>0</v>
      </c>
      <c r="AG169" s="35" t="b">
        <f>IFERROR(OR(TRACK_TYPES[[#This Row],[TRACK_TYPE_BROAD_GAUGE_RAILTYPE_OHLE]:[TRACK_TYPE_BROAD_GAUGE_RAILTYPE_NONE]]),FALSE)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2801</v>
      </c>
      <c r="B170" s="37" t="str">
        <f>INDEX(CONTROL[ENGLISH],MATCH(PROPERTIES[[#This Row],[VEHIDCODE]],CONTROL[VEHIDCODE],0))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5" t="b">
        <f>IFERROR(OR(TRACK_TYPES[[#This Row],[TRACK_TYPE_STANDARD_GAUGE_RAILTYPE_OHLE]:[TRACK_TYPE_STANDARD_GAUGE_RAILTYPE_NONE]]),FALSE)</f>
        <v>0</v>
      </c>
      <c r="AF170" s="35" t="b">
        <f>IFERROR(OR(TRACK_TYPES[[#This Row],[TRACK_TYPE_NARROW_GAUGE_RAILTYPE_OHLE]:[TRACK_TYPE_NARROW_GAUGE_RAILTYPE_NONE]]),FALSE)</f>
        <v>1</v>
      </c>
      <c r="AG170" s="35" t="b">
        <f>IFERROR(OR(TRACK_TYPES[[#This Row],[TRACK_TYPE_BROAD_GAUGE_RAILTYPE_OHLE]:[TRACK_TYPE_BROAD_GAUGE_RAILTYPE_NONE]]),FALSE)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2802</v>
      </c>
      <c r="B171" s="37" t="str">
        <f>INDEX(CONTROL[ENGLISH],MATCH(PROPERTIES[[#This Row],[VEHIDCODE]],CONTROL[VEHIDCODE],0))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5" t="b">
        <f>IFERROR(OR(TRACK_TYPES[[#This Row],[TRACK_TYPE_STANDARD_GAUGE_RAILTYPE_OHLE]:[TRACK_TYPE_STANDARD_GAUGE_RAILTYPE_NONE]]),FALSE)</f>
        <v>1</v>
      </c>
      <c r="AF171" s="35" t="b">
        <f>IFERROR(OR(TRACK_TYPES[[#This Row],[TRACK_TYPE_NARROW_GAUGE_RAILTYPE_OHLE]:[TRACK_TYPE_NARROW_GAUGE_RAILTYPE_NONE]]),FALSE)</f>
        <v>0</v>
      </c>
      <c r="AG171" s="35" t="b">
        <f>IFERROR(OR(TRACK_TYPES[[#This Row],[TRACK_TYPE_BROAD_GAUGE_RAILTYPE_OHLE]:[TRACK_TYPE_BROAD_GAUGE_RAILTYPE_NONE]]),FALSE)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2803</v>
      </c>
      <c r="B172" s="37" t="str">
        <f>INDEX(CONTROL[ENGLISH],MATCH(PROPERTIES[[#This Row],[VEHIDCODE]],CONTROL[VEHIDCODE],0))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5" t="b">
        <f>IFERROR(OR(TRACK_TYPES[[#This Row],[TRACK_TYPE_STANDARD_GAUGE_RAILTYPE_OHLE]:[TRACK_TYPE_STANDARD_GAUGE_RAILTYPE_NONE]]),FALSE)</f>
        <v>1</v>
      </c>
      <c r="AF172" s="35" t="b">
        <f>IFERROR(OR(TRACK_TYPES[[#This Row],[TRACK_TYPE_NARROW_GAUGE_RAILTYPE_OHLE]:[TRACK_TYPE_NARROW_GAUGE_RAILTYPE_NONE]]),FALSE)</f>
        <v>1</v>
      </c>
      <c r="AG172" s="35" t="b">
        <f>IFERROR(OR(TRACK_TYPES[[#This Row],[TRACK_TYPE_BROAD_GAUGE_RAILTYPE_OHLE]:[TRACK_TYPE_BROAD_GAUGE_RAILTYPE_NONE]]),FALSE)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2804</v>
      </c>
      <c r="B173" s="37" t="str">
        <f>INDEX(CONTROL[ENGLISH],MATCH(PROPERTIES[[#This Row],[VEHIDCODE]],CONTROL[VEHIDCODE],0))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5" t="b">
        <f>IFERROR(OR(TRACK_TYPES[[#This Row],[TRACK_TYPE_STANDARD_GAUGE_RAILTYPE_OHLE]:[TRACK_TYPE_STANDARD_GAUGE_RAILTYPE_NONE]]),FALSE)</f>
        <v>1</v>
      </c>
      <c r="AF173" s="35" t="b">
        <f>IFERROR(OR(TRACK_TYPES[[#This Row],[TRACK_TYPE_NARROW_GAUGE_RAILTYPE_OHLE]:[TRACK_TYPE_NARROW_GAUGE_RAILTYPE_NONE]]),FALSE)</f>
        <v>0</v>
      </c>
      <c r="AG173" s="35" t="b">
        <f>IFERROR(OR(TRACK_TYPES[[#This Row],[TRACK_TYPE_BROAD_GAUGE_RAILTYPE_OHLE]:[TRACK_TYPE_BROAD_GAUGE_RAILTYPE_NONE]]),FALSE)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2805</v>
      </c>
      <c r="B174" s="37" t="str">
        <f>INDEX(CONTROL[ENGLISH],MATCH(PROPERTIES[[#This Row],[VEHIDCODE]],CONTROL[VEHIDCODE],0))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5" t="b">
        <f>IFERROR(OR(TRACK_TYPES[[#This Row],[TRACK_TYPE_STANDARD_GAUGE_RAILTYPE_OHLE]:[TRACK_TYPE_STANDARD_GAUGE_RAILTYPE_NONE]]),FALSE)</f>
        <v>1</v>
      </c>
      <c r="AF174" s="35" t="b">
        <f>IFERROR(OR(TRACK_TYPES[[#This Row],[TRACK_TYPE_NARROW_GAUGE_RAILTYPE_OHLE]:[TRACK_TYPE_NARROW_GAUGE_RAILTYPE_NONE]]),FALSE)</f>
        <v>0</v>
      </c>
      <c r="AG174" s="35" t="b">
        <f>IFERROR(OR(TRACK_TYPES[[#This Row],[TRACK_TYPE_BROAD_GAUGE_RAILTYPE_OHLE]:[TRACK_TYPE_BROAD_GAUGE_RAILTYPE_NONE]]),FALSE)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2806</v>
      </c>
      <c r="B175" s="37" t="str">
        <f>INDEX(CONTROL[ENGLISH],MATCH(PROPERTIES[[#This Row],[VEHIDCODE]],CONTROL[VEHIDCODE],0))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5" t="b">
        <f>IFERROR(OR(TRACK_TYPES[[#This Row],[TRACK_TYPE_STANDARD_GAUGE_RAILTYPE_OHLE]:[TRACK_TYPE_STANDARD_GAUGE_RAILTYPE_NONE]]),FALSE)</f>
        <v>1</v>
      </c>
      <c r="AF175" s="35" t="b">
        <f>IFERROR(OR(TRACK_TYPES[[#This Row],[TRACK_TYPE_NARROW_GAUGE_RAILTYPE_OHLE]:[TRACK_TYPE_NARROW_GAUGE_RAILTYPE_NONE]]),FALSE)</f>
        <v>0</v>
      </c>
      <c r="AG175" s="35" t="b">
        <f>IFERROR(OR(TRACK_TYPES[[#This Row],[TRACK_TYPE_BROAD_GAUGE_RAILTYPE_OHLE]:[TRACK_TYPE_BROAD_GAUGE_RAILTYPE_NONE]]),FALSE)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2807</v>
      </c>
      <c r="B176" s="37" t="str">
        <f>INDEX(CONTROL[ENGLISH],MATCH(PROPERTIES[[#This Row],[VEHIDCODE]],CONTROL[VEHIDCODE],0))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5" t="b">
        <f>IFERROR(OR(TRACK_TYPES[[#This Row],[TRACK_TYPE_STANDARD_GAUGE_RAILTYPE_OHLE]:[TRACK_TYPE_STANDARD_GAUGE_RAILTYPE_NONE]]),FALSE)</f>
        <v>1</v>
      </c>
      <c r="AF176" s="35" t="b">
        <f>IFERROR(OR(TRACK_TYPES[[#This Row],[TRACK_TYPE_NARROW_GAUGE_RAILTYPE_OHLE]:[TRACK_TYPE_NARROW_GAUGE_RAILTYPE_NONE]]),FALSE)</f>
        <v>0</v>
      </c>
      <c r="AG176" s="35" t="b">
        <f>IFERROR(OR(TRACK_TYPES[[#This Row],[TRACK_TYPE_BROAD_GAUGE_RAILTYPE_OHLE]:[TRACK_TYPE_BROAD_GAUGE_RAILTYPE_NONE]]),FALSE)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2808</v>
      </c>
      <c r="B177" s="37" t="str">
        <f>INDEX(CONTROL[ENGLISH],MATCH(PROPERTIES[[#This Row],[VEHIDCODE]],CONTROL[VEHIDCODE],0))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5" t="b">
        <f>IFERROR(OR(TRACK_TYPES[[#This Row],[TRACK_TYPE_STANDARD_GAUGE_RAILTYPE_OHLE]:[TRACK_TYPE_STANDARD_GAUGE_RAILTYPE_NONE]]),FALSE)</f>
        <v>1</v>
      </c>
      <c r="AF177" s="35" t="b">
        <f>IFERROR(OR(TRACK_TYPES[[#This Row],[TRACK_TYPE_NARROW_GAUGE_RAILTYPE_OHLE]:[TRACK_TYPE_NARROW_GAUGE_RAILTYPE_NONE]]),FALSE)</f>
        <v>1</v>
      </c>
      <c r="AG177" s="35" t="b">
        <f>IFERROR(OR(TRACK_TYPES[[#This Row],[TRACK_TYPE_BROAD_GAUGE_RAILTYPE_OHLE]:[TRACK_TYPE_BROAD_GAUGE_RAILTYPE_NONE]]),FALSE)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2809</v>
      </c>
      <c r="B178" s="37" t="str">
        <f>INDEX(CONTROL[ENGLISH],MATCH(PROPERTIES[[#This Row],[VEHIDCODE]],CONTROL[VEHIDCODE],0))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5" t="b">
        <f>IFERROR(OR(TRACK_TYPES[[#This Row],[TRACK_TYPE_STANDARD_GAUGE_RAILTYPE_OHLE]:[TRACK_TYPE_STANDARD_GAUGE_RAILTYPE_NONE]]),FALSE)</f>
        <v>1</v>
      </c>
      <c r="AF178" s="35" t="b">
        <f>IFERROR(OR(TRACK_TYPES[[#This Row],[TRACK_TYPE_NARROW_GAUGE_RAILTYPE_OHLE]:[TRACK_TYPE_NARROW_GAUGE_RAILTYPE_NONE]]),FALSE)</f>
        <v>0</v>
      </c>
      <c r="AG178" s="35" t="b">
        <f>IFERROR(OR(TRACK_TYPES[[#This Row],[TRACK_TYPE_BROAD_GAUGE_RAILTYPE_OHLE]:[TRACK_TYPE_BROAD_GAUGE_RAILTYPE_NONE]]),FALSE)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2810</v>
      </c>
      <c r="B179" s="37" t="str">
        <f>INDEX(CONTROL[ENGLISH],MATCH(PROPERTIES[[#This Row],[VEHIDCODE]],CONTROL[VEHIDCODE],0))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5" t="b">
        <f>IFERROR(OR(TRACK_TYPES[[#This Row],[TRACK_TYPE_STANDARD_GAUGE_RAILTYPE_OHLE]:[TRACK_TYPE_STANDARD_GAUGE_RAILTYPE_NONE]]),FALSE)</f>
        <v>1</v>
      </c>
      <c r="AF179" s="35" t="b">
        <f>IFERROR(OR(TRACK_TYPES[[#This Row],[TRACK_TYPE_NARROW_GAUGE_RAILTYPE_OHLE]:[TRACK_TYPE_NARROW_GAUGE_RAILTYPE_NONE]]),FALSE)</f>
        <v>0</v>
      </c>
      <c r="AG179" s="35" t="b">
        <f>IFERROR(OR(TRACK_TYPES[[#This Row],[TRACK_TYPE_BROAD_GAUGE_RAILTYPE_OHLE]:[TRACK_TYPE_BROAD_GAUGE_RAILTYPE_NONE]]),FALSE)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2811</v>
      </c>
      <c r="B180" s="37" t="str">
        <f>INDEX(CONTROL[ENGLISH],MATCH(PROPERTIES[[#This Row],[VEHIDCODE]],CONTROL[VEHIDCODE],0))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5" t="b">
        <f>IFERROR(OR(TRACK_TYPES[[#This Row],[TRACK_TYPE_STANDARD_GAUGE_RAILTYPE_OHLE]:[TRACK_TYPE_STANDARD_GAUGE_RAILTYPE_NONE]]),FALSE)</f>
        <v>1</v>
      </c>
      <c r="AF180" s="35" t="b">
        <f>IFERROR(OR(TRACK_TYPES[[#This Row],[TRACK_TYPE_NARROW_GAUGE_RAILTYPE_OHLE]:[TRACK_TYPE_NARROW_GAUGE_RAILTYPE_NONE]]),FALSE)</f>
        <v>0</v>
      </c>
      <c r="AG180" s="35" t="b">
        <f>IFERROR(OR(TRACK_TYPES[[#This Row],[TRACK_TYPE_BROAD_GAUGE_RAILTYPE_OHLE]:[TRACK_TYPE_BROAD_GAUGE_RAILTYPE_NONE]]),FALSE)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2812</v>
      </c>
      <c r="B181" s="37" t="str">
        <f>INDEX(CONTROL[ENGLISH],MATCH(PROPERTIES[[#This Row],[VEHIDCODE]],CONTROL[VEHIDCODE],0))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5" t="b">
        <f>IFERROR(OR(TRACK_TYPES[[#This Row],[TRACK_TYPE_STANDARD_GAUGE_RAILTYPE_OHLE]:[TRACK_TYPE_STANDARD_GAUGE_RAILTYPE_NONE]]),FALSE)</f>
        <v>1</v>
      </c>
      <c r="AF181" s="35" t="b">
        <f>IFERROR(OR(TRACK_TYPES[[#This Row],[TRACK_TYPE_NARROW_GAUGE_RAILTYPE_OHLE]:[TRACK_TYPE_NARROW_GAUGE_RAILTYPE_NONE]]),FALSE)</f>
        <v>0</v>
      </c>
      <c r="AG181" s="35" t="b">
        <f>IFERROR(OR(TRACK_TYPES[[#This Row],[TRACK_TYPE_BROAD_GAUGE_RAILTYPE_OHLE]:[TRACK_TYPE_BROAD_GAUGE_RAILTYPE_NONE]]),FALSE)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2813</v>
      </c>
      <c r="B182" s="37" t="str">
        <f>INDEX(CONTROL[ENGLISH],MATCH(PROPERTIES[[#This Row],[VEHIDCODE]],CONTROL[VEHIDCODE],0))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5" t="b">
        <f>IFERROR(OR(TRACK_TYPES[[#This Row],[TRACK_TYPE_STANDARD_GAUGE_RAILTYPE_OHLE]:[TRACK_TYPE_STANDARD_GAUGE_RAILTYPE_NONE]]),FALSE)</f>
        <v>1</v>
      </c>
      <c r="AF182" s="35" t="b">
        <f>IFERROR(OR(TRACK_TYPES[[#This Row],[TRACK_TYPE_NARROW_GAUGE_RAILTYPE_OHLE]:[TRACK_TYPE_NARROW_GAUGE_RAILTYPE_NONE]]),FALSE)</f>
        <v>0</v>
      </c>
      <c r="AG182" s="35" t="b">
        <f>IFERROR(OR(TRACK_TYPES[[#This Row],[TRACK_TYPE_BROAD_GAUGE_RAILTYPE_OHLE]:[TRACK_TYPE_BROAD_GAUGE_RAILTYPE_NONE]]),FALSE)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2814</v>
      </c>
      <c r="B183" s="37" t="str">
        <f>INDEX(CONTROL[ENGLISH],MATCH(PROPERTIES[[#This Row],[VEHIDCODE]],CONTROL[VEHIDCODE],0))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5" t="b">
        <f>IFERROR(OR(TRACK_TYPES[[#This Row],[TRACK_TYPE_STANDARD_GAUGE_RAILTYPE_OHLE]:[TRACK_TYPE_STANDARD_GAUGE_RAILTYPE_NONE]]),FALSE)</f>
        <v>1</v>
      </c>
      <c r="AF183" s="35" t="b">
        <f>IFERROR(OR(TRACK_TYPES[[#This Row],[TRACK_TYPE_NARROW_GAUGE_RAILTYPE_OHLE]:[TRACK_TYPE_NARROW_GAUGE_RAILTYPE_NONE]]),FALSE)</f>
        <v>0</v>
      </c>
      <c r="AG183" s="35" t="b">
        <f>IFERROR(OR(TRACK_TYPES[[#This Row],[TRACK_TYPE_BROAD_GAUGE_RAILTYPE_OHLE]:[TRACK_TYPE_BROAD_GAUGE_RAILTYPE_NONE]]),FALSE)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2815</v>
      </c>
      <c r="B184" s="37" t="str">
        <f>INDEX(CONTROL[ENGLISH],MATCH(PROPERTIES[[#This Row],[VEHIDCODE]],CONTROL[VEHIDCODE],0))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5" t="b">
        <f>IFERROR(OR(TRACK_TYPES[[#This Row],[TRACK_TYPE_STANDARD_GAUGE_RAILTYPE_OHLE]:[TRACK_TYPE_STANDARD_GAUGE_RAILTYPE_NONE]]),FALSE)</f>
        <v>1</v>
      </c>
      <c r="AF184" s="35" t="b">
        <f>IFERROR(OR(TRACK_TYPES[[#This Row],[TRACK_TYPE_NARROW_GAUGE_RAILTYPE_OHLE]:[TRACK_TYPE_NARROW_GAUGE_RAILTYPE_NONE]]),FALSE)</f>
        <v>0</v>
      </c>
      <c r="AG184" s="35" t="b">
        <f>IFERROR(OR(TRACK_TYPES[[#This Row],[TRACK_TYPE_BROAD_GAUGE_RAILTYPE_OHLE]:[TRACK_TYPE_BROAD_GAUGE_RAILTYPE_NONE]]),FALSE)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2816</v>
      </c>
      <c r="B185" s="37" t="str">
        <f>INDEX(CONTROL[ENGLISH],MATCH(PROPERTIES[[#This Row],[VEHIDCODE]],CONTROL[VEHIDCODE],0))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5" t="b">
        <f>IFERROR(OR(TRACK_TYPES[[#This Row],[TRACK_TYPE_STANDARD_GAUGE_RAILTYPE_OHLE]:[TRACK_TYPE_STANDARD_GAUGE_RAILTYPE_NONE]]),FALSE)</f>
        <v>1</v>
      </c>
      <c r="AF185" s="35" t="b">
        <f>IFERROR(OR(TRACK_TYPES[[#This Row],[TRACK_TYPE_NARROW_GAUGE_RAILTYPE_OHLE]:[TRACK_TYPE_NARROW_GAUGE_RAILTYPE_NONE]]),FALSE)</f>
        <v>0</v>
      </c>
      <c r="AG185" s="35" t="b">
        <f>IFERROR(OR(TRACK_TYPES[[#This Row],[TRACK_TYPE_BROAD_GAUGE_RAILTYPE_OHLE]:[TRACK_TYPE_BROAD_GAUGE_RAILTYPE_NONE]]),FALSE)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2817</v>
      </c>
      <c r="B186" s="37" t="str">
        <f>INDEX(CONTROL[ENGLISH],MATCH(PROPERTIES[[#This Row],[VEHIDCODE]],CONTROL[VEHIDCODE],0))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5" t="b">
        <f>IFERROR(OR(TRACK_TYPES[[#This Row],[TRACK_TYPE_STANDARD_GAUGE_RAILTYPE_OHLE]:[TRACK_TYPE_STANDARD_GAUGE_RAILTYPE_NONE]]),FALSE)</f>
        <v>1</v>
      </c>
      <c r="AF186" s="35" t="b">
        <f>IFERROR(OR(TRACK_TYPES[[#This Row],[TRACK_TYPE_NARROW_GAUGE_RAILTYPE_OHLE]:[TRACK_TYPE_NARROW_GAUGE_RAILTYPE_NONE]]),FALSE)</f>
        <v>0</v>
      </c>
      <c r="AG186" s="35" t="b">
        <f>IFERROR(OR(TRACK_TYPES[[#This Row],[TRACK_TYPE_BROAD_GAUGE_RAILTYPE_OHLE]:[TRACK_TYPE_BROAD_GAUGE_RAILTYPE_NONE]]),FALSE)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2818</v>
      </c>
      <c r="B187" s="37" t="str">
        <f>INDEX(CONTROL[ENGLISH],MATCH(PROPERTIES[[#This Row],[VEHIDCODE]],CONTROL[VEHIDCODE],0))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5" t="b">
        <f>IFERROR(OR(TRACK_TYPES[[#This Row],[TRACK_TYPE_STANDARD_GAUGE_RAILTYPE_OHLE]:[TRACK_TYPE_STANDARD_GAUGE_RAILTYPE_NONE]]),FALSE)</f>
        <v>1</v>
      </c>
      <c r="AF187" s="35" t="b">
        <f>IFERROR(OR(TRACK_TYPES[[#This Row],[TRACK_TYPE_NARROW_GAUGE_RAILTYPE_OHLE]:[TRACK_TYPE_NARROW_GAUGE_RAILTYPE_NONE]]),FALSE)</f>
        <v>0</v>
      </c>
      <c r="AG187" s="35" t="b">
        <f>IFERROR(OR(TRACK_TYPES[[#This Row],[TRACK_TYPE_BROAD_GAUGE_RAILTYPE_OHLE]:[TRACK_TYPE_BROAD_GAUGE_RAILTYPE_NONE]]),FALSE)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2819</v>
      </c>
      <c r="B188" s="37" t="str">
        <f>INDEX(CONTROL[ENGLISH],MATCH(PROPERTIES[[#This Row],[VEHIDCODE]],CONTROL[VEHIDCODE],0))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5" t="b">
        <f>IFERROR(OR(TRACK_TYPES[[#This Row],[TRACK_TYPE_STANDARD_GAUGE_RAILTYPE_OHLE]:[TRACK_TYPE_STANDARD_GAUGE_RAILTYPE_NONE]]),FALSE)</f>
        <v>1</v>
      </c>
      <c r="AF188" s="35" t="b">
        <f>IFERROR(OR(TRACK_TYPES[[#This Row],[TRACK_TYPE_NARROW_GAUGE_RAILTYPE_OHLE]:[TRACK_TYPE_NARROW_GAUGE_RAILTYPE_NONE]]),FALSE)</f>
        <v>1</v>
      </c>
      <c r="AG188" s="35" t="b">
        <f>IFERROR(OR(TRACK_TYPES[[#This Row],[TRACK_TYPE_BROAD_GAUGE_RAILTYPE_OHLE]:[TRACK_TYPE_BROAD_GAUGE_RAILTYPE_NONE]]),FALSE)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2820</v>
      </c>
      <c r="B189" s="37" t="str">
        <f>INDEX(CONTROL[ENGLISH],MATCH(PROPERTIES[[#This Row],[VEHIDCODE]],CONTROL[VEHIDCODE],0))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5" t="b">
        <f>IFERROR(OR(TRACK_TYPES[[#This Row],[TRACK_TYPE_STANDARD_GAUGE_RAILTYPE_OHLE]:[TRACK_TYPE_STANDARD_GAUGE_RAILTYPE_NONE]]),FALSE)</f>
        <v>1</v>
      </c>
      <c r="AF189" s="35" t="b">
        <f>IFERROR(OR(TRACK_TYPES[[#This Row],[TRACK_TYPE_NARROW_GAUGE_RAILTYPE_OHLE]:[TRACK_TYPE_NARROW_GAUGE_RAILTYPE_NONE]]),FALSE)</f>
        <v>0</v>
      </c>
      <c r="AG189" s="35" t="b">
        <f>IFERROR(OR(TRACK_TYPES[[#This Row],[TRACK_TYPE_BROAD_GAUGE_RAILTYPE_OHLE]:[TRACK_TYPE_BROAD_GAUGE_RAILTYPE_NONE]]),FALSE)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2821</v>
      </c>
      <c r="B190" s="37" t="str">
        <f>INDEX(CONTROL[ENGLISH],MATCH(PROPERTIES[[#This Row],[VEHIDCODE]],CONTROL[VEHIDCODE],0))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5" t="b">
        <f>IFERROR(OR(TRACK_TYPES[[#This Row],[TRACK_TYPE_STANDARD_GAUGE_RAILTYPE_OHLE]:[TRACK_TYPE_STANDARD_GAUGE_RAILTYPE_NONE]]),FALSE)</f>
        <v>1</v>
      </c>
      <c r="AF190" s="35" t="b">
        <f>IFERROR(OR(TRACK_TYPES[[#This Row],[TRACK_TYPE_NARROW_GAUGE_RAILTYPE_OHLE]:[TRACK_TYPE_NARROW_GAUGE_RAILTYPE_NONE]]),FALSE)</f>
        <v>0</v>
      </c>
      <c r="AG190" s="35" t="b">
        <f>IFERROR(OR(TRACK_TYPES[[#This Row],[TRACK_TYPE_BROAD_GAUGE_RAILTYPE_OHLE]:[TRACK_TYPE_BROAD_GAUGE_RAILTYPE_NONE]]),FALSE)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3431</v>
      </c>
      <c r="B191" s="37" t="str">
        <f>INDEX(CONTROL[ENGLISH],MATCH(PROPERTIES[[#This Row],[VEHIDCODE]],CONTROL[VEHIDCODE],0))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5" t="b">
        <f>IFERROR(OR(TRACK_TYPES[[#This Row],[TRACK_TYPE_STANDARD_GAUGE_RAILTYPE_OHLE]:[TRACK_TYPE_STANDARD_GAUGE_RAILTYPE_NONE]]),FALSE)</f>
        <v>1</v>
      </c>
      <c r="AF191" s="35" t="b">
        <f>IFERROR(OR(TRACK_TYPES[[#This Row],[TRACK_TYPE_NARROW_GAUGE_RAILTYPE_OHLE]:[TRACK_TYPE_NARROW_GAUGE_RAILTYPE_NONE]]),FALSE)</f>
        <v>0</v>
      </c>
      <c r="AG191" s="35" t="b">
        <f>IFERROR(OR(TRACK_TYPES[[#This Row],[TRACK_TYPE_BROAD_GAUGE_RAILTYPE_OHLE]:[TRACK_TYPE_BROAD_GAUGE_RAILTYPE_NONE]]),FALSE)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3432</v>
      </c>
      <c r="B192" s="37" t="str">
        <f>INDEX(CONTROL[ENGLISH],MATCH(PROPERTIES[[#This Row],[VEHIDCODE]],CONTROL[VEHIDCODE],0))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5" t="b">
        <f>IFERROR(OR(TRACK_TYPES[[#This Row],[TRACK_TYPE_STANDARD_GAUGE_RAILTYPE_OHLE]:[TRACK_TYPE_STANDARD_GAUGE_RAILTYPE_NONE]]),FALSE)</f>
        <v>1</v>
      </c>
      <c r="AF192" s="35" t="b">
        <f>IFERROR(OR(TRACK_TYPES[[#This Row],[TRACK_TYPE_NARROW_GAUGE_RAILTYPE_OHLE]:[TRACK_TYPE_NARROW_GAUGE_RAILTYPE_NONE]]),FALSE)</f>
        <v>0</v>
      </c>
      <c r="AG192" s="35" t="b">
        <f>IFERROR(OR(TRACK_TYPES[[#This Row],[TRACK_TYPE_BROAD_GAUGE_RAILTYPE_OHLE]:[TRACK_TYPE_BROAD_GAUGE_RAILTYPE_NONE]]),FALSE)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2822</v>
      </c>
      <c r="B193" s="37" t="str">
        <f>INDEX(CONTROL[ENGLISH],MATCH(PROPERTIES[[#This Row],[VEHIDCODE]],CONTROL[VEHIDCODE],0))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5" t="b">
        <f>IFERROR(OR(TRACK_TYPES[[#This Row],[TRACK_TYPE_STANDARD_GAUGE_RAILTYPE_OHLE]:[TRACK_TYPE_STANDARD_GAUGE_RAILTYPE_NONE]]),FALSE)</f>
        <v>1</v>
      </c>
      <c r="AF193" s="35" t="b">
        <f>IFERROR(OR(TRACK_TYPES[[#This Row],[TRACK_TYPE_NARROW_GAUGE_RAILTYPE_OHLE]:[TRACK_TYPE_NARROW_GAUGE_RAILTYPE_NONE]]),FALSE)</f>
        <v>0</v>
      </c>
      <c r="AG193" s="35" t="b">
        <f>IFERROR(OR(TRACK_TYPES[[#This Row],[TRACK_TYPE_BROAD_GAUGE_RAILTYPE_OHLE]:[TRACK_TYPE_BROAD_GAUGE_RAILTYPE_NONE]]),FALSE)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2823</v>
      </c>
      <c r="B194" s="37" t="str">
        <f>INDEX(CONTROL[ENGLISH],MATCH(PROPERTIES[[#This Row],[VEHIDCODE]],CONTROL[VEHIDCODE],0))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5" t="b">
        <f>IFERROR(OR(TRACK_TYPES[[#This Row],[TRACK_TYPE_STANDARD_GAUGE_RAILTYPE_OHLE]:[TRACK_TYPE_STANDARD_GAUGE_RAILTYPE_NONE]]),FALSE)</f>
        <v>1</v>
      </c>
      <c r="AF194" s="35" t="b">
        <f>IFERROR(OR(TRACK_TYPES[[#This Row],[TRACK_TYPE_NARROW_GAUGE_RAILTYPE_OHLE]:[TRACK_TYPE_NARROW_GAUGE_RAILTYPE_NONE]]),FALSE)</f>
        <v>0</v>
      </c>
      <c r="AG194" s="35" t="b">
        <f>IFERROR(OR(TRACK_TYPES[[#This Row],[TRACK_TYPE_BROAD_GAUGE_RAILTYPE_OHLE]:[TRACK_TYPE_BROAD_GAUGE_RAILTYPE_NONE]]),FALSE)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2824</v>
      </c>
      <c r="B195" s="37" t="str">
        <f>INDEX(CONTROL[ENGLISH],MATCH(PROPERTIES[[#This Row],[VEHIDCODE]],CONTROL[VEHIDCODE],0))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5" t="b">
        <f>IFERROR(OR(TRACK_TYPES[[#This Row],[TRACK_TYPE_STANDARD_GAUGE_RAILTYPE_OHLE]:[TRACK_TYPE_STANDARD_GAUGE_RAILTYPE_NONE]]),FALSE)</f>
        <v>1</v>
      </c>
      <c r="AF195" s="35" t="b">
        <f>IFERROR(OR(TRACK_TYPES[[#This Row],[TRACK_TYPE_NARROW_GAUGE_RAILTYPE_OHLE]:[TRACK_TYPE_NARROW_GAUGE_RAILTYPE_NONE]]),FALSE)</f>
        <v>0</v>
      </c>
      <c r="AG195" s="35" t="b">
        <f>IFERROR(OR(TRACK_TYPES[[#This Row],[TRACK_TYPE_BROAD_GAUGE_RAILTYPE_OHLE]:[TRACK_TYPE_BROAD_GAUGE_RAILTYPE_NONE]]),FALSE)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2825</v>
      </c>
      <c r="B196" s="37" t="str">
        <f>INDEX(CONTROL[ENGLISH],MATCH(PROPERTIES[[#This Row],[VEHIDCODE]],CONTROL[VEHIDCODE],0))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5" t="b">
        <f>IFERROR(OR(TRACK_TYPES[[#This Row],[TRACK_TYPE_STANDARD_GAUGE_RAILTYPE_OHLE]:[TRACK_TYPE_STANDARD_GAUGE_RAILTYPE_NONE]]),FALSE)</f>
        <v>0</v>
      </c>
      <c r="AF196" s="35" t="b">
        <f>IFERROR(OR(TRACK_TYPES[[#This Row],[TRACK_TYPE_NARROW_GAUGE_RAILTYPE_OHLE]:[TRACK_TYPE_NARROW_GAUGE_RAILTYPE_NONE]]),FALSE)</f>
        <v>0</v>
      </c>
      <c r="AG196" s="35" t="b">
        <f>IFERROR(OR(TRACK_TYPES[[#This Row],[TRACK_TYPE_BROAD_GAUGE_RAILTYPE_OHLE]:[TRACK_TYPE_BROAD_GAUGE_RAILTYPE_NONE]]),FALSE)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2826</v>
      </c>
      <c r="B197" s="37" t="str">
        <f>INDEX(CONTROL[ENGLISH],MATCH(PROPERTIES[[#This Row],[VEHIDCODE]],CONTROL[VEHIDCODE],0))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5" t="b">
        <f>IFERROR(OR(TRACK_TYPES[[#This Row],[TRACK_TYPE_STANDARD_GAUGE_RAILTYPE_OHLE]:[TRACK_TYPE_STANDARD_GAUGE_RAILTYPE_NONE]]),FALSE)</f>
        <v>1</v>
      </c>
      <c r="AF197" s="35" t="b">
        <f>IFERROR(OR(TRACK_TYPES[[#This Row],[TRACK_TYPE_NARROW_GAUGE_RAILTYPE_OHLE]:[TRACK_TYPE_NARROW_GAUGE_RAILTYPE_NONE]]),FALSE)</f>
        <v>0</v>
      </c>
      <c r="AG197" s="35" t="b">
        <f>IFERROR(OR(TRACK_TYPES[[#This Row],[TRACK_TYPE_BROAD_GAUGE_RAILTYPE_OHLE]:[TRACK_TYPE_BROAD_GAUGE_RAILTYPE_NONE]]),FALSE)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2827</v>
      </c>
      <c r="B198" s="37" t="str">
        <f>INDEX(CONTROL[ENGLISH],MATCH(PROPERTIES[[#This Row],[VEHIDCODE]],CONTROL[VEHIDCODE],0))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5" t="b">
        <f>IFERROR(OR(TRACK_TYPES[[#This Row],[TRACK_TYPE_STANDARD_GAUGE_RAILTYPE_OHLE]:[TRACK_TYPE_STANDARD_GAUGE_RAILTYPE_NONE]]),FALSE)</f>
        <v>1</v>
      </c>
      <c r="AF198" s="35" t="b">
        <f>IFERROR(OR(TRACK_TYPES[[#This Row],[TRACK_TYPE_NARROW_GAUGE_RAILTYPE_OHLE]:[TRACK_TYPE_NARROW_GAUGE_RAILTYPE_NONE]]),FALSE)</f>
        <v>1</v>
      </c>
      <c r="AG198" s="35" t="b">
        <f>IFERROR(OR(TRACK_TYPES[[#This Row],[TRACK_TYPE_BROAD_GAUGE_RAILTYPE_OHLE]:[TRACK_TYPE_BROAD_GAUGE_RAILTYPE_NONE]]),FALSE)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2828</v>
      </c>
      <c r="B199" s="37" t="str">
        <f>INDEX(CONTROL[ENGLISH],MATCH(PROPERTIES[[#This Row],[VEHIDCODE]],CONTROL[VEHIDCODE],0))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5" t="b">
        <f>IFERROR(OR(TRACK_TYPES[[#This Row],[TRACK_TYPE_STANDARD_GAUGE_RAILTYPE_OHLE]:[TRACK_TYPE_STANDARD_GAUGE_RAILTYPE_NONE]]),FALSE)</f>
        <v>1</v>
      </c>
      <c r="AF199" s="35" t="b">
        <f>IFERROR(OR(TRACK_TYPES[[#This Row],[TRACK_TYPE_NARROW_GAUGE_RAILTYPE_OHLE]:[TRACK_TYPE_NARROW_GAUGE_RAILTYPE_NONE]]),FALSE)</f>
        <v>1</v>
      </c>
      <c r="AG199" s="35" t="b">
        <f>IFERROR(OR(TRACK_TYPES[[#This Row],[TRACK_TYPE_BROAD_GAUGE_RAILTYPE_OHLE]:[TRACK_TYPE_BROAD_GAUGE_RAILTYPE_NONE]]),FALSE)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2829</v>
      </c>
      <c r="B200" s="37" t="str">
        <f>INDEX(CONTROL[ENGLISH],MATCH(PROPERTIES[[#This Row],[VEHIDCODE]],CONTROL[VEHIDCODE],0))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5" t="b">
        <f>IFERROR(OR(TRACK_TYPES[[#This Row],[TRACK_TYPE_STANDARD_GAUGE_RAILTYPE_OHLE]:[TRACK_TYPE_STANDARD_GAUGE_RAILTYPE_NONE]]),FALSE)</f>
        <v>0</v>
      </c>
      <c r="AF200" s="35" t="b">
        <f>IFERROR(OR(TRACK_TYPES[[#This Row],[TRACK_TYPE_NARROW_GAUGE_RAILTYPE_OHLE]:[TRACK_TYPE_NARROW_GAUGE_RAILTYPE_NONE]]),FALSE)</f>
        <v>0</v>
      </c>
      <c r="AG200" s="35" t="b">
        <f>IFERROR(OR(TRACK_TYPES[[#This Row],[TRACK_TYPE_BROAD_GAUGE_RAILTYPE_OHLE]:[TRACK_TYPE_BROAD_GAUGE_RAILTYPE_NONE]]),FALSE)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2830</v>
      </c>
      <c r="B201" s="37" t="str">
        <f>INDEX(CONTROL[ENGLISH],MATCH(PROPERTIES[[#This Row],[VEHIDCODE]],CONTROL[VEHIDCODE],0))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5" t="b">
        <f>IFERROR(OR(TRACK_TYPES[[#This Row],[TRACK_TYPE_STANDARD_GAUGE_RAILTYPE_OHLE]:[TRACK_TYPE_STANDARD_GAUGE_RAILTYPE_NONE]]),FALSE)</f>
        <v>1</v>
      </c>
      <c r="AF201" s="35" t="b">
        <f>IFERROR(OR(TRACK_TYPES[[#This Row],[TRACK_TYPE_NARROW_GAUGE_RAILTYPE_OHLE]:[TRACK_TYPE_NARROW_GAUGE_RAILTYPE_NONE]]),FALSE)</f>
        <v>0</v>
      </c>
      <c r="AG201" s="35" t="b">
        <f>IFERROR(OR(TRACK_TYPES[[#This Row],[TRACK_TYPE_BROAD_GAUGE_RAILTYPE_OHLE]:[TRACK_TYPE_BROAD_GAUGE_RAILTYPE_NONE]]),FALSE)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2831</v>
      </c>
      <c r="B202" s="37" t="str">
        <f>INDEX(CONTROL[ENGLISH],MATCH(PROPERTIES[[#This Row],[VEHIDCODE]],CONTROL[VEHIDCODE],0))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5" t="b">
        <f>IFERROR(OR(TRACK_TYPES[[#This Row],[TRACK_TYPE_STANDARD_GAUGE_RAILTYPE_OHLE]:[TRACK_TYPE_STANDARD_GAUGE_RAILTYPE_NONE]]),FALSE)</f>
        <v>1</v>
      </c>
      <c r="AF202" s="35" t="b">
        <f>IFERROR(OR(TRACK_TYPES[[#This Row],[TRACK_TYPE_NARROW_GAUGE_RAILTYPE_OHLE]:[TRACK_TYPE_NARROW_GAUGE_RAILTYPE_NONE]]),FALSE)</f>
        <v>0</v>
      </c>
      <c r="AG202" s="35" t="b">
        <f>IFERROR(OR(TRACK_TYPES[[#This Row],[TRACK_TYPE_BROAD_GAUGE_RAILTYPE_OHLE]:[TRACK_TYPE_BROAD_GAUGE_RAILTYPE_NONE]]),FALSE)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2832</v>
      </c>
      <c r="B203" s="37" t="str">
        <f>INDEX(CONTROL[ENGLISH],MATCH(PROPERTIES[[#This Row],[VEHIDCODE]],CONTROL[VEHIDCODE],0))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5" t="b">
        <f>IFERROR(OR(TRACK_TYPES[[#This Row],[TRACK_TYPE_STANDARD_GAUGE_RAILTYPE_OHLE]:[TRACK_TYPE_STANDARD_GAUGE_RAILTYPE_NONE]]),FALSE)</f>
        <v>0</v>
      </c>
      <c r="AF203" s="35" t="b">
        <f>IFERROR(OR(TRACK_TYPES[[#This Row],[TRACK_TYPE_NARROW_GAUGE_RAILTYPE_OHLE]:[TRACK_TYPE_NARROW_GAUGE_RAILTYPE_NONE]]),FALSE)</f>
        <v>0</v>
      </c>
      <c r="AG203" s="35" t="b">
        <f>IFERROR(OR(TRACK_TYPES[[#This Row],[TRACK_TYPE_BROAD_GAUGE_RAILTYPE_OHLE]:[TRACK_TYPE_BROAD_GAUGE_RAILTYPE_NONE]]),FALSE)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2833</v>
      </c>
      <c r="B204" s="37" t="str">
        <f>INDEX(CONTROL[ENGLISH],MATCH(PROPERTIES[[#This Row],[VEHIDCODE]],CONTROL[VEHIDCODE],0))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5" t="b">
        <f>IFERROR(OR(TRACK_TYPES[[#This Row],[TRACK_TYPE_STANDARD_GAUGE_RAILTYPE_OHLE]:[TRACK_TYPE_STANDARD_GAUGE_RAILTYPE_NONE]]),FALSE)</f>
        <v>1</v>
      </c>
      <c r="AF204" s="35" t="b">
        <f>IFERROR(OR(TRACK_TYPES[[#This Row],[TRACK_TYPE_NARROW_GAUGE_RAILTYPE_OHLE]:[TRACK_TYPE_NARROW_GAUGE_RAILTYPE_NONE]]),FALSE)</f>
        <v>0</v>
      </c>
      <c r="AG204" s="35" t="b">
        <f>IFERROR(OR(TRACK_TYPES[[#This Row],[TRACK_TYPE_BROAD_GAUGE_RAILTYPE_OHLE]:[TRACK_TYPE_BROAD_GAUGE_RAILTYPE_NONE]]),FALSE)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2834</v>
      </c>
      <c r="B205" s="37" t="str">
        <f>INDEX(CONTROL[ENGLISH],MATCH(PROPERTIES[[#This Row],[VEHIDCODE]],CONTROL[VEHIDCODE],0))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5" t="b">
        <f>IFERROR(OR(TRACK_TYPES[[#This Row],[TRACK_TYPE_STANDARD_GAUGE_RAILTYPE_OHLE]:[TRACK_TYPE_STANDARD_GAUGE_RAILTYPE_NONE]]),FALSE)</f>
        <v>1</v>
      </c>
      <c r="AF205" s="35" t="b">
        <f>IFERROR(OR(TRACK_TYPES[[#This Row],[TRACK_TYPE_NARROW_GAUGE_RAILTYPE_OHLE]:[TRACK_TYPE_NARROW_GAUGE_RAILTYPE_NONE]]),FALSE)</f>
        <v>0</v>
      </c>
      <c r="AG205" s="35" t="b">
        <f>IFERROR(OR(TRACK_TYPES[[#This Row],[TRACK_TYPE_BROAD_GAUGE_RAILTYPE_OHLE]:[TRACK_TYPE_BROAD_GAUGE_RAILTYPE_NONE]]),FALSE)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2835</v>
      </c>
      <c r="B206" s="37" t="str">
        <f>INDEX(CONTROL[ENGLISH],MATCH(PROPERTIES[[#This Row],[VEHIDCODE]],CONTROL[VEHIDCODE],0))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5" t="b">
        <f>IFERROR(OR(TRACK_TYPES[[#This Row],[TRACK_TYPE_STANDARD_GAUGE_RAILTYPE_OHLE]:[TRACK_TYPE_STANDARD_GAUGE_RAILTYPE_NONE]]),FALSE)</f>
        <v>0</v>
      </c>
      <c r="AF206" s="35" t="b">
        <f>IFERROR(OR(TRACK_TYPES[[#This Row],[TRACK_TYPE_NARROW_GAUGE_RAILTYPE_OHLE]:[TRACK_TYPE_NARROW_GAUGE_RAILTYPE_NONE]]),FALSE)</f>
        <v>0</v>
      </c>
      <c r="AG206" s="35" t="b">
        <f>IFERROR(OR(TRACK_TYPES[[#This Row],[TRACK_TYPE_BROAD_GAUGE_RAILTYPE_OHLE]:[TRACK_TYPE_BROAD_GAUGE_RAILTYPE_NONE]]),FALSE)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2836</v>
      </c>
      <c r="B207" s="37" t="str">
        <f>INDEX(CONTROL[ENGLISH],MATCH(PROPERTIES[[#This Row],[VEHIDCODE]],CONTROL[VEHIDCODE],0))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5" t="b">
        <f>IFERROR(OR(TRACK_TYPES[[#This Row],[TRACK_TYPE_STANDARD_GAUGE_RAILTYPE_OHLE]:[TRACK_TYPE_STANDARD_GAUGE_RAILTYPE_NONE]]),FALSE)</f>
        <v>1</v>
      </c>
      <c r="AF207" s="35" t="b">
        <f>IFERROR(OR(TRACK_TYPES[[#This Row],[TRACK_TYPE_NARROW_GAUGE_RAILTYPE_OHLE]:[TRACK_TYPE_NARROW_GAUGE_RAILTYPE_NONE]]),FALSE)</f>
        <v>0</v>
      </c>
      <c r="AG207" s="35" t="b">
        <f>IFERROR(OR(TRACK_TYPES[[#This Row],[TRACK_TYPE_BROAD_GAUGE_RAILTYPE_OHLE]:[TRACK_TYPE_BROAD_GAUGE_RAILTYPE_NONE]]),FALSE)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2837</v>
      </c>
      <c r="B208" s="37" t="str">
        <f>INDEX(CONTROL[ENGLISH],MATCH(PROPERTIES[[#This Row],[VEHIDCODE]],CONTROL[VEHIDCODE],0))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5" t="b">
        <f>IFERROR(OR(TRACK_TYPES[[#This Row],[TRACK_TYPE_STANDARD_GAUGE_RAILTYPE_OHLE]:[TRACK_TYPE_STANDARD_GAUGE_RAILTYPE_NONE]]),FALSE)</f>
        <v>1</v>
      </c>
      <c r="AF208" s="35" t="b">
        <f>IFERROR(OR(TRACK_TYPES[[#This Row],[TRACK_TYPE_NARROW_GAUGE_RAILTYPE_OHLE]:[TRACK_TYPE_NARROW_GAUGE_RAILTYPE_NONE]]),FALSE)</f>
        <v>0</v>
      </c>
      <c r="AG208" s="35" t="b">
        <f>IFERROR(OR(TRACK_TYPES[[#This Row],[TRACK_TYPE_BROAD_GAUGE_RAILTYPE_OHLE]:[TRACK_TYPE_BROAD_GAUGE_RAILTYPE_NONE]]),FALSE)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2838</v>
      </c>
      <c r="B209" s="37" t="str">
        <f>INDEX(CONTROL[ENGLISH],MATCH(PROPERTIES[[#This Row],[VEHIDCODE]],CONTROL[VEHIDCODE],0))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5" t="b">
        <f>IFERROR(OR(TRACK_TYPES[[#This Row],[TRACK_TYPE_STANDARD_GAUGE_RAILTYPE_OHLE]:[TRACK_TYPE_STANDARD_GAUGE_RAILTYPE_NONE]]),FALSE)</f>
        <v>1</v>
      </c>
      <c r="AF209" s="35" t="b">
        <f>IFERROR(OR(TRACK_TYPES[[#This Row],[TRACK_TYPE_NARROW_GAUGE_RAILTYPE_OHLE]:[TRACK_TYPE_NARROW_GAUGE_RAILTYPE_NONE]]),FALSE)</f>
        <v>0</v>
      </c>
      <c r="AG209" s="35" t="b">
        <f>IFERROR(OR(TRACK_TYPES[[#This Row],[TRACK_TYPE_BROAD_GAUGE_RAILTYPE_OHLE]:[TRACK_TYPE_BROAD_GAUGE_RAILTYPE_NONE]]),FALSE)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2839</v>
      </c>
      <c r="B210" s="37" t="str">
        <f>INDEX(CONTROL[ENGLISH],MATCH(PROPERTIES[[#This Row],[VEHIDCODE]],CONTROL[VEHIDCODE],0))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5" t="b">
        <f>IFERROR(OR(TRACK_TYPES[[#This Row],[TRACK_TYPE_STANDARD_GAUGE_RAILTYPE_OHLE]:[TRACK_TYPE_STANDARD_GAUGE_RAILTYPE_NONE]]),FALSE)</f>
        <v>1</v>
      </c>
      <c r="AF210" s="35" t="b">
        <f>IFERROR(OR(TRACK_TYPES[[#This Row],[TRACK_TYPE_NARROW_GAUGE_RAILTYPE_OHLE]:[TRACK_TYPE_NARROW_GAUGE_RAILTYPE_NONE]]),FALSE)</f>
        <v>0</v>
      </c>
      <c r="AG210" s="35" t="b">
        <f>IFERROR(OR(TRACK_TYPES[[#This Row],[TRACK_TYPE_BROAD_GAUGE_RAILTYPE_OHLE]:[TRACK_TYPE_BROAD_GAUGE_RAILTYPE_NONE]]),FALSE)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2840</v>
      </c>
      <c r="B211" s="37" t="str">
        <f>INDEX(CONTROL[ENGLISH],MATCH(PROPERTIES[[#This Row],[VEHIDCODE]],CONTROL[VEHIDCODE],0))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5" t="b">
        <f>IFERROR(OR(TRACK_TYPES[[#This Row],[TRACK_TYPE_STANDARD_GAUGE_RAILTYPE_OHLE]:[TRACK_TYPE_STANDARD_GAUGE_RAILTYPE_NONE]]),FALSE)</f>
        <v>0</v>
      </c>
      <c r="AF211" s="35" t="b">
        <f>IFERROR(OR(TRACK_TYPES[[#This Row],[TRACK_TYPE_NARROW_GAUGE_RAILTYPE_OHLE]:[TRACK_TYPE_NARROW_GAUGE_RAILTYPE_NONE]]),FALSE)</f>
        <v>1</v>
      </c>
      <c r="AG211" s="35" t="b">
        <f>IFERROR(OR(TRACK_TYPES[[#This Row],[TRACK_TYPE_BROAD_GAUGE_RAILTYPE_OHLE]:[TRACK_TYPE_BROAD_GAUGE_RAILTYPE_NONE]]),FALSE)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2841</v>
      </c>
      <c r="B212" s="37" t="str">
        <f>INDEX(CONTROL[ENGLISH],MATCH(PROPERTIES[[#This Row],[VEHIDCODE]],CONTROL[VEHIDCODE],0))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5" t="b">
        <f>IFERROR(OR(TRACK_TYPES[[#This Row],[TRACK_TYPE_STANDARD_GAUGE_RAILTYPE_OHLE]:[TRACK_TYPE_STANDARD_GAUGE_RAILTYPE_NONE]]),FALSE)</f>
        <v>1</v>
      </c>
      <c r="AF212" s="35" t="b">
        <f>IFERROR(OR(TRACK_TYPES[[#This Row],[TRACK_TYPE_NARROW_GAUGE_RAILTYPE_OHLE]:[TRACK_TYPE_NARROW_GAUGE_RAILTYPE_NONE]]),FALSE)</f>
        <v>1</v>
      </c>
      <c r="AG212" s="35" t="b">
        <f>IFERROR(OR(TRACK_TYPES[[#This Row],[TRACK_TYPE_BROAD_GAUGE_RAILTYPE_OHLE]:[TRACK_TYPE_BROAD_GAUGE_RAILTYPE_NONE]]),FALSE)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2842</v>
      </c>
      <c r="B213" s="37" t="str">
        <f>INDEX(CONTROL[ENGLISH],MATCH(PROPERTIES[[#This Row],[VEHIDCODE]],CONTROL[VEHIDCODE],0))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5" t="b">
        <f>IFERROR(OR(TRACK_TYPES[[#This Row],[TRACK_TYPE_STANDARD_GAUGE_RAILTYPE_OHLE]:[TRACK_TYPE_STANDARD_GAUGE_RAILTYPE_NONE]]),FALSE)</f>
        <v>1</v>
      </c>
      <c r="AF213" s="35" t="b">
        <f>IFERROR(OR(TRACK_TYPES[[#This Row],[TRACK_TYPE_NARROW_GAUGE_RAILTYPE_OHLE]:[TRACK_TYPE_NARROW_GAUGE_RAILTYPE_NONE]]),FALSE)</f>
        <v>0</v>
      </c>
      <c r="AG213" s="35" t="b">
        <f>IFERROR(OR(TRACK_TYPES[[#This Row],[TRACK_TYPE_BROAD_GAUGE_RAILTYPE_OHLE]:[TRACK_TYPE_BROAD_GAUGE_RAILTYPE_NONE]]),FALSE)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2843</v>
      </c>
      <c r="B214" s="37" t="str">
        <f>INDEX(CONTROL[ENGLISH],MATCH(PROPERTIES[[#This Row],[VEHIDCODE]],CONTROL[VEHIDCODE],0))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5" t="b">
        <f>IFERROR(OR(TRACK_TYPES[[#This Row],[TRACK_TYPE_STANDARD_GAUGE_RAILTYPE_OHLE]:[TRACK_TYPE_STANDARD_GAUGE_RAILTYPE_NONE]]),FALSE)</f>
        <v>1</v>
      </c>
      <c r="AF214" s="35" t="b">
        <f>IFERROR(OR(TRACK_TYPES[[#This Row],[TRACK_TYPE_NARROW_GAUGE_RAILTYPE_OHLE]:[TRACK_TYPE_NARROW_GAUGE_RAILTYPE_NONE]]),FALSE)</f>
        <v>0</v>
      </c>
      <c r="AG214" s="35" t="b">
        <f>IFERROR(OR(TRACK_TYPES[[#This Row],[TRACK_TYPE_BROAD_GAUGE_RAILTYPE_OHLE]:[TRACK_TYPE_BROAD_GAUGE_RAILTYPE_NONE]]),FALSE)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2844</v>
      </c>
      <c r="B215" s="37" t="str">
        <f>INDEX(CONTROL[ENGLISH],MATCH(PROPERTIES[[#This Row],[VEHIDCODE]],CONTROL[VEHIDCODE],0))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5" t="b">
        <f>IFERROR(OR(TRACK_TYPES[[#This Row],[TRACK_TYPE_STANDARD_GAUGE_RAILTYPE_OHLE]:[TRACK_TYPE_STANDARD_GAUGE_RAILTYPE_NONE]]),FALSE)</f>
        <v>1</v>
      </c>
      <c r="AF215" s="35" t="b">
        <f>IFERROR(OR(TRACK_TYPES[[#This Row],[TRACK_TYPE_NARROW_GAUGE_RAILTYPE_OHLE]:[TRACK_TYPE_NARROW_GAUGE_RAILTYPE_NONE]]),FALSE)</f>
        <v>0</v>
      </c>
      <c r="AG215" s="35" t="b">
        <f>IFERROR(OR(TRACK_TYPES[[#This Row],[TRACK_TYPE_BROAD_GAUGE_RAILTYPE_OHLE]:[TRACK_TYPE_BROAD_GAUGE_RAILTYPE_NONE]]),FALSE)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2845</v>
      </c>
      <c r="B216" s="37" t="str">
        <f>INDEX(CONTROL[ENGLISH],MATCH(PROPERTIES[[#This Row],[VEHIDCODE]],CONTROL[VEHIDCODE],0))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5" t="b">
        <f>IFERROR(OR(TRACK_TYPES[[#This Row],[TRACK_TYPE_STANDARD_GAUGE_RAILTYPE_OHLE]:[TRACK_TYPE_STANDARD_GAUGE_RAILTYPE_NONE]]),FALSE)</f>
        <v>1</v>
      </c>
      <c r="AF216" s="35" t="b">
        <f>IFERROR(OR(TRACK_TYPES[[#This Row],[TRACK_TYPE_NARROW_GAUGE_RAILTYPE_OHLE]:[TRACK_TYPE_NARROW_GAUGE_RAILTYPE_NONE]]),FALSE)</f>
        <v>0</v>
      </c>
      <c r="AG216" s="35" t="b">
        <f>IFERROR(OR(TRACK_TYPES[[#This Row],[TRACK_TYPE_BROAD_GAUGE_RAILTYPE_OHLE]:[TRACK_TYPE_BROAD_GAUGE_RAILTYPE_NONE]]),FALSE)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2846</v>
      </c>
      <c r="B217" s="37" t="str">
        <f>INDEX(CONTROL[ENGLISH],MATCH(PROPERTIES[[#This Row],[VEHIDCODE]],CONTROL[VEHIDCODE],0))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5" t="b">
        <f>IFERROR(OR(TRACK_TYPES[[#This Row],[TRACK_TYPE_STANDARD_GAUGE_RAILTYPE_OHLE]:[TRACK_TYPE_STANDARD_GAUGE_RAILTYPE_NONE]]),FALSE)</f>
        <v>1</v>
      </c>
      <c r="AF217" s="35" t="b">
        <f>IFERROR(OR(TRACK_TYPES[[#This Row],[TRACK_TYPE_NARROW_GAUGE_RAILTYPE_OHLE]:[TRACK_TYPE_NARROW_GAUGE_RAILTYPE_NONE]]),FALSE)</f>
        <v>0</v>
      </c>
      <c r="AG217" s="35" t="b">
        <f>IFERROR(OR(TRACK_TYPES[[#This Row],[TRACK_TYPE_BROAD_GAUGE_RAILTYPE_OHLE]:[TRACK_TYPE_BROAD_GAUGE_RAILTYPE_NONE]]),FALSE)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2847</v>
      </c>
      <c r="B218" s="37" t="str">
        <f>INDEX(CONTROL[ENGLISH],MATCH(PROPERTIES[[#This Row],[VEHIDCODE]],CONTROL[VEHIDCODE],0))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5" t="b">
        <f>IFERROR(OR(TRACK_TYPES[[#This Row],[TRACK_TYPE_STANDARD_GAUGE_RAILTYPE_OHLE]:[TRACK_TYPE_STANDARD_GAUGE_RAILTYPE_NONE]]),FALSE)</f>
        <v>0</v>
      </c>
      <c r="AF218" s="35" t="b">
        <f>IFERROR(OR(TRACK_TYPES[[#This Row],[TRACK_TYPE_NARROW_GAUGE_RAILTYPE_OHLE]:[TRACK_TYPE_NARROW_GAUGE_RAILTYPE_NONE]]),FALSE)</f>
        <v>0</v>
      </c>
      <c r="AG218" s="35" t="b">
        <f>IFERROR(OR(TRACK_TYPES[[#This Row],[TRACK_TYPE_BROAD_GAUGE_RAILTYPE_OHLE]:[TRACK_TYPE_BROAD_GAUGE_RAILTYPE_NONE]]),FALSE)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2848</v>
      </c>
      <c r="B219" s="37" t="str">
        <f>INDEX(CONTROL[ENGLISH],MATCH(PROPERTIES[[#This Row],[VEHIDCODE]],CONTROL[VEHIDCODE],0))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5" t="b">
        <f>IFERROR(OR(TRACK_TYPES[[#This Row],[TRACK_TYPE_STANDARD_GAUGE_RAILTYPE_OHLE]:[TRACK_TYPE_STANDARD_GAUGE_RAILTYPE_NONE]]),FALSE)</f>
        <v>0</v>
      </c>
      <c r="AF219" s="35" t="b">
        <f>IFERROR(OR(TRACK_TYPES[[#This Row],[TRACK_TYPE_NARROW_GAUGE_RAILTYPE_OHLE]:[TRACK_TYPE_NARROW_GAUGE_RAILTYPE_NONE]]),FALSE)</f>
        <v>0</v>
      </c>
      <c r="AG219" s="35" t="b">
        <f>IFERROR(OR(TRACK_TYPES[[#This Row],[TRACK_TYPE_BROAD_GAUGE_RAILTYPE_OHLE]:[TRACK_TYPE_BROAD_GAUGE_RAILTYPE_NONE]]),FALSE)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2849</v>
      </c>
      <c r="B220" s="37" t="str">
        <f>INDEX(CONTROL[ENGLISH],MATCH(PROPERTIES[[#This Row],[VEHIDCODE]],CONTROL[VEHIDCODE],0))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5" t="b">
        <f>IFERROR(OR(TRACK_TYPES[[#This Row],[TRACK_TYPE_STANDARD_GAUGE_RAILTYPE_OHLE]:[TRACK_TYPE_STANDARD_GAUGE_RAILTYPE_NONE]]),FALSE)</f>
        <v>0</v>
      </c>
      <c r="AF220" s="35" t="b">
        <f>IFERROR(OR(TRACK_TYPES[[#This Row],[TRACK_TYPE_NARROW_GAUGE_RAILTYPE_OHLE]:[TRACK_TYPE_NARROW_GAUGE_RAILTYPE_NONE]]),FALSE)</f>
        <v>0</v>
      </c>
      <c r="AG220" s="35" t="b">
        <f>IFERROR(OR(TRACK_TYPES[[#This Row],[TRACK_TYPE_BROAD_GAUGE_RAILTYPE_OHLE]:[TRACK_TYPE_BROAD_GAUGE_RAILTYPE_NONE]]),FALSE)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2850</v>
      </c>
      <c r="B221" s="37" t="str">
        <f>INDEX(CONTROL[ENGLISH],MATCH(PROPERTIES[[#This Row],[VEHIDCODE]],CONTROL[VEHIDCODE],0))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5" t="b">
        <f>IFERROR(OR(TRACK_TYPES[[#This Row],[TRACK_TYPE_STANDARD_GAUGE_RAILTYPE_OHLE]:[TRACK_TYPE_STANDARD_GAUGE_RAILTYPE_NONE]]),FALSE)</f>
        <v>1</v>
      </c>
      <c r="AF221" s="35" t="b">
        <f>IFERROR(OR(TRACK_TYPES[[#This Row],[TRACK_TYPE_NARROW_GAUGE_RAILTYPE_OHLE]:[TRACK_TYPE_NARROW_GAUGE_RAILTYPE_NONE]]),FALSE)</f>
        <v>0</v>
      </c>
      <c r="AG221" s="35" t="b">
        <f>IFERROR(OR(TRACK_TYPES[[#This Row],[TRACK_TYPE_BROAD_GAUGE_RAILTYPE_OHLE]:[TRACK_TYPE_BROAD_GAUGE_RAILTYPE_NONE]]),FALSE)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2851</v>
      </c>
      <c r="B222" s="37" t="str">
        <f>INDEX(CONTROL[ENGLISH],MATCH(PROPERTIES[[#This Row],[VEHIDCODE]],CONTROL[VEHIDCODE],0))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5" t="b">
        <f>IFERROR(OR(TRACK_TYPES[[#This Row],[TRACK_TYPE_STANDARD_GAUGE_RAILTYPE_OHLE]:[TRACK_TYPE_STANDARD_GAUGE_RAILTYPE_NONE]]),FALSE)</f>
        <v>1</v>
      </c>
      <c r="AF222" s="35" t="b">
        <f>IFERROR(OR(TRACK_TYPES[[#This Row],[TRACK_TYPE_NARROW_GAUGE_RAILTYPE_OHLE]:[TRACK_TYPE_NARROW_GAUGE_RAILTYPE_NONE]]),FALSE)</f>
        <v>0</v>
      </c>
      <c r="AG222" s="35" t="b">
        <f>IFERROR(OR(TRACK_TYPES[[#This Row],[TRACK_TYPE_BROAD_GAUGE_RAILTYPE_OHLE]:[TRACK_TYPE_BROAD_GAUGE_RAILTYPE_NONE]]),FALSE)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2852</v>
      </c>
      <c r="B223" s="37" t="str">
        <f>INDEX(CONTROL[ENGLISH],MATCH(PROPERTIES[[#This Row],[VEHIDCODE]],CONTROL[VEHIDCODE],0))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5" t="b">
        <f>IFERROR(OR(TRACK_TYPES[[#This Row],[TRACK_TYPE_STANDARD_GAUGE_RAILTYPE_OHLE]:[TRACK_TYPE_STANDARD_GAUGE_RAILTYPE_NONE]]),FALSE)</f>
        <v>1</v>
      </c>
      <c r="AF223" s="35" t="b">
        <f>IFERROR(OR(TRACK_TYPES[[#This Row],[TRACK_TYPE_NARROW_GAUGE_RAILTYPE_OHLE]:[TRACK_TYPE_NARROW_GAUGE_RAILTYPE_NONE]]),FALSE)</f>
        <v>0</v>
      </c>
      <c r="AG223" s="35" t="b">
        <f>IFERROR(OR(TRACK_TYPES[[#This Row],[TRACK_TYPE_BROAD_GAUGE_RAILTYPE_OHLE]:[TRACK_TYPE_BROAD_GAUGE_RAILTYPE_NONE]]),FALSE)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2853</v>
      </c>
      <c r="B224" s="37" t="str">
        <f>INDEX(CONTROL[ENGLISH],MATCH(PROPERTIES[[#This Row],[VEHIDCODE]],CONTROL[VEHIDCODE],0))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5" t="b">
        <f>IFERROR(OR(TRACK_TYPES[[#This Row],[TRACK_TYPE_STANDARD_GAUGE_RAILTYPE_OHLE]:[TRACK_TYPE_STANDARD_GAUGE_RAILTYPE_NONE]]),FALSE)</f>
        <v>1</v>
      </c>
      <c r="AF224" s="35" t="b">
        <f>IFERROR(OR(TRACK_TYPES[[#This Row],[TRACK_TYPE_NARROW_GAUGE_RAILTYPE_OHLE]:[TRACK_TYPE_NARROW_GAUGE_RAILTYPE_NONE]]),FALSE)</f>
        <v>1</v>
      </c>
      <c r="AG224" s="35" t="b">
        <f>IFERROR(OR(TRACK_TYPES[[#This Row],[TRACK_TYPE_BROAD_GAUGE_RAILTYPE_OHLE]:[TRACK_TYPE_BROAD_GAUGE_RAILTYPE_NONE]]),FALSE)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3434</v>
      </c>
      <c r="B225" s="37" t="str">
        <f>INDEX(CONTROL[ENGLISH],MATCH(PROPERTIES[[#This Row],[VEHIDCODE]],CONTROL[VEHIDCODE],0))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5" t="b">
        <f>IFERROR(OR(TRACK_TYPES[[#This Row],[TRACK_TYPE_STANDARD_GAUGE_RAILTYPE_OHLE]:[TRACK_TYPE_STANDARD_GAUGE_RAILTYPE_NONE]]),FALSE)</f>
        <v>1</v>
      </c>
      <c r="AF225" s="35" t="b">
        <f>IFERROR(OR(TRACK_TYPES[[#This Row],[TRACK_TYPE_NARROW_GAUGE_RAILTYPE_OHLE]:[TRACK_TYPE_NARROW_GAUGE_RAILTYPE_NONE]]),FALSE)</f>
        <v>0</v>
      </c>
      <c r="AG225" s="35" t="b">
        <f>IFERROR(OR(TRACK_TYPES[[#This Row],[TRACK_TYPE_BROAD_GAUGE_RAILTYPE_OHLE]:[TRACK_TYPE_BROAD_GAUGE_RAILTYPE_NONE]]),FALSE)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2854</v>
      </c>
      <c r="B226" s="37" t="str">
        <f>INDEX(CONTROL[ENGLISH],MATCH(PROPERTIES[[#This Row],[VEHIDCODE]],CONTROL[VEHIDCODE],0))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5" t="b">
        <f>IFERROR(OR(TRACK_TYPES[[#This Row],[TRACK_TYPE_STANDARD_GAUGE_RAILTYPE_OHLE]:[TRACK_TYPE_STANDARD_GAUGE_RAILTYPE_NONE]]),FALSE)</f>
        <v>1</v>
      </c>
      <c r="AF226" s="35" t="b">
        <f>IFERROR(OR(TRACK_TYPES[[#This Row],[TRACK_TYPE_NARROW_GAUGE_RAILTYPE_OHLE]:[TRACK_TYPE_NARROW_GAUGE_RAILTYPE_NONE]]),FALSE)</f>
        <v>0</v>
      </c>
      <c r="AG226" s="35" t="b">
        <f>IFERROR(OR(TRACK_TYPES[[#This Row],[TRACK_TYPE_BROAD_GAUGE_RAILTYPE_OHLE]:[TRACK_TYPE_BROAD_GAUGE_RAILTYPE_NONE]]),FALSE)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2855</v>
      </c>
      <c r="B227" s="37" t="str">
        <f>INDEX(CONTROL[ENGLISH],MATCH(PROPERTIES[[#This Row],[VEHIDCODE]],CONTROL[VEHIDCODE],0))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5" t="b">
        <f>IFERROR(OR(TRACK_TYPES[[#This Row],[TRACK_TYPE_STANDARD_GAUGE_RAILTYPE_OHLE]:[TRACK_TYPE_STANDARD_GAUGE_RAILTYPE_NONE]]),FALSE)</f>
        <v>1</v>
      </c>
      <c r="AF227" s="35" t="b">
        <f>IFERROR(OR(TRACK_TYPES[[#This Row],[TRACK_TYPE_NARROW_GAUGE_RAILTYPE_OHLE]:[TRACK_TYPE_NARROW_GAUGE_RAILTYPE_NONE]]),FALSE)</f>
        <v>0</v>
      </c>
      <c r="AG227" s="35" t="b">
        <f>IFERROR(OR(TRACK_TYPES[[#This Row],[TRACK_TYPE_BROAD_GAUGE_RAILTYPE_OHLE]:[TRACK_TYPE_BROAD_GAUGE_RAILTYPE_NONE]]),FALSE)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2856</v>
      </c>
      <c r="B228" s="37" t="str">
        <f>INDEX(CONTROL[ENGLISH],MATCH(PROPERTIES[[#This Row],[VEHIDCODE]],CONTROL[VEHIDCODE],0))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5" t="b">
        <f>IFERROR(OR(TRACK_TYPES[[#This Row],[TRACK_TYPE_STANDARD_GAUGE_RAILTYPE_OHLE]:[TRACK_TYPE_STANDARD_GAUGE_RAILTYPE_NONE]]),FALSE)</f>
        <v>1</v>
      </c>
      <c r="AF228" s="35" t="b">
        <f>IFERROR(OR(TRACK_TYPES[[#This Row],[TRACK_TYPE_NARROW_GAUGE_RAILTYPE_OHLE]:[TRACK_TYPE_NARROW_GAUGE_RAILTYPE_NONE]]),FALSE)</f>
        <v>0</v>
      </c>
      <c r="AG228" s="35" t="b">
        <f>IFERROR(OR(TRACK_TYPES[[#This Row],[TRACK_TYPE_BROAD_GAUGE_RAILTYPE_OHLE]:[TRACK_TYPE_BROAD_GAUGE_RAILTYPE_NONE]]),FALSE)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2857</v>
      </c>
      <c r="B229" s="37" t="str">
        <f>INDEX(CONTROL[ENGLISH],MATCH(PROPERTIES[[#This Row],[VEHIDCODE]],CONTROL[VEHIDCODE],0))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5" t="b">
        <f>IFERROR(OR(TRACK_TYPES[[#This Row],[TRACK_TYPE_STANDARD_GAUGE_RAILTYPE_OHLE]:[TRACK_TYPE_STANDARD_GAUGE_RAILTYPE_NONE]]),FALSE)</f>
        <v>0</v>
      </c>
      <c r="AF229" s="35" t="b">
        <f>IFERROR(OR(TRACK_TYPES[[#This Row],[TRACK_TYPE_NARROW_GAUGE_RAILTYPE_OHLE]:[TRACK_TYPE_NARROW_GAUGE_RAILTYPE_NONE]]),FALSE)</f>
        <v>0</v>
      </c>
      <c r="AG229" s="35" t="b">
        <f>IFERROR(OR(TRACK_TYPES[[#This Row],[TRACK_TYPE_BROAD_GAUGE_RAILTYPE_OHLE]:[TRACK_TYPE_BROAD_GAUGE_RAILTYPE_NONE]]),FALSE)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2858</v>
      </c>
      <c r="B230" s="37" t="str">
        <f>INDEX(CONTROL[ENGLISH],MATCH(PROPERTIES[[#This Row],[VEHIDCODE]],CONTROL[VEHIDCODE],0))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5" t="b">
        <f>IFERROR(OR(TRACK_TYPES[[#This Row],[TRACK_TYPE_STANDARD_GAUGE_RAILTYPE_OHLE]:[TRACK_TYPE_STANDARD_GAUGE_RAILTYPE_NONE]]),FALSE)</f>
        <v>1</v>
      </c>
      <c r="AF230" s="35" t="b">
        <f>IFERROR(OR(TRACK_TYPES[[#This Row],[TRACK_TYPE_NARROW_GAUGE_RAILTYPE_OHLE]:[TRACK_TYPE_NARROW_GAUGE_RAILTYPE_NONE]]),FALSE)</f>
        <v>0</v>
      </c>
      <c r="AG230" s="35" t="b">
        <f>IFERROR(OR(TRACK_TYPES[[#This Row],[TRACK_TYPE_BROAD_GAUGE_RAILTYPE_OHLE]:[TRACK_TYPE_BROAD_GAUGE_RAILTYPE_NONE]]),FALSE)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2859</v>
      </c>
      <c r="B231" s="37" t="str">
        <f>INDEX(CONTROL[ENGLISH],MATCH(PROPERTIES[[#This Row],[VEHIDCODE]],CONTROL[VEHIDCODE],0))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5" t="b">
        <f>IFERROR(OR(TRACK_TYPES[[#This Row],[TRACK_TYPE_STANDARD_GAUGE_RAILTYPE_OHLE]:[TRACK_TYPE_STANDARD_GAUGE_RAILTYPE_NONE]]),FALSE)</f>
        <v>1</v>
      </c>
      <c r="AF231" s="35" t="b">
        <f>IFERROR(OR(TRACK_TYPES[[#This Row],[TRACK_TYPE_NARROW_GAUGE_RAILTYPE_OHLE]:[TRACK_TYPE_NARROW_GAUGE_RAILTYPE_NONE]]),FALSE)</f>
        <v>0</v>
      </c>
      <c r="AG231" s="35" t="b">
        <f>IFERROR(OR(TRACK_TYPES[[#This Row],[TRACK_TYPE_BROAD_GAUGE_RAILTYPE_OHLE]:[TRACK_TYPE_BROAD_GAUGE_RAILTYPE_NONE]]),FALSE)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2860</v>
      </c>
      <c r="B232" s="37" t="str">
        <f>INDEX(CONTROL[ENGLISH],MATCH(PROPERTIES[[#This Row],[VEHIDCODE]],CONTROL[VEHIDCODE],0))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5" t="b">
        <f>IFERROR(OR(TRACK_TYPES[[#This Row],[TRACK_TYPE_STANDARD_GAUGE_RAILTYPE_OHLE]:[TRACK_TYPE_STANDARD_GAUGE_RAILTYPE_NONE]]),FALSE)</f>
        <v>0</v>
      </c>
      <c r="AF232" s="35" t="b">
        <f>IFERROR(OR(TRACK_TYPES[[#This Row],[TRACK_TYPE_NARROW_GAUGE_RAILTYPE_OHLE]:[TRACK_TYPE_NARROW_GAUGE_RAILTYPE_NONE]]),FALSE)</f>
        <v>0</v>
      </c>
      <c r="AG232" s="35" t="b">
        <f>IFERROR(OR(TRACK_TYPES[[#This Row],[TRACK_TYPE_BROAD_GAUGE_RAILTYPE_OHLE]:[TRACK_TYPE_BROAD_GAUGE_RAILTYPE_NONE]]),FALSE)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2861</v>
      </c>
      <c r="B233" s="37" t="str">
        <f>INDEX(CONTROL[ENGLISH],MATCH(PROPERTIES[[#This Row],[VEHIDCODE]],CONTROL[VEHIDCODE],0))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5" t="b">
        <f>IFERROR(OR(TRACK_TYPES[[#This Row],[TRACK_TYPE_STANDARD_GAUGE_RAILTYPE_OHLE]:[TRACK_TYPE_STANDARD_GAUGE_RAILTYPE_NONE]]),FALSE)</f>
        <v>1</v>
      </c>
      <c r="AF233" s="35" t="b">
        <f>IFERROR(OR(TRACK_TYPES[[#This Row],[TRACK_TYPE_NARROW_GAUGE_RAILTYPE_OHLE]:[TRACK_TYPE_NARROW_GAUGE_RAILTYPE_NONE]]),FALSE)</f>
        <v>0</v>
      </c>
      <c r="AG233" s="35" t="b">
        <f>IFERROR(OR(TRACK_TYPES[[#This Row],[TRACK_TYPE_BROAD_GAUGE_RAILTYPE_OHLE]:[TRACK_TYPE_BROAD_GAUGE_RAILTYPE_NONE]]),FALSE)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2862</v>
      </c>
      <c r="B234" s="37" t="str">
        <f>INDEX(CONTROL[ENGLISH],MATCH(PROPERTIES[[#This Row],[VEHIDCODE]],CONTROL[VEHIDCODE],0))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5" t="b">
        <f>IFERROR(OR(TRACK_TYPES[[#This Row],[TRACK_TYPE_STANDARD_GAUGE_RAILTYPE_OHLE]:[TRACK_TYPE_STANDARD_GAUGE_RAILTYPE_NONE]]),FALSE)</f>
        <v>1</v>
      </c>
      <c r="AF234" s="35" t="b">
        <f>IFERROR(OR(TRACK_TYPES[[#This Row],[TRACK_TYPE_NARROW_GAUGE_RAILTYPE_OHLE]:[TRACK_TYPE_NARROW_GAUGE_RAILTYPE_NONE]]),FALSE)</f>
        <v>0</v>
      </c>
      <c r="AG234" s="35" t="b">
        <f>IFERROR(OR(TRACK_TYPES[[#This Row],[TRACK_TYPE_BROAD_GAUGE_RAILTYPE_OHLE]:[TRACK_TYPE_BROAD_GAUGE_RAILTYPE_NONE]]),FALSE)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2863</v>
      </c>
      <c r="B235" s="37" t="str">
        <f>INDEX(CONTROL[ENGLISH],MATCH(PROPERTIES[[#This Row],[VEHIDCODE]],CONTROL[VEHIDCODE],0))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5" t="b">
        <f>IFERROR(OR(TRACK_TYPES[[#This Row],[TRACK_TYPE_STANDARD_GAUGE_RAILTYPE_OHLE]:[TRACK_TYPE_STANDARD_GAUGE_RAILTYPE_NONE]]),FALSE)</f>
        <v>0</v>
      </c>
      <c r="AF235" s="35" t="b">
        <f>IFERROR(OR(TRACK_TYPES[[#This Row],[TRACK_TYPE_NARROW_GAUGE_RAILTYPE_OHLE]:[TRACK_TYPE_NARROW_GAUGE_RAILTYPE_NONE]]),FALSE)</f>
        <v>0</v>
      </c>
      <c r="AG235" s="35" t="b">
        <f>IFERROR(OR(TRACK_TYPES[[#This Row],[TRACK_TYPE_BROAD_GAUGE_RAILTYPE_OHLE]:[TRACK_TYPE_BROAD_GAUGE_RAILTYPE_NONE]]),FALSE)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2864</v>
      </c>
      <c r="B236" s="37" t="str">
        <f>INDEX(CONTROL[ENGLISH],MATCH(PROPERTIES[[#This Row],[VEHIDCODE]],CONTROL[VEHIDCODE],0))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5" t="b">
        <f>IFERROR(OR(TRACK_TYPES[[#This Row],[TRACK_TYPE_STANDARD_GAUGE_RAILTYPE_OHLE]:[TRACK_TYPE_STANDARD_GAUGE_RAILTYPE_NONE]]),FALSE)</f>
        <v>1</v>
      </c>
      <c r="AF236" s="35" t="b">
        <f>IFERROR(OR(TRACK_TYPES[[#This Row],[TRACK_TYPE_NARROW_GAUGE_RAILTYPE_OHLE]:[TRACK_TYPE_NARROW_GAUGE_RAILTYPE_NONE]]),FALSE)</f>
        <v>0</v>
      </c>
      <c r="AG236" s="35" t="b">
        <f>IFERROR(OR(TRACK_TYPES[[#This Row],[TRACK_TYPE_BROAD_GAUGE_RAILTYPE_OHLE]:[TRACK_TYPE_BROAD_GAUGE_RAILTYPE_NONE]]),FALSE)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2865</v>
      </c>
      <c r="B237" s="37" t="str">
        <f>INDEX(CONTROL[ENGLISH],MATCH(PROPERTIES[[#This Row],[VEHIDCODE]],CONTROL[VEHIDCODE],0))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5" t="b">
        <f>IFERROR(OR(TRACK_TYPES[[#This Row],[TRACK_TYPE_STANDARD_GAUGE_RAILTYPE_OHLE]:[TRACK_TYPE_STANDARD_GAUGE_RAILTYPE_NONE]]),FALSE)</f>
        <v>1</v>
      </c>
      <c r="AF237" s="35" t="b">
        <f>IFERROR(OR(TRACK_TYPES[[#This Row],[TRACK_TYPE_NARROW_GAUGE_RAILTYPE_OHLE]:[TRACK_TYPE_NARROW_GAUGE_RAILTYPE_NONE]]),FALSE)</f>
        <v>0</v>
      </c>
      <c r="AG237" s="35" t="b">
        <f>IFERROR(OR(TRACK_TYPES[[#This Row],[TRACK_TYPE_BROAD_GAUGE_RAILTYPE_OHLE]:[TRACK_TYPE_BROAD_GAUGE_RAILTYPE_NONE]]),FALSE)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2866</v>
      </c>
      <c r="B238" s="37" t="str">
        <f>INDEX(CONTROL[ENGLISH],MATCH(PROPERTIES[[#This Row],[VEHIDCODE]],CONTROL[VEHIDCODE],0))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5" t="b">
        <f>IFERROR(OR(TRACK_TYPES[[#This Row],[TRACK_TYPE_STANDARD_GAUGE_RAILTYPE_OHLE]:[TRACK_TYPE_STANDARD_GAUGE_RAILTYPE_NONE]]),FALSE)</f>
        <v>1</v>
      </c>
      <c r="AF238" s="35" t="b">
        <f>IFERROR(OR(TRACK_TYPES[[#This Row],[TRACK_TYPE_NARROW_GAUGE_RAILTYPE_OHLE]:[TRACK_TYPE_NARROW_GAUGE_RAILTYPE_NONE]]),FALSE)</f>
        <v>0</v>
      </c>
      <c r="AG238" s="35" t="b">
        <f>IFERROR(OR(TRACK_TYPES[[#This Row],[TRACK_TYPE_BROAD_GAUGE_RAILTYPE_OHLE]:[TRACK_TYPE_BROAD_GAUGE_RAILTYPE_NONE]]),FALSE)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2867</v>
      </c>
      <c r="B239" s="37" t="str">
        <f>INDEX(CONTROL[ENGLISH],MATCH(PROPERTIES[[#This Row],[VEHIDCODE]],CONTROL[VEHIDCODE],0))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5" t="b">
        <f>IFERROR(OR(TRACK_TYPES[[#This Row],[TRACK_TYPE_STANDARD_GAUGE_RAILTYPE_OHLE]:[TRACK_TYPE_STANDARD_GAUGE_RAILTYPE_NONE]]),FALSE)</f>
        <v>1</v>
      </c>
      <c r="AF239" s="35" t="b">
        <f>IFERROR(OR(TRACK_TYPES[[#This Row],[TRACK_TYPE_NARROW_GAUGE_RAILTYPE_OHLE]:[TRACK_TYPE_NARROW_GAUGE_RAILTYPE_NONE]]),FALSE)</f>
        <v>0</v>
      </c>
      <c r="AG239" s="35" t="b">
        <f>IFERROR(OR(TRACK_TYPES[[#This Row],[TRACK_TYPE_BROAD_GAUGE_RAILTYPE_OHLE]:[TRACK_TYPE_BROAD_GAUGE_RAILTYPE_NONE]]),FALSE)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2868</v>
      </c>
      <c r="B240" s="37" t="str">
        <f>INDEX(CONTROL[ENGLISH],MATCH(PROPERTIES[[#This Row],[VEHIDCODE]],CONTROL[VEHIDCODE],0))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5" t="b">
        <f>IFERROR(OR(TRACK_TYPES[[#This Row],[TRACK_TYPE_STANDARD_GAUGE_RAILTYPE_OHLE]:[TRACK_TYPE_STANDARD_GAUGE_RAILTYPE_NONE]]),FALSE)</f>
        <v>1</v>
      </c>
      <c r="AF240" s="35" t="b">
        <f>IFERROR(OR(TRACK_TYPES[[#This Row],[TRACK_TYPE_NARROW_GAUGE_RAILTYPE_OHLE]:[TRACK_TYPE_NARROW_GAUGE_RAILTYPE_NONE]]),FALSE)</f>
        <v>0</v>
      </c>
      <c r="AG240" s="35" t="b">
        <f>IFERROR(OR(TRACK_TYPES[[#This Row],[TRACK_TYPE_BROAD_GAUGE_RAILTYPE_OHLE]:[TRACK_TYPE_BROAD_GAUGE_RAILTYPE_NONE]]),FALSE)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2869</v>
      </c>
      <c r="B241" s="37" t="str">
        <f>INDEX(CONTROL[ENGLISH],MATCH(PROPERTIES[[#This Row],[VEHIDCODE]],CONTROL[VEHIDCODE],0))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5" t="b">
        <f>IFERROR(OR(TRACK_TYPES[[#This Row],[TRACK_TYPE_STANDARD_GAUGE_RAILTYPE_OHLE]:[TRACK_TYPE_STANDARD_GAUGE_RAILTYPE_NONE]]),FALSE)</f>
        <v>0</v>
      </c>
      <c r="AF241" s="35" t="b">
        <f>IFERROR(OR(TRACK_TYPES[[#This Row],[TRACK_TYPE_NARROW_GAUGE_RAILTYPE_OHLE]:[TRACK_TYPE_NARROW_GAUGE_RAILTYPE_NONE]]),FALSE)</f>
        <v>1</v>
      </c>
      <c r="AG241" s="35" t="b">
        <f>IFERROR(OR(TRACK_TYPES[[#This Row],[TRACK_TYPE_BROAD_GAUGE_RAILTYPE_OHLE]:[TRACK_TYPE_BROAD_GAUGE_RAILTYPE_NONE]]),FALSE)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2870</v>
      </c>
      <c r="B242" s="37" t="str">
        <f>INDEX(CONTROL[ENGLISH],MATCH(PROPERTIES[[#This Row],[VEHIDCODE]],CONTROL[VEHIDCODE],0))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5" t="b">
        <f>IFERROR(OR(TRACK_TYPES[[#This Row],[TRACK_TYPE_STANDARD_GAUGE_RAILTYPE_OHLE]:[TRACK_TYPE_STANDARD_GAUGE_RAILTYPE_NONE]]),FALSE)</f>
        <v>1</v>
      </c>
      <c r="AF242" s="35" t="b">
        <f>IFERROR(OR(TRACK_TYPES[[#This Row],[TRACK_TYPE_NARROW_GAUGE_RAILTYPE_OHLE]:[TRACK_TYPE_NARROW_GAUGE_RAILTYPE_NONE]]),FALSE)</f>
        <v>0</v>
      </c>
      <c r="AG242" s="35" t="b">
        <f>IFERROR(OR(TRACK_TYPES[[#This Row],[TRACK_TYPE_BROAD_GAUGE_RAILTYPE_OHLE]:[TRACK_TYPE_BROAD_GAUGE_RAILTYPE_NONE]]),FALSE)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2871</v>
      </c>
      <c r="B243" s="37" t="str">
        <f>INDEX(CONTROL[ENGLISH],MATCH(PROPERTIES[[#This Row],[VEHIDCODE]],CONTROL[VEHIDCODE],0))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5" t="b">
        <f>IFERROR(OR(TRACK_TYPES[[#This Row],[TRACK_TYPE_STANDARD_GAUGE_RAILTYPE_OHLE]:[TRACK_TYPE_STANDARD_GAUGE_RAILTYPE_NONE]]),FALSE)</f>
        <v>1</v>
      </c>
      <c r="AF243" s="35" t="b">
        <f>IFERROR(OR(TRACK_TYPES[[#This Row],[TRACK_TYPE_NARROW_GAUGE_RAILTYPE_OHLE]:[TRACK_TYPE_NARROW_GAUGE_RAILTYPE_NONE]]),FALSE)</f>
        <v>0</v>
      </c>
      <c r="AG243" s="35" t="b">
        <f>IFERROR(OR(TRACK_TYPES[[#This Row],[TRACK_TYPE_BROAD_GAUGE_RAILTYPE_OHLE]:[TRACK_TYPE_BROAD_GAUGE_RAILTYPE_NONE]]),FALSE)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2872</v>
      </c>
      <c r="B244" s="37" t="str">
        <f>INDEX(CONTROL[ENGLISH],MATCH(PROPERTIES[[#This Row],[VEHIDCODE]],CONTROL[VEHIDCODE],0))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5" t="b">
        <f>IFERROR(OR(TRACK_TYPES[[#This Row],[TRACK_TYPE_STANDARD_GAUGE_RAILTYPE_OHLE]:[TRACK_TYPE_STANDARD_GAUGE_RAILTYPE_NONE]]),FALSE)</f>
        <v>0</v>
      </c>
      <c r="AF244" s="35" t="b">
        <f>IFERROR(OR(TRACK_TYPES[[#This Row],[TRACK_TYPE_NARROW_GAUGE_RAILTYPE_OHLE]:[TRACK_TYPE_NARROW_GAUGE_RAILTYPE_NONE]]),FALSE)</f>
        <v>0</v>
      </c>
      <c r="AG244" s="35" t="b">
        <f>IFERROR(OR(TRACK_TYPES[[#This Row],[TRACK_TYPE_BROAD_GAUGE_RAILTYPE_OHLE]:[TRACK_TYPE_BROAD_GAUGE_RAILTYPE_NONE]]),FALSE)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2873</v>
      </c>
      <c r="B245" s="37" t="str">
        <f>INDEX(CONTROL[ENGLISH],MATCH(PROPERTIES[[#This Row],[VEHIDCODE]],CONTROL[VEHIDCODE],0))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5" t="b">
        <f>IFERROR(OR(TRACK_TYPES[[#This Row],[TRACK_TYPE_STANDARD_GAUGE_RAILTYPE_OHLE]:[TRACK_TYPE_STANDARD_GAUGE_RAILTYPE_NONE]]),FALSE)</f>
        <v>1</v>
      </c>
      <c r="AF245" s="35" t="b">
        <f>IFERROR(OR(TRACK_TYPES[[#This Row],[TRACK_TYPE_NARROW_GAUGE_RAILTYPE_OHLE]:[TRACK_TYPE_NARROW_GAUGE_RAILTYPE_NONE]]),FALSE)</f>
        <v>1</v>
      </c>
      <c r="AG245" s="35" t="b">
        <f>IFERROR(OR(TRACK_TYPES[[#This Row],[TRACK_TYPE_BROAD_GAUGE_RAILTYPE_OHLE]:[TRACK_TYPE_BROAD_GAUGE_RAILTYPE_NONE]]),FALSE)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2874</v>
      </c>
      <c r="B246" s="37" t="str">
        <f>INDEX(CONTROL[ENGLISH],MATCH(PROPERTIES[[#This Row],[VEHIDCODE]],CONTROL[VEHIDCODE],0))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5" t="b">
        <f>IFERROR(OR(TRACK_TYPES[[#This Row],[TRACK_TYPE_STANDARD_GAUGE_RAILTYPE_OHLE]:[TRACK_TYPE_STANDARD_GAUGE_RAILTYPE_NONE]]),FALSE)</f>
        <v>1</v>
      </c>
      <c r="AF246" s="35" t="b">
        <f>IFERROR(OR(TRACK_TYPES[[#This Row],[TRACK_TYPE_NARROW_GAUGE_RAILTYPE_OHLE]:[TRACK_TYPE_NARROW_GAUGE_RAILTYPE_NONE]]),FALSE)</f>
        <v>0</v>
      </c>
      <c r="AG246" s="35" t="b">
        <f>IFERROR(OR(TRACK_TYPES[[#This Row],[TRACK_TYPE_BROAD_GAUGE_RAILTYPE_OHLE]:[TRACK_TYPE_BROAD_GAUGE_RAILTYPE_NONE]]),FALSE)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2875</v>
      </c>
      <c r="B247" s="37" t="str">
        <f>INDEX(CONTROL[ENGLISH],MATCH(PROPERTIES[[#This Row],[VEHIDCODE]],CONTROL[VEHIDCODE],0))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5" t="b">
        <f>IFERROR(OR(TRACK_TYPES[[#This Row],[TRACK_TYPE_STANDARD_GAUGE_RAILTYPE_OHLE]:[TRACK_TYPE_STANDARD_GAUGE_RAILTYPE_NONE]]),FALSE)</f>
        <v>0</v>
      </c>
      <c r="AF247" s="35" t="b">
        <f>IFERROR(OR(TRACK_TYPES[[#This Row],[TRACK_TYPE_NARROW_GAUGE_RAILTYPE_OHLE]:[TRACK_TYPE_NARROW_GAUGE_RAILTYPE_NONE]]),FALSE)</f>
        <v>0</v>
      </c>
      <c r="AG247" s="35" t="b">
        <f>IFERROR(OR(TRACK_TYPES[[#This Row],[TRACK_TYPE_BROAD_GAUGE_RAILTYPE_OHLE]:[TRACK_TYPE_BROAD_GAUGE_RAILTYPE_NONE]]),FALSE)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2876</v>
      </c>
      <c r="B248" s="37" t="str">
        <f>INDEX(CONTROL[ENGLISH],MATCH(PROPERTIES[[#This Row],[VEHIDCODE]],CONTROL[VEHIDCODE],0))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5" t="b">
        <f>IFERROR(OR(TRACK_TYPES[[#This Row],[TRACK_TYPE_STANDARD_GAUGE_RAILTYPE_OHLE]:[TRACK_TYPE_STANDARD_GAUGE_RAILTYPE_NONE]]),FALSE)</f>
        <v>1</v>
      </c>
      <c r="AF248" s="35" t="b">
        <f>IFERROR(OR(TRACK_TYPES[[#This Row],[TRACK_TYPE_NARROW_GAUGE_RAILTYPE_OHLE]:[TRACK_TYPE_NARROW_GAUGE_RAILTYPE_NONE]]),FALSE)</f>
        <v>1</v>
      </c>
      <c r="AG248" s="35" t="b">
        <f>IFERROR(OR(TRACK_TYPES[[#This Row],[TRACK_TYPE_BROAD_GAUGE_RAILTYPE_OHLE]:[TRACK_TYPE_BROAD_GAUGE_RAILTYPE_NONE]]),FALSE)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2877</v>
      </c>
      <c r="B249" s="37" t="str">
        <f>INDEX(CONTROL[ENGLISH],MATCH(PROPERTIES[[#This Row],[VEHIDCODE]],CONTROL[VEHIDCODE],0))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5" t="b">
        <f>IFERROR(OR(TRACK_TYPES[[#This Row],[TRACK_TYPE_STANDARD_GAUGE_RAILTYPE_OHLE]:[TRACK_TYPE_STANDARD_GAUGE_RAILTYPE_NONE]]),FALSE)</f>
        <v>0</v>
      </c>
      <c r="AF249" s="35" t="b">
        <f>IFERROR(OR(TRACK_TYPES[[#This Row],[TRACK_TYPE_NARROW_GAUGE_RAILTYPE_OHLE]:[TRACK_TYPE_NARROW_GAUGE_RAILTYPE_NONE]]),FALSE)</f>
        <v>0</v>
      </c>
      <c r="AG249" s="35" t="b">
        <f>IFERROR(OR(TRACK_TYPES[[#This Row],[TRACK_TYPE_BROAD_GAUGE_RAILTYPE_OHLE]:[TRACK_TYPE_BROAD_GAUGE_RAILTYPE_NONE]]),FALSE)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2878</v>
      </c>
      <c r="B250" s="37" t="str">
        <f>INDEX(CONTROL[ENGLISH],MATCH(PROPERTIES[[#This Row],[VEHIDCODE]],CONTROL[VEHIDCODE],0))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5" t="b">
        <f>IFERROR(OR(TRACK_TYPES[[#This Row],[TRACK_TYPE_STANDARD_GAUGE_RAILTYPE_OHLE]:[TRACK_TYPE_STANDARD_GAUGE_RAILTYPE_NONE]]),FALSE)</f>
        <v>1</v>
      </c>
      <c r="AF250" s="35" t="b">
        <f>IFERROR(OR(TRACK_TYPES[[#This Row],[TRACK_TYPE_NARROW_GAUGE_RAILTYPE_OHLE]:[TRACK_TYPE_NARROW_GAUGE_RAILTYPE_NONE]]),FALSE)</f>
        <v>0</v>
      </c>
      <c r="AG250" s="35" t="b">
        <f>IFERROR(OR(TRACK_TYPES[[#This Row],[TRACK_TYPE_BROAD_GAUGE_RAILTYPE_OHLE]:[TRACK_TYPE_BROAD_GAUGE_RAILTYPE_NONE]]),FALSE)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2879</v>
      </c>
      <c r="B251" s="37" t="str">
        <f>INDEX(CONTROL[ENGLISH],MATCH(PROPERTIES[[#This Row],[VEHIDCODE]],CONTROL[VEHIDCODE],0))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5" t="b">
        <f>IFERROR(OR(TRACK_TYPES[[#This Row],[TRACK_TYPE_STANDARD_GAUGE_RAILTYPE_OHLE]:[TRACK_TYPE_STANDARD_GAUGE_RAILTYPE_NONE]]),FALSE)</f>
        <v>1</v>
      </c>
      <c r="AF251" s="35" t="b">
        <f>IFERROR(OR(TRACK_TYPES[[#This Row],[TRACK_TYPE_NARROW_GAUGE_RAILTYPE_OHLE]:[TRACK_TYPE_NARROW_GAUGE_RAILTYPE_NONE]]),FALSE)</f>
        <v>0</v>
      </c>
      <c r="AG251" s="35" t="b">
        <f>IFERROR(OR(TRACK_TYPES[[#This Row],[TRACK_TYPE_BROAD_GAUGE_RAILTYPE_OHLE]:[TRACK_TYPE_BROAD_GAUGE_RAILTYPE_NONE]]),FALSE)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2880</v>
      </c>
      <c r="B252" s="37" t="str">
        <f>INDEX(CONTROL[ENGLISH],MATCH(PROPERTIES[[#This Row],[VEHIDCODE]],CONTROL[VEHIDCODE],0))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5" t="b">
        <f>IFERROR(OR(TRACK_TYPES[[#This Row],[TRACK_TYPE_STANDARD_GAUGE_RAILTYPE_OHLE]:[TRACK_TYPE_STANDARD_GAUGE_RAILTYPE_NONE]]),FALSE)</f>
        <v>0</v>
      </c>
      <c r="AF252" s="35" t="b">
        <f>IFERROR(OR(TRACK_TYPES[[#This Row],[TRACK_TYPE_NARROW_GAUGE_RAILTYPE_OHLE]:[TRACK_TYPE_NARROW_GAUGE_RAILTYPE_NONE]]),FALSE)</f>
        <v>1</v>
      </c>
      <c r="AG252" s="35" t="b">
        <f>IFERROR(OR(TRACK_TYPES[[#This Row],[TRACK_TYPE_BROAD_GAUGE_RAILTYPE_OHLE]:[TRACK_TYPE_BROAD_GAUGE_RAILTYPE_NONE]]),FALSE)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2881</v>
      </c>
      <c r="B253" s="37" t="str">
        <f>INDEX(CONTROL[ENGLISH],MATCH(PROPERTIES[[#This Row],[VEHIDCODE]],CONTROL[VEHIDCODE],0))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5" t="b">
        <f>IFERROR(OR(TRACK_TYPES[[#This Row],[TRACK_TYPE_STANDARD_GAUGE_RAILTYPE_OHLE]:[TRACK_TYPE_STANDARD_GAUGE_RAILTYPE_NONE]]),FALSE)</f>
        <v>1</v>
      </c>
      <c r="AF253" s="35" t="b">
        <f>IFERROR(OR(TRACK_TYPES[[#This Row],[TRACK_TYPE_NARROW_GAUGE_RAILTYPE_OHLE]:[TRACK_TYPE_NARROW_GAUGE_RAILTYPE_NONE]]),FALSE)</f>
        <v>0</v>
      </c>
      <c r="AG253" s="35" t="b">
        <f>IFERROR(OR(TRACK_TYPES[[#This Row],[TRACK_TYPE_BROAD_GAUGE_RAILTYPE_OHLE]:[TRACK_TYPE_BROAD_GAUGE_RAILTYPE_NONE]]),FALSE)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2882</v>
      </c>
      <c r="B254" s="37" t="str">
        <f>INDEX(CONTROL[ENGLISH],MATCH(PROPERTIES[[#This Row],[VEHIDCODE]],CONTROL[VEHIDCODE],0))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5" t="b">
        <f>IFERROR(OR(TRACK_TYPES[[#This Row],[TRACK_TYPE_STANDARD_GAUGE_RAILTYPE_OHLE]:[TRACK_TYPE_STANDARD_GAUGE_RAILTYPE_NONE]]),FALSE)</f>
        <v>1</v>
      </c>
      <c r="AF254" s="35" t="b">
        <f>IFERROR(OR(TRACK_TYPES[[#This Row],[TRACK_TYPE_NARROW_GAUGE_RAILTYPE_OHLE]:[TRACK_TYPE_NARROW_GAUGE_RAILTYPE_NONE]]),FALSE)</f>
        <v>0</v>
      </c>
      <c r="AG254" s="35" t="b">
        <f>IFERROR(OR(TRACK_TYPES[[#This Row],[TRACK_TYPE_BROAD_GAUGE_RAILTYPE_OHLE]:[TRACK_TYPE_BROAD_GAUGE_RAILTYPE_NONE]]),FALSE)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2883</v>
      </c>
      <c r="B255" s="37" t="str">
        <f>INDEX(CONTROL[ENGLISH],MATCH(PROPERTIES[[#This Row],[VEHIDCODE]],CONTROL[VEHIDCODE],0))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5" t="b">
        <f>IFERROR(OR(TRACK_TYPES[[#This Row],[TRACK_TYPE_STANDARD_GAUGE_RAILTYPE_OHLE]:[TRACK_TYPE_STANDARD_GAUGE_RAILTYPE_NONE]]),FALSE)</f>
        <v>1</v>
      </c>
      <c r="AF255" s="35" t="b">
        <f>IFERROR(OR(TRACK_TYPES[[#This Row],[TRACK_TYPE_NARROW_GAUGE_RAILTYPE_OHLE]:[TRACK_TYPE_NARROW_GAUGE_RAILTYPE_NONE]]),FALSE)</f>
        <v>0</v>
      </c>
      <c r="AG255" s="35" t="b">
        <f>IFERROR(OR(TRACK_TYPES[[#This Row],[TRACK_TYPE_BROAD_GAUGE_RAILTYPE_OHLE]:[TRACK_TYPE_BROAD_GAUGE_RAILTYPE_NONE]]),FALSE)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2884</v>
      </c>
      <c r="B256" s="37" t="str">
        <f>INDEX(CONTROL[ENGLISH],MATCH(PROPERTIES[[#This Row],[VEHIDCODE]],CONTROL[VEHIDCODE],0))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5" t="b">
        <f>IFERROR(OR(TRACK_TYPES[[#This Row],[TRACK_TYPE_STANDARD_GAUGE_RAILTYPE_OHLE]:[TRACK_TYPE_STANDARD_GAUGE_RAILTYPE_NONE]]),FALSE)</f>
        <v>1</v>
      </c>
      <c r="AF256" s="35" t="b">
        <f>IFERROR(OR(TRACK_TYPES[[#This Row],[TRACK_TYPE_NARROW_GAUGE_RAILTYPE_OHLE]:[TRACK_TYPE_NARROW_GAUGE_RAILTYPE_NONE]]),FALSE)</f>
        <v>0</v>
      </c>
      <c r="AG256" s="35" t="b">
        <f>IFERROR(OR(TRACK_TYPES[[#This Row],[TRACK_TYPE_BROAD_GAUGE_RAILTYPE_OHLE]:[TRACK_TYPE_BROAD_GAUGE_RAILTYPE_NONE]]),FALSE)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3443</v>
      </c>
      <c r="B257" s="37" t="str">
        <f>INDEX(CONTROL[ENGLISH],MATCH(PROPERTIES[[#This Row],[VEHIDCODE]],CONTROL[VEHIDCODE],0))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5" t="b">
        <f>IFERROR(OR(TRACK_TYPES[[#This Row],[TRACK_TYPE_STANDARD_GAUGE_RAILTYPE_OHLE]:[TRACK_TYPE_STANDARD_GAUGE_RAILTYPE_NONE]]),FALSE)</f>
        <v>1</v>
      </c>
      <c r="AF257" s="35" t="b">
        <f>IFERROR(OR(TRACK_TYPES[[#This Row],[TRACK_TYPE_NARROW_GAUGE_RAILTYPE_OHLE]:[TRACK_TYPE_NARROW_GAUGE_RAILTYPE_NONE]]),FALSE)</f>
        <v>0</v>
      </c>
      <c r="AG257" s="35" t="b">
        <f>IFERROR(OR(TRACK_TYPES[[#This Row],[TRACK_TYPE_BROAD_GAUGE_RAILTYPE_OHLE]:[TRACK_TYPE_BROAD_GAUGE_RAILTYPE_NONE]]),FALSE)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2885</v>
      </c>
      <c r="B258" s="37" t="str">
        <f>INDEX(CONTROL[ENGLISH],MATCH(PROPERTIES[[#This Row],[VEHIDCODE]],CONTROL[VEHIDCODE],0))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5" t="b">
        <f>IFERROR(OR(TRACK_TYPES[[#This Row],[TRACK_TYPE_STANDARD_GAUGE_RAILTYPE_OHLE]:[TRACK_TYPE_STANDARD_GAUGE_RAILTYPE_NONE]]),FALSE)</f>
        <v>1</v>
      </c>
      <c r="AF258" s="35" t="b">
        <f>IFERROR(OR(TRACK_TYPES[[#This Row],[TRACK_TYPE_NARROW_GAUGE_RAILTYPE_OHLE]:[TRACK_TYPE_NARROW_GAUGE_RAILTYPE_NONE]]),FALSE)</f>
        <v>0</v>
      </c>
      <c r="AG258" s="35" t="b">
        <f>IFERROR(OR(TRACK_TYPES[[#This Row],[TRACK_TYPE_BROAD_GAUGE_RAILTYPE_OHLE]:[TRACK_TYPE_BROAD_GAUGE_RAILTYPE_NONE]]),FALSE)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2886</v>
      </c>
      <c r="B259" s="37" t="str">
        <f>INDEX(CONTROL[ENGLISH],MATCH(PROPERTIES[[#This Row],[VEHIDCODE]],CONTROL[VEHIDCODE],0))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5" t="b">
        <f>IFERROR(OR(TRACK_TYPES[[#This Row],[TRACK_TYPE_STANDARD_GAUGE_RAILTYPE_OHLE]:[TRACK_TYPE_STANDARD_GAUGE_RAILTYPE_NONE]]),FALSE)</f>
        <v>0</v>
      </c>
      <c r="AF259" s="35" t="b">
        <f>IFERROR(OR(TRACK_TYPES[[#This Row],[TRACK_TYPE_NARROW_GAUGE_RAILTYPE_OHLE]:[TRACK_TYPE_NARROW_GAUGE_RAILTYPE_NONE]]),FALSE)</f>
        <v>1</v>
      </c>
      <c r="AG259" s="35" t="b">
        <f>IFERROR(OR(TRACK_TYPES[[#This Row],[TRACK_TYPE_BROAD_GAUGE_RAILTYPE_OHLE]:[TRACK_TYPE_BROAD_GAUGE_RAILTYPE_NONE]]),FALSE)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2887</v>
      </c>
      <c r="B260" s="37" t="str">
        <f>INDEX(CONTROL[ENGLISH],MATCH(PROPERTIES[[#This Row],[VEHIDCODE]],CONTROL[VEHIDCODE],0))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5" t="b">
        <f>IFERROR(OR(TRACK_TYPES[[#This Row],[TRACK_TYPE_STANDARD_GAUGE_RAILTYPE_OHLE]:[TRACK_TYPE_STANDARD_GAUGE_RAILTYPE_NONE]]),FALSE)</f>
        <v>0</v>
      </c>
      <c r="AF260" s="35" t="b">
        <f>IFERROR(OR(TRACK_TYPES[[#This Row],[TRACK_TYPE_NARROW_GAUGE_RAILTYPE_OHLE]:[TRACK_TYPE_NARROW_GAUGE_RAILTYPE_NONE]]),FALSE)</f>
        <v>0</v>
      </c>
      <c r="AG260" s="35" t="b">
        <f>IFERROR(OR(TRACK_TYPES[[#This Row],[TRACK_TYPE_BROAD_GAUGE_RAILTYPE_OHLE]:[TRACK_TYPE_BROAD_GAUGE_RAILTYPE_NONE]]),FALSE)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2888</v>
      </c>
      <c r="B261" s="37" t="str">
        <f>INDEX(CONTROL[ENGLISH],MATCH(PROPERTIES[[#This Row],[VEHIDCODE]],CONTROL[VEHIDCODE],0))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5" t="b">
        <f>IFERROR(OR(TRACK_TYPES[[#This Row],[TRACK_TYPE_STANDARD_GAUGE_RAILTYPE_OHLE]:[TRACK_TYPE_STANDARD_GAUGE_RAILTYPE_NONE]]),FALSE)</f>
        <v>0</v>
      </c>
      <c r="AF261" s="35" t="b">
        <f>IFERROR(OR(TRACK_TYPES[[#This Row],[TRACK_TYPE_NARROW_GAUGE_RAILTYPE_OHLE]:[TRACK_TYPE_NARROW_GAUGE_RAILTYPE_NONE]]),FALSE)</f>
        <v>0</v>
      </c>
      <c r="AG261" s="35" t="b">
        <f>IFERROR(OR(TRACK_TYPES[[#This Row],[TRACK_TYPE_BROAD_GAUGE_RAILTYPE_OHLE]:[TRACK_TYPE_BROAD_GAUGE_RAILTYPE_NONE]]),FALSE)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2889</v>
      </c>
      <c r="B262" s="37" t="str">
        <f>INDEX(CONTROL[ENGLISH],MATCH(PROPERTIES[[#This Row],[VEHIDCODE]],CONTROL[VEHIDCODE],0))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5" t="b">
        <f>IFERROR(OR(TRACK_TYPES[[#This Row],[TRACK_TYPE_STANDARD_GAUGE_RAILTYPE_OHLE]:[TRACK_TYPE_STANDARD_GAUGE_RAILTYPE_NONE]]),FALSE)</f>
        <v>1</v>
      </c>
      <c r="AF262" s="35" t="b">
        <f>IFERROR(OR(TRACK_TYPES[[#This Row],[TRACK_TYPE_NARROW_GAUGE_RAILTYPE_OHLE]:[TRACK_TYPE_NARROW_GAUGE_RAILTYPE_NONE]]),FALSE)</f>
        <v>0</v>
      </c>
      <c r="AG262" s="35" t="b">
        <f>IFERROR(OR(TRACK_TYPES[[#This Row],[TRACK_TYPE_BROAD_GAUGE_RAILTYPE_OHLE]:[TRACK_TYPE_BROAD_GAUGE_RAILTYPE_NONE]]),FALSE)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2890</v>
      </c>
      <c r="B263" s="37" t="str">
        <f>INDEX(CONTROL[ENGLISH],MATCH(PROPERTIES[[#This Row],[VEHIDCODE]],CONTROL[VEHIDCODE],0))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5" t="b">
        <f>IFERROR(OR(TRACK_TYPES[[#This Row],[TRACK_TYPE_STANDARD_GAUGE_RAILTYPE_OHLE]:[TRACK_TYPE_STANDARD_GAUGE_RAILTYPE_NONE]]),FALSE)</f>
        <v>1</v>
      </c>
      <c r="AF263" s="35" t="b">
        <f>IFERROR(OR(TRACK_TYPES[[#This Row],[TRACK_TYPE_NARROW_GAUGE_RAILTYPE_OHLE]:[TRACK_TYPE_NARROW_GAUGE_RAILTYPE_NONE]]),FALSE)</f>
        <v>0</v>
      </c>
      <c r="AG263" s="35" t="b">
        <f>IFERROR(OR(TRACK_TYPES[[#This Row],[TRACK_TYPE_BROAD_GAUGE_RAILTYPE_OHLE]:[TRACK_TYPE_BROAD_GAUGE_RAILTYPE_NONE]]),FALSE)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2891</v>
      </c>
      <c r="B264" s="37" t="str">
        <f>INDEX(CONTROL[ENGLISH],MATCH(PROPERTIES[[#This Row],[VEHIDCODE]],CONTROL[VEHIDCODE],0))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5" t="b">
        <f>IFERROR(OR(TRACK_TYPES[[#This Row],[TRACK_TYPE_STANDARD_GAUGE_RAILTYPE_OHLE]:[TRACK_TYPE_STANDARD_GAUGE_RAILTYPE_NONE]]),FALSE)</f>
        <v>1</v>
      </c>
      <c r="AF264" s="35" t="b">
        <f>IFERROR(OR(TRACK_TYPES[[#This Row],[TRACK_TYPE_NARROW_GAUGE_RAILTYPE_OHLE]:[TRACK_TYPE_NARROW_GAUGE_RAILTYPE_NONE]]),FALSE)</f>
        <v>0</v>
      </c>
      <c r="AG264" s="35" t="b">
        <f>IFERROR(OR(TRACK_TYPES[[#This Row],[TRACK_TYPE_BROAD_GAUGE_RAILTYPE_OHLE]:[TRACK_TYPE_BROAD_GAUGE_RAILTYPE_NONE]]),FALSE)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2892</v>
      </c>
      <c r="B265" s="37" t="str">
        <f>INDEX(CONTROL[ENGLISH],MATCH(PROPERTIES[[#This Row],[VEHIDCODE]],CONTROL[VEHIDCODE],0))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5" t="b">
        <f>IFERROR(OR(TRACK_TYPES[[#This Row],[TRACK_TYPE_STANDARD_GAUGE_RAILTYPE_OHLE]:[TRACK_TYPE_STANDARD_GAUGE_RAILTYPE_NONE]]),FALSE)</f>
        <v>1</v>
      </c>
      <c r="AF265" s="35" t="b">
        <f>IFERROR(OR(TRACK_TYPES[[#This Row],[TRACK_TYPE_NARROW_GAUGE_RAILTYPE_OHLE]:[TRACK_TYPE_NARROW_GAUGE_RAILTYPE_NONE]]),FALSE)</f>
        <v>0</v>
      </c>
      <c r="AG265" s="35" t="b">
        <f>IFERROR(OR(TRACK_TYPES[[#This Row],[TRACK_TYPE_BROAD_GAUGE_RAILTYPE_OHLE]:[TRACK_TYPE_BROAD_GAUGE_RAILTYPE_NONE]]),FALSE)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3462</v>
      </c>
      <c r="B266" s="37" t="str">
        <f>INDEX(CONTROL[ENGLISH],MATCH(PROPERTIES[[#This Row],[VEHIDCODE]],CONTROL[VEHIDCODE],0))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5" t="b">
        <f>IFERROR(OR(TRACK_TYPES[[#This Row],[TRACK_TYPE_STANDARD_GAUGE_RAILTYPE_OHLE]:[TRACK_TYPE_STANDARD_GAUGE_RAILTYPE_NONE]]),FALSE)</f>
        <v>0</v>
      </c>
      <c r="AF266" s="35" t="b">
        <f>IFERROR(OR(TRACK_TYPES[[#This Row],[TRACK_TYPE_NARROW_GAUGE_RAILTYPE_OHLE]:[TRACK_TYPE_NARROW_GAUGE_RAILTYPE_NONE]]),FALSE)</f>
        <v>0</v>
      </c>
      <c r="AG266" s="35" t="b">
        <f>IFERROR(OR(TRACK_TYPES[[#This Row],[TRACK_TYPE_BROAD_GAUGE_RAILTYPE_OHLE]:[TRACK_TYPE_BROAD_GAUGE_RAILTYPE_NONE]]),FALSE)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2893</v>
      </c>
      <c r="B267" s="37" t="str">
        <f>INDEX(CONTROL[ENGLISH],MATCH(PROPERTIES[[#This Row],[VEHIDCODE]],CONTROL[VEHIDCODE],0))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5" t="b">
        <f>IFERROR(OR(TRACK_TYPES[[#This Row],[TRACK_TYPE_STANDARD_GAUGE_RAILTYPE_OHLE]:[TRACK_TYPE_STANDARD_GAUGE_RAILTYPE_NONE]]),FALSE)</f>
        <v>0</v>
      </c>
      <c r="AF267" s="35" t="b">
        <f>IFERROR(OR(TRACK_TYPES[[#This Row],[TRACK_TYPE_NARROW_GAUGE_RAILTYPE_OHLE]:[TRACK_TYPE_NARROW_GAUGE_RAILTYPE_NONE]]),FALSE)</f>
        <v>1</v>
      </c>
      <c r="AG267" s="35" t="b">
        <f>IFERROR(OR(TRACK_TYPES[[#This Row],[TRACK_TYPE_BROAD_GAUGE_RAILTYPE_OHLE]:[TRACK_TYPE_BROAD_GAUGE_RAILTYPE_NONE]]),FALSE)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2894</v>
      </c>
      <c r="B268" s="37" t="str">
        <f>INDEX(CONTROL[ENGLISH],MATCH(PROPERTIES[[#This Row],[VEHIDCODE]],CONTROL[VEHIDCODE],0))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5" t="b">
        <f>IFERROR(OR(TRACK_TYPES[[#This Row],[TRACK_TYPE_STANDARD_GAUGE_RAILTYPE_OHLE]:[TRACK_TYPE_STANDARD_GAUGE_RAILTYPE_NONE]]),FALSE)</f>
        <v>0</v>
      </c>
      <c r="AF268" s="35" t="b">
        <f>IFERROR(OR(TRACK_TYPES[[#This Row],[TRACK_TYPE_NARROW_GAUGE_RAILTYPE_OHLE]:[TRACK_TYPE_NARROW_GAUGE_RAILTYPE_NONE]]),FALSE)</f>
        <v>0</v>
      </c>
      <c r="AG268" s="35" t="b">
        <f>IFERROR(OR(TRACK_TYPES[[#This Row],[TRACK_TYPE_BROAD_GAUGE_RAILTYPE_OHLE]:[TRACK_TYPE_BROAD_GAUGE_RAILTYPE_NONE]]),FALSE)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2895</v>
      </c>
      <c r="B269" s="37" t="str">
        <f>INDEX(CONTROL[ENGLISH],MATCH(PROPERTIES[[#This Row],[VEHIDCODE]],CONTROL[VEHIDCODE],0))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5" t="b">
        <f>IFERROR(OR(TRACK_TYPES[[#This Row],[TRACK_TYPE_STANDARD_GAUGE_RAILTYPE_OHLE]:[TRACK_TYPE_STANDARD_GAUGE_RAILTYPE_NONE]]),FALSE)</f>
        <v>0</v>
      </c>
      <c r="AF269" s="35" t="b">
        <f>IFERROR(OR(TRACK_TYPES[[#This Row],[TRACK_TYPE_NARROW_GAUGE_RAILTYPE_OHLE]:[TRACK_TYPE_NARROW_GAUGE_RAILTYPE_NONE]]),FALSE)</f>
        <v>1</v>
      </c>
      <c r="AG269" s="35" t="b">
        <f>IFERROR(OR(TRACK_TYPES[[#This Row],[TRACK_TYPE_BROAD_GAUGE_RAILTYPE_OHLE]:[TRACK_TYPE_BROAD_GAUGE_RAILTYPE_NONE]]),FALSE)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2896</v>
      </c>
      <c r="B270" s="37" t="str">
        <f>INDEX(CONTROL[ENGLISH],MATCH(PROPERTIES[[#This Row],[VEHIDCODE]],CONTROL[VEHIDCODE],0))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5" t="b">
        <f>IFERROR(OR(TRACK_TYPES[[#This Row],[TRACK_TYPE_STANDARD_GAUGE_RAILTYPE_OHLE]:[TRACK_TYPE_STANDARD_GAUGE_RAILTYPE_NONE]]),FALSE)</f>
        <v>1</v>
      </c>
      <c r="AF270" s="35" t="b">
        <f>IFERROR(OR(TRACK_TYPES[[#This Row],[TRACK_TYPE_NARROW_GAUGE_RAILTYPE_OHLE]:[TRACK_TYPE_NARROW_GAUGE_RAILTYPE_NONE]]),FALSE)</f>
        <v>1</v>
      </c>
      <c r="AG270" s="35" t="b">
        <f>IFERROR(OR(TRACK_TYPES[[#This Row],[TRACK_TYPE_BROAD_GAUGE_RAILTYPE_OHLE]:[TRACK_TYPE_BROAD_GAUGE_RAILTYPE_NONE]]),FALSE)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2897</v>
      </c>
      <c r="B271" s="37" t="str">
        <f>INDEX(CONTROL[ENGLISH],MATCH(PROPERTIES[[#This Row],[VEHIDCODE]],CONTROL[VEHIDCODE],0))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5" t="b">
        <f>IFERROR(OR(TRACK_TYPES[[#This Row],[TRACK_TYPE_STANDARD_GAUGE_RAILTYPE_OHLE]:[TRACK_TYPE_STANDARD_GAUGE_RAILTYPE_NONE]]),FALSE)</f>
        <v>1</v>
      </c>
      <c r="AF271" s="35" t="b">
        <f>IFERROR(OR(TRACK_TYPES[[#This Row],[TRACK_TYPE_NARROW_GAUGE_RAILTYPE_OHLE]:[TRACK_TYPE_NARROW_GAUGE_RAILTYPE_NONE]]),FALSE)</f>
        <v>1</v>
      </c>
      <c r="AG271" s="35" t="b">
        <f>IFERROR(OR(TRACK_TYPES[[#This Row],[TRACK_TYPE_BROAD_GAUGE_RAILTYPE_OHLE]:[TRACK_TYPE_BROAD_GAUGE_RAILTYPE_NONE]]),FALSE)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2898</v>
      </c>
      <c r="B272" s="37" t="str">
        <f>INDEX(CONTROL[ENGLISH],MATCH(PROPERTIES[[#This Row],[VEHIDCODE]],CONTROL[VEHIDCODE],0))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5" t="b">
        <f>IFERROR(OR(TRACK_TYPES[[#This Row],[TRACK_TYPE_STANDARD_GAUGE_RAILTYPE_OHLE]:[TRACK_TYPE_STANDARD_GAUGE_RAILTYPE_NONE]]),FALSE)</f>
        <v>0</v>
      </c>
      <c r="AF272" s="35" t="b">
        <f>IFERROR(OR(TRACK_TYPES[[#This Row],[TRACK_TYPE_NARROW_GAUGE_RAILTYPE_OHLE]:[TRACK_TYPE_NARROW_GAUGE_RAILTYPE_NONE]]),FALSE)</f>
        <v>1</v>
      </c>
      <c r="AG272" s="35" t="b">
        <f>IFERROR(OR(TRACK_TYPES[[#This Row],[TRACK_TYPE_BROAD_GAUGE_RAILTYPE_OHLE]:[TRACK_TYPE_BROAD_GAUGE_RAILTYPE_NONE]]),FALSE)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2899</v>
      </c>
      <c r="B273" s="37" t="str">
        <f>INDEX(CONTROL[ENGLISH],MATCH(PROPERTIES[[#This Row],[VEHIDCODE]],CONTROL[VEHIDCODE],0))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5" t="b">
        <f>IFERROR(OR(TRACK_TYPES[[#This Row],[TRACK_TYPE_STANDARD_GAUGE_RAILTYPE_OHLE]:[TRACK_TYPE_STANDARD_GAUGE_RAILTYPE_NONE]]),FALSE)</f>
        <v>1</v>
      </c>
      <c r="AF273" s="35" t="b">
        <f>IFERROR(OR(TRACK_TYPES[[#This Row],[TRACK_TYPE_NARROW_GAUGE_RAILTYPE_OHLE]:[TRACK_TYPE_NARROW_GAUGE_RAILTYPE_NONE]]),FALSE)</f>
        <v>0</v>
      </c>
      <c r="AG273" s="35" t="b">
        <f>IFERROR(OR(TRACK_TYPES[[#This Row],[TRACK_TYPE_BROAD_GAUGE_RAILTYPE_OHLE]:[TRACK_TYPE_BROAD_GAUGE_RAILTYPE_NONE]]),FALSE)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2900</v>
      </c>
      <c r="B274" s="37" t="str">
        <f>INDEX(CONTROL[ENGLISH],MATCH(PROPERTIES[[#This Row],[VEHIDCODE]],CONTROL[VEHIDCODE],0))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5" t="b">
        <f>IFERROR(OR(TRACK_TYPES[[#This Row],[TRACK_TYPE_STANDARD_GAUGE_RAILTYPE_OHLE]:[TRACK_TYPE_STANDARD_GAUGE_RAILTYPE_NONE]]),FALSE)</f>
        <v>0</v>
      </c>
      <c r="AF274" s="35" t="b">
        <f>IFERROR(OR(TRACK_TYPES[[#This Row],[TRACK_TYPE_NARROW_GAUGE_RAILTYPE_OHLE]:[TRACK_TYPE_NARROW_GAUGE_RAILTYPE_NONE]]),FALSE)</f>
        <v>0</v>
      </c>
      <c r="AG274" s="35" t="b">
        <f>IFERROR(OR(TRACK_TYPES[[#This Row],[TRACK_TYPE_BROAD_GAUGE_RAILTYPE_OHLE]:[TRACK_TYPE_BROAD_GAUGE_RAILTYPE_NONE]]),FALSE)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2901</v>
      </c>
      <c r="B275" s="37" t="str">
        <f>INDEX(CONTROL[ENGLISH],MATCH(PROPERTIES[[#This Row],[VEHIDCODE]],CONTROL[VEHIDCODE],0))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5" t="b">
        <f>IFERROR(OR(TRACK_TYPES[[#This Row],[TRACK_TYPE_STANDARD_GAUGE_RAILTYPE_OHLE]:[TRACK_TYPE_STANDARD_GAUGE_RAILTYPE_NONE]]),FALSE)</f>
        <v>0</v>
      </c>
      <c r="AF275" s="35" t="b">
        <f>IFERROR(OR(TRACK_TYPES[[#This Row],[TRACK_TYPE_NARROW_GAUGE_RAILTYPE_OHLE]:[TRACK_TYPE_NARROW_GAUGE_RAILTYPE_NONE]]),FALSE)</f>
        <v>0</v>
      </c>
      <c r="AG275" s="35" t="b">
        <f>IFERROR(OR(TRACK_TYPES[[#This Row],[TRACK_TYPE_BROAD_GAUGE_RAILTYPE_OHLE]:[TRACK_TYPE_BROAD_GAUGE_RAILTYPE_NONE]]),FALSE)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2902</v>
      </c>
      <c r="B276" s="37" t="str">
        <f>INDEX(CONTROL[ENGLISH],MATCH(PROPERTIES[[#This Row],[VEHIDCODE]],CONTROL[VEHIDCODE],0))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5" t="b">
        <f>IFERROR(OR(TRACK_TYPES[[#This Row],[TRACK_TYPE_STANDARD_GAUGE_RAILTYPE_OHLE]:[TRACK_TYPE_STANDARD_GAUGE_RAILTYPE_NONE]]),FALSE)</f>
        <v>0</v>
      </c>
      <c r="AF276" s="35" t="b">
        <f>IFERROR(OR(TRACK_TYPES[[#This Row],[TRACK_TYPE_NARROW_GAUGE_RAILTYPE_OHLE]:[TRACK_TYPE_NARROW_GAUGE_RAILTYPE_NONE]]),FALSE)</f>
        <v>1</v>
      </c>
      <c r="AG276" s="35" t="b">
        <f>IFERROR(OR(TRACK_TYPES[[#This Row],[TRACK_TYPE_BROAD_GAUGE_RAILTYPE_OHLE]:[TRACK_TYPE_BROAD_GAUGE_RAILTYPE_NONE]]),FALSE)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2903</v>
      </c>
      <c r="B277" s="37" t="str">
        <f>INDEX(CONTROL[ENGLISH],MATCH(PROPERTIES[[#This Row],[VEHIDCODE]],CONTROL[VEHIDCODE],0))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5" t="b">
        <f>IFERROR(OR(TRACK_TYPES[[#This Row],[TRACK_TYPE_STANDARD_GAUGE_RAILTYPE_OHLE]:[TRACK_TYPE_STANDARD_GAUGE_RAILTYPE_NONE]]),FALSE)</f>
        <v>1</v>
      </c>
      <c r="AF277" s="35" t="b">
        <f>IFERROR(OR(TRACK_TYPES[[#This Row],[TRACK_TYPE_NARROW_GAUGE_RAILTYPE_OHLE]:[TRACK_TYPE_NARROW_GAUGE_RAILTYPE_NONE]]),FALSE)</f>
        <v>1</v>
      </c>
      <c r="AG277" s="35" t="b">
        <f>IFERROR(OR(TRACK_TYPES[[#This Row],[TRACK_TYPE_BROAD_GAUGE_RAILTYPE_OHLE]:[TRACK_TYPE_BROAD_GAUGE_RAILTYPE_NONE]]),FALSE)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2904</v>
      </c>
      <c r="B278" s="37" t="str">
        <f>INDEX(CONTROL[ENGLISH],MATCH(PROPERTIES[[#This Row],[VEHIDCODE]],CONTROL[VEHIDCODE],0))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5" t="b">
        <f>IFERROR(OR(TRACK_TYPES[[#This Row],[TRACK_TYPE_STANDARD_GAUGE_RAILTYPE_OHLE]:[TRACK_TYPE_STANDARD_GAUGE_RAILTYPE_NONE]]),FALSE)</f>
        <v>1</v>
      </c>
      <c r="AF278" s="35" t="b">
        <f>IFERROR(OR(TRACK_TYPES[[#This Row],[TRACK_TYPE_NARROW_GAUGE_RAILTYPE_OHLE]:[TRACK_TYPE_NARROW_GAUGE_RAILTYPE_NONE]]),FALSE)</f>
        <v>0</v>
      </c>
      <c r="AG278" s="35" t="b">
        <f>IFERROR(OR(TRACK_TYPES[[#This Row],[TRACK_TYPE_BROAD_GAUGE_RAILTYPE_OHLE]:[TRACK_TYPE_BROAD_GAUGE_RAILTYPE_NONE]]),FALSE)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2905</v>
      </c>
      <c r="B279" s="37" t="str">
        <f>INDEX(CONTROL[ENGLISH],MATCH(PROPERTIES[[#This Row],[VEHIDCODE]],CONTROL[VEHIDCODE],0))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5" t="b">
        <f>IFERROR(OR(TRACK_TYPES[[#This Row],[TRACK_TYPE_STANDARD_GAUGE_RAILTYPE_OHLE]:[TRACK_TYPE_STANDARD_GAUGE_RAILTYPE_NONE]]),FALSE)</f>
        <v>1</v>
      </c>
      <c r="AF279" s="35" t="b">
        <f>IFERROR(OR(TRACK_TYPES[[#This Row],[TRACK_TYPE_NARROW_GAUGE_RAILTYPE_OHLE]:[TRACK_TYPE_NARROW_GAUGE_RAILTYPE_NONE]]),FALSE)</f>
        <v>0</v>
      </c>
      <c r="AG279" s="35" t="b">
        <f>IFERROR(OR(TRACK_TYPES[[#This Row],[TRACK_TYPE_BROAD_GAUGE_RAILTYPE_OHLE]:[TRACK_TYPE_BROAD_GAUGE_RAILTYPE_NONE]]),FALSE)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2906</v>
      </c>
      <c r="B280" s="37" t="str">
        <f>INDEX(CONTROL[ENGLISH],MATCH(PROPERTIES[[#This Row],[VEHIDCODE]],CONTROL[VEHIDCODE],0))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5" t="b">
        <f>IFERROR(OR(TRACK_TYPES[[#This Row],[TRACK_TYPE_STANDARD_GAUGE_RAILTYPE_OHLE]:[TRACK_TYPE_STANDARD_GAUGE_RAILTYPE_NONE]]),FALSE)</f>
        <v>1</v>
      </c>
      <c r="AF280" s="35" t="b">
        <f>IFERROR(OR(TRACK_TYPES[[#This Row],[TRACK_TYPE_NARROW_GAUGE_RAILTYPE_OHLE]:[TRACK_TYPE_NARROW_GAUGE_RAILTYPE_NONE]]),FALSE)</f>
        <v>1</v>
      </c>
      <c r="AG280" s="35" t="b">
        <f>IFERROR(OR(TRACK_TYPES[[#This Row],[TRACK_TYPE_BROAD_GAUGE_RAILTYPE_OHLE]:[TRACK_TYPE_BROAD_GAUGE_RAILTYPE_NONE]]),FALSE)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2907</v>
      </c>
      <c r="B281" s="37" t="str">
        <f>INDEX(CONTROL[ENGLISH],MATCH(PROPERTIES[[#This Row],[VEHIDCODE]],CONTROL[VEHIDCODE],0))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5" t="b">
        <f>IFERROR(OR(TRACK_TYPES[[#This Row],[TRACK_TYPE_STANDARD_GAUGE_RAILTYPE_OHLE]:[TRACK_TYPE_STANDARD_GAUGE_RAILTYPE_NONE]]),FALSE)</f>
        <v>1</v>
      </c>
      <c r="AF281" s="35" t="b">
        <f>IFERROR(OR(TRACK_TYPES[[#This Row],[TRACK_TYPE_NARROW_GAUGE_RAILTYPE_OHLE]:[TRACK_TYPE_NARROW_GAUGE_RAILTYPE_NONE]]),FALSE)</f>
        <v>0</v>
      </c>
      <c r="AG281" s="35" t="b">
        <f>IFERROR(OR(TRACK_TYPES[[#This Row],[TRACK_TYPE_BROAD_GAUGE_RAILTYPE_OHLE]:[TRACK_TYPE_BROAD_GAUGE_RAILTYPE_NONE]]),FALSE)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2908</v>
      </c>
      <c r="B282" s="37" t="str">
        <f>INDEX(CONTROL[ENGLISH],MATCH(PROPERTIES[[#This Row],[VEHIDCODE]],CONTROL[VEHIDCODE],0))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5" t="b">
        <f>IFERROR(OR(TRACK_TYPES[[#This Row],[TRACK_TYPE_STANDARD_GAUGE_RAILTYPE_OHLE]:[TRACK_TYPE_STANDARD_GAUGE_RAILTYPE_NONE]]),FALSE)</f>
        <v>0</v>
      </c>
      <c r="AF282" s="35" t="b">
        <f>IFERROR(OR(TRACK_TYPES[[#This Row],[TRACK_TYPE_NARROW_GAUGE_RAILTYPE_OHLE]:[TRACK_TYPE_NARROW_GAUGE_RAILTYPE_NONE]]),FALSE)</f>
        <v>0</v>
      </c>
      <c r="AG282" s="35" t="b">
        <f>IFERROR(OR(TRACK_TYPES[[#This Row],[TRACK_TYPE_BROAD_GAUGE_RAILTYPE_OHLE]:[TRACK_TYPE_BROAD_GAUGE_RAILTYPE_NONE]]),FALSE)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2909</v>
      </c>
      <c r="B283" s="37" t="str">
        <f>INDEX(CONTROL[ENGLISH],MATCH(PROPERTIES[[#This Row],[VEHIDCODE]],CONTROL[VEHIDCODE],0))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5" t="b">
        <f>IFERROR(OR(TRACK_TYPES[[#This Row],[TRACK_TYPE_STANDARD_GAUGE_RAILTYPE_OHLE]:[TRACK_TYPE_STANDARD_GAUGE_RAILTYPE_NONE]]),FALSE)</f>
        <v>0</v>
      </c>
      <c r="AF283" s="35" t="b">
        <f>IFERROR(OR(TRACK_TYPES[[#This Row],[TRACK_TYPE_NARROW_GAUGE_RAILTYPE_OHLE]:[TRACK_TYPE_NARROW_GAUGE_RAILTYPE_NONE]]),FALSE)</f>
        <v>0</v>
      </c>
      <c r="AG283" s="35" t="b">
        <f>IFERROR(OR(TRACK_TYPES[[#This Row],[TRACK_TYPE_BROAD_GAUGE_RAILTYPE_OHLE]:[TRACK_TYPE_BROAD_GAUGE_RAILTYPE_NONE]]),FALSE)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2910</v>
      </c>
      <c r="B284" s="37" t="str">
        <f>INDEX(CONTROL[ENGLISH],MATCH(PROPERTIES[[#This Row],[VEHIDCODE]],CONTROL[VEHIDCODE],0))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5" t="b">
        <f>IFERROR(OR(TRACK_TYPES[[#This Row],[TRACK_TYPE_STANDARD_GAUGE_RAILTYPE_OHLE]:[TRACK_TYPE_STANDARD_GAUGE_RAILTYPE_NONE]]),FALSE)</f>
        <v>1</v>
      </c>
      <c r="AF284" s="35" t="b">
        <f>IFERROR(OR(TRACK_TYPES[[#This Row],[TRACK_TYPE_NARROW_GAUGE_RAILTYPE_OHLE]:[TRACK_TYPE_NARROW_GAUGE_RAILTYPE_NONE]]),FALSE)</f>
        <v>0</v>
      </c>
      <c r="AG284" s="35" t="b">
        <f>IFERROR(OR(TRACK_TYPES[[#This Row],[TRACK_TYPE_BROAD_GAUGE_RAILTYPE_OHLE]:[TRACK_TYPE_BROAD_GAUGE_RAILTYPE_NONE]]),FALSE)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2911</v>
      </c>
      <c r="B285" s="37" t="str">
        <f>INDEX(CONTROL[ENGLISH],MATCH(PROPERTIES[[#This Row],[VEHIDCODE]],CONTROL[VEHIDCODE],0))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5" t="b">
        <f>IFERROR(OR(TRACK_TYPES[[#This Row],[TRACK_TYPE_STANDARD_GAUGE_RAILTYPE_OHLE]:[TRACK_TYPE_STANDARD_GAUGE_RAILTYPE_NONE]]),FALSE)</f>
        <v>0</v>
      </c>
      <c r="AF285" s="35" t="b">
        <f>IFERROR(OR(TRACK_TYPES[[#This Row],[TRACK_TYPE_NARROW_GAUGE_RAILTYPE_OHLE]:[TRACK_TYPE_NARROW_GAUGE_RAILTYPE_NONE]]),FALSE)</f>
        <v>0</v>
      </c>
      <c r="AG285" s="35" t="b">
        <f>IFERROR(OR(TRACK_TYPES[[#This Row],[TRACK_TYPE_BROAD_GAUGE_RAILTYPE_OHLE]:[TRACK_TYPE_BROAD_GAUGE_RAILTYPE_NONE]]),FALSE)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2912</v>
      </c>
      <c r="B286" s="37" t="str">
        <f>INDEX(CONTROL[ENGLISH],MATCH(PROPERTIES[[#This Row],[VEHIDCODE]],CONTROL[VEHIDCODE],0))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5" t="b">
        <f>IFERROR(OR(TRACK_TYPES[[#This Row],[TRACK_TYPE_STANDARD_GAUGE_RAILTYPE_OHLE]:[TRACK_TYPE_STANDARD_GAUGE_RAILTYPE_NONE]]),FALSE)</f>
        <v>0</v>
      </c>
      <c r="AF286" s="35" t="b">
        <f>IFERROR(OR(TRACK_TYPES[[#This Row],[TRACK_TYPE_NARROW_GAUGE_RAILTYPE_OHLE]:[TRACK_TYPE_NARROW_GAUGE_RAILTYPE_NONE]]),FALSE)</f>
        <v>0</v>
      </c>
      <c r="AG286" s="35" t="b">
        <f>IFERROR(OR(TRACK_TYPES[[#This Row],[TRACK_TYPE_BROAD_GAUGE_RAILTYPE_OHLE]:[TRACK_TYPE_BROAD_GAUGE_RAILTYPE_NONE]]),FALSE)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2913</v>
      </c>
      <c r="B287" s="37" t="str">
        <f>INDEX(CONTROL[ENGLISH],MATCH(PROPERTIES[[#This Row],[VEHIDCODE]],CONTROL[VEHIDCODE],0))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5" t="b">
        <f>IFERROR(OR(TRACK_TYPES[[#This Row],[TRACK_TYPE_STANDARD_GAUGE_RAILTYPE_OHLE]:[TRACK_TYPE_STANDARD_GAUGE_RAILTYPE_NONE]]),FALSE)</f>
        <v>1</v>
      </c>
      <c r="AF287" s="35" t="b">
        <f>IFERROR(OR(TRACK_TYPES[[#This Row],[TRACK_TYPE_NARROW_GAUGE_RAILTYPE_OHLE]:[TRACK_TYPE_NARROW_GAUGE_RAILTYPE_NONE]]),FALSE)</f>
        <v>0</v>
      </c>
      <c r="AG287" s="35" t="b">
        <f>IFERROR(OR(TRACK_TYPES[[#This Row],[TRACK_TYPE_BROAD_GAUGE_RAILTYPE_OHLE]:[TRACK_TYPE_BROAD_GAUGE_RAILTYPE_NONE]]),FALSE)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2914</v>
      </c>
      <c r="B288" s="37" t="str">
        <f>INDEX(CONTROL[ENGLISH],MATCH(PROPERTIES[[#This Row],[VEHIDCODE]],CONTROL[VEHIDCODE],0))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5" t="b">
        <f>IFERROR(OR(TRACK_TYPES[[#This Row],[TRACK_TYPE_STANDARD_GAUGE_RAILTYPE_OHLE]:[TRACK_TYPE_STANDARD_GAUGE_RAILTYPE_NONE]]),FALSE)</f>
        <v>1</v>
      </c>
      <c r="AF288" s="35" t="b">
        <f>IFERROR(OR(TRACK_TYPES[[#This Row],[TRACK_TYPE_NARROW_GAUGE_RAILTYPE_OHLE]:[TRACK_TYPE_NARROW_GAUGE_RAILTYPE_NONE]]),FALSE)</f>
        <v>0</v>
      </c>
      <c r="AG288" s="35" t="b">
        <f>IFERROR(OR(TRACK_TYPES[[#This Row],[TRACK_TYPE_BROAD_GAUGE_RAILTYPE_OHLE]:[TRACK_TYPE_BROAD_GAUGE_RAILTYPE_NONE]]),FALSE)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2915</v>
      </c>
      <c r="B289" s="37" t="str">
        <f>INDEX(CONTROL[ENGLISH],MATCH(PROPERTIES[[#This Row],[VEHIDCODE]],CONTROL[VEHIDCODE],0))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5" t="b">
        <f>IFERROR(OR(TRACK_TYPES[[#This Row],[TRACK_TYPE_STANDARD_GAUGE_RAILTYPE_OHLE]:[TRACK_TYPE_STANDARD_GAUGE_RAILTYPE_NONE]]),FALSE)</f>
        <v>0</v>
      </c>
      <c r="AF289" s="35" t="b">
        <f>IFERROR(OR(TRACK_TYPES[[#This Row],[TRACK_TYPE_NARROW_GAUGE_RAILTYPE_OHLE]:[TRACK_TYPE_NARROW_GAUGE_RAILTYPE_NONE]]),FALSE)</f>
        <v>0</v>
      </c>
      <c r="AG289" s="35" t="b">
        <f>IFERROR(OR(TRACK_TYPES[[#This Row],[TRACK_TYPE_BROAD_GAUGE_RAILTYPE_OHLE]:[TRACK_TYPE_BROAD_GAUGE_RAILTYPE_NONE]]),FALSE)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2916</v>
      </c>
      <c r="B290" s="37" t="str">
        <f>INDEX(CONTROL[ENGLISH],MATCH(PROPERTIES[[#This Row],[VEHIDCODE]],CONTROL[VEHIDCODE],0))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5" t="b">
        <f>IFERROR(OR(TRACK_TYPES[[#This Row],[TRACK_TYPE_STANDARD_GAUGE_RAILTYPE_OHLE]:[TRACK_TYPE_STANDARD_GAUGE_RAILTYPE_NONE]]),FALSE)</f>
        <v>1</v>
      </c>
      <c r="AF290" s="35" t="b">
        <f>IFERROR(OR(TRACK_TYPES[[#This Row],[TRACK_TYPE_NARROW_GAUGE_RAILTYPE_OHLE]:[TRACK_TYPE_NARROW_GAUGE_RAILTYPE_NONE]]),FALSE)</f>
        <v>0</v>
      </c>
      <c r="AG290" s="35" t="b">
        <f>IFERROR(OR(TRACK_TYPES[[#This Row],[TRACK_TYPE_BROAD_GAUGE_RAILTYPE_OHLE]:[TRACK_TYPE_BROAD_GAUGE_RAILTYPE_NONE]]),FALSE)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2917</v>
      </c>
      <c r="B291" s="37" t="str">
        <f>INDEX(CONTROL[ENGLISH],MATCH(PROPERTIES[[#This Row],[VEHIDCODE]],CONTROL[VEHIDCODE],0))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5" t="b">
        <f>IFERROR(OR(TRACK_TYPES[[#This Row],[TRACK_TYPE_STANDARD_GAUGE_RAILTYPE_OHLE]:[TRACK_TYPE_STANDARD_GAUGE_RAILTYPE_NONE]]),FALSE)</f>
        <v>1</v>
      </c>
      <c r="AF291" s="35" t="b">
        <f>IFERROR(OR(TRACK_TYPES[[#This Row],[TRACK_TYPE_NARROW_GAUGE_RAILTYPE_OHLE]:[TRACK_TYPE_NARROW_GAUGE_RAILTYPE_NONE]]),FALSE)</f>
        <v>0</v>
      </c>
      <c r="AG291" s="35" t="b">
        <f>IFERROR(OR(TRACK_TYPES[[#This Row],[TRACK_TYPE_BROAD_GAUGE_RAILTYPE_OHLE]:[TRACK_TYPE_BROAD_GAUGE_RAILTYPE_NONE]]),FALSE)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2918</v>
      </c>
      <c r="B292" s="37" t="str">
        <f>INDEX(CONTROL[ENGLISH],MATCH(PROPERTIES[[#This Row],[VEHIDCODE]],CONTROL[VEHIDCODE],0))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5" t="b">
        <f>IFERROR(OR(TRACK_TYPES[[#This Row],[TRACK_TYPE_STANDARD_GAUGE_RAILTYPE_OHLE]:[TRACK_TYPE_STANDARD_GAUGE_RAILTYPE_NONE]]),FALSE)</f>
        <v>1</v>
      </c>
      <c r="AF292" s="35" t="b">
        <f>IFERROR(OR(TRACK_TYPES[[#This Row],[TRACK_TYPE_NARROW_GAUGE_RAILTYPE_OHLE]:[TRACK_TYPE_NARROW_GAUGE_RAILTYPE_NONE]]),FALSE)</f>
        <v>0</v>
      </c>
      <c r="AG292" s="35" t="b">
        <f>IFERROR(OR(TRACK_TYPES[[#This Row],[TRACK_TYPE_BROAD_GAUGE_RAILTYPE_OHLE]:[TRACK_TYPE_BROAD_GAUGE_RAILTYPE_NONE]]),FALSE)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2919</v>
      </c>
      <c r="B293" s="37" t="str">
        <f>INDEX(CONTROL[ENGLISH],MATCH(PROPERTIES[[#This Row],[VEHIDCODE]],CONTROL[VEHIDCODE],0))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5" t="b">
        <f>IFERROR(OR(TRACK_TYPES[[#This Row],[TRACK_TYPE_STANDARD_GAUGE_RAILTYPE_OHLE]:[TRACK_TYPE_STANDARD_GAUGE_RAILTYPE_NONE]]),FALSE)</f>
        <v>1</v>
      </c>
      <c r="AF293" s="35" t="b">
        <f>IFERROR(OR(TRACK_TYPES[[#This Row],[TRACK_TYPE_NARROW_GAUGE_RAILTYPE_OHLE]:[TRACK_TYPE_NARROW_GAUGE_RAILTYPE_NONE]]),FALSE)</f>
        <v>0</v>
      </c>
      <c r="AG293" s="35" t="b">
        <f>IFERROR(OR(TRACK_TYPES[[#This Row],[TRACK_TYPE_BROAD_GAUGE_RAILTYPE_OHLE]:[TRACK_TYPE_BROAD_GAUGE_RAILTYPE_NONE]]),FALSE)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2920</v>
      </c>
      <c r="B294" s="37" t="str">
        <f>INDEX(CONTROL[ENGLISH],MATCH(PROPERTIES[[#This Row],[VEHIDCODE]],CONTROL[VEHIDCODE],0))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5" t="b">
        <f>IFERROR(OR(TRACK_TYPES[[#This Row],[TRACK_TYPE_STANDARD_GAUGE_RAILTYPE_OHLE]:[TRACK_TYPE_STANDARD_GAUGE_RAILTYPE_NONE]]),FALSE)</f>
        <v>0</v>
      </c>
      <c r="AF294" s="35" t="b">
        <f>IFERROR(OR(TRACK_TYPES[[#This Row],[TRACK_TYPE_NARROW_GAUGE_RAILTYPE_OHLE]:[TRACK_TYPE_NARROW_GAUGE_RAILTYPE_NONE]]),FALSE)</f>
        <v>1</v>
      </c>
      <c r="AG294" s="35" t="b">
        <f>IFERROR(OR(TRACK_TYPES[[#This Row],[TRACK_TYPE_BROAD_GAUGE_RAILTYPE_OHLE]:[TRACK_TYPE_BROAD_GAUGE_RAILTYPE_NONE]]),FALSE)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2921</v>
      </c>
      <c r="B295" s="37" t="str">
        <f>INDEX(CONTROL[ENGLISH],MATCH(PROPERTIES[[#This Row],[VEHIDCODE]],CONTROL[VEHIDCODE],0))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5" t="b">
        <f>IFERROR(OR(TRACK_TYPES[[#This Row],[TRACK_TYPE_STANDARD_GAUGE_RAILTYPE_OHLE]:[TRACK_TYPE_STANDARD_GAUGE_RAILTYPE_NONE]]),FALSE)</f>
        <v>0</v>
      </c>
      <c r="AF295" s="35" t="b">
        <f>IFERROR(OR(TRACK_TYPES[[#This Row],[TRACK_TYPE_NARROW_GAUGE_RAILTYPE_OHLE]:[TRACK_TYPE_NARROW_GAUGE_RAILTYPE_NONE]]),FALSE)</f>
        <v>0</v>
      </c>
      <c r="AG295" s="35" t="b">
        <f>IFERROR(OR(TRACK_TYPES[[#This Row],[TRACK_TYPE_BROAD_GAUGE_RAILTYPE_OHLE]:[TRACK_TYPE_BROAD_GAUGE_RAILTYPE_NONE]]),FALSE)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2922</v>
      </c>
      <c r="B296" s="37" t="str">
        <f>INDEX(CONTROL[ENGLISH],MATCH(PROPERTIES[[#This Row],[VEHIDCODE]],CONTROL[VEHIDCODE],0))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5" t="b">
        <f>IFERROR(OR(TRACK_TYPES[[#This Row],[TRACK_TYPE_STANDARD_GAUGE_RAILTYPE_OHLE]:[TRACK_TYPE_STANDARD_GAUGE_RAILTYPE_NONE]]),FALSE)</f>
        <v>1</v>
      </c>
      <c r="AF296" s="35" t="b">
        <f>IFERROR(OR(TRACK_TYPES[[#This Row],[TRACK_TYPE_NARROW_GAUGE_RAILTYPE_OHLE]:[TRACK_TYPE_NARROW_GAUGE_RAILTYPE_NONE]]),FALSE)</f>
        <v>0</v>
      </c>
      <c r="AG296" s="35" t="b">
        <f>IFERROR(OR(TRACK_TYPES[[#This Row],[TRACK_TYPE_BROAD_GAUGE_RAILTYPE_OHLE]:[TRACK_TYPE_BROAD_GAUGE_RAILTYPE_NONE]]),FALSE)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2923</v>
      </c>
      <c r="B297" s="37" t="str">
        <f>INDEX(CONTROL[ENGLISH],MATCH(PROPERTIES[[#This Row],[VEHIDCODE]],CONTROL[VEHIDCODE],0))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5" t="b">
        <f>IFERROR(OR(TRACK_TYPES[[#This Row],[TRACK_TYPE_STANDARD_GAUGE_RAILTYPE_OHLE]:[TRACK_TYPE_STANDARD_GAUGE_RAILTYPE_NONE]]),FALSE)</f>
        <v>1</v>
      </c>
      <c r="AF297" s="35" t="b">
        <f>IFERROR(OR(TRACK_TYPES[[#This Row],[TRACK_TYPE_NARROW_GAUGE_RAILTYPE_OHLE]:[TRACK_TYPE_NARROW_GAUGE_RAILTYPE_NONE]]),FALSE)</f>
        <v>0</v>
      </c>
      <c r="AG297" s="35" t="b">
        <f>IFERROR(OR(TRACK_TYPES[[#This Row],[TRACK_TYPE_BROAD_GAUGE_RAILTYPE_OHLE]:[TRACK_TYPE_BROAD_GAUGE_RAILTYPE_NONE]]),FALSE)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2924</v>
      </c>
      <c r="B298" s="37" t="str">
        <f>INDEX(CONTROL[ENGLISH],MATCH(PROPERTIES[[#This Row],[VEHIDCODE]],CONTROL[VEHIDCODE],0))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5" t="b">
        <f>IFERROR(OR(TRACK_TYPES[[#This Row],[TRACK_TYPE_STANDARD_GAUGE_RAILTYPE_OHLE]:[TRACK_TYPE_STANDARD_GAUGE_RAILTYPE_NONE]]),FALSE)</f>
        <v>1</v>
      </c>
      <c r="AF298" s="35" t="b">
        <f>IFERROR(OR(TRACK_TYPES[[#This Row],[TRACK_TYPE_NARROW_GAUGE_RAILTYPE_OHLE]:[TRACK_TYPE_NARROW_GAUGE_RAILTYPE_NONE]]),FALSE)</f>
        <v>0</v>
      </c>
      <c r="AG298" s="35" t="b">
        <f>IFERROR(OR(TRACK_TYPES[[#This Row],[TRACK_TYPE_BROAD_GAUGE_RAILTYPE_OHLE]:[TRACK_TYPE_BROAD_GAUGE_RAILTYPE_NONE]]),FALSE)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2925</v>
      </c>
      <c r="B299" s="37" t="str">
        <f>INDEX(CONTROL[ENGLISH],MATCH(PROPERTIES[[#This Row],[VEHIDCODE]],CONTROL[VEHIDCODE],0))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5" t="b">
        <f>IFERROR(OR(TRACK_TYPES[[#This Row],[TRACK_TYPE_STANDARD_GAUGE_RAILTYPE_OHLE]:[TRACK_TYPE_STANDARD_GAUGE_RAILTYPE_NONE]]),FALSE)</f>
        <v>1</v>
      </c>
      <c r="AF299" s="35" t="b">
        <f>IFERROR(OR(TRACK_TYPES[[#This Row],[TRACK_TYPE_NARROW_GAUGE_RAILTYPE_OHLE]:[TRACK_TYPE_NARROW_GAUGE_RAILTYPE_NONE]]),FALSE)</f>
        <v>0</v>
      </c>
      <c r="AG299" s="35" t="b">
        <f>IFERROR(OR(TRACK_TYPES[[#This Row],[TRACK_TYPE_BROAD_GAUGE_RAILTYPE_OHLE]:[TRACK_TYPE_BROAD_GAUGE_RAILTYPE_NONE]]),FALSE)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2926</v>
      </c>
      <c r="B300" s="37" t="str">
        <f>INDEX(CONTROL[ENGLISH],MATCH(PROPERTIES[[#This Row],[VEHIDCODE]],CONTROL[VEHIDCODE],0))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5" t="b">
        <f>IFERROR(OR(TRACK_TYPES[[#This Row],[TRACK_TYPE_STANDARD_GAUGE_RAILTYPE_OHLE]:[TRACK_TYPE_STANDARD_GAUGE_RAILTYPE_NONE]]),FALSE)</f>
        <v>1</v>
      </c>
      <c r="AF300" s="35" t="b">
        <f>IFERROR(OR(TRACK_TYPES[[#This Row],[TRACK_TYPE_NARROW_GAUGE_RAILTYPE_OHLE]:[TRACK_TYPE_NARROW_GAUGE_RAILTYPE_NONE]]),FALSE)</f>
        <v>0</v>
      </c>
      <c r="AG300" s="35" t="b">
        <f>IFERROR(OR(TRACK_TYPES[[#This Row],[TRACK_TYPE_BROAD_GAUGE_RAILTYPE_OHLE]:[TRACK_TYPE_BROAD_GAUGE_RAILTYPE_NONE]]),FALSE)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2927</v>
      </c>
      <c r="B301" s="37" t="str">
        <f>INDEX(CONTROL[ENGLISH],MATCH(PROPERTIES[[#This Row],[VEHIDCODE]],CONTROL[VEHIDCODE],0))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5" t="b">
        <f>IFERROR(OR(TRACK_TYPES[[#This Row],[TRACK_TYPE_STANDARD_GAUGE_RAILTYPE_OHLE]:[TRACK_TYPE_STANDARD_GAUGE_RAILTYPE_NONE]]),FALSE)</f>
        <v>1</v>
      </c>
      <c r="AF301" s="35" t="b">
        <f>IFERROR(OR(TRACK_TYPES[[#This Row],[TRACK_TYPE_NARROW_GAUGE_RAILTYPE_OHLE]:[TRACK_TYPE_NARROW_GAUGE_RAILTYPE_NONE]]),FALSE)</f>
        <v>0</v>
      </c>
      <c r="AG301" s="35" t="b">
        <f>IFERROR(OR(TRACK_TYPES[[#This Row],[TRACK_TYPE_BROAD_GAUGE_RAILTYPE_OHLE]:[TRACK_TYPE_BROAD_GAUGE_RAILTYPE_NONE]]),FALSE)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2928</v>
      </c>
      <c r="B302" s="37" t="str">
        <f>INDEX(CONTROL[ENGLISH],MATCH(PROPERTIES[[#This Row],[VEHIDCODE]],CONTROL[VEHIDCODE],0))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5" t="b">
        <f>IFERROR(OR(TRACK_TYPES[[#This Row],[TRACK_TYPE_STANDARD_GAUGE_RAILTYPE_OHLE]:[TRACK_TYPE_STANDARD_GAUGE_RAILTYPE_NONE]]),FALSE)</f>
        <v>1</v>
      </c>
      <c r="AF302" s="35" t="b">
        <f>IFERROR(OR(TRACK_TYPES[[#This Row],[TRACK_TYPE_NARROW_GAUGE_RAILTYPE_OHLE]:[TRACK_TYPE_NARROW_GAUGE_RAILTYPE_NONE]]),FALSE)</f>
        <v>0</v>
      </c>
      <c r="AG302" s="35" t="b">
        <f>IFERROR(OR(TRACK_TYPES[[#This Row],[TRACK_TYPE_BROAD_GAUGE_RAILTYPE_OHLE]:[TRACK_TYPE_BROAD_GAUGE_RAILTYPE_NONE]]),FALSE)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2929</v>
      </c>
      <c r="B303" s="37" t="str">
        <f>INDEX(CONTROL[ENGLISH],MATCH(PROPERTIES[[#This Row],[VEHIDCODE]],CONTROL[VEHIDCODE],0))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5" t="b">
        <f>IFERROR(OR(TRACK_TYPES[[#This Row],[TRACK_TYPE_STANDARD_GAUGE_RAILTYPE_OHLE]:[TRACK_TYPE_STANDARD_GAUGE_RAILTYPE_NONE]]),FALSE)</f>
        <v>1</v>
      </c>
      <c r="AF303" s="35" t="b">
        <f>IFERROR(OR(TRACK_TYPES[[#This Row],[TRACK_TYPE_NARROW_GAUGE_RAILTYPE_OHLE]:[TRACK_TYPE_NARROW_GAUGE_RAILTYPE_NONE]]),FALSE)</f>
        <v>0</v>
      </c>
      <c r="AG303" s="35" t="b">
        <f>IFERROR(OR(TRACK_TYPES[[#This Row],[TRACK_TYPE_BROAD_GAUGE_RAILTYPE_OHLE]:[TRACK_TYPE_BROAD_GAUGE_RAILTYPE_NONE]]),FALSE)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2930</v>
      </c>
      <c r="B304" s="37" t="str">
        <f>INDEX(CONTROL[ENGLISH],MATCH(PROPERTIES[[#This Row],[VEHIDCODE]],CONTROL[VEHIDCODE],0))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5" t="b">
        <f>IFERROR(OR(TRACK_TYPES[[#This Row],[TRACK_TYPE_STANDARD_GAUGE_RAILTYPE_OHLE]:[TRACK_TYPE_STANDARD_GAUGE_RAILTYPE_NONE]]),FALSE)</f>
        <v>1</v>
      </c>
      <c r="AF304" s="35" t="b">
        <f>IFERROR(OR(TRACK_TYPES[[#This Row],[TRACK_TYPE_NARROW_GAUGE_RAILTYPE_OHLE]:[TRACK_TYPE_NARROW_GAUGE_RAILTYPE_NONE]]),FALSE)</f>
        <v>0</v>
      </c>
      <c r="AG304" s="35" t="b">
        <f>IFERROR(OR(TRACK_TYPES[[#This Row],[TRACK_TYPE_BROAD_GAUGE_RAILTYPE_OHLE]:[TRACK_TYPE_BROAD_GAUGE_RAILTYPE_NONE]]),FALSE)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2931</v>
      </c>
      <c r="B305" s="37" t="str">
        <f>INDEX(CONTROL[ENGLISH],MATCH(PROPERTIES[[#This Row],[VEHIDCODE]],CONTROL[VEHIDCODE],0))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5" t="b">
        <f>IFERROR(OR(TRACK_TYPES[[#This Row],[TRACK_TYPE_STANDARD_GAUGE_RAILTYPE_OHLE]:[TRACK_TYPE_STANDARD_GAUGE_RAILTYPE_NONE]]),FALSE)</f>
        <v>1</v>
      </c>
      <c r="AF305" s="35" t="b">
        <f>IFERROR(OR(TRACK_TYPES[[#This Row],[TRACK_TYPE_NARROW_GAUGE_RAILTYPE_OHLE]:[TRACK_TYPE_NARROW_GAUGE_RAILTYPE_NONE]]),FALSE)</f>
        <v>0</v>
      </c>
      <c r="AG305" s="35" t="b">
        <f>IFERROR(OR(TRACK_TYPES[[#This Row],[TRACK_TYPE_BROAD_GAUGE_RAILTYPE_OHLE]:[TRACK_TYPE_BROAD_GAUGE_RAILTYPE_NONE]]),FALSE)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2932</v>
      </c>
      <c r="B306" s="37" t="str">
        <f>INDEX(CONTROL[ENGLISH],MATCH(PROPERTIES[[#This Row],[VEHIDCODE]],CONTROL[VEHIDCODE],0))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5" t="b">
        <f>IFERROR(OR(TRACK_TYPES[[#This Row],[TRACK_TYPE_STANDARD_GAUGE_RAILTYPE_OHLE]:[TRACK_TYPE_STANDARD_GAUGE_RAILTYPE_NONE]]),FALSE)</f>
        <v>1</v>
      </c>
      <c r="AF306" s="35" t="b">
        <f>IFERROR(OR(TRACK_TYPES[[#This Row],[TRACK_TYPE_NARROW_GAUGE_RAILTYPE_OHLE]:[TRACK_TYPE_NARROW_GAUGE_RAILTYPE_NONE]]),FALSE)</f>
        <v>0</v>
      </c>
      <c r="AG306" s="35" t="b">
        <f>IFERROR(OR(TRACK_TYPES[[#This Row],[TRACK_TYPE_BROAD_GAUGE_RAILTYPE_OHLE]:[TRACK_TYPE_BROAD_GAUGE_RAILTYPE_NONE]]),FALSE)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2933</v>
      </c>
      <c r="B307" s="37" t="str">
        <f>INDEX(CONTROL[ENGLISH],MATCH(PROPERTIES[[#This Row],[VEHIDCODE]],CONTROL[VEHIDCODE],0))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5" t="b">
        <f>IFERROR(OR(TRACK_TYPES[[#This Row],[TRACK_TYPE_STANDARD_GAUGE_RAILTYPE_OHLE]:[TRACK_TYPE_STANDARD_GAUGE_RAILTYPE_NONE]]),FALSE)</f>
        <v>1</v>
      </c>
      <c r="AF307" s="35" t="b">
        <f>IFERROR(OR(TRACK_TYPES[[#This Row],[TRACK_TYPE_NARROW_GAUGE_RAILTYPE_OHLE]:[TRACK_TYPE_NARROW_GAUGE_RAILTYPE_NONE]]),FALSE)</f>
        <v>0</v>
      </c>
      <c r="AG307" s="35" t="b">
        <f>IFERROR(OR(TRACK_TYPES[[#This Row],[TRACK_TYPE_BROAD_GAUGE_RAILTYPE_OHLE]:[TRACK_TYPE_BROAD_GAUGE_RAILTYPE_NONE]]),FALSE)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2934</v>
      </c>
      <c r="B308" s="37" t="str">
        <f>INDEX(CONTROL[ENGLISH],MATCH(PROPERTIES[[#This Row],[VEHIDCODE]],CONTROL[VEHIDCODE],0))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5" t="b">
        <f>IFERROR(OR(TRACK_TYPES[[#This Row],[TRACK_TYPE_STANDARD_GAUGE_RAILTYPE_OHLE]:[TRACK_TYPE_STANDARD_GAUGE_RAILTYPE_NONE]]),FALSE)</f>
        <v>1</v>
      </c>
      <c r="AF308" s="35" t="b">
        <f>IFERROR(OR(TRACK_TYPES[[#This Row],[TRACK_TYPE_NARROW_GAUGE_RAILTYPE_OHLE]:[TRACK_TYPE_NARROW_GAUGE_RAILTYPE_NONE]]),FALSE)</f>
        <v>0</v>
      </c>
      <c r="AG308" s="35" t="b">
        <f>IFERROR(OR(TRACK_TYPES[[#This Row],[TRACK_TYPE_BROAD_GAUGE_RAILTYPE_OHLE]:[TRACK_TYPE_BROAD_GAUGE_RAILTYPE_NONE]]),FALSE)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2935</v>
      </c>
      <c r="B309" s="37" t="str">
        <f>INDEX(CONTROL[ENGLISH],MATCH(PROPERTIES[[#This Row],[VEHIDCODE]],CONTROL[VEHIDCODE],0))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5" t="b">
        <f>IFERROR(OR(TRACK_TYPES[[#This Row],[TRACK_TYPE_STANDARD_GAUGE_RAILTYPE_OHLE]:[TRACK_TYPE_STANDARD_GAUGE_RAILTYPE_NONE]]),FALSE)</f>
        <v>1</v>
      </c>
      <c r="AF309" s="35" t="b">
        <f>IFERROR(OR(TRACK_TYPES[[#This Row],[TRACK_TYPE_NARROW_GAUGE_RAILTYPE_OHLE]:[TRACK_TYPE_NARROW_GAUGE_RAILTYPE_NONE]]),FALSE)</f>
        <v>0</v>
      </c>
      <c r="AG309" s="35" t="b">
        <f>IFERROR(OR(TRACK_TYPES[[#This Row],[TRACK_TYPE_BROAD_GAUGE_RAILTYPE_OHLE]:[TRACK_TYPE_BROAD_GAUGE_RAILTYPE_NONE]]),FALSE)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2936</v>
      </c>
      <c r="B310" s="37" t="str">
        <f>INDEX(CONTROL[ENGLISH],MATCH(PROPERTIES[[#This Row],[VEHIDCODE]],CONTROL[VEHIDCODE],0))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5" t="b">
        <f>IFERROR(OR(TRACK_TYPES[[#This Row],[TRACK_TYPE_STANDARD_GAUGE_RAILTYPE_OHLE]:[TRACK_TYPE_STANDARD_GAUGE_RAILTYPE_NONE]]),FALSE)</f>
        <v>1</v>
      </c>
      <c r="AF310" s="35" t="b">
        <f>IFERROR(OR(TRACK_TYPES[[#This Row],[TRACK_TYPE_NARROW_GAUGE_RAILTYPE_OHLE]:[TRACK_TYPE_NARROW_GAUGE_RAILTYPE_NONE]]),FALSE)</f>
        <v>0</v>
      </c>
      <c r="AG310" s="35" t="b">
        <f>IFERROR(OR(TRACK_TYPES[[#This Row],[TRACK_TYPE_BROAD_GAUGE_RAILTYPE_OHLE]:[TRACK_TYPE_BROAD_GAUGE_RAILTYPE_NONE]]),FALSE)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2937</v>
      </c>
      <c r="B311" s="37" t="str">
        <f>INDEX(CONTROL[ENGLISH],MATCH(PROPERTIES[[#This Row],[VEHIDCODE]],CONTROL[VEHIDCODE],0))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5" t="b">
        <f>IFERROR(OR(TRACK_TYPES[[#This Row],[TRACK_TYPE_STANDARD_GAUGE_RAILTYPE_OHLE]:[TRACK_TYPE_STANDARD_GAUGE_RAILTYPE_NONE]]),FALSE)</f>
        <v>1</v>
      </c>
      <c r="AF311" s="35" t="b">
        <f>IFERROR(OR(TRACK_TYPES[[#This Row],[TRACK_TYPE_NARROW_GAUGE_RAILTYPE_OHLE]:[TRACK_TYPE_NARROW_GAUGE_RAILTYPE_NONE]]),FALSE)</f>
        <v>0</v>
      </c>
      <c r="AG311" s="35" t="b">
        <f>IFERROR(OR(TRACK_TYPES[[#This Row],[TRACK_TYPE_BROAD_GAUGE_RAILTYPE_OHLE]:[TRACK_TYPE_BROAD_GAUGE_RAILTYPE_NONE]]),FALSE)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2938</v>
      </c>
      <c r="B312" s="37" t="str">
        <f>INDEX(CONTROL[ENGLISH],MATCH(PROPERTIES[[#This Row],[VEHIDCODE]],CONTROL[VEHIDCODE],0))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5" t="b">
        <f>IFERROR(OR(TRACK_TYPES[[#This Row],[TRACK_TYPE_STANDARD_GAUGE_RAILTYPE_OHLE]:[TRACK_TYPE_STANDARD_GAUGE_RAILTYPE_NONE]]),FALSE)</f>
        <v>1</v>
      </c>
      <c r="AF312" s="35" t="b">
        <f>IFERROR(OR(TRACK_TYPES[[#This Row],[TRACK_TYPE_NARROW_GAUGE_RAILTYPE_OHLE]:[TRACK_TYPE_NARROW_GAUGE_RAILTYPE_NONE]]),FALSE)</f>
        <v>0</v>
      </c>
      <c r="AG312" s="35" t="b">
        <f>IFERROR(OR(TRACK_TYPES[[#This Row],[TRACK_TYPE_BROAD_GAUGE_RAILTYPE_OHLE]:[TRACK_TYPE_BROAD_GAUGE_RAILTYPE_NONE]]),FALSE)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2939</v>
      </c>
      <c r="B313" s="37" t="str">
        <f>INDEX(CONTROL[ENGLISH],MATCH(PROPERTIES[[#This Row],[VEHIDCODE]],CONTROL[VEHIDCODE],0))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5" t="b">
        <f>IFERROR(OR(TRACK_TYPES[[#This Row],[TRACK_TYPE_STANDARD_GAUGE_RAILTYPE_OHLE]:[TRACK_TYPE_STANDARD_GAUGE_RAILTYPE_NONE]]),FALSE)</f>
        <v>1</v>
      </c>
      <c r="AF313" s="35" t="b">
        <f>IFERROR(OR(TRACK_TYPES[[#This Row],[TRACK_TYPE_NARROW_GAUGE_RAILTYPE_OHLE]:[TRACK_TYPE_NARROW_GAUGE_RAILTYPE_NONE]]),FALSE)</f>
        <v>0</v>
      </c>
      <c r="AG313" s="35" t="b">
        <f>IFERROR(OR(TRACK_TYPES[[#This Row],[TRACK_TYPE_BROAD_GAUGE_RAILTYPE_OHLE]:[TRACK_TYPE_BROAD_GAUGE_RAILTYPE_NONE]]),FALSE)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2940</v>
      </c>
      <c r="B314" s="37" t="str">
        <f>INDEX(CONTROL[ENGLISH],MATCH(PROPERTIES[[#This Row],[VEHIDCODE]],CONTROL[VEHIDCODE],0))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5" t="b">
        <f>IFERROR(OR(TRACK_TYPES[[#This Row],[TRACK_TYPE_STANDARD_GAUGE_RAILTYPE_OHLE]:[TRACK_TYPE_STANDARD_GAUGE_RAILTYPE_NONE]]),FALSE)</f>
        <v>0</v>
      </c>
      <c r="AF314" s="35" t="b">
        <f>IFERROR(OR(TRACK_TYPES[[#This Row],[TRACK_TYPE_NARROW_GAUGE_RAILTYPE_OHLE]:[TRACK_TYPE_NARROW_GAUGE_RAILTYPE_NONE]]),FALSE)</f>
        <v>0</v>
      </c>
      <c r="AG314" s="35" t="b">
        <f>IFERROR(OR(TRACK_TYPES[[#This Row],[TRACK_TYPE_BROAD_GAUGE_RAILTYPE_OHLE]:[TRACK_TYPE_BROAD_GAUGE_RAILTYPE_NONE]]),FALSE)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2941</v>
      </c>
      <c r="B315" s="37" t="str">
        <f>INDEX(CONTROL[ENGLISH],MATCH(PROPERTIES[[#This Row],[VEHIDCODE]],CONTROL[VEHIDCODE],0))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5" t="b">
        <f>IFERROR(OR(TRACK_TYPES[[#This Row],[TRACK_TYPE_STANDARD_GAUGE_RAILTYPE_OHLE]:[TRACK_TYPE_STANDARD_GAUGE_RAILTYPE_NONE]]),FALSE)</f>
        <v>0</v>
      </c>
      <c r="AF315" s="35" t="b">
        <f>IFERROR(OR(TRACK_TYPES[[#This Row],[TRACK_TYPE_NARROW_GAUGE_RAILTYPE_OHLE]:[TRACK_TYPE_NARROW_GAUGE_RAILTYPE_NONE]]),FALSE)</f>
        <v>0</v>
      </c>
      <c r="AG315" s="35" t="b">
        <f>IFERROR(OR(TRACK_TYPES[[#This Row],[TRACK_TYPE_BROAD_GAUGE_RAILTYPE_OHLE]:[TRACK_TYPE_BROAD_GAUGE_RAILTYPE_NONE]]),FALSE)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2942</v>
      </c>
      <c r="B316" s="37" t="str">
        <f>INDEX(CONTROL[ENGLISH],MATCH(PROPERTIES[[#This Row],[VEHIDCODE]],CONTROL[VEHIDCODE],0))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5" t="b">
        <f>IFERROR(OR(TRACK_TYPES[[#This Row],[TRACK_TYPE_STANDARD_GAUGE_RAILTYPE_OHLE]:[TRACK_TYPE_STANDARD_GAUGE_RAILTYPE_NONE]]),FALSE)</f>
        <v>0</v>
      </c>
      <c r="AF316" s="35" t="b">
        <f>IFERROR(OR(TRACK_TYPES[[#This Row],[TRACK_TYPE_NARROW_GAUGE_RAILTYPE_OHLE]:[TRACK_TYPE_NARROW_GAUGE_RAILTYPE_NONE]]),FALSE)</f>
        <v>0</v>
      </c>
      <c r="AG316" s="35" t="b">
        <f>IFERROR(OR(TRACK_TYPES[[#This Row],[TRACK_TYPE_BROAD_GAUGE_RAILTYPE_OHLE]:[TRACK_TYPE_BROAD_GAUGE_RAILTYPE_NONE]]),FALSE)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2943</v>
      </c>
      <c r="B317" s="37" t="str">
        <f>INDEX(CONTROL[ENGLISH],MATCH(PROPERTIES[[#This Row],[VEHIDCODE]],CONTROL[VEHIDCODE],0))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5" t="b">
        <f>IFERROR(OR(TRACK_TYPES[[#This Row],[TRACK_TYPE_STANDARD_GAUGE_RAILTYPE_OHLE]:[TRACK_TYPE_STANDARD_GAUGE_RAILTYPE_NONE]]),FALSE)</f>
        <v>1</v>
      </c>
      <c r="AF317" s="35" t="b">
        <f>IFERROR(OR(TRACK_TYPES[[#This Row],[TRACK_TYPE_NARROW_GAUGE_RAILTYPE_OHLE]:[TRACK_TYPE_NARROW_GAUGE_RAILTYPE_NONE]]),FALSE)</f>
        <v>0</v>
      </c>
      <c r="AG317" s="35" t="b">
        <f>IFERROR(OR(TRACK_TYPES[[#This Row],[TRACK_TYPE_BROAD_GAUGE_RAILTYPE_OHLE]:[TRACK_TYPE_BROAD_GAUGE_RAILTYPE_NONE]]),FALSE)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2944</v>
      </c>
      <c r="B318" s="37" t="str">
        <f>INDEX(CONTROL[ENGLISH],MATCH(PROPERTIES[[#This Row],[VEHIDCODE]],CONTROL[VEHIDCODE],0))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5" t="b">
        <f>IFERROR(OR(TRACK_TYPES[[#This Row],[TRACK_TYPE_STANDARD_GAUGE_RAILTYPE_OHLE]:[TRACK_TYPE_STANDARD_GAUGE_RAILTYPE_NONE]]),FALSE)</f>
        <v>1</v>
      </c>
      <c r="AF318" s="35" t="b">
        <f>IFERROR(OR(TRACK_TYPES[[#This Row],[TRACK_TYPE_NARROW_GAUGE_RAILTYPE_OHLE]:[TRACK_TYPE_NARROW_GAUGE_RAILTYPE_NONE]]),FALSE)</f>
        <v>0</v>
      </c>
      <c r="AG318" s="35" t="b">
        <f>IFERROR(OR(TRACK_TYPES[[#This Row],[TRACK_TYPE_BROAD_GAUGE_RAILTYPE_OHLE]:[TRACK_TYPE_BROAD_GAUGE_RAILTYPE_NONE]]),FALSE)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2945</v>
      </c>
      <c r="B319" s="37" t="str">
        <f>INDEX(CONTROL[ENGLISH],MATCH(PROPERTIES[[#This Row],[VEHIDCODE]],CONTROL[VEHIDCODE],0))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5" t="b">
        <f>IFERROR(OR(TRACK_TYPES[[#This Row],[TRACK_TYPE_STANDARD_GAUGE_RAILTYPE_OHLE]:[TRACK_TYPE_STANDARD_GAUGE_RAILTYPE_NONE]]),FALSE)</f>
        <v>1</v>
      </c>
      <c r="AF319" s="35" t="b">
        <f>IFERROR(OR(TRACK_TYPES[[#This Row],[TRACK_TYPE_NARROW_GAUGE_RAILTYPE_OHLE]:[TRACK_TYPE_NARROW_GAUGE_RAILTYPE_NONE]]),FALSE)</f>
        <v>0</v>
      </c>
      <c r="AG319" s="35" t="b">
        <f>IFERROR(OR(TRACK_TYPES[[#This Row],[TRACK_TYPE_BROAD_GAUGE_RAILTYPE_OHLE]:[TRACK_TYPE_BROAD_GAUGE_RAILTYPE_NONE]]),FALSE)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2946</v>
      </c>
      <c r="B320" s="37" t="str">
        <f>INDEX(CONTROL[ENGLISH],MATCH(PROPERTIES[[#This Row],[VEHIDCODE]],CONTROL[VEHIDCODE],0))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5" t="b">
        <f>IFERROR(OR(TRACK_TYPES[[#This Row],[TRACK_TYPE_STANDARD_GAUGE_RAILTYPE_OHLE]:[TRACK_TYPE_STANDARD_GAUGE_RAILTYPE_NONE]]),FALSE)</f>
        <v>1</v>
      </c>
      <c r="AF320" s="35" t="b">
        <f>IFERROR(OR(TRACK_TYPES[[#This Row],[TRACK_TYPE_NARROW_GAUGE_RAILTYPE_OHLE]:[TRACK_TYPE_NARROW_GAUGE_RAILTYPE_NONE]]),FALSE)</f>
        <v>0</v>
      </c>
      <c r="AG320" s="35" t="b">
        <f>IFERROR(OR(TRACK_TYPES[[#This Row],[TRACK_TYPE_BROAD_GAUGE_RAILTYPE_OHLE]:[TRACK_TYPE_BROAD_GAUGE_RAILTYPE_NONE]]),FALSE)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2947</v>
      </c>
      <c r="B321" s="37" t="str">
        <f>INDEX(CONTROL[ENGLISH],MATCH(PROPERTIES[[#This Row],[VEHIDCODE]],CONTROL[VEHIDCODE],0))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5" t="b">
        <f>IFERROR(OR(TRACK_TYPES[[#This Row],[TRACK_TYPE_STANDARD_GAUGE_RAILTYPE_OHLE]:[TRACK_TYPE_STANDARD_GAUGE_RAILTYPE_NONE]]),FALSE)</f>
        <v>1</v>
      </c>
      <c r="AF321" s="35" t="b">
        <f>IFERROR(OR(TRACK_TYPES[[#This Row],[TRACK_TYPE_NARROW_GAUGE_RAILTYPE_OHLE]:[TRACK_TYPE_NARROW_GAUGE_RAILTYPE_NONE]]),FALSE)</f>
        <v>0</v>
      </c>
      <c r="AG321" s="35" t="b">
        <f>IFERROR(OR(TRACK_TYPES[[#This Row],[TRACK_TYPE_BROAD_GAUGE_RAILTYPE_OHLE]:[TRACK_TYPE_BROAD_GAUGE_RAILTYPE_NONE]]),FALSE)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2948</v>
      </c>
      <c r="B322" s="37" t="str">
        <f>INDEX(CONTROL[ENGLISH],MATCH(PROPERTIES[[#This Row],[VEHIDCODE]],CONTROL[VEHIDCODE],0))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5" t="b">
        <f>IFERROR(OR(TRACK_TYPES[[#This Row],[TRACK_TYPE_STANDARD_GAUGE_RAILTYPE_OHLE]:[TRACK_TYPE_STANDARD_GAUGE_RAILTYPE_NONE]]),FALSE)</f>
        <v>1</v>
      </c>
      <c r="AF322" s="35" t="b">
        <f>IFERROR(OR(TRACK_TYPES[[#This Row],[TRACK_TYPE_NARROW_GAUGE_RAILTYPE_OHLE]:[TRACK_TYPE_NARROW_GAUGE_RAILTYPE_NONE]]),FALSE)</f>
        <v>0</v>
      </c>
      <c r="AG322" s="35" t="b">
        <f>IFERROR(OR(TRACK_TYPES[[#This Row],[TRACK_TYPE_BROAD_GAUGE_RAILTYPE_OHLE]:[TRACK_TYPE_BROAD_GAUGE_RAILTYPE_NONE]]),FALSE)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2949</v>
      </c>
      <c r="B323" s="37" t="str">
        <f>INDEX(CONTROL[ENGLISH],MATCH(PROPERTIES[[#This Row],[VEHIDCODE]],CONTROL[VEHIDCODE],0))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5" t="b">
        <f>IFERROR(OR(TRACK_TYPES[[#This Row],[TRACK_TYPE_STANDARD_GAUGE_RAILTYPE_OHLE]:[TRACK_TYPE_STANDARD_GAUGE_RAILTYPE_NONE]]),FALSE)</f>
        <v>1</v>
      </c>
      <c r="AF323" s="35" t="b">
        <f>IFERROR(OR(TRACK_TYPES[[#This Row],[TRACK_TYPE_NARROW_GAUGE_RAILTYPE_OHLE]:[TRACK_TYPE_NARROW_GAUGE_RAILTYPE_NONE]]),FALSE)</f>
        <v>0</v>
      </c>
      <c r="AG323" s="35" t="b">
        <f>IFERROR(OR(TRACK_TYPES[[#This Row],[TRACK_TYPE_BROAD_GAUGE_RAILTYPE_OHLE]:[TRACK_TYPE_BROAD_GAUGE_RAILTYPE_NONE]]),FALSE)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2950</v>
      </c>
      <c r="B324" s="37" t="str">
        <f>INDEX(CONTROL[ENGLISH],MATCH(PROPERTIES[[#This Row],[VEHIDCODE]],CONTROL[VEHIDCODE],0))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5" t="b">
        <f>IFERROR(OR(TRACK_TYPES[[#This Row],[TRACK_TYPE_STANDARD_GAUGE_RAILTYPE_OHLE]:[TRACK_TYPE_STANDARD_GAUGE_RAILTYPE_NONE]]),FALSE)</f>
        <v>1</v>
      </c>
      <c r="AF324" s="35" t="b">
        <f>IFERROR(OR(TRACK_TYPES[[#This Row],[TRACK_TYPE_NARROW_GAUGE_RAILTYPE_OHLE]:[TRACK_TYPE_NARROW_GAUGE_RAILTYPE_NONE]]),FALSE)</f>
        <v>0</v>
      </c>
      <c r="AG324" s="35" t="b">
        <f>IFERROR(OR(TRACK_TYPES[[#This Row],[TRACK_TYPE_BROAD_GAUGE_RAILTYPE_OHLE]:[TRACK_TYPE_BROAD_GAUGE_RAILTYPE_NONE]]),FALSE)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2951</v>
      </c>
      <c r="B325" s="37" t="str">
        <f>INDEX(CONTROL[ENGLISH],MATCH(PROPERTIES[[#This Row],[VEHIDCODE]],CONTROL[VEHIDCODE],0))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5" t="b">
        <f>IFERROR(OR(TRACK_TYPES[[#This Row],[TRACK_TYPE_STANDARD_GAUGE_RAILTYPE_OHLE]:[TRACK_TYPE_STANDARD_GAUGE_RAILTYPE_NONE]]),FALSE)</f>
        <v>1</v>
      </c>
      <c r="AF325" s="35" t="b">
        <f>IFERROR(OR(TRACK_TYPES[[#This Row],[TRACK_TYPE_NARROW_GAUGE_RAILTYPE_OHLE]:[TRACK_TYPE_NARROW_GAUGE_RAILTYPE_NONE]]),FALSE)</f>
        <v>0</v>
      </c>
      <c r="AG325" s="35" t="b">
        <f>IFERROR(OR(TRACK_TYPES[[#This Row],[TRACK_TYPE_BROAD_GAUGE_RAILTYPE_OHLE]:[TRACK_TYPE_BROAD_GAUGE_RAILTYPE_NONE]]),FALSE)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2952</v>
      </c>
      <c r="B326" s="37" t="str">
        <f>INDEX(CONTROL[ENGLISH],MATCH(PROPERTIES[[#This Row],[VEHIDCODE]],CONTROL[VEHIDCODE],0))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5" t="b">
        <f>IFERROR(OR(TRACK_TYPES[[#This Row],[TRACK_TYPE_STANDARD_GAUGE_RAILTYPE_OHLE]:[TRACK_TYPE_STANDARD_GAUGE_RAILTYPE_NONE]]),FALSE)</f>
        <v>1</v>
      </c>
      <c r="AF326" s="35" t="b">
        <f>IFERROR(OR(TRACK_TYPES[[#This Row],[TRACK_TYPE_NARROW_GAUGE_RAILTYPE_OHLE]:[TRACK_TYPE_NARROW_GAUGE_RAILTYPE_NONE]]),FALSE)</f>
        <v>0</v>
      </c>
      <c r="AG326" s="35" t="b">
        <f>IFERROR(OR(TRACK_TYPES[[#This Row],[TRACK_TYPE_BROAD_GAUGE_RAILTYPE_OHLE]:[TRACK_TYPE_BROAD_GAUGE_RAILTYPE_NONE]]),FALSE)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2953</v>
      </c>
      <c r="B327" s="37" t="str">
        <f>INDEX(CONTROL[ENGLISH],MATCH(PROPERTIES[[#This Row],[VEHIDCODE]],CONTROL[VEHIDCODE],0))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5" t="b">
        <f>IFERROR(OR(TRACK_TYPES[[#This Row],[TRACK_TYPE_STANDARD_GAUGE_RAILTYPE_OHLE]:[TRACK_TYPE_STANDARD_GAUGE_RAILTYPE_NONE]]),FALSE)</f>
        <v>1</v>
      </c>
      <c r="AF327" s="35" t="b">
        <f>IFERROR(OR(TRACK_TYPES[[#This Row],[TRACK_TYPE_NARROW_GAUGE_RAILTYPE_OHLE]:[TRACK_TYPE_NARROW_GAUGE_RAILTYPE_NONE]]),FALSE)</f>
        <v>0</v>
      </c>
      <c r="AG327" s="35" t="b">
        <f>IFERROR(OR(TRACK_TYPES[[#This Row],[TRACK_TYPE_BROAD_GAUGE_RAILTYPE_OHLE]:[TRACK_TYPE_BROAD_GAUGE_RAILTYPE_NONE]]),FALSE)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2954</v>
      </c>
      <c r="B328" s="37" t="str">
        <f>INDEX(CONTROL[ENGLISH],MATCH(PROPERTIES[[#This Row],[VEHIDCODE]],CONTROL[VEHIDCODE],0))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5" t="b">
        <f>IFERROR(OR(TRACK_TYPES[[#This Row],[TRACK_TYPE_STANDARD_GAUGE_RAILTYPE_OHLE]:[TRACK_TYPE_STANDARD_GAUGE_RAILTYPE_NONE]]),FALSE)</f>
        <v>1</v>
      </c>
      <c r="AF328" s="35" t="b">
        <f>IFERROR(OR(TRACK_TYPES[[#This Row],[TRACK_TYPE_NARROW_GAUGE_RAILTYPE_OHLE]:[TRACK_TYPE_NARROW_GAUGE_RAILTYPE_NONE]]),FALSE)</f>
        <v>0</v>
      </c>
      <c r="AG328" s="35" t="b">
        <f>IFERROR(OR(TRACK_TYPES[[#This Row],[TRACK_TYPE_BROAD_GAUGE_RAILTYPE_OHLE]:[TRACK_TYPE_BROAD_GAUGE_RAILTYPE_NONE]]),FALSE)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2955</v>
      </c>
      <c r="B329" s="37" t="str">
        <f>INDEX(CONTROL[ENGLISH],MATCH(PROPERTIES[[#This Row],[VEHIDCODE]],CONTROL[VEHIDCODE],0))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5" t="b">
        <f>IFERROR(OR(TRACK_TYPES[[#This Row],[TRACK_TYPE_STANDARD_GAUGE_RAILTYPE_OHLE]:[TRACK_TYPE_STANDARD_GAUGE_RAILTYPE_NONE]]),FALSE)</f>
        <v>1</v>
      </c>
      <c r="AF329" s="35" t="b">
        <f>IFERROR(OR(TRACK_TYPES[[#This Row],[TRACK_TYPE_NARROW_GAUGE_RAILTYPE_OHLE]:[TRACK_TYPE_NARROW_GAUGE_RAILTYPE_NONE]]),FALSE)</f>
        <v>0</v>
      </c>
      <c r="AG329" s="35" t="b">
        <f>IFERROR(OR(TRACK_TYPES[[#This Row],[TRACK_TYPE_BROAD_GAUGE_RAILTYPE_OHLE]:[TRACK_TYPE_BROAD_GAUGE_RAILTYPE_NONE]]),FALSE)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2956</v>
      </c>
      <c r="B330" s="37" t="str">
        <f>INDEX(CONTROL[ENGLISH],MATCH(PROPERTIES[[#This Row],[VEHIDCODE]],CONTROL[VEHIDCODE],0))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5" t="b">
        <f>IFERROR(OR(TRACK_TYPES[[#This Row],[TRACK_TYPE_STANDARD_GAUGE_RAILTYPE_OHLE]:[TRACK_TYPE_STANDARD_GAUGE_RAILTYPE_NONE]]),FALSE)</f>
        <v>1</v>
      </c>
      <c r="AF330" s="35" t="b">
        <f>IFERROR(OR(TRACK_TYPES[[#This Row],[TRACK_TYPE_NARROW_GAUGE_RAILTYPE_OHLE]:[TRACK_TYPE_NARROW_GAUGE_RAILTYPE_NONE]]),FALSE)</f>
        <v>0</v>
      </c>
      <c r="AG330" s="35" t="b">
        <f>IFERROR(OR(TRACK_TYPES[[#This Row],[TRACK_TYPE_BROAD_GAUGE_RAILTYPE_OHLE]:[TRACK_TYPE_BROAD_GAUGE_RAILTYPE_NONE]]),FALSE)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2957</v>
      </c>
      <c r="B331" s="37" t="str">
        <f>INDEX(CONTROL[ENGLISH],MATCH(PROPERTIES[[#This Row],[VEHIDCODE]],CONTROL[VEHIDCODE],0))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5" t="b">
        <f>IFERROR(OR(TRACK_TYPES[[#This Row],[TRACK_TYPE_STANDARD_GAUGE_RAILTYPE_OHLE]:[TRACK_TYPE_STANDARD_GAUGE_RAILTYPE_NONE]]),FALSE)</f>
        <v>1</v>
      </c>
      <c r="AF331" s="35" t="b">
        <f>IFERROR(OR(TRACK_TYPES[[#This Row],[TRACK_TYPE_NARROW_GAUGE_RAILTYPE_OHLE]:[TRACK_TYPE_NARROW_GAUGE_RAILTYPE_NONE]]),FALSE)</f>
        <v>0</v>
      </c>
      <c r="AG331" s="35" t="b">
        <f>IFERROR(OR(TRACK_TYPES[[#This Row],[TRACK_TYPE_BROAD_GAUGE_RAILTYPE_OHLE]:[TRACK_TYPE_BROAD_GAUGE_RAILTYPE_NONE]]),FALSE)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2958</v>
      </c>
      <c r="B332" s="37" t="str">
        <f>INDEX(CONTROL[ENGLISH],MATCH(PROPERTIES[[#This Row],[VEHIDCODE]],CONTROL[VEHIDCODE],0))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5" t="b">
        <f>IFERROR(OR(TRACK_TYPES[[#This Row],[TRACK_TYPE_STANDARD_GAUGE_RAILTYPE_OHLE]:[TRACK_TYPE_STANDARD_GAUGE_RAILTYPE_NONE]]),FALSE)</f>
        <v>1</v>
      </c>
      <c r="AF332" s="35" t="b">
        <f>IFERROR(OR(TRACK_TYPES[[#This Row],[TRACK_TYPE_NARROW_GAUGE_RAILTYPE_OHLE]:[TRACK_TYPE_NARROW_GAUGE_RAILTYPE_NONE]]),FALSE)</f>
        <v>0</v>
      </c>
      <c r="AG332" s="35" t="b">
        <f>IFERROR(OR(TRACK_TYPES[[#This Row],[TRACK_TYPE_BROAD_GAUGE_RAILTYPE_OHLE]:[TRACK_TYPE_BROAD_GAUGE_RAILTYPE_NONE]]),FALSE)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2959</v>
      </c>
      <c r="B333" s="37" t="str">
        <f>INDEX(CONTROL[ENGLISH],MATCH(PROPERTIES[[#This Row],[VEHIDCODE]],CONTROL[VEHIDCODE],0))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5" t="b">
        <f>IFERROR(OR(TRACK_TYPES[[#This Row],[TRACK_TYPE_STANDARD_GAUGE_RAILTYPE_OHLE]:[TRACK_TYPE_STANDARD_GAUGE_RAILTYPE_NONE]]),FALSE)</f>
        <v>1</v>
      </c>
      <c r="AF333" s="35" t="b">
        <f>IFERROR(OR(TRACK_TYPES[[#This Row],[TRACK_TYPE_NARROW_GAUGE_RAILTYPE_OHLE]:[TRACK_TYPE_NARROW_GAUGE_RAILTYPE_NONE]]),FALSE)</f>
        <v>0</v>
      </c>
      <c r="AG333" s="35" t="b">
        <f>IFERROR(OR(TRACK_TYPES[[#This Row],[TRACK_TYPE_BROAD_GAUGE_RAILTYPE_OHLE]:[TRACK_TYPE_BROAD_GAUGE_RAILTYPE_NONE]]),FALSE)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2960</v>
      </c>
      <c r="B334" s="37" t="str">
        <f>INDEX(CONTROL[ENGLISH],MATCH(PROPERTIES[[#This Row],[VEHIDCODE]],CONTROL[VEHIDCODE],0))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5" t="b">
        <f>IFERROR(OR(TRACK_TYPES[[#This Row],[TRACK_TYPE_STANDARD_GAUGE_RAILTYPE_OHLE]:[TRACK_TYPE_STANDARD_GAUGE_RAILTYPE_NONE]]),FALSE)</f>
        <v>1</v>
      </c>
      <c r="AF334" s="35" t="b">
        <f>IFERROR(OR(TRACK_TYPES[[#This Row],[TRACK_TYPE_NARROW_GAUGE_RAILTYPE_OHLE]:[TRACK_TYPE_NARROW_GAUGE_RAILTYPE_NONE]]),FALSE)</f>
        <v>0</v>
      </c>
      <c r="AG334" s="35" t="b">
        <f>IFERROR(OR(TRACK_TYPES[[#This Row],[TRACK_TYPE_BROAD_GAUGE_RAILTYPE_OHLE]:[TRACK_TYPE_BROAD_GAUGE_RAILTYPE_NONE]]),FALSE)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2961</v>
      </c>
      <c r="B335" s="37" t="str">
        <f>INDEX(CONTROL[ENGLISH],MATCH(PROPERTIES[[#This Row],[VEHIDCODE]],CONTROL[VEHIDCODE],0))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5" t="b">
        <f>IFERROR(OR(TRACK_TYPES[[#This Row],[TRACK_TYPE_STANDARD_GAUGE_RAILTYPE_OHLE]:[TRACK_TYPE_STANDARD_GAUGE_RAILTYPE_NONE]]),FALSE)</f>
        <v>1</v>
      </c>
      <c r="AF335" s="35" t="b">
        <f>IFERROR(OR(TRACK_TYPES[[#This Row],[TRACK_TYPE_NARROW_GAUGE_RAILTYPE_OHLE]:[TRACK_TYPE_NARROW_GAUGE_RAILTYPE_NONE]]),FALSE)</f>
        <v>0</v>
      </c>
      <c r="AG335" s="35" t="b">
        <f>IFERROR(OR(TRACK_TYPES[[#This Row],[TRACK_TYPE_BROAD_GAUGE_RAILTYPE_OHLE]:[TRACK_TYPE_BROAD_GAUGE_RAILTYPE_NONE]]),FALSE)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2962</v>
      </c>
      <c r="B336" s="37" t="str">
        <f>INDEX(CONTROL[ENGLISH],MATCH(PROPERTIES[[#This Row],[VEHIDCODE]],CONTROL[VEHIDCODE],0))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5" t="b">
        <f>IFERROR(OR(TRACK_TYPES[[#This Row],[TRACK_TYPE_STANDARD_GAUGE_RAILTYPE_OHLE]:[TRACK_TYPE_STANDARD_GAUGE_RAILTYPE_NONE]]),FALSE)</f>
        <v>0</v>
      </c>
      <c r="AF336" s="35" t="b">
        <f>IFERROR(OR(TRACK_TYPES[[#This Row],[TRACK_TYPE_NARROW_GAUGE_RAILTYPE_OHLE]:[TRACK_TYPE_NARROW_GAUGE_RAILTYPE_NONE]]),FALSE)</f>
        <v>0</v>
      </c>
      <c r="AG336" s="35" t="b">
        <f>IFERROR(OR(TRACK_TYPES[[#This Row],[TRACK_TYPE_BROAD_GAUGE_RAILTYPE_OHLE]:[TRACK_TYPE_BROAD_GAUGE_RAILTYPE_NONE]]),FALSE)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2963</v>
      </c>
      <c r="B337" s="37" t="str">
        <f>INDEX(CONTROL[ENGLISH],MATCH(PROPERTIES[[#This Row],[VEHIDCODE]],CONTROL[VEHIDCODE],0))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5" t="b">
        <f>IFERROR(OR(TRACK_TYPES[[#This Row],[TRACK_TYPE_STANDARD_GAUGE_RAILTYPE_OHLE]:[TRACK_TYPE_STANDARD_GAUGE_RAILTYPE_NONE]]),FALSE)</f>
        <v>1</v>
      </c>
      <c r="AF337" s="35" t="b">
        <f>IFERROR(OR(TRACK_TYPES[[#This Row],[TRACK_TYPE_NARROW_GAUGE_RAILTYPE_OHLE]:[TRACK_TYPE_NARROW_GAUGE_RAILTYPE_NONE]]),FALSE)</f>
        <v>0</v>
      </c>
      <c r="AG337" s="35" t="b">
        <f>IFERROR(OR(TRACK_TYPES[[#This Row],[TRACK_TYPE_BROAD_GAUGE_RAILTYPE_OHLE]:[TRACK_TYPE_BROAD_GAUGE_RAILTYPE_NONE]]),FALSE)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2964</v>
      </c>
      <c r="B338" s="37" t="str">
        <f>INDEX(CONTROL[ENGLISH],MATCH(PROPERTIES[[#This Row],[VEHIDCODE]],CONTROL[VEHIDCODE],0))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5" t="b">
        <f>IFERROR(OR(TRACK_TYPES[[#This Row],[TRACK_TYPE_STANDARD_GAUGE_RAILTYPE_OHLE]:[TRACK_TYPE_STANDARD_GAUGE_RAILTYPE_NONE]]),FALSE)</f>
        <v>1</v>
      </c>
      <c r="AF338" s="35" t="b">
        <f>IFERROR(OR(TRACK_TYPES[[#This Row],[TRACK_TYPE_NARROW_GAUGE_RAILTYPE_OHLE]:[TRACK_TYPE_NARROW_GAUGE_RAILTYPE_NONE]]),FALSE)</f>
        <v>0</v>
      </c>
      <c r="AG338" s="35" t="b">
        <f>IFERROR(OR(TRACK_TYPES[[#This Row],[TRACK_TYPE_BROAD_GAUGE_RAILTYPE_OHLE]:[TRACK_TYPE_BROAD_GAUGE_RAILTYPE_NONE]]),FALSE)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2965</v>
      </c>
      <c r="B339" s="37" t="str">
        <f>INDEX(CONTROL[ENGLISH],MATCH(PROPERTIES[[#This Row],[VEHIDCODE]],CONTROL[VEHIDCODE],0))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5" t="b">
        <f>IFERROR(OR(TRACK_TYPES[[#This Row],[TRACK_TYPE_STANDARD_GAUGE_RAILTYPE_OHLE]:[TRACK_TYPE_STANDARD_GAUGE_RAILTYPE_NONE]]),FALSE)</f>
        <v>0</v>
      </c>
      <c r="AF339" s="35" t="b">
        <f>IFERROR(OR(TRACK_TYPES[[#This Row],[TRACK_TYPE_NARROW_GAUGE_RAILTYPE_OHLE]:[TRACK_TYPE_NARROW_GAUGE_RAILTYPE_NONE]]),FALSE)</f>
        <v>0</v>
      </c>
      <c r="AG339" s="35" t="b">
        <f>IFERROR(OR(TRACK_TYPES[[#This Row],[TRACK_TYPE_BROAD_GAUGE_RAILTYPE_OHLE]:[TRACK_TYPE_BROAD_GAUGE_RAILTYPE_NONE]]),FALSE)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2966</v>
      </c>
      <c r="B340" s="37" t="str">
        <f>INDEX(CONTROL[ENGLISH],MATCH(PROPERTIES[[#This Row],[VEHIDCODE]],CONTROL[VEHIDCODE],0))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5" t="b">
        <f>IFERROR(OR(TRACK_TYPES[[#This Row],[TRACK_TYPE_STANDARD_GAUGE_RAILTYPE_OHLE]:[TRACK_TYPE_STANDARD_GAUGE_RAILTYPE_NONE]]),FALSE)</f>
        <v>1</v>
      </c>
      <c r="AF340" s="35" t="b">
        <f>IFERROR(OR(TRACK_TYPES[[#This Row],[TRACK_TYPE_NARROW_GAUGE_RAILTYPE_OHLE]:[TRACK_TYPE_NARROW_GAUGE_RAILTYPE_NONE]]),FALSE)</f>
        <v>0</v>
      </c>
      <c r="AG340" s="35" t="b">
        <f>IFERROR(OR(TRACK_TYPES[[#This Row],[TRACK_TYPE_BROAD_GAUGE_RAILTYPE_OHLE]:[TRACK_TYPE_BROAD_GAUGE_RAILTYPE_NONE]]),FALSE)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2967</v>
      </c>
      <c r="B341" s="37" t="str">
        <f>INDEX(CONTROL[ENGLISH],MATCH(PROPERTIES[[#This Row],[VEHIDCODE]],CONTROL[VEHIDCODE],0))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5" t="b">
        <f>IFERROR(OR(TRACK_TYPES[[#This Row],[TRACK_TYPE_STANDARD_GAUGE_RAILTYPE_OHLE]:[TRACK_TYPE_STANDARD_GAUGE_RAILTYPE_NONE]]),FALSE)</f>
        <v>1</v>
      </c>
      <c r="AF341" s="35" t="b">
        <f>IFERROR(OR(TRACK_TYPES[[#This Row],[TRACK_TYPE_NARROW_GAUGE_RAILTYPE_OHLE]:[TRACK_TYPE_NARROW_GAUGE_RAILTYPE_NONE]]),FALSE)</f>
        <v>0</v>
      </c>
      <c r="AG341" s="35" t="b">
        <f>IFERROR(OR(TRACK_TYPES[[#This Row],[TRACK_TYPE_BROAD_GAUGE_RAILTYPE_OHLE]:[TRACK_TYPE_BROAD_GAUGE_RAILTYPE_NONE]]),FALSE)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2968</v>
      </c>
      <c r="B342" s="37" t="str">
        <f>INDEX(CONTROL[ENGLISH],MATCH(PROPERTIES[[#This Row],[VEHIDCODE]],CONTROL[VEHIDCODE],0))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5" t="b">
        <f>IFERROR(OR(TRACK_TYPES[[#This Row],[TRACK_TYPE_STANDARD_GAUGE_RAILTYPE_OHLE]:[TRACK_TYPE_STANDARD_GAUGE_RAILTYPE_NONE]]),FALSE)</f>
        <v>1</v>
      </c>
      <c r="AF342" s="35" t="b">
        <f>IFERROR(OR(TRACK_TYPES[[#This Row],[TRACK_TYPE_NARROW_GAUGE_RAILTYPE_OHLE]:[TRACK_TYPE_NARROW_GAUGE_RAILTYPE_NONE]]),FALSE)</f>
        <v>0</v>
      </c>
      <c r="AG342" s="35" t="b">
        <f>IFERROR(OR(TRACK_TYPES[[#This Row],[TRACK_TYPE_BROAD_GAUGE_RAILTYPE_OHLE]:[TRACK_TYPE_BROAD_GAUGE_RAILTYPE_NONE]]),FALSE)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2969</v>
      </c>
      <c r="B343" s="37" t="str">
        <f>INDEX(CONTROL[ENGLISH],MATCH(PROPERTIES[[#This Row],[VEHIDCODE]],CONTROL[VEHIDCODE],0))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5" t="b">
        <f>IFERROR(OR(TRACK_TYPES[[#This Row],[TRACK_TYPE_STANDARD_GAUGE_RAILTYPE_OHLE]:[TRACK_TYPE_STANDARD_GAUGE_RAILTYPE_NONE]]),FALSE)</f>
        <v>1</v>
      </c>
      <c r="AF343" s="35" t="b">
        <f>IFERROR(OR(TRACK_TYPES[[#This Row],[TRACK_TYPE_NARROW_GAUGE_RAILTYPE_OHLE]:[TRACK_TYPE_NARROW_GAUGE_RAILTYPE_NONE]]),FALSE)</f>
        <v>0</v>
      </c>
      <c r="AG343" s="35" t="b">
        <f>IFERROR(OR(TRACK_TYPES[[#This Row],[TRACK_TYPE_BROAD_GAUGE_RAILTYPE_OHLE]:[TRACK_TYPE_BROAD_GAUGE_RAILTYPE_NONE]]),FALSE)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2970</v>
      </c>
      <c r="B344" s="37" t="str">
        <f>INDEX(CONTROL[ENGLISH],MATCH(PROPERTIES[[#This Row],[VEHIDCODE]],CONTROL[VEHIDCODE],0))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5" t="b">
        <f>IFERROR(OR(TRACK_TYPES[[#This Row],[TRACK_TYPE_STANDARD_GAUGE_RAILTYPE_OHLE]:[TRACK_TYPE_STANDARD_GAUGE_RAILTYPE_NONE]]),FALSE)</f>
        <v>1</v>
      </c>
      <c r="AF344" s="35" t="b">
        <f>IFERROR(OR(TRACK_TYPES[[#This Row],[TRACK_TYPE_NARROW_GAUGE_RAILTYPE_OHLE]:[TRACK_TYPE_NARROW_GAUGE_RAILTYPE_NONE]]),FALSE)</f>
        <v>0</v>
      </c>
      <c r="AG344" s="35" t="b">
        <f>IFERROR(OR(TRACK_TYPES[[#This Row],[TRACK_TYPE_BROAD_GAUGE_RAILTYPE_OHLE]:[TRACK_TYPE_BROAD_GAUGE_RAILTYPE_NONE]]),FALSE)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2971</v>
      </c>
      <c r="B345" s="37" t="str">
        <f>INDEX(CONTROL[ENGLISH],MATCH(PROPERTIES[[#This Row],[VEHIDCODE]],CONTROL[VEHIDCODE],0))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5" t="b">
        <f>IFERROR(OR(TRACK_TYPES[[#This Row],[TRACK_TYPE_STANDARD_GAUGE_RAILTYPE_OHLE]:[TRACK_TYPE_STANDARD_GAUGE_RAILTYPE_NONE]]),FALSE)</f>
        <v>1</v>
      </c>
      <c r="AF345" s="35" t="b">
        <f>IFERROR(OR(TRACK_TYPES[[#This Row],[TRACK_TYPE_NARROW_GAUGE_RAILTYPE_OHLE]:[TRACK_TYPE_NARROW_GAUGE_RAILTYPE_NONE]]),FALSE)</f>
        <v>0</v>
      </c>
      <c r="AG345" s="35" t="b">
        <f>IFERROR(OR(TRACK_TYPES[[#This Row],[TRACK_TYPE_BROAD_GAUGE_RAILTYPE_OHLE]:[TRACK_TYPE_BROAD_GAUGE_RAILTYPE_NONE]]),FALSE)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2972</v>
      </c>
      <c r="B346" s="37" t="str">
        <f>INDEX(CONTROL[ENGLISH],MATCH(PROPERTIES[[#This Row],[VEHIDCODE]],CONTROL[VEHIDCODE],0))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5" t="b">
        <f>IFERROR(OR(TRACK_TYPES[[#This Row],[TRACK_TYPE_STANDARD_GAUGE_RAILTYPE_OHLE]:[TRACK_TYPE_STANDARD_GAUGE_RAILTYPE_NONE]]),FALSE)</f>
        <v>1</v>
      </c>
      <c r="AF346" s="35" t="b">
        <f>IFERROR(OR(TRACK_TYPES[[#This Row],[TRACK_TYPE_NARROW_GAUGE_RAILTYPE_OHLE]:[TRACK_TYPE_NARROW_GAUGE_RAILTYPE_NONE]]),FALSE)</f>
        <v>0</v>
      </c>
      <c r="AG346" s="35" t="b">
        <f>IFERROR(OR(TRACK_TYPES[[#This Row],[TRACK_TYPE_BROAD_GAUGE_RAILTYPE_OHLE]:[TRACK_TYPE_BROAD_GAUGE_RAILTYPE_NONE]]),FALSE)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2973</v>
      </c>
      <c r="B347" s="37" t="str">
        <f>INDEX(CONTROL[ENGLISH],MATCH(PROPERTIES[[#This Row],[VEHIDCODE]],CONTROL[VEHIDCODE],0))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5" t="b">
        <f>IFERROR(OR(TRACK_TYPES[[#This Row],[TRACK_TYPE_STANDARD_GAUGE_RAILTYPE_OHLE]:[TRACK_TYPE_STANDARD_GAUGE_RAILTYPE_NONE]]),FALSE)</f>
        <v>1</v>
      </c>
      <c r="AF347" s="35" t="b">
        <f>IFERROR(OR(TRACK_TYPES[[#This Row],[TRACK_TYPE_NARROW_GAUGE_RAILTYPE_OHLE]:[TRACK_TYPE_NARROW_GAUGE_RAILTYPE_NONE]]),FALSE)</f>
        <v>0</v>
      </c>
      <c r="AG347" s="35" t="b">
        <f>IFERROR(OR(TRACK_TYPES[[#This Row],[TRACK_TYPE_BROAD_GAUGE_RAILTYPE_OHLE]:[TRACK_TYPE_BROAD_GAUGE_RAILTYPE_NONE]]),FALSE)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2974</v>
      </c>
      <c r="B348" s="37" t="str">
        <f>INDEX(CONTROL[ENGLISH],MATCH(PROPERTIES[[#This Row],[VEHIDCODE]],CONTROL[VEHIDCODE],0))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5" t="b">
        <f>IFERROR(OR(TRACK_TYPES[[#This Row],[TRACK_TYPE_STANDARD_GAUGE_RAILTYPE_OHLE]:[TRACK_TYPE_STANDARD_GAUGE_RAILTYPE_NONE]]),FALSE)</f>
        <v>1</v>
      </c>
      <c r="AF348" s="35" t="b">
        <f>IFERROR(OR(TRACK_TYPES[[#This Row],[TRACK_TYPE_NARROW_GAUGE_RAILTYPE_OHLE]:[TRACK_TYPE_NARROW_GAUGE_RAILTYPE_NONE]]),FALSE)</f>
        <v>0</v>
      </c>
      <c r="AG348" s="35" t="b">
        <f>IFERROR(OR(TRACK_TYPES[[#This Row],[TRACK_TYPE_BROAD_GAUGE_RAILTYPE_OHLE]:[TRACK_TYPE_BROAD_GAUGE_RAILTYPE_NONE]]),FALSE)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2975</v>
      </c>
      <c r="B349" s="37" t="str">
        <f>INDEX(CONTROL[ENGLISH],MATCH(PROPERTIES[[#This Row],[VEHIDCODE]],CONTROL[VEHIDCODE],0))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5" t="b">
        <f>IFERROR(OR(TRACK_TYPES[[#This Row],[TRACK_TYPE_STANDARD_GAUGE_RAILTYPE_OHLE]:[TRACK_TYPE_STANDARD_GAUGE_RAILTYPE_NONE]]),FALSE)</f>
        <v>1</v>
      </c>
      <c r="AF349" s="35" t="b">
        <f>IFERROR(OR(TRACK_TYPES[[#This Row],[TRACK_TYPE_NARROW_GAUGE_RAILTYPE_OHLE]:[TRACK_TYPE_NARROW_GAUGE_RAILTYPE_NONE]]),FALSE)</f>
        <v>0</v>
      </c>
      <c r="AG349" s="35" t="b">
        <f>IFERROR(OR(TRACK_TYPES[[#This Row],[TRACK_TYPE_BROAD_GAUGE_RAILTYPE_OHLE]:[TRACK_TYPE_BROAD_GAUGE_RAILTYPE_NONE]]),FALSE)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2976</v>
      </c>
      <c r="B350" s="37" t="str">
        <f>INDEX(CONTROL[ENGLISH],MATCH(PROPERTIES[[#This Row],[VEHIDCODE]],CONTROL[VEHIDCODE],0))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5" t="b">
        <f>IFERROR(OR(TRACK_TYPES[[#This Row],[TRACK_TYPE_STANDARD_GAUGE_RAILTYPE_OHLE]:[TRACK_TYPE_STANDARD_GAUGE_RAILTYPE_NONE]]),FALSE)</f>
        <v>1</v>
      </c>
      <c r="AF350" s="35" t="b">
        <f>IFERROR(OR(TRACK_TYPES[[#This Row],[TRACK_TYPE_NARROW_GAUGE_RAILTYPE_OHLE]:[TRACK_TYPE_NARROW_GAUGE_RAILTYPE_NONE]]),FALSE)</f>
        <v>0</v>
      </c>
      <c r="AG350" s="35" t="b">
        <f>IFERROR(OR(TRACK_TYPES[[#This Row],[TRACK_TYPE_BROAD_GAUGE_RAILTYPE_OHLE]:[TRACK_TYPE_BROAD_GAUGE_RAILTYPE_NONE]]),FALSE)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2977</v>
      </c>
      <c r="B351" s="37" t="str">
        <f>INDEX(CONTROL[ENGLISH],MATCH(PROPERTIES[[#This Row],[VEHIDCODE]],CONTROL[VEHIDCODE],0))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5" t="b">
        <f>IFERROR(OR(TRACK_TYPES[[#This Row],[TRACK_TYPE_STANDARD_GAUGE_RAILTYPE_OHLE]:[TRACK_TYPE_STANDARD_GAUGE_RAILTYPE_NONE]]),FALSE)</f>
        <v>1</v>
      </c>
      <c r="AF351" s="35" t="b">
        <f>IFERROR(OR(TRACK_TYPES[[#This Row],[TRACK_TYPE_NARROW_GAUGE_RAILTYPE_OHLE]:[TRACK_TYPE_NARROW_GAUGE_RAILTYPE_NONE]]),FALSE)</f>
        <v>0</v>
      </c>
      <c r="AG351" s="35" t="b">
        <f>IFERROR(OR(TRACK_TYPES[[#This Row],[TRACK_TYPE_BROAD_GAUGE_RAILTYPE_OHLE]:[TRACK_TYPE_BROAD_GAUGE_RAILTYPE_NONE]]),FALSE)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2978</v>
      </c>
      <c r="B352" s="37" t="str">
        <f>INDEX(CONTROL[ENGLISH],MATCH(PROPERTIES[[#This Row],[VEHIDCODE]],CONTROL[VEHIDCODE],0))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5" t="b">
        <f>IFERROR(OR(TRACK_TYPES[[#This Row],[TRACK_TYPE_STANDARD_GAUGE_RAILTYPE_OHLE]:[TRACK_TYPE_STANDARD_GAUGE_RAILTYPE_NONE]]),FALSE)</f>
        <v>1</v>
      </c>
      <c r="AF352" s="35" t="b">
        <f>IFERROR(OR(TRACK_TYPES[[#This Row],[TRACK_TYPE_NARROW_GAUGE_RAILTYPE_OHLE]:[TRACK_TYPE_NARROW_GAUGE_RAILTYPE_NONE]]),FALSE)</f>
        <v>0</v>
      </c>
      <c r="AG352" s="35" t="b">
        <f>IFERROR(OR(TRACK_TYPES[[#This Row],[TRACK_TYPE_BROAD_GAUGE_RAILTYPE_OHLE]:[TRACK_TYPE_BROAD_GAUGE_RAILTYPE_NONE]]),FALSE)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2979</v>
      </c>
      <c r="B353" s="37" t="str">
        <f>INDEX(CONTROL[ENGLISH],MATCH(PROPERTIES[[#This Row],[VEHIDCODE]],CONTROL[VEHIDCODE],0))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5" t="b">
        <f>IFERROR(OR(TRACK_TYPES[[#This Row],[TRACK_TYPE_STANDARD_GAUGE_RAILTYPE_OHLE]:[TRACK_TYPE_STANDARD_GAUGE_RAILTYPE_NONE]]),FALSE)</f>
        <v>1</v>
      </c>
      <c r="AF353" s="35" t="b">
        <f>IFERROR(OR(TRACK_TYPES[[#This Row],[TRACK_TYPE_NARROW_GAUGE_RAILTYPE_OHLE]:[TRACK_TYPE_NARROW_GAUGE_RAILTYPE_NONE]]),FALSE)</f>
        <v>0</v>
      </c>
      <c r="AG353" s="35" t="b">
        <f>IFERROR(OR(TRACK_TYPES[[#This Row],[TRACK_TYPE_BROAD_GAUGE_RAILTYPE_OHLE]:[TRACK_TYPE_BROAD_GAUGE_RAILTYPE_NONE]]),FALSE)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2980</v>
      </c>
      <c r="B354" s="37" t="str">
        <f>INDEX(CONTROL[ENGLISH],MATCH(PROPERTIES[[#This Row],[VEHIDCODE]],CONTROL[VEHIDCODE],0))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5" t="b">
        <f>IFERROR(OR(TRACK_TYPES[[#This Row],[TRACK_TYPE_STANDARD_GAUGE_RAILTYPE_OHLE]:[TRACK_TYPE_STANDARD_GAUGE_RAILTYPE_NONE]]),FALSE)</f>
        <v>0</v>
      </c>
      <c r="AF354" s="35" t="b">
        <f>IFERROR(OR(TRACK_TYPES[[#This Row],[TRACK_TYPE_NARROW_GAUGE_RAILTYPE_OHLE]:[TRACK_TYPE_NARROW_GAUGE_RAILTYPE_NONE]]),FALSE)</f>
        <v>1</v>
      </c>
      <c r="AG354" s="35" t="b">
        <f>IFERROR(OR(TRACK_TYPES[[#This Row],[TRACK_TYPE_BROAD_GAUGE_RAILTYPE_OHLE]:[TRACK_TYPE_BROAD_GAUGE_RAILTYPE_NONE]]),FALSE)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2981</v>
      </c>
      <c r="B355" s="37" t="str">
        <f>INDEX(CONTROL[ENGLISH],MATCH(PROPERTIES[[#This Row],[VEHIDCODE]],CONTROL[VEHIDCODE],0))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5" t="b">
        <f>IFERROR(OR(TRACK_TYPES[[#This Row],[TRACK_TYPE_STANDARD_GAUGE_RAILTYPE_OHLE]:[TRACK_TYPE_STANDARD_GAUGE_RAILTYPE_NONE]]),FALSE)</f>
        <v>0</v>
      </c>
      <c r="AF355" s="35" t="b">
        <f>IFERROR(OR(TRACK_TYPES[[#This Row],[TRACK_TYPE_NARROW_GAUGE_RAILTYPE_OHLE]:[TRACK_TYPE_NARROW_GAUGE_RAILTYPE_NONE]]),FALSE)</f>
        <v>1</v>
      </c>
      <c r="AG355" s="35" t="b">
        <f>IFERROR(OR(TRACK_TYPES[[#This Row],[TRACK_TYPE_BROAD_GAUGE_RAILTYPE_OHLE]:[TRACK_TYPE_BROAD_GAUGE_RAILTYPE_NONE]]),FALSE)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2982</v>
      </c>
      <c r="B356" s="37" t="str">
        <f>INDEX(CONTROL[ENGLISH],MATCH(PROPERTIES[[#This Row],[VEHIDCODE]],CONTROL[VEHIDCODE],0))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5" t="b">
        <f>IFERROR(OR(TRACK_TYPES[[#This Row],[TRACK_TYPE_STANDARD_GAUGE_RAILTYPE_OHLE]:[TRACK_TYPE_STANDARD_GAUGE_RAILTYPE_NONE]]),FALSE)</f>
        <v>1</v>
      </c>
      <c r="AF356" s="35" t="b">
        <f>IFERROR(OR(TRACK_TYPES[[#This Row],[TRACK_TYPE_NARROW_GAUGE_RAILTYPE_OHLE]:[TRACK_TYPE_NARROW_GAUGE_RAILTYPE_NONE]]),FALSE)</f>
        <v>0</v>
      </c>
      <c r="AG356" s="35" t="b">
        <f>IFERROR(OR(TRACK_TYPES[[#This Row],[TRACK_TYPE_BROAD_GAUGE_RAILTYPE_OHLE]:[TRACK_TYPE_BROAD_GAUGE_RAILTYPE_NONE]]),FALSE)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2983</v>
      </c>
      <c r="B357" s="37" t="str">
        <f>INDEX(CONTROL[ENGLISH],MATCH(PROPERTIES[[#This Row],[VEHIDCODE]],CONTROL[VEHIDCODE],0))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5" t="b">
        <f>IFERROR(OR(TRACK_TYPES[[#This Row],[TRACK_TYPE_STANDARD_GAUGE_RAILTYPE_OHLE]:[TRACK_TYPE_STANDARD_GAUGE_RAILTYPE_NONE]]),FALSE)</f>
        <v>1</v>
      </c>
      <c r="AF357" s="35" t="b">
        <f>IFERROR(OR(TRACK_TYPES[[#This Row],[TRACK_TYPE_NARROW_GAUGE_RAILTYPE_OHLE]:[TRACK_TYPE_NARROW_GAUGE_RAILTYPE_NONE]]),FALSE)</f>
        <v>0</v>
      </c>
      <c r="AG357" s="35" t="b">
        <f>IFERROR(OR(TRACK_TYPES[[#This Row],[TRACK_TYPE_BROAD_GAUGE_RAILTYPE_OHLE]:[TRACK_TYPE_BROAD_GAUGE_RAILTYPE_NONE]]),FALSE)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2984</v>
      </c>
      <c r="B358" s="37" t="str">
        <f>INDEX(CONTROL[ENGLISH],MATCH(PROPERTIES[[#This Row],[VEHIDCODE]],CONTROL[VEHIDCODE],0))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5" t="b">
        <f>IFERROR(OR(TRACK_TYPES[[#This Row],[TRACK_TYPE_STANDARD_GAUGE_RAILTYPE_OHLE]:[TRACK_TYPE_STANDARD_GAUGE_RAILTYPE_NONE]]),FALSE)</f>
        <v>0</v>
      </c>
      <c r="AF358" s="35" t="b">
        <f>IFERROR(OR(TRACK_TYPES[[#This Row],[TRACK_TYPE_NARROW_GAUGE_RAILTYPE_OHLE]:[TRACK_TYPE_NARROW_GAUGE_RAILTYPE_NONE]]),FALSE)</f>
        <v>0</v>
      </c>
      <c r="AG358" s="35" t="b">
        <f>IFERROR(OR(TRACK_TYPES[[#This Row],[TRACK_TYPE_BROAD_GAUGE_RAILTYPE_OHLE]:[TRACK_TYPE_BROAD_GAUGE_RAILTYPE_NONE]]),FALSE)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2985</v>
      </c>
      <c r="B359" s="37" t="str">
        <f>INDEX(CONTROL[ENGLISH],MATCH(PROPERTIES[[#This Row],[VEHIDCODE]],CONTROL[VEHIDCODE],0))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5" t="b">
        <f>IFERROR(OR(TRACK_TYPES[[#This Row],[TRACK_TYPE_STANDARD_GAUGE_RAILTYPE_OHLE]:[TRACK_TYPE_STANDARD_GAUGE_RAILTYPE_NONE]]),FALSE)</f>
        <v>1</v>
      </c>
      <c r="AF359" s="35" t="b">
        <f>IFERROR(OR(TRACK_TYPES[[#This Row],[TRACK_TYPE_NARROW_GAUGE_RAILTYPE_OHLE]:[TRACK_TYPE_NARROW_GAUGE_RAILTYPE_NONE]]),FALSE)</f>
        <v>0</v>
      </c>
      <c r="AG359" s="35" t="b">
        <f>IFERROR(OR(TRACK_TYPES[[#This Row],[TRACK_TYPE_BROAD_GAUGE_RAILTYPE_OHLE]:[TRACK_TYPE_BROAD_GAUGE_RAILTYPE_NONE]]),FALSE)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2986</v>
      </c>
      <c r="B360" s="37" t="str">
        <f>INDEX(CONTROL[ENGLISH],MATCH(PROPERTIES[[#This Row],[VEHIDCODE]],CONTROL[VEHIDCODE],0))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5" t="b">
        <f>IFERROR(OR(TRACK_TYPES[[#This Row],[TRACK_TYPE_STANDARD_GAUGE_RAILTYPE_OHLE]:[TRACK_TYPE_STANDARD_GAUGE_RAILTYPE_NONE]]),FALSE)</f>
        <v>1</v>
      </c>
      <c r="AF360" s="35" t="b">
        <f>IFERROR(OR(TRACK_TYPES[[#This Row],[TRACK_TYPE_NARROW_GAUGE_RAILTYPE_OHLE]:[TRACK_TYPE_NARROW_GAUGE_RAILTYPE_NONE]]),FALSE)</f>
        <v>0</v>
      </c>
      <c r="AG360" s="35" t="b">
        <f>IFERROR(OR(TRACK_TYPES[[#This Row],[TRACK_TYPE_BROAD_GAUGE_RAILTYPE_OHLE]:[TRACK_TYPE_BROAD_GAUGE_RAILTYPE_NONE]]),FALSE)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2987</v>
      </c>
      <c r="B361" s="37" t="str">
        <f>INDEX(CONTROL[ENGLISH],MATCH(PROPERTIES[[#This Row],[VEHIDCODE]],CONTROL[VEHIDCODE],0))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5" t="b">
        <f>IFERROR(OR(TRACK_TYPES[[#This Row],[TRACK_TYPE_STANDARD_GAUGE_RAILTYPE_OHLE]:[TRACK_TYPE_STANDARD_GAUGE_RAILTYPE_NONE]]),FALSE)</f>
        <v>0</v>
      </c>
      <c r="AF361" s="35" t="b">
        <f>IFERROR(OR(TRACK_TYPES[[#This Row],[TRACK_TYPE_NARROW_GAUGE_RAILTYPE_OHLE]:[TRACK_TYPE_NARROW_GAUGE_RAILTYPE_NONE]]),FALSE)</f>
        <v>1</v>
      </c>
      <c r="AG361" s="35" t="b">
        <f>IFERROR(OR(TRACK_TYPES[[#This Row],[TRACK_TYPE_BROAD_GAUGE_RAILTYPE_OHLE]:[TRACK_TYPE_BROAD_GAUGE_RAILTYPE_NONE]]),FALSE)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2988</v>
      </c>
      <c r="B362" s="37" t="str">
        <f>INDEX(CONTROL[ENGLISH],MATCH(PROPERTIES[[#This Row],[VEHIDCODE]],CONTROL[VEHIDCODE],0))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5" t="b">
        <f>IFERROR(OR(TRACK_TYPES[[#This Row],[TRACK_TYPE_STANDARD_GAUGE_RAILTYPE_OHLE]:[TRACK_TYPE_STANDARD_GAUGE_RAILTYPE_NONE]]),FALSE)</f>
        <v>0</v>
      </c>
      <c r="AF362" s="35" t="b">
        <f>IFERROR(OR(TRACK_TYPES[[#This Row],[TRACK_TYPE_NARROW_GAUGE_RAILTYPE_OHLE]:[TRACK_TYPE_NARROW_GAUGE_RAILTYPE_NONE]]),FALSE)</f>
        <v>0</v>
      </c>
      <c r="AG362" s="35" t="b">
        <f>IFERROR(OR(TRACK_TYPES[[#This Row],[TRACK_TYPE_BROAD_GAUGE_RAILTYPE_OHLE]:[TRACK_TYPE_BROAD_GAUGE_RAILTYPE_NONE]]),FALSE)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2989</v>
      </c>
      <c r="B363" s="37" t="str">
        <f>INDEX(CONTROL[ENGLISH],MATCH(PROPERTIES[[#This Row],[VEHIDCODE]],CONTROL[VEHIDCODE],0))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5" t="b">
        <f>IFERROR(OR(TRACK_TYPES[[#This Row],[TRACK_TYPE_STANDARD_GAUGE_RAILTYPE_OHLE]:[TRACK_TYPE_STANDARD_GAUGE_RAILTYPE_NONE]]),FALSE)</f>
        <v>1</v>
      </c>
      <c r="AF363" s="35" t="b">
        <f>IFERROR(OR(TRACK_TYPES[[#This Row],[TRACK_TYPE_NARROW_GAUGE_RAILTYPE_OHLE]:[TRACK_TYPE_NARROW_GAUGE_RAILTYPE_NONE]]),FALSE)</f>
        <v>0</v>
      </c>
      <c r="AG363" s="35" t="b">
        <f>IFERROR(OR(TRACK_TYPES[[#This Row],[TRACK_TYPE_BROAD_GAUGE_RAILTYPE_OHLE]:[TRACK_TYPE_BROAD_GAUGE_RAILTYPE_NONE]]),FALSE)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2990</v>
      </c>
      <c r="B364" s="37" t="str">
        <f>INDEX(CONTROL[ENGLISH],MATCH(PROPERTIES[[#This Row],[VEHIDCODE]],CONTROL[VEHIDCODE],0))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5" t="b">
        <f>IFERROR(OR(TRACK_TYPES[[#This Row],[TRACK_TYPE_STANDARD_GAUGE_RAILTYPE_OHLE]:[TRACK_TYPE_STANDARD_GAUGE_RAILTYPE_NONE]]),FALSE)</f>
        <v>0</v>
      </c>
      <c r="AF364" s="35" t="b">
        <f>IFERROR(OR(TRACK_TYPES[[#This Row],[TRACK_TYPE_NARROW_GAUGE_RAILTYPE_OHLE]:[TRACK_TYPE_NARROW_GAUGE_RAILTYPE_NONE]]),FALSE)</f>
        <v>1</v>
      </c>
      <c r="AG364" s="35" t="b">
        <f>IFERROR(OR(TRACK_TYPES[[#This Row],[TRACK_TYPE_BROAD_GAUGE_RAILTYPE_OHLE]:[TRACK_TYPE_BROAD_GAUGE_RAILTYPE_NONE]]),FALSE)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2991</v>
      </c>
      <c r="B365" s="37" t="str">
        <f>INDEX(CONTROL[ENGLISH],MATCH(PROPERTIES[[#This Row],[VEHIDCODE]],CONTROL[VEHIDCODE],0))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5" t="b">
        <f>IFERROR(OR(TRACK_TYPES[[#This Row],[TRACK_TYPE_STANDARD_GAUGE_RAILTYPE_OHLE]:[TRACK_TYPE_STANDARD_GAUGE_RAILTYPE_NONE]]),FALSE)</f>
        <v>1</v>
      </c>
      <c r="AF365" s="35" t="b">
        <f>IFERROR(OR(TRACK_TYPES[[#This Row],[TRACK_TYPE_NARROW_GAUGE_RAILTYPE_OHLE]:[TRACK_TYPE_NARROW_GAUGE_RAILTYPE_NONE]]),FALSE)</f>
        <v>0</v>
      </c>
      <c r="AG365" s="35" t="b">
        <f>IFERROR(OR(TRACK_TYPES[[#This Row],[TRACK_TYPE_BROAD_GAUGE_RAILTYPE_OHLE]:[TRACK_TYPE_BROAD_GAUGE_RAILTYPE_NONE]]),FALSE)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2992</v>
      </c>
      <c r="B366" s="37" t="str">
        <f>INDEX(CONTROL[ENGLISH],MATCH(PROPERTIES[[#This Row],[VEHIDCODE]],CONTROL[VEHIDCODE],0))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5" t="b">
        <f>IFERROR(OR(TRACK_TYPES[[#This Row],[TRACK_TYPE_STANDARD_GAUGE_RAILTYPE_OHLE]:[TRACK_TYPE_STANDARD_GAUGE_RAILTYPE_NONE]]),FALSE)</f>
        <v>1</v>
      </c>
      <c r="AF366" s="35" t="b">
        <f>IFERROR(OR(TRACK_TYPES[[#This Row],[TRACK_TYPE_NARROW_GAUGE_RAILTYPE_OHLE]:[TRACK_TYPE_NARROW_GAUGE_RAILTYPE_NONE]]),FALSE)</f>
        <v>0</v>
      </c>
      <c r="AG366" s="35" t="b">
        <f>IFERROR(OR(TRACK_TYPES[[#This Row],[TRACK_TYPE_BROAD_GAUGE_RAILTYPE_OHLE]:[TRACK_TYPE_BROAD_GAUGE_RAILTYPE_NONE]]),FALSE)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2993</v>
      </c>
      <c r="B367" s="37" t="str">
        <f>INDEX(CONTROL[ENGLISH],MATCH(PROPERTIES[[#This Row],[VEHIDCODE]],CONTROL[VEHIDCODE],0))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5" t="b">
        <f>IFERROR(OR(TRACK_TYPES[[#This Row],[TRACK_TYPE_STANDARD_GAUGE_RAILTYPE_OHLE]:[TRACK_TYPE_STANDARD_GAUGE_RAILTYPE_NONE]]),FALSE)</f>
        <v>1</v>
      </c>
      <c r="AF367" s="35" t="b">
        <f>IFERROR(OR(TRACK_TYPES[[#This Row],[TRACK_TYPE_NARROW_GAUGE_RAILTYPE_OHLE]:[TRACK_TYPE_NARROW_GAUGE_RAILTYPE_NONE]]),FALSE)</f>
        <v>0</v>
      </c>
      <c r="AG367" s="35" t="b">
        <f>IFERROR(OR(TRACK_TYPES[[#This Row],[TRACK_TYPE_BROAD_GAUGE_RAILTYPE_OHLE]:[TRACK_TYPE_BROAD_GAUGE_RAILTYPE_NONE]]),FALSE)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2994</v>
      </c>
      <c r="B368" s="37" t="str">
        <f>INDEX(CONTROL[ENGLISH],MATCH(PROPERTIES[[#This Row],[VEHIDCODE]],CONTROL[VEHIDCODE],0))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5" t="b">
        <f>IFERROR(OR(TRACK_TYPES[[#This Row],[TRACK_TYPE_STANDARD_GAUGE_RAILTYPE_OHLE]:[TRACK_TYPE_STANDARD_GAUGE_RAILTYPE_NONE]]),FALSE)</f>
        <v>1</v>
      </c>
      <c r="AF368" s="35" t="b">
        <f>IFERROR(OR(TRACK_TYPES[[#This Row],[TRACK_TYPE_NARROW_GAUGE_RAILTYPE_OHLE]:[TRACK_TYPE_NARROW_GAUGE_RAILTYPE_NONE]]),FALSE)</f>
        <v>0</v>
      </c>
      <c r="AG368" s="35" t="b">
        <f>IFERROR(OR(TRACK_TYPES[[#This Row],[TRACK_TYPE_BROAD_GAUGE_RAILTYPE_OHLE]:[TRACK_TYPE_BROAD_GAUGE_RAILTYPE_NONE]]),FALSE)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2995</v>
      </c>
      <c r="B369" s="37" t="str">
        <f>INDEX(CONTROL[ENGLISH],MATCH(PROPERTIES[[#This Row],[VEHIDCODE]],CONTROL[VEHIDCODE],0))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5" t="b">
        <f>IFERROR(OR(TRACK_TYPES[[#This Row],[TRACK_TYPE_STANDARD_GAUGE_RAILTYPE_OHLE]:[TRACK_TYPE_STANDARD_GAUGE_RAILTYPE_NONE]]),FALSE)</f>
        <v>0</v>
      </c>
      <c r="AF369" s="35" t="b">
        <f>IFERROR(OR(TRACK_TYPES[[#This Row],[TRACK_TYPE_NARROW_GAUGE_RAILTYPE_OHLE]:[TRACK_TYPE_NARROW_GAUGE_RAILTYPE_NONE]]),FALSE)</f>
        <v>0</v>
      </c>
      <c r="AG369" s="35" t="b">
        <f>IFERROR(OR(TRACK_TYPES[[#This Row],[TRACK_TYPE_BROAD_GAUGE_RAILTYPE_OHLE]:[TRACK_TYPE_BROAD_GAUGE_RAILTYPE_NONE]]),FALSE)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2996</v>
      </c>
      <c r="B370" s="37" t="str">
        <f>INDEX(CONTROL[ENGLISH],MATCH(PROPERTIES[[#This Row],[VEHIDCODE]],CONTROL[VEHIDCODE],0))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5" t="b">
        <f>IFERROR(OR(TRACK_TYPES[[#This Row],[TRACK_TYPE_STANDARD_GAUGE_RAILTYPE_OHLE]:[TRACK_TYPE_STANDARD_GAUGE_RAILTYPE_NONE]]),FALSE)</f>
        <v>1</v>
      </c>
      <c r="AF370" s="35" t="b">
        <f>IFERROR(OR(TRACK_TYPES[[#This Row],[TRACK_TYPE_NARROW_GAUGE_RAILTYPE_OHLE]:[TRACK_TYPE_NARROW_GAUGE_RAILTYPE_NONE]]),FALSE)</f>
        <v>0</v>
      </c>
      <c r="AG370" s="35" t="b">
        <f>IFERROR(OR(TRACK_TYPES[[#This Row],[TRACK_TYPE_BROAD_GAUGE_RAILTYPE_OHLE]:[TRACK_TYPE_BROAD_GAUGE_RAILTYPE_NONE]]),FALSE)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2997</v>
      </c>
      <c r="B371" s="37" t="str">
        <f>INDEX(CONTROL[ENGLISH],MATCH(PROPERTIES[[#This Row],[VEHIDCODE]],CONTROL[VEHIDCODE],0))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5" t="b">
        <f>IFERROR(OR(TRACK_TYPES[[#This Row],[TRACK_TYPE_STANDARD_GAUGE_RAILTYPE_OHLE]:[TRACK_TYPE_STANDARD_GAUGE_RAILTYPE_NONE]]),FALSE)</f>
        <v>0</v>
      </c>
      <c r="AF371" s="35" t="b">
        <f>IFERROR(OR(TRACK_TYPES[[#This Row],[TRACK_TYPE_NARROW_GAUGE_RAILTYPE_OHLE]:[TRACK_TYPE_NARROW_GAUGE_RAILTYPE_NONE]]),FALSE)</f>
        <v>1</v>
      </c>
      <c r="AG371" s="35" t="b">
        <f>IFERROR(OR(TRACK_TYPES[[#This Row],[TRACK_TYPE_BROAD_GAUGE_RAILTYPE_OHLE]:[TRACK_TYPE_BROAD_GAUGE_RAILTYPE_NONE]]),FALSE)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2998</v>
      </c>
      <c r="B372" s="37" t="str">
        <f>INDEX(CONTROL[ENGLISH],MATCH(PROPERTIES[[#This Row],[VEHIDCODE]],CONTROL[VEHIDCODE],0))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5" t="b">
        <f>IFERROR(OR(TRACK_TYPES[[#This Row],[TRACK_TYPE_STANDARD_GAUGE_RAILTYPE_OHLE]:[TRACK_TYPE_STANDARD_GAUGE_RAILTYPE_NONE]]),FALSE)</f>
        <v>1</v>
      </c>
      <c r="AF372" s="35" t="b">
        <f>IFERROR(OR(TRACK_TYPES[[#This Row],[TRACK_TYPE_NARROW_GAUGE_RAILTYPE_OHLE]:[TRACK_TYPE_NARROW_GAUGE_RAILTYPE_NONE]]),FALSE)</f>
        <v>0</v>
      </c>
      <c r="AG372" s="35" t="b">
        <f>IFERROR(OR(TRACK_TYPES[[#This Row],[TRACK_TYPE_BROAD_GAUGE_RAILTYPE_OHLE]:[TRACK_TYPE_BROAD_GAUGE_RAILTYPE_NONE]]),FALSE)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2999</v>
      </c>
      <c r="B373" s="37" t="str">
        <f>INDEX(CONTROL[ENGLISH],MATCH(PROPERTIES[[#This Row],[VEHIDCODE]],CONTROL[VEHIDCODE],0))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5" t="b">
        <f>IFERROR(OR(TRACK_TYPES[[#This Row],[TRACK_TYPE_STANDARD_GAUGE_RAILTYPE_OHLE]:[TRACK_TYPE_STANDARD_GAUGE_RAILTYPE_NONE]]),FALSE)</f>
        <v>1</v>
      </c>
      <c r="AF373" s="35" t="b">
        <f>IFERROR(OR(TRACK_TYPES[[#This Row],[TRACK_TYPE_NARROW_GAUGE_RAILTYPE_OHLE]:[TRACK_TYPE_NARROW_GAUGE_RAILTYPE_NONE]]),FALSE)</f>
        <v>0</v>
      </c>
      <c r="AG373" s="35" t="b">
        <f>IFERROR(OR(TRACK_TYPES[[#This Row],[TRACK_TYPE_BROAD_GAUGE_RAILTYPE_OHLE]:[TRACK_TYPE_BROAD_GAUGE_RAILTYPE_NONE]]),FALSE)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3000</v>
      </c>
      <c r="B374" s="37" t="str">
        <f>INDEX(CONTROL[ENGLISH],MATCH(PROPERTIES[[#This Row],[VEHIDCODE]],CONTROL[VEHIDCODE],0))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5" t="b">
        <f>IFERROR(OR(TRACK_TYPES[[#This Row],[TRACK_TYPE_STANDARD_GAUGE_RAILTYPE_OHLE]:[TRACK_TYPE_STANDARD_GAUGE_RAILTYPE_NONE]]),FALSE)</f>
        <v>1</v>
      </c>
      <c r="AF374" s="35" t="b">
        <f>IFERROR(OR(TRACK_TYPES[[#This Row],[TRACK_TYPE_NARROW_GAUGE_RAILTYPE_OHLE]:[TRACK_TYPE_NARROW_GAUGE_RAILTYPE_NONE]]),FALSE)</f>
        <v>0</v>
      </c>
      <c r="AG374" s="35" t="b">
        <f>IFERROR(OR(TRACK_TYPES[[#This Row],[TRACK_TYPE_BROAD_GAUGE_RAILTYPE_OHLE]:[TRACK_TYPE_BROAD_GAUGE_RAILTYPE_NONE]]),FALSE)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3001</v>
      </c>
      <c r="B375" s="37" t="str">
        <f>INDEX(CONTROL[ENGLISH],MATCH(PROPERTIES[[#This Row],[VEHIDCODE]],CONTROL[VEHIDCODE],0))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5" t="b">
        <f>IFERROR(OR(TRACK_TYPES[[#This Row],[TRACK_TYPE_STANDARD_GAUGE_RAILTYPE_OHLE]:[TRACK_TYPE_STANDARD_GAUGE_RAILTYPE_NONE]]),FALSE)</f>
        <v>1</v>
      </c>
      <c r="AF375" s="35" t="b">
        <f>IFERROR(OR(TRACK_TYPES[[#This Row],[TRACK_TYPE_NARROW_GAUGE_RAILTYPE_OHLE]:[TRACK_TYPE_NARROW_GAUGE_RAILTYPE_NONE]]),FALSE)</f>
        <v>0</v>
      </c>
      <c r="AG375" s="35" t="b">
        <f>IFERROR(OR(TRACK_TYPES[[#This Row],[TRACK_TYPE_BROAD_GAUGE_RAILTYPE_OHLE]:[TRACK_TYPE_BROAD_GAUGE_RAILTYPE_NONE]]),FALSE)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3002</v>
      </c>
      <c r="B376" s="37" t="str">
        <f>INDEX(CONTROL[ENGLISH],MATCH(PROPERTIES[[#This Row],[VEHIDCODE]],CONTROL[VEHIDCODE],0))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5" t="b">
        <f>IFERROR(OR(TRACK_TYPES[[#This Row],[TRACK_TYPE_STANDARD_GAUGE_RAILTYPE_OHLE]:[TRACK_TYPE_STANDARD_GAUGE_RAILTYPE_NONE]]),FALSE)</f>
        <v>1</v>
      </c>
      <c r="AF376" s="35" t="b">
        <f>IFERROR(OR(TRACK_TYPES[[#This Row],[TRACK_TYPE_NARROW_GAUGE_RAILTYPE_OHLE]:[TRACK_TYPE_NARROW_GAUGE_RAILTYPE_NONE]]),FALSE)</f>
        <v>0</v>
      </c>
      <c r="AG376" s="35" t="b">
        <f>IFERROR(OR(TRACK_TYPES[[#This Row],[TRACK_TYPE_BROAD_GAUGE_RAILTYPE_OHLE]:[TRACK_TYPE_BROAD_GAUGE_RAILTYPE_NONE]]),FALSE)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3003</v>
      </c>
      <c r="B377" s="37" t="str">
        <f>INDEX(CONTROL[ENGLISH],MATCH(PROPERTIES[[#This Row],[VEHIDCODE]],CONTROL[VEHIDCODE],0))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5" t="b">
        <f>IFERROR(OR(TRACK_TYPES[[#This Row],[TRACK_TYPE_STANDARD_GAUGE_RAILTYPE_OHLE]:[TRACK_TYPE_STANDARD_GAUGE_RAILTYPE_NONE]]),FALSE)</f>
        <v>1</v>
      </c>
      <c r="AF377" s="35" t="b">
        <f>IFERROR(OR(TRACK_TYPES[[#This Row],[TRACK_TYPE_NARROW_GAUGE_RAILTYPE_OHLE]:[TRACK_TYPE_NARROW_GAUGE_RAILTYPE_NONE]]),FALSE)</f>
        <v>0</v>
      </c>
      <c r="AG377" s="35" t="b">
        <f>IFERROR(OR(TRACK_TYPES[[#This Row],[TRACK_TYPE_BROAD_GAUGE_RAILTYPE_OHLE]:[TRACK_TYPE_BROAD_GAUGE_RAILTYPE_NONE]]),FALSE)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3004</v>
      </c>
      <c r="B378" s="37" t="str">
        <f>INDEX(CONTROL[ENGLISH],MATCH(PROPERTIES[[#This Row],[VEHIDCODE]],CONTROL[VEHIDCODE],0))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5" t="b">
        <f>IFERROR(OR(TRACK_TYPES[[#This Row],[TRACK_TYPE_STANDARD_GAUGE_RAILTYPE_OHLE]:[TRACK_TYPE_STANDARD_GAUGE_RAILTYPE_NONE]]),FALSE)</f>
        <v>1</v>
      </c>
      <c r="AF378" s="35" t="b">
        <f>IFERROR(OR(TRACK_TYPES[[#This Row],[TRACK_TYPE_NARROW_GAUGE_RAILTYPE_OHLE]:[TRACK_TYPE_NARROW_GAUGE_RAILTYPE_NONE]]),FALSE)</f>
        <v>0</v>
      </c>
      <c r="AG378" s="35" t="b">
        <f>IFERROR(OR(TRACK_TYPES[[#This Row],[TRACK_TYPE_BROAD_GAUGE_RAILTYPE_OHLE]:[TRACK_TYPE_BROAD_GAUGE_RAILTYPE_NONE]]),FALSE)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3005</v>
      </c>
      <c r="B379" s="37" t="str">
        <f>INDEX(CONTROL[ENGLISH],MATCH(PROPERTIES[[#This Row],[VEHIDCODE]],CONTROL[VEHIDCODE],0))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5" t="b">
        <f>IFERROR(OR(TRACK_TYPES[[#This Row],[TRACK_TYPE_STANDARD_GAUGE_RAILTYPE_OHLE]:[TRACK_TYPE_STANDARD_GAUGE_RAILTYPE_NONE]]),FALSE)</f>
        <v>1</v>
      </c>
      <c r="AF379" s="35" t="b">
        <f>IFERROR(OR(TRACK_TYPES[[#This Row],[TRACK_TYPE_NARROW_GAUGE_RAILTYPE_OHLE]:[TRACK_TYPE_NARROW_GAUGE_RAILTYPE_NONE]]),FALSE)</f>
        <v>0</v>
      </c>
      <c r="AG379" s="35" t="b">
        <f>IFERROR(OR(TRACK_TYPES[[#This Row],[TRACK_TYPE_BROAD_GAUGE_RAILTYPE_OHLE]:[TRACK_TYPE_BROAD_GAUGE_RAILTYPE_NONE]]),FALSE)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3006</v>
      </c>
      <c r="B380" s="37" t="str">
        <f>INDEX(CONTROL[ENGLISH],MATCH(PROPERTIES[[#This Row],[VEHIDCODE]],CONTROL[VEHIDCODE],0))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5" t="b">
        <f>IFERROR(OR(TRACK_TYPES[[#This Row],[TRACK_TYPE_STANDARD_GAUGE_RAILTYPE_OHLE]:[TRACK_TYPE_STANDARD_GAUGE_RAILTYPE_NONE]]),FALSE)</f>
        <v>1</v>
      </c>
      <c r="AF380" s="35" t="b">
        <f>IFERROR(OR(TRACK_TYPES[[#This Row],[TRACK_TYPE_NARROW_GAUGE_RAILTYPE_OHLE]:[TRACK_TYPE_NARROW_GAUGE_RAILTYPE_NONE]]),FALSE)</f>
        <v>0</v>
      </c>
      <c r="AG380" s="35" t="b">
        <f>IFERROR(OR(TRACK_TYPES[[#This Row],[TRACK_TYPE_BROAD_GAUGE_RAILTYPE_OHLE]:[TRACK_TYPE_BROAD_GAUGE_RAILTYPE_NONE]]),FALSE)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3007</v>
      </c>
      <c r="B381" s="37" t="str">
        <f>INDEX(CONTROL[ENGLISH],MATCH(PROPERTIES[[#This Row],[VEHIDCODE]],CONTROL[VEHIDCODE],0))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5" t="b">
        <f>IFERROR(OR(TRACK_TYPES[[#This Row],[TRACK_TYPE_STANDARD_GAUGE_RAILTYPE_OHLE]:[TRACK_TYPE_STANDARD_GAUGE_RAILTYPE_NONE]]),FALSE)</f>
        <v>0</v>
      </c>
      <c r="AF381" s="35" t="b">
        <f>IFERROR(OR(TRACK_TYPES[[#This Row],[TRACK_TYPE_NARROW_GAUGE_RAILTYPE_OHLE]:[TRACK_TYPE_NARROW_GAUGE_RAILTYPE_NONE]]),FALSE)</f>
        <v>0</v>
      </c>
      <c r="AG381" s="35" t="b">
        <f>IFERROR(OR(TRACK_TYPES[[#This Row],[TRACK_TYPE_BROAD_GAUGE_RAILTYPE_OHLE]:[TRACK_TYPE_BROAD_GAUGE_RAILTYPE_NONE]]),FALSE)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3008</v>
      </c>
      <c r="B382" s="37" t="str">
        <f>INDEX(CONTROL[ENGLISH],MATCH(PROPERTIES[[#This Row],[VEHIDCODE]],CONTROL[VEHIDCODE],0))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5" t="b">
        <f>IFERROR(OR(TRACK_TYPES[[#This Row],[TRACK_TYPE_STANDARD_GAUGE_RAILTYPE_OHLE]:[TRACK_TYPE_STANDARD_GAUGE_RAILTYPE_NONE]]),FALSE)</f>
        <v>0</v>
      </c>
      <c r="AF382" s="35" t="b">
        <f>IFERROR(OR(TRACK_TYPES[[#This Row],[TRACK_TYPE_NARROW_GAUGE_RAILTYPE_OHLE]:[TRACK_TYPE_NARROW_GAUGE_RAILTYPE_NONE]]),FALSE)</f>
        <v>0</v>
      </c>
      <c r="AG382" s="35" t="b">
        <f>IFERROR(OR(TRACK_TYPES[[#This Row],[TRACK_TYPE_BROAD_GAUGE_RAILTYPE_OHLE]:[TRACK_TYPE_BROAD_GAUGE_RAILTYPE_NONE]]),FALSE)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3009</v>
      </c>
      <c r="B383" s="37" t="str">
        <f>INDEX(CONTROL[ENGLISH],MATCH(PROPERTIES[[#This Row],[VEHIDCODE]],CONTROL[VEHIDCODE],0))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5" t="b">
        <f>IFERROR(OR(TRACK_TYPES[[#This Row],[TRACK_TYPE_STANDARD_GAUGE_RAILTYPE_OHLE]:[TRACK_TYPE_STANDARD_GAUGE_RAILTYPE_NONE]]),FALSE)</f>
        <v>0</v>
      </c>
      <c r="AF383" s="35" t="b">
        <f>IFERROR(OR(TRACK_TYPES[[#This Row],[TRACK_TYPE_NARROW_GAUGE_RAILTYPE_OHLE]:[TRACK_TYPE_NARROW_GAUGE_RAILTYPE_NONE]]),FALSE)</f>
        <v>0</v>
      </c>
      <c r="AG383" s="35" t="b">
        <f>IFERROR(OR(TRACK_TYPES[[#This Row],[TRACK_TYPE_BROAD_GAUGE_RAILTYPE_OHLE]:[TRACK_TYPE_BROAD_GAUGE_RAILTYPE_NONE]]),FALSE)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3010</v>
      </c>
      <c r="B384" s="37" t="str">
        <f>INDEX(CONTROL[ENGLISH],MATCH(PROPERTIES[[#This Row],[VEHIDCODE]],CONTROL[VEHIDCODE],0))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5" t="b">
        <f>IFERROR(OR(TRACK_TYPES[[#This Row],[TRACK_TYPE_STANDARD_GAUGE_RAILTYPE_OHLE]:[TRACK_TYPE_STANDARD_GAUGE_RAILTYPE_NONE]]),FALSE)</f>
        <v>1</v>
      </c>
      <c r="AF384" s="35" t="b">
        <f>IFERROR(OR(TRACK_TYPES[[#This Row],[TRACK_TYPE_NARROW_GAUGE_RAILTYPE_OHLE]:[TRACK_TYPE_NARROW_GAUGE_RAILTYPE_NONE]]),FALSE)</f>
        <v>0</v>
      </c>
      <c r="AG384" s="35" t="b">
        <f>IFERROR(OR(TRACK_TYPES[[#This Row],[TRACK_TYPE_BROAD_GAUGE_RAILTYPE_OHLE]:[TRACK_TYPE_BROAD_GAUGE_RAILTYPE_NONE]]),FALSE)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3011</v>
      </c>
      <c r="B385" s="37" t="str">
        <f>INDEX(CONTROL[ENGLISH],MATCH(PROPERTIES[[#This Row],[VEHIDCODE]],CONTROL[VEHIDCODE],0))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5" t="b">
        <f>IFERROR(OR(TRACK_TYPES[[#This Row],[TRACK_TYPE_STANDARD_GAUGE_RAILTYPE_OHLE]:[TRACK_TYPE_STANDARD_GAUGE_RAILTYPE_NONE]]),FALSE)</f>
        <v>0</v>
      </c>
      <c r="AF385" s="35" t="b">
        <f>IFERROR(OR(TRACK_TYPES[[#This Row],[TRACK_TYPE_NARROW_GAUGE_RAILTYPE_OHLE]:[TRACK_TYPE_NARROW_GAUGE_RAILTYPE_NONE]]),FALSE)</f>
        <v>0</v>
      </c>
      <c r="AG385" s="35" t="b">
        <f>IFERROR(OR(TRACK_TYPES[[#This Row],[TRACK_TYPE_BROAD_GAUGE_RAILTYPE_OHLE]:[TRACK_TYPE_BROAD_GAUGE_RAILTYPE_NONE]]),FALSE)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3012</v>
      </c>
      <c r="B386" s="37" t="str">
        <f>INDEX(CONTROL[ENGLISH],MATCH(PROPERTIES[[#This Row],[VEHIDCODE]],CONTROL[VEHIDCODE],0))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5" t="b">
        <f>IFERROR(OR(TRACK_TYPES[[#This Row],[TRACK_TYPE_STANDARD_GAUGE_RAILTYPE_OHLE]:[TRACK_TYPE_STANDARD_GAUGE_RAILTYPE_NONE]]),FALSE)</f>
        <v>0</v>
      </c>
      <c r="AF386" s="35" t="b">
        <f>IFERROR(OR(TRACK_TYPES[[#This Row],[TRACK_TYPE_NARROW_GAUGE_RAILTYPE_OHLE]:[TRACK_TYPE_NARROW_GAUGE_RAILTYPE_NONE]]),FALSE)</f>
        <v>1</v>
      </c>
      <c r="AG386" s="35" t="b">
        <f>IFERROR(OR(TRACK_TYPES[[#This Row],[TRACK_TYPE_BROAD_GAUGE_RAILTYPE_OHLE]:[TRACK_TYPE_BROAD_GAUGE_RAILTYPE_NONE]]),FALSE)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3013</v>
      </c>
      <c r="B387" s="37" t="str">
        <f>INDEX(CONTROL[ENGLISH],MATCH(PROPERTIES[[#This Row],[VEHIDCODE]],CONTROL[VEHIDCODE],0))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5" t="b">
        <f>IFERROR(OR(TRACK_TYPES[[#This Row],[TRACK_TYPE_STANDARD_GAUGE_RAILTYPE_OHLE]:[TRACK_TYPE_STANDARD_GAUGE_RAILTYPE_NONE]]),FALSE)</f>
        <v>0</v>
      </c>
      <c r="AF387" s="35" t="b">
        <f>IFERROR(OR(TRACK_TYPES[[#This Row],[TRACK_TYPE_NARROW_GAUGE_RAILTYPE_OHLE]:[TRACK_TYPE_NARROW_GAUGE_RAILTYPE_NONE]]),FALSE)</f>
        <v>0</v>
      </c>
      <c r="AG387" s="35" t="b">
        <f>IFERROR(OR(TRACK_TYPES[[#This Row],[TRACK_TYPE_BROAD_GAUGE_RAILTYPE_OHLE]:[TRACK_TYPE_BROAD_GAUGE_RAILTYPE_NONE]]),FALSE)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3014</v>
      </c>
      <c r="B388" s="37" t="str">
        <f>INDEX(CONTROL[ENGLISH],MATCH(PROPERTIES[[#This Row],[VEHIDCODE]],CONTROL[VEHIDCODE],0))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5" t="b">
        <f>IFERROR(OR(TRACK_TYPES[[#This Row],[TRACK_TYPE_STANDARD_GAUGE_RAILTYPE_OHLE]:[TRACK_TYPE_STANDARD_GAUGE_RAILTYPE_NONE]]),FALSE)</f>
        <v>1</v>
      </c>
      <c r="AF388" s="35" t="b">
        <f>IFERROR(OR(TRACK_TYPES[[#This Row],[TRACK_TYPE_NARROW_GAUGE_RAILTYPE_OHLE]:[TRACK_TYPE_NARROW_GAUGE_RAILTYPE_NONE]]),FALSE)</f>
        <v>0</v>
      </c>
      <c r="AG388" s="35" t="b">
        <f>IFERROR(OR(TRACK_TYPES[[#This Row],[TRACK_TYPE_BROAD_GAUGE_RAILTYPE_OHLE]:[TRACK_TYPE_BROAD_GAUGE_RAILTYPE_NONE]]),FALSE)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3015</v>
      </c>
      <c r="B389" s="37" t="str">
        <f>INDEX(CONTROL[ENGLISH],MATCH(PROPERTIES[[#This Row],[VEHIDCODE]],CONTROL[VEHIDCODE],0))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5" t="b">
        <f>IFERROR(OR(TRACK_TYPES[[#This Row],[TRACK_TYPE_STANDARD_GAUGE_RAILTYPE_OHLE]:[TRACK_TYPE_STANDARD_GAUGE_RAILTYPE_NONE]]),FALSE)</f>
        <v>1</v>
      </c>
      <c r="AF389" s="35" t="b">
        <f>IFERROR(OR(TRACK_TYPES[[#This Row],[TRACK_TYPE_NARROW_GAUGE_RAILTYPE_OHLE]:[TRACK_TYPE_NARROW_GAUGE_RAILTYPE_NONE]]),FALSE)</f>
        <v>0</v>
      </c>
      <c r="AG389" s="35" t="b">
        <f>IFERROR(OR(TRACK_TYPES[[#This Row],[TRACK_TYPE_BROAD_GAUGE_RAILTYPE_OHLE]:[TRACK_TYPE_BROAD_GAUGE_RAILTYPE_NONE]]),FALSE)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3016</v>
      </c>
      <c r="B390" s="37" t="str">
        <f>INDEX(CONTROL[ENGLISH],MATCH(PROPERTIES[[#This Row],[VEHIDCODE]],CONTROL[VEHIDCODE],0))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5" t="b">
        <f>IFERROR(OR(TRACK_TYPES[[#This Row],[TRACK_TYPE_STANDARD_GAUGE_RAILTYPE_OHLE]:[TRACK_TYPE_STANDARD_GAUGE_RAILTYPE_NONE]]),FALSE)</f>
        <v>1</v>
      </c>
      <c r="AF390" s="35" t="b">
        <f>IFERROR(OR(TRACK_TYPES[[#This Row],[TRACK_TYPE_NARROW_GAUGE_RAILTYPE_OHLE]:[TRACK_TYPE_NARROW_GAUGE_RAILTYPE_NONE]]),FALSE)</f>
        <v>0</v>
      </c>
      <c r="AG390" s="35" t="b">
        <f>IFERROR(OR(TRACK_TYPES[[#This Row],[TRACK_TYPE_BROAD_GAUGE_RAILTYPE_OHLE]:[TRACK_TYPE_BROAD_GAUGE_RAILTYPE_NONE]]),FALSE)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3017</v>
      </c>
      <c r="B391" s="37" t="str">
        <f>INDEX(CONTROL[ENGLISH],MATCH(PROPERTIES[[#This Row],[VEHIDCODE]],CONTROL[VEHIDCODE],0))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5" t="b">
        <f>IFERROR(OR(TRACK_TYPES[[#This Row],[TRACK_TYPE_STANDARD_GAUGE_RAILTYPE_OHLE]:[TRACK_TYPE_STANDARD_GAUGE_RAILTYPE_NONE]]),FALSE)</f>
        <v>1</v>
      </c>
      <c r="AF391" s="35" t="b">
        <f>IFERROR(OR(TRACK_TYPES[[#This Row],[TRACK_TYPE_NARROW_GAUGE_RAILTYPE_OHLE]:[TRACK_TYPE_NARROW_GAUGE_RAILTYPE_NONE]]),FALSE)</f>
        <v>0</v>
      </c>
      <c r="AG391" s="35" t="b">
        <f>IFERROR(OR(TRACK_TYPES[[#This Row],[TRACK_TYPE_BROAD_GAUGE_RAILTYPE_OHLE]:[TRACK_TYPE_BROAD_GAUGE_RAILTYPE_NONE]]),FALSE)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3018</v>
      </c>
      <c r="B392" s="37" t="str">
        <f>INDEX(CONTROL[ENGLISH],MATCH(PROPERTIES[[#This Row],[VEHIDCODE]],CONTROL[VEHIDCODE],0))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5" t="b">
        <f>IFERROR(OR(TRACK_TYPES[[#This Row],[TRACK_TYPE_STANDARD_GAUGE_RAILTYPE_OHLE]:[TRACK_TYPE_STANDARD_GAUGE_RAILTYPE_NONE]]),FALSE)</f>
        <v>1</v>
      </c>
      <c r="AF392" s="35" t="b">
        <f>IFERROR(OR(TRACK_TYPES[[#This Row],[TRACK_TYPE_NARROW_GAUGE_RAILTYPE_OHLE]:[TRACK_TYPE_NARROW_GAUGE_RAILTYPE_NONE]]),FALSE)</f>
        <v>0</v>
      </c>
      <c r="AG392" s="35" t="b">
        <f>IFERROR(OR(TRACK_TYPES[[#This Row],[TRACK_TYPE_BROAD_GAUGE_RAILTYPE_OHLE]:[TRACK_TYPE_BROAD_GAUGE_RAILTYPE_NONE]]),FALSE)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3019</v>
      </c>
      <c r="B393" s="37" t="str">
        <f>INDEX(CONTROL[ENGLISH],MATCH(PROPERTIES[[#This Row],[VEHIDCODE]],CONTROL[VEHIDCODE],0))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5" t="b">
        <f>IFERROR(OR(TRACK_TYPES[[#This Row],[TRACK_TYPE_STANDARD_GAUGE_RAILTYPE_OHLE]:[TRACK_TYPE_STANDARD_GAUGE_RAILTYPE_NONE]]),FALSE)</f>
        <v>1</v>
      </c>
      <c r="AF393" s="35" t="b">
        <f>IFERROR(OR(TRACK_TYPES[[#This Row],[TRACK_TYPE_NARROW_GAUGE_RAILTYPE_OHLE]:[TRACK_TYPE_NARROW_GAUGE_RAILTYPE_NONE]]),FALSE)</f>
        <v>0</v>
      </c>
      <c r="AG393" s="35" t="b">
        <f>IFERROR(OR(TRACK_TYPES[[#This Row],[TRACK_TYPE_BROAD_GAUGE_RAILTYPE_OHLE]:[TRACK_TYPE_BROAD_GAUGE_RAILTYPE_NONE]]),FALSE)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3020</v>
      </c>
      <c r="B394" s="37" t="str">
        <f>INDEX(CONTROL[ENGLISH],MATCH(PROPERTIES[[#This Row],[VEHIDCODE]],CONTROL[VEHIDCODE],0))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5" t="b">
        <f>IFERROR(OR(TRACK_TYPES[[#This Row],[TRACK_TYPE_STANDARD_GAUGE_RAILTYPE_OHLE]:[TRACK_TYPE_STANDARD_GAUGE_RAILTYPE_NONE]]),FALSE)</f>
        <v>1</v>
      </c>
      <c r="AF394" s="35" t="b">
        <f>IFERROR(OR(TRACK_TYPES[[#This Row],[TRACK_TYPE_NARROW_GAUGE_RAILTYPE_OHLE]:[TRACK_TYPE_NARROW_GAUGE_RAILTYPE_NONE]]),FALSE)</f>
        <v>0</v>
      </c>
      <c r="AG394" s="35" t="b">
        <f>IFERROR(OR(TRACK_TYPES[[#This Row],[TRACK_TYPE_BROAD_GAUGE_RAILTYPE_OHLE]:[TRACK_TYPE_BROAD_GAUGE_RAILTYPE_NONE]]),FALSE)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3021</v>
      </c>
      <c r="B395" s="37" t="str">
        <f>INDEX(CONTROL[ENGLISH],MATCH(PROPERTIES[[#This Row],[VEHIDCODE]],CONTROL[VEHIDCODE],0))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5" t="b">
        <f>IFERROR(OR(TRACK_TYPES[[#This Row],[TRACK_TYPE_STANDARD_GAUGE_RAILTYPE_OHLE]:[TRACK_TYPE_STANDARD_GAUGE_RAILTYPE_NONE]]),FALSE)</f>
        <v>1</v>
      </c>
      <c r="AF395" s="35" t="b">
        <f>IFERROR(OR(TRACK_TYPES[[#This Row],[TRACK_TYPE_NARROW_GAUGE_RAILTYPE_OHLE]:[TRACK_TYPE_NARROW_GAUGE_RAILTYPE_NONE]]),FALSE)</f>
        <v>0</v>
      </c>
      <c r="AG395" s="35" t="b">
        <f>IFERROR(OR(TRACK_TYPES[[#This Row],[TRACK_TYPE_BROAD_GAUGE_RAILTYPE_OHLE]:[TRACK_TYPE_BROAD_GAUGE_RAILTYPE_NONE]]),FALSE)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3022</v>
      </c>
      <c r="B396" s="37" t="str">
        <f>INDEX(CONTROL[ENGLISH],MATCH(PROPERTIES[[#This Row],[VEHIDCODE]],CONTROL[VEHIDCODE],0))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5" t="b">
        <f>IFERROR(OR(TRACK_TYPES[[#This Row],[TRACK_TYPE_STANDARD_GAUGE_RAILTYPE_OHLE]:[TRACK_TYPE_STANDARD_GAUGE_RAILTYPE_NONE]]),FALSE)</f>
        <v>1</v>
      </c>
      <c r="AF396" s="35" t="b">
        <f>IFERROR(OR(TRACK_TYPES[[#This Row],[TRACK_TYPE_NARROW_GAUGE_RAILTYPE_OHLE]:[TRACK_TYPE_NARROW_GAUGE_RAILTYPE_NONE]]),FALSE)</f>
        <v>0</v>
      </c>
      <c r="AG396" s="35" t="b">
        <f>IFERROR(OR(TRACK_TYPES[[#This Row],[TRACK_TYPE_BROAD_GAUGE_RAILTYPE_OHLE]:[TRACK_TYPE_BROAD_GAUGE_RAILTYPE_NONE]]),FALSE)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3023</v>
      </c>
      <c r="B397" s="37" t="str">
        <f>INDEX(CONTROL[ENGLISH],MATCH(PROPERTIES[[#This Row],[VEHIDCODE]],CONTROL[VEHIDCODE],0))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5" t="b">
        <f>IFERROR(OR(TRACK_TYPES[[#This Row],[TRACK_TYPE_STANDARD_GAUGE_RAILTYPE_OHLE]:[TRACK_TYPE_STANDARD_GAUGE_RAILTYPE_NONE]]),FALSE)</f>
        <v>1</v>
      </c>
      <c r="AF397" s="35" t="b">
        <f>IFERROR(OR(TRACK_TYPES[[#This Row],[TRACK_TYPE_NARROW_GAUGE_RAILTYPE_OHLE]:[TRACK_TYPE_NARROW_GAUGE_RAILTYPE_NONE]]),FALSE)</f>
        <v>0</v>
      </c>
      <c r="AG397" s="35" t="b">
        <f>IFERROR(OR(TRACK_TYPES[[#This Row],[TRACK_TYPE_BROAD_GAUGE_RAILTYPE_OHLE]:[TRACK_TYPE_BROAD_GAUGE_RAILTYPE_NONE]]),FALSE)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3024</v>
      </c>
      <c r="B398" s="37" t="str">
        <f>INDEX(CONTROL[ENGLISH],MATCH(PROPERTIES[[#This Row],[VEHIDCODE]],CONTROL[VEHIDCODE],0))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5" t="b">
        <f>IFERROR(OR(TRACK_TYPES[[#This Row],[TRACK_TYPE_STANDARD_GAUGE_RAILTYPE_OHLE]:[TRACK_TYPE_STANDARD_GAUGE_RAILTYPE_NONE]]),FALSE)</f>
        <v>1</v>
      </c>
      <c r="AF398" s="35" t="b">
        <f>IFERROR(OR(TRACK_TYPES[[#This Row],[TRACK_TYPE_NARROW_GAUGE_RAILTYPE_OHLE]:[TRACK_TYPE_NARROW_GAUGE_RAILTYPE_NONE]]),FALSE)</f>
        <v>0</v>
      </c>
      <c r="AG398" s="35" t="b">
        <f>IFERROR(OR(TRACK_TYPES[[#This Row],[TRACK_TYPE_BROAD_GAUGE_RAILTYPE_OHLE]:[TRACK_TYPE_BROAD_GAUGE_RAILTYPE_NONE]]),FALSE)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3025</v>
      </c>
      <c r="B399" s="37" t="str">
        <f>INDEX(CONTROL[ENGLISH],MATCH(PROPERTIES[[#This Row],[VEHIDCODE]],CONTROL[VEHIDCODE],0))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5" t="b">
        <f>IFERROR(OR(TRACK_TYPES[[#This Row],[TRACK_TYPE_STANDARD_GAUGE_RAILTYPE_OHLE]:[TRACK_TYPE_STANDARD_GAUGE_RAILTYPE_NONE]]),FALSE)</f>
        <v>1</v>
      </c>
      <c r="AF399" s="35" t="b">
        <f>IFERROR(OR(TRACK_TYPES[[#This Row],[TRACK_TYPE_NARROW_GAUGE_RAILTYPE_OHLE]:[TRACK_TYPE_NARROW_GAUGE_RAILTYPE_NONE]]),FALSE)</f>
        <v>0</v>
      </c>
      <c r="AG399" s="35" t="b">
        <f>IFERROR(OR(TRACK_TYPES[[#This Row],[TRACK_TYPE_BROAD_GAUGE_RAILTYPE_OHLE]:[TRACK_TYPE_BROAD_GAUGE_RAILTYPE_NONE]]),FALSE)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3026</v>
      </c>
      <c r="B400" s="37" t="str">
        <f>INDEX(CONTROL[ENGLISH],MATCH(PROPERTIES[[#This Row],[VEHIDCODE]],CONTROL[VEHIDCODE],0))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5" t="b">
        <f>IFERROR(OR(TRACK_TYPES[[#This Row],[TRACK_TYPE_STANDARD_GAUGE_RAILTYPE_OHLE]:[TRACK_TYPE_STANDARD_GAUGE_RAILTYPE_NONE]]),FALSE)</f>
        <v>1</v>
      </c>
      <c r="AF400" s="35" t="b">
        <f>IFERROR(OR(TRACK_TYPES[[#This Row],[TRACK_TYPE_NARROW_GAUGE_RAILTYPE_OHLE]:[TRACK_TYPE_NARROW_GAUGE_RAILTYPE_NONE]]),FALSE)</f>
        <v>0</v>
      </c>
      <c r="AG400" s="35" t="b">
        <f>IFERROR(OR(TRACK_TYPES[[#This Row],[TRACK_TYPE_BROAD_GAUGE_RAILTYPE_OHLE]:[TRACK_TYPE_BROAD_GAUGE_RAILTYPE_NONE]]),FALSE)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3027</v>
      </c>
      <c r="B401" s="37" t="str">
        <f>INDEX(CONTROL[ENGLISH],MATCH(PROPERTIES[[#This Row],[VEHIDCODE]],CONTROL[VEHIDCODE],0))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5" t="b">
        <f>IFERROR(OR(TRACK_TYPES[[#This Row],[TRACK_TYPE_STANDARD_GAUGE_RAILTYPE_OHLE]:[TRACK_TYPE_STANDARD_GAUGE_RAILTYPE_NONE]]),FALSE)</f>
        <v>1</v>
      </c>
      <c r="AF401" s="35" t="b">
        <f>IFERROR(OR(TRACK_TYPES[[#This Row],[TRACK_TYPE_NARROW_GAUGE_RAILTYPE_OHLE]:[TRACK_TYPE_NARROW_GAUGE_RAILTYPE_NONE]]),FALSE)</f>
        <v>0</v>
      </c>
      <c r="AG401" s="35" t="b">
        <f>IFERROR(OR(TRACK_TYPES[[#This Row],[TRACK_TYPE_BROAD_GAUGE_RAILTYPE_OHLE]:[TRACK_TYPE_BROAD_GAUGE_RAILTYPE_NONE]]),FALSE)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3028</v>
      </c>
      <c r="B402" s="37" t="str">
        <f>INDEX(CONTROL[ENGLISH],MATCH(PROPERTIES[[#This Row],[VEHIDCODE]],CONTROL[VEHIDCODE],0))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5" t="b">
        <f>IFERROR(OR(TRACK_TYPES[[#This Row],[TRACK_TYPE_STANDARD_GAUGE_RAILTYPE_OHLE]:[TRACK_TYPE_STANDARD_GAUGE_RAILTYPE_NONE]]),FALSE)</f>
        <v>1</v>
      </c>
      <c r="AF402" s="35" t="b">
        <f>IFERROR(OR(TRACK_TYPES[[#This Row],[TRACK_TYPE_NARROW_GAUGE_RAILTYPE_OHLE]:[TRACK_TYPE_NARROW_GAUGE_RAILTYPE_NONE]]),FALSE)</f>
        <v>0</v>
      </c>
      <c r="AG402" s="35" t="b">
        <f>IFERROR(OR(TRACK_TYPES[[#This Row],[TRACK_TYPE_BROAD_GAUGE_RAILTYPE_OHLE]:[TRACK_TYPE_BROAD_GAUGE_RAILTYPE_NONE]]),FALSE)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3029</v>
      </c>
      <c r="B403" s="37" t="str">
        <f>INDEX(CONTROL[ENGLISH],MATCH(PROPERTIES[[#This Row],[VEHIDCODE]],CONTROL[VEHIDCODE],0))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5" t="b">
        <f>IFERROR(OR(TRACK_TYPES[[#This Row],[TRACK_TYPE_STANDARD_GAUGE_RAILTYPE_OHLE]:[TRACK_TYPE_STANDARD_GAUGE_RAILTYPE_NONE]]),FALSE)</f>
        <v>1</v>
      </c>
      <c r="AF403" s="35" t="b">
        <f>IFERROR(OR(TRACK_TYPES[[#This Row],[TRACK_TYPE_NARROW_GAUGE_RAILTYPE_OHLE]:[TRACK_TYPE_NARROW_GAUGE_RAILTYPE_NONE]]),FALSE)</f>
        <v>0</v>
      </c>
      <c r="AG403" s="35" t="b">
        <f>IFERROR(OR(TRACK_TYPES[[#This Row],[TRACK_TYPE_BROAD_GAUGE_RAILTYPE_OHLE]:[TRACK_TYPE_BROAD_GAUGE_RAILTYPE_NONE]]),FALSE)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3030</v>
      </c>
      <c r="B404" s="37" t="str">
        <f>INDEX(CONTROL[ENGLISH],MATCH(PROPERTIES[[#This Row],[VEHIDCODE]],CONTROL[VEHIDCODE],0))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5" t="b">
        <f>IFERROR(OR(TRACK_TYPES[[#This Row],[TRACK_TYPE_STANDARD_GAUGE_RAILTYPE_OHLE]:[TRACK_TYPE_STANDARD_GAUGE_RAILTYPE_NONE]]),FALSE)</f>
        <v>1</v>
      </c>
      <c r="AF404" s="35" t="b">
        <f>IFERROR(OR(TRACK_TYPES[[#This Row],[TRACK_TYPE_NARROW_GAUGE_RAILTYPE_OHLE]:[TRACK_TYPE_NARROW_GAUGE_RAILTYPE_NONE]]),FALSE)</f>
        <v>0</v>
      </c>
      <c r="AG404" s="35" t="b">
        <f>IFERROR(OR(TRACK_TYPES[[#This Row],[TRACK_TYPE_BROAD_GAUGE_RAILTYPE_OHLE]:[TRACK_TYPE_BROAD_GAUGE_RAILTYPE_NONE]]),FALSE)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3031</v>
      </c>
      <c r="B405" s="37" t="str">
        <f>INDEX(CONTROL[ENGLISH],MATCH(PROPERTIES[[#This Row],[VEHIDCODE]],CONTROL[VEHIDCODE],0))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5" t="b">
        <f>IFERROR(OR(TRACK_TYPES[[#This Row],[TRACK_TYPE_STANDARD_GAUGE_RAILTYPE_OHLE]:[TRACK_TYPE_STANDARD_GAUGE_RAILTYPE_NONE]]),FALSE)</f>
        <v>1</v>
      </c>
      <c r="AF405" s="35" t="b">
        <f>IFERROR(OR(TRACK_TYPES[[#This Row],[TRACK_TYPE_NARROW_GAUGE_RAILTYPE_OHLE]:[TRACK_TYPE_NARROW_GAUGE_RAILTYPE_NONE]]),FALSE)</f>
        <v>0</v>
      </c>
      <c r="AG405" s="35" t="b">
        <f>IFERROR(OR(TRACK_TYPES[[#This Row],[TRACK_TYPE_BROAD_GAUGE_RAILTYPE_OHLE]:[TRACK_TYPE_BROAD_GAUGE_RAILTYPE_NONE]]),FALSE)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3032</v>
      </c>
      <c r="B406" s="37" t="str">
        <f>INDEX(CONTROL[ENGLISH],MATCH(PROPERTIES[[#This Row],[VEHIDCODE]],CONTROL[VEHIDCODE],0))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5" t="b">
        <f>IFERROR(OR(TRACK_TYPES[[#This Row],[TRACK_TYPE_STANDARD_GAUGE_RAILTYPE_OHLE]:[TRACK_TYPE_STANDARD_GAUGE_RAILTYPE_NONE]]),FALSE)</f>
        <v>1</v>
      </c>
      <c r="AF406" s="35" t="b">
        <f>IFERROR(OR(TRACK_TYPES[[#This Row],[TRACK_TYPE_NARROW_GAUGE_RAILTYPE_OHLE]:[TRACK_TYPE_NARROW_GAUGE_RAILTYPE_NONE]]),FALSE)</f>
        <v>0</v>
      </c>
      <c r="AG406" s="35" t="b">
        <f>IFERROR(OR(TRACK_TYPES[[#This Row],[TRACK_TYPE_BROAD_GAUGE_RAILTYPE_OHLE]:[TRACK_TYPE_BROAD_GAUGE_RAILTYPE_NONE]]),FALSE)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3033</v>
      </c>
      <c r="B407" s="37" t="str">
        <f>INDEX(CONTROL[ENGLISH],MATCH(PROPERTIES[[#This Row],[VEHIDCODE]],CONTROL[VEHIDCODE],0))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5" t="b">
        <f>IFERROR(OR(TRACK_TYPES[[#This Row],[TRACK_TYPE_STANDARD_GAUGE_RAILTYPE_OHLE]:[TRACK_TYPE_STANDARD_GAUGE_RAILTYPE_NONE]]),FALSE)</f>
        <v>1</v>
      </c>
      <c r="AF407" s="35" t="b">
        <f>IFERROR(OR(TRACK_TYPES[[#This Row],[TRACK_TYPE_NARROW_GAUGE_RAILTYPE_OHLE]:[TRACK_TYPE_NARROW_GAUGE_RAILTYPE_NONE]]),FALSE)</f>
        <v>0</v>
      </c>
      <c r="AG407" s="35" t="b">
        <f>IFERROR(OR(TRACK_TYPES[[#This Row],[TRACK_TYPE_BROAD_GAUGE_RAILTYPE_OHLE]:[TRACK_TYPE_BROAD_GAUGE_RAILTYPE_NONE]]),FALSE)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3034</v>
      </c>
      <c r="B408" s="37" t="str">
        <f>INDEX(CONTROL[ENGLISH],MATCH(PROPERTIES[[#This Row],[VEHIDCODE]],CONTROL[VEHIDCODE],0))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5" t="b">
        <f>IFERROR(OR(TRACK_TYPES[[#This Row],[TRACK_TYPE_STANDARD_GAUGE_RAILTYPE_OHLE]:[TRACK_TYPE_STANDARD_GAUGE_RAILTYPE_NONE]]),FALSE)</f>
        <v>1</v>
      </c>
      <c r="AF408" s="35" t="b">
        <f>IFERROR(OR(TRACK_TYPES[[#This Row],[TRACK_TYPE_NARROW_GAUGE_RAILTYPE_OHLE]:[TRACK_TYPE_NARROW_GAUGE_RAILTYPE_NONE]]),FALSE)</f>
        <v>0</v>
      </c>
      <c r="AG408" s="35" t="b">
        <f>IFERROR(OR(TRACK_TYPES[[#This Row],[TRACK_TYPE_BROAD_GAUGE_RAILTYPE_OHLE]:[TRACK_TYPE_BROAD_GAUGE_RAILTYPE_NONE]]),FALSE)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3035</v>
      </c>
      <c r="B409" s="37" t="str">
        <f>INDEX(CONTROL[ENGLISH],MATCH(PROPERTIES[[#This Row],[VEHIDCODE]],CONTROL[VEHIDCODE],0))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5" t="b">
        <f>IFERROR(OR(TRACK_TYPES[[#This Row],[TRACK_TYPE_STANDARD_GAUGE_RAILTYPE_OHLE]:[TRACK_TYPE_STANDARD_GAUGE_RAILTYPE_NONE]]),FALSE)</f>
        <v>1</v>
      </c>
      <c r="AF409" s="35" t="b">
        <f>IFERROR(OR(TRACK_TYPES[[#This Row],[TRACK_TYPE_NARROW_GAUGE_RAILTYPE_OHLE]:[TRACK_TYPE_NARROW_GAUGE_RAILTYPE_NONE]]),FALSE)</f>
        <v>0</v>
      </c>
      <c r="AG409" s="35" t="b">
        <f>IFERROR(OR(TRACK_TYPES[[#This Row],[TRACK_TYPE_BROAD_GAUGE_RAILTYPE_OHLE]:[TRACK_TYPE_BROAD_GAUGE_RAILTYPE_NONE]]),FALSE)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3036</v>
      </c>
      <c r="B410" s="37" t="str">
        <f>INDEX(CONTROL[ENGLISH],MATCH(PROPERTIES[[#This Row],[VEHIDCODE]],CONTROL[VEHIDCODE],0))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5" t="b">
        <f>IFERROR(OR(TRACK_TYPES[[#This Row],[TRACK_TYPE_STANDARD_GAUGE_RAILTYPE_OHLE]:[TRACK_TYPE_STANDARD_GAUGE_RAILTYPE_NONE]]),FALSE)</f>
        <v>1</v>
      </c>
      <c r="AF410" s="35" t="b">
        <f>IFERROR(OR(TRACK_TYPES[[#This Row],[TRACK_TYPE_NARROW_GAUGE_RAILTYPE_OHLE]:[TRACK_TYPE_NARROW_GAUGE_RAILTYPE_NONE]]),FALSE)</f>
        <v>0</v>
      </c>
      <c r="AG410" s="35" t="b">
        <f>IFERROR(OR(TRACK_TYPES[[#This Row],[TRACK_TYPE_BROAD_GAUGE_RAILTYPE_OHLE]:[TRACK_TYPE_BROAD_GAUGE_RAILTYPE_NONE]]),FALSE)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3037</v>
      </c>
      <c r="B411" s="37" t="str">
        <f>INDEX(CONTROL[ENGLISH],MATCH(PROPERTIES[[#This Row],[VEHIDCODE]],CONTROL[VEHIDCODE],0))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5" t="b">
        <f>IFERROR(OR(TRACK_TYPES[[#This Row],[TRACK_TYPE_STANDARD_GAUGE_RAILTYPE_OHLE]:[TRACK_TYPE_STANDARD_GAUGE_RAILTYPE_NONE]]),FALSE)</f>
        <v>1</v>
      </c>
      <c r="AF411" s="35" t="b">
        <f>IFERROR(OR(TRACK_TYPES[[#This Row],[TRACK_TYPE_NARROW_GAUGE_RAILTYPE_OHLE]:[TRACK_TYPE_NARROW_GAUGE_RAILTYPE_NONE]]),FALSE)</f>
        <v>0</v>
      </c>
      <c r="AG411" s="35" t="b">
        <f>IFERROR(OR(TRACK_TYPES[[#This Row],[TRACK_TYPE_BROAD_GAUGE_RAILTYPE_OHLE]:[TRACK_TYPE_BROAD_GAUGE_RAILTYPE_NONE]]),FALSE)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3038</v>
      </c>
      <c r="B412" s="37" t="str">
        <f>INDEX(CONTROL[ENGLISH],MATCH(PROPERTIES[[#This Row],[VEHIDCODE]],CONTROL[VEHIDCODE],0))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5" t="b">
        <f>IFERROR(OR(TRACK_TYPES[[#This Row],[TRACK_TYPE_STANDARD_GAUGE_RAILTYPE_OHLE]:[TRACK_TYPE_STANDARD_GAUGE_RAILTYPE_NONE]]),FALSE)</f>
        <v>1</v>
      </c>
      <c r="AF412" s="35" t="b">
        <f>IFERROR(OR(TRACK_TYPES[[#This Row],[TRACK_TYPE_NARROW_GAUGE_RAILTYPE_OHLE]:[TRACK_TYPE_NARROW_GAUGE_RAILTYPE_NONE]]),FALSE)</f>
        <v>0</v>
      </c>
      <c r="AG412" s="35" t="b">
        <f>IFERROR(OR(TRACK_TYPES[[#This Row],[TRACK_TYPE_BROAD_GAUGE_RAILTYPE_OHLE]:[TRACK_TYPE_BROAD_GAUGE_RAILTYPE_NONE]]),FALSE)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3039</v>
      </c>
      <c r="B413" s="37" t="str">
        <f>INDEX(CONTROL[ENGLISH],MATCH(PROPERTIES[[#This Row],[VEHIDCODE]],CONTROL[VEHIDCODE],0))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5" t="b">
        <f>IFERROR(OR(TRACK_TYPES[[#This Row],[TRACK_TYPE_STANDARD_GAUGE_RAILTYPE_OHLE]:[TRACK_TYPE_STANDARD_GAUGE_RAILTYPE_NONE]]),FALSE)</f>
        <v>1</v>
      </c>
      <c r="AF413" s="35" t="b">
        <f>IFERROR(OR(TRACK_TYPES[[#This Row],[TRACK_TYPE_NARROW_GAUGE_RAILTYPE_OHLE]:[TRACK_TYPE_NARROW_GAUGE_RAILTYPE_NONE]]),FALSE)</f>
        <v>0</v>
      </c>
      <c r="AG413" s="35" t="b">
        <f>IFERROR(OR(TRACK_TYPES[[#This Row],[TRACK_TYPE_BROAD_GAUGE_RAILTYPE_OHLE]:[TRACK_TYPE_BROAD_GAUGE_RAILTYPE_NONE]]),FALSE)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3040</v>
      </c>
      <c r="B414" s="37" t="str">
        <f>INDEX(CONTROL[ENGLISH],MATCH(PROPERTIES[[#This Row],[VEHIDCODE]],CONTROL[VEHIDCODE],0))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5" t="b">
        <f>IFERROR(OR(TRACK_TYPES[[#This Row],[TRACK_TYPE_STANDARD_GAUGE_RAILTYPE_OHLE]:[TRACK_TYPE_STANDARD_GAUGE_RAILTYPE_NONE]]),FALSE)</f>
        <v>0</v>
      </c>
      <c r="AF414" s="35" t="b">
        <f>IFERROR(OR(TRACK_TYPES[[#This Row],[TRACK_TYPE_NARROW_GAUGE_RAILTYPE_OHLE]:[TRACK_TYPE_NARROW_GAUGE_RAILTYPE_NONE]]),FALSE)</f>
        <v>1</v>
      </c>
      <c r="AG414" s="35" t="b">
        <f>IFERROR(OR(TRACK_TYPES[[#This Row],[TRACK_TYPE_BROAD_GAUGE_RAILTYPE_OHLE]:[TRACK_TYPE_BROAD_GAUGE_RAILTYPE_NONE]]),FALSE)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3041</v>
      </c>
      <c r="B415" s="37" t="str">
        <f>INDEX(CONTROL[ENGLISH],MATCH(PROPERTIES[[#This Row],[VEHIDCODE]],CONTROL[VEHIDCODE],0))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5" t="b">
        <f>IFERROR(OR(TRACK_TYPES[[#This Row],[TRACK_TYPE_STANDARD_GAUGE_RAILTYPE_OHLE]:[TRACK_TYPE_STANDARD_GAUGE_RAILTYPE_NONE]]),FALSE)</f>
        <v>1</v>
      </c>
      <c r="AF415" s="35" t="b">
        <f>IFERROR(OR(TRACK_TYPES[[#This Row],[TRACK_TYPE_NARROW_GAUGE_RAILTYPE_OHLE]:[TRACK_TYPE_NARROW_GAUGE_RAILTYPE_NONE]]),FALSE)</f>
        <v>0</v>
      </c>
      <c r="AG415" s="35" t="b">
        <f>IFERROR(OR(TRACK_TYPES[[#This Row],[TRACK_TYPE_BROAD_GAUGE_RAILTYPE_OHLE]:[TRACK_TYPE_BROAD_GAUGE_RAILTYPE_NONE]]),FALSE)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3042</v>
      </c>
      <c r="B416" s="37" t="str">
        <f>INDEX(CONTROL[ENGLISH],MATCH(PROPERTIES[[#This Row],[VEHIDCODE]],CONTROL[VEHIDCODE],0))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5" t="b">
        <f>IFERROR(OR(TRACK_TYPES[[#This Row],[TRACK_TYPE_STANDARD_GAUGE_RAILTYPE_OHLE]:[TRACK_TYPE_STANDARD_GAUGE_RAILTYPE_NONE]]),FALSE)</f>
        <v>1</v>
      </c>
      <c r="AF416" s="35" t="b">
        <f>IFERROR(OR(TRACK_TYPES[[#This Row],[TRACK_TYPE_NARROW_GAUGE_RAILTYPE_OHLE]:[TRACK_TYPE_NARROW_GAUGE_RAILTYPE_NONE]]),FALSE)</f>
        <v>0</v>
      </c>
      <c r="AG416" s="35" t="b">
        <f>IFERROR(OR(TRACK_TYPES[[#This Row],[TRACK_TYPE_BROAD_GAUGE_RAILTYPE_OHLE]:[TRACK_TYPE_BROAD_GAUGE_RAILTYPE_NONE]]),FALSE)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3043</v>
      </c>
      <c r="B417" s="37" t="str">
        <f>INDEX(CONTROL[ENGLISH],MATCH(PROPERTIES[[#This Row],[VEHIDCODE]],CONTROL[VEHIDCODE],0))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5" t="b">
        <f>IFERROR(OR(TRACK_TYPES[[#This Row],[TRACK_TYPE_STANDARD_GAUGE_RAILTYPE_OHLE]:[TRACK_TYPE_STANDARD_GAUGE_RAILTYPE_NONE]]),FALSE)</f>
        <v>1</v>
      </c>
      <c r="AF417" s="35" t="b">
        <f>IFERROR(OR(TRACK_TYPES[[#This Row],[TRACK_TYPE_NARROW_GAUGE_RAILTYPE_OHLE]:[TRACK_TYPE_NARROW_GAUGE_RAILTYPE_NONE]]),FALSE)</f>
        <v>0</v>
      </c>
      <c r="AG417" s="35" t="b">
        <f>IFERROR(OR(TRACK_TYPES[[#This Row],[TRACK_TYPE_BROAD_GAUGE_RAILTYPE_OHLE]:[TRACK_TYPE_BROAD_GAUGE_RAILTYPE_NONE]]),FALSE)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3044</v>
      </c>
      <c r="B418" s="37" t="str">
        <f>INDEX(CONTROL[ENGLISH],MATCH(PROPERTIES[[#This Row],[VEHIDCODE]],CONTROL[VEHIDCODE],0))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5" t="b">
        <f>IFERROR(OR(TRACK_TYPES[[#This Row],[TRACK_TYPE_STANDARD_GAUGE_RAILTYPE_OHLE]:[TRACK_TYPE_STANDARD_GAUGE_RAILTYPE_NONE]]),FALSE)</f>
        <v>1</v>
      </c>
      <c r="AF418" s="35" t="b">
        <f>IFERROR(OR(TRACK_TYPES[[#This Row],[TRACK_TYPE_NARROW_GAUGE_RAILTYPE_OHLE]:[TRACK_TYPE_NARROW_GAUGE_RAILTYPE_NONE]]),FALSE)</f>
        <v>0</v>
      </c>
      <c r="AG418" s="35" t="b">
        <f>IFERROR(OR(TRACK_TYPES[[#This Row],[TRACK_TYPE_BROAD_GAUGE_RAILTYPE_OHLE]:[TRACK_TYPE_BROAD_GAUGE_RAILTYPE_NONE]]),FALSE)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3045</v>
      </c>
      <c r="B419" s="37" t="str">
        <f>INDEX(CONTROL[ENGLISH],MATCH(PROPERTIES[[#This Row],[VEHIDCODE]],CONTROL[VEHIDCODE],0))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5" t="b">
        <f>IFERROR(OR(TRACK_TYPES[[#This Row],[TRACK_TYPE_STANDARD_GAUGE_RAILTYPE_OHLE]:[TRACK_TYPE_STANDARD_GAUGE_RAILTYPE_NONE]]),FALSE)</f>
        <v>1</v>
      </c>
      <c r="AF419" s="35" t="b">
        <f>IFERROR(OR(TRACK_TYPES[[#This Row],[TRACK_TYPE_NARROW_GAUGE_RAILTYPE_OHLE]:[TRACK_TYPE_NARROW_GAUGE_RAILTYPE_NONE]]),FALSE)</f>
        <v>0</v>
      </c>
      <c r="AG419" s="35" t="b">
        <f>IFERROR(OR(TRACK_TYPES[[#This Row],[TRACK_TYPE_BROAD_GAUGE_RAILTYPE_OHLE]:[TRACK_TYPE_BROAD_GAUGE_RAILTYPE_NONE]]),FALSE)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3046</v>
      </c>
      <c r="B420" s="37" t="str">
        <f>INDEX(CONTROL[ENGLISH],MATCH(PROPERTIES[[#This Row],[VEHIDCODE]],CONTROL[VEHIDCODE],0))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5" t="b">
        <f>IFERROR(OR(TRACK_TYPES[[#This Row],[TRACK_TYPE_STANDARD_GAUGE_RAILTYPE_OHLE]:[TRACK_TYPE_STANDARD_GAUGE_RAILTYPE_NONE]]),FALSE)</f>
        <v>1</v>
      </c>
      <c r="AF420" s="35" t="b">
        <f>IFERROR(OR(TRACK_TYPES[[#This Row],[TRACK_TYPE_NARROW_GAUGE_RAILTYPE_OHLE]:[TRACK_TYPE_NARROW_GAUGE_RAILTYPE_NONE]]),FALSE)</f>
        <v>0</v>
      </c>
      <c r="AG420" s="35" t="b">
        <f>IFERROR(OR(TRACK_TYPES[[#This Row],[TRACK_TYPE_BROAD_GAUGE_RAILTYPE_OHLE]:[TRACK_TYPE_BROAD_GAUGE_RAILTYPE_NONE]]),FALSE)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3047</v>
      </c>
      <c r="B421" s="37" t="str">
        <f>INDEX(CONTROL[ENGLISH],MATCH(PROPERTIES[[#This Row],[VEHIDCODE]],CONTROL[VEHIDCODE],0))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5" t="b">
        <f>IFERROR(OR(TRACK_TYPES[[#This Row],[TRACK_TYPE_STANDARD_GAUGE_RAILTYPE_OHLE]:[TRACK_TYPE_STANDARD_GAUGE_RAILTYPE_NONE]]),FALSE)</f>
        <v>1</v>
      </c>
      <c r="AF421" s="35" t="b">
        <f>IFERROR(OR(TRACK_TYPES[[#This Row],[TRACK_TYPE_NARROW_GAUGE_RAILTYPE_OHLE]:[TRACK_TYPE_NARROW_GAUGE_RAILTYPE_NONE]]),FALSE)</f>
        <v>0</v>
      </c>
      <c r="AG421" s="35" t="b">
        <f>IFERROR(OR(TRACK_TYPES[[#This Row],[TRACK_TYPE_BROAD_GAUGE_RAILTYPE_OHLE]:[TRACK_TYPE_BROAD_GAUGE_RAILTYPE_NONE]]),FALSE)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3048</v>
      </c>
      <c r="B422" s="37" t="str">
        <f>INDEX(CONTROL[ENGLISH],MATCH(PROPERTIES[[#This Row],[VEHIDCODE]],CONTROL[VEHIDCODE],0))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5" t="b">
        <f>IFERROR(OR(TRACK_TYPES[[#This Row],[TRACK_TYPE_STANDARD_GAUGE_RAILTYPE_OHLE]:[TRACK_TYPE_STANDARD_GAUGE_RAILTYPE_NONE]]),FALSE)</f>
        <v>1</v>
      </c>
      <c r="AF422" s="35" t="b">
        <f>IFERROR(OR(TRACK_TYPES[[#This Row],[TRACK_TYPE_NARROW_GAUGE_RAILTYPE_OHLE]:[TRACK_TYPE_NARROW_GAUGE_RAILTYPE_NONE]]),FALSE)</f>
        <v>0</v>
      </c>
      <c r="AG422" s="35" t="b">
        <f>IFERROR(OR(TRACK_TYPES[[#This Row],[TRACK_TYPE_BROAD_GAUGE_RAILTYPE_OHLE]:[TRACK_TYPE_BROAD_GAUGE_RAILTYPE_NONE]]),FALSE)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3049</v>
      </c>
      <c r="B423" s="37" t="str">
        <f>INDEX(CONTROL[ENGLISH],MATCH(PROPERTIES[[#This Row],[VEHIDCODE]],CONTROL[VEHIDCODE],0))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5" t="b">
        <f>IFERROR(OR(TRACK_TYPES[[#This Row],[TRACK_TYPE_STANDARD_GAUGE_RAILTYPE_OHLE]:[TRACK_TYPE_STANDARD_GAUGE_RAILTYPE_NONE]]),FALSE)</f>
        <v>0</v>
      </c>
      <c r="AF423" s="35" t="b">
        <f>IFERROR(OR(TRACK_TYPES[[#This Row],[TRACK_TYPE_NARROW_GAUGE_RAILTYPE_OHLE]:[TRACK_TYPE_NARROW_GAUGE_RAILTYPE_NONE]]),FALSE)</f>
        <v>0</v>
      </c>
      <c r="AG423" s="35" t="b">
        <f>IFERROR(OR(TRACK_TYPES[[#This Row],[TRACK_TYPE_BROAD_GAUGE_RAILTYPE_OHLE]:[TRACK_TYPE_BROAD_GAUGE_RAILTYPE_NONE]]),FALSE)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3050</v>
      </c>
      <c r="B424" s="37" t="str">
        <f>INDEX(CONTROL[ENGLISH],MATCH(PROPERTIES[[#This Row],[VEHIDCODE]],CONTROL[VEHIDCODE],0))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5" t="b">
        <f>IFERROR(OR(TRACK_TYPES[[#This Row],[TRACK_TYPE_STANDARD_GAUGE_RAILTYPE_OHLE]:[TRACK_TYPE_STANDARD_GAUGE_RAILTYPE_NONE]]),FALSE)</f>
        <v>0</v>
      </c>
      <c r="AF424" s="35" t="b">
        <f>IFERROR(OR(TRACK_TYPES[[#This Row],[TRACK_TYPE_NARROW_GAUGE_RAILTYPE_OHLE]:[TRACK_TYPE_NARROW_GAUGE_RAILTYPE_NONE]]),FALSE)</f>
        <v>0</v>
      </c>
      <c r="AG424" s="35" t="b">
        <f>IFERROR(OR(TRACK_TYPES[[#This Row],[TRACK_TYPE_BROAD_GAUGE_RAILTYPE_OHLE]:[TRACK_TYPE_BROAD_GAUGE_RAILTYPE_NONE]]),FALSE)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3051</v>
      </c>
      <c r="B425" s="37" t="str">
        <f>INDEX(CONTROL[ENGLISH],MATCH(PROPERTIES[[#This Row],[VEHIDCODE]],CONTROL[VEHIDCODE],0))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5" t="b">
        <f>IFERROR(OR(TRACK_TYPES[[#This Row],[TRACK_TYPE_STANDARD_GAUGE_RAILTYPE_OHLE]:[TRACK_TYPE_STANDARD_GAUGE_RAILTYPE_NONE]]),FALSE)</f>
        <v>0</v>
      </c>
      <c r="AF425" s="35" t="b">
        <f>IFERROR(OR(TRACK_TYPES[[#This Row],[TRACK_TYPE_NARROW_GAUGE_RAILTYPE_OHLE]:[TRACK_TYPE_NARROW_GAUGE_RAILTYPE_NONE]]),FALSE)</f>
        <v>1</v>
      </c>
      <c r="AG425" s="35" t="b">
        <f>IFERROR(OR(TRACK_TYPES[[#This Row],[TRACK_TYPE_BROAD_GAUGE_RAILTYPE_OHLE]:[TRACK_TYPE_BROAD_GAUGE_RAILTYPE_NONE]]),FALSE)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3448</v>
      </c>
      <c r="B426" s="37" t="str">
        <f>INDEX(CONTROL[ENGLISH],MATCH(PROPERTIES[[#This Row],[VEHIDCODE]],CONTROL[VEHIDCODE],0))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5" t="b">
        <f>IFERROR(OR(TRACK_TYPES[[#This Row],[TRACK_TYPE_STANDARD_GAUGE_RAILTYPE_OHLE]:[TRACK_TYPE_STANDARD_GAUGE_RAILTYPE_NONE]]),FALSE)</f>
        <v>1</v>
      </c>
      <c r="AF426" s="35" t="b">
        <f>IFERROR(OR(TRACK_TYPES[[#This Row],[TRACK_TYPE_NARROW_GAUGE_RAILTYPE_OHLE]:[TRACK_TYPE_NARROW_GAUGE_RAILTYPE_NONE]]),FALSE)</f>
        <v>0</v>
      </c>
      <c r="AG426" s="35" t="b">
        <f>IFERROR(OR(TRACK_TYPES[[#This Row],[TRACK_TYPE_BROAD_GAUGE_RAILTYPE_OHLE]:[TRACK_TYPE_BROAD_GAUGE_RAILTYPE_NONE]]),FALSE)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3052</v>
      </c>
      <c r="B427" s="37" t="str">
        <f>INDEX(CONTROL[ENGLISH],MATCH(PROPERTIES[[#This Row],[VEHIDCODE]],CONTROL[VEHIDCODE],0))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5" t="b">
        <f>IFERROR(OR(TRACK_TYPES[[#This Row],[TRACK_TYPE_STANDARD_GAUGE_RAILTYPE_OHLE]:[TRACK_TYPE_STANDARD_GAUGE_RAILTYPE_NONE]]),FALSE)</f>
        <v>0</v>
      </c>
      <c r="AF427" s="35" t="b">
        <f>IFERROR(OR(TRACK_TYPES[[#This Row],[TRACK_TYPE_NARROW_GAUGE_RAILTYPE_OHLE]:[TRACK_TYPE_NARROW_GAUGE_RAILTYPE_NONE]]),FALSE)</f>
        <v>0</v>
      </c>
      <c r="AG427" s="35" t="b">
        <f>IFERROR(OR(TRACK_TYPES[[#This Row],[TRACK_TYPE_BROAD_GAUGE_RAILTYPE_OHLE]:[TRACK_TYPE_BROAD_GAUGE_RAILTYPE_NONE]]),FALSE)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3053</v>
      </c>
      <c r="B428" s="37" t="str">
        <f>INDEX(CONTROL[ENGLISH],MATCH(PROPERTIES[[#This Row],[VEHIDCODE]],CONTROL[VEHIDCODE],0))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5" t="b">
        <f>IFERROR(OR(TRACK_TYPES[[#This Row],[TRACK_TYPE_STANDARD_GAUGE_RAILTYPE_OHLE]:[TRACK_TYPE_STANDARD_GAUGE_RAILTYPE_NONE]]),FALSE)</f>
        <v>1</v>
      </c>
      <c r="AF428" s="35" t="b">
        <f>IFERROR(OR(TRACK_TYPES[[#This Row],[TRACK_TYPE_NARROW_GAUGE_RAILTYPE_OHLE]:[TRACK_TYPE_NARROW_GAUGE_RAILTYPE_NONE]]),FALSE)</f>
        <v>0</v>
      </c>
      <c r="AG428" s="35" t="b">
        <f>IFERROR(OR(TRACK_TYPES[[#This Row],[TRACK_TYPE_BROAD_GAUGE_RAILTYPE_OHLE]:[TRACK_TYPE_BROAD_GAUGE_RAILTYPE_NONE]]),FALSE)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3054</v>
      </c>
      <c r="B429" s="37" t="str">
        <f>INDEX(CONTROL[ENGLISH],MATCH(PROPERTIES[[#This Row],[VEHIDCODE]],CONTROL[VEHIDCODE],0))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5" t="b">
        <f>IFERROR(OR(TRACK_TYPES[[#This Row],[TRACK_TYPE_STANDARD_GAUGE_RAILTYPE_OHLE]:[TRACK_TYPE_STANDARD_GAUGE_RAILTYPE_NONE]]),FALSE)</f>
        <v>1</v>
      </c>
      <c r="AF429" s="35" t="b">
        <f>IFERROR(OR(TRACK_TYPES[[#This Row],[TRACK_TYPE_NARROW_GAUGE_RAILTYPE_OHLE]:[TRACK_TYPE_NARROW_GAUGE_RAILTYPE_NONE]]),FALSE)</f>
        <v>0</v>
      </c>
      <c r="AG429" s="35" t="b">
        <f>IFERROR(OR(TRACK_TYPES[[#This Row],[TRACK_TYPE_BROAD_GAUGE_RAILTYPE_OHLE]:[TRACK_TYPE_BROAD_GAUGE_RAILTYPE_NONE]]),FALSE)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3055</v>
      </c>
      <c r="B430" s="37" t="str">
        <f>INDEX(CONTROL[ENGLISH],MATCH(PROPERTIES[[#This Row],[VEHIDCODE]],CONTROL[VEHIDCODE],0))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5" t="b">
        <f>IFERROR(OR(TRACK_TYPES[[#This Row],[TRACK_TYPE_STANDARD_GAUGE_RAILTYPE_OHLE]:[TRACK_TYPE_STANDARD_GAUGE_RAILTYPE_NONE]]),FALSE)</f>
        <v>1</v>
      </c>
      <c r="AF430" s="35" t="b">
        <f>IFERROR(OR(TRACK_TYPES[[#This Row],[TRACK_TYPE_NARROW_GAUGE_RAILTYPE_OHLE]:[TRACK_TYPE_NARROW_GAUGE_RAILTYPE_NONE]]),FALSE)</f>
        <v>0</v>
      </c>
      <c r="AG430" s="35" t="b">
        <f>IFERROR(OR(TRACK_TYPES[[#This Row],[TRACK_TYPE_BROAD_GAUGE_RAILTYPE_OHLE]:[TRACK_TYPE_BROAD_GAUGE_RAILTYPE_NONE]]),FALSE)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3056</v>
      </c>
      <c r="B431" s="37" t="str">
        <f>INDEX(CONTROL[ENGLISH],MATCH(PROPERTIES[[#This Row],[VEHIDCODE]],CONTROL[VEHIDCODE],0))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5" t="b">
        <f>IFERROR(OR(TRACK_TYPES[[#This Row],[TRACK_TYPE_STANDARD_GAUGE_RAILTYPE_OHLE]:[TRACK_TYPE_STANDARD_GAUGE_RAILTYPE_NONE]]),FALSE)</f>
        <v>1</v>
      </c>
      <c r="AF431" s="35" t="b">
        <f>IFERROR(OR(TRACK_TYPES[[#This Row],[TRACK_TYPE_NARROW_GAUGE_RAILTYPE_OHLE]:[TRACK_TYPE_NARROW_GAUGE_RAILTYPE_NONE]]),FALSE)</f>
        <v>0</v>
      </c>
      <c r="AG431" s="35" t="b">
        <f>IFERROR(OR(TRACK_TYPES[[#This Row],[TRACK_TYPE_BROAD_GAUGE_RAILTYPE_OHLE]:[TRACK_TYPE_BROAD_GAUGE_RAILTYPE_NONE]]),FALSE)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3057</v>
      </c>
      <c r="B432" s="37" t="str">
        <f>INDEX(CONTROL[ENGLISH],MATCH(PROPERTIES[[#This Row],[VEHIDCODE]],CONTROL[VEHIDCODE],0))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5" t="b">
        <f>IFERROR(OR(TRACK_TYPES[[#This Row],[TRACK_TYPE_STANDARD_GAUGE_RAILTYPE_OHLE]:[TRACK_TYPE_STANDARD_GAUGE_RAILTYPE_NONE]]),FALSE)</f>
        <v>1</v>
      </c>
      <c r="AF432" s="35" t="b">
        <f>IFERROR(OR(TRACK_TYPES[[#This Row],[TRACK_TYPE_NARROW_GAUGE_RAILTYPE_OHLE]:[TRACK_TYPE_NARROW_GAUGE_RAILTYPE_NONE]]),FALSE)</f>
        <v>0</v>
      </c>
      <c r="AG432" s="35" t="b">
        <f>IFERROR(OR(TRACK_TYPES[[#This Row],[TRACK_TYPE_BROAD_GAUGE_RAILTYPE_OHLE]:[TRACK_TYPE_BROAD_GAUGE_RAILTYPE_NONE]]),FALSE)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3058</v>
      </c>
      <c r="B433" s="37" t="str">
        <f>INDEX(CONTROL[ENGLISH],MATCH(PROPERTIES[[#This Row],[VEHIDCODE]],CONTROL[VEHIDCODE],0))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5" t="b">
        <f>IFERROR(OR(TRACK_TYPES[[#This Row],[TRACK_TYPE_STANDARD_GAUGE_RAILTYPE_OHLE]:[TRACK_TYPE_STANDARD_GAUGE_RAILTYPE_NONE]]),FALSE)</f>
        <v>1</v>
      </c>
      <c r="AF433" s="35" t="b">
        <f>IFERROR(OR(TRACK_TYPES[[#This Row],[TRACK_TYPE_NARROW_GAUGE_RAILTYPE_OHLE]:[TRACK_TYPE_NARROW_GAUGE_RAILTYPE_NONE]]),FALSE)</f>
        <v>0</v>
      </c>
      <c r="AG433" s="35" t="b">
        <f>IFERROR(OR(TRACK_TYPES[[#This Row],[TRACK_TYPE_BROAD_GAUGE_RAILTYPE_OHLE]:[TRACK_TYPE_BROAD_GAUGE_RAILTYPE_NONE]]),FALSE)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3059</v>
      </c>
      <c r="B434" s="37" t="str">
        <f>INDEX(CONTROL[ENGLISH],MATCH(PROPERTIES[[#This Row],[VEHIDCODE]],CONTROL[VEHIDCODE],0))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5" t="b">
        <f>IFERROR(OR(TRACK_TYPES[[#This Row],[TRACK_TYPE_STANDARD_GAUGE_RAILTYPE_OHLE]:[TRACK_TYPE_STANDARD_GAUGE_RAILTYPE_NONE]]),FALSE)</f>
        <v>1</v>
      </c>
      <c r="AF434" s="35" t="b">
        <f>IFERROR(OR(TRACK_TYPES[[#This Row],[TRACK_TYPE_NARROW_GAUGE_RAILTYPE_OHLE]:[TRACK_TYPE_NARROW_GAUGE_RAILTYPE_NONE]]),FALSE)</f>
        <v>0</v>
      </c>
      <c r="AG434" s="35" t="b">
        <f>IFERROR(OR(TRACK_TYPES[[#This Row],[TRACK_TYPE_BROAD_GAUGE_RAILTYPE_OHLE]:[TRACK_TYPE_BROAD_GAUGE_RAILTYPE_NONE]]),FALSE)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3060</v>
      </c>
      <c r="B435" s="37" t="str">
        <f>INDEX(CONTROL[ENGLISH],MATCH(PROPERTIES[[#This Row],[VEHIDCODE]],CONTROL[VEHIDCODE],0))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5" t="b">
        <f>IFERROR(OR(TRACK_TYPES[[#This Row],[TRACK_TYPE_STANDARD_GAUGE_RAILTYPE_OHLE]:[TRACK_TYPE_STANDARD_GAUGE_RAILTYPE_NONE]]),FALSE)</f>
        <v>0</v>
      </c>
      <c r="AF435" s="35" t="b">
        <f>IFERROR(OR(TRACK_TYPES[[#This Row],[TRACK_TYPE_NARROW_GAUGE_RAILTYPE_OHLE]:[TRACK_TYPE_NARROW_GAUGE_RAILTYPE_NONE]]),FALSE)</f>
        <v>1</v>
      </c>
      <c r="AG435" s="35" t="b">
        <f>IFERROR(OR(TRACK_TYPES[[#This Row],[TRACK_TYPE_BROAD_GAUGE_RAILTYPE_OHLE]:[TRACK_TYPE_BROAD_GAUGE_RAILTYPE_NONE]]),FALSE)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3061</v>
      </c>
      <c r="B436" s="37" t="str">
        <f>INDEX(CONTROL[ENGLISH],MATCH(PROPERTIES[[#This Row],[VEHIDCODE]],CONTROL[VEHIDCODE],0))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5" t="b">
        <f>IFERROR(OR(TRACK_TYPES[[#This Row],[TRACK_TYPE_STANDARD_GAUGE_RAILTYPE_OHLE]:[TRACK_TYPE_STANDARD_GAUGE_RAILTYPE_NONE]]),FALSE)</f>
        <v>1</v>
      </c>
      <c r="AF436" s="35" t="b">
        <f>IFERROR(OR(TRACK_TYPES[[#This Row],[TRACK_TYPE_NARROW_GAUGE_RAILTYPE_OHLE]:[TRACK_TYPE_NARROW_GAUGE_RAILTYPE_NONE]]),FALSE)</f>
        <v>0</v>
      </c>
      <c r="AG436" s="35" t="b">
        <f>IFERROR(OR(TRACK_TYPES[[#This Row],[TRACK_TYPE_BROAD_GAUGE_RAILTYPE_OHLE]:[TRACK_TYPE_BROAD_GAUGE_RAILTYPE_NONE]]),FALSE)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3062</v>
      </c>
      <c r="B437" s="37" t="str">
        <f>INDEX(CONTROL[ENGLISH],MATCH(PROPERTIES[[#This Row],[VEHIDCODE]],CONTROL[VEHIDCODE],0))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5" t="b">
        <f>IFERROR(OR(TRACK_TYPES[[#This Row],[TRACK_TYPE_STANDARD_GAUGE_RAILTYPE_OHLE]:[TRACK_TYPE_STANDARD_GAUGE_RAILTYPE_NONE]]),FALSE)</f>
        <v>1</v>
      </c>
      <c r="AF437" s="35" t="b">
        <f>IFERROR(OR(TRACK_TYPES[[#This Row],[TRACK_TYPE_NARROW_GAUGE_RAILTYPE_OHLE]:[TRACK_TYPE_NARROW_GAUGE_RAILTYPE_NONE]]),FALSE)</f>
        <v>0</v>
      </c>
      <c r="AG437" s="35" t="b">
        <f>IFERROR(OR(TRACK_TYPES[[#This Row],[TRACK_TYPE_BROAD_GAUGE_RAILTYPE_OHLE]:[TRACK_TYPE_BROAD_GAUGE_RAILTYPE_NONE]]),FALSE)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3063</v>
      </c>
      <c r="B438" s="37" t="str">
        <f>INDEX(CONTROL[ENGLISH],MATCH(PROPERTIES[[#This Row],[VEHIDCODE]],CONTROL[VEHIDCODE],0))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5" t="b">
        <f>IFERROR(OR(TRACK_TYPES[[#This Row],[TRACK_TYPE_STANDARD_GAUGE_RAILTYPE_OHLE]:[TRACK_TYPE_STANDARD_GAUGE_RAILTYPE_NONE]]),FALSE)</f>
        <v>1</v>
      </c>
      <c r="AF438" s="35" t="b">
        <f>IFERROR(OR(TRACK_TYPES[[#This Row],[TRACK_TYPE_NARROW_GAUGE_RAILTYPE_OHLE]:[TRACK_TYPE_NARROW_GAUGE_RAILTYPE_NONE]]),FALSE)</f>
        <v>0</v>
      </c>
      <c r="AG438" s="35" t="b">
        <f>IFERROR(OR(TRACK_TYPES[[#This Row],[TRACK_TYPE_BROAD_GAUGE_RAILTYPE_OHLE]:[TRACK_TYPE_BROAD_GAUGE_RAILTYPE_NONE]]),FALSE)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3064</v>
      </c>
      <c r="B439" s="37" t="str">
        <f>INDEX(CONTROL[ENGLISH],MATCH(PROPERTIES[[#This Row],[VEHIDCODE]],CONTROL[VEHIDCODE],0))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5" t="b">
        <f>IFERROR(OR(TRACK_TYPES[[#This Row],[TRACK_TYPE_STANDARD_GAUGE_RAILTYPE_OHLE]:[TRACK_TYPE_STANDARD_GAUGE_RAILTYPE_NONE]]),FALSE)</f>
        <v>1</v>
      </c>
      <c r="AF439" s="35" t="b">
        <f>IFERROR(OR(TRACK_TYPES[[#This Row],[TRACK_TYPE_NARROW_GAUGE_RAILTYPE_OHLE]:[TRACK_TYPE_NARROW_GAUGE_RAILTYPE_NONE]]),FALSE)</f>
        <v>0</v>
      </c>
      <c r="AG439" s="35" t="b">
        <f>IFERROR(OR(TRACK_TYPES[[#This Row],[TRACK_TYPE_BROAD_GAUGE_RAILTYPE_OHLE]:[TRACK_TYPE_BROAD_GAUGE_RAILTYPE_NONE]]),FALSE)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3065</v>
      </c>
      <c r="B440" s="37" t="str">
        <f>INDEX(CONTROL[ENGLISH],MATCH(PROPERTIES[[#This Row],[VEHIDCODE]],CONTROL[VEHIDCODE],0))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5" t="b">
        <f>IFERROR(OR(TRACK_TYPES[[#This Row],[TRACK_TYPE_STANDARD_GAUGE_RAILTYPE_OHLE]:[TRACK_TYPE_STANDARD_GAUGE_RAILTYPE_NONE]]),FALSE)</f>
        <v>1</v>
      </c>
      <c r="AF440" s="35" t="b">
        <f>IFERROR(OR(TRACK_TYPES[[#This Row],[TRACK_TYPE_NARROW_GAUGE_RAILTYPE_OHLE]:[TRACK_TYPE_NARROW_GAUGE_RAILTYPE_NONE]]),FALSE)</f>
        <v>0</v>
      </c>
      <c r="AG440" s="35" t="b">
        <f>IFERROR(OR(TRACK_TYPES[[#This Row],[TRACK_TYPE_BROAD_GAUGE_RAILTYPE_OHLE]:[TRACK_TYPE_BROAD_GAUGE_RAILTYPE_NONE]]),FALSE)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3066</v>
      </c>
      <c r="B441" s="37" t="str">
        <f>INDEX(CONTROL[ENGLISH],MATCH(PROPERTIES[[#This Row],[VEHIDCODE]],CONTROL[VEHIDCODE],0))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5" t="b">
        <f>IFERROR(OR(TRACK_TYPES[[#This Row],[TRACK_TYPE_STANDARD_GAUGE_RAILTYPE_OHLE]:[TRACK_TYPE_STANDARD_GAUGE_RAILTYPE_NONE]]),FALSE)</f>
        <v>0</v>
      </c>
      <c r="AF441" s="35" t="b">
        <f>IFERROR(OR(TRACK_TYPES[[#This Row],[TRACK_TYPE_NARROW_GAUGE_RAILTYPE_OHLE]:[TRACK_TYPE_NARROW_GAUGE_RAILTYPE_NONE]]),FALSE)</f>
        <v>1</v>
      </c>
      <c r="AG441" s="35" t="b">
        <f>IFERROR(OR(TRACK_TYPES[[#This Row],[TRACK_TYPE_BROAD_GAUGE_RAILTYPE_OHLE]:[TRACK_TYPE_BROAD_GAUGE_RAILTYPE_NONE]]),FALSE)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3067</v>
      </c>
      <c r="B442" s="37" t="str">
        <f>INDEX(CONTROL[ENGLISH],MATCH(PROPERTIES[[#This Row],[VEHIDCODE]],CONTROL[VEHIDCODE],0))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5" t="b">
        <f>IFERROR(OR(TRACK_TYPES[[#This Row],[TRACK_TYPE_STANDARD_GAUGE_RAILTYPE_OHLE]:[TRACK_TYPE_STANDARD_GAUGE_RAILTYPE_NONE]]),FALSE)</f>
        <v>1</v>
      </c>
      <c r="AF442" s="35" t="b">
        <f>IFERROR(OR(TRACK_TYPES[[#This Row],[TRACK_TYPE_NARROW_GAUGE_RAILTYPE_OHLE]:[TRACK_TYPE_NARROW_GAUGE_RAILTYPE_NONE]]),FALSE)</f>
        <v>0</v>
      </c>
      <c r="AG442" s="35" t="b">
        <f>IFERROR(OR(TRACK_TYPES[[#This Row],[TRACK_TYPE_BROAD_GAUGE_RAILTYPE_OHLE]:[TRACK_TYPE_BROAD_GAUGE_RAILTYPE_NONE]]),FALSE)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3068</v>
      </c>
      <c r="B443" s="37" t="str">
        <f>INDEX(CONTROL[ENGLISH],MATCH(PROPERTIES[[#This Row],[VEHIDCODE]],CONTROL[VEHIDCODE],0))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5" t="b">
        <f>IFERROR(OR(TRACK_TYPES[[#This Row],[TRACK_TYPE_STANDARD_GAUGE_RAILTYPE_OHLE]:[TRACK_TYPE_STANDARD_GAUGE_RAILTYPE_NONE]]),FALSE)</f>
        <v>1</v>
      </c>
      <c r="AF443" s="35" t="b">
        <f>IFERROR(OR(TRACK_TYPES[[#This Row],[TRACK_TYPE_NARROW_GAUGE_RAILTYPE_OHLE]:[TRACK_TYPE_NARROW_GAUGE_RAILTYPE_NONE]]),FALSE)</f>
        <v>0</v>
      </c>
      <c r="AG443" s="35" t="b">
        <f>IFERROR(OR(TRACK_TYPES[[#This Row],[TRACK_TYPE_BROAD_GAUGE_RAILTYPE_OHLE]:[TRACK_TYPE_BROAD_GAUGE_RAILTYPE_NONE]]),FALSE)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3069</v>
      </c>
      <c r="B444" s="37" t="str">
        <f>INDEX(CONTROL[ENGLISH],MATCH(PROPERTIES[[#This Row],[VEHIDCODE]],CONTROL[VEHIDCODE],0))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5" t="b">
        <f>IFERROR(OR(TRACK_TYPES[[#This Row],[TRACK_TYPE_STANDARD_GAUGE_RAILTYPE_OHLE]:[TRACK_TYPE_STANDARD_GAUGE_RAILTYPE_NONE]]),FALSE)</f>
        <v>1</v>
      </c>
      <c r="AF444" s="35" t="b">
        <f>IFERROR(OR(TRACK_TYPES[[#This Row],[TRACK_TYPE_NARROW_GAUGE_RAILTYPE_OHLE]:[TRACK_TYPE_NARROW_GAUGE_RAILTYPE_NONE]]),FALSE)</f>
        <v>0</v>
      </c>
      <c r="AG444" s="35" t="b">
        <f>IFERROR(OR(TRACK_TYPES[[#This Row],[TRACK_TYPE_BROAD_GAUGE_RAILTYPE_OHLE]:[TRACK_TYPE_BROAD_GAUGE_RAILTYPE_NONE]]),FALSE)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3070</v>
      </c>
      <c r="B445" s="37" t="str">
        <f>INDEX(CONTROL[ENGLISH],MATCH(PROPERTIES[[#This Row],[VEHIDCODE]],CONTROL[VEHIDCODE],0))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5" t="b">
        <f>IFERROR(OR(TRACK_TYPES[[#This Row],[TRACK_TYPE_STANDARD_GAUGE_RAILTYPE_OHLE]:[TRACK_TYPE_STANDARD_GAUGE_RAILTYPE_NONE]]),FALSE)</f>
        <v>1</v>
      </c>
      <c r="AF445" s="35" t="b">
        <f>IFERROR(OR(TRACK_TYPES[[#This Row],[TRACK_TYPE_NARROW_GAUGE_RAILTYPE_OHLE]:[TRACK_TYPE_NARROW_GAUGE_RAILTYPE_NONE]]),FALSE)</f>
        <v>0</v>
      </c>
      <c r="AG445" s="35" t="b">
        <f>IFERROR(OR(TRACK_TYPES[[#This Row],[TRACK_TYPE_BROAD_GAUGE_RAILTYPE_OHLE]:[TRACK_TYPE_BROAD_GAUGE_RAILTYPE_NONE]]),FALSE)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3071</v>
      </c>
      <c r="B446" s="37" t="str">
        <f>INDEX(CONTROL[ENGLISH],MATCH(PROPERTIES[[#This Row],[VEHIDCODE]],CONTROL[VEHIDCODE],0))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5" t="b">
        <f>IFERROR(OR(TRACK_TYPES[[#This Row],[TRACK_TYPE_STANDARD_GAUGE_RAILTYPE_OHLE]:[TRACK_TYPE_STANDARD_GAUGE_RAILTYPE_NONE]]),FALSE)</f>
        <v>1</v>
      </c>
      <c r="AF446" s="35" t="b">
        <f>IFERROR(OR(TRACK_TYPES[[#This Row],[TRACK_TYPE_NARROW_GAUGE_RAILTYPE_OHLE]:[TRACK_TYPE_NARROW_GAUGE_RAILTYPE_NONE]]),FALSE)</f>
        <v>0</v>
      </c>
      <c r="AG446" s="35" t="b">
        <f>IFERROR(OR(TRACK_TYPES[[#This Row],[TRACK_TYPE_BROAD_GAUGE_RAILTYPE_OHLE]:[TRACK_TYPE_BROAD_GAUGE_RAILTYPE_NONE]]),FALSE)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3072</v>
      </c>
      <c r="B447" s="37" t="str">
        <f>INDEX(CONTROL[ENGLISH],MATCH(PROPERTIES[[#This Row],[VEHIDCODE]],CONTROL[VEHIDCODE],0))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5" t="b">
        <f>IFERROR(OR(TRACK_TYPES[[#This Row],[TRACK_TYPE_STANDARD_GAUGE_RAILTYPE_OHLE]:[TRACK_TYPE_STANDARD_GAUGE_RAILTYPE_NONE]]),FALSE)</f>
        <v>1</v>
      </c>
      <c r="AF447" s="35" t="b">
        <f>IFERROR(OR(TRACK_TYPES[[#This Row],[TRACK_TYPE_NARROW_GAUGE_RAILTYPE_OHLE]:[TRACK_TYPE_NARROW_GAUGE_RAILTYPE_NONE]]),FALSE)</f>
        <v>0</v>
      </c>
      <c r="AG447" s="35" t="b">
        <f>IFERROR(OR(TRACK_TYPES[[#This Row],[TRACK_TYPE_BROAD_GAUGE_RAILTYPE_OHLE]:[TRACK_TYPE_BROAD_GAUGE_RAILTYPE_NONE]]),FALSE)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3073</v>
      </c>
      <c r="B448" s="37" t="str">
        <f>INDEX(CONTROL[ENGLISH],MATCH(PROPERTIES[[#This Row],[VEHIDCODE]],CONTROL[VEHIDCODE],0))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5" t="b">
        <f>IFERROR(OR(TRACK_TYPES[[#This Row],[TRACK_TYPE_STANDARD_GAUGE_RAILTYPE_OHLE]:[TRACK_TYPE_STANDARD_GAUGE_RAILTYPE_NONE]]),FALSE)</f>
        <v>0</v>
      </c>
      <c r="AF448" s="35" t="b">
        <f>IFERROR(OR(TRACK_TYPES[[#This Row],[TRACK_TYPE_NARROW_GAUGE_RAILTYPE_OHLE]:[TRACK_TYPE_NARROW_GAUGE_RAILTYPE_NONE]]),FALSE)</f>
        <v>1</v>
      </c>
      <c r="AG448" s="35" t="b">
        <f>IFERROR(OR(TRACK_TYPES[[#This Row],[TRACK_TYPE_BROAD_GAUGE_RAILTYPE_OHLE]:[TRACK_TYPE_BROAD_GAUGE_RAILTYPE_NONE]]),FALSE)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3074</v>
      </c>
      <c r="B449" s="37" t="str">
        <f>INDEX(CONTROL[ENGLISH],MATCH(PROPERTIES[[#This Row],[VEHIDCODE]],CONTROL[VEHIDCODE],0))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5" t="b">
        <f>IFERROR(OR(TRACK_TYPES[[#This Row],[TRACK_TYPE_STANDARD_GAUGE_RAILTYPE_OHLE]:[TRACK_TYPE_STANDARD_GAUGE_RAILTYPE_NONE]]),FALSE)</f>
        <v>1</v>
      </c>
      <c r="AF449" s="35" t="b">
        <f>IFERROR(OR(TRACK_TYPES[[#This Row],[TRACK_TYPE_NARROW_GAUGE_RAILTYPE_OHLE]:[TRACK_TYPE_NARROW_GAUGE_RAILTYPE_NONE]]),FALSE)</f>
        <v>0</v>
      </c>
      <c r="AG449" s="35" t="b">
        <f>IFERROR(OR(TRACK_TYPES[[#This Row],[TRACK_TYPE_BROAD_GAUGE_RAILTYPE_OHLE]:[TRACK_TYPE_BROAD_GAUGE_RAILTYPE_NONE]]),FALSE)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3075</v>
      </c>
      <c r="B450" s="37" t="str">
        <f>INDEX(CONTROL[ENGLISH],MATCH(PROPERTIES[[#This Row],[VEHIDCODE]],CONTROL[VEHIDCODE],0))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5" t="b">
        <f>IFERROR(OR(TRACK_TYPES[[#This Row],[TRACK_TYPE_STANDARD_GAUGE_RAILTYPE_OHLE]:[TRACK_TYPE_STANDARD_GAUGE_RAILTYPE_NONE]]),FALSE)</f>
        <v>1</v>
      </c>
      <c r="AF450" s="35" t="b">
        <f>IFERROR(OR(TRACK_TYPES[[#This Row],[TRACK_TYPE_NARROW_GAUGE_RAILTYPE_OHLE]:[TRACK_TYPE_NARROW_GAUGE_RAILTYPE_NONE]]),FALSE)</f>
        <v>0</v>
      </c>
      <c r="AG450" s="35" t="b">
        <f>IFERROR(OR(TRACK_TYPES[[#This Row],[TRACK_TYPE_BROAD_GAUGE_RAILTYPE_OHLE]:[TRACK_TYPE_BROAD_GAUGE_RAILTYPE_NONE]]),FALSE)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3076</v>
      </c>
      <c r="B451" s="37" t="str">
        <f>INDEX(CONTROL[ENGLISH],MATCH(PROPERTIES[[#This Row],[VEHIDCODE]],CONTROL[VEHIDCODE],0))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5" t="b">
        <f>IFERROR(OR(TRACK_TYPES[[#This Row],[TRACK_TYPE_STANDARD_GAUGE_RAILTYPE_OHLE]:[TRACK_TYPE_STANDARD_GAUGE_RAILTYPE_NONE]]),FALSE)</f>
        <v>1</v>
      </c>
      <c r="AF451" s="35" t="b">
        <f>IFERROR(OR(TRACK_TYPES[[#This Row],[TRACK_TYPE_NARROW_GAUGE_RAILTYPE_OHLE]:[TRACK_TYPE_NARROW_GAUGE_RAILTYPE_NONE]]),FALSE)</f>
        <v>0</v>
      </c>
      <c r="AG451" s="35" t="b">
        <f>IFERROR(OR(TRACK_TYPES[[#This Row],[TRACK_TYPE_BROAD_GAUGE_RAILTYPE_OHLE]:[TRACK_TYPE_BROAD_GAUGE_RAILTYPE_NONE]]),FALSE)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3077</v>
      </c>
      <c r="B452" s="37" t="str">
        <f>INDEX(CONTROL[ENGLISH],MATCH(PROPERTIES[[#This Row],[VEHIDCODE]],CONTROL[VEHIDCODE],0))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5" t="b">
        <f>IFERROR(OR(TRACK_TYPES[[#This Row],[TRACK_TYPE_STANDARD_GAUGE_RAILTYPE_OHLE]:[TRACK_TYPE_STANDARD_GAUGE_RAILTYPE_NONE]]),FALSE)</f>
        <v>1</v>
      </c>
      <c r="AF452" s="35" t="b">
        <f>IFERROR(OR(TRACK_TYPES[[#This Row],[TRACK_TYPE_NARROW_GAUGE_RAILTYPE_OHLE]:[TRACK_TYPE_NARROW_GAUGE_RAILTYPE_NONE]]),FALSE)</f>
        <v>0</v>
      </c>
      <c r="AG452" s="35" t="b">
        <f>IFERROR(OR(TRACK_TYPES[[#This Row],[TRACK_TYPE_BROAD_GAUGE_RAILTYPE_OHLE]:[TRACK_TYPE_BROAD_GAUGE_RAILTYPE_NONE]]),FALSE)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3078</v>
      </c>
      <c r="B453" s="37" t="str">
        <f>INDEX(CONTROL[ENGLISH],MATCH(PROPERTIES[[#This Row],[VEHIDCODE]],CONTROL[VEHIDCODE],0))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5" t="b">
        <f>IFERROR(OR(TRACK_TYPES[[#This Row],[TRACK_TYPE_STANDARD_GAUGE_RAILTYPE_OHLE]:[TRACK_TYPE_STANDARD_GAUGE_RAILTYPE_NONE]]),FALSE)</f>
        <v>1</v>
      </c>
      <c r="AF453" s="35" t="b">
        <f>IFERROR(OR(TRACK_TYPES[[#This Row],[TRACK_TYPE_NARROW_GAUGE_RAILTYPE_OHLE]:[TRACK_TYPE_NARROW_GAUGE_RAILTYPE_NONE]]),FALSE)</f>
        <v>0</v>
      </c>
      <c r="AG453" s="35" t="b">
        <f>IFERROR(OR(TRACK_TYPES[[#This Row],[TRACK_TYPE_BROAD_GAUGE_RAILTYPE_OHLE]:[TRACK_TYPE_BROAD_GAUGE_RAILTYPE_NONE]]),FALSE)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3079</v>
      </c>
      <c r="B454" s="37" t="str">
        <f>INDEX(CONTROL[ENGLISH],MATCH(PROPERTIES[[#This Row],[VEHIDCODE]],CONTROL[VEHIDCODE],0))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5" t="b">
        <f>IFERROR(OR(TRACK_TYPES[[#This Row],[TRACK_TYPE_STANDARD_GAUGE_RAILTYPE_OHLE]:[TRACK_TYPE_STANDARD_GAUGE_RAILTYPE_NONE]]),FALSE)</f>
        <v>1</v>
      </c>
      <c r="AF454" s="35" t="b">
        <f>IFERROR(OR(TRACK_TYPES[[#This Row],[TRACK_TYPE_NARROW_GAUGE_RAILTYPE_OHLE]:[TRACK_TYPE_NARROW_GAUGE_RAILTYPE_NONE]]),FALSE)</f>
        <v>0</v>
      </c>
      <c r="AG454" s="35" t="b">
        <f>IFERROR(OR(TRACK_TYPES[[#This Row],[TRACK_TYPE_BROAD_GAUGE_RAILTYPE_OHLE]:[TRACK_TYPE_BROAD_GAUGE_RAILTYPE_NONE]]),FALSE)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3080</v>
      </c>
      <c r="B455" s="37" t="str">
        <f>INDEX(CONTROL[ENGLISH],MATCH(PROPERTIES[[#This Row],[VEHIDCODE]],CONTROL[VEHIDCODE],0))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5" t="b">
        <f>IFERROR(OR(TRACK_TYPES[[#This Row],[TRACK_TYPE_STANDARD_GAUGE_RAILTYPE_OHLE]:[TRACK_TYPE_STANDARD_GAUGE_RAILTYPE_NONE]]),FALSE)</f>
        <v>1</v>
      </c>
      <c r="AF455" s="35" t="b">
        <f>IFERROR(OR(TRACK_TYPES[[#This Row],[TRACK_TYPE_NARROW_GAUGE_RAILTYPE_OHLE]:[TRACK_TYPE_NARROW_GAUGE_RAILTYPE_NONE]]),FALSE)</f>
        <v>0</v>
      </c>
      <c r="AG455" s="35" t="b">
        <f>IFERROR(OR(TRACK_TYPES[[#This Row],[TRACK_TYPE_BROAD_GAUGE_RAILTYPE_OHLE]:[TRACK_TYPE_BROAD_GAUGE_RAILTYPE_NONE]]),FALSE)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3081</v>
      </c>
      <c r="B456" s="37" t="str">
        <f>INDEX(CONTROL[ENGLISH],MATCH(PROPERTIES[[#This Row],[VEHIDCODE]],CONTROL[VEHIDCODE],0))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5" t="b">
        <f>IFERROR(OR(TRACK_TYPES[[#This Row],[TRACK_TYPE_STANDARD_GAUGE_RAILTYPE_OHLE]:[TRACK_TYPE_STANDARD_GAUGE_RAILTYPE_NONE]]),FALSE)</f>
        <v>1</v>
      </c>
      <c r="AF456" s="35" t="b">
        <f>IFERROR(OR(TRACK_TYPES[[#This Row],[TRACK_TYPE_NARROW_GAUGE_RAILTYPE_OHLE]:[TRACK_TYPE_NARROW_GAUGE_RAILTYPE_NONE]]),FALSE)</f>
        <v>0</v>
      </c>
      <c r="AG456" s="35" t="b">
        <f>IFERROR(OR(TRACK_TYPES[[#This Row],[TRACK_TYPE_BROAD_GAUGE_RAILTYPE_OHLE]:[TRACK_TYPE_BROAD_GAUGE_RAILTYPE_NONE]]),FALSE)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3082</v>
      </c>
      <c r="B457" s="37" t="str">
        <f>INDEX(CONTROL[ENGLISH],MATCH(PROPERTIES[[#This Row],[VEHIDCODE]],CONTROL[VEHIDCODE],0))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5" t="b">
        <f>IFERROR(OR(TRACK_TYPES[[#This Row],[TRACK_TYPE_STANDARD_GAUGE_RAILTYPE_OHLE]:[TRACK_TYPE_STANDARD_GAUGE_RAILTYPE_NONE]]),FALSE)</f>
        <v>0</v>
      </c>
      <c r="AF457" s="35" t="b">
        <f>IFERROR(OR(TRACK_TYPES[[#This Row],[TRACK_TYPE_NARROW_GAUGE_RAILTYPE_OHLE]:[TRACK_TYPE_NARROW_GAUGE_RAILTYPE_NONE]]),FALSE)</f>
        <v>0</v>
      </c>
      <c r="AG457" s="35" t="b">
        <f>IFERROR(OR(TRACK_TYPES[[#This Row],[TRACK_TYPE_BROAD_GAUGE_RAILTYPE_OHLE]:[TRACK_TYPE_BROAD_GAUGE_RAILTYPE_NONE]]),FALSE)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3083</v>
      </c>
      <c r="B458" s="37" t="str">
        <f>INDEX(CONTROL[ENGLISH],MATCH(PROPERTIES[[#This Row],[VEHIDCODE]],CONTROL[VEHIDCODE],0))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5" t="b">
        <f>IFERROR(OR(TRACK_TYPES[[#This Row],[TRACK_TYPE_STANDARD_GAUGE_RAILTYPE_OHLE]:[TRACK_TYPE_STANDARD_GAUGE_RAILTYPE_NONE]]),FALSE)</f>
        <v>1</v>
      </c>
      <c r="AF458" s="35" t="b">
        <f>IFERROR(OR(TRACK_TYPES[[#This Row],[TRACK_TYPE_NARROW_GAUGE_RAILTYPE_OHLE]:[TRACK_TYPE_NARROW_GAUGE_RAILTYPE_NONE]]),FALSE)</f>
        <v>0</v>
      </c>
      <c r="AG458" s="35" t="b">
        <f>IFERROR(OR(TRACK_TYPES[[#This Row],[TRACK_TYPE_BROAD_GAUGE_RAILTYPE_OHLE]:[TRACK_TYPE_BROAD_GAUGE_RAILTYPE_NONE]]),FALSE)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3084</v>
      </c>
      <c r="B459" s="37" t="str">
        <f>INDEX(CONTROL[ENGLISH],MATCH(PROPERTIES[[#This Row],[VEHIDCODE]],CONTROL[VEHIDCODE],0))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5" t="b">
        <f>IFERROR(OR(TRACK_TYPES[[#This Row],[TRACK_TYPE_STANDARD_GAUGE_RAILTYPE_OHLE]:[TRACK_TYPE_STANDARD_GAUGE_RAILTYPE_NONE]]),FALSE)</f>
        <v>1</v>
      </c>
      <c r="AF459" s="35" t="b">
        <f>IFERROR(OR(TRACK_TYPES[[#This Row],[TRACK_TYPE_NARROW_GAUGE_RAILTYPE_OHLE]:[TRACK_TYPE_NARROW_GAUGE_RAILTYPE_NONE]]),FALSE)</f>
        <v>0</v>
      </c>
      <c r="AG459" s="35" t="b">
        <f>IFERROR(OR(TRACK_TYPES[[#This Row],[TRACK_TYPE_BROAD_GAUGE_RAILTYPE_OHLE]:[TRACK_TYPE_BROAD_GAUGE_RAILTYPE_NONE]]),FALSE)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3085</v>
      </c>
      <c r="B460" s="37" t="str">
        <f>INDEX(CONTROL[ENGLISH],MATCH(PROPERTIES[[#This Row],[VEHIDCODE]],CONTROL[VEHIDCODE],0))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5" t="b">
        <f>IFERROR(OR(TRACK_TYPES[[#This Row],[TRACK_TYPE_STANDARD_GAUGE_RAILTYPE_OHLE]:[TRACK_TYPE_STANDARD_GAUGE_RAILTYPE_NONE]]),FALSE)</f>
        <v>1</v>
      </c>
      <c r="AF460" s="35" t="b">
        <f>IFERROR(OR(TRACK_TYPES[[#This Row],[TRACK_TYPE_NARROW_GAUGE_RAILTYPE_OHLE]:[TRACK_TYPE_NARROW_GAUGE_RAILTYPE_NONE]]),FALSE)</f>
        <v>0</v>
      </c>
      <c r="AG460" s="35" t="b">
        <f>IFERROR(OR(TRACK_TYPES[[#This Row],[TRACK_TYPE_BROAD_GAUGE_RAILTYPE_OHLE]:[TRACK_TYPE_BROAD_GAUGE_RAILTYPE_NONE]]),FALSE)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3086</v>
      </c>
      <c r="B461" s="37" t="str">
        <f>INDEX(CONTROL[ENGLISH],MATCH(PROPERTIES[[#This Row],[VEHIDCODE]],CONTROL[VEHIDCODE],0))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5" t="b">
        <f>IFERROR(OR(TRACK_TYPES[[#This Row],[TRACK_TYPE_STANDARD_GAUGE_RAILTYPE_OHLE]:[TRACK_TYPE_STANDARD_GAUGE_RAILTYPE_NONE]]),FALSE)</f>
        <v>1</v>
      </c>
      <c r="AF461" s="35" t="b">
        <f>IFERROR(OR(TRACK_TYPES[[#This Row],[TRACK_TYPE_NARROW_GAUGE_RAILTYPE_OHLE]:[TRACK_TYPE_NARROW_GAUGE_RAILTYPE_NONE]]),FALSE)</f>
        <v>0</v>
      </c>
      <c r="AG461" s="35" t="b">
        <f>IFERROR(OR(TRACK_TYPES[[#This Row],[TRACK_TYPE_BROAD_GAUGE_RAILTYPE_OHLE]:[TRACK_TYPE_BROAD_GAUGE_RAILTYPE_NONE]]),FALSE)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3087</v>
      </c>
      <c r="B462" s="37" t="str">
        <f>INDEX(CONTROL[ENGLISH],MATCH(PROPERTIES[[#This Row],[VEHIDCODE]],CONTROL[VEHIDCODE],0))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5" t="b">
        <f>IFERROR(OR(TRACK_TYPES[[#This Row],[TRACK_TYPE_STANDARD_GAUGE_RAILTYPE_OHLE]:[TRACK_TYPE_STANDARD_GAUGE_RAILTYPE_NONE]]),FALSE)</f>
        <v>1</v>
      </c>
      <c r="AF462" s="35" t="b">
        <f>IFERROR(OR(TRACK_TYPES[[#This Row],[TRACK_TYPE_NARROW_GAUGE_RAILTYPE_OHLE]:[TRACK_TYPE_NARROW_GAUGE_RAILTYPE_NONE]]),FALSE)</f>
        <v>0</v>
      </c>
      <c r="AG462" s="35" t="b">
        <f>IFERROR(OR(TRACK_TYPES[[#This Row],[TRACK_TYPE_BROAD_GAUGE_RAILTYPE_OHLE]:[TRACK_TYPE_BROAD_GAUGE_RAILTYPE_NONE]]),FALSE)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3088</v>
      </c>
      <c r="B463" s="37" t="str">
        <f>INDEX(CONTROL[ENGLISH],MATCH(PROPERTIES[[#This Row],[VEHIDCODE]],CONTROL[VEHIDCODE],0))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5" t="b">
        <f>IFERROR(OR(TRACK_TYPES[[#This Row],[TRACK_TYPE_STANDARD_GAUGE_RAILTYPE_OHLE]:[TRACK_TYPE_STANDARD_GAUGE_RAILTYPE_NONE]]),FALSE)</f>
        <v>1</v>
      </c>
      <c r="AF463" s="35" t="b">
        <f>IFERROR(OR(TRACK_TYPES[[#This Row],[TRACK_TYPE_NARROW_GAUGE_RAILTYPE_OHLE]:[TRACK_TYPE_NARROW_GAUGE_RAILTYPE_NONE]]),FALSE)</f>
        <v>0</v>
      </c>
      <c r="AG463" s="35" t="b">
        <f>IFERROR(OR(TRACK_TYPES[[#This Row],[TRACK_TYPE_BROAD_GAUGE_RAILTYPE_OHLE]:[TRACK_TYPE_BROAD_GAUGE_RAILTYPE_NONE]]),FALSE)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3089</v>
      </c>
      <c r="B464" s="37" t="str">
        <f>INDEX(CONTROL[ENGLISH],MATCH(PROPERTIES[[#This Row],[VEHIDCODE]],CONTROL[VEHIDCODE],0))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5" t="b">
        <f>IFERROR(OR(TRACK_TYPES[[#This Row],[TRACK_TYPE_STANDARD_GAUGE_RAILTYPE_OHLE]:[TRACK_TYPE_STANDARD_GAUGE_RAILTYPE_NONE]]),FALSE)</f>
        <v>1</v>
      </c>
      <c r="AF464" s="35" t="b">
        <f>IFERROR(OR(TRACK_TYPES[[#This Row],[TRACK_TYPE_NARROW_GAUGE_RAILTYPE_OHLE]:[TRACK_TYPE_NARROW_GAUGE_RAILTYPE_NONE]]),FALSE)</f>
        <v>0</v>
      </c>
      <c r="AG464" s="35" t="b">
        <f>IFERROR(OR(TRACK_TYPES[[#This Row],[TRACK_TYPE_BROAD_GAUGE_RAILTYPE_OHLE]:[TRACK_TYPE_BROAD_GAUGE_RAILTYPE_NONE]]),FALSE)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3090</v>
      </c>
      <c r="B465" s="37" t="str">
        <f>INDEX(CONTROL[ENGLISH],MATCH(PROPERTIES[[#This Row],[VEHIDCODE]],CONTROL[VEHIDCODE],0))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5" t="b">
        <f>IFERROR(OR(TRACK_TYPES[[#This Row],[TRACK_TYPE_STANDARD_GAUGE_RAILTYPE_OHLE]:[TRACK_TYPE_STANDARD_GAUGE_RAILTYPE_NONE]]),FALSE)</f>
        <v>1</v>
      </c>
      <c r="AF465" s="35" t="b">
        <f>IFERROR(OR(TRACK_TYPES[[#This Row],[TRACK_TYPE_NARROW_GAUGE_RAILTYPE_OHLE]:[TRACK_TYPE_NARROW_GAUGE_RAILTYPE_NONE]]),FALSE)</f>
        <v>0</v>
      </c>
      <c r="AG465" s="35" t="b">
        <f>IFERROR(OR(TRACK_TYPES[[#This Row],[TRACK_TYPE_BROAD_GAUGE_RAILTYPE_OHLE]:[TRACK_TYPE_BROAD_GAUGE_RAILTYPE_NONE]]),FALSE)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3091</v>
      </c>
      <c r="B466" s="37" t="str">
        <f>INDEX(CONTROL[ENGLISH],MATCH(PROPERTIES[[#This Row],[VEHIDCODE]],CONTROL[VEHIDCODE],0))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5" t="b">
        <f>IFERROR(OR(TRACK_TYPES[[#This Row],[TRACK_TYPE_STANDARD_GAUGE_RAILTYPE_OHLE]:[TRACK_TYPE_STANDARD_GAUGE_RAILTYPE_NONE]]),FALSE)</f>
        <v>1</v>
      </c>
      <c r="AF466" s="35" t="b">
        <f>IFERROR(OR(TRACK_TYPES[[#This Row],[TRACK_TYPE_NARROW_GAUGE_RAILTYPE_OHLE]:[TRACK_TYPE_NARROW_GAUGE_RAILTYPE_NONE]]),FALSE)</f>
        <v>0</v>
      </c>
      <c r="AG466" s="35" t="b">
        <f>IFERROR(OR(TRACK_TYPES[[#This Row],[TRACK_TYPE_BROAD_GAUGE_RAILTYPE_OHLE]:[TRACK_TYPE_BROAD_GAUGE_RAILTYPE_NONE]]),FALSE)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3092</v>
      </c>
      <c r="B467" s="37" t="str">
        <f>INDEX(CONTROL[ENGLISH],MATCH(PROPERTIES[[#This Row],[VEHIDCODE]],CONTROL[VEHIDCODE],0))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5" t="b">
        <f>IFERROR(OR(TRACK_TYPES[[#This Row],[TRACK_TYPE_STANDARD_GAUGE_RAILTYPE_OHLE]:[TRACK_TYPE_STANDARD_GAUGE_RAILTYPE_NONE]]),FALSE)</f>
        <v>1</v>
      </c>
      <c r="AF467" s="35" t="b">
        <f>IFERROR(OR(TRACK_TYPES[[#This Row],[TRACK_TYPE_NARROW_GAUGE_RAILTYPE_OHLE]:[TRACK_TYPE_NARROW_GAUGE_RAILTYPE_NONE]]),FALSE)</f>
        <v>0</v>
      </c>
      <c r="AG467" s="35" t="b">
        <f>IFERROR(OR(TRACK_TYPES[[#This Row],[TRACK_TYPE_BROAD_GAUGE_RAILTYPE_OHLE]:[TRACK_TYPE_BROAD_GAUGE_RAILTYPE_NONE]]),FALSE)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3093</v>
      </c>
      <c r="B468" s="37" t="str">
        <f>INDEX(CONTROL[ENGLISH],MATCH(PROPERTIES[[#This Row],[VEHIDCODE]],CONTROL[VEHIDCODE],0))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5" t="b">
        <f>IFERROR(OR(TRACK_TYPES[[#This Row],[TRACK_TYPE_STANDARD_GAUGE_RAILTYPE_OHLE]:[TRACK_TYPE_STANDARD_GAUGE_RAILTYPE_NONE]]),FALSE)</f>
        <v>1</v>
      </c>
      <c r="AF468" s="35" t="b">
        <f>IFERROR(OR(TRACK_TYPES[[#This Row],[TRACK_TYPE_NARROW_GAUGE_RAILTYPE_OHLE]:[TRACK_TYPE_NARROW_GAUGE_RAILTYPE_NONE]]),FALSE)</f>
        <v>0</v>
      </c>
      <c r="AG468" s="35" t="b">
        <f>IFERROR(OR(TRACK_TYPES[[#This Row],[TRACK_TYPE_BROAD_GAUGE_RAILTYPE_OHLE]:[TRACK_TYPE_BROAD_GAUGE_RAILTYPE_NONE]]),FALSE)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3094</v>
      </c>
      <c r="B469" s="37" t="str">
        <f>INDEX(CONTROL[ENGLISH],MATCH(PROPERTIES[[#This Row],[VEHIDCODE]],CONTROL[VEHIDCODE],0))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5" t="b">
        <f>IFERROR(OR(TRACK_TYPES[[#This Row],[TRACK_TYPE_STANDARD_GAUGE_RAILTYPE_OHLE]:[TRACK_TYPE_STANDARD_GAUGE_RAILTYPE_NONE]]),FALSE)</f>
        <v>1</v>
      </c>
      <c r="AF469" s="35" t="b">
        <f>IFERROR(OR(TRACK_TYPES[[#This Row],[TRACK_TYPE_NARROW_GAUGE_RAILTYPE_OHLE]:[TRACK_TYPE_NARROW_GAUGE_RAILTYPE_NONE]]),FALSE)</f>
        <v>0</v>
      </c>
      <c r="AG469" s="35" t="b">
        <f>IFERROR(OR(TRACK_TYPES[[#This Row],[TRACK_TYPE_BROAD_GAUGE_RAILTYPE_OHLE]:[TRACK_TYPE_BROAD_GAUGE_RAILTYPE_NONE]]),FALSE)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3095</v>
      </c>
      <c r="B470" s="37" t="str">
        <f>INDEX(CONTROL[ENGLISH],MATCH(PROPERTIES[[#This Row],[VEHIDCODE]],CONTROL[VEHIDCODE],0))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5" t="b">
        <f>IFERROR(OR(TRACK_TYPES[[#This Row],[TRACK_TYPE_STANDARD_GAUGE_RAILTYPE_OHLE]:[TRACK_TYPE_STANDARD_GAUGE_RAILTYPE_NONE]]),FALSE)</f>
        <v>1</v>
      </c>
      <c r="AF470" s="35" t="b">
        <f>IFERROR(OR(TRACK_TYPES[[#This Row],[TRACK_TYPE_NARROW_GAUGE_RAILTYPE_OHLE]:[TRACK_TYPE_NARROW_GAUGE_RAILTYPE_NONE]]),FALSE)</f>
        <v>0</v>
      </c>
      <c r="AG470" s="35" t="b">
        <f>IFERROR(OR(TRACK_TYPES[[#This Row],[TRACK_TYPE_BROAD_GAUGE_RAILTYPE_OHLE]:[TRACK_TYPE_BROAD_GAUGE_RAILTYPE_NONE]]),FALSE)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3096</v>
      </c>
      <c r="B471" s="37" t="str">
        <f>INDEX(CONTROL[ENGLISH],MATCH(PROPERTIES[[#This Row],[VEHIDCODE]],CONTROL[VEHIDCODE],0))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5" t="b">
        <f>IFERROR(OR(TRACK_TYPES[[#This Row],[TRACK_TYPE_STANDARD_GAUGE_RAILTYPE_OHLE]:[TRACK_TYPE_STANDARD_GAUGE_RAILTYPE_NONE]]),FALSE)</f>
        <v>1</v>
      </c>
      <c r="AF471" s="35" t="b">
        <f>IFERROR(OR(TRACK_TYPES[[#This Row],[TRACK_TYPE_NARROW_GAUGE_RAILTYPE_OHLE]:[TRACK_TYPE_NARROW_GAUGE_RAILTYPE_NONE]]),FALSE)</f>
        <v>0</v>
      </c>
      <c r="AG471" s="35" t="b">
        <f>IFERROR(OR(TRACK_TYPES[[#This Row],[TRACK_TYPE_BROAD_GAUGE_RAILTYPE_OHLE]:[TRACK_TYPE_BROAD_GAUGE_RAILTYPE_NONE]]),FALSE)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3097</v>
      </c>
      <c r="B472" s="37" t="str">
        <f>INDEX(CONTROL[ENGLISH],MATCH(PROPERTIES[[#This Row],[VEHIDCODE]],CONTROL[VEHIDCODE],0))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5" t="b">
        <f>IFERROR(OR(TRACK_TYPES[[#This Row],[TRACK_TYPE_STANDARD_GAUGE_RAILTYPE_OHLE]:[TRACK_TYPE_STANDARD_GAUGE_RAILTYPE_NONE]]),FALSE)</f>
        <v>1</v>
      </c>
      <c r="AF472" s="35" t="b">
        <f>IFERROR(OR(TRACK_TYPES[[#This Row],[TRACK_TYPE_NARROW_GAUGE_RAILTYPE_OHLE]:[TRACK_TYPE_NARROW_GAUGE_RAILTYPE_NONE]]),FALSE)</f>
        <v>0</v>
      </c>
      <c r="AG472" s="35" t="b">
        <f>IFERROR(OR(TRACK_TYPES[[#This Row],[TRACK_TYPE_BROAD_GAUGE_RAILTYPE_OHLE]:[TRACK_TYPE_BROAD_GAUGE_RAILTYPE_NONE]]),FALSE)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3098</v>
      </c>
      <c r="B473" s="37" t="str">
        <f>INDEX(CONTROL[ENGLISH],MATCH(PROPERTIES[[#This Row],[VEHIDCODE]],CONTROL[VEHIDCODE],0))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5" t="b">
        <f>IFERROR(OR(TRACK_TYPES[[#This Row],[TRACK_TYPE_STANDARD_GAUGE_RAILTYPE_OHLE]:[TRACK_TYPE_STANDARD_GAUGE_RAILTYPE_NONE]]),FALSE)</f>
        <v>0</v>
      </c>
      <c r="AF473" s="35" t="b">
        <f>IFERROR(OR(TRACK_TYPES[[#This Row],[TRACK_TYPE_NARROW_GAUGE_RAILTYPE_OHLE]:[TRACK_TYPE_NARROW_GAUGE_RAILTYPE_NONE]]),FALSE)</f>
        <v>0</v>
      </c>
      <c r="AG473" s="35" t="b">
        <f>IFERROR(OR(TRACK_TYPES[[#This Row],[TRACK_TYPE_BROAD_GAUGE_RAILTYPE_OHLE]:[TRACK_TYPE_BROAD_GAUGE_RAILTYPE_NONE]]),FALSE)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3099</v>
      </c>
      <c r="B474" s="37" t="str">
        <f>INDEX(CONTROL[ENGLISH],MATCH(PROPERTIES[[#This Row],[VEHIDCODE]],CONTROL[VEHIDCODE],0))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5" t="b">
        <f>IFERROR(OR(TRACK_TYPES[[#This Row],[TRACK_TYPE_STANDARD_GAUGE_RAILTYPE_OHLE]:[TRACK_TYPE_STANDARD_GAUGE_RAILTYPE_NONE]]),FALSE)</f>
        <v>1</v>
      </c>
      <c r="AF474" s="35" t="b">
        <f>IFERROR(OR(TRACK_TYPES[[#This Row],[TRACK_TYPE_NARROW_GAUGE_RAILTYPE_OHLE]:[TRACK_TYPE_NARROW_GAUGE_RAILTYPE_NONE]]),FALSE)</f>
        <v>0</v>
      </c>
      <c r="AG474" s="35" t="b">
        <f>IFERROR(OR(TRACK_TYPES[[#This Row],[TRACK_TYPE_BROAD_GAUGE_RAILTYPE_OHLE]:[TRACK_TYPE_BROAD_GAUGE_RAILTYPE_NONE]]),FALSE)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3100</v>
      </c>
      <c r="B475" s="37" t="str">
        <f>INDEX(CONTROL[ENGLISH],MATCH(PROPERTIES[[#This Row],[VEHIDCODE]],CONTROL[VEHIDCODE],0))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5" t="b">
        <f>IFERROR(OR(TRACK_TYPES[[#This Row],[TRACK_TYPE_STANDARD_GAUGE_RAILTYPE_OHLE]:[TRACK_TYPE_STANDARD_GAUGE_RAILTYPE_NONE]]),FALSE)</f>
        <v>1</v>
      </c>
      <c r="AF475" s="35" t="b">
        <f>IFERROR(OR(TRACK_TYPES[[#This Row],[TRACK_TYPE_NARROW_GAUGE_RAILTYPE_OHLE]:[TRACK_TYPE_NARROW_GAUGE_RAILTYPE_NONE]]),FALSE)</f>
        <v>0</v>
      </c>
      <c r="AG475" s="35" t="b">
        <f>IFERROR(OR(TRACK_TYPES[[#This Row],[TRACK_TYPE_BROAD_GAUGE_RAILTYPE_OHLE]:[TRACK_TYPE_BROAD_GAUGE_RAILTYPE_NONE]]),FALSE)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3101</v>
      </c>
      <c r="B476" s="37" t="str">
        <f>INDEX(CONTROL[ENGLISH],MATCH(PROPERTIES[[#This Row],[VEHIDCODE]],CONTROL[VEHIDCODE],0))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5" t="b">
        <f>IFERROR(OR(TRACK_TYPES[[#This Row],[TRACK_TYPE_STANDARD_GAUGE_RAILTYPE_OHLE]:[TRACK_TYPE_STANDARD_GAUGE_RAILTYPE_NONE]]),FALSE)</f>
        <v>1</v>
      </c>
      <c r="AF476" s="35" t="b">
        <f>IFERROR(OR(TRACK_TYPES[[#This Row],[TRACK_TYPE_NARROW_GAUGE_RAILTYPE_OHLE]:[TRACK_TYPE_NARROW_GAUGE_RAILTYPE_NONE]]),FALSE)</f>
        <v>0</v>
      </c>
      <c r="AG476" s="35" t="b">
        <f>IFERROR(OR(TRACK_TYPES[[#This Row],[TRACK_TYPE_BROAD_GAUGE_RAILTYPE_OHLE]:[TRACK_TYPE_BROAD_GAUGE_RAILTYPE_NONE]]),FALSE)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3102</v>
      </c>
      <c r="B477" s="37" t="str">
        <f>INDEX(CONTROL[ENGLISH],MATCH(PROPERTIES[[#This Row],[VEHIDCODE]],CONTROL[VEHIDCODE],0))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5" t="b">
        <f>IFERROR(OR(TRACK_TYPES[[#This Row],[TRACK_TYPE_STANDARD_GAUGE_RAILTYPE_OHLE]:[TRACK_TYPE_STANDARD_GAUGE_RAILTYPE_NONE]]),FALSE)</f>
        <v>0</v>
      </c>
      <c r="AF477" s="35" t="b">
        <f>IFERROR(OR(TRACK_TYPES[[#This Row],[TRACK_TYPE_NARROW_GAUGE_RAILTYPE_OHLE]:[TRACK_TYPE_NARROW_GAUGE_RAILTYPE_NONE]]),FALSE)</f>
        <v>1</v>
      </c>
      <c r="AG477" s="35" t="b">
        <f>IFERROR(OR(TRACK_TYPES[[#This Row],[TRACK_TYPE_BROAD_GAUGE_RAILTYPE_OHLE]:[TRACK_TYPE_BROAD_GAUGE_RAILTYPE_NONE]]),FALSE)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3103</v>
      </c>
      <c r="B478" s="37" t="str">
        <f>INDEX(CONTROL[ENGLISH],MATCH(PROPERTIES[[#This Row],[VEHIDCODE]],CONTROL[VEHIDCODE],0))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5" t="b">
        <f>IFERROR(OR(TRACK_TYPES[[#This Row],[TRACK_TYPE_STANDARD_GAUGE_RAILTYPE_OHLE]:[TRACK_TYPE_STANDARD_GAUGE_RAILTYPE_NONE]]),FALSE)</f>
        <v>1</v>
      </c>
      <c r="AF478" s="35" t="b">
        <f>IFERROR(OR(TRACK_TYPES[[#This Row],[TRACK_TYPE_NARROW_GAUGE_RAILTYPE_OHLE]:[TRACK_TYPE_NARROW_GAUGE_RAILTYPE_NONE]]),FALSE)</f>
        <v>0</v>
      </c>
      <c r="AG478" s="35" t="b">
        <f>IFERROR(OR(TRACK_TYPES[[#This Row],[TRACK_TYPE_BROAD_GAUGE_RAILTYPE_OHLE]:[TRACK_TYPE_BROAD_GAUGE_RAILTYPE_NONE]]),FALSE)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3104</v>
      </c>
      <c r="B479" s="37" t="str">
        <f>INDEX(CONTROL[ENGLISH],MATCH(PROPERTIES[[#This Row],[VEHIDCODE]],CONTROL[VEHIDCODE],0))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5" t="b">
        <f>IFERROR(OR(TRACK_TYPES[[#This Row],[TRACK_TYPE_STANDARD_GAUGE_RAILTYPE_OHLE]:[TRACK_TYPE_STANDARD_GAUGE_RAILTYPE_NONE]]),FALSE)</f>
        <v>1</v>
      </c>
      <c r="AF479" s="35" t="b">
        <f>IFERROR(OR(TRACK_TYPES[[#This Row],[TRACK_TYPE_NARROW_GAUGE_RAILTYPE_OHLE]:[TRACK_TYPE_NARROW_GAUGE_RAILTYPE_NONE]]),FALSE)</f>
        <v>0</v>
      </c>
      <c r="AG479" s="35" t="b">
        <f>IFERROR(OR(TRACK_TYPES[[#This Row],[TRACK_TYPE_BROAD_GAUGE_RAILTYPE_OHLE]:[TRACK_TYPE_BROAD_GAUGE_RAILTYPE_NONE]]),FALSE)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3105</v>
      </c>
      <c r="B480" s="37" t="str">
        <f>INDEX(CONTROL[ENGLISH],MATCH(PROPERTIES[[#This Row],[VEHIDCODE]],CONTROL[VEHIDCODE],0))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5" t="b">
        <f>IFERROR(OR(TRACK_TYPES[[#This Row],[TRACK_TYPE_STANDARD_GAUGE_RAILTYPE_OHLE]:[TRACK_TYPE_STANDARD_GAUGE_RAILTYPE_NONE]]),FALSE)</f>
        <v>1</v>
      </c>
      <c r="AF480" s="35" t="b">
        <f>IFERROR(OR(TRACK_TYPES[[#This Row],[TRACK_TYPE_NARROW_GAUGE_RAILTYPE_OHLE]:[TRACK_TYPE_NARROW_GAUGE_RAILTYPE_NONE]]),FALSE)</f>
        <v>0</v>
      </c>
      <c r="AG480" s="35" t="b">
        <f>IFERROR(OR(TRACK_TYPES[[#This Row],[TRACK_TYPE_BROAD_GAUGE_RAILTYPE_OHLE]:[TRACK_TYPE_BROAD_GAUGE_RAILTYPE_NONE]]),FALSE)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3106</v>
      </c>
      <c r="B481" s="37" t="str">
        <f>INDEX(CONTROL[ENGLISH],MATCH(PROPERTIES[[#This Row],[VEHIDCODE]],CONTROL[VEHIDCODE],0))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5" t="b">
        <f>IFERROR(OR(TRACK_TYPES[[#This Row],[TRACK_TYPE_STANDARD_GAUGE_RAILTYPE_OHLE]:[TRACK_TYPE_STANDARD_GAUGE_RAILTYPE_NONE]]),FALSE)</f>
        <v>1</v>
      </c>
      <c r="AF481" s="35" t="b">
        <f>IFERROR(OR(TRACK_TYPES[[#This Row],[TRACK_TYPE_NARROW_GAUGE_RAILTYPE_OHLE]:[TRACK_TYPE_NARROW_GAUGE_RAILTYPE_NONE]]),FALSE)</f>
        <v>0</v>
      </c>
      <c r="AG481" s="35" t="b">
        <f>IFERROR(OR(TRACK_TYPES[[#This Row],[TRACK_TYPE_BROAD_GAUGE_RAILTYPE_OHLE]:[TRACK_TYPE_BROAD_GAUGE_RAILTYPE_NONE]]),FALSE)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3107</v>
      </c>
      <c r="B482" s="37" t="str">
        <f>INDEX(CONTROL[ENGLISH],MATCH(PROPERTIES[[#This Row],[VEHIDCODE]],CONTROL[VEHIDCODE],0))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5" t="b">
        <f>IFERROR(OR(TRACK_TYPES[[#This Row],[TRACK_TYPE_STANDARD_GAUGE_RAILTYPE_OHLE]:[TRACK_TYPE_STANDARD_GAUGE_RAILTYPE_NONE]]),FALSE)</f>
        <v>1</v>
      </c>
      <c r="AF482" s="35" t="b">
        <f>IFERROR(OR(TRACK_TYPES[[#This Row],[TRACK_TYPE_NARROW_GAUGE_RAILTYPE_OHLE]:[TRACK_TYPE_NARROW_GAUGE_RAILTYPE_NONE]]),FALSE)</f>
        <v>0</v>
      </c>
      <c r="AG482" s="35" t="b">
        <f>IFERROR(OR(TRACK_TYPES[[#This Row],[TRACK_TYPE_BROAD_GAUGE_RAILTYPE_OHLE]:[TRACK_TYPE_BROAD_GAUGE_RAILTYPE_NONE]]),FALSE)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3108</v>
      </c>
      <c r="B483" s="37" t="str">
        <f>INDEX(CONTROL[ENGLISH],MATCH(PROPERTIES[[#This Row],[VEHIDCODE]],CONTROL[VEHIDCODE],0))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5" t="b">
        <f>IFERROR(OR(TRACK_TYPES[[#This Row],[TRACK_TYPE_STANDARD_GAUGE_RAILTYPE_OHLE]:[TRACK_TYPE_STANDARD_GAUGE_RAILTYPE_NONE]]),FALSE)</f>
        <v>1</v>
      </c>
      <c r="AF483" s="35" t="b">
        <f>IFERROR(OR(TRACK_TYPES[[#This Row],[TRACK_TYPE_NARROW_GAUGE_RAILTYPE_OHLE]:[TRACK_TYPE_NARROW_GAUGE_RAILTYPE_NONE]]),FALSE)</f>
        <v>0</v>
      </c>
      <c r="AG483" s="35" t="b">
        <f>IFERROR(OR(TRACK_TYPES[[#This Row],[TRACK_TYPE_BROAD_GAUGE_RAILTYPE_OHLE]:[TRACK_TYPE_BROAD_GAUGE_RAILTYPE_NONE]]),FALSE)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3109</v>
      </c>
      <c r="B484" s="37" t="str">
        <f>INDEX(CONTROL[ENGLISH],MATCH(PROPERTIES[[#This Row],[VEHIDCODE]],CONTROL[VEHIDCODE],0))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5" t="b">
        <f>IFERROR(OR(TRACK_TYPES[[#This Row],[TRACK_TYPE_STANDARD_GAUGE_RAILTYPE_OHLE]:[TRACK_TYPE_STANDARD_GAUGE_RAILTYPE_NONE]]),FALSE)</f>
        <v>0</v>
      </c>
      <c r="AF484" s="35" t="b">
        <f>IFERROR(OR(TRACK_TYPES[[#This Row],[TRACK_TYPE_NARROW_GAUGE_RAILTYPE_OHLE]:[TRACK_TYPE_NARROW_GAUGE_RAILTYPE_NONE]]),FALSE)</f>
        <v>1</v>
      </c>
      <c r="AG484" s="35" t="b">
        <f>IFERROR(OR(TRACK_TYPES[[#This Row],[TRACK_TYPE_BROAD_GAUGE_RAILTYPE_OHLE]:[TRACK_TYPE_BROAD_GAUGE_RAILTYPE_NONE]]),FALSE)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3110</v>
      </c>
      <c r="B485" s="37" t="str">
        <f>INDEX(CONTROL[ENGLISH],MATCH(PROPERTIES[[#This Row],[VEHIDCODE]],CONTROL[VEHIDCODE],0))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5" t="b">
        <f>IFERROR(OR(TRACK_TYPES[[#This Row],[TRACK_TYPE_STANDARD_GAUGE_RAILTYPE_OHLE]:[TRACK_TYPE_STANDARD_GAUGE_RAILTYPE_NONE]]),FALSE)</f>
        <v>0</v>
      </c>
      <c r="AF485" s="35" t="b">
        <f>IFERROR(OR(TRACK_TYPES[[#This Row],[TRACK_TYPE_NARROW_GAUGE_RAILTYPE_OHLE]:[TRACK_TYPE_NARROW_GAUGE_RAILTYPE_NONE]]),FALSE)</f>
        <v>0</v>
      </c>
      <c r="AG485" s="35" t="b">
        <f>IFERROR(OR(TRACK_TYPES[[#This Row],[TRACK_TYPE_BROAD_GAUGE_RAILTYPE_OHLE]:[TRACK_TYPE_BROAD_GAUGE_RAILTYPE_NONE]]),FALSE)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3111</v>
      </c>
      <c r="B486" s="37" t="str">
        <f>INDEX(CONTROL[ENGLISH],MATCH(PROPERTIES[[#This Row],[VEHIDCODE]],CONTROL[VEHIDCODE],0))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5" t="b">
        <f>IFERROR(OR(TRACK_TYPES[[#This Row],[TRACK_TYPE_STANDARD_GAUGE_RAILTYPE_OHLE]:[TRACK_TYPE_STANDARD_GAUGE_RAILTYPE_NONE]]),FALSE)</f>
        <v>1</v>
      </c>
      <c r="AF486" s="35" t="b">
        <f>IFERROR(OR(TRACK_TYPES[[#This Row],[TRACK_TYPE_NARROW_GAUGE_RAILTYPE_OHLE]:[TRACK_TYPE_NARROW_GAUGE_RAILTYPE_NONE]]),FALSE)</f>
        <v>0</v>
      </c>
      <c r="AG486" s="35" t="b">
        <f>IFERROR(OR(TRACK_TYPES[[#This Row],[TRACK_TYPE_BROAD_GAUGE_RAILTYPE_OHLE]:[TRACK_TYPE_BROAD_GAUGE_RAILTYPE_NONE]]),FALSE)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3112</v>
      </c>
      <c r="B487" s="37" t="str">
        <f>INDEX(CONTROL[ENGLISH],MATCH(PROPERTIES[[#This Row],[VEHIDCODE]],CONTROL[VEHIDCODE],0))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5" t="b">
        <f>IFERROR(OR(TRACK_TYPES[[#This Row],[TRACK_TYPE_STANDARD_GAUGE_RAILTYPE_OHLE]:[TRACK_TYPE_STANDARD_GAUGE_RAILTYPE_NONE]]),FALSE)</f>
        <v>0</v>
      </c>
      <c r="AF487" s="35" t="b">
        <f>IFERROR(OR(TRACK_TYPES[[#This Row],[TRACK_TYPE_NARROW_GAUGE_RAILTYPE_OHLE]:[TRACK_TYPE_NARROW_GAUGE_RAILTYPE_NONE]]),FALSE)</f>
        <v>0</v>
      </c>
      <c r="AG487" s="35" t="b">
        <f>IFERROR(OR(TRACK_TYPES[[#This Row],[TRACK_TYPE_BROAD_GAUGE_RAILTYPE_OHLE]:[TRACK_TYPE_BROAD_GAUGE_RAILTYPE_NONE]]),FALSE)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3113</v>
      </c>
      <c r="B488" s="37" t="str">
        <f>INDEX(CONTROL[ENGLISH],MATCH(PROPERTIES[[#This Row],[VEHIDCODE]],CONTROL[VEHIDCODE],0))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5" t="b">
        <f>IFERROR(OR(TRACK_TYPES[[#This Row],[TRACK_TYPE_STANDARD_GAUGE_RAILTYPE_OHLE]:[TRACK_TYPE_STANDARD_GAUGE_RAILTYPE_NONE]]),FALSE)</f>
        <v>0</v>
      </c>
      <c r="AF488" s="35" t="b">
        <f>IFERROR(OR(TRACK_TYPES[[#This Row],[TRACK_TYPE_NARROW_GAUGE_RAILTYPE_OHLE]:[TRACK_TYPE_NARROW_GAUGE_RAILTYPE_NONE]]),FALSE)</f>
        <v>1</v>
      </c>
      <c r="AG488" s="35" t="b">
        <f>IFERROR(OR(TRACK_TYPES[[#This Row],[TRACK_TYPE_BROAD_GAUGE_RAILTYPE_OHLE]:[TRACK_TYPE_BROAD_GAUGE_RAILTYPE_NONE]]),FALSE)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3114</v>
      </c>
      <c r="B489" s="37" t="str">
        <f>INDEX(CONTROL[ENGLISH],MATCH(PROPERTIES[[#This Row],[VEHIDCODE]],CONTROL[VEHIDCODE],0))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5" t="b">
        <f>IFERROR(OR(TRACK_TYPES[[#This Row],[TRACK_TYPE_STANDARD_GAUGE_RAILTYPE_OHLE]:[TRACK_TYPE_STANDARD_GAUGE_RAILTYPE_NONE]]),FALSE)</f>
        <v>1</v>
      </c>
      <c r="AF489" s="35" t="b">
        <f>IFERROR(OR(TRACK_TYPES[[#This Row],[TRACK_TYPE_NARROW_GAUGE_RAILTYPE_OHLE]:[TRACK_TYPE_NARROW_GAUGE_RAILTYPE_NONE]]),FALSE)</f>
        <v>0</v>
      </c>
      <c r="AG489" s="35" t="b">
        <f>IFERROR(OR(TRACK_TYPES[[#This Row],[TRACK_TYPE_BROAD_GAUGE_RAILTYPE_OHLE]:[TRACK_TYPE_BROAD_GAUGE_RAILTYPE_NONE]]),FALSE)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3115</v>
      </c>
      <c r="B490" s="37" t="str">
        <f>INDEX(CONTROL[ENGLISH],MATCH(PROPERTIES[[#This Row],[VEHIDCODE]],CONTROL[VEHIDCODE],0))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5" t="b">
        <f>IFERROR(OR(TRACK_TYPES[[#This Row],[TRACK_TYPE_STANDARD_GAUGE_RAILTYPE_OHLE]:[TRACK_TYPE_STANDARD_GAUGE_RAILTYPE_NONE]]),FALSE)</f>
        <v>0</v>
      </c>
      <c r="AF490" s="35" t="b">
        <f>IFERROR(OR(TRACK_TYPES[[#This Row],[TRACK_TYPE_NARROW_GAUGE_RAILTYPE_OHLE]:[TRACK_TYPE_NARROW_GAUGE_RAILTYPE_NONE]]),FALSE)</f>
        <v>1</v>
      </c>
      <c r="AG490" s="35" t="b">
        <f>IFERROR(OR(TRACK_TYPES[[#This Row],[TRACK_TYPE_BROAD_GAUGE_RAILTYPE_OHLE]:[TRACK_TYPE_BROAD_GAUGE_RAILTYPE_NONE]]),FALSE)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3116</v>
      </c>
      <c r="B491" s="37" t="str">
        <f>INDEX(CONTROL[ENGLISH],MATCH(PROPERTIES[[#This Row],[VEHIDCODE]],CONTROL[VEHIDCODE],0))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5" t="b">
        <f>IFERROR(OR(TRACK_TYPES[[#This Row],[TRACK_TYPE_STANDARD_GAUGE_RAILTYPE_OHLE]:[TRACK_TYPE_STANDARD_GAUGE_RAILTYPE_NONE]]),FALSE)</f>
        <v>1</v>
      </c>
      <c r="AF491" s="35" t="b">
        <f>IFERROR(OR(TRACK_TYPES[[#This Row],[TRACK_TYPE_NARROW_GAUGE_RAILTYPE_OHLE]:[TRACK_TYPE_NARROW_GAUGE_RAILTYPE_NONE]]),FALSE)</f>
        <v>0</v>
      </c>
      <c r="AG491" s="35" t="b">
        <f>IFERROR(OR(TRACK_TYPES[[#This Row],[TRACK_TYPE_BROAD_GAUGE_RAILTYPE_OHLE]:[TRACK_TYPE_BROAD_GAUGE_RAILTYPE_NONE]]),FALSE)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3117</v>
      </c>
      <c r="B492" s="37" t="str">
        <f>INDEX(CONTROL[ENGLISH],MATCH(PROPERTIES[[#This Row],[VEHIDCODE]],CONTROL[VEHIDCODE],0))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5" t="b">
        <f>IFERROR(OR(TRACK_TYPES[[#This Row],[TRACK_TYPE_STANDARD_GAUGE_RAILTYPE_OHLE]:[TRACK_TYPE_STANDARD_GAUGE_RAILTYPE_NONE]]),FALSE)</f>
        <v>1</v>
      </c>
      <c r="AF492" s="35" t="b">
        <f>IFERROR(OR(TRACK_TYPES[[#This Row],[TRACK_TYPE_NARROW_GAUGE_RAILTYPE_OHLE]:[TRACK_TYPE_NARROW_GAUGE_RAILTYPE_NONE]]),FALSE)</f>
        <v>0</v>
      </c>
      <c r="AG492" s="35" t="b">
        <f>IFERROR(OR(TRACK_TYPES[[#This Row],[TRACK_TYPE_BROAD_GAUGE_RAILTYPE_OHLE]:[TRACK_TYPE_BROAD_GAUGE_RAILTYPE_NONE]]),FALSE)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3118</v>
      </c>
      <c r="B493" s="37" t="str">
        <f>INDEX(CONTROL[ENGLISH],MATCH(PROPERTIES[[#This Row],[VEHIDCODE]],CONTROL[VEHIDCODE],0))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5" t="b">
        <f>IFERROR(OR(TRACK_TYPES[[#This Row],[TRACK_TYPE_STANDARD_GAUGE_RAILTYPE_OHLE]:[TRACK_TYPE_STANDARD_GAUGE_RAILTYPE_NONE]]),FALSE)</f>
        <v>1</v>
      </c>
      <c r="AF493" s="35" t="b">
        <f>IFERROR(OR(TRACK_TYPES[[#This Row],[TRACK_TYPE_NARROW_GAUGE_RAILTYPE_OHLE]:[TRACK_TYPE_NARROW_GAUGE_RAILTYPE_NONE]]),FALSE)</f>
        <v>0</v>
      </c>
      <c r="AG493" s="35" t="b">
        <f>IFERROR(OR(TRACK_TYPES[[#This Row],[TRACK_TYPE_BROAD_GAUGE_RAILTYPE_OHLE]:[TRACK_TYPE_BROAD_GAUGE_RAILTYPE_NONE]]),FALSE)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3119</v>
      </c>
      <c r="B494" s="37" t="str">
        <f>INDEX(CONTROL[ENGLISH],MATCH(PROPERTIES[[#This Row],[VEHIDCODE]],CONTROL[VEHIDCODE],0))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5" t="b">
        <f>IFERROR(OR(TRACK_TYPES[[#This Row],[TRACK_TYPE_STANDARD_GAUGE_RAILTYPE_OHLE]:[TRACK_TYPE_STANDARD_GAUGE_RAILTYPE_NONE]]),FALSE)</f>
        <v>1</v>
      </c>
      <c r="AF494" s="35" t="b">
        <f>IFERROR(OR(TRACK_TYPES[[#This Row],[TRACK_TYPE_NARROW_GAUGE_RAILTYPE_OHLE]:[TRACK_TYPE_NARROW_GAUGE_RAILTYPE_NONE]]),FALSE)</f>
        <v>0</v>
      </c>
      <c r="AG494" s="35" t="b">
        <f>IFERROR(OR(TRACK_TYPES[[#This Row],[TRACK_TYPE_BROAD_GAUGE_RAILTYPE_OHLE]:[TRACK_TYPE_BROAD_GAUGE_RAILTYPE_NONE]]),FALSE)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3120</v>
      </c>
      <c r="B495" s="37" t="str">
        <f>INDEX(CONTROL[ENGLISH],MATCH(PROPERTIES[[#This Row],[VEHIDCODE]],CONTROL[VEHIDCODE],0))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5" t="b">
        <f>IFERROR(OR(TRACK_TYPES[[#This Row],[TRACK_TYPE_STANDARD_GAUGE_RAILTYPE_OHLE]:[TRACK_TYPE_STANDARD_GAUGE_RAILTYPE_NONE]]),FALSE)</f>
        <v>1</v>
      </c>
      <c r="AF495" s="35" t="b">
        <f>IFERROR(OR(TRACK_TYPES[[#This Row],[TRACK_TYPE_NARROW_GAUGE_RAILTYPE_OHLE]:[TRACK_TYPE_NARROW_GAUGE_RAILTYPE_NONE]]),FALSE)</f>
        <v>0</v>
      </c>
      <c r="AG495" s="35" t="b">
        <f>IFERROR(OR(TRACK_TYPES[[#This Row],[TRACK_TYPE_BROAD_GAUGE_RAILTYPE_OHLE]:[TRACK_TYPE_BROAD_GAUGE_RAILTYPE_NONE]]),FALSE)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3121</v>
      </c>
      <c r="B496" s="37" t="str">
        <f>INDEX(CONTROL[ENGLISH],MATCH(PROPERTIES[[#This Row],[VEHIDCODE]],CONTROL[VEHIDCODE],0))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5" t="b">
        <f>IFERROR(OR(TRACK_TYPES[[#This Row],[TRACK_TYPE_STANDARD_GAUGE_RAILTYPE_OHLE]:[TRACK_TYPE_STANDARD_GAUGE_RAILTYPE_NONE]]),FALSE)</f>
        <v>0</v>
      </c>
      <c r="AF496" s="35" t="b">
        <f>IFERROR(OR(TRACK_TYPES[[#This Row],[TRACK_TYPE_NARROW_GAUGE_RAILTYPE_OHLE]:[TRACK_TYPE_NARROW_GAUGE_RAILTYPE_NONE]]),FALSE)</f>
        <v>1</v>
      </c>
      <c r="AG496" s="35" t="b">
        <f>IFERROR(OR(TRACK_TYPES[[#This Row],[TRACK_TYPE_BROAD_GAUGE_RAILTYPE_OHLE]:[TRACK_TYPE_BROAD_GAUGE_RAILTYPE_NONE]]),FALSE)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3122</v>
      </c>
      <c r="B497" s="37" t="str">
        <f>INDEX(CONTROL[ENGLISH],MATCH(PROPERTIES[[#This Row],[VEHIDCODE]],CONTROL[VEHIDCODE],0))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5" t="b">
        <f>IFERROR(OR(TRACK_TYPES[[#This Row],[TRACK_TYPE_STANDARD_GAUGE_RAILTYPE_OHLE]:[TRACK_TYPE_STANDARD_GAUGE_RAILTYPE_NONE]]),FALSE)</f>
        <v>0</v>
      </c>
      <c r="AF497" s="35" t="b">
        <f>IFERROR(OR(TRACK_TYPES[[#This Row],[TRACK_TYPE_NARROW_GAUGE_RAILTYPE_OHLE]:[TRACK_TYPE_NARROW_GAUGE_RAILTYPE_NONE]]),FALSE)</f>
        <v>1</v>
      </c>
      <c r="AG497" s="35" t="b">
        <f>IFERROR(OR(TRACK_TYPES[[#This Row],[TRACK_TYPE_BROAD_GAUGE_RAILTYPE_OHLE]:[TRACK_TYPE_BROAD_GAUGE_RAILTYPE_NONE]]),FALSE)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3123</v>
      </c>
      <c r="B498" s="37" t="str">
        <f>INDEX(CONTROL[ENGLISH],MATCH(PROPERTIES[[#This Row],[VEHIDCODE]],CONTROL[VEHIDCODE],0))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5" t="b">
        <f>IFERROR(OR(TRACK_TYPES[[#This Row],[TRACK_TYPE_STANDARD_GAUGE_RAILTYPE_OHLE]:[TRACK_TYPE_STANDARD_GAUGE_RAILTYPE_NONE]]),FALSE)</f>
        <v>0</v>
      </c>
      <c r="AF498" s="35" t="b">
        <f>IFERROR(OR(TRACK_TYPES[[#This Row],[TRACK_TYPE_NARROW_GAUGE_RAILTYPE_OHLE]:[TRACK_TYPE_NARROW_GAUGE_RAILTYPE_NONE]]),FALSE)</f>
        <v>1</v>
      </c>
      <c r="AG498" s="35" t="b">
        <f>IFERROR(OR(TRACK_TYPES[[#This Row],[TRACK_TYPE_BROAD_GAUGE_RAILTYPE_OHLE]:[TRACK_TYPE_BROAD_GAUGE_RAILTYPE_NONE]]),FALSE)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3124</v>
      </c>
      <c r="B499" s="37" t="str">
        <f>INDEX(CONTROL[ENGLISH],MATCH(PROPERTIES[[#This Row],[VEHIDCODE]],CONTROL[VEHIDCODE],0))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5" t="b">
        <f>IFERROR(OR(TRACK_TYPES[[#This Row],[TRACK_TYPE_STANDARD_GAUGE_RAILTYPE_OHLE]:[TRACK_TYPE_STANDARD_GAUGE_RAILTYPE_NONE]]),FALSE)</f>
        <v>1</v>
      </c>
      <c r="AF499" s="35" t="b">
        <f>IFERROR(OR(TRACK_TYPES[[#This Row],[TRACK_TYPE_NARROW_GAUGE_RAILTYPE_OHLE]:[TRACK_TYPE_NARROW_GAUGE_RAILTYPE_NONE]]),FALSE)</f>
        <v>0</v>
      </c>
      <c r="AG499" s="35" t="b">
        <f>IFERROR(OR(TRACK_TYPES[[#This Row],[TRACK_TYPE_BROAD_GAUGE_RAILTYPE_OHLE]:[TRACK_TYPE_BROAD_GAUGE_RAILTYPE_NONE]]),FALSE)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3125</v>
      </c>
      <c r="B500" s="37" t="str">
        <f>INDEX(CONTROL[ENGLISH],MATCH(PROPERTIES[[#This Row],[VEHIDCODE]],CONTROL[VEHIDCODE],0))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5" t="b">
        <f>IFERROR(OR(TRACK_TYPES[[#This Row],[TRACK_TYPE_STANDARD_GAUGE_RAILTYPE_OHLE]:[TRACK_TYPE_STANDARD_GAUGE_RAILTYPE_NONE]]),FALSE)</f>
        <v>1</v>
      </c>
      <c r="AF500" s="35" t="b">
        <f>IFERROR(OR(TRACK_TYPES[[#This Row],[TRACK_TYPE_NARROW_GAUGE_RAILTYPE_OHLE]:[TRACK_TYPE_NARROW_GAUGE_RAILTYPE_NONE]]),FALSE)</f>
        <v>0</v>
      </c>
      <c r="AG500" s="35" t="b">
        <f>IFERROR(OR(TRACK_TYPES[[#This Row],[TRACK_TYPE_BROAD_GAUGE_RAILTYPE_OHLE]:[TRACK_TYPE_BROAD_GAUGE_RAILTYPE_NONE]]),FALSE)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3126</v>
      </c>
      <c r="B501" s="37" t="str">
        <f>INDEX(CONTROL[ENGLISH],MATCH(PROPERTIES[[#This Row],[VEHIDCODE]],CONTROL[VEHIDCODE],0))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5" t="b">
        <f>IFERROR(OR(TRACK_TYPES[[#This Row],[TRACK_TYPE_STANDARD_GAUGE_RAILTYPE_OHLE]:[TRACK_TYPE_STANDARD_GAUGE_RAILTYPE_NONE]]),FALSE)</f>
        <v>1</v>
      </c>
      <c r="AF501" s="35" t="b">
        <f>IFERROR(OR(TRACK_TYPES[[#This Row],[TRACK_TYPE_NARROW_GAUGE_RAILTYPE_OHLE]:[TRACK_TYPE_NARROW_GAUGE_RAILTYPE_NONE]]),FALSE)</f>
        <v>0</v>
      </c>
      <c r="AG501" s="35" t="b">
        <f>IFERROR(OR(TRACK_TYPES[[#This Row],[TRACK_TYPE_BROAD_GAUGE_RAILTYPE_OHLE]:[TRACK_TYPE_BROAD_GAUGE_RAILTYPE_NONE]]),FALSE)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3127</v>
      </c>
      <c r="B502" s="37" t="str">
        <f>INDEX(CONTROL[ENGLISH],MATCH(PROPERTIES[[#This Row],[VEHIDCODE]],CONTROL[VEHIDCODE],0))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5" t="b">
        <f>IFERROR(OR(TRACK_TYPES[[#This Row],[TRACK_TYPE_STANDARD_GAUGE_RAILTYPE_OHLE]:[TRACK_TYPE_STANDARD_GAUGE_RAILTYPE_NONE]]),FALSE)</f>
        <v>0</v>
      </c>
      <c r="AF502" s="35" t="b">
        <f>IFERROR(OR(TRACK_TYPES[[#This Row],[TRACK_TYPE_NARROW_GAUGE_RAILTYPE_OHLE]:[TRACK_TYPE_NARROW_GAUGE_RAILTYPE_NONE]]),FALSE)</f>
        <v>0</v>
      </c>
      <c r="AG502" s="35" t="b">
        <f>IFERROR(OR(TRACK_TYPES[[#This Row],[TRACK_TYPE_BROAD_GAUGE_RAILTYPE_OHLE]:[TRACK_TYPE_BROAD_GAUGE_RAILTYPE_NONE]]),FALSE)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3128</v>
      </c>
      <c r="B503" s="37" t="str">
        <f>INDEX(CONTROL[ENGLISH],MATCH(PROPERTIES[[#This Row],[VEHIDCODE]],CONTROL[VEHIDCODE],0))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5" t="b">
        <f>IFERROR(OR(TRACK_TYPES[[#This Row],[TRACK_TYPE_STANDARD_GAUGE_RAILTYPE_OHLE]:[TRACK_TYPE_STANDARD_GAUGE_RAILTYPE_NONE]]),FALSE)</f>
        <v>0</v>
      </c>
      <c r="AF503" s="35" t="b">
        <f>IFERROR(OR(TRACK_TYPES[[#This Row],[TRACK_TYPE_NARROW_GAUGE_RAILTYPE_OHLE]:[TRACK_TYPE_NARROW_GAUGE_RAILTYPE_NONE]]),FALSE)</f>
        <v>0</v>
      </c>
      <c r="AG503" s="35" t="b">
        <f>IFERROR(OR(TRACK_TYPES[[#This Row],[TRACK_TYPE_BROAD_GAUGE_RAILTYPE_OHLE]:[TRACK_TYPE_BROAD_GAUGE_RAILTYPE_NONE]]),FALSE)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3129</v>
      </c>
      <c r="B504" s="37" t="str">
        <f>INDEX(CONTROL[ENGLISH],MATCH(PROPERTIES[[#This Row],[VEHIDCODE]],CONTROL[VEHIDCODE],0))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5" t="b">
        <f>IFERROR(OR(TRACK_TYPES[[#This Row],[TRACK_TYPE_STANDARD_GAUGE_RAILTYPE_OHLE]:[TRACK_TYPE_STANDARD_GAUGE_RAILTYPE_NONE]]),FALSE)</f>
        <v>0</v>
      </c>
      <c r="AF504" s="35" t="b">
        <f>IFERROR(OR(TRACK_TYPES[[#This Row],[TRACK_TYPE_NARROW_GAUGE_RAILTYPE_OHLE]:[TRACK_TYPE_NARROW_GAUGE_RAILTYPE_NONE]]),FALSE)</f>
        <v>0</v>
      </c>
      <c r="AG504" s="35" t="b">
        <f>IFERROR(OR(TRACK_TYPES[[#This Row],[TRACK_TYPE_BROAD_GAUGE_RAILTYPE_OHLE]:[TRACK_TYPE_BROAD_GAUGE_RAILTYPE_NONE]]),FALSE)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3130</v>
      </c>
      <c r="B505" s="37" t="str">
        <f>INDEX(CONTROL[ENGLISH],MATCH(PROPERTIES[[#This Row],[VEHIDCODE]],CONTROL[VEHIDCODE],0))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5" t="b">
        <f>IFERROR(OR(TRACK_TYPES[[#This Row],[TRACK_TYPE_STANDARD_GAUGE_RAILTYPE_OHLE]:[TRACK_TYPE_STANDARD_GAUGE_RAILTYPE_NONE]]),FALSE)</f>
        <v>1</v>
      </c>
      <c r="AF505" s="35" t="b">
        <f>IFERROR(OR(TRACK_TYPES[[#This Row],[TRACK_TYPE_NARROW_GAUGE_RAILTYPE_OHLE]:[TRACK_TYPE_NARROW_GAUGE_RAILTYPE_NONE]]),FALSE)</f>
        <v>0</v>
      </c>
      <c r="AG505" s="35" t="b">
        <f>IFERROR(OR(TRACK_TYPES[[#This Row],[TRACK_TYPE_BROAD_GAUGE_RAILTYPE_OHLE]:[TRACK_TYPE_BROAD_GAUGE_RAILTYPE_NONE]]),FALSE)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3131</v>
      </c>
      <c r="B506" s="37" t="str">
        <f>INDEX(CONTROL[ENGLISH],MATCH(PROPERTIES[[#This Row],[VEHIDCODE]],CONTROL[VEHIDCODE],0))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5" t="b">
        <f>IFERROR(OR(TRACK_TYPES[[#This Row],[TRACK_TYPE_STANDARD_GAUGE_RAILTYPE_OHLE]:[TRACK_TYPE_STANDARD_GAUGE_RAILTYPE_NONE]]),FALSE)</f>
        <v>1</v>
      </c>
      <c r="AF506" s="35" t="b">
        <f>IFERROR(OR(TRACK_TYPES[[#This Row],[TRACK_TYPE_NARROW_GAUGE_RAILTYPE_OHLE]:[TRACK_TYPE_NARROW_GAUGE_RAILTYPE_NONE]]),FALSE)</f>
        <v>0</v>
      </c>
      <c r="AG506" s="35" t="b">
        <f>IFERROR(OR(TRACK_TYPES[[#This Row],[TRACK_TYPE_BROAD_GAUGE_RAILTYPE_OHLE]:[TRACK_TYPE_BROAD_GAUGE_RAILTYPE_NONE]]),FALSE)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3132</v>
      </c>
      <c r="B507" s="37" t="str">
        <f>INDEX(CONTROL[ENGLISH],MATCH(PROPERTIES[[#This Row],[VEHIDCODE]],CONTROL[VEHIDCODE],0))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5" t="b">
        <f>IFERROR(OR(TRACK_TYPES[[#This Row],[TRACK_TYPE_STANDARD_GAUGE_RAILTYPE_OHLE]:[TRACK_TYPE_STANDARD_GAUGE_RAILTYPE_NONE]]),FALSE)</f>
        <v>1</v>
      </c>
      <c r="AF507" s="35" t="b">
        <f>IFERROR(OR(TRACK_TYPES[[#This Row],[TRACK_TYPE_NARROW_GAUGE_RAILTYPE_OHLE]:[TRACK_TYPE_NARROW_GAUGE_RAILTYPE_NONE]]),FALSE)</f>
        <v>0</v>
      </c>
      <c r="AG507" s="35" t="b">
        <f>IFERROR(OR(TRACK_TYPES[[#This Row],[TRACK_TYPE_BROAD_GAUGE_RAILTYPE_OHLE]:[TRACK_TYPE_BROAD_GAUGE_RAILTYPE_NONE]]),FALSE)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3133</v>
      </c>
      <c r="B508" s="37" t="str">
        <f>INDEX(CONTROL[ENGLISH],MATCH(PROPERTIES[[#This Row],[VEHIDCODE]],CONTROL[VEHIDCODE],0))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5" t="b">
        <f>IFERROR(OR(TRACK_TYPES[[#This Row],[TRACK_TYPE_STANDARD_GAUGE_RAILTYPE_OHLE]:[TRACK_TYPE_STANDARD_GAUGE_RAILTYPE_NONE]]),FALSE)</f>
        <v>1</v>
      </c>
      <c r="AF508" s="35" t="b">
        <f>IFERROR(OR(TRACK_TYPES[[#This Row],[TRACK_TYPE_NARROW_GAUGE_RAILTYPE_OHLE]:[TRACK_TYPE_NARROW_GAUGE_RAILTYPE_NONE]]),FALSE)</f>
        <v>0</v>
      </c>
      <c r="AG508" s="35" t="b">
        <f>IFERROR(OR(TRACK_TYPES[[#This Row],[TRACK_TYPE_BROAD_GAUGE_RAILTYPE_OHLE]:[TRACK_TYPE_BROAD_GAUGE_RAILTYPE_NONE]]),FALSE)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3134</v>
      </c>
      <c r="B509" s="37" t="str">
        <f>INDEX(CONTROL[ENGLISH],MATCH(PROPERTIES[[#This Row],[VEHIDCODE]],CONTROL[VEHIDCODE],0))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5" t="b">
        <f>IFERROR(OR(TRACK_TYPES[[#This Row],[TRACK_TYPE_STANDARD_GAUGE_RAILTYPE_OHLE]:[TRACK_TYPE_STANDARD_GAUGE_RAILTYPE_NONE]]),FALSE)</f>
        <v>1</v>
      </c>
      <c r="AF509" s="35" t="b">
        <f>IFERROR(OR(TRACK_TYPES[[#This Row],[TRACK_TYPE_NARROW_GAUGE_RAILTYPE_OHLE]:[TRACK_TYPE_NARROW_GAUGE_RAILTYPE_NONE]]),FALSE)</f>
        <v>0</v>
      </c>
      <c r="AG509" s="35" t="b">
        <f>IFERROR(OR(TRACK_TYPES[[#This Row],[TRACK_TYPE_BROAD_GAUGE_RAILTYPE_OHLE]:[TRACK_TYPE_BROAD_GAUGE_RAILTYPE_NONE]]),FALSE)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3135</v>
      </c>
      <c r="B510" s="37" t="str">
        <f>INDEX(CONTROL[ENGLISH],MATCH(PROPERTIES[[#This Row],[VEHIDCODE]],CONTROL[VEHIDCODE],0))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5" t="b">
        <f>IFERROR(OR(TRACK_TYPES[[#This Row],[TRACK_TYPE_STANDARD_GAUGE_RAILTYPE_OHLE]:[TRACK_TYPE_STANDARD_GAUGE_RAILTYPE_NONE]]),FALSE)</f>
        <v>1</v>
      </c>
      <c r="AF510" s="35" t="b">
        <f>IFERROR(OR(TRACK_TYPES[[#This Row],[TRACK_TYPE_NARROW_GAUGE_RAILTYPE_OHLE]:[TRACK_TYPE_NARROW_GAUGE_RAILTYPE_NONE]]),FALSE)</f>
        <v>0</v>
      </c>
      <c r="AG510" s="35" t="b">
        <f>IFERROR(OR(TRACK_TYPES[[#This Row],[TRACK_TYPE_BROAD_GAUGE_RAILTYPE_OHLE]:[TRACK_TYPE_BROAD_GAUGE_RAILTYPE_NONE]]),FALSE)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3136</v>
      </c>
      <c r="B511" s="37" t="str">
        <f>INDEX(CONTROL[ENGLISH],MATCH(PROPERTIES[[#This Row],[VEHIDCODE]],CONTROL[VEHIDCODE],0))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5" t="b">
        <f>IFERROR(OR(TRACK_TYPES[[#This Row],[TRACK_TYPE_STANDARD_GAUGE_RAILTYPE_OHLE]:[TRACK_TYPE_STANDARD_GAUGE_RAILTYPE_NONE]]),FALSE)</f>
        <v>1</v>
      </c>
      <c r="AF511" s="35" t="b">
        <f>IFERROR(OR(TRACK_TYPES[[#This Row],[TRACK_TYPE_NARROW_GAUGE_RAILTYPE_OHLE]:[TRACK_TYPE_NARROW_GAUGE_RAILTYPE_NONE]]),FALSE)</f>
        <v>0</v>
      </c>
      <c r="AG511" s="35" t="b">
        <f>IFERROR(OR(TRACK_TYPES[[#This Row],[TRACK_TYPE_BROAD_GAUGE_RAILTYPE_OHLE]:[TRACK_TYPE_BROAD_GAUGE_RAILTYPE_NONE]]),FALSE)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3137</v>
      </c>
      <c r="B512" s="37" t="str">
        <f>INDEX(CONTROL[ENGLISH],MATCH(PROPERTIES[[#This Row],[VEHIDCODE]],CONTROL[VEHIDCODE],0))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5" t="b">
        <f>IFERROR(OR(TRACK_TYPES[[#This Row],[TRACK_TYPE_STANDARD_GAUGE_RAILTYPE_OHLE]:[TRACK_TYPE_STANDARD_GAUGE_RAILTYPE_NONE]]),FALSE)</f>
        <v>1</v>
      </c>
      <c r="AF512" s="35" t="b">
        <f>IFERROR(OR(TRACK_TYPES[[#This Row],[TRACK_TYPE_NARROW_GAUGE_RAILTYPE_OHLE]:[TRACK_TYPE_NARROW_GAUGE_RAILTYPE_NONE]]),FALSE)</f>
        <v>0</v>
      </c>
      <c r="AG512" s="35" t="b">
        <f>IFERROR(OR(TRACK_TYPES[[#This Row],[TRACK_TYPE_BROAD_GAUGE_RAILTYPE_OHLE]:[TRACK_TYPE_BROAD_GAUGE_RAILTYPE_NONE]]),FALSE)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3138</v>
      </c>
      <c r="B513" s="37" t="str">
        <f>INDEX(CONTROL[ENGLISH],MATCH(PROPERTIES[[#This Row],[VEHIDCODE]],CONTROL[VEHIDCODE],0))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5" t="b">
        <f>IFERROR(OR(TRACK_TYPES[[#This Row],[TRACK_TYPE_STANDARD_GAUGE_RAILTYPE_OHLE]:[TRACK_TYPE_STANDARD_GAUGE_RAILTYPE_NONE]]),FALSE)</f>
        <v>1</v>
      </c>
      <c r="AF513" s="35" t="b">
        <f>IFERROR(OR(TRACK_TYPES[[#This Row],[TRACK_TYPE_NARROW_GAUGE_RAILTYPE_OHLE]:[TRACK_TYPE_NARROW_GAUGE_RAILTYPE_NONE]]),FALSE)</f>
        <v>0</v>
      </c>
      <c r="AG513" s="35" t="b">
        <f>IFERROR(OR(TRACK_TYPES[[#This Row],[TRACK_TYPE_BROAD_GAUGE_RAILTYPE_OHLE]:[TRACK_TYPE_BROAD_GAUGE_RAILTYPE_NONE]]),FALSE)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3139</v>
      </c>
      <c r="B514" s="37" t="str">
        <f>INDEX(CONTROL[ENGLISH],MATCH(PROPERTIES[[#This Row],[VEHIDCODE]],CONTROL[VEHIDCODE],0))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5" t="b">
        <f>IFERROR(OR(TRACK_TYPES[[#This Row],[TRACK_TYPE_STANDARD_GAUGE_RAILTYPE_OHLE]:[TRACK_TYPE_STANDARD_GAUGE_RAILTYPE_NONE]]),FALSE)</f>
        <v>1</v>
      </c>
      <c r="AF514" s="35" t="b">
        <f>IFERROR(OR(TRACK_TYPES[[#This Row],[TRACK_TYPE_NARROW_GAUGE_RAILTYPE_OHLE]:[TRACK_TYPE_NARROW_GAUGE_RAILTYPE_NONE]]),FALSE)</f>
        <v>0</v>
      </c>
      <c r="AG514" s="35" t="b">
        <f>IFERROR(OR(TRACK_TYPES[[#This Row],[TRACK_TYPE_BROAD_GAUGE_RAILTYPE_OHLE]:[TRACK_TYPE_BROAD_GAUGE_RAILTYPE_NONE]]),FALSE)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3140</v>
      </c>
      <c r="B515" s="37" t="str">
        <f>INDEX(CONTROL[ENGLISH],MATCH(PROPERTIES[[#This Row],[VEHIDCODE]],CONTROL[VEHIDCODE],0))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5" t="b">
        <f>IFERROR(OR(TRACK_TYPES[[#This Row],[TRACK_TYPE_STANDARD_GAUGE_RAILTYPE_OHLE]:[TRACK_TYPE_STANDARD_GAUGE_RAILTYPE_NONE]]),FALSE)</f>
        <v>1</v>
      </c>
      <c r="AF515" s="35" t="b">
        <f>IFERROR(OR(TRACK_TYPES[[#This Row],[TRACK_TYPE_NARROW_GAUGE_RAILTYPE_OHLE]:[TRACK_TYPE_NARROW_GAUGE_RAILTYPE_NONE]]),FALSE)</f>
        <v>0</v>
      </c>
      <c r="AG515" s="35" t="b">
        <f>IFERROR(OR(TRACK_TYPES[[#This Row],[TRACK_TYPE_BROAD_GAUGE_RAILTYPE_OHLE]:[TRACK_TYPE_BROAD_GAUGE_RAILTYPE_NONE]]),FALSE)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3141</v>
      </c>
      <c r="B516" s="37" t="str">
        <f>INDEX(CONTROL[ENGLISH],MATCH(PROPERTIES[[#This Row],[VEHIDCODE]],CONTROL[VEHIDCODE],0))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5" t="b">
        <f>IFERROR(OR(TRACK_TYPES[[#This Row],[TRACK_TYPE_STANDARD_GAUGE_RAILTYPE_OHLE]:[TRACK_TYPE_STANDARD_GAUGE_RAILTYPE_NONE]]),FALSE)</f>
        <v>1</v>
      </c>
      <c r="AF516" s="35" t="b">
        <f>IFERROR(OR(TRACK_TYPES[[#This Row],[TRACK_TYPE_NARROW_GAUGE_RAILTYPE_OHLE]:[TRACK_TYPE_NARROW_GAUGE_RAILTYPE_NONE]]),FALSE)</f>
        <v>0</v>
      </c>
      <c r="AG516" s="35" t="b">
        <f>IFERROR(OR(TRACK_TYPES[[#This Row],[TRACK_TYPE_BROAD_GAUGE_RAILTYPE_OHLE]:[TRACK_TYPE_BROAD_GAUGE_RAILTYPE_NONE]]),FALSE)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3142</v>
      </c>
      <c r="B517" s="37" t="str">
        <f>INDEX(CONTROL[ENGLISH],MATCH(PROPERTIES[[#This Row],[VEHIDCODE]],CONTROL[VEHIDCODE],0))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5" t="b">
        <f>IFERROR(OR(TRACK_TYPES[[#This Row],[TRACK_TYPE_STANDARD_GAUGE_RAILTYPE_OHLE]:[TRACK_TYPE_STANDARD_GAUGE_RAILTYPE_NONE]]),FALSE)</f>
        <v>1</v>
      </c>
      <c r="AF517" s="35" t="b">
        <f>IFERROR(OR(TRACK_TYPES[[#This Row],[TRACK_TYPE_NARROW_GAUGE_RAILTYPE_OHLE]:[TRACK_TYPE_NARROW_GAUGE_RAILTYPE_NONE]]),FALSE)</f>
        <v>0</v>
      </c>
      <c r="AG517" s="35" t="b">
        <f>IFERROR(OR(TRACK_TYPES[[#This Row],[TRACK_TYPE_BROAD_GAUGE_RAILTYPE_OHLE]:[TRACK_TYPE_BROAD_GAUGE_RAILTYPE_NONE]]),FALSE)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3143</v>
      </c>
      <c r="B518" s="37" t="str">
        <f>INDEX(CONTROL[ENGLISH],MATCH(PROPERTIES[[#This Row],[VEHIDCODE]],CONTROL[VEHIDCODE],0))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5" t="b">
        <f>IFERROR(OR(TRACK_TYPES[[#This Row],[TRACK_TYPE_STANDARD_GAUGE_RAILTYPE_OHLE]:[TRACK_TYPE_STANDARD_GAUGE_RAILTYPE_NONE]]),FALSE)</f>
        <v>1</v>
      </c>
      <c r="AF518" s="35" t="b">
        <f>IFERROR(OR(TRACK_TYPES[[#This Row],[TRACK_TYPE_NARROW_GAUGE_RAILTYPE_OHLE]:[TRACK_TYPE_NARROW_GAUGE_RAILTYPE_NONE]]),FALSE)</f>
        <v>0</v>
      </c>
      <c r="AG518" s="35" t="b">
        <f>IFERROR(OR(TRACK_TYPES[[#This Row],[TRACK_TYPE_BROAD_GAUGE_RAILTYPE_OHLE]:[TRACK_TYPE_BROAD_GAUGE_RAILTYPE_NONE]]),FALSE)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3144</v>
      </c>
      <c r="B519" s="37" t="str">
        <f>INDEX(CONTROL[ENGLISH],MATCH(PROPERTIES[[#This Row],[VEHIDCODE]],CONTROL[VEHIDCODE],0))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5" t="b">
        <f>IFERROR(OR(TRACK_TYPES[[#This Row],[TRACK_TYPE_STANDARD_GAUGE_RAILTYPE_OHLE]:[TRACK_TYPE_STANDARD_GAUGE_RAILTYPE_NONE]]),FALSE)</f>
        <v>1</v>
      </c>
      <c r="AF519" s="35" t="b">
        <f>IFERROR(OR(TRACK_TYPES[[#This Row],[TRACK_TYPE_NARROW_GAUGE_RAILTYPE_OHLE]:[TRACK_TYPE_NARROW_GAUGE_RAILTYPE_NONE]]),FALSE)</f>
        <v>0</v>
      </c>
      <c r="AG519" s="35" t="b">
        <f>IFERROR(OR(TRACK_TYPES[[#This Row],[TRACK_TYPE_BROAD_GAUGE_RAILTYPE_OHLE]:[TRACK_TYPE_BROAD_GAUGE_RAILTYPE_NONE]]),FALSE)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3145</v>
      </c>
      <c r="B520" s="37" t="str">
        <f>INDEX(CONTROL[ENGLISH],MATCH(PROPERTIES[[#This Row],[VEHIDCODE]],CONTROL[VEHIDCODE],0))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5" t="b">
        <f>IFERROR(OR(TRACK_TYPES[[#This Row],[TRACK_TYPE_STANDARD_GAUGE_RAILTYPE_OHLE]:[TRACK_TYPE_STANDARD_GAUGE_RAILTYPE_NONE]]),FALSE)</f>
        <v>1</v>
      </c>
      <c r="AF520" s="35" t="b">
        <f>IFERROR(OR(TRACK_TYPES[[#This Row],[TRACK_TYPE_NARROW_GAUGE_RAILTYPE_OHLE]:[TRACK_TYPE_NARROW_GAUGE_RAILTYPE_NONE]]),FALSE)</f>
        <v>0</v>
      </c>
      <c r="AG520" s="35" t="b">
        <f>IFERROR(OR(TRACK_TYPES[[#This Row],[TRACK_TYPE_BROAD_GAUGE_RAILTYPE_OHLE]:[TRACK_TYPE_BROAD_GAUGE_RAILTYPE_NONE]]),FALSE)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3146</v>
      </c>
      <c r="B521" s="37" t="str">
        <f>INDEX(CONTROL[ENGLISH],MATCH(PROPERTIES[[#This Row],[VEHIDCODE]],CONTROL[VEHIDCODE],0))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5" t="b">
        <f>IFERROR(OR(TRACK_TYPES[[#This Row],[TRACK_TYPE_STANDARD_GAUGE_RAILTYPE_OHLE]:[TRACK_TYPE_STANDARD_GAUGE_RAILTYPE_NONE]]),FALSE)</f>
        <v>1</v>
      </c>
      <c r="AF521" s="35" t="b">
        <f>IFERROR(OR(TRACK_TYPES[[#This Row],[TRACK_TYPE_NARROW_GAUGE_RAILTYPE_OHLE]:[TRACK_TYPE_NARROW_GAUGE_RAILTYPE_NONE]]),FALSE)</f>
        <v>0</v>
      </c>
      <c r="AG521" s="35" t="b">
        <f>IFERROR(OR(TRACK_TYPES[[#This Row],[TRACK_TYPE_BROAD_GAUGE_RAILTYPE_OHLE]:[TRACK_TYPE_BROAD_GAUGE_RAILTYPE_NONE]]),FALSE)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3147</v>
      </c>
      <c r="B522" s="37" t="str">
        <f>INDEX(CONTROL[ENGLISH],MATCH(PROPERTIES[[#This Row],[VEHIDCODE]],CONTROL[VEHIDCODE],0))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5" t="b">
        <f>IFERROR(OR(TRACK_TYPES[[#This Row],[TRACK_TYPE_STANDARD_GAUGE_RAILTYPE_OHLE]:[TRACK_TYPE_STANDARD_GAUGE_RAILTYPE_NONE]]),FALSE)</f>
        <v>1</v>
      </c>
      <c r="AF522" s="35" t="b">
        <f>IFERROR(OR(TRACK_TYPES[[#This Row],[TRACK_TYPE_NARROW_GAUGE_RAILTYPE_OHLE]:[TRACK_TYPE_NARROW_GAUGE_RAILTYPE_NONE]]),FALSE)</f>
        <v>0</v>
      </c>
      <c r="AG522" s="35" t="b">
        <f>IFERROR(OR(TRACK_TYPES[[#This Row],[TRACK_TYPE_BROAD_GAUGE_RAILTYPE_OHLE]:[TRACK_TYPE_BROAD_GAUGE_RAILTYPE_NONE]]),FALSE)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3148</v>
      </c>
      <c r="B523" s="37" t="str">
        <f>INDEX(CONTROL[ENGLISH],MATCH(PROPERTIES[[#This Row],[VEHIDCODE]],CONTROL[VEHIDCODE],0))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5" t="b">
        <f>IFERROR(OR(TRACK_TYPES[[#This Row],[TRACK_TYPE_STANDARD_GAUGE_RAILTYPE_OHLE]:[TRACK_TYPE_STANDARD_GAUGE_RAILTYPE_NONE]]),FALSE)</f>
        <v>1</v>
      </c>
      <c r="AF523" s="35" t="b">
        <f>IFERROR(OR(TRACK_TYPES[[#This Row],[TRACK_TYPE_NARROW_GAUGE_RAILTYPE_OHLE]:[TRACK_TYPE_NARROW_GAUGE_RAILTYPE_NONE]]),FALSE)</f>
        <v>0</v>
      </c>
      <c r="AG523" s="35" t="b">
        <f>IFERROR(OR(TRACK_TYPES[[#This Row],[TRACK_TYPE_BROAD_GAUGE_RAILTYPE_OHLE]:[TRACK_TYPE_BROAD_GAUGE_RAILTYPE_NONE]]),FALSE)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3149</v>
      </c>
      <c r="B524" s="37" t="str">
        <f>INDEX(CONTROL[ENGLISH],MATCH(PROPERTIES[[#This Row],[VEHIDCODE]],CONTROL[VEHIDCODE],0))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5" t="b">
        <f>IFERROR(OR(TRACK_TYPES[[#This Row],[TRACK_TYPE_STANDARD_GAUGE_RAILTYPE_OHLE]:[TRACK_TYPE_STANDARD_GAUGE_RAILTYPE_NONE]]),FALSE)</f>
        <v>1</v>
      </c>
      <c r="AF524" s="35" t="b">
        <f>IFERROR(OR(TRACK_TYPES[[#This Row],[TRACK_TYPE_NARROW_GAUGE_RAILTYPE_OHLE]:[TRACK_TYPE_NARROW_GAUGE_RAILTYPE_NONE]]),FALSE)</f>
        <v>0</v>
      </c>
      <c r="AG524" s="35" t="b">
        <f>IFERROR(OR(TRACK_TYPES[[#This Row],[TRACK_TYPE_BROAD_GAUGE_RAILTYPE_OHLE]:[TRACK_TYPE_BROAD_GAUGE_RAILTYPE_NONE]]),FALSE)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3150</v>
      </c>
      <c r="B525" s="37" t="str">
        <f>INDEX(CONTROL[ENGLISH],MATCH(PROPERTIES[[#This Row],[VEHIDCODE]],CONTROL[VEHIDCODE],0))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5" t="b">
        <f>IFERROR(OR(TRACK_TYPES[[#This Row],[TRACK_TYPE_STANDARD_GAUGE_RAILTYPE_OHLE]:[TRACK_TYPE_STANDARD_GAUGE_RAILTYPE_NONE]]),FALSE)</f>
        <v>1</v>
      </c>
      <c r="AF525" s="35" t="b">
        <f>IFERROR(OR(TRACK_TYPES[[#This Row],[TRACK_TYPE_NARROW_GAUGE_RAILTYPE_OHLE]:[TRACK_TYPE_NARROW_GAUGE_RAILTYPE_NONE]]),FALSE)</f>
        <v>0</v>
      </c>
      <c r="AG525" s="35" t="b">
        <f>IFERROR(OR(TRACK_TYPES[[#This Row],[TRACK_TYPE_BROAD_GAUGE_RAILTYPE_OHLE]:[TRACK_TYPE_BROAD_GAUGE_RAILTYPE_NONE]]),FALSE)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3151</v>
      </c>
      <c r="B526" s="37" t="str">
        <f>INDEX(CONTROL[ENGLISH],MATCH(PROPERTIES[[#This Row],[VEHIDCODE]],CONTROL[VEHIDCODE],0))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5" t="b">
        <f>IFERROR(OR(TRACK_TYPES[[#This Row],[TRACK_TYPE_STANDARD_GAUGE_RAILTYPE_OHLE]:[TRACK_TYPE_STANDARD_GAUGE_RAILTYPE_NONE]]),FALSE)</f>
        <v>1</v>
      </c>
      <c r="AF526" s="35" t="b">
        <f>IFERROR(OR(TRACK_TYPES[[#This Row],[TRACK_TYPE_NARROW_GAUGE_RAILTYPE_OHLE]:[TRACK_TYPE_NARROW_GAUGE_RAILTYPE_NONE]]),FALSE)</f>
        <v>0</v>
      </c>
      <c r="AG526" s="35" t="b">
        <f>IFERROR(OR(TRACK_TYPES[[#This Row],[TRACK_TYPE_BROAD_GAUGE_RAILTYPE_OHLE]:[TRACK_TYPE_BROAD_GAUGE_RAILTYPE_NONE]]),FALSE)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3152</v>
      </c>
      <c r="B527" s="37" t="str">
        <f>INDEX(CONTROL[ENGLISH],MATCH(PROPERTIES[[#This Row],[VEHIDCODE]],CONTROL[VEHIDCODE],0))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5" t="b">
        <f>IFERROR(OR(TRACK_TYPES[[#This Row],[TRACK_TYPE_STANDARD_GAUGE_RAILTYPE_OHLE]:[TRACK_TYPE_STANDARD_GAUGE_RAILTYPE_NONE]]),FALSE)</f>
        <v>1</v>
      </c>
      <c r="AF527" s="35" t="b">
        <f>IFERROR(OR(TRACK_TYPES[[#This Row],[TRACK_TYPE_NARROW_GAUGE_RAILTYPE_OHLE]:[TRACK_TYPE_NARROW_GAUGE_RAILTYPE_NONE]]),FALSE)</f>
        <v>0</v>
      </c>
      <c r="AG527" s="35" t="b">
        <f>IFERROR(OR(TRACK_TYPES[[#This Row],[TRACK_TYPE_BROAD_GAUGE_RAILTYPE_OHLE]:[TRACK_TYPE_BROAD_GAUGE_RAILTYPE_NONE]]),FALSE)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3153</v>
      </c>
      <c r="B528" s="37" t="str">
        <f>INDEX(CONTROL[ENGLISH],MATCH(PROPERTIES[[#This Row],[VEHIDCODE]],CONTROL[VEHIDCODE],0))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5" t="b">
        <f>IFERROR(OR(TRACK_TYPES[[#This Row],[TRACK_TYPE_STANDARD_GAUGE_RAILTYPE_OHLE]:[TRACK_TYPE_STANDARD_GAUGE_RAILTYPE_NONE]]),FALSE)</f>
        <v>1</v>
      </c>
      <c r="AF528" s="35" t="b">
        <f>IFERROR(OR(TRACK_TYPES[[#This Row],[TRACK_TYPE_NARROW_GAUGE_RAILTYPE_OHLE]:[TRACK_TYPE_NARROW_GAUGE_RAILTYPE_NONE]]),FALSE)</f>
        <v>0</v>
      </c>
      <c r="AG528" s="35" t="b">
        <f>IFERROR(OR(TRACK_TYPES[[#This Row],[TRACK_TYPE_BROAD_GAUGE_RAILTYPE_OHLE]:[TRACK_TYPE_BROAD_GAUGE_RAILTYPE_NONE]]),FALSE)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3154</v>
      </c>
      <c r="B529" s="37" t="str">
        <f>INDEX(CONTROL[ENGLISH],MATCH(PROPERTIES[[#This Row],[VEHIDCODE]],CONTROL[VEHIDCODE],0))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5" t="b">
        <f>IFERROR(OR(TRACK_TYPES[[#This Row],[TRACK_TYPE_STANDARD_GAUGE_RAILTYPE_OHLE]:[TRACK_TYPE_STANDARD_GAUGE_RAILTYPE_NONE]]),FALSE)</f>
        <v>1</v>
      </c>
      <c r="AF529" s="35" t="b">
        <f>IFERROR(OR(TRACK_TYPES[[#This Row],[TRACK_TYPE_NARROW_GAUGE_RAILTYPE_OHLE]:[TRACK_TYPE_NARROW_GAUGE_RAILTYPE_NONE]]),FALSE)</f>
        <v>0</v>
      </c>
      <c r="AG529" s="35" t="b">
        <f>IFERROR(OR(TRACK_TYPES[[#This Row],[TRACK_TYPE_BROAD_GAUGE_RAILTYPE_OHLE]:[TRACK_TYPE_BROAD_GAUGE_RAILTYPE_NONE]]),FALSE)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3155</v>
      </c>
      <c r="B530" s="37" t="str">
        <f>INDEX(CONTROL[ENGLISH],MATCH(PROPERTIES[[#This Row],[VEHIDCODE]],CONTROL[VEHIDCODE],0))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5" t="b">
        <f>IFERROR(OR(TRACK_TYPES[[#This Row],[TRACK_TYPE_STANDARD_GAUGE_RAILTYPE_OHLE]:[TRACK_TYPE_STANDARD_GAUGE_RAILTYPE_NONE]]),FALSE)</f>
        <v>1</v>
      </c>
      <c r="AF530" s="35" t="b">
        <f>IFERROR(OR(TRACK_TYPES[[#This Row],[TRACK_TYPE_NARROW_GAUGE_RAILTYPE_OHLE]:[TRACK_TYPE_NARROW_GAUGE_RAILTYPE_NONE]]),FALSE)</f>
        <v>0</v>
      </c>
      <c r="AG530" s="35" t="b">
        <f>IFERROR(OR(TRACK_TYPES[[#This Row],[TRACK_TYPE_BROAD_GAUGE_RAILTYPE_OHLE]:[TRACK_TYPE_BROAD_GAUGE_RAILTYPE_NONE]]),FALSE)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3156</v>
      </c>
      <c r="B531" s="37" t="str">
        <f>INDEX(CONTROL[ENGLISH],MATCH(PROPERTIES[[#This Row],[VEHIDCODE]],CONTROL[VEHIDCODE],0))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5" t="b">
        <f>IFERROR(OR(TRACK_TYPES[[#This Row],[TRACK_TYPE_STANDARD_GAUGE_RAILTYPE_OHLE]:[TRACK_TYPE_STANDARD_GAUGE_RAILTYPE_NONE]]),FALSE)</f>
        <v>1</v>
      </c>
      <c r="AF531" s="35" t="b">
        <f>IFERROR(OR(TRACK_TYPES[[#This Row],[TRACK_TYPE_NARROW_GAUGE_RAILTYPE_OHLE]:[TRACK_TYPE_NARROW_GAUGE_RAILTYPE_NONE]]),FALSE)</f>
        <v>0</v>
      </c>
      <c r="AG531" s="35" t="b">
        <f>IFERROR(OR(TRACK_TYPES[[#This Row],[TRACK_TYPE_BROAD_GAUGE_RAILTYPE_OHLE]:[TRACK_TYPE_BROAD_GAUGE_RAILTYPE_NONE]]),FALSE)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3157</v>
      </c>
      <c r="B532" s="37" t="str">
        <f>INDEX(CONTROL[ENGLISH],MATCH(PROPERTIES[[#This Row],[VEHIDCODE]],CONTROL[VEHIDCODE],0))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5" t="b">
        <f>IFERROR(OR(TRACK_TYPES[[#This Row],[TRACK_TYPE_STANDARD_GAUGE_RAILTYPE_OHLE]:[TRACK_TYPE_STANDARD_GAUGE_RAILTYPE_NONE]]),FALSE)</f>
        <v>1</v>
      </c>
      <c r="AF532" s="35" t="b">
        <f>IFERROR(OR(TRACK_TYPES[[#This Row],[TRACK_TYPE_NARROW_GAUGE_RAILTYPE_OHLE]:[TRACK_TYPE_NARROW_GAUGE_RAILTYPE_NONE]]),FALSE)</f>
        <v>0</v>
      </c>
      <c r="AG532" s="35" t="b">
        <f>IFERROR(OR(TRACK_TYPES[[#This Row],[TRACK_TYPE_BROAD_GAUGE_RAILTYPE_OHLE]:[TRACK_TYPE_BROAD_GAUGE_RAILTYPE_NONE]]),FALSE)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3158</v>
      </c>
      <c r="B533" s="37" t="str">
        <f>INDEX(CONTROL[ENGLISH],MATCH(PROPERTIES[[#This Row],[VEHIDCODE]],CONTROL[VEHIDCODE],0))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5" t="b">
        <f>IFERROR(OR(TRACK_TYPES[[#This Row],[TRACK_TYPE_STANDARD_GAUGE_RAILTYPE_OHLE]:[TRACK_TYPE_STANDARD_GAUGE_RAILTYPE_NONE]]),FALSE)</f>
        <v>1</v>
      </c>
      <c r="AF533" s="35" t="b">
        <f>IFERROR(OR(TRACK_TYPES[[#This Row],[TRACK_TYPE_NARROW_GAUGE_RAILTYPE_OHLE]:[TRACK_TYPE_NARROW_GAUGE_RAILTYPE_NONE]]),FALSE)</f>
        <v>0</v>
      </c>
      <c r="AG533" s="35" t="b">
        <f>IFERROR(OR(TRACK_TYPES[[#This Row],[TRACK_TYPE_BROAD_GAUGE_RAILTYPE_OHLE]:[TRACK_TYPE_BROAD_GAUGE_RAILTYPE_NONE]]),FALSE)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3159</v>
      </c>
      <c r="B534" s="37" t="str">
        <f>INDEX(CONTROL[ENGLISH],MATCH(PROPERTIES[[#This Row],[VEHIDCODE]],CONTROL[VEHIDCODE],0))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5" t="b">
        <f>IFERROR(OR(TRACK_TYPES[[#This Row],[TRACK_TYPE_STANDARD_GAUGE_RAILTYPE_OHLE]:[TRACK_TYPE_STANDARD_GAUGE_RAILTYPE_NONE]]),FALSE)</f>
        <v>1</v>
      </c>
      <c r="AF534" s="35" t="b">
        <f>IFERROR(OR(TRACK_TYPES[[#This Row],[TRACK_TYPE_NARROW_GAUGE_RAILTYPE_OHLE]:[TRACK_TYPE_NARROW_GAUGE_RAILTYPE_NONE]]),FALSE)</f>
        <v>0</v>
      </c>
      <c r="AG534" s="35" t="b">
        <f>IFERROR(OR(TRACK_TYPES[[#This Row],[TRACK_TYPE_BROAD_GAUGE_RAILTYPE_OHLE]:[TRACK_TYPE_BROAD_GAUGE_RAILTYPE_NONE]]),FALSE)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3160</v>
      </c>
      <c r="B535" s="37" t="str">
        <f>INDEX(CONTROL[ENGLISH],MATCH(PROPERTIES[[#This Row],[VEHIDCODE]],CONTROL[VEHIDCODE],0))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5" t="b">
        <f>IFERROR(OR(TRACK_TYPES[[#This Row],[TRACK_TYPE_STANDARD_GAUGE_RAILTYPE_OHLE]:[TRACK_TYPE_STANDARD_GAUGE_RAILTYPE_NONE]]),FALSE)</f>
        <v>1</v>
      </c>
      <c r="AF535" s="35" t="b">
        <f>IFERROR(OR(TRACK_TYPES[[#This Row],[TRACK_TYPE_NARROW_GAUGE_RAILTYPE_OHLE]:[TRACK_TYPE_NARROW_GAUGE_RAILTYPE_NONE]]),FALSE)</f>
        <v>0</v>
      </c>
      <c r="AG535" s="35" t="b">
        <f>IFERROR(OR(TRACK_TYPES[[#This Row],[TRACK_TYPE_BROAD_GAUGE_RAILTYPE_OHLE]:[TRACK_TYPE_BROAD_GAUGE_RAILTYPE_NONE]]),FALSE)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3161</v>
      </c>
      <c r="B536" s="37" t="str">
        <f>INDEX(CONTROL[ENGLISH],MATCH(PROPERTIES[[#This Row],[VEHIDCODE]],CONTROL[VEHIDCODE],0))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5" t="b">
        <f>IFERROR(OR(TRACK_TYPES[[#This Row],[TRACK_TYPE_STANDARD_GAUGE_RAILTYPE_OHLE]:[TRACK_TYPE_STANDARD_GAUGE_RAILTYPE_NONE]]),FALSE)</f>
        <v>1</v>
      </c>
      <c r="AF536" s="35" t="b">
        <f>IFERROR(OR(TRACK_TYPES[[#This Row],[TRACK_TYPE_NARROW_GAUGE_RAILTYPE_OHLE]:[TRACK_TYPE_NARROW_GAUGE_RAILTYPE_NONE]]),FALSE)</f>
        <v>0</v>
      </c>
      <c r="AG536" s="35" t="b">
        <f>IFERROR(OR(TRACK_TYPES[[#This Row],[TRACK_TYPE_BROAD_GAUGE_RAILTYPE_OHLE]:[TRACK_TYPE_BROAD_GAUGE_RAILTYPE_NONE]]),FALSE)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3162</v>
      </c>
      <c r="B537" s="37" t="str">
        <f>INDEX(CONTROL[ENGLISH],MATCH(PROPERTIES[[#This Row],[VEHIDCODE]],CONTROL[VEHIDCODE],0))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5" t="b">
        <f>IFERROR(OR(TRACK_TYPES[[#This Row],[TRACK_TYPE_STANDARD_GAUGE_RAILTYPE_OHLE]:[TRACK_TYPE_STANDARD_GAUGE_RAILTYPE_NONE]]),FALSE)</f>
        <v>1</v>
      </c>
      <c r="AF537" s="35" t="b">
        <f>IFERROR(OR(TRACK_TYPES[[#This Row],[TRACK_TYPE_NARROW_GAUGE_RAILTYPE_OHLE]:[TRACK_TYPE_NARROW_GAUGE_RAILTYPE_NONE]]),FALSE)</f>
        <v>0</v>
      </c>
      <c r="AG537" s="35" t="b">
        <f>IFERROR(OR(TRACK_TYPES[[#This Row],[TRACK_TYPE_BROAD_GAUGE_RAILTYPE_OHLE]:[TRACK_TYPE_BROAD_GAUGE_RAILTYPE_NONE]]),FALSE)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3163</v>
      </c>
      <c r="B538" s="37" t="str">
        <f>INDEX(CONTROL[ENGLISH],MATCH(PROPERTIES[[#This Row],[VEHIDCODE]],CONTROL[VEHIDCODE],0))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5" t="b">
        <f>IFERROR(OR(TRACK_TYPES[[#This Row],[TRACK_TYPE_STANDARD_GAUGE_RAILTYPE_OHLE]:[TRACK_TYPE_STANDARD_GAUGE_RAILTYPE_NONE]]),FALSE)</f>
        <v>0</v>
      </c>
      <c r="AF538" s="35" t="b">
        <f>IFERROR(OR(TRACK_TYPES[[#This Row],[TRACK_TYPE_NARROW_GAUGE_RAILTYPE_OHLE]:[TRACK_TYPE_NARROW_GAUGE_RAILTYPE_NONE]]),FALSE)</f>
        <v>0</v>
      </c>
      <c r="AG538" s="35" t="b">
        <f>IFERROR(OR(TRACK_TYPES[[#This Row],[TRACK_TYPE_BROAD_GAUGE_RAILTYPE_OHLE]:[TRACK_TYPE_BROAD_GAUGE_RAILTYPE_NONE]]),FALSE)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3164</v>
      </c>
      <c r="B539" s="37" t="str">
        <f>INDEX(CONTROL[ENGLISH],MATCH(PROPERTIES[[#This Row],[VEHIDCODE]],CONTROL[VEHIDCODE],0))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5" t="b">
        <f>IFERROR(OR(TRACK_TYPES[[#This Row],[TRACK_TYPE_STANDARD_GAUGE_RAILTYPE_OHLE]:[TRACK_TYPE_STANDARD_GAUGE_RAILTYPE_NONE]]),FALSE)</f>
        <v>0</v>
      </c>
      <c r="AF539" s="35" t="b">
        <f>IFERROR(OR(TRACK_TYPES[[#This Row],[TRACK_TYPE_NARROW_GAUGE_RAILTYPE_OHLE]:[TRACK_TYPE_NARROW_GAUGE_RAILTYPE_NONE]]),FALSE)</f>
        <v>0</v>
      </c>
      <c r="AG539" s="35" t="b">
        <f>IFERROR(OR(TRACK_TYPES[[#This Row],[TRACK_TYPE_BROAD_GAUGE_RAILTYPE_OHLE]:[TRACK_TYPE_BROAD_GAUGE_RAILTYPE_NONE]]),FALSE)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3165</v>
      </c>
      <c r="B540" s="37" t="str">
        <f>INDEX(CONTROL[ENGLISH],MATCH(PROPERTIES[[#This Row],[VEHIDCODE]],CONTROL[VEHIDCODE],0))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5" t="b">
        <f>IFERROR(OR(TRACK_TYPES[[#This Row],[TRACK_TYPE_STANDARD_GAUGE_RAILTYPE_OHLE]:[TRACK_TYPE_STANDARD_GAUGE_RAILTYPE_NONE]]),FALSE)</f>
        <v>1</v>
      </c>
      <c r="AF540" s="35" t="b">
        <f>IFERROR(OR(TRACK_TYPES[[#This Row],[TRACK_TYPE_NARROW_GAUGE_RAILTYPE_OHLE]:[TRACK_TYPE_NARROW_GAUGE_RAILTYPE_NONE]]),FALSE)</f>
        <v>0</v>
      </c>
      <c r="AG540" s="35" t="b">
        <f>IFERROR(OR(TRACK_TYPES[[#This Row],[TRACK_TYPE_BROAD_GAUGE_RAILTYPE_OHLE]:[TRACK_TYPE_BROAD_GAUGE_RAILTYPE_NONE]]),FALSE)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3166</v>
      </c>
      <c r="B541" s="37" t="str">
        <f>INDEX(CONTROL[ENGLISH],MATCH(PROPERTIES[[#This Row],[VEHIDCODE]],CONTROL[VEHIDCODE],0))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5" t="b">
        <f>IFERROR(OR(TRACK_TYPES[[#This Row],[TRACK_TYPE_STANDARD_GAUGE_RAILTYPE_OHLE]:[TRACK_TYPE_STANDARD_GAUGE_RAILTYPE_NONE]]),FALSE)</f>
        <v>1</v>
      </c>
      <c r="AF541" s="35" t="b">
        <f>IFERROR(OR(TRACK_TYPES[[#This Row],[TRACK_TYPE_NARROW_GAUGE_RAILTYPE_OHLE]:[TRACK_TYPE_NARROW_GAUGE_RAILTYPE_NONE]]),FALSE)</f>
        <v>0</v>
      </c>
      <c r="AG541" s="35" t="b">
        <f>IFERROR(OR(TRACK_TYPES[[#This Row],[TRACK_TYPE_BROAD_GAUGE_RAILTYPE_OHLE]:[TRACK_TYPE_BROAD_GAUGE_RAILTYPE_NONE]]),FALSE)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3167</v>
      </c>
      <c r="B542" s="37" t="str">
        <f>INDEX(CONTROL[ENGLISH],MATCH(PROPERTIES[[#This Row],[VEHIDCODE]],CONTROL[VEHIDCODE],0))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5" t="b">
        <f>IFERROR(OR(TRACK_TYPES[[#This Row],[TRACK_TYPE_STANDARD_GAUGE_RAILTYPE_OHLE]:[TRACK_TYPE_STANDARD_GAUGE_RAILTYPE_NONE]]),FALSE)</f>
        <v>1</v>
      </c>
      <c r="AF542" s="35" t="b">
        <f>IFERROR(OR(TRACK_TYPES[[#This Row],[TRACK_TYPE_NARROW_GAUGE_RAILTYPE_OHLE]:[TRACK_TYPE_NARROW_GAUGE_RAILTYPE_NONE]]),FALSE)</f>
        <v>0</v>
      </c>
      <c r="AG542" s="35" t="b">
        <f>IFERROR(OR(TRACK_TYPES[[#This Row],[TRACK_TYPE_BROAD_GAUGE_RAILTYPE_OHLE]:[TRACK_TYPE_BROAD_GAUGE_RAILTYPE_NONE]]),FALSE)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3168</v>
      </c>
      <c r="B543" s="37" t="str">
        <f>INDEX(CONTROL[ENGLISH],MATCH(PROPERTIES[[#This Row],[VEHIDCODE]],CONTROL[VEHIDCODE],0))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5" t="b">
        <f>IFERROR(OR(TRACK_TYPES[[#This Row],[TRACK_TYPE_STANDARD_GAUGE_RAILTYPE_OHLE]:[TRACK_TYPE_STANDARD_GAUGE_RAILTYPE_NONE]]),FALSE)</f>
        <v>1</v>
      </c>
      <c r="AF543" s="35" t="b">
        <f>IFERROR(OR(TRACK_TYPES[[#This Row],[TRACK_TYPE_NARROW_GAUGE_RAILTYPE_OHLE]:[TRACK_TYPE_NARROW_GAUGE_RAILTYPE_NONE]]),FALSE)</f>
        <v>0</v>
      </c>
      <c r="AG543" s="35" t="b">
        <f>IFERROR(OR(TRACK_TYPES[[#This Row],[TRACK_TYPE_BROAD_GAUGE_RAILTYPE_OHLE]:[TRACK_TYPE_BROAD_GAUGE_RAILTYPE_NONE]]),FALSE)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3169</v>
      </c>
      <c r="B544" s="37" t="str">
        <f>INDEX(CONTROL[ENGLISH],MATCH(PROPERTIES[[#This Row],[VEHIDCODE]],CONTROL[VEHIDCODE],0))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5" t="b">
        <f>IFERROR(OR(TRACK_TYPES[[#This Row],[TRACK_TYPE_STANDARD_GAUGE_RAILTYPE_OHLE]:[TRACK_TYPE_STANDARD_GAUGE_RAILTYPE_NONE]]),FALSE)</f>
        <v>1</v>
      </c>
      <c r="AF544" s="35" t="b">
        <f>IFERROR(OR(TRACK_TYPES[[#This Row],[TRACK_TYPE_NARROW_GAUGE_RAILTYPE_OHLE]:[TRACK_TYPE_NARROW_GAUGE_RAILTYPE_NONE]]),FALSE)</f>
        <v>0</v>
      </c>
      <c r="AG544" s="35" t="b">
        <f>IFERROR(OR(TRACK_TYPES[[#This Row],[TRACK_TYPE_BROAD_GAUGE_RAILTYPE_OHLE]:[TRACK_TYPE_BROAD_GAUGE_RAILTYPE_NONE]]),FALSE)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3170</v>
      </c>
      <c r="B545" s="37" t="str">
        <f>INDEX(CONTROL[ENGLISH],MATCH(PROPERTIES[[#This Row],[VEHIDCODE]],CONTROL[VEHIDCODE],0))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5" t="b">
        <f>IFERROR(OR(TRACK_TYPES[[#This Row],[TRACK_TYPE_STANDARD_GAUGE_RAILTYPE_OHLE]:[TRACK_TYPE_STANDARD_GAUGE_RAILTYPE_NONE]]),FALSE)</f>
        <v>1</v>
      </c>
      <c r="AF545" s="35" t="b">
        <f>IFERROR(OR(TRACK_TYPES[[#This Row],[TRACK_TYPE_NARROW_GAUGE_RAILTYPE_OHLE]:[TRACK_TYPE_NARROW_GAUGE_RAILTYPE_NONE]]),FALSE)</f>
        <v>0</v>
      </c>
      <c r="AG545" s="35" t="b">
        <f>IFERROR(OR(TRACK_TYPES[[#This Row],[TRACK_TYPE_BROAD_GAUGE_RAILTYPE_OHLE]:[TRACK_TYPE_BROAD_GAUGE_RAILTYPE_NONE]]),FALSE)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3171</v>
      </c>
      <c r="B546" s="37" t="str">
        <f>INDEX(CONTROL[ENGLISH],MATCH(PROPERTIES[[#This Row],[VEHIDCODE]],CONTROL[VEHIDCODE],0))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5" t="b">
        <f>IFERROR(OR(TRACK_TYPES[[#This Row],[TRACK_TYPE_STANDARD_GAUGE_RAILTYPE_OHLE]:[TRACK_TYPE_STANDARD_GAUGE_RAILTYPE_NONE]]),FALSE)</f>
        <v>1</v>
      </c>
      <c r="AF546" s="35" t="b">
        <f>IFERROR(OR(TRACK_TYPES[[#This Row],[TRACK_TYPE_NARROW_GAUGE_RAILTYPE_OHLE]:[TRACK_TYPE_NARROW_GAUGE_RAILTYPE_NONE]]),FALSE)</f>
        <v>0</v>
      </c>
      <c r="AG546" s="35" t="b">
        <f>IFERROR(OR(TRACK_TYPES[[#This Row],[TRACK_TYPE_BROAD_GAUGE_RAILTYPE_OHLE]:[TRACK_TYPE_BROAD_GAUGE_RAILTYPE_NONE]]),FALSE)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3436</v>
      </c>
      <c r="B547" s="37" t="str">
        <f>INDEX(CONTROL[ENGLISH],MATCH(PROPERTIES[[#This Row],[VEHIDCODE]],CONTROL[VEHIDCODE],0))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5" t="b">
        <f>IFERROR(OR(TRACK_TYPES[[#This Row],[TRACK_TYPE_STANDARD_GAUGE_RAILTYPE_OHLE]:[TRACK_TYPE_STANDARD_GAUGE_RAILTYPE_NONE]]),FALSE)</f>
        <v>1</v>
      </c>
      <c r="AF547" s="35" t="b">
        <f>IFERROR(OR(TRACK_TYPES[[#This Row],[TRACK_TYPE_NARROW_GAUGE_RAILTYPE_OHLE]:[TRACK_TYPE_NARROW_GAUGE_RAILTYPE_NONE]]),FALSE)</f>
        <v>0</v>
      </c>
      <c r="AG547" s="35" t="b">
        <f>IFERROR(OR(TRACK_TYPES[[#This Row],[TRACK_TYPE_BROAD_GAUGE_RAILTYPE_OHLE]:[TRACK_TYPE_BROAD_GAUGE_RAILTYPE_NONE]]),FALSE)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3172</v>
      </c>
      <c r="B548" s="37" t="str">
        <f>INDEX(CONTROL[ENGLISH],MATCH(PROPERTIES[[#This Row],[VEHIDCODE]],CONTROL[VEHIDCODE],0))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5" t="b">
        <f>IFERROR(OR(TRACK_TYPES[[#This Row],[TRACK_TYPE_STANDARD_GAUGE_RAILTYPE_OHLE]:[TRACK_TYPE_STANDARD_GAUGE_RAILTYPE_NONE]]),FALSE)</f>
        <v>1</v>
      </c>
      <c r="AF548" s="35" t="b">
        <f>IFERROR(OR(TRACK_TYPES[[#This Row],[TRACK_TYPE_NARROW_GAUGE_RAILTYPE_OHLE]:[TRACK_TYPE_NARROW_GAUGE_RAILTYPE_NONE]]),FALSE)</f>
        <v>0</v>
      </c>
      <c r="AG548" s="35" t="b">
        <f>IFERROR(OR(TRACK_TYPES[[#This Row],[TRACK_TYPE_BROAD_GAUGE_RAILTYPE_OHLE]:[TRACK_TYPE_BROAD_GAUGE_RAILTYPE_NONE]]),FALSE)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3173</v>
      </c>
      <c r="B549" s="37" t="str">
        <f>INDEX(CONTROL[ENGLISH],MATCH(PROPERTIES[[#This Row],[VEHIDCODE]],CONTROL[VEHIDCODE],0))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5" t="b">
        <f>IFERROR(OR(TRACK_TYPES[[#This Row],[TRACK_TYPE_STANDARD_GAUGE_RAILTYPE_OHLE]:[TRACK_TYPE_STANDARD_GAUGE_RAILTYPE_NONE]]),FALSE)</f>
        <v>1</v>
      </c>
      <c r="AF549" s="35" t="b">
        <f>IFERROR(OR(TRACK_TYPES[[#This Row],[TRACK_TYPE_NARROW_GAUGE_RAILTYPE_OHLE]:[TRACK_TYPE_NARROW_GAUGE_RAILTYPE_NONE]]),FALSE)</f>
        <v>0</v>
      </c>
      <c r="AG549" s="35" t="b">
        <f>IFERROR(OR(TRACK_TYPES[[#This Row],[TRACK_TYPE_BROAD_GAUGE_RAILTYPE_OHLE]:[TRACK_TYPE_BROAD_GAUGE_RAILTYPE_NONE]]),FALSE)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3174</v>
      </c>
      <c r="B550" s="37" t="str">
        <f>INDEX(CONTROL[ENGLISH],MATCH(PROPERTIES[[#This Row],[VEHIDCODE]],CONTROL[VEHIDCODE],0))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5" t="b">
        <f>IFERROR(OR(TRACK_TYPES[[#This Row],[TRACK_TYPE_STANDARD_GAUGE_RAILTYPE_OHLE]:[TRACK_TYPE_STANDARD_GAUGE_RAILTYPE_NONE]]),FALSE)</f>
        <v>1</v>
      </c>
      <c r="AF550" s="35" t="b">
        <f>IFERROR(OR(TRACK_TYPES[[#This Row],[TRACK_TYPE_NARROW_GAUGE_RAILTYPE_OHLE]:[TRACK_TYPE_NARROW_GAUGE_RAILTYPE_NONE]]),FALSE)</f>
        <v>0</v>
      </c>
      <c r="AG550" s="35" t="b">
        <f>IFERROR(OR(TRACK_TYPES[[#This Row],[TRACK_TYPE_BROAD_GAUGE_RAILTYPE_OHLE]:[TRACK_TYPE_BROAD_GAUGE_RAILTYPE_NONE]]),FALSE)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3175</v>
      </c>
      <c r="B551" s="37" t="str">
        <f>INDEX(CONTROL[ENGLISH],MATCH(PROPERTIES[[#This Row],[VEHIDCODE]],CONTROL[VEHIDCODE],0))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5" t="b">
        <f>IFERROR(OR(TRACK_TYPES[[#This Row],[TRACK_TYPE_STANDARD_GAUGE_RAILTYPE_OHLE]:[TRACK_TYPE_STANDARD_GAUGE_RAILTYPE_NONE]]),FALSE)</f>
        <v>1</v>
      </c>
      <c r="AF551" s="35" t="b">
        <f>IFERROR(OR(TRACK_TYPES[[#This Row],[TRACK_TYPE_NARROW_GAUGE_RAILTYPE_OHLE]:[TRACK_TYPE_NARROW_GAUGE_RAILTYPE_NONE]]),FALSE)</f>
        <v>0</v>
      </c>
      <c r="AG551" s="35" t="b">
        <f>IFERROR(OR(TRACK_TYPES[[#This Row],[TRACK_TYPE_BROAD_GAUGE_RAILTYPE_OHLE]:[TRACK_TYPE_BROAD_GAUGE_RAILTYPE_NONE]]),FALSE)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3176</v>
      </c>
      <c r="B552" s="37" t="str">
        <f>INDEX(CONTROL[ENGLISH],MATCH(PROPERTIES[[#This Row],[VEHIDCODE]],CONTROL[VEHIDCODE],0))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5" t="b">
        <f>IFERROR(OR(TRACK_TYPES[[#This Row],[TRACK_TYPE_STANDARD_GAUGE_RAILTYPE_OHLE]:[TRACK_TYPE_STANDARD_GAUGE_RAILTYPE_NONE]]),FALSE)</f>
        <v>1</v>
      </c>
      <c r="AF552" s="35" t="b">
        <f>IFERROR(OR(TRACK_TYPES[[#This Row],[TRACK_TYPE_NARROW_GAUGE_RAILTYPE_OHLE]:[TRACK_TYPE_NARROW_GAUGE_RAILTYPE_NONE]]),FALSE)</f>
        <v>0</v>
      </c>
      <c r="AG552" s="35" t="b">
        <f>IFERROR(OR(TRACK_TYPES[[#This Row],[TRACK_TYPE_BROAD_GAUGE_RAILTYPE_OHLE]:[TRACK_TYPE_BROAD_GAUGE_RAILTYPE_NONE]]),FALSE)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3177</v>
      </c>
      <c r="B553" s="37" t="str">
        <f>INDEX(CONTROL[ENGLISH],MATCH(PROPERTIES[[#This Row],[VEHIDCODE]],CONTROL[VEHIDCODE],0))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5" t="b">
        <f>IFERROR(OR(TRACK_TYPES[[#This Row],[TRACK_TYPE_STANDARD_GAUGE_RAILTYPE_OHLE]:[TRACK_TYPE_STANDARD_GAUGE_RAILTYPE_NONE]]),FALSE)</f>
        <v>1</v>
      </c>
      <c r="AF553" s="35" t="b">
        <f>IFERROR(OR(TRACK_TYPES[[#This Row],[TRACK_TYPE_NARROW_GAUGE_RAILTYPE_OHLE]:[TRACK_TYPE_NARROW_GAUGE_RAILTYPE_NONE]]),FALSE)</f>
        <v>0</v>
      </c>
      <c r="AG553" s="35" t="b">
        <f>IFERROR(OR(TRACK_TYPES[[#This Row],[TRACK_TYPE_BROAD_GAUGE_RAILTYPE_OHLE]:[TRACK_TYPE_BROAD_GAUGE_RAILTYPE_NONE]]),FALSE)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3178</v>
      </c>
      <c r="B554" s="37" t="str">
        <f>INDEX(CONTROL[ENGLISH],MATCH(PROPERTIES[[#This Row],[VEHIDCODE]],CONTROL[VEHIDCODE],0))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5" t="b">
        <f>IFERROR(OR(TRACK_TYPES[[#This Row],[TRACK_TYPE_STANDARD_GAUGE_RAILTYPE_OHLE]:[TRACK_TYPE_STANDARD_GAUGE_RAILTYPE_NONE]]),FALSE)</f>
        <v>1</v>
      </c>
      <c r="AF554" s="35" t="b">
        <f>IFERROR(OR(TRACK_TYPES[[#This Row],[TRACK_TYPE_NARROW_GAUGE_RAILTYPE_OHLE]:[TRACK_TYPE_NARROW_GAUGE_RAILTYPE_NONE]]),FALSE)</f>
        <v>0</v>
      </c>
      <c r="AG554" s="35" t="b">
        <f>IFERROR(OR(TRACK_TYPES[[#This Row],[TRACK_TYPE_BROAD_GAUGE_RAILTYPE_OHLE]:[TRACK_TYPE_BROAD_GAUGE_RAILTYPE_NONE]]),FALSE)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3179</v>
      </c>
      <c r="B555" s="37" t="str">
        <f>INDEX(CONTROL[ENGLISH],MATCH(PROPERTIES[[#This Row],[VEHIDCODE]],CONTROL[VEHIDCODE],0))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5" t="b">
        <f>IFERROR(OR(TRACK_TYPES[[#This Row],[TRACK_TYPE_STANDARD_GAUGE_RAILTYPE_OHLE]:[TRACK_TYPE_STANDARD_GAUGE_RAILTYPE_NONE]]),FALSE)</f>
        <v>1</v>
      </c>
      <c r="AF555" s="35" t="b">
        <f>IFERROR(OR(TRACK_TYPES[[#This Row],[TRACK_TYPE_NARROW_GAUGE_RAILTYPE_OHLE]:[TRACK_TYPE_NARROW_GAUGE_RAILTYPE_NONE]]),FALSE)</f>
        <v>0</v>
      </c>
      <c r="AG555" s="35" t="b">
        <f>IFERROR(OR(TRACK_TYPES[[#This Row],[TRACK_TYPE_BROAD_GAUGE_RAILTYPE_OHLE]:[TRACK_TYPE_BROAD_GAUGE_RAILTYPE_NONE]]),FALSE)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3180</v>
      </c>
      <c r="B556" s="37" t="str">
        <f>INDEX(CONTROL[ENGLISH],MATCH(PROPERTIES[[#This Row],[VEHIDCODE]],CONTROL[VEHIDCODE],0))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5" t="b">
        <f>IFERROR(OR(TRACK_TYPES[[#This Row],[TRACK_TYPE_STANDARD_GAUGE_RAILTYPE_OHLE]:[TRACK_TYPE_STANDARD_GAUGE_RAILTYPE_NONE]]),FALSE)</f>
        <v>1</v>
      </c>
      <c r="AF556" s="35" t="b">
        <f>IFERROR(OR(TRACK_TYPES[[#This Row],[TRACK_TYPE_NARROW_GAUGE_RAILTYPE_OHLE]:[TRACK_TYPE_NARROW_GAUGE_RAILTYPE_NONE]]),FALSE)</f>
        <v>0</v>
      </c>
      <c r="AG556" s="35" t="b">
        <f>IFERROR(OR(TRACK_TYPES[[#This Row],[TRACK_TYPE_BROAD_GAUGE_RAILTYPE_OHLE]:[TRACK_TYPE_BROAD_GAUGE_RAILTYPE_NONE]]),FALSE)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3181</v>
      </c>
      <c r="B557" s="37" t="str">
        <f>INDEX(CONTROL[ENGLISH],MATCH(PROPERTIES[[#This Row],[VEHIDCODE]],CONTROL[VEHIDCODE],0))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5" t="b">
        <f>IFERROR(OR(TRACK_TYPES[[#This Row],[TRACK_TYPE_STANDARD_GAUGE_RAILTYPE_OHLE]:[TRACK_TYPE_STANDARD_GAUGE_RAILTYPE_NONE]]),FALSE)</f>
        <v>1</v>
      </c>
      <c r="AF557" s="35" t="b">
        <f>IFERROR(OR(TRACK_TYPES[[#This Row],[TRACK_TYPE_NARROW_GAUGE_RAILTYPE_OHLE]:[TRACK_TYPE_NARROW_GAUGE_RAILTYPE_NONE]]),FALSE)</f>
        <v>0</v>
      </c>
      <c r="AG557" s="35" t="b">
        <f>IFERROR(OR(TRACK_TYPES[[#This Row],[TRACK_TYPE_BROAD_GAUGE_RAILTYPE_OHLE]:[TRACK_TYPE_BROAD_GAUGE_RAILTYPE_NONE]]),FALSE)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3182</v>
      </c>
      <c r="B558" s="37" t="str">
        <f>INDEX(CONTROL[ENGLISH],MATCH(PROPERTIES[[#This Row],[VEHIDCODE]],CONTROL[VEHIDCODE],0))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5" t="b">
        <f>IFERROR(OR(TRACK_TYPES[[#This Row],[TRACK_TYPE_STANDARD_GAUGE_RAILTYPE_OHLE]:[TRACK_TYPE_STANDARD_GAUGE_RAILTYPE_NONE]]),FALSE)</f>
        <v>1</v>
      </c>
      <c r="AF558" s="35" t="b">
        <f>IFERROR(OR(TRACK_TYPES[[#This Row],[TRACK_TYPE_NARROW_GAUGE_RAILTYPE_OHLE]:[TRACK_TYPE_NARROW_GAUGE_RAILTYPE_NONE]]),FALSE)</f>
        <v>0</v>
      </c>
      <c r="AG558" s="35" t="b">
        <f>IFERROR(OR(TRACK_TYPES[[#This Row],[TRACK_TYPE_BROAD_GAUGE_RAILTYPE_OHLE]:[TRACK_TYPE_BROAD_GAUGE_RAILTYPE_NONE]]),FALSE)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3183</v>
      </c>
      <c r="B559" s="37" t="str">
        <f>INDEX(CONTROL[ENGLISH],MATCH(PROPERTIES[[#This Row],[VEHIDCODE]],CONTROL[VEHIDCODE],0))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5" t="b">
        <f>IFERROR(OR(TRACK_TYPES[[#This Row],[TRACK_TYPE_STANDARD_GAUGE_RAILTYPE_OHLE]:[TRACK_TYPE_STANDARD_GAUGE_RAILTYPE_NONE]]),FALSE)</f>
        <v>1</v>
      </c>
      <c r="AF559" s="35" t="b">
        <f>IFERROR(OR(TRACK_TYPES[[#This Row],[TRACK_TYPE_NARROW_GAUGE_RAILTYPE_OHLE]:[TRACK_TYPE_NARROW_GAUGE_RAILTYPE_NONE]]),FALSE)</f>
        <v>0</v>
      </c>
      <c r="AG559" s="35" t="b">
        <f>IFERROR(OR(TRACK_TYPES[[#This Row],[TRACK_TYPE_BROAD_GAUGE_RAILTYPE_OHLE]:[TRACK_TYPE_BROAD_GAUGE_RAILTYPE_NONE]]),FALSE)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3184</v>
      </c>
      <c r="B560" s="37" t="str">
        <f>INDEX(CONTROL[ENGLISH],MATCH(PROPERTIES[[#This Row],[VEHIDCODE]],CONTROL[VEHIDCODE],0))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5" t="b">
        <f>IFERROR(OR(TRACK_TYPES[[#This Row],[TRACK_TYPE_STANDARD_GAUGE_RAILTYPE_OHLE]:[TRACK_TYPE_STANDARD_GAUGE_RAILTYPE_NONE]]),FALSE)</f>
        <v>1</v>
      </c>
      <c r="AF560" s="35" t="b">
        <f>IFERROR(OR(TRACK_TYPES[[#This Row],[TRACK_TYPE_NARROW_GAUGE_RAILTYPE_OHLE]:[TRACK_TYPE_NARROW_GAUGE_RAILTYPE_NONE]]),FALSE)</f>
        <v>0</v>
      </c>
      <c r="AG560" s="35" t="b">
        <f>IFERROR(OR(TRACK_TYPES[[#This Row],[TRACK_TYPE_BROAD_GAUGE_RAILTYPE_OHLE]:[TRACK_TYPE_BROAD_GAUGE_RAILTYPE_NONE]]),FALSE)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3185</v>
      </c>
      <c r="B561" s="37" t="str">
        <f>INDEX(CONTROL[ENGLISH],MATCH(PROPERTIES[[#This Row],[VEHIDCODE]],CONTROL[VEHIDCODE],0))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5" t="b">
        <f>IFERROR(OR(TRACK_TYPES[[#This Row],[TRACK_TYPE_STANDARD_GAUGE_RAILTYPE_OHLE]:[TRACK_TYPE_STANDARD_GAUGE_RAILTYPE_NONE]]),FALSE)</f>
        <v>1</v>
      </c>
      <c r="AF561" s="35" t="b">
        <f>IFERROR(OR(TRACK_TYPES[[#This Row],[TRACK_TYPE_NARROW_GAUGE_RAILTYPE_OHLE]:[TRACK_TYPE_NARROW_GAUGE_RAILTYPE_NONE]]),FALSE)</f>
        <v>0</v>
      </c>
      <c r="AG561" s="35" t="b">
        <f>IFERROR(OR(TRACK_TYPES[[#This Row],[TRACK_TYPE_BROAD_GAUGE_RAILTYPE_OHLE]:[TRACK_TYPE_BROAD_GAUGE_RAILTYPE_NONE]]),FALSE)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3186</v>
      </c>
      <c r="B562" s="37" t="str">
        <f>INDEX(CONTROL[ENGLISH],MATCH(PROPERTIES[[#This Row],[VEHIDCODE]],CONTROL[VEHIDCODE],0))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5" t="b">
        <f>IFERROR(OR(TRACK_TYPES[[#This Row],[TRACK_TYPE_STANDARD_GAUGE_RAILTYPE_OHLE]:[TRACK_TYPE_STANDARD_GAUGE_RAILTYPE_NONE]]),FALSE)</f>
        <v>1</v>
      </c>
      <c r="AF562" s="35" t="b">
        <f>IFERROR(OR(TRACK_TYPES[[#This Row],[TRACK_TYPE_NARROW_GAUGE_RAILTYPE_OHLE]:[TRACK_TYPE_NARROW_GAUGE_RAILTYPE_NONE]]),FALSE)</f>
        <v>0</v>
      </c>
      <c r="AG562" s="35" t="b">
        <f>IFERROR(OR(TRACK_TYPES[[#This Row],[TRACK_TYPE_BROAD_GAUGE_RAILTYPE_OHLE]:[TRACK_TYPE_BROAD_GAUGE_RAILTYPE_NONE]]),FALSE)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3187</v>
      </c>
      <c r="B563" s="37" t="str">
        <f>INDEX(CONTROL[ENGLISH],MATCH(PROPERTIES[[#This Row],[VEHIDCODE]],CONTROL[VEHIDCODE],0))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5" t="b">
        <f>IFERROR(OR(TRACK_TYPES[[#This Row],[TRACK_TYPE_STANDARD_GAUGE_RAILTYPE_OHLE]:[TRACK_TYPE_STANDARD_GAUGE_RAILTYPE_NONE]]),FALSE)</f>
        <v>1</v>
      </c>
      <c r="AF563" s="35" t="b">
        <f>IFERROR(OR(TRACK_TYPES[[#This Row],[TRACK_TYPE_NARROW_GAUGE_RAILTYPE_OHLE]:[TRACK_TYPE_NARROW_GAUGE_RAILTYPE_NONE]]),FALSE)</f>
        <v>0</v>
      </c>
      <c r="AG563" s="35" t="b">
        <f>IFERROR(OR(TRACK_TYPES[[#This Row],[TRACK_TYPE_BROAD_GAUGE_RAILTYPE_OHLE]:[TRACK_TYPE_BROAD_GAUGE_RAILTYPE_NONE]]),FALSE)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3188</v>
      </c>
      <c r="B564" s="37" t="str">
        <f>INDEX(CONTROL[ENGLISH],MATCH(PROPERTIES[[#This Row],[VEHIDCODE]],CONTROL[VEHIDCODE],0))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5" t="b">
        <f>IFERROR(OR(TRACK_TYPES[[#This Row],[TRACK_TYPE_STANDARD_GAUGE_RAILTYPE_OHLE]:[TRACK_TYPE_STANDARD_GAUGE_RAILTYPE_NONE]]),FALSE)</f>
        <v>1</v>
      </c>
      <c r="AF564" s="35" t="b">
        <f>IFERROR(OR(TRACK_TYPES[[#This Row],[TRACK_TYPE_NARROW_GAUGE_RAILTYPE_OHLE]:[TRACK_TYPE_NARROW_GAUGE_RAILTYPE_NONE]]),FALSE)</f>
        <v>0</v>
      </c>
      <c r="AG564" s="35" t="b">
        <f>IFERROR(OR(TRACK_TYPES[[#This Row],[TRACK_TYPE_BROAD_GAUGE_RAILTYPE_OHLE]:[TRACK_TYPE_BROAD_GAUGE_RAILTYPE_NONE]]),FALSE)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3189</v>
      </c>
      <c r="B565" s="37" t="str">
        <f>INDEX(CONTROL[ENGLISH],MATCH(PROPERTIES[[#This Row],[VEHIDCODE]],CONTROL[VEHIDCODE],0))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5" t="b">
        <f>IFERROR(OR(TRACK_TYPES[[#This Row],[TRACK_TYPE_STANDARD_GAUGE_RAILTYPE_OHLE]:[TRACK_TYPE_STANDARD_GAUGE_RAILTYPE_NONE]]),FALSE)</f>
        <v>1</v>
      </c>
      <c r="AF565" s="35" t="b">
        <f>IFERROR(OR(TRACK_TYPES[[#This Row],[TRACK_TYPE_NARROW_GAUGE_RAILTYPE_OHLE]:[TRACK_TYPE_NARROW_GAUGE_RAILTYPE_NONE]]),FALSE)</f>
        <v>0</v>
      </c>
      <c r="AG565" s="35" t="b">
        <f>IFERROR(OR(TRACK_TYPES[[#This Row],[TRACK_TYPE_BROAD_GAUGE_RAILTYPE_OHLE]:[TRACK_TYPE_BROAD_GAUGE_RAILTYPE_NONE]]),FALSE)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3190</v>
      </c>
      <c r="B566" s="37" t="str">
        <f>INDEX(CONTROL[ENGLISH],MATCH(PROPERTIES[[#This Row],[VEHIDCODE]],CONTROL[VEHIDCODE],0))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5" t="b">
        <f>IFERROR(OR(TRACK_TYPES[[#This Row],[TRACK_TYPE_STANDARD_GAUGE_RAILTYPE_OHLE]:[TRACK_TYPE_STANDARD_GAUGE_RAILTYPE_NONE]]),FALSE)</f>
        <v>1</v>
      </c>
      <c r="AF566" s="35" t="b">
        <f>IFERROR(OR(TRACK_TYPES[[#This Row],[TRACK_TYPE_NARROW_GAUGE_RAILTYPE_OHLE]:[TRACK_TYPE_NARROW_GAUGE_RAILTYPE_NONE]]),FALSE)</f>
        <v>0</v>
      </c>
      <c r="AG566" s="35" t="b">
        <f>IFERROR(OR(TRACK_TYPES[[#This Row],[TRACK_TYPE_BROAD_GAUGE_RAILTYPE_OHLE]:[TRACK_TYPE_BROAD_GAUGE_RAILTYPE_NONE]]),FALSE)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3191</v>
      </c>
      <c r="B567" s="37" t="str">
        <f>INDEX(CONTROL[ENGLISH],MATCH(PROPERTIES[[#This Row],[VEHIDCODE]],CONTROL[VEHIDCODE],0))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5" t="b">
        <f>IFERROR(OR(TRACK_TYPES[[#This Row],[TRACK_TYPE_STANDARD_GAUGE_RAILTYPE_OHLE]:[TRACK_TYPE_STANDARD_GAUGE_RAILTYPE_NONE]]),FALSE)</f>
        <v>1</v>
      </c>
      <c r="AF567" s="35" t="b">
        <f>IFERROR(OR(TRACK_TYPES[[#This Row],[TRACK_TYPE_NARROW_GAUGE_RAILTYPE_OHLE]:[TRACK_TYPE_NARROW_GAUGE_RAILTYPE_NONE]]),FALSE)</f>
        <v>0</v>
      </c>
      <c r="AG567" s="35" t="b">
        <f>IFERROR(OR(TRACK_TYPES[[#This Row],[TRACK_TYPE_BROAD_GAUGE_RAILTYPE_OHLE]:[TRACK_TYPE_BROAD_GAUGE_RAILTYPE_NONE]]),FALSE)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3192</v>
      </c>
      <c r="B568" s="37" t="str">
        <f>INDEX(CONTROL[ENGLISH],MATCH(PROPERTIES[[#This Row],[VEHIDCODE]],CONTROL[VEHIDCODE],0))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5" t="b">
        <f>IFERROR(OR(TRACK_TYPES[[#This Row],[TRACK_TYPE_STANDARD_GAUGE_RAILTYPE_OHLE]:[TRACK_TYPE_STANDARD_GAUGE_RAILTYPE_NONE]]),FALSE)</f>
        <v>0</v>
      </c>
      <c r="AF568" s="35" t="b">
        <f>IFERROR(OR(TRACK_TYPES[[#This Row],[TRACK_TYPE_NARROW_GAUGE_RAILTYPE_OHLE]:[TRACK_TYPE_NARROW_GAUGE_RAILTYPE_NONE]]),FALSE)</f>
        <v>0</v>
      </c>
      <c r="AG568" s="35" t="b">
        <f>IFERROR(OR(TRACK_TYPES[[#This Row],[TRACK_TYPE_BROAD_GAUGE_RAILTYPE_OHLE]:[TRACK_TYPE_BROAD_GAUGE_RAILTYPE_NONE]]),FALSE)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3193</v>
      </c>
      <c r="B569" s="37" t="str">
        <f>INDEX(CONTROL[ENGLISH],MATCH(PROPERTIES[[#This Row],[VEHIDCODE]],CONTROL[VEHIDCODE],0))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5" t="b">
        <f>IFERROR(OR(TRACK_TYPES[[#This Row],[TRACK_TYPE_STANDARD_GAUGE_RAILTYPE_OHLE]:[TRACK_TYPE_STANDARD_GAUGE_RAILTYPE_NONE]]),FALSE)</f>
        <v>0</v>
      </c>
      <c r="AF569" s="35" t="b">
        <f>IFERROR(OR(TRACK_TYPES[[#This Row],[TRACK_TYPE_NARROW_GAUGE_RAILTYPE_OHLE]:[TRACK_TYPE_NARROW_GAUGE_RAILTYPE_NONE]]),FALSE)</f>
        <v>0</v>
      </c>
      <c r="AG569" s="35" t="b">
        <f>IFERROR(OR(TRACK_TYPES[[#This Row],[TRACK_TYPE_BROAD_GAUGE_RAILTYPE_OHLE]:[TRACK_TYPE_BROAD_GAUGE_RAILTYPE_NONE]]),FALSE)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3194</v>
      </c>
      <c r="B570" s="37" t="str">
        <f>INDEX(CONTROL[ENGLISH],MATCH(PROPERTIES[[#This Row],[VEHIDCODE]],CONTROL[VEHIDCODE],0))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5" t="b">
        <f>IFERROR(OR(TRACK_TYPES[[#This Row],[TRACK_TYPE_STANDARD_GAUGE_RAILTYPE_OHLE]:[TRACK_TYPE_STANDARD_GAUGE_RAILTYPE_NONE]]),FALSE)</f>
        <v>0</v>
      </c>
      <c r="AF570" s="35" t="b">
        <f>IFERROR(OR(TRACK_TYPES[[#This Row],[TRACK_TYPE_NARROW_GAUGE_RAILTYPE_OHLE]:[TRACK_TYPE_NARROW_GAUGE_RAILTYPE_NONE]]),FALSE)</f>
        <v>0</v>
      </c>
      <c r="AG570" s="35" t="b">
        <f>IFERROR(OR(TRACK_TYPES[[#This Row],[TRACK_TYPE_BROAD_GAUGE_RAILTYPE_OHLE]:[TRACK_TYPE_BROAD_GAUGE_RAILTYPE_NONE]]),FALSE)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3195</v>
      </c>
      <c r="B571" s="37" t="str">
        <f>INDEX(CONTROL[ENGLISH],MATCH(PROPERTIES[[#This Row],[VEHIDCODE]],CONTROL[VEHIDCODE],0))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5" t="b">
        <f>IFERROR(OR(TRACK_TYPES[[#This Row],[TRACK_TYPE_STANDARD_GAUGE_RAILTYPE_OHLE]:[TRACK_TYPE_STANDARD_GAUGE_RAILTYPE_NONE]]),FALSE)</f>
        <v>0</v>
      </c>
      <c r="AF571" s="35" t="b">
        <f>IFERROR(OR(TRACK_TYPES[[#This Row],[TRACK_TYPE_NARROW_GAUGE_RAILTYPE_OHLE]:[TRACK_TYPE_NARROW_GAUGE_RAILTYPE_NONE]]),FALSE)</f>
        <v>0</v>
      </c>
      <c r="AG571" s="35" t="b">
        <f>IFERROR(OR(TRACK_TYPES[[#This Row],[TRACK_TYPE_BROAD_GAUGE_RAILTYPE_OHLE]:[TRACK_TYPE_BROAD_GAUGE_RAILTYPE_NONE]]),FALSE)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37" t="str">
        <f>INDEX(CONTROL[ENGLISH],MATCH(PROPERTIES[[#This Row],[VEHIDCODE]],CONTROL[VEHIDCODE],0))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5" t="b">
        <f>IFERROR(OR(TRACK_TYPES[[#This Row],[TRACK_TYPE_STANDARD_GAUGE_RAILTYPE_OHLE]:[TRACK_TYPE_STANDARD_GAUGE_RAILTYPE_NONE]]),FALSE)</f>
        <v>0</v>
      </c>
      <c r="AF572" s="35" t="b">
        <f>IFERROR(OR(TRACK_TYPES[[#This Row],[TRACK_TYPE_NARROW_GAUGE_RAILTYPE_OHLE]:[TRACK_TYPE_NARROW_GAUGE_RAILTYPE_NONE]]),FALSE)</f>
        <v>0</v>
      </c>
      <c r="AG572" s="35" t="b">
        <f>IFERROR(OR(TRACK_TYPES[[#This Row],[TRACK_TYPE_BROAD_GAUGE_RAILTYPE_OHLE]:[TRACK_TYPE_BROAD_GAUGE_RAILTYPE_NONE]]),FALSE)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37" t="str">
        <f>INDEX(CONTROL[ENGLISH],MATCH(PROPERTIES[[#This Row],[VEHIDCODE]],CONTROL[VEHIDCODE],0))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5" t="b">
        <f>IFERROR(OR(TRACK_TYPES[[#This Row],[TRACK_TYPE_STANDARD_GAUGE_RAILTYPE_OHLE]:[TRACK_TYPE_STANDARD_GAUGE_RAILTYPE_NONE]]),FALSE)</f>
        <v>0</v>
      </c>
      <c r="AF573" s="35" t="b">
        <f>IFERROR(OR(TRACK_TYPES[[#This Row],[TRACK_TYPE_NARROW_GAUGE_RAILTYPE_OHLE]:[TRACK_TYPE_NARROW_GAUGE_RAILTYPE_NONE]]),FALSE)</f>
        <v>0</v>
      </c>
      <c r="AG573" s="35" t="b">
        <f>IFERROR(OR(TRACK_TYPES[[#This Row],[TRACK_TYPE_BROAD_GAUGE_RAILTYPE_OHLE]:[TRACK_TYPE_BROAD_GAUGE_RAILTYPE_NONE]]),FALSE)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37" t="str">
        <f>INDEX(CONTROL[ENGLISH],MATCH(PROPERTIES[[#This Row],[VEHIDCODE]],CONTROL[VEHIDCODE],0))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5" t="b">
        <f>IFERROR(OR(TRACK_TYPES[[#This Row],[TRACK_TYPE_STANDARD_GAUGE_RAILTYPE_OHLE]:[TRACK_TYPE_STANDARD_GAUGE_RAILTYPE_NONE]]),FALSE)</f>
        <v>0</v>
      </c>
      <c r="AF574" s="35" t="b">
        <f>IFERROR(OR(TRACK_TYPES[[#This Row],[TRACK_TYPE_NARROW_GAUGE_RAILTYPE_OHLE]:[TRACK_TYPE_NARROW_GAUGE_RAILTYPE_NONE]]),FALSE)</f>
        <v>0</v>
      </c>
      <c r="AG574" s="35" t="b">
        <f>IFERROR(OR(TRACK_TYPES[[#This Row],[TRACK_TYPE_BROAD_GAUGE_RAILTYPE_OHLE]:[TRACK_TYPE_BROAD_GAUGE_RAILTYPE_NONE]]),FALSE)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37" t="str">
        <f>INDEX(CONTROL[ENGLISH],MATCH(PROPERTIES[[#This Row],[VEHIDCODE]],CONTROL[VEHIDCODE],0))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5" t="b">
        <f>IFERROR(OR(TRACK_TYPES[[#This Row],[TRACK_TYPE_STANDARD_GAUGE_RAILTYPE_OHLE]:[TRACK_TYPE_STANDARD_GAUGE_RAILTYPE_NONE]]),FALSE)</f>
        <v>0</v>
      </c>
      <c r="AF575" s="35" t="b">
        <f>IFERROR(OR(TRACK_TYPES[[#This Row],[TRACK_TYPE_NARROW_GAUGE_RAILTYPE_OHLE]:[TRACK_TYPE_NARROW_GAUGE_RAILTYPE_NONE]]),FALSE)</f>
        <v>0</v>
      </c>
      <c r="AG575" s="35" t="b">
        <f>IFERROR(OR(TRACK_TYPES[[#This Row],[TRACK_TYPE_BROAD_GAUGE_RAILTYPE_OHLE]:[TRACK_TYPE_BROAD_GAUGE_RAILTYPE_NONE]]),FALSE)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37" t="str">
        <f>INDEX(CONTROL[ENGLISH],MATCH(PROPERTIES[[#This Row],[VEHIDCODE]],CONTROL[VEHIDCODE],0))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5" t="b">
        <f>IFERROR(OR(TRACK_TYPES[[#This Row],[TRACK_TYPE_STANDARD_GAUGE_RAILTYPE_OHLE]:[TRACK_TYPE_STANDARD_GAUGE_RAILTYPE_NONE]]),FALSE)</f>
        <v>0</v>
      </c>
      <c r="AF576" s="35" t="b">
        <f>IFERROR(OR(TRACK_TYPES[[#This Row],[TRACK_TYPE_NARROW_GAUGE_RAILTYPE_OHLE]:[TRACK_TYPE_NARROW_GAUGE_RAILTYPE_NONE]]),FALSE)</f>
        <v>0</v>
      </c>
      <c r="AG576" s="35" t="b">
        <f>IFERROR(OR(TRACK_TYPES[[#This Row],[TRACK_TYPE_BROAD_GAUGE_RAILTYPE_OHLE]:[TRACK_TYPE_BROAD_GAUGE_RAILTYPE_NONE]]),FALSE)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37" t="str">
        <f>INDEX(CONTROL[ENGLISH],MATCH(PROPERTIES[[#This Row],[VEHIDCODE]],CONTROL[VEHIDCODE],0))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5" t="b">
        <f>IFERROR(OR(TRACK_TYPES[[#This Row],[TRACK_TYPE_STANDARD_GAUGE_RAILTYPE_OHLE]:[TRACK_TYPE_STANDARD_GAUGE_RAILTYPE_NONE]]),FALSE)</f>
        <v>0</v>
      </c>
      <c r="AF577" s="35" t="b">
        <f>IFERROR(OR(TRACK_TYPES[[#This Row],[TRACK_TYPE_NARROW_GAUGE_RAILTYPE_OHLE]:[TRACK_TYPE_NARROW_GAUGE_RAILTYPE_NONE]]),FALSE)</f>
        <v>0</v>
      </c>
      <c r="AG577" s="35" t="b">
        <f>IFERROR(OR(TRACK_TYPES[[#This Row],[TRACK_TYPE_BROAD_GAUGE_RAILTYPE_OHLE]:[TRACK_TYPE_BROAD_GAUGE_RAILTYPE_NONE]]),FALSE)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37" t="str">
        <f>INDEX(CONTROL[ENGLISH],MATCH(PROPERTIES[[#This Row],[VEHIDCODE]],CONTROL[VEHIDCODE],0))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5" t="b">
        <f>IFERROR(OR(TRACK_TYPES[[#This Row],[TRACK_TYPE_STANDARD_GAUGE_RAILTYPE_OHLE]:[TRACK_TYPE_STANDARD_GAUGE_RAILTYPE_NONE]]),FALSE)</f>
        <v>0</v>
      </c>
      <c r="AF578" s="35" t="b">
        <f>IFERROR(OR(TRACK_TYPES[[#This Row],[TRACK_TYPE_NARROW_GAUGE_RAILTYPE_OHLE]:[TRACK_TYPE_NARROW_GAUGE_RAILTYPE_NONE]]),FALSE)</f>
        <v>0</v>
      </c>
      <c r="AG578" s="35" t="b">
        <f>IFERROR(OR(TRACK_TYPES[[#This Row],[TRACK_TYPE_BROAD_GAUGE_RAILTYPE_OHLE]:[TRACK_TYPE_BROAD_GAUGE_RAILTYPE_NONE]]),FALSE)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37" t="str">
        <f>INDEX(CONTROL[ENGLISH],MATCH(PROPERTIES[[#This Row],[VEHIDCODE]],CONTROL[VEHIDCODE],0))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5" t="b">
        <f>IFERROR(OR(TRACK_TYPES[[#This Row],[TRACK_TYPE_STANDARD_GAUGE_RAILTYPE_OHLE]:[TRACK_TYPE_STANDARD_GAUGE_RAILTYPE_NONE]]),FALSE)</f>
        <v>0</v>
      </c>
      <c r="AF579" s="35" t="b">
        <f>IFERROR(OR(TRACK_TYPES[[#This Row],[TRACK_TYPE_NARROW_GAUGE_RAILTYPE_OHLE]:[TRACK_TYPE_NARROW_GAUGE_RAILTYPE_NONE]]),FALSE)</f>
        <v>0</v>
      </c>
      <c r="AG579" s="35" t="b">
        <f>IFERROR(OR(TRACK_TYPES[[#This Row],[TRACK_TYPE_BROAD_GAUGE_RAILTYPE_OHLE]:[TRACK_TYPE_BROAD_GAUGE_RAILTYPE_NONE]]),FALSE)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37" t="str">
        <f>INDEX(CONTROL[ENGLISH],MATCH(PROPERTIES[[#This Row],[VEHIDCODE]],CONTROL[VEHIDCODE],0))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5" t="b">
        <f>IFERROR(OR(TRACK_TYPES[[#This Row],[TRACK_TYPE_STANDARD_GAUGE_RAILTYPE_OHLE]:[TRACK_TYPE_STANDARD_GAUGE_RAILTYPE_NONE]]),FALSE)</f>
        <v>0</v>
      </c>
      <c r="AF580" s="35" t="b">
        <f>IFERROR(OR(TRACK_TYPES[[#This Row],[TRACK_TYPE_NARROW_GAUGE_RAILTYPE_OHLE]:[TRACK_TYPE_NARROW_GAUGE_RAILTYPE_NONE]]),FALSE)</f>
        <v>0</v>
      </c>
      <c r="AG580" s="35" t="b">
        <f>IFERROR(OR(TRACK_TYPES[[#This Row],[TRACK_TYPE_BROAD_GAUGE_RAILTYPE_OHLE]:[TRACK_TYPE_BROAD_GAUGE_RAILTYPE_NONE]]),FALSE)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37" t="str">
        <f>INDEX(CONTROL[ENGLISH],MATCH(PROPERTIES[[#This Row],[VEHIDCODE]],CONTROL[VEHIDCODE],0))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5" t="b">
        <f>IFERROR(OR(TRACK_TYPES[[#This Row],[TRACK_TYPE_STANDARD_GAUGE_RAILTYPE_OHLE]:[TRACK_TYPE_STANDARD_GAUGE_RAILTYPE_NONE]]),FALSE)</f>
        <v>0</v>
      </c>
      <c r="AF581" s="35" t="b">
        <f>IFERROR(OR(TRACK_TYPES[[#This Row],[TRACK_TYPE_NARROW_GAUGE_RAILTYPE_OHLE]:[TRACK_TYPE_NARROW_GAUGE_RAILTYPE_NONE]]),FALSE)</f>
        <v>0</v>
      </c>
      <c r="AG581" s="35" t="b">
        <f>IFERROR(OR(TRACK_TYPES[[#This Row],[TRACK_TYPE_BROAD_GAUGE_RAILTYPE_OHLE]:[TRACK_TYPE_BROAD_GAUGE_RAILTYPE_NONE]]),FALSE)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37" t="str">
        <f>INDEX(CONTROL[ENGLISH],MATCH(PROPERTIES[[#This Row],[VEHIDCODE]],CONTROL[VEHIDCODE],0))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5" t="b">
        <f>IFERROR(OR(TRACK_TYPES[[#This Row],[TRACK_TYPE_STANDARD_GAUGE_RAILTYPE_OHLE]:[TRACK_TYPE_STANDARD_GAUGE_RAILTYPE_NONE]]),FALSE)</f>
        <v>0</v>
      </c>
      <c r="AF582" s="35" t="b">
        <f>IFERROR(OR(TRACK_TYPES[[#This Row],[TRACK_TYPE_NARROW_GAUGE_RAILTYPE_OHLE]:[TRACK_TYPE_NARROW_GAUGE_RAILTYPE_NONE]]),FALSE)</f>
        <v>0</v>
      </c>
      <c r="AG582" s="35" t="b">
        <f>IFERROR(OR(TRACK_TYPES[[#This Row],[TRACK_TYPE_BROAD_GAUGE_RAILTYPE_OHLE]:[TRACK_TYPE_BROAD_GAUGE_RAILTYPE_NONE]]),FALSE)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37" t="str">
        <f>INDEX(CONTROL[ENGLISH],MATCH(PROPERTIES[[#This Row],[VEHIDCODE]],CONTROL[VEHIDCODE],0))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5" t="b">
        <f>IFERROR(OR(TRACK_TYPES[[#This Row],[TRACK_TYPE_STANDARD_GAUGE_RAILTYPE_OHLE]:[TRACK_TYPE_STANDARD_GAUGE_RAILTYPE_NONE]]),FALSE)</f>
        <v>0</v>
      </c>
      <c r="AF583" s="35" t="b">
        <f>IFERROR(OR(TRACK_TYPES[[#This Row],[TRACK_TYPE_NARROW_GAUGE_RAILTYPE_OHLE]:[TRACK_TYPE_NARROW_GAUGE_RAILTYPE_NONE]]),FALSE)</f>
        <v>0</v>
      </c>
      <c r="AG583" s="35" t="b">
        <f>IFERROR(OR(TRACK_TYPES[[#This Row],[TRACK_TYPE_BROAD_GAUGE_RAILTYPE_OHLE]:[TRACK_TYPE_BROAD_GAUGE_RAILTYPE_NONE]]),FALSE)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37" t="str">
        <f>INDEX(CONTROL[ENGLISH],MATCH(PROPERTIES[[#This Row],[VEHIDCODE]],CONTROL[VEHIDCODE],0))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5" t="b">
        <f>IFERROR(OR(TRACK_TYPES[[#This Row],[TRACK_TYPE_STANDARD_GAUGE_RAILTYPE_OHLE]:[TRACK_TYPE_STANDARD_GAUGE_RAILTYPE_NONE]]),FALSE)</f>
        <v>0</v>
      </c>
      <c r="AF584" s="35" t="b">
        <f>IFERROR(OR(TRACK_TYPES[[#This Row],[TRACK_TYPE_NARROW_GAUGE_RAILTYPE_OHLE]:[TRACK_TYPE_NARROW_GAUGE_RAILTYPE_NONE]]),FALSE)</f>
        <v>0</v>
      </c>
      <c r="AG584" s="35" t="b">
        <f>IFERROR(OR(TRACK_TYPES[[#This Row],[TRACK_TYPE_BROAD_GAUGE_RAILTYPE_OHLE]:[TRACK_TYPE_BROAD_GAUGE_RAILTYPE_NONE]]),FALSE)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37" t="str">
        <f>INDEX(CONTROL[ENGLISH],MATCH(PROPERTIES[[#This Row],[VEHIDCODE]],CONTROL[VEHIDCODE],0))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5" t="b">
        <f>IFERROR(OR(TRACK_TYPES[[#This Row],[TRACK_TYPE_STANDARD_GAUGE_RAILTYPE_OHLE]:[TRACK_TYPE_STANDARD_GAUGE_RAILTYPE_NONE]]),FALSE)</f>
        <v>0</v>
      </c>
      <c r="AF585" s="35" t="b">
        <f>IFERROR(OR(TRACK_TYPES[[#This Row],[TRACK_TYPE_NARROW_GAUGE_RAILTYPE_OHLE]:[TRACK_TYPE_NARROW_GAUGE_RAILTYPE_NONE]]),FALSE)</f>
        <v>0</v>
      </c>
      <c r="AG585" s="35" t="b">
        <f>IFERROR(OR(TRACK_TYPES[[#This Row],[TRACK_TYPE_BROAD_GAUGE_RAILTYPE_OHLE]:[TRACK_TYPE_BROAD_GAUGE_RAILTYPE_NONE]]),FALSE)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37" t="str">
        <f>INDEX(CONTROL[ENGLISH],MATCH(PROPERTIES[[#This Row],[VEHIDCODE]],CONTROL[VEHIDCODE],0))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5" t="b">
        <f>IFERROR(OR(TRACK_TYPES[[#This Row],[TRACK_TYPE_STANDARD_GAUGE_RAILTYPE_OHLE]:[TRACK_TYPE_STANDARD_GAUGE_RAILTYPE_NONE]]),FALSE)</f>
        <v>0</v>
      </c>
      <c r="AF586" s="35" t="b">
        <f>IFERROR(OR(TRACK_TYPES[[#This Row],[TRACK_TYPE_NARROW_GAUGE_RAILTYPE_OHLE]:[TRACK_TYPE_NARROW_GAUGE_RAILTYPE_NONE]]),FALSE)</f>
        <v>0</v>
      </c>
      <c r="AG586" s="35" t="b">
        <f>IFERROR(OR(TRACK_TYPES[[#This Row],[TRACK_TYPE_BROAD_GAUGE_RAILTYPE_OHLE]:[TRACK_TYPE_BROAD_GAUGE_RAILTYPE_NONE]]),FALSE)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3196</v>
      </c>
      <c r="B587" s="37" t="str">
        <f>INDEX(CONTROL[ENGLISH],MATCH(PROPERTIES[[#This Row],[VEHIDCODE]],CONTROL[VEHIDCODE],0))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5" t="b">
        <f>IFERROR(OR(TRACK_TYPES[[#This Row],[TRACK_TYPE_STANDARD_GAUGE_RAILTYPE_OHLE]:[TRACK_TYPE_STANDARD_GAUGE_RAILTYPE_NONE]]),FALSE)</f>
        <v>0</v>
      </c>
      <c r="AF587" s="35" t="b">
        <f>IFERROR(OR(TRACK_TYPES[[#This Row],[TRACK_TYPE_NARROW_GAUGE_RAILTYPE_OHLE]:[TRACK_TYPE_NARROW_GAUGE_RAILTYPE_NONE]]),FALSE)</f>
        <v>1</v>
      </c>
      <c r="AG587" s="35" t="b">
        <f>IFERROR(OR(TRACK_TYPES[[#This Row],[TRACK_TYPE_BROAD_GAUGE_RAILTYPE_OHLE]:[TRACK_TYPE_BROAD_GAUGE_RAILTYPE_NONE]]),FALSE)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3197</v>
      </c>
      <c r="B588" s="37" t="str">
        <f>INDEX(CONTROL[ENGLISH],MATCH(PROPERTIES[[#This Row],[VEHIDCODE]],CONTROL[VEHIDCODE],0))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5" t="b">
        <f>IFERROR(OR(TRACK_TYPES[[#This Row],[TRACK_TYPE_STANDARD_GAUGE_RAILTYPE_OHLE]:[TRACK_TYPE_STANDARD_GAUGE_RAILTYPE_NONE]]),FALSE)</f>
        <v>0</v>
      </c>
      <c r="AF588" s="35" t="b">
        <f>IFERROR(OR(TRACK_TYPES[[#This Row],[TRACK_TYPE_NARROW_GAUGE_RAILTYPE_OHLE]:[TRACK_TYPE_NARROW_GAUGE_RAILTYPE_NONE]]),FALSE)</f>
        <v>1</v>
      </c>
      <c r="AG588" s="35" t="b">
        <f>IFERROR(OR(TRACK_TYPES[[#This Row],[TRACK_TYPE_BROAD_GAUGE_RAILTYPE_OHLE]:[TRACK_TYPE_BROAD_GAUGE_RAILTYPE_NONE]]),FALSE)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3198</v>
      </c>
      <c r="B589" s="37" t="str">
        <f>INDEX(CONTROL[ENGLISH],MATCH(PROPERTIES[[#This Row],[VEHIDCODE]],CONTROL[VEHIDCODE],0))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5" t="b">
        <f>IFERROR(OR(TRACK_TYPES[[#This Row],[TRACK_TYPE_STANDARD_GAUGE_RAILTYPE_OHLE]:[TRACK_TYPE_STANDARD_GAUGE_RAILTYPE_NONE]]),FALSE)</f>
        <v>0</v>
      </c>
      <c r="AF589" s="35" t="b">
        <f>IFERROR(OR(TRACK_TYPES[[#This Row],[TRACK_TYPE_NARROW_GAUGE_RAILTYPE_OHLE]:[TRACK_TYPE_NARROW_GAUGE_RAILTYPE_NONE]]),FALSE)</f>
        <v>1</v>
      </c>
      <c r="AG589" s="35" t="b">
        <f>IFERROR(OR(TRACK_TYPES[[#This Row],[TRACK_TYPE_BROAD_GAUGE_RAILTYPE_OHLE]:[TRACK_TYPE_BROAD_GAUGE_RAILTYPE_NONE]]),FALSE)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3199</v>
      </c>
      <c r="B590" s="37" t="str">
        <f>INDEX(CONTROL[ENGLISH],MATCH(PROPERTIES[[#This Row],[VEHIDCODE]],CONTROL[VEHIDCODE],0))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5" t="b">
        <f>IFERROR(OR(TRACK_TYPES[[#This Row],[TRACK_TYPE_STANDARD_GAUGE_RAILTYPE_OHLE]:[TRACK_TYPE_STANDARD_GAUGE_RAILTYPE_NONE]]),FALSE)</f>
        <v>0</v>
      </c>
      <c r="AF590" s="35" t="b">
        <f>IFERROR(OR(TRACK_TYPES[[#This Row],[TRACK_TYPE_NARROW_GAUGE_RAILTYPE_OHLE]:[TRACK_TYPE_NARROW_GAUGE_RAILTYPE_NONE]]),FALSE)</f>
        <v>1</v>
      </c>
      <c r="AG590" s="35" t="b">
        <f>IFERROR(OR(TRACK_TYPES[[#This Row],[TRACK_TYPE_BROAD_GAUGE_RAILTYPE_OHLE]:[TRACK_TYPE_BROAD_GAUGE_RAILTYPE_NONE]]),FALSE)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3200</v>
      </c>
      <c r="B591" s="37" t="str">
        <f>INDEX(CONTROL[ENGLISH],MATCH(PROPERTIES[[#This Row],[VEHIDCODE]],CONTROL[VEHIDCODE],0))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5" t="b">
        <f>IFERROR(OR(TRACK_TYPES[[#This Row],[TRACK_TYPE_STANDARD_GAUGE_RAILTYPE_OHLE]:[TRACK_TYPE_STANDARD_GAUGE_RAILTYPE_NONE]]),FALSE)</f>
        <v>0</v>
      </c>
      <c r="AF591" s="35" t="b">
        <f>IFERROR(OR(TRACK_TYPES[[#This Row],[TRACK_TYPE_NARROW_GAUGE_RAILTYPE_OHLE]:[TRACK_TYPE_NARROW_GAUGE_RAILTYPE_NONE]]),FALSE)</f>
        <v>1</v>
      </c>
      <c r="AG591" s="35" t="b">
        <f>IFERROR(OR(TRACK_TYPES[[#This Row],[TRACK_TYPE_BROAD_GAUGE_RAILTYPE_OHLE]:[TRACK_TYPE_BROAD_GAUGE_RAILTYPE_NONE]]),FALSE)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3201</v>
      </c>
      <c r="B592" s="37" t="str">
        <f>INDEX(CONTROL[ENGLISH],MATCH(PROPERTIES[[#This Row],[VEHIDCODE]],CONTROL[VEHIDCODE],0))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5" t="b">
        <f>IFERROR(OR(TRACK_TYPES[[#This Row],[TRACK_TYPE_STANDARD_GAUGE_RAILTYPE_OHLE]:[TRACK_TYPE_STANDARD_GAUGE_RAILTYPE_NONE]]),FALSE)</f>
        <v>0</v>
      </c>
      <c r="AF592" s="35" t="b">
        <f>IFERROR(OR(TRACK_TYPES[[#This Row],[TRACK_TYPE_NARROW_GAUGE_RAILTYPE_OHLE]:[TRACK_TYPE_NARROW_GAUGE_RAILTYPE_NONE]]),FALSE)</f>
        <v>1</v>
      </c>
      <c r="AG592" s="35" t="b">
        <f>IFERROR(OR(TRACK_TYPES[[#This Row],[TRACK_TYPE_BROAD_GAUGE_RAILTYPE_OHLE]:[TRACK_TYPE_BROAD_GAUGE_RAILTYPE_NONE]]),FALSE)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3202</v>
      </c>
      <c r="B593" s="37" t="str">
        <f>INDEX(CONTROL[ENGLISH],MATCH(PROPERTIES[[#This Row],[VEHIDCODE]],CONTROL[VEHIDCODE],0))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5" t="b">
        <f>IFERROR(OR(TRACK_TYPES[[#This Row],[TRACK_TYPE_STANDARD_GAUGE_RAILTYPE_OHLE]:[TRACK_TYPE_STANDARD_GAUGE_RAILTYPE_NONE]]),FALSE)</f>
        <v>0</v>
      </c>
      <c r="AF593" s="35" t="b">
        <f>IFERROR(OR(TRACK_TYPES[[#This Row],[TRACK_TYPE_NARROW_GAUGE_RAILTYPE_OHLE]:[TRACK_TYPE_NARROW_GAUGE_RAILTYPE_NONE]]),FALSE)</f>
        <v>1</v>
      </c>
      <c r="AG593" s="35" t="b">
        <f>IFERROR(OR(TRACK_TYPES[[#This Row],[TRACK_TYPE_BROAD_GAUGE_RAILTYPE_OHLE]:[TRACK_TYPE_BROAD_GAUGE_RAILTYPE_NONE]]),FALSE)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3203</v>
      </c>
      <c r="B594" s="37" t="str">
        <f>INDEX(CONTROL[ENGLISH],MATCH(PROPERTIES[[#This Row],[VEHIDCODE]],CONTROL[VEHIDCODE],0))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5" t="b">
        <f>IFERROR(OR(TRACK_TYPES[[#This Row],[TRACK_TYPE_STANDARD_GAUGE_RAILTYPE_OHLE]:[TRACK_TYPE_STANDARD_GAUGE_RAILTYPE_NONE]]),FALSE)</f>
        <v>0</v>
      </c>
      <c r="AF594" s="35" t="b">
        <f>IFERROR(OR(TRACK_TYPES[[#This Row],[TRACK_TYPE_NARROW_GAUGE_RAILTYPE_OHLE]:[TRACK_TYPE_NARROW_GAUGE_RAILTYPE_NONE]]),FALSE)</f>
        <v>1</v>
      </c>
      <c r="AG594" s="35" t="b">
        <f>IFERROR(OR(TRACK_TYPES[[#This Row],[TRACK_TYPE_BROAD_GAUGE_RAILTYPE_OHLE]:[TRACK_TYPE_BROAD_GAUGE_RAILTYPE_NONE]]),FALSE)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3204</v>
      </c>
      <c r="B595" s="37" t="str">
        <f>INDEX(CONTROL[ENGLISH],MATCH(PROPERTIES[[#This Row],[VEHIDCODE]],CONTROL[VEHIDCODE],0))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5" t="b">
        <f>IFERROR(OR(TRACK_TYPES[[#This Row],[TRACK_TYPE_STANDARD_GAUGE_RAILTYPE_OHLE]:[TRACK_TYPE_STANDARD_GAUGE_RAILTYPE_NONE]]),FALSE)</f>
        <v>0</v>
      </c>
      <c r="AF595" s="35" t="b">
        <f>IFERROR(OR(TRACK_TYPES[[#This Row],[TRACK_TYPE_NARROW_GAUGE_RAILTYPE_OHLE]:[TRACK_TYPE_NARROW_GAUGE_RAILTYPE_NONE]]),FALSE)</f>
        <v>1</v>
      </c>
      <c r="AG595" s="35" t="b">
        <f>IFERROR(OR(TRACK_TYPES[[#This Row],[TRACK_TYPE_BROAD_GAUGE_RAILTYPE_OHLE]:[TRACK_TYPE_BROAD_GAUGE_RAILTYPE_NONE]]),FALSE)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3205</v>
      </c>
      <c r="B596" s="37" t="str">
        <f>INDEX(CONTROL[ENGLISH],MATCH(PROPERTIES[[#This Row],[VEHIDCODE]],CONTROL[VEHIDCODE],0))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5" t="b">
        <f>IFERROR(OR(TRACK_TYPES[[#This Row],[TRACK_TYPE_STANDARD_GAUGE_RAILTYPE_OHLE]:[TRACK_TYPE_STANDARD_GAUGE_RAILTYPE_NONE]]),FALSE)</f>
        <v>0</v>
      </c>
      <c r="AF596" s="35" t="b">
        <f>IFERROR(OR(TRACK_TYPES[[#This Row],[TRACK_TYPE_NARROW_GAUGE_RAILTYPE_OHLE]:[TRACK_TYPE_NARROW_GAUGE_RAILTYPE_NONE]]),FALSE)</f>
        <v>1</v>
      </c>
      <c r="AG596" s="35" t="b">
        <f>IFERROR(OR(TRACK_TYPES[[#This Row],[TRACK_TYPE_BROAD_GAUGE_RAILTYPE_OHLE]:[TRACK_TYPE_BROAD_GAUGE_RAILTYPE_NONE]]),FALSE)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3206</v>
      </c>
      <c r="B597" s="37" t="str">
        <f>INDEX(CONTROL[ENGLISH],MATCH(PROPERTIES[[#This Row],[VEHIDCODE]],CONTROL[VEHIDCODE],0))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5" t="b">
        <f>IFERROR(OR(TRACK_TYPES[[#This Row],[TRACK_TYPE_STANDARD_GAUGE_RAILTYPE_OHLE]:[TRACK_TYPE_STANDARD_GAUGE_RAILTYPE_NONE]]),FALSE)</f>
        <v>0</v>
      </c>
      <c r="AF597" s="35" t="b">
        <f>IFERROR(OR(TRACK_TYPES[[#This Row],[TRACK_TYPE_NARROW_GAUGE_RAILTYPE_OHLE]:[TRACK_TYPE_NARROW_GAUGE_RAILTYPE_NONE]]),FALSE)</f>
        <v>1</v>
      </c>
      <c r="AG597" s="35" t="b">
        <f>IFERROR(OR(TRACK_TYPES[[#This Row],[TRACK_TYPE_BROAD_GAUGE_RAILTYPE_OHLE]:[TRACK_TYPE_BROAD_GAUGE_RAILTYPE_NONE]]),FALSE)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3207</v>
      </c>
      <c r="B598" s="37" t="str">
        <f>INDEX(CONTROL[ENGLISH],MATCH(PROPERTIES[[#This Row],[VEHIDCODE]],CONTROL[VEHIDCODE],0))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5" t="b">
        <f>IFERROR(OR(TRACK_TYPES[[#This Row],[TRACK_TYPE_STANDARD_GAUGE_RAILTYPE_OHLE]:[TRACK_TYPE_STANDARD_GAUGE_RAILTYPE_NONE]]),FALSE)</f>
        <v>0</v>
      </c>
      <c r="AF598" s="35" t="b">
        <f>IFERROR(OR(TRACK_TYPES[[#This Row],[TRACK_TYPE_NARROW_GAUGE_RAILTYPE_OHLE]:[TRACK_TYPE_NARROW_GAUGE_RAILTYPE_NONE]]),FALSE)</f>
        <v>1</v>
      </c>
      <c r="AG598" s="35" t="b">
        <f>IFERROR(OR(TRACK_TYPES[[#This Row],[TRACK_TYPE_BROAD_GAUGE_RAILTYPE_OHLE]:[TRACK_TYPE_BROAD_GAUGE_RAILTYPE_NONE]]),FALSE)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3208</v>
      </c>
      <c r="B599" s="37" t="str">
        <f>INDEX(CONTROL[ENGLISH],MATCH(PROPERTIES[[#This Row],[VEHIDCODE]],CONTROL[VEHIDCODE],0))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5" t="b">
        <f>IFERROR(OR(TRACK_TYPES[[#This Row],[TRACK_TYPE_STANDARD_GAUGE_RAILTYPE_OHLE]:[TRACK_TYPE_STANDARD_GAUGE_RAILTYPE_NONE]]),FALSE)</f>
        <v>0</v>
      </c>
      <c r="AF599" s="35" t="b">
        <f>IFERROR(OR(TRACK_TYPES[[#This Row],[TRACK_TYPE_NARROW_GAUGE_RAILTYPE_OHLE]:[TRACK_TYPE_NARROW_GAUGE_RAILTYPE_NONE]]),FALSE)</f>
        <v>1</v>
      </c>
      <c r="AG599" s="35" t="b">
        <f>IFERROR(OR(TRACK_TYPES[[#This Row],[TRACK_TYPE_BROAD_GAUGE_RAILTYPE_OHLE]:[TRACK_TYPE_BROAD_GAUGE_RAILTYPE_NONE]]),FALSE)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3209</v>
      </c>
      <c r="B600" s="37" t="str">
        <f>INDEX(CONTROL[ENGLISH],MATCH(PROPERTIES[[#This Row],[VEHIDCODE]],CONTROL[VEHIDCODE],0))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5" t="b">
        <f>IFERROR(OR(TRACK_TYPES[[#This Row],[TRACK_TYPE_STANDARD_GAUGE_RAILTYPE_OHLE]:[TRACK_TYPE_STANDARD_GAUGE_RAILTYPE_NONE]]),FALSE)</f>
        <v>0</v>
      </c>
      <c r="AF600" s="35" t="b">
        <f>IFERROR(OR(TRACK_TYPES[[#This Row],[TRACK_TYPE_NARROW_GAUGE_RAILTYPE_OHLE]:[TRACK_TYPE_NARROW_GAUGE_RAILTYPE_NONE]]),FALSE)</f>
        <v>1</v>
      </c>
      <c r="AG600" s="35" t="b">
        <f>IFERROR(OR(TRACK_TYPES[[#This Row],[TRACK_TYPE_BROAD_GAUGE_RAILTYPE_OHLE]:[TRACK_TYPE_BROAD_GAUGE_RAILTYPE_NONE]]),FALSE)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3210</v>
      </c>
      <c r="B601" s="37" t="str">
        <f>INDEX(CONTROL[ENGLISH],MATCH(PROPERTIES[[#This Row],[VEHIDCODE]],CONTROL[VEHIDCODE],0))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5" t="b">
        <f>IFERROR(OR(TRACK_TYPES[[#This Row],[TRACK_TYPE_STANDARD_GAUGE_RAILTYPE_OHLE]:[TRACK_TYPE_STANDARD_GAUGE_RAILTYPE_NONE]]),FALSE)</f>
        <v>0</v>
      </c>
      <c r="AF601" s="35" t="b">
        <f>IFERROR(OR(TRACK_TYPES[[#This Row],[TRACK_TYPE_NARROW_GAUGE_RAILTYPE_OHLE]:[TRACK_TYPE_NARROW_GAUGE_RAILTYPE_NONE]]),FALSE)</f>
        <v>1</v>
      </c>
      <c r="AG601" s="35" t="b">
        <f>IFERROR(OR(TRACK_TYPES[[#This Row],[TRACK_TYPE_BROAD_GAUGE_RAILTYPE_OHLE]:[TRACK_TYPE_BROAD_GAUGE_RAILTYPE_NONE]]),FALSE)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3211</v>
      </c>
      <c r="B602" s="37" t="str">
        <f>INDEX(CONTROL[ENGLISH],MATCH(PROPERTIES[[#This Row],[VEHIDCODE]],CONTROL[VEHIDCODE],0))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5" t="b">
        <f>IFERROR(OR(TRACK_TYPES[[#This Row],[TRACK_TYPE_STANDARD_GAUGE_RAILTYPE_OHLE]:[TRACK_TYPE_STANDARD_GAUGE_RAILTYPE_NONE]]),FALSE)</f>
        <v>0</v>
      </c>
      <c r="AF602" s="35" t="b">
        <f>IFERROR(OR(TRACK_TYPES[[#This Row],[TRACK_TYPE_NARROW_GAUGE_RAILTYPE_OHLE]:[TRACK_TYPE_NARROW_GAUGE_RAILTYPE_NONE]]),FALSE)</f>
        <v>1</v>
      </c>
      <c r="AG602" s="35" t="b">
        <f>IFERROR(OR(TRACK_TYPES[[#This Row],[TRACK_TYPE_BROAD_GAUGE_RAILTYPE_OHLE]:[TRACK_TYPE_BROAD_GAUGE_RAILTYPE_NONE]]),FALSE)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3212</v>
      </c>
      <c r="B603" s="37" t="str">
        <f>INDEX(CONTROL[ENGLISH],MATCH(PROPERTIES[[#This Row],[VEHIDCODE]],CONTROL[VEHIDCODE],0))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5" t="b">
        <f>IFERROR(OR(TRACK_TYPES[[#This Row],[TRACK_TYPE_STANDARD_GAUGE_RAILTYPE_OHLE]:[TRACK_TYPE_STANDARD_GAUGE_RAILTYPE_NONE]]),FALSE)</f>
        <v>0</v>
      </c>
      <c r="AF603" s="35" t="b">
        <f>IFERROR(OR(TRACK_TYPES[[#This Row],[TRACK_TYPE_NARROW_GAUGE_RAILTYPE_OHLE]:[TRACK_TYPE_NARROW_GAUGE_RAILTYPE_NONE]]),FALSE)</f>
        <v>1</v>
      </c>
      <c r="AG603" s="35" t="b">
        <f>IFERROR(OR(TRACK_TYPES[[#This Row],[TRACK_TYPE_BROAD_GAUGE_RAILTYPE_OHLE]:[TRACK_TYPE_BROAD_GAUGE_RAILTYPE_NONE]]),FALSE)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3213</v>
      </c>
      <c r="B604" s="37" t="str">
        <f>INDEX(CONTROL[ENGLISH],MATCH(PROPERTIES[[#This Row],[VEHIDCODE]],CONTROL[VEHIDCODE],0))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5" t="b">
        <f>IFERROR(OR(TRACK_TYPES[[#This Row],[TRACK_TYPE_STANDARD_GAUGE_RAILTYPE_OHLE]:[TRACK_TYPE_STANDARD_GAUGE_RAILTYPE_NONE]]),FALSE)</f>
        <v>0</v>
      </c>
      <c r="AF604" s="35" t="b">
        <f>IFERROR(OR(TRACK_TYPES[[#This Row],[TRACK_TYPE_NARROW_GAUGE_RAILTYPE_OHLE]:[TRACK_TYPE_NARROW_GAUGE_RAILTYPE_NONE]]),FALSE)</f>
        <v>1</v>
      </c>
      <c r="AG604" s="35" t="b">
        <f>IFERROR(OR(TRACK_TYPES[[#This Row],[TRACK_TYPE_BROAD_GAUGE_RAILTYPE_OHLE]:[TRACK_TYPE_BROAD_GAUGE_RAILTYPE_NONE]]),FALSE)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3214</v>
      </c>
      <c r="B605" s="37" t="str">
        <f>INDEX(CONTROL[ENGLISH],MATCH(PROPERTIES[[#This Row],[VEHIDCODE]],CONTROL[VEHIDCODE],0))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5" t="b">
        <f>IFERROR(OR(TRACK_TYPES[[#This Row],[TRACK_TYPE_STANDARD_GAUGE_RAILTYPE_OHLE]:[TRACK_TYPE_STANDARD_GAUGE_RAILTYPE_NONE]]),FALSE)</f>
        <v>0</v>
      </c>
      <c r="AF605" s="35" t="b">
        <f>IFERROR(OR(TRACK_TYPES[[#This Row],[TRACK_TYPE_NARROW_GAUGE_RAILTYPE_OHLE]:[TRACK_TYPE_NARROW_GAUGE_RAILTYPE_NONE]]),FALSE)</f>
        <v>1</v>
      </c>
      <c r="AG605" s="35" t="b">
        <f>IFERROR(OR(TRACK_TYPES[[#This Row],[TRACK_TYPE_BROAD_GAUGE_RAILTYPE_OHLE]:[TRACK_TYPE_BROAD_GAUGE_RAILTYPE_NONE]]),FALSE)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3215</v>
      </c>
      <c r="B606" s="37" t="str">
        <f>INDEX(CONTROL[ENGLISH],MATCH(PROPERTIES[[#This Row],[VEHIDCODE]],CONTROL[VEHIDCODE],0))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5" t="b">
        <f>IFERROR(OR(TRACK_TYPES[[#This Row],[TRACK_TYPE_STANDARD_GAUGE_RAILTYPE_OHLE]:[TRACK_TYPE_STANDARD_GAUGE_RAILTYPE_NONE]]),FALSE)</f>
        <v>0</v>
      </c>
      <c r="AF606" s="35" t="b">
        <f>IFERROR(OR(TRACK_TYPES[[#This Row],[TRACK_TYPE_NARROW_GAUGE_RAILTYPE_OHLE]:[TRACK_TYPE_NARROW_GAUGE_RAILTYPE_NONE]]),FALSE)</f>
        <v>1</v>
      </c>
      <c r="AG606" s="35" t="b">
        <f>IFERROR(OR(TRACK_TYPES[[#This Row],[TRACK_TYPE_BROAD_GAUGE_RAILTYPE_OHLE]:[TRACK_TYPE_BROAD_GAUGE_RAILTYPE_NONE]]),FALSE)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3216</v>
      </c>
      <c r="B607" s="37" t="str">
        <f>INDEX(CONTROL[ENGLISH],MATCH(PROPERTIES[[#This Row],[VEHIDCODE]],CONTROL[VEHIDCODE],0))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5" t="b">
        <f>IFERROR(OR(TRACK_TYPES[[#This Row],[TRACK_TYPE_STANDARD_GAUGE_RAILTYPE_OHLE]:[TRACK_TYPE_STANDARD_GAUGE_RAILTYPE_NONE]]),FALSE)</f>
        <v>0</v>
      </c>
      <c r="AF607" s="35" t="b">
        <f>IFERROR(OR(TRACK_TYPES[[#This Row],[TRACK_TYPE_NARROW_GAUGE_RAILTYPE_OHLE]:[TRACK_TYPE_NARROW_GAUGE_RAILTYPE_NONE]]),FALSE)</f>
        <v>1</v>
      </c>
      <c r="AG607" s="35" t="b">
        <f>IFERROR(OR(TRACK_TYPES[[#This Row],[TRACK_TYPE_BROAD_GAUGE_RAILTYPE_OHLE]:[TRACK_TYPE_BROAD_GAUGE_RAILTYPE_NONE]]),FALSE)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3217</v>
      </c>
      <c r="B608" s="37" t="str">
        <f>INDEX(CONTROL[ENGLISH],MATCH(PROPERTIES[[#This Row],[VEHIDCODE]],CONTROL[VEHIDCODE],0))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5" t="b">
        <f>IFERROR(OR(TRACK_TYPES[[#This Row],[TRACK_TYPE_STANDARD_GAUGE_RAILTYPE_OHLE]:[TRACK_TYPE_STANDARD_GAUGE_RAILTYPE_NONE]]),FALSE)</f>
        <v>0</v>
      </c>
      <c r="AF608" s="35" t="b">
        <f>IFERROR(OR(TRACK_TYPES[[#This Row],[TRACK_TYPE_NARROW_GAUGE_RAILTYPE_OHLE]:[TRACK_TYPE_NARROW_GAUGE_RAILTYPE_NONE]]),FALSE)</f>
        <v>1</v>
      </c>
      <c r="AG608" s="35" t="b">
        <f>IFERROR(OR(TRACK_TYPES[[#This Row],[TRACK_TYPE_BROAD_GAUGE_RAILTYPE_OHLE]:[TRACK_TYPE_BROAD_GAUGE_RAILTYPE_NONE]]),FALSE)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3218</v>
      </c>
      <c r="B609" s="37" t="str">
        <f>INDEX(CONTROL[ENGLISH],MATCH(PROPERTIES[[#This Row],[VEHIDCODE]],CONTROL[VEHIDCODE],0))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5" t="b">
        <f>IFERROR(OR(TRACK_TYPES[[#This Row],[TRACK_TYPE_STANDARD_GAUGE_RAILTYPE_OHLE]:[TRACK_TYPE_STANDARD_GAUGE_RAILTYPE_NONE]]),FALSE)</f>
        <v>0</v>
      </c>
      <c r="AF609" s="35" t="b">
        <f>IFERROR(OR(TRACK_TYPES[[#This Row],[TRACK_TYPE_NARROW_GAUGE_RAILTYPE_OHLE]:[TRACK_TYPE_NARROW_GAUGE_RAILTYPE_NONE]]),FALSE)</f>
        <v>1</v>
      </c>
      <c r="AG609" s="35" t="b">
        <f>IFERROR(OR(TRACK_TYPES[[#This Row],[TRACK_TYPE_BROAD_GAUGE_RAILTYPE_OHLE]:[TRACK_TYPE_BROAD_GAUGE_RAILTYPE_NONE]]),FALSE)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3219</v>
      </c>
      <c r="B610" s="37" t="str">
        <f>INDEX(CONTROL[ENGLISH],MATCH(PROPERTIES[[#This Row],[VEHIDCODE]],CONTROL[VEHIDCODE],0))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5" t="b">
        <f>IFERROR(OR(TRACK_TYPES[[#This Row],[TRACK_TYPE_STANDARD_GAUGE_RAILTYPE_OHLE]:[TRACK_TYPE_STANDARD_GAUGE_RAILTYPE_NONE]]),FALSE)</f>
        <v>0</v>
      </c>
      <c r="AF610" s="35" t="b">
        <f>IFERROR(OR(TRACK_TYPES[[#This Row],[TRACK_TYPE_NARROW_GAUGE_RAILTYPE_OHLE]:[TRACK_TYPE_NARROW_GAUGE_RAILTYPE_NONE]]),FALSE)</f>
        <v>1</v>
      </c>
      <c r="AG610" s="35" t="b">
        <f>IFERROR(OR(TRACK_TYPES[[#This Row],[TRACK_TYPE_BROAD_GAUGE_RAILTYPE_OHLE]:[TRACK_TYPE_BROAD_GAUGE_RAILTYPE_NONE]]),FALSE)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3220</v>
      </c>
      <c r="B611" s="37" t="str">
        <f>INDEX(CONTROL[ENGLISH],MATCH(PROPERTIES[[#This Row],[VEHIDCODE]],CONTROL[VEHIDCODE],0))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5" t="b">
        <f>IFERROR(OR(TRACK_TYPES[[#This Row],[TRACK_TYPE_STANDARD_GAUGE_RAILTYPE_OHLE]:[TRACK_TYPE_STANDARD_GAUGE_RAILTYPE_NONE]]),FALSE)</f>
        <v>0</v>
      </c>
      <c r="AF611" s="35" t="b">
        <f>IFERROR(OR(TRACK_TYPES[[#This Row],[TRACK_TYPE_NARROW_GAUGE_RAILTYPE_OHLE]:[TRACK_TYPE_NARROW_GAUGE_RAILTYPE_NONE]]),FALSE)</f>
        <v>1</v>
      </c>
      <c r="AG611" s="35" t="b">
        <f>IFERROR(OR(TRACK_TYPES[[#This Row],[TRACK_TYPE_BROAD_GAUGE_RAILTYPE_OHLE]:[TRACK_TYPE_BROAD_GAUGE_RAILTYPE_NONE]]),FALSE)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3221</v>
      </c>
      <c r="B612" s="37" t="str">
        <f>INDEX(CONTROL[ENGLISH],MATCH(PROPERTIES[[#This Row],[VEHIDCODE]],CONTROL[VEHIDCODE],0))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5" t="b">
        <f>IFERROR(OR(TRACK_TYPES[[#This Row],[TRACK_TYPE_STANDARD_GAUGE_RAILTYPE_OHLE]:[TRACK_TYPE_STANDARD_GAUGE_RAILTYPE_NONE]]),FALSE)</f>
        <v>0</v>
      </c>
      <c r="AF612" s="35" t="b">
        <f>IFERROR(OR(TRACK_TYPES[[#This Row],[TRACK_TYPE_NARROW_GAUGE_RAILTYPE_OHLE]:[TRACK_TYPE_NARROW_GAUGE_RAILTYPE_NONE]]),FALSE)</f>
        <v>1</v>
      </c>
      <c r="AG612" s="35" t="b">
        <f>IFERROR(OR(TRACK_TYPES[[#This Row],[TRACK_TYPE_BROAD_GAUGE_RAILTYPE_OHLE]:[TRACK_TYPE_BROAD_GAUGE_RAILTYPE_NONE]]),FALSE)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3222</v>
      </c>
      <c r="B613" s="37" t="str">
        <f>INDEX(CONTROL[ENGLISH],MATCH(PROPERTIES[[#This Row],[VEHIDCODE]],CONTROL[VEHIDCODE],0))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5" t="b">
        <f>IFERROR(OR(TRACK_TYPES[[#This Row],[TRACK_TYPE_STANDARD_GAUGE_RAILTYPE_OHLE]:[TRACK_TYPE_STANDARD_GAUGE_RAILTYPE_NONE]]),FALSE)</f>
        <v>0</v>
      </c>
      <c r="AF613" s="35" t="b">
        <f>IFERROR(OR(TRACK_TYPES[[#This Row],[TRACK_TYPE_NARROW_GAUGE_RAILTYPE_OHLE]:[TRACK_TYPE_NARROW_GAUGE_RAILTYPE_NONE]]),FALSE)</f>
        <v>1</v>
      </c>
      <c r="AG613" s="35" t="b">
        <f>IFERROR(OR(TRACK_TYPES[[#This Row],[TRACK_TYPE_BROAD_GAUGE_RAILTYPE_OHLE]:[TRACK_TYPE_BROAD_GAUGE_RAILTYPE_NONE]]),FALSE)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3223</v>
      </c>
      <c r="B614" s="37" t="str">
        <f>INDEX(CONTROL[ENGLISH],MATCH(PROPERTIES[[#This Row],[VEHIDCODE]],CONTROL[VEHIDCODE],0))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5" t="b">
        <f>IFERROR(OR(TRACK_TYPES[[#This Row],[TRACK_TYPE_STANDARD_GAUGE_RAILTYPE_OHLE]:[TRACK_TYPE_STANDARD_GAUGE_RAILTYPE_NONE]]),FALSE)</f>
        <v>0</v>
      </c>
      <c r="AF614" s="35" t="b">
        <f>IFERROR(OR(TRACK_TYPES[[#This Row],[TRACK_TYPE_NARROW_GAUGE_RAILTYPE_OHLE]:[TRACK_TYPE_NARROW_GAUGE_RAILTYPE_NONE]]),FALSE)</f>
        <v>0</v>
      </c>
      <c r="AG614" s="35" t="b">
        <f>IFERROR(OR(TRACK_TYPES[[#This Row],[TRACK_TYPE_BROAD_GAUGE_RAILTYPE_OHLE]:[TRACK_TYPE_BROAD_GAUGE_RAILTYPE_NONE]]),FALSE)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3224</v>
      </c>
      <c r="B615" s="37" t="str">
        <f>INDEX(CONTROL[ENGLISH],MATCH(PROPERTIES[[#This Row],[VEHIDCODE]],CONTROL[VEHIDCODE],0))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5" t="b">
        <f>IFERROR(OR(TRACK_TYPES[[#This Row],[TRACK_TYPE_STANDARD_GAUGE_RAILTYPE_OHLE]:[TRACK_TYPE_STANDARD_GAUGE_RAILTYPE_NONE]]),FALSE)</f>
        <v>0</v>
      </c>
      <c r="AF615" s="35" t="b">
        <f>IFERROR(OR(TRACK_TYPES[[#This Row],[TRACK_TYPE_NARROW_GAUGE_RAILTYPE_OHLE]:[TRACK_TYPE_NARROW_GAUGE_RAILTYPE_NONE]]),FALSE)</f>
        <v>1</v>
      </c>
      <c r="AG615" s="35" t="b">
        <f>IFERROR(OR(TRACK_TYPES[[#This Row],[TRACK_TYPE_BROAD_GAUGE_RAILTYPE_OHLE]:[TRACK_TYPE_BROAD_GAUGE_RAILTYPE_NONE]]),FALSE)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3225</v>
      </c>
      <c r="B616" s="37" t="str">
        <f>INDEX(CONTROL[ENGLISH],MATCH(PROPERTIES[[#This Row],[VEHIDCODE]],CONTROL[VEHIDCODE],0))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5" t="b">
        <f>IFERROR(OR(TRACK_TYPES[[#This Row],[TRACK_TYPE_STANDARD_GAUGE_RAILTYPE_OHLE]:[TRACK_TYPE_STANDARD_GAUGE_RAILTYPE_NONE]]),FALSE)</f>
        <v>0</v>
      </c>
      <c r="AF616" s="35" t="b">
        <f>IFERROR(OR(TRACK_TYPES[[#This Row],[TRACK_TYPE_NARROW_GAUGE_RAILTYPE_OHLE]:[TRACK_TYPE_NARROW_GAUGE_RAILTYPE_NONE]]),FALSE)</f>
        <v>1</v>
      </c>
      <c r="AG616" s="35" t="b">
        <f>IFERROR(OR(TRACK_TYPES[[#This Row],[TRACK_TYPE_BROAD_GAUGE_RAILTYPE_OHLE]:[TRACK_TYPE_BROAD_GAUGE_RAILTYPE_NONE]]),FALSE)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3226</v>
      </c>
      <c r="B617" s="37" t="str">
        <f>INDEX(CONTROL[ENGLISH],MATCH(PROPERTIES[[#This Row],[VEHIDCODE]],CONTROL[VEHIDCODE],0))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5" t="b">
        <f>IFERROR(OR(TRACK_TYPES[[#This Row],[TRACK_TYPE_STANDARD_GAUGE_RAILTYPE_OHLE]:[TRACK_TYPE_STANDARD_GAUGE_RAILTYPE_NONE]]),FALSE)</f>
        <v>0</v>
      </c>
      <c r="AF617" s="35" t="b">
        <f>IFERROR(OR(TRACK_TYPES[[#This Row],[TRACK_TYPE_NARROW_GAUGE_RAILTYPE_OHLE]:[TRACK_TYPE_NARROW_GAUGE_RAILTYPE_NONE]]),FALSE)</f>
        <v>1</v>
      </c>
      <c r="AG617" s="35" t="b">
        <f>IFERROR(OR(TRACK_TYPES[[#This Row],[TRACK_TYPE_BROAD_GAUGE_RAILTYPE_OHLE]:[TRACK_TYPE_BROAD_GAUGE_RAILTYPE_NONE]]),FALSE)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3227</v>
      </c>
      <c r="B618" s="37" t="str">
        <f>INDEX(CONTROL[ENGLISH],MATCH(PROPERTIES[[#This Row],[VEHIDCODE]],CONTROL[VEHIDCODE],0))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5" t="b">
        <f>IFERROR(OR(TRACK_TYPES[[#This Row],[TRACK_TYPE_STANDARD_GAUGE_RAILTYPE_OHLE]:[TRACK_TYPE_STANDARD_GAUGE_RAILTYPE_NONE]]),FALSE)</f>
        <v>0</v>
      </c>
      <c r="AF618" s="35" t="b">
        <f>IFERROR(OR(TRACK_TYPES[[#This Row],[TRACK_TYPE_NARROW_GAUGE_RAILTYPE_OHLE]:[TRACK_TYPE_NARROW_GAUGE_RAILTYPE_NONE]]),FALSE)</f>
        <v>1</v>
      </c>
      <c r="AG618" s="35" t="b">
        <f>IFERROR(OR(TRACK_TYPES[[#This Row],[TRACK_TYPE_BROAD_GAUGE_RAILTYPE_OHLE]:[TRACK_TYPE_BROAD_GAUGE_RAILTYPE_NONE]]),FALSE)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3228</v>
      </c>
      <c r="B619" s="37" t="str">
        <f>INDEX(CONTROL[ENGLISH],MATCH(PROPERTIES[[#This Row],[VEHIDCODE]],CONTROL[VEHIDCODE],0))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5" t="b">
        <f>IFERROR(OR(TRACK_TYPES[[#This Row],[TRACK_TYPE_STANDARD_GAUGE_RAILTYPE_OHLE]:[TRACK_TYPE_STANDARD_GAUGE_RAILTYPE_NONE]]),FALSE)</f>
        <v>0</v>
      </c>
      <c r="AF619" s="35" t="b">
        <f>IFERROR(OR(TRACK_TYPES[[#This Row],[TRACK_TYPE_NARROW_GAUGE_RAILTYPE_OHLE]:[TRACK_TYPE_NARROW_GAUGE_RAILTYPE_NONE]]),FALSE)</f>
        <v>1</v>
      </c>
      <c r="AG619" s="35" t="b">
        <f>IFERROR(OR(TRACK_TYPES[[#This Row],[TRACK_TYPE_BROAD_GAUGE_RAILTYPE_OHLE]:[TRACK_TYPE_BROAD_GAUGE_RAILTYPE_NONE]]),FALSE)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3229</v>
      </c>
      <c r="B620" s="37" t="str">
        <f>INDEX(CONTROL[ENGLISH],MATCH(PROPERTIES[[#This Row],[VEHIDCODE]],CONTROL[VEHIDCODE],0))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5" t="b">
        <f>IFERROR(OR(TRACK_TYPES[[#This Row],[TRACK_TYPE_STANDARD_GAUGE_RAILTYPE_OHLE]:[TRACK_TYPE_STANDARD_GAUGE_RAILTYPE_NONE]]),FALSE)</f>
        <v>1</v>
      </c>
      <c r="AF620" s="35" t="b">
        <f>IFERROR(OR(TRACK_TYPES[[#This Row],[TRACK_TYPE_NARROW_GAUGE_RAILTYPE_OHLE]:[TRACK_TYPE_NARROW_GAUGE_RAILTYPE_NONE]]),FALSE)</f>
        <v>0</v>
      </c>
      <c r="AG620" s="35" t="b">
        <f>IFERROR(OR(TRACK_TYPES[[#This Row],[TRACK_TYPE_BROAD_GAUGE_RAILTYPE_OHLE]:[TRACK_TYPE_BROAD_GAUGE_RAILTYPE_NONE]]),FALSE)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3230</v>
      </c>
      <c r="B621" s="37" t="str">
        <f>INDEX(CONTROL[ENGLISH],MATCH(PROPERTIES[[#This Row],[VEHIDCODE]],CONTROL[VEHIDCODE],0))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5" t="b">
        <f>IFERROR(OR(TRACK_TYPES[[#This Row],[TRACK_TYPE_STANDARD_GAUGE_RAILTYPE_OHLE]:[TRACK_TYPE_STANDARD_GAUGE_RAILTYPE_NONE]]),FALSE)</f>
        <v>1</v>
      </c>
      <c r="AF621" s="35" t="b">
        <f>IFERROR(OR(TRACK_TYPES[[#This Row],[TRACK_TYPE_NARROW_GAUGE_RAILTYPE_OHLE]:[TRACK_TYPE_NARROW_GAUGE_RAILTYPE_NONE]]),FALSE)</f>
        <v>0</v>
      </c>
      <c r="AG621" s="35" t="b">
        <f>IFERROR(OR(TRACK_TYPES[[#This Row],[TRACK_TYPE_BROAD_GAUGE_RAILTYPE_OHLE]:[TRACK_TYPE_BROAD_GAUGE_RAILTYPE_NONE]]),FALSE)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3231</v>
      </c>
      <c r="B622" s="37" t="str">
        <f>INDEX(CONTROL[ENGLISH],MATCH(PROPERTIES[[#This Row],[VEHIDCODE]],CONTROL[VEHIDCODE],0))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5" t="b">
        <f>IFERROR(OR(TRACK_TYPES[[#This Row],[TRACK_TYPE_STANDARD_GAUGE_RAILTYPE_OHLE]:[TRACK_TYPE_STANDARD_GAUGE_RAILTYPE_NONE]]),FALSE)</f>
        <v>0</v>
      </c>
      <c r="AF622" s="35" t="b">
        <f>IFERROR(OR(TRACK_TYPES[[#This Row],[TRACK_TYPE_NARROW_GAUGE_RAILTYPE_OHLE]:[TRACK_TYPE_NARROW_GAUGE_RAILTYPE_NONE]]),FALSE)</f>
        <v>0</v>
      </c>
      <c r="AG622" s="35" t="b">
        <f>IFERROR(OR(TRACK_TYPES[[#This Row],[TRACK_TYPE_BROAD_GAUGE_RAILTYPE_OHLE]:[TRACK_TYPE_BROAD_GAUGE_RAILTYPE_NONE]]),FALSE)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3470</v>
      </c>
      <c r="B623" s="37" t="str">
        <f>INDEX(CONTROL[ENGLISH],MATCH(PROPERTIES[[#This Row],[VEHIDCODE]],CONTROL[VEHIDCODE],0))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5" t="b">
        <f>IFERROR(OR(TRACK_TYPES[[#This Row],[TRACK_TYPE_STANDARD_GAUGE_RAILTYPE_OHLE]:[TRACK_TYPE_STANDARD_GAUGE_RAILTYPE_NONE]]),FALSE)</f>
        <v>0</v>
      </c>
      <c r="AF623" s="35" t="b">
        <f>IFERROR(OR(TRACK_TYPES[[#This Row],[TRACK_TYPE_NARROW_GAUGE_RAILTYPE_OHLE]:[TRACK_TYPE_NARROW_GAUGE_RAILTYPE_NONE]]),FALSE)</f>
        <v>1</v>
      </c>
      <c r="AG623" s="35" t="b">
        <f>IFERROR(OR(TRACK_TYPES[[#This Row],[TRACK_TYPE_BROAD_GAUGE_RAILTYPE_OHLE]:[TRACK_TYPE_BROAD_GAUGE_RAILTYPE_NONE]]),FALSE)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3233</v>
      </c>
      <c r="B624" s="37" t="str">
        <f>INDEX(CONTROL[ENGLISH],MATCH(PROPERTIES[[#This Row],[VEHIDCODE]],CONTROL[VEHIDCODE],0))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5" t="b">
        <f>IFERROR(OR(TRACK_TYPES[[#This Row],[TRACK_TYPE_STANDARD_GAUGE_RAILTYPE_OHLE]:[TRACK_TYPE_STANDARD_GAUGE_RAILTYPE_NONE]]),FALSE)</f>
        <v>0</v>
      </c>
      <c r="AF624" s="35" t="b">
        <f>IFERROR(OR(TRACK_TYPES[[#This Row],[TRACK_TYPE_NARROW_GAUGE_RAILTYPE_OHLE]:[TRACK_TYPE_NARROW_GAUGE_RAILTYPE_NONE]]),FALSE)</f>
        <v>1</v>
      </c>
      <c r="AG624" s="35" t="b">
        <f>IFERROR(OR(TRACK_TYPES[[#This Row],[TRACK_TYPE_BROAD_GAUGE_RAILTYPE_OHLE]:[TRACK_TYPE_BROAD_GAUGE_RAILTYPE_NONE]]),FALSE)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3234</v>
      </c>
      <c r="B625" s="37" t="str">
        <f>INDEX(CONTROL[ENGLISH],MATCH(PROPERTIES[[#This Row],[VEHIDCODE]],CONTROL[VEHIDCODE],0))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5" t="b">
        <f>IFERROR(OR(TRACK_TYPES[[#This Row],[TRACK_TYPE_STANDARD_GAUGE_RAILTYPE_OHLE]:[TRACK_TYPE_STANDARD_GAUGE_RAILTYPE_NONE]]),FALSE)</f>
        <v>0</v>
      </c>
      <c r="AF625" s="35" t="b">
        <f>IFERROR(OR(TRACK_TYPES[[#This Row],[TRACK_TYPE_NARROW_GAUGE_RAILTYPE_OHLE]:[TRACK_TYPE_NARROW_GAUGE_RAILTYPE_NONE]]),FALSE)</f>
        <v>0</v>
      </c>
      <c r="AG625" s="35" t="b">
        <f>IFERROR(OR(TRACK_TYPES[[#This Row],[TRACK_TYPE_BROAD_GAUGE_RAILTYPE_OHLE]:[TRACK_TYPE_BROAD_GAUGE_RAILTYPE_NONE]]),FALSE)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3235</v>
      </c>
      <c r="B626" s="37" t="str">
        <f>INDEX(CONTROL[ENGLISH],MATCH(PROPERTIES[[#This Row],[VEHIDCODE]],CONTROL[VEHIDCODE],0))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5" t="b">
        <f>IFERROR(OR(TRACK_TYPES[[#This Row],[TRACK_TYPE_STANDARD_GAUGE_RAILTYPE_OHLE]:[TRACK_TYPE_STANDARD_GAUGE_RAILTYPE_NONE]]),FALSE)</f>
        <v>0</v>
      </c>
      <c r="AF626" s="35" t="b">
        <f>IFERROR(OR(TRACK_TYPES[[#This Row],[TRACK_TYPE_NARROW_GAUGE_RAILTYPE_OHLE]:[TRACK_TYPE_NARROW_GAUGE_RAILTYPE_NONE]]),FALSE)</f>
        <v>0</v>
      </c>
      <c r="AG626" s="35" t="b">
        <f>IFERROR(OR(TRACK_TYPES[[#This Row],[TRACK_TYPE_BROAD_GAUGE_RAILTYPE_OHLE]:[TRACK_TYPE_BROAD_GAUGE_RAILTYPE_NONE]]),FALSE)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3236</v>
      </c>
      <c r="B627" s="37" t="str">
        <f>INDEX(CONTROL[ENGLISH],MATCH(PROPERTIES[[#This Row],[VEHIDCODE]],CONTROL[VEHIDCODE],0))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5" t="b">
        <f>IFERROR(OR(TRACK_TYPES[[#This Row],[TRACK_TYPE_STANDARD_GAUGE_RAILTYPE_OHLE]:[TRACK_TYPE_STANDARD_GAUGE_RAILTYPE_NONE]]),FALSE)</f>
        <v>0</v>
      </c>
      <c r="AF627" s="35" t="b">
        <f>IFERROR(OR(TRACK_TYPES[[#This Row],[TRACK_TYPE_NARROW_GAUGE_RAILTYPE_OHLE]:[TRACK_TYPE_NARROW_GAUGE_RAILTYPE_NONE]]),FALSE)</f>
        <v>1</v>
      </c>
      <c r="AG627" s="35" t="b">
        <f>IFERROR(OR(TRACK_TYPES[[#This Row],[TRACK_TYPE_BROAD_GAUGE_RAILTYPE_OHLE]:[TRACK_TYPE_BROAD_GAUGE_RAILTYPE_NONE]]),FALSE)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3237</v>
      </c>
      <c r="B628" s="37" t="str">
        <f>INDEX(CONTROL[ENGLISH],MATCH(PROPERTIES[[#This Row],[VEHIDCODE]],CONTROL[VEHIDCODE],0))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5" t="b">
        <f>IFERROR(OR(TRACK_TYPES[[#This Row],[TRACK_TYPE_STANDARD_GAUGE_RAILTYPE_OHLE]:[TRACK_TYPE_STANDARD_GAUGE_RAILTYPE_NONE]]),FALSE)</f>
        <v>0</v>
      </c>
      <c r="AF628" s="35" t="b">
        <f>IFERROR(OR(TRACK_TYPES[[#This Row],[TRACK_TYPE_NARROW_GAUGE_RAILTYPE_OHLE]:[TRACK_TYPE_NARROW_GAUGE_RAILTYPE_NONE]]),FALSE)</f>
        <v>1</v>
      </c>
      <c r="AG628" s="35" t="b">
        <f>IFERROR(OR(TRACK_TYPES[[#This Row],[TRACK_TYPE_BROAD_GAUGE_RAILTYPE_OHLE]:[TRACK_TYPE_BROAD_GAUGE_RAILTYPE_NONE]]),FALSE)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3238</v>
      </c>
      <c r="B629" s="37" t="str">
        <f>INDEX(CONTROL[ENGLISH],MATCH(PROPERTIES[[#This Row],[VEHIDCODE]],CONTROL[VEHIDCODE],0))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5" t="b">
        <f>IFERROR(OR(TRACK_TYPES[[#This Row],[TRACK_TYPE_STANDARD_GAUGE_RAILTYPE_OHLE]:[TRACK_TYPE_STANDARD_GAUGE_RAILTYPE_NONE]]),FALSE)</f>
        <v>0</v>
      </c>
      <c r="AF629" s="35" t="b">
        <f>IFERROR(OR(TRACK_TYPES[[#This Row],[TRACK_TYPE_NARROW_GAUGE_RAILTYPE_OHLE]:[TRACK_TYPE_NARROW_GAUGE_RAILTYPE_NONE]]),FALSE)</f>
        <v>0</v>
      </c>
      <c r="AG629" s="35" t="b">
        <f>IFERROR(OR(TRACK_TYPES[[#This Row],[TRACK_TYPE_BROAD_GAUGE_RAILTYPE_OHLE]:[TRACK_TYPE_BROAD_GAUGE_RAILTYPE_NONE]]),FALSE)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3239</v>
      </c>
      <c r="B630" s="37" t="str">
        <f>INDEX(CONTROL[ENGLISH],MATCH(PROPERTIES[[#This Row],[VEHIDCODE]],CONTROL[VEHIDCODE],0))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5" t="b">
        <f>IFERROR(OR(TRACK_TYPES[[#This Row],[TRACK_TYPE_STANDARD_GAUGE_RAILTYPE_OHLE]:[TRACK_TYPE_STANDARD_GAUGE_RAILTYPE_NONE]]),FALSE)</f>
        <v>0</v>
      </c>
      <c r="AF630" s="35" t="b">
        <f>IFERROR(OR(TRACK_TYPES[[#This Row],[TRACK_TYPE_NARROW_GAUGE_RAILTYPE_OHLE]:[TRACK_TYPE_NARROW_GAUGE_RAILTYPE_NONE]]),FALSE)</f>
        <v>0</v>
      </c>
      <c r="AG630" s="35" t="b">
        <f>IFERROR(OR(TRACK_TYPES[[#This Row],[TRACK_TYPE_BROAD_GAUGE_RAILTYPE_OHLE]:[TRACK_TYPE_BROAD_GAUGE_RAILTYPE_NONE]]),FALSE)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3240</v>
      </c>
      <c r="B631" s="37" t="str">
        <f>INDEX(CONTROL[ENGLISH],MATCH(PROPERTIES[[#This Row],[VEHIDCODE]],CONTROL[VEHIDCODE],0))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5" t="b">
        <f>IFERROR(OR(TRACK_TYPES[[#This Row],[TRACK_TYPE_STANDARD_GAUGE_RAILTYPE_OHLE]:[TRACK_TYPE_STANDARD_GAUGE_RAILTYPE_NONE]]),FALSE)</f>
        <v>0</v>
      </c>
      <c r="AF631" s="35" t="b">
        <f>IFERROR(OR(TRACK_TYPES[[#This Row],[TRACK_TYPE_NARROW_GAUGE_RAILTYPE_OHLE]:[TRACK_TYPE_NARROW_GAUGE_RAILTYPE_NONE]]),FALSE)</f>
        <v>0</v>
      </c>
      <c r="AG631" s="35" t="b">
        <f>IFERROR(OR(TRACK_TYPES[[#This Row],[TRACK_TYPE_BROAD_GAUGE_RAILTYPE_OHLE]:[TRACK_TYPE_BROAD_GAUGE_RAILTYPE_NONE]]),FALSE)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3241</v>
      </c>
      <c r="B632" s="37" t="str">
        <f>INDEX(CONTROL[ENGLISH],MATCH(PROPERTIES[[#This Row],[VEHIDCODE]],CONTROL[VEHIDCODE],0))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5" t="b">
        <f>IFERROR(OR(TRACK_TYPES[[#This Row],[TRACK_TYPE_STANDARD_GAUGE_RAILTYPE_OHLE]:[TRACK_TYPE_STANDARD_GAUGE_RAILTYPE_NONE]]),FALSE)</f>
        <v>0</v>
      </c>
      <c r="AF632" s="35" t="b">
        <f>IFERROR(OR(TRACK_TYPES[[#This Row],[TRACK_TYPE_NARROW_GAUGE_RAILTYPE_OHLE]:[TRACK_TYPE_NARROW_GAUGE_RAILTYPE_NONE]]),FALSE)</f>
        <v>0</v>
      </c>
      <c r="AG632" s="35" t="b">
        <f>IFERROR(OR(TRACK_TYPES[[#This Row],[TRACK_TYPE_BROAD_GAUGE_RAILTYPE_OHLE]:[TRACK_TYPE_BROAD_GAUGE_RAILTYPE_NONE]]),FALSE)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3242</v>
      </c>
      <c r="B633" s="37" t="str">
        <f>INDEX(CONTROL[ENGLISH],MATCH(PROPERTIES[[#This Row],[VEHIDCODE]],CONTROL[VEHIDCODE],0))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5" t="b">
        <f>IFERROR(OR(TRACK_TYPES[[#This Row],[TRACK_TYPE_STANDARD_GAUGE_RAILTYPE_OHLE]:[TRACK_TYPE_STANDARD_GAUGE_RAILTYPE_NONE]]),FALSE)</f>
        <v>1</v>
      </c>
      <c r="AF633" s="35" t="b">
        <f>IFERROR(OR(TRACK_TYPES[[#This Row],[TRACK_TYPE_NARROW_GAUGE_RAILTYPE_OHLE]:[TRACK_TYPE_NARROW_GAUGE_RAILTYPE_NONE]]),FALSE)</f>
        <v>0</v>
      </c>
      <c r="AG633" s="35" t="b">
        <f>IFERROR(OR(TRACK_TYPES[[#This Row],[TRACK_TYPE_BROAD_GAUGE_RAILTYPE_OHLE]:[TRACK_TYPE_BROAD_GAUGE_RAILTYPE_NONE]]),FALSE)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3243</v>
      </c>
      <c r="B634" s="37" t="str">
        <f>INDEX(CONTROL[ENGLISH],MATCH(PROPERTIES[[#This Row],[VEHIDCODE]],CONTROL[VEHIDCODE],0))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5" t="b">
        <f>IFERROR(OR(TRACK_TYPES[[#This Row],[TRACK_TYPE_STANDARD_GAUGE_RAILTYPE_OHLE]:[TRACK_TYPE_STANDARD_GAUGE_RAILTYPE_NONE]]),FALSE)</f>
        <v>0</v>
      </c>
      <c r="AF634" s="35" t="b">
        <f>IFERROR(OR(TRACK_TYPES[[#This Row],[TRACK_TYPE_NARROW_GAUGE_RAILTYPE_OHLE]:[TRACK_TYPE_NARROW_GAUGE_RAILTYPE_NONE]]),FALSE)</f>
        <v>0</v>
      </c>
      <c r="AG634" s="35" t="b">
        <f>IFERROR(OR(TRACK_TYPES[[#This Row],[TRACK_TYPE_BROAD_GAUGE_RAILTYPE_OHLE]:[TRACK_TYPE_BROAD_GAUGE_RAILTYPE_NONE]]),FALSE)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3244</v>
      </c>
      <c r="B635" s="37" t="str">
        <f>INDEX(CONTROL[ENGLISH],MATCH(PROPERTIES[[#This Row],[VEHIDCODE]],CONTROL[VEHIDCODE],0))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5" t="b">
        <f>IFERROR(OR(TRACK_TYPES[[#This Row],[TRACK_TYPE_STANDARD_GAUGE_RAILTYPE_OHLE]:[TRACK_TYPE_STANDARD_GAUGE_RAILTYPE_NONE]]),FALSE)</f>
        <v>0</v>
      </c>
      <c r="AF635" s="35" t="b">
        <f>IFERROR(OR(TRACK_TYPES[[#This Row],[TRACK_TYPE_NARROW_GAUGE_RAILTYPE_OHLE]:[TRACK_TYPE_NARROW_GAUGE_RAILTYPE_NONE]]),FALSE)</f>
        <v>0</v>
      </c>
      <c r="AG635" s="35" t="b">
        <f>IFERROR(OR(TRACK_TYPES[[#This Row],[TRACK_TYPE_BROAD_GAUGE_RAILTYPE_OHLE]:[TRACK_TYPE_BROAD_GAUGE_RAILTYPE_NONE]]),FALSE)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3245</v>
      </c>
      <c r="B636" s="37" t="str">
        <f>INDEX(CONTROL[ENGLISH],MATCH(PROPERTIES[[#This Row],[VEHIDCODE]],CONTROL[VEHIDCODE],0))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5" t="b">
        <f>IFERROR(OR(TRACK_TYPES[[#This Row],[TRACK_TYPE_STANDARD_GAUGE_RAILTYPE_OHLE]:[TRACK_TYPE_STANDARD_GAUGE_RAILTYPE_NONE]]),FALSE)</f>
        <v>0</v>
      </c>
      <c r="AF636" s="35" t="b">
        <f>IFERROR(OR(TRACK_TYPES[[#This Row],[TRACK_TYPE_NARROW_GAUGE_RAILTYPE_OHLE]:[TRACK_TYPE_NARROW_GAUGE_RAILTYPE_NONE]]),FALSE)</f>
        <v>0</v>
      </c>
      <c r="AG636" s="35" t="b">
        <f>IFERROR(OR(TRACK_TYPES[[#This Row],[TRACK_TYPE_BROAD_GAUGE_RAILTYPE_OHLE]:[TRACK_TYPE_BROAD_GAUGE_RAILTYPE_NONE]]),FALSE)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3246</v>
      </c>
      <c r="B637" s="37" t="str">
        <f>INDEX(CONTROL[ENGLISH],MATCH(PROPERTIES[[#This Row],[VEHIDCODE]],CONTROL[VEHIDCODE],0))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5" t="b">
        <f>IFERROR(OR(TRACK_TYPES[[#This Row],[TRACK_TYPE_STANDARD_GAUGE_RAILTYPE_OHLE]:[TRACK_TYPE_STANDARD_GAUGE_RAILTYPE_NONE]]),FALSE)</f>
        <v>0</v>
      </c>
      <c r="AF637" s="35" t="b">
        <f>IFERROR(OR(TRACK_TYPES[[#This Row],[TRACK_TYPE_NARROW_GAUGE_RAILTYPE_OHLE]:[TRACK_TYPE_NARROW_GAUGE_RAILTYPE_NONE]]),FALSE)</f>
        <v>0</v>
      </c>
      <c r="AG637" s="35" t="b">
        <f>IFERROR(OR(TRACK_TYPES[[#This Row],[TRACK_TYPE_BROAD_GAUGE_RAILTYPE_OHLE]:[TRACK_TYPE_BROAD_GAUGE_RAILTYPE_NONE]]),FALSE)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3247</v>
      </c>
      <c r="B638" s="37" t="str">
        <f>INDEX(CONTROL[ENGLISH],MATCH(PROPERTIES[[#This Row],[VEHIDCODE]],CONTROL[VEHIDCODE],0))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5" t="b">
        <f>IFERROR(OR(TRACK_TYPES[[#This Row],[TRACK_TYPE_STANDARD_GAUGE_RAILTYPE_OHLE]:[TRACK_TYPE_STANDARD_GAUGE_RAILTYPE_NONE]]),FALSE)</f>
        <v>0</v>
      </c>
      <c r="AF638" s="35" t="b">
        <f>IFERROR(OR(TRACK_TYPES[[#This Row],[TRACK_TYPE_NARROW_GAUGE_RAILTYPE_OHLE]:[TRACK_TYPE_NARROW_GAUGE_RAILTYPE_NONE]]),FALSE)</f>
        <v>0</v>
      </c>
      <c r="AG638" s="35" t="b">
        <f>IFERROR(OR(TRACK_TYPES[[#This Row],[TRACK_TYPE_BROAD_GAUGE_RAILTYPE_OHLE]:[TRACK_TYPE_BROAD_GAUGE_RAILTYPE_NONE]]),FALSE)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3248</v>
      </c>
      <c r="B639" s="37" t="str">
        <f>INDEX(CONTROL[ENGLISH],MATCH(PROPERTIES[[#This Row],[VEHIDCODE]],CONTROL[VEHIDCODE],0))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5" t="b">
        <f>IFERROR(OR(TRACK_TYPES[[#This Row],[TRACK_TYPE_STANDARD_GAUGE_RAILTYPE_OHLE]:[TRACK_TYPE_STANDARD_GAUGE_RAILTYPE_NONE]]),FALSE)</f>
        <v>0</v>
      </c>
      <c r="AF639" s="35" t="b">
        <f>IFERROR(OR(TRACK_TYPES[[#This Row],[TRACK_TYPE_NARROW_GAUGE_RAILTYPE_OHLE]:[TRACK_TYPE_NARROW_GAUGE_RAILTYPE_NONE]]),FALSE)</f>
        <v>0</v>
      </c>
      <c r="AG639" s="35" t="b">
        <f>IFERROR(OR(TRACK_TYPES[[#This Row],[TRACK_TYPE_BROAD_GAUGE_RAILTYPE_OHLE]:[TRACK_TYPE_BROAD_GAUGE_RAILTYPE_NONE]]),FALSE)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3249</v>
      </c>
      <c r="B640" s="37" t="str">
        <f>INDEX(CONTROL[ENGLISH],MATCH(PROPERTIES[[#This Row],[VEHIDCODE]],CONTROL[VEHIDCODE],0))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5" t="b">
        <f>IFERROR(OR(TRACK_TYPES[[#This Row],[TRACK_TYPE_STANDARD_GAUGE_RAILTYPE_OHLE]:[TRACK_TYPE_STANDARD_GAUGE_RAILTYPE_NONE]]),FALSE)</f>
        <v>0</v>
      </c>
      <c r="AF640" s="35" t="b">
        <f>IFERROR(OR(TRACK_TYPES[[#This Row],[TRACK_TYPE_NARROW_GAUGE_RAILTYPE_OHLE]:[TRACK_TYPE_NARROW_GAUGE_RAILTYPE_NONE]]),FALSE)</f>
        <v>0</v>
      </c>
      <c r="AG640" s="35" t="b">
        <f>IFERROR(OR(TRACK_TYPES[[#This Row],[TRACK_TYPE_BROAD_GAUGE_RAILTYPE_OHLE]:[TRACK_TYPE_BROAD_GAUGE_RAILTYPE_NONE]]),FALSE)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3250</v>
      </c>
      <c r="B641" s="37" t="str">
        <f>INDEX(CONTROL[ENGLISH],MATCH(PROPERTIES[[#This Row],[VEHIDCODE]],CONTROL[VEHIDCODE],0))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5" t="b">
        <f>IFERROR(OR(TRACK_TYPES[[#This Row],[TRACK_TYPE_STANDARD_GAUGE_RAILTYPE_OHLE]:[TRACK_TYPE_STANDARD_GAUGE_RAILTYPE_NONE]]),FALSE)</f>
        <v>0</v>
      </c>
      <c r="AF641" s="35" t="b">
        <f>IFERROR(OR(TRACK_TYPES[[#This Row],[TRACK_TYPE_NARROW_GAUGE_RAILTYPE_OHLE]:[TRACK_TYPE_NARROW_GAUGE_RAILTYPE_NONE]]),FALSE)</f>
        <v>0</v>
      </c>
      <c r="AG641" s="35" t="b">
        <f>IFERROR(OR(TRACK_TYPES[[#This Row],[TRACK_TYPE_BROAD_GAUGE_RAILTYPE_OHLE]:[TRACK_TYPE_BROAD_GAUGE_RAILTYPE_NONE]]),FALSE)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3251</v>
      </c>
      <c r="B642" s="37" t="str">
        <f>INDEX(CONTROL[ENGLISH],MATCH(PROPERTIES[[#This Row],[VEHIDCODE]],CONTROL[VEHIDCODE],0))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5" t="b">
        <f>IFERROR(OR(TRACK_TYPES[[#This Row],[TRACK_TYPE_STANDARD_GAUGE_RAILTYPE_OHLE]:[TRACK_TYPE_STANDARD_GAUGE_RAILTYPE_NONE]]),FALSE)</f>
        <v>0</v>
      </c>
      <c r="AF642" s="35" t="b">
        <f>IFERROR(OR(TRACK_TYPES[[#This Row],[TRACK_TYPE_NARROW_GAUGE_RAILTYPE_OHLE]:[TRACK_TYPE_NARROW_GAUGE_RAILTYPE_NONE]]),FALSE)</f>
        <v>0</v>
      </c>
      <c r="AG642" s="35" t="b">
        <f>IFERROR(OR(TRACK_TYPES[[#This Row],[TRACK_TYPE_BROAD_GAUGE_RAILTYPE_OHLE]:[TRACK_TYPE_BROAD_GAUGE_RAILTYPE_NONE]]),FALSE)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3252</v>
      </c>
      <c r="B643" s="37" t="str">
        <f>INDEX(CONTROL[ENGLISH],MATCH(PROPERTIES[[#This Row],[VEHIDCODE]],CONTROL[VEHIDCODE],0))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5" t="b">
        <f>IFERROR(OR(TRACK_TYPES[[#This Row],[TRACK_TYPE_STANDARD_GAUGE_RAILTYPE_OHLE]:[TRACK_TYPE_STANDARD_GAUGE_RAILTYPE_NONE]]),FALSE)</f>
        <v>0</v>
      </c>
      <c r="AF643" s="35" t="b">
        <f>IFERROR(OR(TRACK_TYPES[[#This Row],[TRACK_TYPE_NARROW_GAUGE_RAILTYPE_OHLE]:[TRACK_TYPE_NARROW_GAUGE_RAILTYPE_NONE]]),FALSE)</f>
        <v>0</v>
      </c>
      <c r="AG643" s="35" t="b">
        <f>IFERROR(OR(TRACK_TYPES[[#This Row],[TRACK_TYPE_BROAD_GAUGE_RAILTYPE_OHLE]:[TRACK_TYPE_BROAD_GAUGE_RAILTYPE_NONE]]),FALSE)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3253</v>
      </c>
      <c r="B644" s="37" t="str">
        <f>INDEX(CONTROL[ENGLISH],MATCH(PROPERTIES[[#This Row],[VEHIDCODE]],CONTROL[VEHIDCODE],0))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5" t="b">
        <f>IFERROR(OR(TRACK_TYPES[[#This Row],[TRACK_TYPE_STANDARD_GAUGE_RAILTYPE_OHLE]:[TRACK_TYPE_STANDARD_GAUGE_RAILTYPE_NONE]]),FALSE)</f>
        <v>0</v>
      </c>
      <c r="AF644" s="35" t="b">
        <f>IFERROR(OR(TRACK_TYPES[[#This Row],[TRACK_TYPE_NARROW_GAUGE_RAILTYPE_OHLE]:[TRACK_TYPE_NARROW_GAUGE_RAILTYPE_NONE]]),FALSE)</f>
        <v>0</v>
      </c>
      <c r="AG644" s="35" t="b">
        <f>IFERROR(OR(TRACK_TYPES[[#This Row],[TRACK_TYPE_BROAD_GAUGE_RAILTYPE_OHLE]:[TRACK_TYPE_BROAD_GAUGE_RAILTYPE_NONE]]),FALSE)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3254</v>
      </c>
      <c r="B645" s="37" t="str">
        <f>INDEX(CONTROL[ENGLISH],MATCH(PROPERTIES[[#This Row],[VEHIDCODE]],CONTROL[VEHIDCODE],0))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5" t="b">
        <f>IFERROR(OR(TRACK_TYPES[[#This Row],[TRACK_TYPE_STANDARD_GAUGE_RAILTYPE_OHLE]:[TRACK_TYPE_STANDARD_GAUGE_RAILTYPE_NONE]]),FALSE)</f>
        <v>0</v>
      </c>
      <c r="AF645" s="35" t="b">
        <f>IFERROR(OR(TRACK_TYPES[[#This Row],[TRACK_TYPE_NARROW_GAUGE_RAILTYPE_OHLE]:[TRACK_TYPE_NARROW_GAUGE_RAILTYPE_NONE]]),FALSE)</f>
        <v>0</v>
      </c>
      <c r="AG645" s="35" t="b">
        <f>IFERROR(OR(TRACK_TYPES[[#This Row],[TRACK_TYPE_BROAD_GAUGE_RAILTYPE_OHLE]:[TRACK_TYPE_BROAD_GAUGE_RAILTYPE_NONE]]),FALSE)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3255</v>
      </c>
      <c r="B646" s="37" t="str">
        <f>INDEX(CONTROL[ENGLISH],MATCH(PROPERTIES[[#This Row],[VEHIDCODE]],CONTROL[VEHIDCODE],0))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5" t="b">
        <f>IFERROR(OR(TRACK_TYPES[[#This Row],[TRACK_TYPE_STANDARD_GAUGE_RAILTYPE_OHLE]:[TRACK_TYPE_STANDARD_GAUGE_RAILTYPE_NONE]]),FALSE)</f>
        <v>0</v>
      </c>
      <c r="AF646" s="35" t="b">
        <f>IFERROR(OR(TRACK_TYPES[[#This Row],[TRACK_TYPE_NARROW_GAUGE_RAILTYPE_OHLE]:[TRACK_TYPE_NARROW_GAUGE_RAILTYPE_NONE]]),FALSE)</f>
        <v>0</v>
      </c>
      <c r="AG646" s="35" t="b">
        <f>IFERROR(OR(TRACK_TYPES[[#This Row],[TRACK_TYPE_BROAD_GAUGE_RAILTYPE_OHLE]:[TRACK_TYPE_BROAD_GAUGE_RAILTYPE_NONE]]),FALSE)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3256</v>
      </c>
      <c r="B647" s="37" t="str">
        <f>INDEX(CONTROL[ENGLISH],MATCH(PROPERTIES[[#This Row],[VEHIDCODE]],CONTROL[VEHIDCODE],0))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5" t="b">
        <f>IFERROR(OR(TRACK_TYPES[[#This Row],[TRACK_TYPE_STANDARD_GAUGE_RAILTYPE_OHLE]:[TRACK_TYPE_STANDARD_GAUGE_RAILTYPE_NONE]]),FALSE)</f>
        <v>1</v>
      </c>
      <c r="AF647" s="35" t="b">
        <f>IFERROR(OR(TRACK_TYPES[[#This Row],[TRACK_TYPE_NARROW_GAUGE_RAILTYPE_OHLE]:[TRACK_TYPE_NARROW_GAUGE_RAILTYPE_NONE]]),FALSE)</f>
        <v>0</v>
      </c>
      <c r="AG647" s="35" t="b">
        <f>IFERROR(OR(TRACK_TYPES[[#This Row],[TRACK_TYPE_BROAD_GAUGE_RAILTYPE_OHLE]:[TRACK_TYPE_BROAD_GAUGE_RAILTYPE_NONE]]),FALSE)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3257</v>
      </c>
      <c r="B648" s="37" t="str">
        <f>INDEX(CONTROL[ENGLISH],MATCH(PROPERTIES[[#This Row],[VEHIDCODE]],CONTROL[VEHIDCODE],0))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5" t="b">
        <f>IFERROR(OR(TRACK_TYPES[[#This Row],[TRACK_TYPE_STANDARD_GAUGE_RAILTYPE_OHLE]:[TRACK_TYPE_STANDARD_GAUGE_RAILTYPE_NONE]]),FALSE)</f>
        <v>0</v>
      </c>
      <c r="AF648" s="35" t="b">
        <f>IFERROR(OR(TRACK_TYPES[[#This Row],[TRACK_TYPE_NARROW_GAUGE_RAILTYPE_OHLE]:[TRACK_TYPE_NARROW_GAUGE_RAILTYPE_NONE]]),FALSE)</f>
        <v>0</v>
      </c>
      <c r="AG648" s="35" t="b">
        <f>IFERROR(OR(TRACK_TYPES[[#This Row],[TRACK_TYPE_BROAD_GAUGE_RAILTYPE_OHLE]:[TRACK_TYPE_BROAD_GAUGE_RAILTYPE_NONE]]),FALSE)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37" t="str">
        <f>INDEX(CONTROL[ENGLISH],MATCH(PROPERTIES[[#This Row],[VEHIDCODE]],CONTROL[VEHIDCODE],0))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5" t="b">
        <f>IFERROR(OR(TRACK_TYPES[[#This Row],[TRACK_TYPE_STANDARD_GAUGE_RAILTYPE_OHLE]:[TRACK_TYPE_STANDARD_GAUGE_RAILTYPE_NONE]]),FALSE)</f>
        <v>1</v>
      </c>
      <c r="AF649" s="35" t="b">
        <f>IFERROR(OR(TRACK_TYPES[[#This Row],[TRACK_TYPE_NARROW_GAUGE_RAILTYPE_OHLE]:[TRACK_TYPE_NARROW_GAUGE_RAILTYPE_NONE]]),FALSE)</f>
        <v>1</v>
      </c>
      <c r="AG649" s="35" t="b">
        <f>IFERROR(OR(TRACK_TYPES[[#This Row],[TRACK_TYPE_BROAD_GAUGE_RAILTYPE_OHLE]:[TRACK_TYPE_BROAD_GAUGE_RAILTYPE_NONE]]),FALSE)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37" t="str">
        <f>INDEX(CONTROL[ENGLISH],MATCH(PROPERTIES[[#This Row],[VEHIDCODE]],CONTROL[VEHIDCODE],0))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5" t="b">
        <f>IFERROR(OR(TRACK_TYPES[[#This Row],[TRACK_TYPE_STANDARD_GAUGE_RAILTYPE_OHLE]:[TRACK_TYPE_STANDARD_GAUGE_RAILTYPE_NONE]]),FALSE)</f>
        <v>1</v>
      </c>
      <c r="AF650" s="35" t="b">
        <f>IFERROR(OR(TRACK_TYPES[[#This Row],[TRACK_TYPE_NARROW_GAUGE_RAILTYPE_OHLE]:[TRACK_TYPE_NARROW_GAUGE_RAILTYPE_NONE]]),FALSE)</f>
        <v>1</v>
      </c>
      <c r="AG650" s="35" t="b">
        <f>IFERROR(OR(TRACK_TYPES[[#This Row],[TRACK_TYPE_BROAD_GAUGE_RAILTYPE_OHLE]:[TRACK_TYPE_BROAD_GAUGE_RAILTYPE_NONE]]),FALSE)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37" t="str">
        <f>INDEX(CONTROL[ENGLISH],MATCH(PROPERTIES[[#This Row],[VEHIDCODE]],CONTROL[VEHIDCODE],0))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5" t="b">
        <f>IFERROR(OR(TRACK_TYPES[[#This Row],[TRACK_TYPE_STANDARD_GAUGE_RAILTYPE_OHLE]:[TRACK_TYPE_STANDARD_GAUGE_RAILTYPE_NONE]]),FALSE)</f>
        <v>1</v>
      </c>
      <c r="AF651" s="35" t="b">
        <f>IFERROR(OR(TRACK_TYPES[[#This Row],[TRACK_TYPE_NARROW_GAUGE_RAILTYPE_OHLE]:[TRACK_TYPE_NARROW_GAUGE_RAILTYPE_NONE]]),FALSE)</f>
        <v>1</v>
      </c>
      <c r="AG651" s="35" t="b">
        <f>IFERROR(OR(TRACK_TYPES[[#This Row],[TRACK_TYPE_BROAD_GAUGE_RAILTYPE_OHLE]:[TRACK_TYPE_BROAD_GAUGE_RAILTYPE_NONE]]),FALSE)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37" t="str">
        <f>INDEX(CONTROL[ENGLISH],MATCH(PROPERTIES[[#This Row],[VEHIDCODE]],CONTROL[VEHIDCODE],0))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5" t="b">
        <f>IFERROR(OR(TRACK_TYPES[[#This Row],[TRACK_TYPE_STANDARD_GAUGE_RAILTYPE_OHLE]:[TRACK_TYPE_STANDARD_GAUGE_RAILTYPE_NONE]]),FALSE)</f>
        <v>1</v>
      </c>
      <c r="AF652" s="35" t="b">
        <f>IFERROR(OR(TRACK_TYPES[[#This Row],[TRACK_TYPE_NARROW_GAUGE_RAILTYPE_OHLE]:[TRACK_TYPE_NARROW_GAUGE_RAILTYPE_NONE]]),FALSE)</f>
        <v>1</v>
      </c>
      <c r="AG652" s="35" t="b">
        <f>IFERROR(OR(TRACK_TYPES[[#This Row],[TRACK_TYPE_BROAD_GAUGE_RAILTYPE_OHLE]:[TRACK_TYPE_BROAD_GAUGE_RAILTYPE_NONE]]),FALSE)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37" t="str">
        <f>INDEX(CONTROL[ENGLISH],MATCH(PROPERTIES[[#This Row],[VEHIDCODE]],CONTROL[VEHIDCODE],0))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5" t="b">
        <f>IFERROR(OR(TRACK_TYPES[[#This Row],[TRACK_TYPE_STANDARD_GAUGE_RAILTYPE_OHLE]:[TRACK_TYPE_STANDARD_GAUGE_RAILTYPE_NONE]]),FALSE)</f>
        <v>1</v>
      </c>
      <c r="AF653" s="35" t="b">
        <f>IFERROR(OR(TRACK_TYPES[[#This Row],[TRACK_TYPE_NARROW_GAUGE_RAILTYPE_OHLE]:[TRACK_TYPE_NARROW_GAUGE_RAILTYPE_NONE]]),FALSE)</f>
        <v>1</v>
      </c>
      <c r="AG653" s="35" t="b">
        <f>IFERROR(OR(TRACK_TYPES[[#This Row],[TRACK_TYPE_BROAD_GAUGE_RAILTYPE_OHLE]:[TRACK_TYPE_BROAD_GAUGE_RAILTYPE_NONE]]),FALSE)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37" t="str">
        <f>INDEX(CONTROL[ENGLISH],MATCH(PROPERTIES[[#This Row],[VEHIDCODE]],CONTROL[VEHIDCODE],0))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5" t="b">
        <f>IFERROR(OR(TRACK_TYPES[[#This Row],[TRACK_TYPE_STANDARD_GAUGE_RAILTYPE_OHLE]:[TRACK_TYPE_STANDARD_GAUGE_RAILTYPE_NONE]]),FALSE)</f>
        <v>1</v>
      </c>
      <c r="AF654" s="35" t="b">
        <f>IFERROR(OR(TRACK_TYPES[[#This Row],[TRACK_TYPE_NARROW_GAUGE_RAILTYPE_OHLE]:[TRACK_TYPE_NARROW_GAUGE_RAILTYPE_NONE]]),FALSE)</f>
        <v>1</v>
      </c>
      <c r="AG654" s="35" t="b">
        <f>IFERROR(OR(TRACK_TYPES[[#This Row],[TRACK_TYPE_BROAD_GAUGE_RAILTYPE_OHLE]:[TRACK_TYPE_BROAD_GAUGE_RAILTYPE_NONE]]),FALSE)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37" t="str">
        <f>INDEX(CONTROL[ENGLISH],MATCH(PROPERTIES[[#This Row],[VEHIDCODE]],CONTROL[VEHIDCODE],0))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5" t="b">
        <f>IFERROR(OR(TRACK_TYPES[[#This Row],[TRACK_TYPE_STANDARD_GAUGE_RAILTYPE_OHLE]:[TRACK_TYPE_STANDARD_GAUGE_RAILTYPE_NONE]]),FALSE)</f>
        <v>1</v>
      </c>
      <c r="AF655" s="35" t="b">
        <f>IFERROR(OR(TRACK_TYPES[[#This Row],[TRACK_TYPE_NARROW_GAUGE_RAILTYPE_OHLE]:[TRACK_TYPE_NARROW_GAUGE_RAILTYPE_NONE]]),FALSE)</f>
        <v>1</v>
      </c>
      <c r="AG655" s="35" t="b">
        <f>IFERROR(OR(TRACK_TYPES[[#This Row],[TRACK_TYPE_BROAD_GAUGE_RAILTYPE_OHLE]:[TRACK_TYPE_BROAD_GAUGE_RAILTYPE_NONE]]),FALSE)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37" t="str">
        <f>INDEX(CONTROL[ENGLISH],MATCH(PROPERTIES[[#This Row],[VEHIDCODE]],CONTROL[VEHIDCODE],0))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5" t="b">
        <f>IFERROR(OR(TRACK_TYPES[[#This Row],[TRACK_TYPE_STANDARD_GAUGE_RAILTYPE_OHLE]:[TRACK_TYPE_STANDARD_GAUGE_RAILTYPE_NONE]]),FALSE)</f>
        <v>1</v>
      </c>
      <c r="AF656" s="35" t="b">
        <f>IFERROR(OR(TRACK_TYPES[[#This Row],[TRACK_TYPE_NARROW_GAUGE_RAILTYPE_OHLE]:[TRACK_TYPE_NARROW_GAUGE_RAILTYPE_NONE]]),FALSE)</f>
        <v>1</v>
      </c>
      <c r="AG656" s="35" t="b">
        <f>IFERROR(OR(TRACK_TYPES[[#This Row],[TRACK_TYPE_BROAD_GAUGE_RAILTYPE_OHLE]:[TRACK_TYPE_BROAD_GAUGE_RAILTYPE_NONE]]),FALSE)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37" t="str">
        <f>INDEX(CONTROL[ENGLISH],MATCH(PROPERTIES[[#This Row],[VEHIDCODE]],CONTROL[VEHIDCODE],0))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5" t="b">
        <f>IFERROR(OR(TRACK_TYPES[[#This Row],[TRACK_TYPE_STANDARD_GAUGE_RAILTYPE_OHLE]:[TRACK_TYPE_STANDARD_GAUGE_RAILTYPE_NONE]]),FALSE)</f>
        <v>1</v>
      </c>
      <c r="AF657" s="35" t="b">
        <f>IFERROR(OR(TRACK_TYPES[[#This Row],[TRACK_TYPE_NARROW_GAUGE_RAILTYPE_OHLE]:[TRACK_TYPE_NARROW_GAUGE_RAILTYPE_NONE]]),FALSE)</f>
        <v>1</v>
      </c>
      <c r="AG657" s="35" t="b">
        <f>IFERROR(OR(TRACK_TYPES[[#This Row],[TRACK_TYPE_BROAD_GAUGE_RAILTYPE_OHLE]:[TRACK_TYPE_BROAD_GAUGE_RAILTYPE_NONE]]),FALSE)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37" t="str">
        <f>INDEX(CONTROL[ENGLISH],MATCH(PROPERTIES[[#This Row],[VEHIDCODE]],CONTROL[VEHIDCODE],0))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5" t="b">
        <f>IFERROR(OR(TRACK_TYPES[[#This Row],[TRACK_TYPE_STANDARD_GAUGE_RAILTYPE_OHLE]:[TRACK_TYPE_STANDARD_GAUGE_RAILTYPE_NONE]]),FALSE)</f>
        <v>1</v>
      </c>
      <c r="AF658" s="35" t="b">
        <f>IFERROR(OR(TRACK_TYPES[[#This Row],[TRACK_TYPE_NARROW_GAUGE_RAILTYPE_OHLE]:[TRACK_TYPE_NARROW_GAUGE_RAILTYPE_NONE]]),FALSE)</f>
        <v>1</v>
      </c>
      <c r="AG658" s="35" t="b">
        <f>IFERROR(OR(TRACK_TYPES[[#This Row],[TRACK_TYPE_BROAD_GAUGE_RAILTYPE_OHLE]:[TRACK_TYPE_BROAD_GAUGE_RAILTYPE_NONE]]),FALSE)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37" t="str">
        <f>INDEX(CONTROL[ENGLISH],MATCH(PROPERTIES[[#This Row],[VEHIDCODE]],CONTROL[VEHIDCODE],0))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5" t="b">
        <f>IFERROR(OR(TRACK_TYPES[[#This Row],[TRACK_TYPE_STANDARD_GAUGE_RAILTYPE_OHLE]:[TRACK_TYPE_STANDARD_GAUGE_RAILTYPE_NONE]]),FALSE)</f>
        <v>1</v>
      </c>
      <c r="AF659" s="35" t="b">
        <f>IFERROR(OR(TRACK_TYPES[[#This Row],[TRACK_TYPE_NARROW_GAUGE_RAILTYPE_OHLE]:[TRACK_TYPE_NARROW_GAUGE_RAILTYPE_NONE]]),FALSE)</f>
        <v>1</v>
      </c>
      <c r="AG659" s="35" t="b">
        <f>IFERROR(OR(TRACK_TYPES[[#This Row],[TRACK_TYPE_BROAD_GAUGE_RAILTYPE_OHLE]:[TRACK_TYPE_BROAD_GAUGE_RAILTYPE_NONE]]),FALSE)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37" t="str">
        <f>INDEX(CONTROL[ENGLISH],MATCH(PROPERTIES[[#This Row],[VEHIDCODE]],CONTROL[VEHIDCODE],0))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5" t="b">
        <f>IFERROR(OR(TRACK_TYPES[[#This Row],[TRACK_TYPE_STANDARD_GAUGE_RAILTYPE_OHLE]:[TRACK_TYPE_STANDARD_GAUGE_RAILTYPE_NONE]]),FALSE)</f>
        <v>1</v>
      </c>
      <c r="AF660" s="35" t="b">
        <f>IFERROR(OR(TRACK_TYPES[[#This Row],[TRACK_TYPE_NARROW_GAUGE_RAILTYPE_OHLE]:[TRACK_TYPE_NARROW_GAUGE_RAILTYPE_NONE]]),FALSE)</f>
        <v>1</v>
      </c>
      <c r="AG660" s="35" t="b">
        <f>IFERROR(OR(TRACK_TYPES[[#This Row],[TRACK_TYPE_BROAD_GAUGE_RAILTYPE_OHLE]:[TRACK_TYPE_BROAD_GAUGE_RAILTYPE_NONE]]),FALSE)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37" t="str">
        <f>INDEX(CONTROL[ENGLISH],MATCH(PROPERTIES[[#This Row],[VEHIDCODE]],CONTROL[VEHIDCODE],0))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5" t="b">
        <f>IFERROR(OR(TRACK_TYPES[[#This Row],[TRACK_TYPE_STANDARD_GAUGE_RAILTYPE_OHLE]:[TRACK_TYPE_STANDARD_GAUGE_RAILTYPE_NONE]]),FALSE)</f>
        <v>1</v>
      </c>
      <c r="AF661" s="35" t="b">
        <f>IFERROR(OR(TRACK_TYPES[[#This Row],[TRACK_TYPE_NARROW_GAUGE_RAILTYPE_OHLE]:[TRACK_TYPE_NARROW_GAUGE_RAILTYPE_NONE]]),FALSE)</f>
        <v>1</v>
      </c>
      <c r="AG661" s="35" t="b">
        <f>IFERROR(OR(TRACK_TYPES[[#This Row],[TRACK_TYPE_BROAD_GAUGE_RAILTYPE_OHLE]:[TRACK_TYPE_BROAD_GAUGE_RAILTYPE_NONE]]),FALSE)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37" t="str">
        <f>INDEX(CONTROL[ENGLISH],MATCH(PROPERTIES[[#This Row],[VEHIDCODE]],CONTROL[VEHIDCODE],0))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5" t="b">
        <f>IFERROR(OR(TRACK_TYPES[[#This Row],[TRACK_TYPE_STANDARD_GAUGE_RAILTYPE_OHLE]:[TRACK_TYPE_STANDARD_GAUGE_RAILTYPE_NONE]]),FALSE)</f>
        <v>1</v>
      </c>
      <c r="AF662" s="35" t="b">
        <f>IFERROR(OR(TRACK_TYPES[[#This Row],[TRACK_TYPE_NARROW_GAUGE_RAILTYPE_OHLE]:[TRACK_TYPE_NARROW_GAUGE_RAILTYPE_NONE]]),FALSE)</f>
        <v>1</v>
      </c>
      <c r="AG662" s="35" t="b">
        <f>IFERROR(OR(TRACK_TYPES[[#This Row],[TRACK_TYPE_BROAD_GAUGE_RAILTYPE_OHLE]:[TRACK_TYPE_BROAD_GAUGE_RAILTYPE_NONE]]),FALSE)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37" t="str">
        <f>INDEX(CONTROL[ENGLISH],MATCH(PROPERTIES[[#This Row],[VEHIDCODE]],CONTROL[VEHIDCODE],0))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5" t="b">
        <f>IFERROR(OR(TRACK_TYPES[[#This Row],[TRACK_TYPE_STANDARD_GAUGE_RAILTYPE_OHLE]:[TRACK_TYPE_STANDARD_GAUGE_RAILTYPE_NONE]]),FALSE)</f>
        <v>1</v>
      </c>
      <c r="AF663" s="35" t="b">
        <f>IFERROR(OR(TRACK_TYPES[[#This Row],[TRACK_TYPE_NARROW_GAUGE_RAILTYPE_OHLE]:[TRACK_TYPE_NARROW_GAUGE_RAILTYPE_NONE]]),FALSE)</f>
        <v>1</v>
      </c>
      <c r="AG663" s="35" t="b">
        <f>IFERROR(OR(TRACK_TYPES[[#This Row],[TRACK_TYPE_BROAD_GAUGE_RAILTYPE_OHLE]:[TRACK_TYPE_BROAD_GAUGE_RAILTYPE_NONE]]),FALSE)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37" t="str">
        <f>INDEX(CONTROL[ENGLISH],MATCH(PROPERTIES[[#This Row],[VEHIDCODE]],CONTROL[VEHIDCODE],0))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5" t="b">
        <f>IFERROR(OR(TRACK_TYPES[[#This Row],[TRACK_TYPE_STANDARD_GAUGE_RAILTYPE_OHLE]:[TRACK_TYPE_STANDARD_GAUGE_RAILTYPE_NONE]]),FALSE)</f>
        <v>1</v>
      </c>
      <c r="AF664" s="35" t="b">
        <f>IFERROR(OR(TRACK_TYPES[[#This Row],[TRACK_TYPE_NARROW_GAUGE_RAILTYPE_OHLE]:[TRACK_TYPE_NARROW_GAUGE_RAILTYPE_NONE]]),FALSE)</f>
        <v>1</v>
      </c>
      <c r="AG664" s="35" t="b">
        <f>IFERROR(OR(TRACK_TYPES[[#This Row],[TRACK_TYPE_BROAD_GAUGE_RAILTYPE_OHLE]:[TRACK_TYPE_BROAD_GAUGE_RAILTYPE_NONE]]),FALSE)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37" t="str">
        <f>INDEX(CONTROL[ENGLISH],MATCH(PROPERTIES[[#This Row],[VEHIDCODE]],CONTROL[VEHIDCODE],0))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5" t="b">
        <f>IFERROR(OR(TRACK_TYPES[[#This Row],[TRACK_TYPE_STANDARD_GAUGE_RAILTYPE_OHLE]:[TRACK_TYPE_STANDARD_GAUGE_RAILTYPE_NONE]]),FALSE)</f>
        <v>1</v>
      </c>
      <c r="AF665" s="35" t="b">
        <f>IFERROR(OR(TRACK_TYPES[[#This Row],[TRACK_TYPE_NARROW_GAUGE_RAILTYPE_OHLE]:[TRACK_TYPE_NARROW_GAUGE_RAILTYPE_NONE]]),FALSE)</f>
        <v>1</v>
      </c>
      <c r="AG665" s="35" t="b">
        <f>IFERROR(OR(TRACK_TYPES[[#This Row],[TRACK_TYPE_BROAD_GAUGE_RAILTYPE_OHLE]:[TRACK_TYPE_BROAD_GAUGE_RAILTYPE_NONE]]),FALSE)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37" t="str">
        <f>INDEX(CONTROL[ENGLISH],MATCH(PROPERTIES[[#This Row],[VEHIDCODE]],CONTROL[VEHIDCODE],0))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5" t="b">
        <f>IFERROR(OR(TRACK_TYPES[[#This Row],[TRACK_TYPE_STANDARD_GAUGE_RAILTYPE_OHLE]:[TRACK_TYPE_STANDARD_GAUGE_RAILTYPE_NONE]]),FALSE)</f>
        <v>1</v>
      </c>
      <c r="AF666" s="35" t="b">
        <f>IFERROR(OR(TRACK_TYPES[[#This Row],[TRACK_TYPE_NARROW_GAUGE_RAILTYPE_OHLE]:[TRACK_TYPE_NARROW_GAUGE_RAILTYPE_NONE]]),FALSE)</f>
        <v>1</v>
      </c>
      <c r="AG666" s="35" t="b">
        <f>IFERROR(OR(TRACK_TYPES[[#This Row],[TRACK_TYPE_BROAD_GAUGE_RAILTYPE_OHLE]:[TRACK_TYPE_BROAD_GAUGE_RAILTYPE_NONE]]),FALSE)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37" t="str">
        <f>INDEX(CONTROL[ENGLISH],MATCH(PROPERTIES[[#This Row],[VEHIDCODE]],CONTROL[VEHIDCODE],0))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5" t="b">
        <f>IFERROR(OR(TRACK_TYPES[[#This Row],[TRACK_TYPE_STANDARD_GAUGE_RAILTYPE_OHLE]:[TRACK_TYPE_STANDARD_GAUGE_RAILTYPE_NONE]]),FALSE)</f>
        <v>1</v>
      </c>
      <c r="AF667" s="35" t="b">
        <f>IFERROR(OR(TRACK_TYPES[[#This Row],[TRACK_TYPE_NARROW_GAUGE_RAILTYPE_OHLE]:[TRACK_TYPE_NARROW_GAUGE_RAILTYPE_NONE]]),FALSE)</f>
        <v>1</v>
      </c>
      <c r="AG667" s="35" t="b">
        <f>IFERROR(OR(TRACK_TYPES[[#This Row],[TRACK_TYPE_BROAD_GAUGE_RAILTYPE_OHLE]:[TRACK_TYPE_BROAD_GAUGE_RAILTYPE_NONE]]),FALSE)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37" t="str">
        <f>INDEX(CONTROL[ENGLISH],MATCH(PROPERTIES[[#This Row],[VEHIDCODE]],CONTROL[VEHIDCODE],0))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5" t="b">
        <f>IFERROR(OR(TRACK_TYPES[[#This Row],[TRACK_TYPE_STANDARD_GAUGE_RAILTYPE_OHLE]:[TRACK_TYPE_STANDARD_GAUGE_RAILTYPE_NONE]]),FALSE)</f>
        <v>1</v>
      </c>
      <c r="AF668" s="35" t="b">
        <f>IFERROR(OR(TRACK_TYPES[[#This Row],[TRACK_TYPE_NARROW_GAUGE_RAILTYPE_OHLE]:[TRACK_TYPE_NARROW_GAUGE_RAILTYPE_NONE]]),FALSE)</f>
        <v>1</v>
      </c>
      <c r="AG668" s="35" t="b">
        <f>IFERROR(OR(TRACK_TYPES[[#This Row],[TRACK_TYPE_BROAD_GAUGE_RAILTYPE_OHLE]:[TRACK_TYPE_BROAD_GAUGE_RAILTYPE_NONE]]),FALSE)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37" t="str">
        <f>INDEX(CONTROL[ENGLISH],MATCH(PROPERTIES[[#This Row],[VEHIDCODE]],CONTROL[VEHIDCODE],0))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5" t="b">
        <f>IFERROR(OR(TRACK_TYPES[[#This Row],[TRACK_TYPE_STANDARD_GAUGE_RAILTYPE_OHLE]:[TRACK_TYPE_STANDARD_GAUGE_RAILTYPE_NONE]]),FALSE)</f>
        <v>1</v>
      </c>
      <c r="AF669" s="35" t="b">
        <f>IFERROR(OR(TRACK_TYPES[[#This Row],[TRACK_TYPE_NARROW_GAUGE_RAILTYPE_OHLE]:[TRACK_TYPE_NARROW_GAUGE_RAILTYPE_NONE]]),FALSE)</f>
        <v>1</v>
      </c>
      <c r="AG669" s="35" t="b">
        <f>IFERROR(OR(TRACK_TYPES[[#This Row],[TRACK_TYPE_BROAD_GAUGE_RAILTYPE_OHLE]:[TRACK_TYPE_BROAD_GAUGE_RAILTYPE_NONE]]),FALSE)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37" t="str">
        <f>INDEX(CONTROL[ENGLISH],MATCH(PROPERTIES[[#This Row],[VEHIDCODE]],CONTROL[VEHIDCODE],0))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5" t="b">
        <f>IFERROR(OR(TRACK_TYPES[[#This Row],[TRACK_TYPE_STANDARD_GAUGE_RAILTYPE_OHLE]:[TRACK_TYPE_STANDARD_GAUGE_RAILTYPE_NONE]]),FALSE)</f>
        <v>1</v>
      </c>
      <c r="AF670" s="35" t="b">
        <f>IFERROR(OR(TRACK_TYPES[[#This Row],[TRACK_TYPE_NARROW_GAUGE_RAILTYPE_OHLE]:[TRACK_TYPE_NARROW_GAUGE_RAILTYPE_NONE]]),FALSE)</f>
        <v>1</v>
      </c>
      <c r="AG670" s="35" t="b">
        <f>IFERROR(OR(TRACK_TYPES[[#This Row],[TRACK_TYPE_BROAD_GAUGE_RAILTYPE_OHLE]:[TRACK_TYPE_BROAD_GAUGE_RAILTYPE_NONE]]),FALSE)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37" t="str">
        <f>INDEX(CONTROL[ENGLISH],MATCH(PROPERTIES[[#This Row],[VEHIDCODE]],CONTROL[VEHIDCODE],0))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5" t="b">
        <f>IFERROR(OR(TRACK_TYPES[[#This Row],[TRACK_TYPE_STANDARD_GAUGE_RAILTYPE_OHLE]:[TRACK_TYPE_STANDARD_GAUGE_RAILTYPE_NONE]]),FALSE)</f>
        <v>1</v>
      </c>
      <c r="AF671" s="35" t="b">
        <f>IFERROR(OR(TRACK_TYPES[[#This Row],[TRACK_TYPE_NARROW_GAUGE_RAILTYPE_OHLE]:[TRACK_TYPE_NARROW_GAUGE_RAILTYPE_NONE]]),FALSE)</f>
        <v>1</v>
      </c>
      <c r="AG671" s="35" t="b">
        <f>IFERROR(OR(TRACK_TYPES[[#This Row],[TRACK_TYPE_BROAD_GAUGE_RAILTYPE_OHLE]:[TRACK_TYPE_BROAD_GAUGE_RAILTYPE_NONE]]),FALSE)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37" t="str">
        <f>INDEX(CONTROL[ENGLISH],MATCH(PROPERTIES[[#This Row],[VEHIDCODE]],CONTROL[VEHIDCODE],0))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5" t="b">
        <f>IFERROR(OR(TRACK_TYPES[[#This Row],[TRACK_TYPE_STANDARD_GAUGE_RAILTYPE_OHLE]:[TRACK_TYPE_STANDARD_GAUGE_RAILTYPE_NONE]]),FALSE)</f>
        <v>1</v>
      </c>
      <c r="AF672" s="35" t="b">
        <f>IFERROR(OR(TRACK_TYPES[[#This Row],[TRACK_TYPE_NARROW_GAUGE_RAILTYPE_OHLE]:[TRACK_TYPE_NARROW_GAUGE_RAILTYPE_NONE]]),FALSE)</f>
        <v>1</v>
      </c>
      <c r="AG672" s="35" t="b">
        <f>IFERROR(OR(TRACK_TYPES[[#This Row],[TRACK_TYPE_BROAD_GAUGE_RAILTYPE_OHLE]:[TRACK_TYPE_BROAD_GAUGE_RAILTYPE_NONE]]),FALSE)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37" t="str">
        <f>INDEX(CONTROL[ENGLISH],MATCH(PROPERTIES[[#This Row],[VEHIDCODE]],CONTROL[VEHIDCODE],0))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5" t="b">
        <f>IFERROR(OR(TRACK_TYPES[[#This Row],[TRACK_TYPE_STANDARD_GAUGE_RAILTYPE_OHLE]:[TRACK_TYPE_STANDARD_GAUGE_RAILTYPE_NONE]]),FALSE)</f>
        <v>1</v>
      </c>
      <c r="AF673" s="35" t="b">
        <f>IFERROR(OR(TRACK_TYPES[[#This Row],[TRACK_TYPE_NARROW_GAUGE_RAILTYPE_OHLE]:[TRACK_TYPE_NARROW_GAUGE_RAILTYPE_NONE]]),FALSE)</f>
        <v>1</v>
      </c>
      <c r="AG673" s="35" t="b">
        <f>IFERROR(OR(TRACK_TYPES[[#This Row],[TRACK_TYPE_BROAD_GAUGE_RAILTYPE_OHLE]:[TRACK_TYPE_BROAD_GAUGE_RAILTYPE_NONE]]),FALSE)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37" t="str">
        <f>INDEX(CONTROL[ENGLISH],MATCH(PROPERTIES[[#This Row],[VEHIDCODE]],CONTROL[VEHIDCODE],0))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5" t="b">
        <f>IFERROR(OR(TRACK_TYPES[[#This Row],[TRACK_TYPE_STANDARD_GAUGE_RAILTYPE_OHLE]:[TRACK_TYPE_STANDARD_GAUGE_RAILTYPE_NONE]]),FALSE)</f>
        <v>1</v>
      </c>
      <c r="AF674" s="35" t="b">
        <f>IFERROR(OR(TRACK_TYPES[[#This Row],[TRACK_TYPE_NARROW_GAUGE_RAILTYPE_OHLE]:[TRACK_TYPE_NARROW_GAUGE_RAILTYPE_NONE]]),FALSE)</f>
        <v>1</v>
      </c>
      <c r="AG674" s="35" t="b">
        <f>IFERROR(OR(TRACK_TYPES[[#This Row],[TRACK_TYPE_BROAD_GAUGE_RAILTYPE_OHLE]:[TRACK_TYPE_BROAD_GAUGE_RAILTYPE_NONE]]),FALSE)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37" t="str">
        <f>INDEX(CONTROL[ENGLISH],MATCH(PROPERTIES[[#This Row],[VEHIDCODE]],CONTROL[VEHIDCODE],0))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5" t="b">
        <f>IFERROR(OR(TRACK_TYPES[[#This Row],[TRACK_TYPE_STANDARD_GAUGE_RAILTYPE_OHLE]:[TRACK_TYPE_STANDARD_GAUGE_RAILTYPE_NONE]]),FALSE)</f>
        <v>1</v>
      </c>
      <c r="AF675" s="35" t="b">
        <f>IFERROR(OR(TRACK_TYPES[[#This Row],[TRACK_TYPE_NARROW_GAUGE_RAILTYPE_OHLE]:[TRACK_TYPE_NARROW_GAUGE_RAILTYPE_NONE]]),FALSE)</f>
        <v>1</v>
      </c>
      <c r="AG675" s="35" t="b">
        <f>IFERROR(OR(TRACK_TYPES[[#This Row],[TRACK_TYPE_BROAD_GAUGE_RAILTYPE_OHLE]:[TRACK_TYPE_BROAD_GAUGE_RAILTYPE_NONE]]),FALSE)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37" t="str">
        <f>INDEX(CONTROL[ENGLISH],MATCH(PROPERTIES[[#This Row],[VEHIDCODE]],CONTROL[VEHIDCODE],0))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5" t="b">
        <f>IFERROR(OR(TRACK_TYPES[[#This Row],[TRACK_TYPE_STANDARD_GAUGE_RAILTYPE_OHLE]:[TRACK_TYPE_STANDARD_GAUGE_RAILTYPE_NONE]]),FALSE)</f>
        <v>1</v>
      </c>
      <c r="AF676" s="35" t="b">
        <f>IFERROR(OR(TRACK_TYPES[[#This Row],[TRACK_TYPE_NARROW_GAUGE_RAILTYPE_OHLE]:[TRACK_TYPE_NARROW_GAUGE_RAILTYPE_NONE]]),FALSE)</f>
        <v>1</v>
      </c>
      <c r="AG676" s="35" t="b">
        <f>IFERROR(OR(TRACK_TYPES[[#This Row],[TRACK_TYPE_BROAD_GAUGE_RAILTYPE_OHLE]:[TRACK_TYPE_BROAD_GAUGE_RAILTYPE_NONE]]),FALSE)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37" t="str">
        <f>INDEX(CONTROL[ENGLISH],MATCH(PROPERTIES[[#This Row],[VEHIDCODE]],CONTROL[VEHIDCODE],0))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5" t="b">
        <f>IFERROR(OR(TRACK_TYPES[[#This Row],[TRACK_TYPE_STANDARD_GAUGE_RAILTYPE_OHLE]:[TRACK_TYPE_STANDARD_GAUGE_RAILTYPE_NONE]]),FALSE)</f>
        <v>1</v>
      </c>
      <c r="AF677" s="35" t="b">
        <f>IFERROR(OR(TRACK_TYPES[[#This Row],[TRACK_TYPE_NARROW_GAUGE_RAILTYPE_OHLE]:[TRACK_TYPE_NARROW_GAUGE_RAILTYPE_NONE]]),FALSE)</f>
        <v>1</v>
      </c>
      <c r="AG677" s="35" t="b">
        <f>IFERROR(OR(TRACK_TYPES[[#This Row],[TRACK_TYPE_BROAD_GAUGE_RAILTYPE_OHLE]:[TRACK_TYPE_BROAD_GAUGE_RAILTYPE_NONE]]),FALSE)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37" t="str">
        <f>INDEX(CONTROL[ENGLISH],MATCH(PROPERTIES[[#This Row],[VEHIDCODE]],CONTROL[VEHIDCODE],0))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5" t="b">
        <f>IFERROR(OR(TRACK_TYPES[[#This Row],[TRACK_TYPE_STANDARD_GAUGE_RAILTYPE_OHLE]:[TRACK_TYPE_STANDARD_GAUGE_RAILTYPE_NONE]]),FALSE)</f>
        <v>1</v>
      </c>
      <c r="AF678" s="35" t="b">
        <f>IFERROR(OR(TRACK_TYPES[[#This Row],[TRACK_TYPE_NARROW_GAUGE_RAILTYPE_OHLE]:[TRACK_TYPE_NARROW_GAUGE_RAILTYPE_NONE]]),FALSE)</f>
        <v>1</v>
      </c>
      <c r="AG678" s="35" t="b">
        <f>IFERROR(OR(TRACK_TYPES[[#This Row],[TRACK_TYPE_BROAD_GAUGE_RAILTYPE_OHLE]:[TRACK_TYPE_BROAD_GAUGE_RAILTYPE_NONE]]),FALSE)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37" t="str">
        <f>INDEX(CONTROL[ENGLISH],MATCH(PROPERTIES[[#This Row],[VEHIDCODE]],CONTROL[VEHIDCODE],0))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5" t="b">
        <f>IFERROR(OR(TRACK_TYPES[[#This Row],[TRACK_TYPE_STANDARD_GAUGE_RAILTYPE_OHLE]:[TRACK_TYPE_STANDARD_GAUGE_RAILTYPE_NONE]]),FALSE)</f>
        <v>1</v>
      </c>
      <c r="AF679" s="35" t="b">
        <f>IFERROR(OR(TRACK_TYPES[[#This Row],[TRACK_TYPE_NARROW_GAUGE_RAILTYPE_OHLE]:[TRACK_TYPE_NARROW_GAUGE_RAILTYPE_NONE]]),FALSE)</f>
        <v>1</v>
      </c>
      <c r="AG679" s="35" t="b">
        <f>IFERROR(OR(TRACK_TYPES[[#This Row],[TRACK_TYPE_BROAD_GAUGE_RAILTYPE_OHLE]:[TRACK_TYPE_BROAD_GAUGE_RAILTYPE_NONE]]),FALSE)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37" t="str">
        <f>INDEX(CONTROL[ENGLISH],MATCH(PROPERTIES[[#This Row],[VEHIDCODE]],CONTROL[VEHIDCODE],0))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5" t="b">
        <f>IFERROR(OR(TRACK_TYPES[[#This Row],[TRACK_TYPE_STANDARD_GAUGE_RAILTYPE_OHLE]:[TRACK_TYPE_STANDARD_GAUGE_RAILTYPE_NONE]]),FALSE)</f>
        <v>1</v>
      </c>
      <c r="AF680" s="35" t="b">
        <f>IFERROR(OR(TRACK_TYPES[[#This Row],[TRACK_TYPE_NARROW_GAUGE_RAILTYPE_OHLE]:[TRACK_TYPE_NARROW_GAUGE_RAILTYPE_NONE]]),FALSE)</f>
        <v>1</v>
      </c>
      <c r="AG680" s="35" t="b">
        <f>IFERROR(OR(TRACK_TYPES[[#This Row],[TRACK_TYPE_BROAD_GAUGE_RAILTYPE_OHLE]:[TRACK_TYPE_BROAD_GAUGE_RAILTYPE_NONE]]),FALSE)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37" t="str">
        <f>INDEX(CONTROL[ENGLISH],MATCH(PROPERTIES[[#This Row],[VEHIDCODE]],CONTROL[VEHIDCODE],0))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5" t="b">
        <f>IFERROR(OR(TRACK_TYPES[[#This Row],[TRACK_TYPE_STANDARD_GAUGE_RAILTYPE_OHLE]:[TRACK_TYPE_STANDARD_GAUGE_RAILTYPE_NONE]]),FALSE)</f>
        <v>1</v>
      </c>
      <c r="AF681" s="35" t="b">
        <f>IFERROR(OR(TRACK_TYPES[[#This Row],[TRACK_TYPE_NARROW_GAUGE_RAILTYPE_OHLE]:[TRACK_TYPE_NARROW_GAUGE_RAILTYPE_NONE]]),FALSE)</f>
        <v>1</v>
      </c>
      <c r="AG681" s="35" t="b">
        <f>IFERROR(OR(TRACK_TYPES[[#This Row],[TRACK_TYPE_BROAD_GAUGE_RAILTYPE_OHLE]:[TRACK_TYPE_BROAD_GAUGE_RAILTYPE_NONE]]),FALSE)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37" t="str">
        <f>INDEX(CONTROL[ENGLISH],MATCH(PROPERTIES[[#This Row],[VEHIDCODE]],CONTROL[VEHIDCODE],0))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5" t="b">
        <f>IFERROR(OR(TRACK_TYPES[[#This Row],[TRACK_TYPE_STANDARD_GAUGE_RAILTYPE_OHLE]:[TRACK_TYPE_STANDARD_GAUGE_RAILTYPE_NONE]]),FALSE)</f>
        <v>1</v>
      </c>
      <c r="AF682" s="35" t="b">
        <f>IFERROR(OR(TRACK_TYPES[[#This Row],[TRACK_TYPE_NARROW_GAUGE_RAILTYPE_OHLE]:[TRACK_TYPE_NARROW_GAUGE_RAILTYPE_NONE]]),FALSE)</f>
        <v>1</v>
      </c>
      <c r="AG682" s="35" t="b">
        <f>IFERROR(OR(TRACK_TYPES[[#This Row],[TRACK_TYPE_BROAD_GAUGE_RAILTYPE_OHLE]:[TRACK_TYPE_BROAD_GAUGE_RAILTYPE_NONE]]),FALSE)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37" t="str">
        <f>INDEX(CONTROL[ENGLISH],MATCH(PROPERTIES[[#This Row],[VEHIDCODE]],CONTROL[VEHIDCODE],0))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5" t="b">
        <f>IFERROR(OR(TRACK_TYPES[[#This Row],[TRACK_TYPE_STANDARD_GAUGE_RAILTYPE_OHLE]:[TRACK_TYPE_STANDARD_GAUGE_RAILTYPE_NONE]]),FALSE)</f>
        <v>1</v>
      </c>
      <c r="AF683" s="35" t="b">
        <f>IFERROR(OR(TRACK_TYPES[[#This Row],[TRACK_TYPE_NARROW_GAUGE_RAILTYPE_OHLE]:[TRACK_TYPE_NARROW_GAUGE_RAILTYPE_NONE]]),FALSE)</f>
        <v>1</v>
      </c>
      <c r="AG683" s="35" t="b">
        <f>IFERROR(OR(TRACK_TYPES[[#This Row],[TRACK_TYPE_BROAD_GAUGE_RAILTYPE_OHLE]:[TRACK_TYPE_BROAD_GAUGE_RAILTYPE_NONE]]),FALSE)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37" t="str">
        <f>INDEX(CONTROL[ENGLISH],MATCH(PROPERTIES[[#This Row],[VEHIDCODE]],CONTROL[VEHIDCODE],0))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5" t="b">
        <f>IFERROR(OR(TRACK_TYPES[[#This Row],[TRACK_TYPE_STANDARD_GAUGE_RAILTYPE_OHLE]:[TRACK_TYPE_STANDARD_GAUGE_RAILTYPE_NONE]]),FALSE)</f>
        <v>1</v>
      </c>
      <c r="AF684" s="35" t="b">
        <f>IFERROR(OR(TRACK_TYPES[[#This Row],[TRACK_TYPE_NARROW_GAUGE_RAILTYPE_OHLE]:[TRACK_TYPE_NARROW_GAUGE_RAILTYPE_NONE]]),FALSE)</f>
        <v>1</v>
      </c>
      <c r="AG684" s="35" t="b">
        <f>IFERROR(OR(TRACK_TYPES[[#This Row],[TRACK_TYPE_BROAD_GAUGE_RAILTYPE_OHLE]:[TRACK_TYPE_BROAD_GAUGE_RAILTYPE_NONE]]),FALSE)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37" t="str">
        <f>INDEX(CONTROL[ENGLISH],MATCH(PROPERTIES[[#This Row],[VEHIDCODE]],CONTROL[VEHIDCODE],0))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5" t="b">
        <f>IFERROR(OR(TRACK_TYPES[[#This Row],[TRACK_TYPE_STANDARD_GAUGE_RAILTYPE_OHLE]:[TRACK_TYPE_STANDARD_GAUGE_RAILTYPE_NONE]]),FALSE)</f>
        <v>1</v>
      </c>
      <c r="AF685" s="35" t="b">
        <f>IFERROR(OR(TRACK_TYPES[[#This Row],[TRACK_TYPE_NARROW_GAUGE_RAILTYPE_OHLE]:[TRACK_TYPE_NARROW_GAUGE_RAILTYPE_NONE]]),FALSE)</f>
        <v>1</v>
      </c>
      <c r="AG685" s="35" t="b">
        <f>IFERROR(OR(TRACK_TYPES[[#This Row],[TRACK_TYPE_BROAD_GAUGE_RAILTYPE_OHLE]:[TRACK_TYPE_BROAD_GAUGE_RAILTYPE_NONE]]),FALSE)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37" t="str">
        <f>INDEX(CONTROL[ENGLISH],MATCH(PROPERTIES[[#This Row],[VEHIDCODE]],CONTROL[VEHIDCODE],0))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5" t="b">
        <f>IFERROR(OR(TRACK_TYPES[[#This Row],[TRACK_TYPE_STANDARD_GAUGE_RAILTYPE_OHLE]:[TRACK_TYPE_STANDARD_GAUGE_RAILTYPE_NONE]]),FALSE)</f>
        <v>1</v>
      </c>
      <c r="AF686" s="35" t="b">
        <f>IFERROR(OR(TRACK_TYPES[[#This Row],[TRACK_TYPE_NARROW_GAUGE_RAILTYPE_OHLE]:[TRACK_TYPE_NARROW_GAUGE_RAILTYPE_NONE]]),FALSE)</f>
        <v>1</v>
      </c>
      <c r="AG686" s="35" t="b">
        <f>IFERROR(OR(TRACK_TYPES[[#This Row],[TRACK_TYPE_BROAD_GAUGE_RAILTYPE_OHLE]:[TRACK_TYPE_BROAD_GAUGE_RAILTYPE_NONE]]),FALSE)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37" t="str">
        <f>INDEX(CONTROL[ENGLISH],MATCH(PROPERTIES[[#This Row],[VEHIDCODE]],CONTROL[VEHIDCODE],0))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5" t="b">
        <f>IFERROR(OR(TRACK_TYPES[[#This Row],[TRACK_TYPE_STANDARD_GAUGE_RAILTYPE_OHLE]:[TRACK_TYPE_STANDARD_GAUGE_RAILTYPE_NONE]]),FALSE)</f>
        <v>1</v>
      </c>
      <c r="AF687" s="35" t="b">
        <f>IFERROR(OR(TRACK_TYPES[[#This Row],[TRACK_TYPE_NARROW_GAUGE_RAILTYPE_OHLE]:[TRACK_TYPE_NARROW_GAUGE_RAILTYPE_NONE]]),FALSE)</f>
        <v>1</v>
      </c>
      <c r="AG687" s="35" t="b">
        <f>IFERROR(OR(TRACK_TYPES[[#This Row],[TRACK_TYPE_BROAD_GAUGE_RAILTYPE_OHLE]:[TRACK_TYPE_BROAD_GAUGE_RAILTYPE_NONE]]),FALSE)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37" t="str">
        <f>INDEX(CONTROL[ENGLISH],MATCH(PROPERTIES[[#This Row],[VEHIDCODE]],CONTROL[VEHIDCODE],0))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5" t="b">
        <f>IFERROR(OR(TRACK_TYPES[[#This Row],[TRACK_TYPE_STANDARD_GAUGE_RAILTYPE_OHLE]:[TRACK_TYPE_STANDARD_GAUGE_RAILTYPE_NONE]]),FALSE)</f>
        <v>1</v>
      </c>
      <c r="AF688" s="35" t="b">
        <f>IFERROR(OR(TRACK_TYPES[[#This Row],[TRACK_TYPE_NARROW_GAUGE_RAILTYPE_OHLE]:[TRACK_TYPE_NARROW_GAUGE_RAILTYPE_NONE]]),FALSE)</f>
        <v>1</v>
      </c>
      <c r="AG688" s="35" t="b">
        <f>IFERROR(OR(TRACK_TYPES[[#This Row],[TRACK_TYPE_BROAD_GAUGE_RAILTYPE_OHLE]:[TRACK_TYPE_BROAD_GAUGE_RAILTYPE_NONE]]),FALSE)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37" t="str">
        <f>INDEX(CONTROL[ENGLISH],MATCH(PROPERTIES[[#This Row],[VEHIDCODE]],CONTROL[VEHIDCODE],0))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5" t="b">
        <f>IFERROR(OR(TRACK_TYPES[[#This Row],[TRACK_TYPE_STANDARD_GAUGE_RAILTYPE_OHLE]:[TRACK_TYPE_STANDARD_GAUGE_RAILTYPE_NONE]]),FALSE)</f>
        <v>1</v>
      </c>
      <c r="AF689" s="35" t="b">
        <f>IFERROR(OR(TRACK_TYPES[[#This Row],[TRACK_TYPE_NARROW_GAUGE_RAILTYPE_OHLE]:[TRACK_TYPE_NARROW_GAUGE_RAILTYPE_NONE]]),FALSE)</f>
        <v>1</v>
      </c>
      <c r="AG689" s="35" t="b">
        <f>IFERROR(OR(TRACK_TYPES[[#This Row],[TRACK_TYPE_BROAD_GAUGE_RAILTYPE_OHLE]:[TRACK_TYPE_BROAD_GAUGE_RAILTYPE_NONE]]),FALSE)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37" t="str">
        <f>INDEX(CONTROL[ENGLISH],MATCH(PROPERTIES[[#This Row],[VEHIDCODE]],CONTROL[VEHIDCODE],0))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5" t="b">
        <f>IFERROR(OR(TRACK_TYPES[[#This Row],[TRACK_TYPE_STANDARD_GAUGE_RAILTYPE_OHLE]:[TRACK_TYPE_STANDARD_GAUGE_RAILTYPE_NONE]]),FALSE)</f>
        <v>1</v>
      </c>
      <c r="AF690" s="35" t="b">
        <f>IFERROR(OR(TRACK_TYPES[[#This Row],[TRACK_TYPE_NARROW_GAUGE_RAILTYPE_OHLE]:[TRACK_TYPE_NARROW_GAUGE_RAILTYPE_NONE]]),FALSE)</f>
        <v>1</v>
      </c>
      <c r="AG690" s="35" t="b">
        <f>IFERROR(OR(TRACK_TYPES[[#This Row],[TRACK_TYPE_BROAD_GAUGE_RAILTYPE_OHLE]:[TRACK_TYPE_BROAD_GAUGE_RAILTYPE_NONE]]),FALSE)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37" t="str">
        <f>INDEX(CONTROL[ENGLISH],MATCH(PROPERTIES[[#This Row],[VEHIDCODE]],CONTROL[VEHIDCODE],0))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5" t="b">
        <f>IFERROR(OR(TRACK_TYPES[[#This Row],[TRACK_TYPE_STANDARD_GAUGE_RAILTYPE_OHLE]:[TRACK_TYPE_STANDARD_GAUGE_RAILTYPE_NONE]]),FALSE)</f>
        <v>1</v>
      </c>
      <c r="AF691" s="35" t="b">
        <f>IFERROR(OR(TRACK_TYPES[[#This Row],[TRACK_TYPE_NARROW_GAUGE_RAILTYPE_OHLE]:[TRACK_TYPE_NARROW_GAUGE_RAILTYPE_NONE]]),FALSE)</f>
        <v>1</v>
      </c>
      <c r="AG691" s="35" t="b">
        <f>IFERROR(OR(TRACK_TYPES[[#This Row],[TRACK_TYPE_BROAD_GAUGE_RAILTYPE_OHLE]:[TRACK_TYPE_BROAD_GAUGE_RAILTYPE_NONE]]),FALSE)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37" t="str">
        <f>INDEX(CONTROL[ENGLISH],MATCH(PROPERTIES[[#This Row],[VEHIDCODE]],CONTROL[VEHIDCODE],0))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5" t="b">
        <f>IFERROR(OR(TRACK_TYPES[[#This Row],[TRACK_TYPE_STANDARD_GAUGE_RAILTYPE_OHLE]:[TRACK_TYPE_STANDARD_GAUGE_RAILTYPE_NONE]]),FALSE)</f>
        <v>1</v>
      </c>
      <c r="AF692" s="35" t="b">
        <f>IFERROR(OR(TRACK_TYPES[[#This Row],[TRACK_TYPE_NARROW_GAUGE_RAILTYPE_OHLE]:[TRACK_TYPE_NARROW_GAUGE_RAILTYPE_NONE]]),FALSE)</f>
        <v>1</v>
      </c>
      <c r="AG692" s="35" t="b">
        <f>IFERROR(OR(TRACK_TYPES[[#This Row],[TRACK_TYPE_BROAD_GAUGE_RAILTYPE_OHLE]:[TRACK_TYPE_BROAD_GAUGE_RAILTYPE_NONE]]),FALSE)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37" t="str">
        <f>INDEX(CONTROL[ENGLISH],MATCH(PROPERTIES[[#This Row],[VEHIDCODE]],CONTROL[VEHIDCODE],0))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5" t="b">
        <f>IFERROR(OR(TRACK_TYPES[[#This Row],[TRACK_TYPE_STANDARD_GAUGE_RAILTYPE_OHLE]:[TRACK_TYPE_STANDARD_GAUGE_RAILTYPE_NONE]]),FALSE)</f>
        <v>1</v>
      </c>
      <c r="AF693" s="35" t="b">
        <f>IFERROR(OR(TRACK_TYPES[[#This Row],[TRACK_TYPE_NARROW_GAUGE_RAILTYPE_OHLE]:[TRACK_TYPE_NARROW_GAUGE_RAILTYPE_NONE]]),FALSE)</f>
        <v>1</v>
      </c>
      <c r="AG693" s="35" t="b">
        <f>IFERROR(OR(TRACK_TYPES[[#This Row],[TRACK_TYPE_BROAD_GAUGE_RAILTYPE_OHLE]:[TRACK_TYPE_BROAD_GAUGE_RAILTYPE_NONE]]),FALSE)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37" t="str">
        <f>INDEX(CONTROL[ENGLISH],MATCH(PROPERTIES[[#This Row],[VEHIDCODE]],CONTROL[VEHIDCODE],0))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5" t="b">
        <f>IFERROR(OR(TRACK_TYPES[[#This Row],[TRACK_TYPE_STANDARD_GAUGE_RAILTYPE_OHLE]:[TRACK_TYPE_STANDARD_GAUGE_RAILTYPE_NONE]]),FALSE)</f>
        <v>1</v>
      </c>
      <c r="AF694" s="35" t="b">
        <f>IFERROR(OR(TRACK_TYPES[[#This Row],[TRACK_TYPE_NARROW_GAUGE_RAILTYPE_OHLE]:[TRACK_TYPE_NARROW_GAUGE_RAILTYPE_NONE]]),FALSE)</f>
        <v>1</v>
      </c>
      <c r="AG694" s="35" t="b">
        <f>IFERROR(OR(TRACK_TYPES[[#This Row],[TRACK_TYPE_BROAD_GAUGE_RAILTYPE_OHLE]:[TRACK_TYPE_BROAD_GAUGE_RAILTYPE_NONE]]),FALSE)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37" t="str">
        <f>INDEX(CONTROL[ENGLISH],MATCH(PROPERTIES[[#This Row],[VEHIDCODE]],CONTROL[VEHIDCODE],0))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5" t="b">
        <f>IFERROR(OR(TRACK_TYPES[[#This Row],[TRACK_TYPE_STANDARD_GAUGE_RAILTYPE_OHLE]:[TRACK_TYPE_STANDARD_GAUGE_RAILTYPE_NONE]]),FALSE)</f>
        <v>1</v>
      </c>
      <c r="AF695" s="35" t="b">
        <f>IFERROR(OR(TRACK_TYPES[[#This Row],[TRACK_TYPE_NARROW_GAUGE_RAILTYPE_OHLE]:[TRACK_TYPE_NARROW_GAUGE_RAILTYPE_NONE]]),FALSE)</f>
        <v>1</v>
      </c>
      <c r="AG695" s="35" t="b">
        <f>IFERROR(OR(TRACK_TYPES[[#This Row],[TRACK_TYPE_BROAD_GAUGE_RAILTYPE_OHLE]:[TRACK_TYPE_BROAD_GAUGE_RAILTYPE_NONE]]),FALSE)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37" t="str">
        <f>INDEX(CONTROL[ENGLISH],MATCH(PROPERTIES[[#This Row],[VEHIDCODE]],CONTROL[VEHIDCODE],0))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5" t="b">
        <f>IFERROR(OR(TRACK_TYPES[[#This Row],[TRACK_TYPE_STANDARD_GAUGE_RAILTYPE_OHLE]:[TRACK_TYPE_STANDARD_GAUGE_RAILTYPE_NONE]]),FALSE)</f>
        <v>1</v>
      </c>
      <c r="AF696" s="35" t="b">
        <f>IFERROR(OR(TRACK_TYPES[[#This Row],[TRACK_TYPE_NARROW_GAUGE_RAILTYPE_OHLE]:[TRACK_TYPE_NARROW_GAUGE_RAILTYPE_NONE]]),FALSE)</f>
        <v>1</v>
      </c>
      <c r="AG696" s="35" t="b">
        <f>IFERROR(OR(TRACK_TYPES[[#This Row],[TRACK_TYPE_BROAD_GAUGE_RAILTYPE_OHLE]:[TRACK_TYPE_BROAD_GAUGE_RAILTYPE_NONE]]),FALSE)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37" t="str">
        <f>INDEX(CONTROL[ENGLISH],MATCH(PROPERTIES[[#This Row],[VEHIDCODE]],CONTROL[VEHIDCODE],0))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5" t="b">
        <f>IFERROR(OR(TRACK_TYPES[[#This Row],[TRACK_TYPE_STANDARD_GAUGE_RAILTYPE_OHLE]:[TRACK_TYPE_STANDARD_GAUGE_RAILTYPE_NONE]]),FALSE)</f>
        <v>1</v>
      </c>
      <c r="AF697" s="35" t="b">
        <f>IFERROR(OR(TRACK_TYPES[[#This Row],[TRACK_TYPE_NARROW_GAUGE_RAILTYPE_OHLE]:[TRACK_TYPE_NARROW_GAUGE_RAILTYPE_NONE]]),FALSE)</f>
        <v>1</v>
      </c>
      <c r="AG697" s="35" t="b">
        <f>IFERROR(OR(TRACK_TYPES[[#This Row],[TRACK_TYPE_BROAD_GAUGE_RAILTYPE_OHLE]:[TRACK_TYPE_BROAD_GAUGE_RAILTYPE_NONE]]),FALSE)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37" t="str">
        <f>INDEX(CONTROL[ENGLISH],MATCH(PROPERTIES[[#This Row],[VEHIDCODE]],CONTROL[VEHIDCODE],0))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5" t="b">
        <f>IFERROR(OR(TRACK_TYPES[[#This Row],[TRACK_TYPE_STANDARD_GAUGE_RAILTYPE_OHLE]:[TRACK_TYPE_STANDARD_GAUGE_RAILTYPE_NONE]]),FALSE)</f>
        <v>1</v>
      </c>
      <c r="AF698" s="35" t="b">
        <f>IFERROR(OR(TRACK_TYPES[[#This Row],[TRACK_TYPE_NARROW_GAUGE_RAILTYPE_OHLE]:[TRACK_TYPE_NARROW_GAUGE_RAILTYPE_NONE]]),FALSE)</f>
        <v>1</v>
      </c>
      <c r="AG698" s="35" t="b">
        <f>IFERROR(OR(TRACK_TYPES[[#This Row],[TRACK_TYPE_BROAD_GAUGE_RAILTYPE_OHLE]:[TRACK_TYPE_BROAD_GAUGE_RAILTYPE_NONE]]),FALSE)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37" t="str">
        <f>INDEX(CONTROL[ENGLISH],MATCH(PROPERTIES[[#This Row],[VEHIDCODE]],CONTROL[VEHIDCODE],0))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5" t="b">
        <f>IFERROR(OR(TRACK_TYPES[[#This Row],[TRACK_TYPE_STANDARD_GAUGE_RAILTYPE_OHLE]:[TRACK_TYPE_STANDARD_GAUGE_RAILTYPE_NONE]]),FALSE)</f>
        <v>1</v>
      </c>
      <c r="AF699" s="35" t="b">
        <f>IFERROR(OR(TRACK_TYPES[[#This Row],[TRACK_TYPE_NARROW_GAUGE_RAILTYPE_OHLE]:[TRACK_TYPE_NARROW_GAUGE_RAILTYPE_NONE]]),FALSE)</f>
        <v>1</v>
      </c>
      <c r="AG699" s="35" t="b">
        <f>IFERROR(OR(TRACK_TYPES[[#This Row],[TRACK_TYPE_BROAD_GAUGE_RAILTYPE_OHLE]:[TRACK_TYPE_BROAD_GAUGE_RAILTYPE_NONE]]),FALSE)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37" t="str">
        <f>INDEX(CONTROL[ENGLISH],MATCH(PROPERTIES[[#This Row],[VEHIDCODE]],CONTROL[VEHIDCODE],0))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5" t="b">
        <f>IFERROR(OR(TRACK_TYPES[[#This Row],[TRACK_TYPE_STANDARD_GAUGE_RAILTYPE_OHLE]:[TRACK_TYPE_STANDARD_GAUGE_RAILTYPE_NONE]]),FALSE)</f>
        <v>1</v>
      </c>
      <c r="AF700" s="35" t="b">
        <f>IFERROR(OR(TRACK_TYPES[[#This Row],[TRACK_TYPE_NARROW_GAUGE_RAILTYPE_OHLE]:[TRACK_TYPE_NARROW_GAUGE_RAILTYPE_NONE]]),FALSE)</f>
        <v>1</v>
      </c>
      <c r="AG700" s="35" t="b">
        <f>IFERROR(OR(TRACK_TYPES[[#This Row],[TRACK_TYPE_BROAD_GAUGE_RAILTYPE_OHLE]:[TRACK_TYPE_BROAD_GAUGE_RAILTYPE_NONE]]),FALSE)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37" t="str">
        <f>INDEX(CONTROL[ENGLISH],MATCH(PROPERTIES[[#This Row],[VEHIDCODE]],CONTROL[VEHIDCODE],0))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5" t="b">
        <f>IFERROR(OR(TRACK_TYPES[[#This Row],[TRACK_TYPE_STANDARD_GAUGE_RAILTYPE_OHLE]:[TRACK_TYPE_STANDARD_GAUGE_RAILTYPE_NONE]]),FALSE)</f>
        <v>1</v>
      </c>
      <c r="AF701" s="35" t="b">
        <f>IFERROR(OR(TRACK_TYPES[[#This Row],[TRACK_TYPE_NARROW_GAUGE_RAILTYPE_OHLE]:[TRACK_TYPE_NARROW_GAUGE_RAILTYPE_NONE]]),FALSE)</f>
        <v>1</v>
      </c>
      <c r="AG701" s="35" t="b">
        <f>IFERROR(OR(TRACK_TYPES[[#This Row],[TRACK_TYPE_BROAD_GAUGE_RAILTYPE_OHLE]:[TRACK_TYPE_BROAD_GAUGE_RAILTYPE_NONE]]),FALSE)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37" t="str">
        <f>INDEX(CONTROL[ENGLISH],MATCH(PROPERTIES[[#This Row],[VEHIDCODE]],CONTROL[VEHIDCODE],0))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5" t="b">
        <f>IFERROR(OR(TRACK_TYPES[[#This Row],[TRACK_TYPE_STANDARD_GAUGE_RAILTYPE_OHLE]:[TRACK_TYPE_STANDARD_GAUGE_RAILTYPE_NONE]]),FALSE)</f>
        <v>1</v>
      </c>
      <c r="AF702" s="35" t="b">
        <f>IFERROR(OR(TRACK_TYPES[[#This Row],[TRACK_TYPE_NARROW_GAUGE_RAILTYPE_OHLE]:[TRACK_TYPE_NARROW_GAUGE_RAILTYPE_NONE]]),FALSE)</f>
        <v>1</v>
      </c>
      <c r="AG702" s="35" t="b">
        <f>IFERROR(OR(TRACK_TYPES[[#This Row],[TRACK_TYPE_BROAD_GAUGE_RAILTYPE_OHLE]:[TRACK_TYPE_BROAD_GAUGE_RAILTYPE_NONE]]),FALSE)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37" t="str">
        <f>INDEX(CONTROL[ENGLISH],MATCH(PROPERTIES[[#This Row],[VEHIDCODE]],CONTROL[VEHIDCODE],0))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5" t="b">
        <f>IFERROR(OR(TRACK_TYPES[[#This Row],[TRACK_TYPE_STANDARD_GAUGE_RAILTYPE_OHLE]:[TRACK_TYPE_STANDARD_GAUGE_RAILTYPE_NONE]]),FALSE)</f>
        <v>1</v>
      </c>
      <c r="AF703" s="35" t="b">
        <f>IFERROR(OR(TRACK_TYPES[[#This Row],[TRACK_TYPE_NARROW_GAUGE_RAILTYPE_OHLE]:[TRACK_TYPE_NARROW_GAUGE_RAILTYPE_NONE]]),FALSE)</f>
        <v>1</v>
      </c>
      <c r="AG703" s="35" t="b">
        <f>IFERROR(OR(TRACK_TYPES[[#This Row],[TRACK_TYPE_BROAD_GAUGE_RAILTYPE_OHLE]:[TRACK_TYPE_BROAD_GAUGE_RAILTYPE_NONE]]),FALSE)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37" t="str">
        <f>INDEX(CONTROL[ENGLISH],MATCH(PROPERTIES[[#This Row],[VEHIDCODE]],CONTROL[VEHIDCODE],0))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5" t="b">
        <f>IFERROR(OR(TRACK_TYPES[[#This Row],[TRACK_TYPE_STANDARD_GAUGE_RAILTYPE_OHLE]:[TRACK_TYPE_STANDARD_GAUGE_RAILTYPE_NONE]]),FALSE)</f>
        <v>1</v>
      </c>
      <c r="AF704" s="35" t="b">
        <f>IFERROR(OR(TRACK_TYPES[[#This Row],[TRACK_TYPE_NARROW_GAUGE_RAILTYPE_OHLE]:[TRACK_TYPE_NARROW_GAUGE_RAILTYPE_NONE]]),FALSE)</f>
        <v>1</v>
      </c>
      <c r="AG704" s="35" t="b">
        <f>IFERROR(OR(TRACK_TYPES[[#This Row],[TRACK_TYPE_BROAD_GAUGE_RAILTYPE_OHLE]:[TRACK_TYPE_BROAD_GAUGE_RAILTYPE_NONE]]),FALSE)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37" t="str">
        <f>INDEX(CONTROL[ENGLISH],MATCH(PROPERTIES[[#This Row],[VEHIDCODE]],CONTROL[VEHIDCODE],0))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5" t="b">
        <f>IFERROR(OR(TRACK_TYPES[[#This Row],[TRACK_TYPE_STANDARD_GAUGE_RAILTYPE_OHLE]:[TRACK_TYPE_STANDARD_GAUGE_RAILTYPE_NONE]]),FALSE)</f>
        <v>1</v>
      </c>
      <c r="AF705" s="35" t="b">
        <f>IFERROR(OR(TRACK_TYPES[[#This Row],[TRACK_TYPE_NARROW_GAUGE_RAILTYPE_OHLE]:[TRACK_TYPE_NARROW_GAUGE_RAILTYPE_NONE]]),FALSE)</f>
        <v>1</v>
      </c>
      <c r="AG705" s="35" t="b">
        <f>IFERROR(OR(TRACK_TYPES[[#This Row],[TRACK_TYPE_BROAD_GAUGE_RAILTYPE_OHLE]:[TRACK_TYPE_BROAD_GAUGE_RAILTYPE_NONE]]),FALSE)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37" t="str">
        <f>INDEX(CONTROL[ENGLISH],MATCH(PROPERTIES[[#This Row],[VEHIDCODE]],CONTROL[VEHIDCODE],0))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5" t="b">
        <f>IFERROR(OR(TRACK_TYPES[[#This Row],[TRACK_TYPE_STANDARD_GAUGE_RAILTYPE_OHLE]:[TRACK_TYPE_STANDARD_GAUGE_RAILTYPE_NONE]]),FALSE)</f>
        <v>1</v>
      </c>
      <c r="AF706" s="35" t="b">
        <f>IFERROR(OR(TRACK_TYPES[[#This Row],[TRACK_TYPE_NARROW_GAUGE_RAILTYPE_OHLE]:[TRACK_TYPE_NARROW_GAUGE_RAILTYPE_NONE]]),FALSE)</f>
        <v>1</v>
      </c>
      <c r="AG706" s="35" t="b">
        <f>IFERROR(OR(TRACK_TYPES[[#This Row],[TRACK_TYPE_BROAD_GAUGE_RAILTYPE_OHLE]:[TRACK_TYPE_BROAD_GAUGE_RAILTYPE_NONE]]),FALSE)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37" t="str">
        <f>INDEX(CONTROL[ENGLISH],MATCH(PROPERTIES[[#This Row],[VEHIDCODE]],CONTROL[VEHIDCODE],0))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5" t="b">
        <f>IFERROR(OR(TRACK_TYPES[[#This Row],[TRACK_TYPE_STANDARD_GAUGE_RAILTYPE_OHLE]:[TRACK_TYPE_STANDARD_GAUGE_RAILTYPE_NONE]]),FALSE)</f>
        <v>1</v>
      </c>
      <c r="AF707" s="35" t="b">
        <f>IFERROR(OR(TRACK_TYPES[[#This Row],[TRACK_TYPE_NARROW_GAUGE_RAILTYPE_OHLE]:[TRACK_TYPE_NARROW_GAUGE_RAILTYPE_NONE]]),FALSE)</f>
        <v>1</v>
      </c>
      <c r="AG707" s="35" t="b">
        <f>IFERROR(OR(TRACK_TYPES[[#This Row],[TRACK_TYPE_BROAD_GAUGE_RAILTYPE_OHLE]:[TRACK_TYPE_BROAD_GAUGE_RAILTYPE_NONE]]),FALSE)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37" t="str">
        <f>INDEX(CONTROL[ENGLISH],MATCH(PROPERTIES[[#This Row],[VEHIDCODE]],CONTROL[VEHIDCODE],0))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5" t="b">
        <f>IFERROR(OR(TRACK_TYPES[[#This Row],[TRACK_TYPE_STANDARD_GAUGE_RAILTYPE_OHLE]:[TRACK_TYPE_STANDARD_GAUGE_RAILTYPE_NONE]]),FALSE)</f>
        <v>1</v>
      </c>
      <c r="AF708" s="35" t="b">
        <f>IFERROR(OR(TRACK_TYPES[[#This Row],[TRACK_TYPE_NARROW_GAUGE_RAILTYPE_OHLE]:[TRACK_TYPE_NARROW_GAUGE_RAILTYPE_NONE]]),FALSE)</f>
        <v>1</v>
      </c>
      <c r="AG708" s="35" t="b">
        <f>IFERROR(OR(TRACK_TYPES[[#This Row],[TRACK_TYPE_BROAD_GAUGE_RAILTYPE_OHLE]:[TRACK_TYPE_BROAD_GAUGE_RAILTYPE_NONE]]),FALSE)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37" t="str">
        <f>INDEX(CONTROL[ENGLISH],MATCH(PROPERTIES[[#This Row],[VEHIDCODE]],CONTROL[VEHIDCODE],0))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5" t="b">
        <f>IFERROR(OR(TRACK_TYPES[[#This Row],[TRACK_TYPE_STANDARD_GAUGE_RAILTYPE_OHLE]:[TRACK_TYPE_STANDARD_GAUGE_RAILTYPE_NONE]]),FALSE)</f>
        <v>1</v>
      </c>
      <c r="AF709" s="35" t="b">
        <f>IFERROR(OR(TRACK_TYPES[[#This Row],[TRACK_TYPE_NARROW_GAUGE_RAILTYPE_OHLE]:[TRACK_TYPE_NARROW_GAUGE_RAILTYPE_NONE]]),FALSE)</f>
        <v>1</v>
      </c>
      <c r="AG709" s="35" t="b">
        <f>IFERROR(OR(TRACK_TYPES[[#This Row],[TRACK_TYPE_BROAD_GAUGE_RAILTYPE_OHLE]:[TRACK_TYPE_BROAD_GAUGE_RAILTYPE_NONE]]),FALSE)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37" t="str">
        <f>INDEX(CONTROL[ENGLISH],MATCH(PROPERTIES[[#This Row],[VEHIDCODE]],CONTROL[VEHIDCODE],0))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5" t="b">
        <f>IFERROR(OR(TRACK_TYPES[[#This Row],[TRACK_TYPE_STANDARD_GAUGE_RAILTYPE_OHLE]:[TRACK_TYPE_STANDARD_GAUGE_RAILTYPE_NONE]]),FALSE)</f>
        <v>1</v>
      </c>
      <c r="AF710" s="35" t="b">
        <f>IFERROR(OR(TRACK_TYPES[[#This Row],[TRACK_TYPE_NARROW_GAUGE_RAILTYPE_OHLE]:[TRACK_TYPE_NARROW_GAUGE_RAILTYPE_NONE]]),FALSE)</f>
        <v>1</v>
      </c>
      <c r="AG710" s="35" t="b">
        <f>IFERROR(OR(TRACK_TYPES[[#This Row],[TRACK_TYPE_BROAD_GAUGE_RAILTYPE_OHLE]:[TRACK_TYPE_BROAD_GAUGE_RAILTYPE_NONE]]),FALSE)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37" t="str">
        <f>INDEX(CONTROL[ENGLISH],MATCH(PROPERTIES[[#This Row],[VEHIDCODE]],CONTROL[VEHIDCODE],0))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5" t="b">
        <f>IFERROR(OR(TRACK_TYPES[[#This Row],[TRACK_TYPE_STANDARD_GAUGE_RAILTYPE_OHLE]:[TRACK_TYPE_STANDARD_GAUGE_RAILTYPE_NONE]]),FALSE)</f>
        <v>1</v>
      </c>
      <c r="AF711" s="35" t="b">
        <f>IFERROR(OR(TRACK_TYPES[[#This Row],[TRACK_TYPE_NARROW_GAUGE_RAILTYPE_OHLE]:[TRACK_TYPE_NARROW_GAUGE_RAILTYPE_NONE]]),FALSE)</f>
        <v>1</v>
      </c>
      <c r="AG711" s="35" t="b">
        <f>IFERROR(OR(TRACK_TYPES[[#This Row],[TRACK_TYPE_BROAD_GAUGE_RAILTYPE_OHLE]:[TRACK_TYPE_BROAD_GAUGE_RAILTYPE_NONE]]),FALSE)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37" t="str">
        <f>INDEX(CONTROL[ENGLISH],MATCH(PROPERTIES[[#This Row],[VEHIDCODE]],CONTROL[VEHIDCODE],0))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5" t="b">
        <f>IFERROR(OR(TRACK_TYPES[[#This Row],[TRACK_TYPE_STANDARD_GAUGE_RAILTYPE_OHLE]:[TRACK_TYPE_STANDARD_GAUGE_RAILTYPE_NONE]]),FALSE)</f>
        <v>1</v>
      </c>
      <c r="AF712" s="35" t="b">
        <f>IFERROR(OR(TRACK_TYPES[[#This Row],[TRACK_TYPE_NARROW_GAUGE_RAILTYPE_OHLE]:[TRACK_TYPE_NARROW_GAUGE_RAILTYPE_NONE]]),FALSE)</f>
        <v>1</v>
      </c>
      <c r="AG712" s="35" t="b">
        <f>IFERROR(OR(TRACK_TYPES[[#This Row],[TRACK_TYPE_BROAD_GAUGE_RAILTYPE_OHLE]:[TRACK_TYPE_BROAD_GAUGE_RAILTYPE_NONE]]),FALSE)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37" t="str">
        <f>INDEX(CONTROL[ENGLISH],MATCH(PROPERTIES[[#This Row],[VEHIDCODE]],CONTROL[VEHIDCODE],0))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5" t="b">
        <f>IFERROR(OR(TRACK_TYPES[[#This Row],[TRACK_TYPE_STANDARD_GAUGE_RAILTYPE_OHLE]:[TRACK_TYPE_STANDARD_GAUGE_RAILTYPE_NONE]]),FALSE)</f>
        <v>1</v>
      </c>
      <c r="AF713" s="35" t="b">
        <f>IFERROR(OR(TRACK_TYPES[[#This Row],[TRACK_TYPE_NARROW_GAUGE_RAILTYPE_OHLE]:[TRACK_TYPE_NARROW_GAUGE_RAILTYPE_NONE]]),FALSE)</f>
        <v>1</v>
      </c>
      <c r="AG713" s="35" t="b">
        <f>IFERROR(OR(TRACK_TYPES[[#This Row],[TRACK_TYPE_BROAD_GAUGE_RAILTYPE_OHLE]:[TRACK_TYPE_BROAD_GAUGE_RAILTYPE_NONE]]),FALSE)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37" t="str">
        <f>INDEX(CONTROL[ENGLISH],MATCH(PROPERTIES[[#This Row],[VEHIDCODE]],CONTROL[VEHIDCODE],0))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5" t="b">
        <f>IFERROR(OR(TRACK_TYPES[[#This Row],[TRACK_TYPE_STANDARD_GAUGE_RAILTYPE_OHLE]:[TRACK_TYPE_STANDARD_GAUGE_RAILTYPE_NONE]]),FALSE)</f>
        <v>1</v>
      </c>
      <c r="AF714" s="35" t="b">
        <f>IFERROR(OR(TRACK_TYPES[[#This Row],[TRACK_TYPE_NARROW_GAUGE_RAILTYPE_OHLE]:[TRACK_TYPE_NARROW_GAUGE_RAILTYPE_NONE]]),FALSE)</f>
        <v>1</v>
      </c>
      <c r="AG714" s="35" t="b">
        <f>IFERROR(OR(TRACK_TYPES[[#This Row],[TRACK_TYPE_BROAD_GAUGE_RAILTYPE_OHLE]:[TRACK_TYPE_BROAD_GAUGE_RAILTYPE_NONE]]),FALSE)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37" t="str">
        <f>INDEX(CONTROL[ENGLISH],MATCH(PROPERTIES[[#This Row],[VEHIDCODE]],CONTROL[VEHIDCODE],0))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5" t="b">
        <f>IFERROR(OR(TRACK_TYPES[[#This Row],[TRACK_TYPE_STANDARD_GAUGE_RAILTYPE_OHLE]:[TRACK_TYPE_STANDARD_GAUGE_RAILTYPE_NONE]]),FALSE)</f>
        <v>1</v>
      </c>
      <c r="AF715" s="35" t="b">
        <f>IFERROR(OR(TRACK_TYPES[[#This Row],[TRACK_TYPE_NARROW_GAUGE_RAILTYPE_OHLE]:[TRACK_TYPE_NARROW_GAUGE_RAILTYPE_NONE]]),FALSE)</f>
        <v>1</v>
      </c>
      <c r="AG715" s="35" t="b">
        <f>IFERROR(OR(TRACK_TYPES[[#This Row],[TRACK_TYPE_BROAD_GAUGE_RAILTYPE_OHLE]:[TRACK_TYPE_BROAD_GAUGE_RAILTYPE_NONE]]),FALSE)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37" t="str">
        <f>INDEX(CONTROL[ENGLISH],MATCH(PROPERTIES[[#This Row],[VEHIDCODE]],CONTROL[VEHIDCODE],0))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5" t="b">
        <f>IFERROR(OR(TRACK_TYPES[[#This Row],[TRACK_TYPE_STANDARD_GAUGE_RAILTYPE_OHLE]:[TRACK_TYPE_STANDARD_GAUGE_RAILTYPE_NONE]]),FALSE)</f>
        <v>1</v>
      </c>
      <c r="AF716" s="35" t="b">
        <f>IFERROR(OR(TRACK_TYPES[[#This Row],[TRACK_TYPE_NARROW_GAUGE_RAILTYPE_OHLE]:[TRACK_TYPE_NARROW_GAUGE_RAILTYPE_NONE]]),FALSE)</f>
        <v>1</v>
      </c>
      <c r="AG716" s="35" t="b">
        <f>IFERROR(OR(TRACK_TYPES[[#This Row],[TRACK_TYPE_BROAD_GAUGE_RAILTYPE_OHLE]:[TRACK_TYPE_BROAD_GAUGE_RAILTYPE_NONE]]),FALSE)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37" t="str">
        <f>INDEX(CONTROL[ENGLISH],MATCH(PROPERTIES[[#This Row],[VEHIDCODE]],CONTROL[VEHIDCODE],0))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5" t="b">
        <f>IFERROR(OR(TRACK_TYPES[[#This Row],[TRACK_TYPE_STANDARD_GAUGE_RAILTYPE_OHLE]:[TRACK_TYPE_STANDARD_GAUGE_RAILTYPE_NONE]]),FALSE)</f>
        <v>1</v>
      </c>
      <c r="AF717" s="35" t="b">
        <f>IFERROR(OR(TRACK_TYPES[[#This Row],[TRACK_TYPE_NARROW_GAUGE_RAILTYPE_OHLE]:[TRACK_TYPE_NARROW_GAUGE_RAILTYPE_NONE]]),FALSE)</f>
        <v>1</v>
      </c>
      <c r="AG717" s="35" t="b">
        <f>IFERROR(OR(TRACK_TYPES[[#This Row],[TRACK_TYPE_BROAD_GAUGE_RAILTYPE_OHLE]:[TRACK_TYPE_BROAD_GAUGE_RAILTYPE_NONE]]),FALSE)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37" t="str">
        <f>INDEX(CONTROL[ENGLISH],MATCH(PROPERTIES[[#This Row],[VEHIDCODE]],CONTROL[VEHIDCODE],0))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5" t="b">
        <f>IFERROR(OR(TRACK_TYPES[[#This Row],[TRACK_TYPE_STANDARD_GAUGE_RAILTYPE_OHLE]:[TRACK_TYPE_STANDARD_GAUGE_RAILTYPE_NONE]]),FALSE)</f>
        <v>1</v>
      </c>
      <c r="AF718" s="35" t="b">
        <f>IFERROR(OR(TRACK_TYPES[[#This Row],[TRACK_TYPE_NARROW_GAUGE_RAILTYPE_OHLE]:[TRACK_TYPE_NARROW_GAUGE_RAILTYPE_NONE]]),FALSE)</f>
        <v>1</v>
      </c>
      <c r="AG718" s="35" t="b">
        <f>IFERROR(OR(TRACK_TYPES[[#This Row],[TRACK_TYPE_BROAD_GAUGE_RAILTYPE_OHLE]:[TRACK_TYPE_BROAD_GAUGE_RAILTYPE_NONE]]),FALSE)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37" t="str">
        <f>INDEX(CONTROL[ENGLISH],MATCH(PROPERTIES[[#This Row],[VEHIDCODE]],CONTROL[VEHIDCODE],0))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5" t="b">
        <f>IFERROR(OR(TRACK_TYPES[[#This Row],[TRACK_TYPE_STANDARD_GAUGE_RAILTYPE_OHLE]:[TRACK_TYPE_STANDARD_GAUGE_RAILTYPE_NONE]]),FALSE)</f>
        <v>1</v>
      </c>
      <c r="AF719" s="35" t="b">
        <f>IFERROR(OR(TRACK_TYPES[[#This Row],[TRACK_TYPE_NARROW_GAUGE_RAILTYPE_OHLE]:[TRACK_TYPE_NARROW_GAUGE_RAILTYPE_NONE]]),FALSE)</f>
        <v>1</v>
      </c>
      <c r="AG719" s="35" t="b">
        <f>IFERROR(OR(TRACK_TYPES[[#This Row],[TRACK_TYPE_BROAD_GAUGE_RAILTYPE_OHLE]:[TRACK_TYPE_BROAD_GAUGE_RAILTYPE_NONE]]),FALSE)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37" t="str">
        <f>INDEX(CONTROL[ENGLISH],MATCH(PROPERTIES[[#This Row],[VEHIDCODE]],CONTROL[VEHIDCODE],0))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5" t="b">
        <f>IFERROR(OR(TRACK_TYPES[[#This Row],[TRACK_TYPE_STANDARD_GAUGE_RAILTYPE_OHLE]:[TRACK_TYPE_STANDARD_GAUGE_RAILTYPE_NONE]]),FALSE)</f>
        <v>1</v>
      </c>
      <c r="AF720" s="35" t="b">
        <f>IFERROR(OR(TRACK_TYPES[[#This Row],[TRACK_TYPE_NARROW_GAUGE_RAILTYPE_OHLE]:[TRACK_TYPE_NARROW_GAUGE_RAILTYPE_NONE]]),FALSE)</f>
        <v>1</v>
      </c>
      <c r="AG720" s="35" t="b">
        <f>IFERROR(OR(TRACK_TYPES[[#This Row],[TRACK_TYPE_BROAD_GAUGE_RAILTYPE_OHLE]:[TRACK_TYPE_BROAD_GAUGE_RAILTYPE_NONE]]),FALSE)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37" t="str">
        <f>INDEX(CONTROL[ENGLISH],MATCH(PROPERTIES[[#This Row],[VEHIDCODE]],CONTROL[VEHIDCODE],0))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5" t="b">
        <f>IFERROR(OR(TRACK_TYPES[[#This Row],[TRACK_TYPE_STANDARD_GAUGE_RAILTYPE_OHLE]:[TRACK_TYPE_STANDARD_GAUGE_RAILTYPE_NONE]]),FALSE)</f>
        <v>1</v>
      </c>
      <c r="AF721" s="35" t="b">
        <f>IFERROR(OR(TRACK_TYPES[[#This Row],[TRACK_TYPE_NARROW_GAUGE_RAILTYPE_OHLE]:[TRACK_TYPE_NARROW_GAUGE_RAILTYPE_NONE]]),FALSE)</f>
        <v>1</v>
      </c>
      <c r="AG721" s="35" t="b">
        <f>IFERROR(OR(TRACK_TYPES[[#This Row],[TRACK_TYPE_BROAD_GAUGE_RAILTYPE_OHLE]:[TRACK_TYPE_BROAD_GAUGE_RAILTYPE_NONE]]),FALSE)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37" t="str">
        <f>INDEX(CONTROL[ENGLISH],MATCH(PROPERTIES[[#This Row],[VEHIDCODE]],CONTROL[VEHIDCODE],0))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5" t="b">
        <f>IFERROR(OR(TRACK_TYPES[[#This Row],[TRACK_TYPE_STANDARD_GAUGE_RAILTYPE_OHLE]:[TRACK_TYPE_STANDARD_GAUGE_RAILTYPE_NONE]]),FALSE)</f>
        <v>1</v>
      </c>
      <c r="AF722" s="35" t="b">
        <f>IFERROR(OR(TRACK_TYPES[[#This Row],[TRACK_TYPE_NARROW_GAUGE_RAILTYPE_OHLE]:[TRACK_TYPE_NARROW_GAUGE_RAILTYPE_NONE]]),FALSE)</f>
        <v>1</v>
      </c>
      <c r="AG722" s="35" t="b">
        <f>IFERROR(OR(TRACK_TYPES[[#This Row],[TRACK_TYPE_BROAD_GAUGE_RAILTYPE_OHLE]:[TRACK_TYPE_BROAD_GAUGE_RAILTYPE_NONE]]),FALSE)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37" t="str">
        <f>INDEX(CONTROL[ENGLISH],MATCH(PROPERTIES[[#This Row],[VEHIDCODE]],CONTROL[VEHIDCODE],0))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5" t="b">
        <f>IFERROR(OR(TRACK_TYPES[[#This Row],[TRACK_TYPE_STANDARD_GAUGE_RAILTYPE_OHLE]:[TRACK_TYPE_STANDARD_GAUGE_RAILTYPE_NONE]]),FALSE)</f>
        <v>1</v>
      </c>
      <c r="AF723" s="35" t="b">
        <f>IFERROR(OR(TRACK_TYPES[[#This Row],[TRACK_TYPE_NARROW_GAUGE_RAILTYPE_OHLE]:[TRACK_TYPE_NARROW_GAUGE_RAILTYPE_NONE]]),FALSE)</f>
        <v>1</v>
      </c>
      <c r="AG723" s="35" t="b">
        <f>IFERROR(OR(TRACK_TYPES[[#This Row],[TRACK_TYPE_BROAD_GAUGE_RAILTYPE_OHLE]:[TRACK_TYPE_BROAD_GAUGE_RAILTYPE_NONE]]),FALSE)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37" t="str">
        <f>INDEX(CONTROL[ENGLISH],MATCH(PROPERTIES[[#This Row],[VEHIDCODE]],CONTROL[VEHIDCODE],0))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5" t="b">
        <f>IFERROR(OR(TRACK_TYPES[[#This Row],[TRACK_TYPE_STANDARD_GAUGE_RAILTYPE_OHLE]:[TRACK_TYPE_STANDARD_GAUGE_RAILTYPE_NONE]]),FALSE)</f>
        <v>1</v>
      </c>
      <c r="AF724" s="35" t="b">
        <f>IFERROR(OR(TRACK_TYPES[[#This Row],[TRACK_TYPE_NARROW_GAUGE_RAILTYPE_OHLE]:[TRACK_TYPE_NARROW_GAUGE_RAILTYPE_NONE]]),FALSE)</f>
        <v>1</v>
      </c>
      <c r="AG724" s="35" t="b">
        <f>IFERROR(OR(TRACK_TYPES[[#This Row],[TRACK_TYPE_BROAD_GAUGE_RAILTYPE_OHLE]:[TRACK_TYPE_BROAD_GAUGE_RAILTYPE_NONE]]),FALSE)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37" t="str">
        <f>INDEX(CONTROL[ENGLISH],MATCH(PROPERTIES[[#This Row],[VEHIDCODE]],CONTROL[VEHIDCODE],0))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5" t="b">
        <f>IFERROR(OR(TRACK_TYPES[[#This Row],[TRACK_TYPE_STANDARD_GAUGE_RAILTYPE_OHLE]:[TRACK_TYPE_STANDARD_GAUGE_RAILTYPE_NONE]]),FALSE)</f>
        <v>1</v>
      </c>
      <c r="AF725" s="35" t="b">
        <f>IFERROR(OR(TRACK_TYPES[[#This Row],[TRACK_TYPE_NARROW_GAUGE_RAILTYPE_OHLE]:[TRACK_TYPE_NARROW_GAUGE_RAILTYPE_NONE]]),FALSE)</f>
        <v>1</v>
      </c>
      <c r="AG725" s="35" t="b">
        <f>IFERROR(OR(TRACK_TYPES[[#This Row],[TRACK_TYPE_BROAD_GAUGE_RAILTYPE_OHLE]:[TRACK_TYPE_BROAD_GAUGE_RAILTYPE_NONE]]),FALSE)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37" t="str">
        <f>INDEX(CONTROL[ENGLISH],MATCH(PROPERTIES[[#This Row],[VEHIDCODE]],CONTROL[VEHIDCODE],0))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5" t="b">
        <f>IFERROR(OR(TRACK_TYPES[[#This Row],[TRACK_TYPE_STANDARD_GAUGE_RAILTYPE_OHLE]:[TRACK_TYPE_STANDARD_GAUGE_RAILTYPE_NONE]]),FALSE)</f>
        <v>1</v>
      </c>
      <c r="AF726" s="35" t="b">
        <f>IFERROR(OR(TRACK_TYPES[[#This Row],[TRACK_TYPE_NARROW_GAUGE_RAILTYPE_OHLE]:[TRACK_TYPE_NARROW_GAUGE_RAILTYPE_NONE]]),FALSE)</f>
        <v>1</v>
      </c>
      <c r="AG726" s="35" t="b">
        <f>IFERROR(OR(TRACK_TYPES[[#This Row],[TRACK_TYPE_BROAD_GAUGE_RAILTYPE_OHLE]:[TRACK_TYPE_BROAD_GAUGE_RAILTYPE_NONE]]),FALSE)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37" t="str">
        <f>INDEX(CONTROL[ENGLISH],MATCH(PROPERTIES[[#This Row],[VEHIDCODE]],CONTROL[VEHIDCODE],0))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5" t="b">
        <f>IFERROR(OR(TRACK_TYPES[[#This Row],[TRACK_TYPE_STANDARD_GAUGE_RAILTYPE_OHLE]:[TRACK_TYPE_STANDARD_GAUGE_RAILTYPE_NONE]]),FALSE)</f>
        <v>1</v>
      </c>
      <c r="AF727" s="35" t="b">
        <f>IFERROR(OR(TRACK_TYPES[[#This Row],[TRACK_TYPE_NARROW_GAUGE_RAILTYPE_OHLE]:[TRACK_TYPE_NARROW_GAUGE_RAILTYPE_NONE]]),FALSE)</f>
        <v>1</v>
      </c>
      <c r="AG727" s="35" t="b">
        <f>IFERROR(OR(TRACK_TYPES[[#This Row],[TRACK_TYPE_BROAD_GAUGE_RAILTYPE_OHLE]:[TRACK_TYPE_BROAD_GAUGE_RAILTYPE_NONE]]),FALSE)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37" t="str">
        <f>INDEX(CONTROL[ENGLISH],MATCH(PROPERTIES[[#This Row],[VEHIDCODE]],CONTROL[VEHIDCODE],0))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5" t="b">
        <f>IFERROR(OR(TRACK_TYPES[[#This Row],[TRACK_TYPE_STANDARD_GAUGE_RAILTYPE_OHLE]:[TRACK_TYPE_STANDARD_GAUGE_RAILTYPE_NONE]]),FALSE)</f>
        <v>1</v>
      </c>
      <c r="AF728" s="35" t="b">
        <f>IFERROR(OR(TRACK_TYPES[[#This Row],[TRACK_TYPE_NARROW_GAUGE_RAILTYPE_OHLE]:[TRACK_TYPE_NARROW_GAUGE_RAILTYPE_NONE]]),FALSE)</f>
        <v>1</v>
      </c>
      <c r="AG728" s="35" t="b">
        <f>IFERROR(OR(TRACK_TYPES[[#This Row],[TRACK_TYPE_BROAD_GAUGE_RAILTYPE_OHLE]:[TRACK_TYPE_BROAD_GAUGE_RAILTYPE_NONE]]),FALSE)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37" t="str">
        <f>INDEX(CONTROL[ENGLISH],MATCH(PROPERTIES[[#This Row],[VEHIDCODE]],CONTROL[VEHIDCODE],0))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5" t="b">
        <f>IFERROR(OR(TRACK_TYPES[[#This Row],[TRACK_TYPE_STANDARD_GAUGE_RAILTYPE_OHLE]:[TRACK_TYPE_STANDARD_GAUGE_RAILTYPE_NONE]]),FALSE)</f>
        <v>1</v>
      </c>
      <c r="AF729" s="35" t="b">
        <f>IFERROR(OR(TRACK_TYPES[[#This Row],[TRACK_TYPE_NARROW_GAUGE_RAILTYPE_OHLE]:[TRACK_TYPE_NARROW_GAUGE_RAILTYPE_NONE]]),FALSE)</f>
        <v>1</v>
      </c>
      <c r="AG729" s="35" t="b">
        <f>IFERROR(OR(TRACK_TYPES[[#This Row],[TRACK_TYPE_BROAD_GAUGE_RAILTYPE_OHLE]:[TRACK_TYPE_BROAD_GAUGE_RAILTYPE_NONE]]),FALSE)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37" t="str">
        <f>INDEX(CONTROL[ENGLISH],MATCH(PROPERTIES[[#This Row],[VEHIDCODE]],CONTROL[VEHIDCODE],0))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5" t="b">
        <f>IFERROR(OR(TRACK_TYPES[[#This Row],[TRACK_TYPE_STANDARD_GAUGE_RAILTYPE_OHLE]:[TRACK_TYPE_STANDARD_GAUGE_RAILTYPE_NONE]]),FALSE)</f>
        <v>1</v>
      </c>
      <c r="AF730" s="35" t="b">
        <f>IFERROR(OR(TRACK_TYPES[[#This Row],[TRACK_TYPE_NARROW_GAUGE_RAILTYPE_OHLE]:[TRACK_TYPE_NARROW_GAUGE_RAILTYPE_NONE]]),FALSE)</f>
        <v>1</v>
      </c>
      <c r="AG730" s="35" t="b">
        <f>IFERROR(OR(TRACK_TYPES[[#This Row],[TRACK_TYPE_BROAD_GAUGE_RAILTYPE_OHLE]:[TRACK_TYPE_BROAD_GAUGE_RAILTYPE_NONE]]),FALSE)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37" t="str">
        <f>INDEX(CONTROL[ENGLISH],MATCH(PROPERTIES[[#This Row],[VEHIDCODE]],CONTROL[VEHIDCODE],0))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5" t="b">
        <f>IFERROR(OR(TRACK_TYPES[[#This Row],[TRACK_TYPE_STANDARD_GAUGE_RAILTYPE_OHLE]:[TRACK_TYPE_STANDARD_GAUGE_RAILTYPE_NONE]]),FALSE)</f>
        <v>1</v>
      </c>
      <c r="AF731" s="35" t="b">
        <f>IFERROR(OR(TRACK_TYPES[[#This Row],[TRACK_TYPE_NARROW_GAUGE_RAILTYPE_OHLE]:[TRACK_TYPE_NARROW_GAUGE_RAILTYPE_NONE]]),FALSE)</f>
        <v>1</v>
      </c>
      <c r="AG731" s="35" t="b">
        <f>IFERROR(OR(TRACK_TYPES[[#This Row],[TRACK_TYPE_BROAD_GAUGE_RAILTYPE_OHLE]:[TRACK_TYPE_BROAD_GAUGE_RAILTYPE_NONE]]),FALSE)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37" t="str">
        <f>INDEX(CONTROL[ENGLISH],MATCH(PROPERTIES[[#This Row],[VEHIDCODE]],CONTROL[VEHIDCODE],0))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5" t="b">
        <f>IFERROR(OR(TRACK_TYPES[[#This Row],[TRACK_TYPE_STANDARD_GAUGE_RAILTYPE_OHLE]:[TRACK_TYPE_STANDARD_GAUGE_RAILTYPE_NONE]]),FALSE)</f>
        <v>1</v>
      </c>
      <c r="AF732" s="35" t="b">
        <f>IFERROR(OR(TRACK_TYPES[[#This Row],[TRACK_TYPE_NARROW_GAUGE_RAILTYPE_OHLE]:[TRACK_TYPE_NARROW_GAUGE_RAILTYPE_NONE]]),FALSE)</f>
        <v>1</v>
      </c>
      <c r="AG732" s="35" t="b">
        <f>IFERROR(OR(TRACK_TYPES[[#This Row],[TRACK_TYPE_BROAD_GAUGE_RAILTYPE_OHLE]:[TRACK_TYPE_BROAD_GAUGE_RAILTYPE_NONE]]),FALSE)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37" t="str">
        <f>INDEX(CONTROL[ENGLISH],MATCH(PROPERTIES[[#This Row],[VEHIDCODE]],CONTROL[VEHIDCODE],0))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5" t="b">
        <f>IFERROR(OR(TRACK_TYPES[[#This Row],[TRACK_TYPE_STANDARD_GAUGE_RAILTYPE_OHLE]:[TRACK_TYPE_STANDARD_GAUGE_RAILTYPE_NONE]]),FALSE)</f>
        <v>1</v>
      </c>
      <c r="AF733" s="35" t="b">
        <f>IFERROR(OR(TRACK_TYPES[[#This Row],[TRACK_TYPE_NARROW_GAUGE_RAILTYPE_OHLE]:[TRACK_TYPE_NARROW_GAUGE_RAILTYPE_NONE]]),FALSE)</f>
        <v>1</v>
      </c>
      <c r="AG733" s="35" t="b">
        <f>IFERROR(OR(TRACK_TYPES[[#This Row],[TRACK_TYPE_BROAD_GAUGE_RAILTYPE_OHLE]:[TRACK_TYPE_BROAD_GAUGE_RAILTYPE_NONE]]),FALSE)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37" t="str">
        <f>INDEX(CONTROL[ENGLISH],MATCH(PROPERTIES[[#This Row],[VEHIDCODE]],CONTROL[VEHIDCODE],0))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5" t="b">
        <f>IFERROR(OR(TRACK_TYPES[[#This Row],[TRACK_TYPE_STANDARD_GAUGE_RAILTYPE_OHLE]:[TRACK_TYPE_STANDARD_GAUGE_RAILTYPE_NONE]]),FALSE)</f>
        <v>1</v>
      </c>
      <c r="AF734" s="35" t="b">
        <f>IFERROR(OR(TRACK_TYPES[[#This Row],[TRACK_TYPE_NARROW_GAUGE_RAILTYPE_OHLE]:[TRACK_TYPE_NARROW_GAUGE_RAILTYPE_NONE]]),FALSE)</f>
        <v>1</v>
      </c>
      <c r="AG734" s="35" t="b">
        <f>IFERROR(OR(TRACK_TYPES[[#This Row],[TRACK_TYPE_BROAD_GAUGE_RAILTYPE_OHLE]:[TRACK_TYPE_BROAD_GAUGE_RAILTYPE_NONE]]),FALSE)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37" t="str">
        <f>INDEX(CONTROL[ENGLISH],MATCH(PROPERTIES[[#This Row],[VEHIDCODE]],CONTROL[VEHIDCODE],0))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5" t="b">
        <f>IFERROR(OR(TRACK_TYPES[[#This Row],[TRACK_TYPE_STANDARD_GAUGE_RAILTYPE_OHLE]:[TRACK_TYPE_STANDARD_GAUGE_RAILTYPE_NONE]]),FALSE)</f>
        <v>1</v>
      </c>
      <c r="AF735" s="35" t="b">
        <f>IFERROR(OR(TRACK_TYPES[[#This Row],[TRACK_TYPE_NARROW_GAUGE_RAILTYPE_OHLE]:[TRACK_TYPE_NARROW_GAUGE_RAILTYPE_NONE]]),FALSE)</f>
        <v>1</v>
      </c>
      <c r="AG735" s="35" t="b">
        <f>IFERROR(OR(TRACK_TYPES[[#This Row],[TRACK_TYPE_BROAD_GAUGE_RAILTYPE_OHLE]:[TRACK_TYPE_BROAD_GAUGE_RAILTYPE_NONE]]),FALSE)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37" t="str">
        <f>INDEX(CONTROL[ENGLISH],MATCH(PROPERTIES[[#This Row],[VEHIDCODE]],CONTROL[VEHIDCODE],0))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5" t="b">
        <f>IFERROR(OR(TRACK_TYPES[[#This Row],[TRACK_TYPE_STANDARD_GAUGE_RAILTYPE_OHLE]:[TRACK_TYPE_STANDARD_GAUGE_RAILTYPE_NONE]]),FALSE)</f>
        <v>1</v>
      </c>
      <c r="AF736" s="35" t="b">
        <f>IFERROR(OR(TRACK_TYPES[[#This Row],[TRACK_TYPE_NARROW_GAUGE_RAILTYPE_OHLE]:[TRACK_TYPE_NARROW_GAUGE_RAILTYPE_NONE]]),FALSE)</f>
        <v>1</v>
      </c>
      <c r="AG736" s="35" t="b">
        <f>IFERROR(OR(TRACK_TYPES[[#This Row],[TRACK_TYPE_BROAD_GAUGE_RAILTYPE_OHLE]:[TRACK_TYPE_BROAD_GAUGE_RAILTYPE_NONE]]),FALSE)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37" t="str">
        <f>INDEX(CONTROL[ENGLISH],MATCH(PROPERTIES[[#This Row],[VEHIDCODE]],CONTROL[VEHIDCODE],0))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5" t="b">
        <f>IFERROR(OR(TRACK_TYPES[[#This Row],[TRACK_TYPE_STANDARD_GAUGE_RAILTYPE_OHLE]:[TRACK_TYPE_STANDARD_GAUGE_RAILTYPE_NONE]]),FALSE)</f>
        <v>1</v>
      </c>
      <c r="AF737" s="35" t="b">
        <f>IFERROR(OR(TRACK_TYPES[[#This Row],[TRACK_TYPE_NARROW_GAUGE_RAILTYPE_OHLE]:[TRACK_TYPE_NARROW_GAUGE_RAILTYPE_NONE]]),FALSE)</f>
        <v>1</v>
      </c>
      <c r="AG737" s="35" t="b">
        <f>IFERROR(OR(TRACK_TYPES[[#This Row],[TRACK_TYPE_BROAD_GAUGE_RAILTYPE_OHLE]:[TRACK_TYPE_BROAD_GAUGE_RAILTYPE_NONE]]),FALSE)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37" t="str">
        <f>INDEX(CONTROL[ENGLISH],MATCH(PROPERTIES[[#This Row],[VEHIDCODE]],CONTROL[VEHIDCODE],0))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5" t="b">
        <f>IFERROR(OR(TRACK_TYPES[[#This Row],[TRACK_TYPE_STANDARD_GAUGE_RAILTYPE_OHLE]:[TRACK_TYPE_STANDARD_GAUGE_RAILTYPE_NONE]]),FALSE)</f>
        <v>1</v>
      </c>
      <c r="AF738" s="35" t="b">
        <f>IFERROR(OR(TRACK_TYPES[[#This Row],[TRACK_TYPE_NARROW_GAUGE_RAILTYPE_OHLE]:[TRACK_TYPE_NARROW_GAUGE_RAILTYPE_NONE]]),FALSE)</f>
        <v>1</v>
      </c>
      <c r="AG738" s="35" t="b">
        <f>IFERROR(OR(TRACK_TYPES[[#This Row],[TRACK_TYPE_BROAD_GAUGE_RAILTYPE_OHLE]:[TRACK_TYPE_BROAD_GAUGE_RAILTYPE_NONE]]),FALSE)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37" t="str">
        <f>INDEX(CONTROL[ENGLISH],MATCH(PROPERTIES[[#This Row],[VEHIDCODE]],CONTROL[VEHIDCODE],0))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5" t="b">
        <f>IFERROR(OR(TRACK_TYPES[[#This Row],[TRACK_TYPE_STANDARD_GAUGE_RAILTYPE_OHLE]:[TRACK_TYPE_STANDARD_GAUGE_RAILTYPE_NONE]]),FALSE)</f>
        <v>1</v>
      </c>
      <c r="AF739" s="35" t="b">
        <f>IFERROR(OR(TRACK_TYPES[[#This Row],[TRACK_TYPE_NARROW_GAUGE_RAILTYPE_OHLE]:[TRACK_TYPE_NARROW_GAUGE_RAILTYPE_NONE]]),FALSE)</f>
        <v>1</v>
      </c>
      <c r="AG739" s="35" t="b">
        <f>IFERROR(OR(TRACK_TYPES[[#This Row],[TRACK_TYPE_BROAD_GAUGE_RAILTYPE_OHLE]:[TRACK_TYPE_BROAD_GAUGE_RAILTYPE_NONE]]),FALSE)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37" t="str">
        <f>INDEX(CONTROL[ENGLISH],MATCH(PROPERTIES[[#This Row],[VEHIDCODE]],CONTROL[VEHIDCODE],0))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5" t="b">
        <f>IFERROR(OR(TRACK_TYPES[[#This Row],[TRACK_TYPE_STANDARD_GAUGE_RAILTYPE_OHLE]:[TRACK_TYPE_STANDARD_GAUGE_RAILTYPE_NONE]]),FALSE)</f>
        <v>1</v>
      </c>
      <c r="AF740" s="35" t="b">
        <f>IFERROR(OR(TRACK_TYPES[[#This Row],[TRACK_TYPE_NARROW_GAUGE_RAILTYPE_OHLE]:[TRACK_TYPE_NARROW_GAUGE_RAILTYPE_NONE]]),FALSE)</f>
        <v>1</v>
      </c>
      <c r="AG740" s="35" t="b">
        <f>IFERROR(OR(TRACK_TYPES[[#This Row],[TRACK_TYPE_BROAD_GAUGE_RAILTYPE_OHLE]:[TRACK_TYPE_BROAD_GAUGE_RAILTYPE_NONE]]),FALSE)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37" t="str">
        <f>INDEX(CONTROL[ENGLISH],MATCH(PROPERTIES[[#This Row],[VEHIDCODE]],CONTROL[VEHIDCODE],0))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5" t="b">
        <f>IFERROR(OR(TRACK_TYPES[[#This Row],[TRACK_TYPE_STANDARD_GAUGE_RAILTYPE_OHLE]:[TRACK_TYPE_STANDARD_GAUGE_RAILTYPE_NONE]]),FALSE)</f>
        <v>1</v>
      </c>
      <c r="AF741" s="35" t="b">
        <f>IFERROR(OR(TRACK_TYPES[[#This Row],[TRACK_TYPE_NARROW_GAUGE_RAILTYPE_OHLE]:[TRACK_TYPE_NARROW_GAUGE_RAILTYPE_NONE]]),FALSE)</f>
        <v>1</v>
      </c>
      <c r="AG741" s="35" t="b">
        <f>IFERROR(OR(TRACK_TYPES[[#This Row],[TRACK_TYPE_BROAD_GAUGE_RAILTYPE_OHLE]:[TRACK_TYPE_BROAD_GAUGE_RAILTYPE_NONE]]),FALSE)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37" t="str">
        <f>INDEX(CONTROL[ENGLISH],MATCH(PROPERTIES[[#This Row],[VEHIDCODE]],CONTROL[VEHIDCODE],0))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5" t="b">
        <f>IFERROR(OR(TRACK_TYPES[[#This Row],[TRACK_TYPE_STANDARD_GAUGE_RAILTYPE_OHLE]:[TRACK_TYPE_STANDARD_GAUGE_RAILTYPE_NONE]]),FALSE)</f>
        <v>1</v>
      </c>
      <c r="AF742" s="35" t="b">
        <f>IFERROR(OR(TRACK_TYPES[[#This Row],[TRACK_TYPE_NARROW_GAUGE_RAILTYPE_OHLE]:[TRACK_TYPE_NARROW_GAUGE_RAILTYPE_NONE]]),FALSE)</f>
        <v>1</v>
      </c>
      <c r="AG742" s="35" t="b">
        <f>IFERROR(OR(TRACK_TYPES[[#This Row],[TRACK_TYPE_BROAD_GAUGE_RAILTYPE_OHLE]:[TRACK_TYPE_BROAD_GAUGE_RAILTYPE_NONE]]),FALSE)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37" t="str">
        <f>INDEX(CONTROL[ENGLISH],MATCH(PROPERTIES[[#This Row],[VEHIDCODE]],CONTROL[VEHIDCODE],0))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5" t="b">
        <f>IFERROR(OR(TRACK_TYPES[[#This Row],[TRACK_TYPE_STANDARD_GAUGE_RAILTYPE_OHLE]:[TRACK_TYPE_STANDARD_GAUGE_RAILTYPE_NONE]]),FALSE)</f>
        <v>1</v>
      </c>
      <c r="AF743" s="35" t="b">
        <f>IFERROR(OR(TRACK_TYPES[[#This Row],[TRACK_TYPE_NARROW_GAUGE_RAILTYPE_OHLE]:[TRACK_TYPE_NARROW_GAUGE_RAILTYPE_NONE]]),FALSE)</f>
        <v>1</v>
      </c>
      <c r="AG743" s="35" t="b">
        <f>IFERROR(OR(TRACK_TYPES[[#This Row],[TRACK_TYPE_BROAD_GAUGE_RAILTYPE_OHLE]:[TRACK_TYPE_BROAD_GAUGE_RAILTYPE_NONE]]),FALSE)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37" t="str">
        <f>INDEX(CONTROL[ENGLISH],MATCH(PROPERTIES[[#This Row],[VEHIDCODE]],CONTROL[VEHIDCODE],0))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5" t="b">
        <f>IFERROR(OR(TRACK_TYPES[[#This Row],[TRACK_TYPE_STANDARD_GAUGE_RAILTYPE_OHLE]:[TRACK_TYPE_STANDARD_GAUGE_RAILTYPE_NONE]]),FALSE)</f>
        <v>1</v>
      </c>
      <c r="AF744" s="35" t="b">
        <f>IFERROR(OR(TRACK_TYPES[[#This Row],[TRACK_TYPE_NARROW_GAUGE_RAILTYPE_OHLE]:[TRACK_TYPE_NARROW_GAUGE_RAILTYPE_NONE]]),FALSE)</f>
        <v>1</v>
      </c>
      <c r="AG744" s="35" t="b">
        <f>IFERROR(OR(TRACK_TYPES[[#This Row],[TRACK_TYPE_BROAD_GAUGE_RAILTYPE_OHLE]:[TRACK_TYPE_BROAD_GAUGE_RAILTYPE_NONE]]),FALSE)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37" t="str">
        <f>INDEX(CONTROL[ENGLISH],MATCH(PROPERTIES[[#This Row],[VEHIDCODE]],CONTROL[VEHIDCODE],0))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5" t="b">
        <f>IFERROR(OR(TRACK_TYPES[[#This Row],[TRACK_TYPE_STANDARD_GAUGE_RAILTYPE_OHLE]:[TRACK_TYPE_STANDARD_GAUGE_RAILTYPE_NONE]]),FALSE)</f>
        <v>1</v>
      </c>
      <c r="AF745" s="35" t="b">
        <f>IFERROR(OR(TRACK_TYPES[[#This Row],[TRACK_TYPE_NARROW_GAUGE_RAILTYPE_OHLE]:[TRACK_TYPE_NARROW_GAUGE_RAILTYPE_NONE]]),FALSE)</f>
        <v>1</v>
      </c>
      <c r="AG745" s="35" t="b">
        <f>IFERROR(OR(TRACK_TYPES[[#This Row],[TRACK_TYPE_BROAD_GAUGE_RAILTYPE_OHLE]:[TRACK_TYPE_BROAD_GAUGE_RAILTYPE_NONE]]),FALSE)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37" t="str">
        <f>INDEX(CONTROL[ENGLISH],MATCH(PROPERTIES[[#This Row],[VEHIDCODE]],CONTROL[VEHIDCODE],0))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5" t="b">
        <f>IFERROR(OR(TRACK_TYPES[[#This Row],[TRACK_TYPE_STANDARD_GAUGE_RAILTYPE_OHLE]:[TRACK_TYPE_STANDARD_GAUGE_RAILTYPE_NONE]]),FALSE)</f>
        <v>1</v>
      </c>
      <c r="AF746" s="35" t="b">
        <f>IFERROR(OR(TRACK_TYPES[[#This Row],[TRACK_TYPE_NARROW_GAUGE_RAILTYPE_OHLE]:[TRACK_TYPE_NARROW_GAUGE_RAILTYPE_NONE]]),FALSE)</f>
        <v>1</v>
      </c>
      <c r="AG746" s="35" t="b">
        <f>IFERROR(OR(TRACK_TYPES[[#This Row],[TRACK_TYPE_BROAD_GAUGE_RAILTYPE_OHLE]:[TRACK_TYPE_BROAD_GAUGE_RAILTYPE_NONE]]),FALSE)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37" t="str">
        <f>INDEX(CONTROL[ENGLISH],MATCH(PROPERTIES[[#This Row],[VEHIDCODE]],CONTROL[VEHIDCODE],0))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5" t="b">
        <f>IFERROR(OR(TRACK_TYPES[[#This Row],[TRACK_TYPE_STANDARD_GAUGE_RAILTYPE_OHLE]:[TRACK_TYPE_STANDARD_GAUGE_RAILTYPE_NONE]]),FALSE)</f>
        <v>1</v>
      </c>
      <c r="AF747" s="35" t="b">
        <f>IFERROR(OR(TRACK_TYPES[[#This Row],[TRACK_TYPE_NARROW_GAUGE_RAILTYPE_OHLE]:[TRACK_TYPE_NARROW_GAUGE_RAILTYPE_NONE]]),FALSE)</f>
        <v>1</v>
      </c>
      <c r="AG747" s="35" t="b">
        <f>IFERROR(OR(TRACK_TYPES[[#This Row],[TRACK_TYPE_BROAD_GAUGE_RAILTYPE_OHLE]:[TRACK_TYPE_BROAD_GAUGE_RAILTYPE_NONE]]),FALSE)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37" t="str">
        <f>INDEX(CONTROL[ENGLISH],MATCH(PROPERTIES[[#This Row],[VEHIDCODE]],CONTROL[VEHIDCODE],0))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5" t="b">
        <f>IFERROR(OR(TRACK_TYPES[[#This Row],[TRACK_TYPE_STANDARD_GAUGE_RAILTYPE_OHLE]:[TRACK_TYPE_STANDARD_GAUGE_RAILTYPE_NONE]]),FALSE)</f>
        <v>1</v>
      </c>
      <c r="AF748" s="35" t="b">
        <f>IFERROR(OR(TRACK_TYPES[[#This Row],[TRACK_TYPE_NARROW_GAUGE_RAILTYPE_OHLE]:[TRACK_TYPE_NARROW_GAUGE_RAILTYPE_NONE]]),FALSE)</f>
        <v>1</v>
      </c>
      <c r="AG748" s="35" t="b">
        <f>IFERROR(OR(TRACK_TYPES[[#This Row],[TRACK_TYPE_BROAD_GAUGE_RAILTYPE_OHLE]:[TRACK_TYPE_BROAD_GAUGE_RAILTYPE_NONE]]),FALSE)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37" t="str">
        <f>INDEX(CONTROL[ENGLISH],MATCH(PROPERTIES[[#This Row],[VEHIDCODE]],CONTROL[VEHIDCODE],0))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5" t="b">
        <f>IFERROR(OR(TRACK_TYPES[[#This Row],[TRACK_TYPE_STANDARD_GAUGE_RAILTYPE_OHLE]:[TRACK_TYPE_STANDARD_GAUGE_RAILTYPE_NONE]]),FALSE)</f>
        <v>1</v>
      </c>
      <c r="AF749" s="35" t="b">
        <f>IFERROR(OR(TRACK_TYPES[[#This Row],[TRACK_TYPE_NARROW_GAUGE_RAILTYPE_OHLE]:[TRACK_TYPE_NARROW_GAUGE_RAILTYPE_NONE]]),FALSE)</f>
        <v>1</v>
      </c>
      <c r="AG749" s="35" t="b">
        <f>IFERROR(OR(TRACK_TYPES[[#This Row],[TRACK_TYPE_BROAD_GAUGE_RAILTYPE_OHLE]:[TRACK_TYPE_BROAD_GAUGE_RAILTYPE_NONE]]),FALSE)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37" t="str">
        <f>INDEX(CONTROL[ENGLISH],MATCH(PROPERTIES[[#This Row],[VEHIDCODE]],CONTROL[VEHIDCODE],0))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5" t="b">
        <f>IFERROR(OR(TRACK_TYPES[[#This Row],[TRACK_TYPE_STANDARD_GAUGE_RAILTYPE_OHLE]:[TRACK_TYPE_STANDARD_GAUGE_RAILTYPE_NONE]]),FALSE)</f>
        <v>1</v>
      </c>
      <c r="AF750" s="35" t="b">
        <f>IFERROR(OR(TRACK_TYPES[[#This Row],[TRACK_TYPE_NARROW_GAUGE_RAILTYPE_OHLE]:[TRACK_TYPE_NARROW_GAUGE_RAILTYPE_NONE]]),FALSE)</f>
        <v>1</v>
      </c>
      <c r="AG750" s="35" t="b">
        <f>IFERROR(OR(TRACK_TYPES[[#This Row],[TRACK_TYPE_BROAD_GAUGE_RAILTYPE_OHLE]:[TRACK_TYPE_BROAD_GAUGE_RAILTYPE_NONE]]),FALSE)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37" t="str">
        <f>INDEX(CONTROL[ENGLISH],MATCH(PROPERTIES[[#This Row],[VEHIDCODE]],CONTROL[VEHIDCODE],0))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5" t="b">
        <f>IFERROR(OR(TRACK_TYPES[[#This Row],[TRACK_TYPE_STANDARD_GAUGE_RAILTYPE_OHLE]:[TRACK_TYPE_STANDARD_GAUGE_RAILTYPE_NONE]]),FALSE)</f>
        <v>1</v>
      </c>
      <c r="AF751" s="35" t="b">
        <f>IFERROR(OR(TRACK_TYPES[[#This Row],[TRACK_TYPE_NARROW_GAUGE_RAILTYPE_OHLE]:[TRACK_TYPE_NARROW_GAUGE_RAILTYPE_NONE]]),FALSE)</f>
        <v>1</v>
      </c>
      <c r="AG751" s="35" t="b">
        <f>IFERROR(OR(TRACK_TYPES[[#This Row],[TRACK_TYPE_BROAD_GAUGE_RAILTYPE_OHLE]:[TRACK_TYPE_BROAD_GAUGE_RAILTYPE_NONE]]),FALSE)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37" t="str">
        <f>INDEX(CONTROL[ENGLISH],MATCH(PROPERTIES[[#This Row],[VEHIDCODE]],CONTROL[VEHIDCODE],0))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5" t="b">
        <f>IFERROR(OR(TRACK_TYPES[[#This Row],[TRACK_TYPE_STANDARD_GAUGE_RAILTYPE_OHLE]:[TRACK_TYPE_STANDARD_GAUGE_RAILTYPE_NONE]]),FALSE)</f>
        <v>1</v>
      </c>
      <c r="AF752" s="35" t="b">
        <f>IFERROR(OR(TRACK_TYPES[[#This Row],[TRACK_TYPE_NARROW_GAUGE_RAILTYPE_OHLE]:[TRACK_TYPE_NARROW_GAUGE_RAILTYPE_NONE]]),FALSE)</f>
        <v>1</v>
      </c>
      <c r="AG752" s="35" t="b">
        <f>IFERROR(OR(TRACK_TYPES[[#This Row],[TRACK_TYPE_BROAD_GAUGE_RAILTYPE_OHLE]:[TRACK_TYPE_BROAD_GAUGE_RAILTYPE_NONE]]),FALSE)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37" t="str">
        <f>INDEX(CONTROL[ENGLISH],MATCH(PROPERTIES[[#This Row],[VEHIDCODE]],CONTROL[VEHIDCODE],0))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5" t="b">
        <f>IFERROR(OR(TRACK_TYPES[[#This Row],[TRACK_TYPE_STANDARD_GAUGE_RAILTYPE_OHLE]:[TRACK_TYPE_STANDARD_GAUGE_RAILTYPE_NONE]]),FALSE)</f>
        <v>1</v>
      </c>
      <c r="AF753" s="35" t="b">
        <f>IFERROR(OR(TRACK_TYPES[[#This Row],[TRACK_TYPE_NARROW_GAUGE_RAILTYPE_OHLE]:[TRACK_TYPE_NARROW_GAUGE_RAILTYPE_NONE]]),FALSE)</f>
        <v>1</v>
      </c>
      <c r="AG753" s="35" t="b">
        <f>IFERROR(OR(TRACK_TYPES[[#This Row],[TRACK_TYPE_BROAD_GAUGE_RAILTYPE_OHLE]:[TRACK_TYPE_BROAD_GAUGE_RAILTYPE_NONE]]),FALSE)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3593</v>
      </c>
      <c r="B754" s="37" t="str">
        <f>INDEX(CONTROL[ENGLISH],MATCH(PROPERTIES[[#This Row],[VEHIDCODE]],CONTROL[VEHIDCODE],0))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5" t="b">
        <f>IFERROR(OR(TRACK_TYPES[[#This Row],[TRACK_TYPE_STANDARD_GAUGE_RAILTYPE_OHLE]:[TRACK_TYPE_STANDARD_GAUGE_RAILTYPE_NONE]]),FALSE)</f>
        <v>1</v>
      </c>
      <c r="AF754" s="35" t="b">
        <f>IFERROR(OR(TRACK_TYPES[[#This Row],[TRACK_TYPE_NARROW_GAUGE_RAILTYPE_OHLE]:[TRACK_TYPE_NARROW_GAUGE_RAILTYPE_NONE]]),FALSE)</f>
        <v>1</v>
      </c>
      <c r="AG754" s="35" t="b">
        <f>IFERROR(OR(TRACK_TYPES[[#This Row],[TRACK_TYPE_BROAD_GAUGE_RAILTYPE_OHLE]:[TRACK_TYPE_BROAD_GAUGE_RAILTYPE_NONE]]),FALSE)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37" t="str">
        <f>INDEX(CONTROL[ENGLISH],MATCH(PROPERTIES[[#This Row],[VEHIDCODE]],CONTROL[VEHIDCODE],0))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5" t="b">
        <f>IFERROR(OR(TRACK_TYPES[[#This Row],[TRACK_TYPE_STANDARD_GAUGE_RAILTYPE_OHLE]:[TRACK_TYPE_STANDARD_GAUGE_RAILTYPE_NONE]]),FALSE)</f>
        <v>1</v>
      </c>
      <c r="AF755" s="35" t="b">
        <f>IFERROR(OR(TRACK_TYPES[[#This Row],[TRACK_TYPE_NARROW_GAUGE_RAILTYPE_OHLE]:[TRACK_TYPE_NARROW_GAUGE_RAILTYPE_NONE]]),FALSE)</f>
        <v>1</v>
      </c>
      <c r="AG755" s="35" t="b">
        <f>IFERROR(OR(TRACK_TYPES[[#This Row],[TRACK_TYPE_BROAD_GAUGE_RAILTYPE_OHLE]:[TRACK_TYPE_BROAD_GAUGE_RAILTYPE_NONE]]),FALSE)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37" t="str">
        <f>INDEX(CONTROL[ENGLISH],MATCH(PROPERTIES[[#This Row],[VEHIDCODE]],CONTROL[VEHIDCODE],0))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5" t="b">
        <f>IFERROR(OR(TRACK_TYPES[[#This Row],[TRACK_TYPE_STANDARD_GAUGE_RAILTYPE_OHLE]:[TRACK_TYPE_STANDARD_GAUGE_RAILTYPE_NONE]]),FALSE)</f>
        <v>0</v>
      </c>
      <c r="AF756" s="35" t="b">
        <f>IFERROR(OR(TRACK_TYPES[[#This Row],[TRACK_TYPE_NARROW_GAUGE_RAILTYPE_OHLE]:[TRACK_TYPE_NARROW_GAUGE_RAILTYPE_NONE]]),FALSE)</f>
        <v>0</v>
      </c>
      <c r="AG756" s="35" t="b">
        <f>IFERROR(OR(TRACK_TYPES[[#This Row],[TRACK_TYPE_BROAD_GAUGE_RAILTYPE_OHLE]:[TRACK_TYPE_BROAD_GAUGE_RAILTYPE_NONE]]),FALSE)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37" t="str">
        <f>INDEX(CONTROL[ENGLISH],MATCH(PROPERTIES[[#This Row],[VEHIDCODE]],CONTROL[VEHIDCODE],0))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5" t="b">
        <f>IFERROR(OR(TRACK_TYPES[[#This Row],[TRACK_TYPE_STANDARD_GAUGE_RAILTYPE_OHLE]:[TRACK_TYPE_STANDARD_GAUGE_RAILTYPE_NONE]]),FALSE)</f>
        <v>0</v>
      </c>
      <c r="AF757" s="35" t="b">
        <f>IFERROR(OR(TRACK_TYPES[[#This Row],[TRACK_TYPE_NARROW_GAUGE_RAILTYPE_OHLE]:[TRACK_TYPE_NARROW_GAUGE_RAILTYPE_NONE]]),FALSE)</f>
        <v>0</v>
      </c>
      <c r="AG757" s="35" t="b">
        <f>IFERROR(OR(TRACK_TYPES[[#This Row],[TRACK_TYPE_BROAD_GAUGE_RAILTYPE_OHLE]:[TRACK_TYPE_BROAD_GAUGE_RAILTYPE_NONE]]),FALSE)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37" t="str">
        <f>INDEX(CONTROL[ENGLISH],MATCH(PROPERTIES[[#This Row],[VEHIDCODE]],CONTROL[VEHIDCODE],0))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5" t="b">
        <f>IFERROR(OR(TRACK_TYPES[[#This Row],[TRACK_TYPE_STANDARD_GAUGE_RAILTYPE_OHLE]:[TRACK_TYPE_STANDARD_GAUGE_RAILTYPE_NONE]]),FALSE)</f>
        <v>0</v>
      </c>
      <c r="AF758" s="35" t="b">
        <f>IFERROR(OR(TRACK_TYPES[[#This Row],[TRACK_TYPE_NARROW_GAUGE_RAILTYPE_OHLE]:[TRACK_TYPE_NARROW_GAUGE_RAILTYPE_NONE]]),FALSE)</f>
        <v>0</v>
      </c>
      <c r="AG758" s="35" t="b">
        <f>IFERROR(OR(TRACK_TYPES[[#This Row],[TRACK_TYPE_BROAD_GAUGE_RAILTYPE_OHLE]:[TRACK_TYPE_BROAD_GAUGE_RAILTYPE_NONE]]),FALSE)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37" t="str">
        <f>INDEX(CONTROL[ENGLISH],MATCH(PROPERTIES[[#This Row],[VEHIDCODE]],CONTROL[VEHIDCODE],0))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5" t="b">
        <f>IFERROR(OR(TRACK_TYPES[[#This Row],[TRACK_TYPE_STANDARD_GAUGE_RAILTYPE_OHLE]:[TRACK_TYPE_STANDARD_GAUGE_RAILTYPE_NONE]]),FALSE)</f>
        <v>0</v>
      </c>
      <c r="AF759" s="35" t="b">
        <f>IFERROR(OR(TRACK_TYPES[[#This Row],[TRACK_TYPE_NARROW_GAUGE_RAILTYPE_OHLE]:[TRACK_TYPE_NARROW_GAUGE_RAILTYPE_NONE]]),FALSE)</f>
        <v>0</v>
      </c>
      <c r="AG759" s="35" t="b">
        <f>IFERROR(OR(TRACK_TYPES[[#This Row],[TRACK_TYPE_BROAD_GAUGE_RAILTYPE_OHLE]:[TRACK_TYPE_BROAD_GAUGE_RAILTYPE_NONE]]),FALSE)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37" t="str">
        <f>INDEX(CONTROL[ENGLISH],MATCH(PROPERTIES[[#This Row],[VEHIDCODE]],CONTROL[VEHIDCODE],0))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5" t="b">
        <f>IFERROR(OR(TRACK_TYPES[[#This Row],[TRACK_TYPE_STANDARD_GAUGE_RAILTYPE_OHLE]:[TRACK_TYPE_STANDARD_GAUGE_RAILTYPE_NONE]]),FALSE)</f>
        <v>1</v>
      </c>
      <c r="AF760" s="35" t="b">
        <f>IFERROR(OR(TRACK_TYPES[[#This Row],[TRACK_TYPE_NARROW_GAUGE_RAILTYPE_OHLE]:[TRACK_TYPE_NARROW_GAUGE_RAILTYPE_NONE]]),FALSE)</f>
        <v>1</v>
      </c>
      <c r="AG760" s="35" t="b">
        <f>IFERROR(OR(TRACK_TYPES[[#This Row],[TRACK_TYPE_BROAD_GAUGE_RAILTYPE_OHLE]:[TRACK_TYPE_BROAD_GAUGE_RAILTYPE_NONE]]),FALSE)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37" t="str">
        <f>INDEX(CONTROL[ENGLISH],MATCH(PROPERTIES[[#This Row],[VEHIDCODE]],CONTROL[VEHIDCODE],0))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5" t="b">
        <f>IFERROR(OR(TRACK_TYPES[[#This Row],[TRACK_TYPE_STANDARD_GAUGE_RAILTYPE_OHLE]:[TRACK_TYPE_STANDARD_GAUGE_RAILTYPE_NONE]]),FALSE)</f>
        <v>1</v>
      </c>
      <c r="AF761" s="35" t="b">
        <f>IFERROR(OR(TRACK_TYPES[[#This Row],[TRACK_TYPE_NARROW_GAUGE_RAILTYPE_OHLE]:[TRACK_TYPE_NARROW_GAUGE_RAILTYPE_NONE]]),FALSE)</f>
        <v>1</v>
      </c>
      <c r="AG761" s="35" t="b">
        <f>IFERROR(OR(TRACK_TYPES[[#This Row],[TRACK_TYPE_BROAD_GAUGE_RAILTYPE_OHLE]:[TRACK_TYPE_BROAD_GAUGE_RAILTYPE_NONE]]),FALSE)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37" t="str">
        <f>INDEX(CONTROL[ENGLISH],MATCH(PROPERTIES[[#This Row],[VEHIDCODE]],CONTROL[VEHIDCODE],0))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5" t="b">
        <f>IFERROR(OR(TRACK_TYPES[[#This Row],[TRACK_TYPE_STANDARD_GAUGE_RAILTYPE_OHLE]:[TRACK_TYPE_STANDARD_GAUGE_RAILTYPE_NONE]]),FALSE)</f>
        <v>1</v>
      </c>
      <c r="AF762" s="35" t="b">
        <f>IFERROR(OR(TRACK_TYPES[[#This Row],[TRACK_TYPE_NARROW_GAUGE_RAILTYPE_OHLE]:[TRACK_TYPE_NARROW_GAUGE_RAILTYPE_NONE]]),FALSE)</f>
        <v>1</v>
      </c>
      <c r="AG762" s="35" t="b">
        <f>IFERROR(OR(TRACK_TYPES[[#This Row],[TRACK_TYPE_BROAD_GAUGE_RAILTYPE_OHLE]:[TRACK_TYPE_BROAD_GAUGE_RAILTYPE_NONE]]),FALSE)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37" t="str">
        <f>INDEX(CONTROL[ENGLISH],MATCH(PROPERTIES[[#This Row],[VEHIDCODE]],CONTROL[VEHIDCODE],0))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5" t="b">
        <f>IFERROR(OR(TRACK_TYPES[[#This Row],[TRACK_TYPE_STANDARD_GAUGE_RAILTYPE_OHLE]:[TRACK_TYPE_STANDARD_GAUGE_RAILTYPE_NONE]]),FALSE)</f>
        <v>1</v>
      </c>
      <c r="AF763" s="35" t="b">
        <f>IFERROR(OR(TRACK_TYPES[[#This Row],[TRACK_TYPE_NARROW_GAUGE_RAILTYPE_OHLE]:[TRACK_TYPE_NARROW_GAUGE_RAILTYPE_NONE]]),FALSE)</f>
        <v>1</v>
      </c>
      <c r="AG763" s="35" t="b">
        <f>IFERROR(OR(TRACK_TYPES[[#This Row],[TRACK_TYPE_BROAD_GAUGE_RAILTYPE_OHLE]:[TRACK_TYPE_BROAD_GAUGE_RAILTYPE_NONE]]),FALSE)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37" t="str">
        <f>INDEX(CONTROL[ENGLISH],MATCH(PROPERTIES[[#This Row],[VEHIDCODE]],CONTROL[VEHIDCODE],0))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5" t="b">
        <f>IFERROR(OR(TRACK_TYPES[[#This Row],[TRACK_TYPE_STANDARD_GAUGE_RAILTYPE_OHLE]:[TRACK_TYPE_STANDARD_GAUGE_RAILTYPE_NONE]]),FALSE)</f>
        <v>1</v>
      </c>
      <c r="AF764" s="35" t="b">
        <f>IFERROR(OR(TRACK_TYPES[[#This Row],[TRACK_TYPE_NARROW_GAUGE_RAILTYPE_OHLE]:[TRACK_TYPE_NARROW_GAUGE_RAILTYPE_NONE]]),FALSE)</f>
        <v>1</v>
      </c>
      <c r="AG764" s="35" t="b">
        <f>IFERROR(OR(TRACK_TYPES[[#This Row],[TRACK_TYPE_BROAD_GAUGE_RAILTYPE_OHLE]:[TRACK_TYPE_BROAD_GAUGE_RAILTYPE_NONE]]),FALSE)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37" t="str">
        <f>INDEX(CONTROL[ENGLISH],MATCH(PROPERTIES[[#This Row],[VEHIDCODE]],CONTROL[VEHIDCODE],0))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5" t="b">
        <f>IFERROR(OR(TRACK_TYPES[[#This Row],[TRACK_TYPE_STANDARD_GAUGE_RAILTYPE_OHLE]:[TRACK_TYPE_STANDARD_GAUGE_RAILTYPE_NONE]]),FALSE)</f>
        <v>0</v>
      </c>
      <c r="AF765" s="35" t="b">
        <f>IFERROR(OR(TRACK_TYPES[[#This Row],[TRACK_TYPE_NARROW_GAUGE_RAILTYPE_OHLE]:[TRACK_TYPE_NARROW_GAUGE_RAILTYPE_NONE]]),FALSE)</f>
        <v>0</v>
      </c>
      <c r="AG765" s="35" t="b">
        <f>IFERROR(OR(TRACK_TYPES[[#This Row],[TRACK_TYPE_BROAD_GAUGE_RAILTYPE_OHLE]:[TRACK_TYPE_BROAD_GAUGE_RAILTYPE_NONE]]),FALSE)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37" t="str">
        <f>INDEX(CONTROL[ENGLISH],MATCH(PROPERTIES[[#This Row],[VEHIDCODE]],CONTROL[VEHIDCODE],0))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5" t="b">
        <f>IFERROR(OR(TRACK_TYPES[[#This Row],[TRACK_TYPE_STANDARD_GAUGE_RAILTYPE_OHLE]:[TRACK_TYPE_STANDARD_GAUGE_RAILTYPE_NONE]]),FALSE)</f>
        <v>0</v>
      </c>
      <c r="AF766" s="35" t="b">
        <f>IFERROR(OR(TRACK_TYPES[[#This Row],[TRACK_TYPE_NARROW_GAUGE_RAILTYPE_OHLE]:[TRACK_TYPE_NARROW_GAUGE_RAILTYPE_NONE]]),FALSE)</f>
        <v>0</v>
      </c>
      <c r="AG766" s="35" t="b">
        <f>IFERROR(OR(TRACK_TYPES[[#This Row],[TRACK_TYPE_BROAD_GAUGE_RAILTYPE_OHLE]:[TRACK_TYPE_BROAD_GAUGE_RAILTYPE_NONE]]),FALSE)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37" t="str">
        <f>INDEX(CONTROL[ENGLISH],MATCH(PROPERTIES[[#This Row],[VEHIDCODE]],CONTROL[VEHIDCODE],0))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5" t="b">
        <f>IFERROR(OR(TRACK_TYPES[[#This Row],[TRACK_TYPE_STANDARD_GAUGE_RAILTYPE_OHLE]:[TRACK_TYPE_STANDARD_GAUGE_RAILTYPE_NONE]]),FALSE)</f>
        <v>0</v>
      </c>
      <c r="AF767" s="35" t="b">
        <f>IFERROR(OR(TRACK_TYPES[[#This Row],[TRACK_TYPE_NARROW_GAUGE_RAILTYPE_OHLE]:[TRACK_TYPE_NARROW_GAUGE_RAILTYPE_NONE]]),FALSE)</f>
        <v>0</v>
      </c>
      <c r="AG767" s="35" t="b">
        <f>IFERROR(OR(TRACK_TYPES[[#This Row],[TRACK_TYPE_BROAD_GAUGE_RAILTYPE_OHLE]:[TRACK_TYPE_BROAD_GAUGE_RAILTYPE_NONE]]),FALSE)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37" t="str">
        <f>INDEX(CONTROL[ENGLISH],MATCH(PROPERTIES[[#This Row],[VEHIDCODE]],CONTROL[VEHIDCODE],0))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5" t="b">
        <f>IFERROR(OR(TRACK_TYPES[[#This Row],[TRACK_TYPE_STANDARD_GAUGE_RAILTYPE_OHLE]:[TRACK_TYPE_STANDARD_GAUGE_RAILTYPE_NONE]]),FALSE)</f>
        <v>1</v>
      </c>
      <c r="AF768" s="35" t="b">
        <f>IFERROR(OR(TRACK_TYPES[[#This Row],[TRACK_TYPE_NARROW_GAUGE_RAILTYPE_OHLE]:[TRACK_TYPE_NARROW_GAUGE_RAILTYPE_NONE]]),FALSE)</f>
        <v>1</v>
      </c>
      <c r="AG768" s="35" t="b">
        <f>IFERROR(OR(TRACK_TYPES[[#This Row],[TRACK_TYPE_BROAD_GAUGE_RAILTYPE_OHLE]:[TRACK_TYPE_BROAD_GAUGE_RAILTYPE_NONE]]),FALSE)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37" t="str">
        <f>INDEX(CONTROL[ENGLISH],MATCH(PROPERTIES[[#This Row],[VEHIDCODE]],CONTROL[VEHIDCODE],0))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5" t="b">
        <f>IFERROR(OR(TRACK_TYPES[[#This Row],[TRACK_TYPE_STANDARD_GAUGE_RAILTYPE_OHLE]:[TRACK_TYPE_STANDARD_GAUGE_RAILTYPE_NONE]]),FALSE)</f>
        <v>1</v>
      </c>
      <c r="AF769" s="35" t="b">
        <f>IFERROR(OR(TRACK_TYPES[[#This Row],[TRACK_TYPE_NARROW_GAUGE_RAILTYPE_OHLE]:[TRACK_TYPE_NARROW_GAUGE_RAILTYPE_NONE]]),FALSE)</f>
        <v>1</v>
      </c>
      <c r="AG769" s="35" t="b">
        <f>IFERROR(OR(TRACK_TYPES[[#This Row],[TRACK_TYPE_BROAD_GAUGE_RAILTYPE_OHLE]:[TRACK_TYPE_BROAD_GAUGE_RAILTYPE_NONE]]),FALSE)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37" t="str">
        <f>INDEX(CONTROL[ENGLISH],MATCH(PROPERTIES[[#This Row],[VEHIDCODE]],CONTROL[VEHIDCODE],0))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5" t="b">
        <f>IFERROR(OR(TRACK_TYPES[[#This Row],[TRACK_TYPE_STANDARD_GAUGE_RAILTYPE_OHLE]:[TRACK_TYPE_STANDARD_GAUGE_RAILTYPE_NONE]]),FALSE)</f>
        <v>1</v>
      </c>
      <c r="AF770" s="35" t="b">
        <f>IFERROR(OR(TRACK_TYPES[[#This Row],[TRACK_TYPE_NARROW_GAUGE_RAILTYPE_OHLE]:[TRACK_TYPE_NARROW_GAUGE_RAILTYPE_NONE]]),FALSE)</f>
        <v>1</v>
      </c>
      <c r="AG770" s="35" t="b">
        <f>IFERROR(OR(TRACK_TYPES[[#This Row],[TRACK_TYPE_BROAD_GAUGE_RAILTYPE_OHLE]:[TRACK_TYPE_BROAD_GAUGE_RAILTYPE_NONE]]),FALSE)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37" t="str">
        <f>INDEX(CONTROL[ENGLISH],MATCH(PROPERTIES[[#This Row],[VEHIDCODE]],CONTROL[VEHIDCODE],0))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5" t="b">
        <f>IFERROR(OR(TRACK_TYPES[[#This Row],[TRACK_TYPE_STANDARD_GAUGE_RAILTYPE_OHLE]:[TRACK_TYPE_STANDARD_GAUGE_RAILTYPE_NONE]]),FALSE)</f>
        <v>1</v>
      </c>
      <c r="AF771" s="35" t="b">
        <f>IFERROR(OR(TRACK_TYPES[[#This Row],[TRACK_TYPE_NARROW_GAUGE_RAILTYPE_OHLE]:[TRACK_TYPE_NARROW_GAUGE_RAILTYPE_NONE]]),FALSE)</f>
        <v>1</v>
      </c>
      <c r="AG771" s="35" t="b">
        <f>IFERROR(OR(TRACK_TYPES[[#This Row],[TRACK_TYPE_BROAD_GAUGE_RAILTYPE_OHLE]:[TRACK_TYPE_BROAD_GAUGE_RAILTYPE_NONE]]),FALSE)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37" t="str">
        <f>INDEX(CONTROL[ENGLISH],MATCH(PROPERTIES[[#This Row],[VEHIDCODE]],CONTROL[VEHIDCODE],0))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5" t="b">
        <f>IFERROR(OR(TRACK_TYPES[[#This Row],[TRACK_TYPE_STANDARD_GAUGE_RAILTYPE_OHLE]:[TRACK_TYPE_STANDARD_GAUGE_RAILTYPE_NONE]]),FALSE)</f>
        <v>1</v>
      </c>
      <c r="AF772" s="35" t="b">
        <f>IFERROR(OR(TRACK_TYPES[[#This Row],[TRACK_TYPE_NARROW_GAUGE_RAILTYPE_OHLE]:[TRACK_TYPE_NARROW_GAUGE_RAILTYPE_NONE]]),FALSE)</f>
        <v>1</v>
      </c>
      <c r="AG772" s="35" t="b">
        <f>IFERROR(OR(TRACK_TYPES[[#This Row],[TRACK_TYPE_BROAD_GAUGE_RAILTYPE_OHLE]:[TRACK_TYPE_BROAD_GAUGE_RAILTYPE_NONE]]),FALSE)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37" t="str">
        <f>INDEX(CONTROL[ENGLISH],MATCH(PROPERTIES[[#This Row],[VEHIDCODE]],CONTROL[VEHIDCODE],0))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5" t="b">
        <f>IFERROR(OR(TRACK_TYPES[[#This Row],[TRACK_TYPE_STANDARD_GAUGE_RAILTYPE_OHLE]:[TRACK_TYPE_STANDARD_GAUGE_RAILTYPE_NONE]]),FALSE)</f>
        <v>1</v>
      </c>
      <c r="AF773" s="35" t="b">
        <f>IFERROR(OR(TRACK_TYPES[[#This Row],[TRACK_TYPE_NARROW_GAUGE_RAILTYPE_OHLE]:[TRACK_TYPE_NARROW_GAUGE_RAILTYPE_NONE]]),FALSE)</f>
        <v>1</v>
      </c>
      <c r="AG773" s="35" t="b">
        <f>IFERROR(OR(TRACK_TYPES[[#This Row],[TRACK_TYPE_BROAD_GAUGE_RAILTYPE_OHLE]:[TRACK_TYPE_BROAD_GAUGE_RAILTYPE_NONE]]),FALSE)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37" t="str">
        <f>INDEX(CONTROL[ENGLISH],MATCH(PROPERTIES[[#This Row],[VEHIDCODE]],CONTROL[VEHIDCODE],0))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5" t="b">
        <f>IFERROR(OR(TRACK_TYPES[[#This Row],[TRACK_TYPE_STANDARD_GAUGE_RAILTYPE_OHLE]:[TRACK_TYPE_STANDARD_GAUGE_RAILTYPE_NONE]]),FALSE)</f>
        <v>1</v>
      </c>
      <c r="AF774" s="35" t="b">
        <f>IFERROR(OR(TRACK_TYPES[[#This Row],[TRACK_TYPE_NARROW_GAUGE_RAILTYPE_OHLE]:[TRACK_TYPE_NARROW_GAUGE_RAILTYPE_NONE]]),FALSE)</f>
        <v>1</v>
      </c>
      <c r="AG774" s="35" t="b">
        <f>IFERROR(OR(TRACK_TYPES[[#This Row],[TRACK_TYPE_BROAD_GAUGE_RAILTYPE_OHLE]:[TRACK_TYPE_BROAD_GAUGE_RAILTYPE_NONE]]),FALSE)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37" t="str">
        <f>INDEX(CONTROL[ENGLISH],MATCH(PROPERTIES[[#This Row],[VEHIDCODE]],CONTROL[VEHIDCODE],0))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5" t="b">
        <f>IFERROR(OR(TRACK_TYPES[[#This Row],[TRACK_TYPE_STANDARD_GAUGE_RAILTYPE_OHLE]:[TRACK_TYPE_STANDARD_GAUGE_RAILTYPE_NONE]]),FALSE)</f>
        <v>1</v>
      </c>
      <c r="AF775" s="35" t="b">
        <f>IFERROR(OR(TRACK_TYPES[[#This Row],[TRACK_TYPE_NARROW_GAUGE_RAILTYPE_OHLE]:[TRACK_TYPE_NARROW_GAUGE_RAILTYPE_NONE]]),FALSE)</f>
        <v>1</v>
      </c>
      <c r="AG775" s="35" t="b">
        <f>IFERROR(OR(TRACK_TYPES[[#This Row],[TRACK_TYPE_BROAD_GAUGE_RAILTYPE_OHLE]:[TRACK_TYPE_BROAD_GAUGE_RAILTYPE_NONE]]),FALSE)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37" t="str">
        <f>INDEX(CONTROL[ENGLISH],MATCH(PROPERTIES[[#This Row],[VEHIDCODE]],CONTROL[VEHIDCODE],0))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5" t="b">
        <f>IFERROR(OR(TRACK_TYPES[[#This Row],[TRACK_TYPE_STANDARD_GAUGE_RAILTYPE_OHLE]:[TRACK_TYPE_STANDARD_GAUGE_RAILTYPE_NONE]]),FALSE)</f>
        <v>1</v>
      </c>
      <c r="AF776" s="35" t="b">
        <f>IFERROR(OR(TRACK_TYPES[[#This Row],[TRACK_TYPE_NARROW_GAUGE_RAILTYPE_OHLE]:[TRACK_TYPE_NARROW_GAUGE_RAILTYPE_NONE]]),FALSE)</f>
        <v>1</v>
      </c>
      <c r="AG776" s="35" t="b">
        <f>IFERROR(OR(TRACK_TYPES[[#This Row],[TRACK_TYPE_BROAD_GAUGE_RAILTYPE_OHLE]:[TRACK_TYPE_BROAD_GAUGE_RAILTYPE_NONE]]),FALSE)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37" t="str">
        <f>INDEX(CONTROL[ENGLISH],MATCH(PROPERTIES[[#This Row],[VEHIDCODE]],CONTROL[VEHIDCODE],0))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5" t="b">
        <f>IFERROR(OR(TRACK_TYPES[[#This Row],[TRACK_TYPE_STANDARD_GAUGE_RAILTYPE_OHLE]:[TRACK_TYPE_STANDARD_GAUGE_RAILTYPE_NONE]]),FALSE)</f>
        <v>1</v>
      </c>
      <c r="AF777" s="35" t="b">
        <f>IFERROR(OR(TRACK_TYPES[[#This Row],[TRACK_TYPE_NARROW_GAUGE_RAILTYPE_OHLE]:[TRACK_TYPE_NARROW_GAUGE_RAILTYPE_NONE]]),FALSE)</f>
        <v>1</v>
      </c>
      <c r="AG777" s="35" t="b">
        <f>IFERROR(OR(TRACK_TYPES[[#This Row],[TRACK_TYPE_BROAD_GAUGE_RAILTYPE_OHLE]:[TRACK_TYPE_BROAD_GAUGE_RAILTYPE_NONE]]),FALSE)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37" t="str">
        <f>INDEX(CONTROL[ENGLISH],MATCH(PROPERTIES[[#This Row],[VEHIDCODE]],CONTROL[VEHIDCODE],0))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5" t="b">
        <f>IFERROR(OR(TRACK_TYPES[[#This Row],[TRACK_TYPE_STANDARD_GAUGE_RAILTYPE_OHLE]:[TRACK_TYPE_STANDARD_GAUGE_RAILTYPE_NONE]]),FALSE)</f>
        <v>1</v>
      </c>
      <c r="AF778" s="35" t="b">
        <f>IFERROR(OR(TRACK_TYPES[[#This Row],[TRACK_TYPE_NARROW_GAUGE_RAILTYPE_OHLE]:[TRACK_TYPE_NARROW_GAUGE_RAILTYPE_NONE]]),FALSE)</f>
        <v>1</v>
      </c>
      <c r="AG778" s="35" t="b">
        <f>IFERROR(OR(TRACK_TYPES[[#This Row],[TRACK_TYPE_BROAD_GAUGE_RAILTYPE_OHLE]:[TRACK_TYPE_BROAD_GAUGE_RAILTYPE_NONE]]),FALSE)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37" t="str">
        <f>INDEX(CONTROL[ENGLISH],MATCH(PROPERTIES[[#This Row],[VEHIDCODE]],CONTROL[VEHIDCODE],0))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5" t="b">
        <f>IFERROR(OR(TRACK_TYPES[[#This Row],[TRACK_TYPE_STANDARD_GAUGE_RAILTYPE_OHLE]:[TRACK_TYPE_STANDARD_GAUGE_RAILTYPE_NONE]]),FALSE)</f>
        <v>1</v>
      </c>
      <c r="AF779" s="35" t="b">
        <f>IFERROR(OR(TRACK_TYPES[[#This Row],[TRACK_TYPE_NARROW_GAUGE_RAILTYPE_OHLE]:[TRACK_TYPE_NARROW_GAUGE_RAILTYPE_NONE]]),FALSE)</f>
        <v>1</v>
      </c>
      <c r="AG779" s="35" t="b">
        <f>IFERROR(OR(TRACK_TYPES[[#This Row],[TRACK_TYPE_BROAD_GAUGE_RAILTYPE_OHLE]:[TRACK_TYPE_BROAD_GAUGE_RAILTYPE_NONE]]),FALSE)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37" t="str">
        <f>INDEX(CONTROL[ENGLISH],MATCH(PROPERTIES[[#This Row],[VEHIDCODE]],CONTROL[VEHIDCODE],0))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5" t="b">
        <f>IFERROR(OR(TRACK_TYPES[[#This Row],[TRACK_TYPE_STANDARD_GAUGE_RAILTYPE_OHLE]:[TRACK_TYPE_STANDARD_GAUGE_RAILTYPE_NONE]]),FALSE)</f>
        <v>1</v>
      </c>
      <c r="AF780" s="35" t="b">
        <f>IFERROR(OR(TRACK_TYPES[[#This Row],[TRACK_TYPE_NARROW_GAUGE_RAILTYPE_OHLE]:[TRACK_TYPE_NARROW_GAUGE_RAILTYPE_NONE]]),FALSE)</f>
        <v>1</v>
      </c>
      <c r="AG780" s="35" t="b">
        <f>IFERROR(OR(TRACK_TYPES[[#This Row],[TRACK_TYPE_BROAD_GAUGE_RAILTYPE_OHLE]:[TRACK_TYPE_BROAD_GAUGE_RAILTYPE_NONE]]),FALSE)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37" t="str">
        <f>INDEX(CONTROL[ENGLISH],MATCH(PROPERTIES[[#This Row],[VEHIDCODE]],CONTROL[VEHIDCODE],0))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5" t="b">
        <f>IFERROR(OR(TRACK_TYPES[[#This Row],[TRACK_TYPE_STANDARD_GAUGE_RAILTYPE_OHLE]:[TRACK_TYPE_STANDARD_GAUGE_RAILTYPE_NONE]]),FALSE)</f>
        <v>1</v>
      </c>
      <c r="AF781" s="35" t="b">
        <f>IFERROR(OR(TRACK_TYPES[[#This Row],[TRACK_TYPE_NARROW_GAUGE_RAILTYPE_OHLE]:[TRACK_TYPE_NARROW_GAUGE_RAILTYPE_NONE]]),FALSE)</f>
        <v>1</v>
      </c>
      <c r="AG781" s="35" t="b">
        <f>IFERROR(OR(TRACK_TYPES[[#This Row],[TRACK_TYPE_BROAD_GAUGE_RAILTYPE_OHLE]:[TRACK_TYPE_BROAD_GAUGE_RAILTYPE_NONE]]),FALSE)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37" t="str">
        <f>INDEX(CONTROL[ENGLISH],MATCH(PROPERTIES[[#This Row],[VEHIDCODE]],CONTROL[VEHIDCODE],0))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5" t="b">
        <f>IFERROR(OR(TRACK_TYPES[[#This Row],[TRACK_TYPE_STANDARD_GAUGE_RAILTYPE_OHLE]:[TRACK_TYPE_STANDARD_GAUGE_RAILTYPE_NONE]]),FALSE)</f>
        <v>1</v>
      </c>
      <c r="AF782" s="35" t="b">
        <f>IFERROR(OR(TRACK_TYPES[[#This Row],[TRACK_TYPE_NARROW_GAUGE_RAILTYPE_OHLE]:[TRACK_TYPE_NARROW_GAUGE_RAILTYPE_NONE]]),FALSE)</f>
        <v>1</v>
      </c>
      <c r="AG782" s="35" t="b">
        <f>IFERROR(OR(TRACK_TYPES[[#This Row],[TRACK_TYPE_BROAD_GAUGE_RAILTYPE_OHLE]:[TRACK_TYPE_BROAD_GAUGE_RAILTYPE_NONE]]),FALSE)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37" t="str">
        <f>INDEX(CONTROL[ENGLISH],MATCH(PROPERTIES[[#This Row],[VEHIDCODE]],CONTROL[VEHIDCODE],0))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5" t="b">
        <f>IFERROR(OR(TRACK_TYPES[[#This Row],[TRACK_TYPE_STANDARD_GAUGE_RAILTYPE_OHLE]:[TRACK_TYPE_STANDARD_GAUGE_RAILTYPE_NONE]]),FALSE)</f>
        <v>1</v>
      </c>
      <c r="AF783" s="35" t="b">
        <f>IFERROR(OR(TRACK_TYPES[[#This Row],[TRACK_TYPE_NARROW_GAUGE_RAILTYPE_OHLE]:[TRACK_TYPE_NARROW_GAUGE_RAILTYPE_NONE]]),FALSE)</f>
        <v>1</v>
      </c>
      <c r="AG783" s="35" t="b">
        <f>IFERROR(OR(TRACK_TYPES[[#This Row],[TRACK_TYPE_BROAD_GAUGE_RAILTYPE_OHLE]:[TRACK_TYPE_BROAD_GAUGE_RAILTYPE_NONE]]),FALSE)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37" t="str">
        <f>INDEX(CONTROL[ENGLISH],MATCH(PROPERTIES[[#This Row],[VEHIDCODE]],CONTROL[VEHIDCODE],0))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5" t="b">
        <f>IFERROR(OR(TRACK_TYPES[[#This Row],[TRACK_TYPE_STANDARD_GAUGE_RAILTYPE_OHLE]:[TRACK_TYPE_STANDARD_GAUGE_RAILTYPE_NONE]]),FALSE)</f>
        <v>1</v>
      </c>
      <c r="AF784" s="35" t="b">
        <f>IFERROR(OR(TRACK_TYPES[[#This Row],[TRACK_TYPE_NARROW_GAUGE_RAILTYPE_OHLE]:[TRACK_TYPE_NARROW_GAUGE_RAILTYPE_NONE]]),FALSE)</f>
        <v>1</v>
      </c>
      <c r="AG784" s="35" t="b">
        <f>IFERROR(OR(TRACK_TYPES[[#This Row],[TRACK_TYPE_BROAD_GAUGE_RAILTYPE_OHLE]:[TRACK_TYPE_BROAD_GAUGE_RAILTYPE_NONE]]),FALSE)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37" t="str">
        <f>INDEX(CONTROL[ENGLISH],MATCH(PROPERTIES[[#This Row],[VEHIDCODE]],CONTROL[VEHIDCODE],0))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5" t="b">
        <f>IFERROR(OR(TRACK_TYPES[[#This Row],[TRACK_TYPE_STANDARD_GAUGE_RAILTYPE_OHLE]:[TRACK_TYPE_STANDARD_GAUGE_RAILTYPE_NONE]]),FALSE)</f>
        <v>1</v>
      </c>
      <c r="AF785" s="35" t="b">
        <f>IFERROR(OR(TRACK_TYPES[[#This Row],[TRACK_TYPE_NARROW_GAUGE_RAILTYPE_OHLE]:[TRACK_TYPE_NARROW_GAUGE_RAILTYPE_NONE]]),FALSE)</f>
        <v>1</v>
      </c>
      <c r="AG785" s="35" t="b">
        <f>IFERROR(OR(TRACK_TYPES[[#This Row],[TRACK_TYPE_BROAD_GAUGE_RAILTYPE_OHLE]:[TRACK_TYPE_BROAD_GAUGE_RAILTYPE_NONE]]),FALSE)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37" t="str">
        <f>INDEX(CONTROL[ENGLISH],MATCH(PROPERTIES[[#This Row],[VEHIDCODE]],CONTROL[VEHIDCODE],0))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5" t="b">
        <f>IFERROR(OR(TRACK_TYPES[[#This Row],[TRACK_TYPE_STANDARD_GAUGE_RAILTYPE_OHLE]:[TRACK_TYPE_STANDARD_GAUGE_RAILTYPE_NONE]]),FALSE)</f>
        <v>1</v>
      </c>
      <c r="AF786" s="35" t="b">
        <f>IFERROR(OR(TRACK_TYPES[[#This Row],[TRACK_TYPE_NARROW_GAUGE_RAILTYPE_OHLE]:[TRACK_TYPE_NARROW_GAUGE_RAILTYPE_NONE]]),FALSE)</f>
        <v>1</v>
      </c>
      <c r="AG786" s="35" t="b">
        <f>IFERROR(OR(TRACK_TYPES[[#This Row],[TRACK_TYPE_BROAD_GAUGE_RAILTYPE_OHLE]:[TRACK_TYPE_BROAD_GAUGE_RAILTYPE_NONE]]),FALSE)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37" t="str">
        <f>INDEX(CONTROL[ENGLISH],MATCH(PROPERTIES[[#This Row],[VEHIDCODE]],CONTROL[VEHIDCODE],0))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5" t="b">
        <f>IFERROR(OR(TRACK_TYPES[[#This Row],[TRACK_TYPE_STANDARD_GAUGE_RAILTYPE_OHLE]:[TRACK_TYPE_STANDARD_GAUGE_RAILTYPE_NONE]]),FALSE)</f>
        <v>1</v>
      </c>
      <c r="AF787" s="35" t="b">
        <f>IFERROR(OR(TRACK_TYPES[[#This Row],[TRACK_TYPE_NARROW_GAUGE_RAILTYPE_OHLE]:[TRACK_TYPE_NARROW_GAUGE_RAILTYPE_NONE]]),FALSE)</f>
        <v>1</v>
      </c>
      <c r="AG787" s="35" t="b">
        <f>IFERROR(OR(TRACK_TYPES[[#This Row],[TRACK_TYPE_BROAD_GAUGE_RAILTYPE_OHLE]:[TRACK_TYPE_BROAD_GAUGE_RAILTYPE_NONE]]),FALSE)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37" t="str">
        <f>INDEX(CONTROL[ENGLISH],MATCH(PROPERTIES[[#This Row],[VEHIDCODE]],CONTROL[VEHIDCODE],0))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5" t="b">
        <f>IFERROR(OR(TRACK_TYPES[[#This Row],[TRACK_TYPE_STANDARD_GAUGE_RAILTYPE_OHLE]:[TRACK_TYPE_STANDARD_GAUGE_RAILTYPE_NONE]]),FALSE)</f>
        <v>1</v>
      </c>
      <c r="AF788" s="35" t="b">
        <f>IFERROR(OR(TRACK_TYPES[[#This Row],[TRACK_TYPE_NARROW_GAUGE_RAILTYPE_OHLE]:[TRACK_TYPE_NARROW_GAUGE_RAILTYPE_NONE]]),FALSE)</f>
        <v>1</v>
      </c>
      <c r="AG788" s="35" t="b">
        <f>IFERROR(OR(TRACK_TYPES[[#This Row],[TRACK_TYPE_BROAD_GAUGE_RAILTYPE_OHLE]:[TRACK_TYPE_BROAD_GAUGE_RAILTYPE_NONE]]),FALSE)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37" t="str">
        <f>INDEX(CONTROL[ENGLISH],MATCH(PROPERTIES[[#This Row],[VEHIDCODE]],CONTROL[VEHIDCODE],0))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5" t="b">
        <f>IFERROR(OR(TRACK_TYPES[[#This Row],[TRACK_TYPE_STANDARD_GAUGE_RAILTYPE_OHLE]:[TRACK_TYPE_STANDARD_GAUGE_RAILTYPE_NONE]]),FALSE)</f>
        <v>1</v>
      </c>
      <c r="AF789" s="35" t="b">
        <f>IFERROR(OR(TRACK_TYPES[[#This Row],[TRACK_TYPE_NARROW_GAUGE_RAILTYPE_OHLE]:[TRACK_TYPE_NARROW_GAUGE_RAILTYPE_NONE]]),FALSE)</f>
        <v>1</v>
      </c>
      <c r="AG789" s="35" t="b">
        <f>IFERROR(OR(TRACK_TYPES[[#This Row],[TRACK_TYPE_BROAD_GAUGE_RAILTYPE_OHLE]:[TRACK_TYPE_BROAD_GAUGE_RAILTYPE_NONE]]),FALSE)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3258</v>
      </c>
      <c r="B790" s="37" t="str">
        <f>INDEX(CONTROL[ENGLISH],MATCH(PROPERTIES[[#This Row],[VEHIDCODE]],CONTROL[VEHIDCODE],0))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5" t="b">
        <f>IFERROR(OR(TRACK_TYPES[[#This Row],[TRACK_TYPE_STANDARD_GAUGE_RAILTYPE_OHLE]:[TRACK_TYPE_STANDARD_GAUGE_RAILTYPE_NONE]]),FALSE)</f>
        <v>1</v>
      </c>
      <c r="AF790" s="35" t="b">
        <f>IFERROR(OR(TRACK_TYPES[[#This Row],[TRACK_TYPE_NARROW_GAUGE_RAILTYPE_OHLE]:[TRACK_TYPE_NARROW_GAUGE_RAILTYPE_NONE]]),FALSE)</f>
        <v>0</v>
      </c>
      <c r="AG790" s="35" t="b">
        <f>IFERROR(OR(TRACK_TYPES[[#This Row],[TRACK_TYPE_BROAD_GAUGE_RAILTYPE_OHLE]:[TRACK_TYPE_BROAD_GAUGE_RAILTYPE_NONE]]),FALSE)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3259</v>
      </c>
      <c r="B791" s="37" t="str">
        <f>INDEX(CONTROL[ENGLISH],MATCH(PROPERTIES[[#This Row],[VEHIDCODE]],CONTROL[VEHIDCODE],0))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5" t="b">
        <f>IFERROR(OR(TRACK_TYPES[[#This Row],[TRACK_TYPE_STANDARD_GAUGE_RAILTYPE_OHLE]:[TRACK_TYPE_STANDARD_GAUGE_RAILTYPE_NONE]]),FALSE)</f>
        <v>0</v>
      </c>
      <c r="AF791" s="35" t="b">
        <f>IFERROR(OR(TRACK_TYPES[[#This Row],[TRACK_TYPE_NARROW_GAUGE_RAILTYPE_OHLE]:[TRACK_TYPE_NARROW_GAUGE_RAILTYPE_NONE]]),FALSE)</f>
        <v>1</v>
      </c>
      <c r="AG791" s="35" t="b">
        <f>IFERROR(OR(TRACK_TYPES[[#This Row],[TRACK_TYPE_BROAD_GAUGE_RAILTYPE_OHLE]:[TRACK_TYPE_BROAD_GAUGE_RAILTYPE_NONE]]),FALSE)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3260</v>
      </c>
      <c r="B792" s="37" t="str">
        <f>INDEX(CONTROL[ENGLISH],MATCH(PROPERTIES[[#This Row],[VEHIDCODE]],CONTROL[VEHIDCODE],0))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5" t="b">
        <f>IFERROR(OR(TRACK_TYPES[[#This Row],[TRACK_TYPE_STANDARD_GAUGE_RAILTYPE_OHLE]:[TRACK_TYPE_STANDARD_GAUGE_RAILTYPE_NONE]]),FALSE)</f>
        <v>0</v>
      </c>
      <c r="AF792" s="35" t="b">
        <f>IFERROR(OR(TRACK_TYPES[[#This Row],[TRACK_TYPE_NARROW_GAUGE_RAILTYPE_OHLE]:[TRACK_TYPE_NARROW_GAUGE_RAILTYPE_NONE]]),FALSE)</f>
        <v>1</v>
      </c>
      <c r="AG792" s="35" t="b">
        <f>IFERROR(OR(TRACK_TYPES[[#This Row],[TRACK_TYPE_BROAD_GAUGE_RAILTYPE_OHLE]:[TRACK_TYPE_BROAD_GAUGE_RAILTYPE_NONE]]),FALSE)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3261</v>
      </c>
      <c r="B793" s="37" t="str">
        <f>INDEX(CONTROL[ENGLISH],MATCH(PROPERTIES[[#This Row],[VEHIDCODE]],CONTROL[VEHIDCODE],0))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5" t="b">
        <f>IFERROR(OR(TRACK_TYPES[[#This Row],[TRACK_TYPE_STANDARD_GAUGE_RAILTYPE_OHLE]:[TRACK_TYPE_STANDARD_GAUGE_RAILTYPE_NONE]]),FALSE)</f>
        <v>1</v>
      </c>
      <c r="AF793" s="35" t="b">
        <f>IFERROR(OR(TRACK_TYPES[[#This Row],[TRACK_TYPE_NARROW_GAUGE_RAILTYPE_OHLE]:[TRACK_TYPE_NARROW_GAUGE_RAILTYPE_NONE]]),FALSE)</f>
        <v>0</v>
      </c>
      <c r="AG793" s="35" t="b">
        <f>IFERROR(OR(TRACK_TYPES[[#This Row],[TRACK_TYPE_BROAD_GAUGE_RAILTYPE_OHLE]:[TRACK_TYPE_BROAD_GAUGE_RAILTYPE_NONE]]),FALSE)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3262</v>
      </c>
      <c r="B794" s="37" t="str">
        <f>INDEX(CONTROL[ENGLISH],MATCH(PROPERTIES[[#This Row],[VEHIDCODE]],CONTROL[VEHIDCODE],0))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5" t="b">
        <f>IFERROR(OR(TRACK_TYPES[[#This Row],[TRACK_TYPE_STANDARD_GAUGE_RAILTYPE_OHLE]:[TRACK_TYPE_STANDARD_GAUGE_RAILTYPE_NONE]]),FALSE)</f>
        <v>1</v>
      </c>
      <c r="AF794" s="35" t="b">
        <f>IFERROR(OR(TRACK_TYPES[[#This Row],[TRACK_TYPE_NARROW_GAUGE_RAILTYPE_OHLE]:[TRACK_TYPE_NARROW_GAUGE_RAILTYPE_NONE]]),FALSE)</f>
        <v>0</v>
      </c>
      <c r="AG794" s="35" t="b">
        <f>IFERROR(OR(TRACK_TYPES[[#This Row],[TRACK_TYPE_BROAD_GAUGE_RAILTYPE_OHLE]:[TRACK_TYPE_BROAD_GAUGE_RAILTYPE_NONE]]),FALSE)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3263</v>
      </c>
      <c r="B795" s="37" t="str">
        <f>INDEX(CONTROL[ENGLISH],MATCH(PROPERTIES[[#This Row],[VEHIDCODE]],CONTROL[VEHIDCODE],0))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5" t="b">
        <f>IFERROR(OR(TRACK_TYPES[[#This Row],[TRACK_TYPE_STANDARD_GAUGE_RAILTYPE_OHLE]:[TRACK_TYPE_STANDARD_GAUGE_RAILTYPE_NONE]]),FALSE)</f>
        <v>0</v>
      </c>
      <c r="AF795" s="35" t="b">
        <f>IFERROR(OR(TRACK_TYPES[[#This Row],[TRACK_TYPE_NARROW_GAUGE_RAILTYPE_OHLE]:[TRACK_TYPE_NARROW_GAUGE_RAILTYPE_NONE]]),FALSE)</f>
        <v>1</v>
      </c>
      <c r="AG795" s="35" t="b">
        <f>IFERROR(OR(TRACK_TYPES[[#This Row],[TRACK_TYPE_BROAD_GAUGE_RAILTYPE_OHLE]:[TRACK_TYPE_BROAD_GAUGE_RAILTYPE_NONE]]),FALSE)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3438</v>
      </c>
      <c r="B796" s="37" t="str">
        <f>INDEX(CONTROL[ENGLISH],MATCH(PROPERTIES[[#This Row],[VEHIDCODE]],CONTROL[VEHIDCODE],0))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5" t="b">
        <f>IFERROR(OR(TRACK_TYPES[[#This Row],[TRACK_TYPE_STANDARD_GAUGE_RAILTYPE_OHLE]:[TRACK_TYPE_STANDARD_GAUGE_RAILTYPE_NONE]]),FALSE)</f>
        <v>0</v>
      </c>
      <c r="AF796" s="35" t="b">
        <f>IFERROR(OR(TRACK_TYPES[[#This Row],[TRACK_TYPE_NARROW_GAUGE_RAILTYPE_OHLE]:[TRACK_TYPE_NARROW_GAUGE_RAILTYPE_NONE]]),FALSE)</f>
        <v>1</v>
      </c>
      <c r="AG796" s="35" t="b">
        <f>IFERROR(OR(TRACK_TYPES[[#This Row],[TRACK_TYPE_BROAD_GAUGE_RAILTYPE_OHLE]:[TRACK_TYPE_BROAD_GAUGE_RAILTYPE_NONE]]),FALSE)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3264</v>
      </c>
      <c r="B797" s="37" t="str">
        <f>INDEX(CONTROL[ENGLISH],MATCH(PROPERTIES[[#This Row],[VEHIDCODE]],CONTROL[VEHIDCODE],0))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5" t="b">
        <f>IFERROR(OR(TRACK_TYPES[[#This Row],[TRACK_TYPE_STANDARD_GAUGE_RAILTYPE_OHLE]:[TRACK_TYPE_STANDARD_GAUGE_RAILTYPE_NONE]]),FALSE)</f>
        <v>0</v>
      </c>
      <c r="AF797" s="35" t="b">
        <f>IFERROR(OR(TRACK_TYPES[[#This Row],[TRACK_TYPE_NARROW_GAUGE_RAILTYPE_OHLE]:[TRACK_TYPE_NARROW_GAUGE_RAILTYPE_NONE]]),FALSE)</f>
        <v>1</v>
      </c>
      <c r="AG797" s="35" t="b">
        <f>IFERROR(OR(TRACK_TYPES[[#This Row],[TRACK_TYPE_BROAD_GAUGE_RAILTYPE_OHLE]:[TRACK_TYPE_BROAD_GAUGE_RAILTYPE_NONE]]),FALSE)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3265</v>
      </c>
      <c r="B798" s="37" t="str">
        <f>INDEX(CONTROL[ENGLISH],MATCH(PROPERTIES[[#This Row],[VEHIDCODE]],CONTROL[VEHIDCODE],0))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5" t="b">
        <f>IFERROR(OR(TRACK_TYPES[[#This Row],[TRACK_TYPE_STANDARD_GAUGE_RAILTYPE_OHLE]:[TRACK_TYPE_STANDARD_GAUGE_RAILTYPE_NONE]]),FALSE)</f>
        <v>0</v>
      </c>
      <c r="AF798" s="35" t="b">
        <f>IFERROR(OR(TRACK_TYPES[[#This Row],[TRACK_TYPE_NARROW_GAUGE_RAILTYPE_OHLE]:[TRACK_TYPE_NARROW_GAUGE_RAILTYPE_NONE]]),FALSE)</f>
        <v>1</v>
      </c>
      <c r="AG798" s="35" t="b">
        <f>IFERROR(OR(TRACK_TYPES[[#This Row],[TRACK_TYPE_BROAD_GAUGE_RAILTYPE_OHLE]:[TRACK_TYPE_BROAD_GAUGE_RAILTYPE_NONE]]),FALSE)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3266</v>
      </c>
      <c r="B799" s="37" t="str">
        <f>INDEX(CONTROL[ENGLISH],MATCH(PROPERTIES[[#This Row],[VEHIDCODE]],CONTROL[VEHIDCODE],0))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5" t="b">
        <f>IFERROR(OR(TRACK_TYPES[[#This Row],[TRACK_TYPE_STANDARD_GAUGE_RAILTYPE_OHLE]:[TRACK_TYPE_STANDARD_GAUGE_RAILTYPE_NONE]]),FALSE)</f>
        <v>0</v>
      </c>
      <c r="AF799" s="35" t="b">
        <f>IFERROR(OR(TRACK_TYPES[[#This Row],[TRACK_TYPE_NARROW_GAUGE_RAILTYPE_OHLE]:[TRACK_TYPE_NARROW_GAUGE_RAILTYPE_NONE]]),FALSE)</f>
        <v>1</v>
      </c>
      <c r="AG799" s="35" t="b">
        <f>IFERROR(OR(TRACK_TYPES[[#This Row],[TRACK_TYPE_BROAD_GAUGE_RAILTYPE_OHLE]:[TRACK_TYPE_BROAD_GAUGE_RAILTYPE_NONE]]),FALSE)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3267</v>
      </c>
      <c r="B800" s="37" t="str">
        <f>INDEX(CONTROL[ENGLISH],MATCH(PROPERTIES[[#This Row],[VEHIDCODE]],CONTROL[VEHIDCODE],0))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5" t="b">
        <f>IFERROR(OR(TRACK_TYPES[[#This Row],[TRACK_TYPE_STANDARD_GAUGE_RAILTYPE_OHLE]:[TRACK_TYPE_STANDARD_GAUGE_RAILTYPE_NONE]]),FALSE)</f>
        <v>0</v>
      </c>
      <c r="AF800" s="35" t="b">
        <f>IFERROR(OR(TRACK_TYPES[[#This Row],[TRACK_TYPE_NARROW_GAUGE_RAILTYPE_OHLE]:[TRACK_TYPE_NARROW_GAUGE_RAILTYPE_NONE]]),FALSE)</f>
        <v>1</v>
      </c>
      <c r="AG800" s="35" t="b">
        <f>IFERROR(OR(TRACK_TYPES[[#This Row],[TRACK_TYPE_BROAD_GAUGE_RAILTYPE_OHLE]:[TRACK_TYPE_BROAD_GAUGE_RAILTYPE_NONE]]),FALSE)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3268</v>
      </c>
      <c r="B801" s="37" t="str">
        <f>INDEX(CONTROL[ENGLISH],MATCH(PROPERTIES[[#This Row],[VEHIDCODE]],CONTROL[VEHIDCODE],0))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5" t="b">
        <f>IFERROR(OR(TRACK_TYPES[[#This Row],[TRACK_TYPE_STANDARD_GAUGE_RAILTYPE_OHLE]:[TRACK_TYPE_STANDARD_GAUGE_RAILTYPE_NONE]]),FALSE)</f>
        <v>0</v>
      </c>
      <c r="AF801" s="35" t="b">
        <f>IFERROR(OR(TRACK_TYPES[[#This Row],[TRACK_TYPE_NARROW_GAUGE_RAILTYPE_OHLE]:[TRACK_TYPE_NARROW_GAUGE_RAILTYPE_NONE]]),FALSE)</f>
        <v>1</v>
      </c>
      <c r="AG801" s="35" t="b">
        <f>IFERROR(OR(TRACK_TYPES[[#This Row],[TRACK_TYPE_BROAD_GAUGE_RAILTYPE_OHLE]:[TRACK_TYPE_BROAD_GAUGE_RAILTYPE_NONE]]),FALSE)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3269</v>
      </c>
      <c r="B802" s="37" t="str">
        <f>INDEX(CONTROL[ENGLISH],MATCH(PROPERTIES[[#This Row],[VEHIDCODE]],CONTROL[VEHIDCODE],0))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5" t="b">
        <f>IFERROR(OR(TRACK_TYPES[[#This Row],[TRACK_TYPE_STANDARD_GAUGE_RAILTYPE_OHLE]:[TRACK_TYPE_STANDARD_GAUGE_RAILTYPE_NONE]]),FALSE)</f>
        <v>0</v>
      </c>
      <c r="AF802" s="35" t="b">
        <f>IFERROR(OR(TRACK_TYPES[[#This Row],[TRACK_TYPE_NARROW_GAUGE_RAILTYPE_OHLE]:[TRACK_TYPE_NARROW_GAUGE_RAILTYPE_NONE]]),FALSE)</f>
        <v>1</v>
      </c>
      <c r="AG802" s="35" t="b">
        <f>IFERROR(OR(TRACK_TYPES[[#This Row],[TRACK_TYPE_BROAD_GAUGE_RAILTYPE_OHLE]:[TRACK_TYPE_BROAD_GAUGE_RAILTYPE_NONE]]),FALSE)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3270</v>
      </c>
      <c r="B803" s="37" t="str">
        <f>INDEX(CONTROL[ENGLISH],MATCH(PROPERTIES[[#This Row],[VEHIDCODE]],CONTROL[VEHIDCODE],0))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5" t="b">
        <f>IFERROR(OR(TRACK_TYPES[[#This Row],[TRACK_TYPE_STANDARD_GAUGE_RAILTYPE_OHLE]:[TRACK_TYPE_STANDARD_GAUGE_RAILTYPE_NONE]]),FALSE)</f>
        <v>1</v>
      </c>
      <c r="AF803" s="35" t="b">
        <f>IFERROR(OR(TRACK_TYPES[[#This Row],[TRACK_TYPE_NARROW_GAUGE_RAILTYPE_OHLE]:[TRACK_TYPE_NARROW_GAUGE_RAILTYPE_NONE]]),FALSE)</f>
        <v>0</v>
      </c>
      <c r="AG803" s="35" t="b">
        <f>IFERROR(OR(TRACK_TYPES[[#This Row],[TRACK_TYPE_BROAD_GAUGE_RAILTYPE_OHLE]:[TRACK_TYPE_BROAD_GAUGE_RAILTYPE_NONE]]),FALSE)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3271</v>
      </c>
      <c r="B804" s="37" t="str">
        <f>INDEX(CONTROL[ENGLISH],MATCH(PROPERTIES[[#This Row],[VEHIDCODE]],CONTROL[VEHIDCODE],0))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5" t="b">
        <f>IFERROR(OR(TRACK_TYPES[[#This Row],[TRACK_TYPE_STANDARD_GAUGE_RAILTYPE_OHLE]:[TRACK_TYPE_STANDARD_GAUGE_RAILTYPE_NONE]]),FALSE)</f>
        <v>1</v>
      </c>
      <c r="AF804" s="35" t="b">
        <f>IFERROR(OR(TRACK_TYPES[[#This Row],[TRACK_TYPE_NARROW_GAUGE_RAILTYPE_OHLE]:[TRACK_TYPE_NARROW_GAUGE_RAILTYPE_NONE]]),FALSE)</f>
        <v>0</v>
      </c>
      <c r="AG804" s="35" t="b">
        <f>IFERROR(OR(TRACK_TYPES[[#This Row],[TRACK_TYPE_BROAD_GAUGE_RAILTYPE_OHLE]:[TRACK_TYPE_BROAD_GAUGE_RAILTYPE_NONE]]),FALSE)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1723</v>
      </c>
      <c r="B805" s="37" t="str">
        <f>INDEX(CONTROL[ENGLISH],MATCH(PROPERTIES[[#This Row],[VEHIDCODE]],CONTROL[VEHIDCODE],0))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5" t="b">
        <f>IFERROR(OR(TRACK_TYPES[[#This Row],[TRACK_TYPE_STANDARD_GAUGE_RAILTYPE_OHLE]:[TRACK_TYPE_STANDARD_GAUGE_RAILTYPE_NONE]]),FALSE)</f>
        <v>1</v>
      </c>
      <c r="AF805" s="35" t="b">
        <f>IFERROR(OR(TRACK_TYPES[[#This Row],[TRACK_TYPE_NARROW_GAUGE_RAILTYPE_OHLE]:[TRACK_TYPE_NARROW_GAUGE_RAILTYPE_NONE]]),FALSE)</f>
        <v>1</v>
      </c>
      <c r="AG805" s="35" t="b">
        <f>IFERROR(OR(TRACK_TYPES[[#This Row],[TRACK_TYPE_BROAD_GAUGE_RAILTYPE_OHLE]:[TRACK_TYPE_BROAD_GAUGE_RAILTYPE_NONE]]),FALSE)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1724</v>
      </c>
      <c r="B806" s="37" t="str">
        <f>INDEX(CONTROL[ENGLISH],MATCH(PROPERTIES[[#This Row],[VEHIDCODE]],CONTROL[VEHIDCODE],0))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5" t="b">
        <f>IFERROR(OR(TRACK_TYPES[[#This Row],[TRACK_TYPE_STANDARD_GAUGE_RAILTYPE_OHLE]:[TRACK_TYPE_STANDARD_GAUGE_RAILTYPE_NONE]]),FALSE)</f>
        <v>1</v>
      </c>
      <c r="AF806" s="35" t="b">
        <f>IFERROR(OR(TRACK_TYPES[[#This Row],[TRACK_TYPE_NARROW_GAUGE_RAILTYPE_OHLE]:[TRACK_TYPE_NARROW_GAUGE_RAILTYPE_NONE]]),FALSE)</f>
        <v>1</v>
      </c>
      <c r="AG806" s="35" t="b">
        <f>IFERROR(OR(TRACK_TYPES[[#This Row],[TRACK_TYPE_BROAD_GAUGE_RAILTYPE_OHLE]:[TRACK_TYPE_BROAD_GAUGE_RAILTYPE_NONE]]),FALSE)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1709</v>
      </c>
      <c r="B807" s="37" t="str">
        <f>INDEX(CONTROL[ENGLISH],MATCH(PROPERTIES[[#This Row],[VEHIDCODE]],CONTROL[VEHIDCODE],0))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5" t="b">
        <f>IFERROR(OR(TRACK_TYPES[[#This Row],[TRACK_TYPE_STANDARD_GAUGE_RAILTYPE_OHLE]:[TRACK_TYPE_STANDARD_GAUGE_RAILTYPE_NONE]]),FALSE)</f>
        <v>1</v>
      </c>
      <c r="AF807" s="35" t="b">
        <f>IFERROR(OR(TRACK_TYPES[[#This Row],[TRACK_TYPE_NARROW_GAUGE_RAILTYPE_OHLE]:[TRACK_TYPE_NARROW_GAUGE_RAILTYPE_NONE]]),FALSE)</f>
        <v>1</v>
      </c>
      <c r="AG807" s="35" t="b">
        <f>IFERROR(OR(TRACK_TYPES[[#This Row],[TRACK_TYPE_BROAD_GAUGE_RAILTYPE_OHLE]:[TRACK_TYPE_BROAD_GAUGE_RAILTYPE_NONE]]),FALSE)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1704</v>
      </c>
      <c r="B808" s="37" t="str">
        <f>INDEX(CONTROL[ENGLISH],MATCH(PROPERTIES[[#This Row],[VEHIDCODE]],CONTROL[VEHIDCODE],0))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5" t="b">
        <f>IFERROR(OR(TRACK_TYPES[[#This Row],[TRACK_TYPE_STANDARD_GAUGE_RAILTYPE_OHLE]:[TRACK_TYPE_STANDARD_GAUGE_RAILTYPE_NONE]]),FALSE)</f>
        <v>1</v>
      </c>
      <c r="AF808" s="35" t="b">
        <f>IFERROR(OR(TRACK_TYPES[[#This Row],[TRACK_TYPE_NARROW_GAUGE_RAILTYPE_OHLE]:[TRACK_TYPE_NARROW_GAUGE_RAILTYPE_NONE]]),FALSE)</f>
        <v>1</v>
      </c>
      <c r="AG808" s="35" t="b">
        <f>IFERROR(OR(TRACK_TYPES[[#This Row],[TRACK_TYPE_BROAD_GAUGE_RAILTYPE_OHLE]:[TRACK_TYPE_BROAD_GAUGE_RAILTYPE_NONE]]),FALSE)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1705</v>
      </c>
      <c r="B809" s="37" t="str">
        <f>INDEX(CONTROL[ENGLISH],MATCH(PROPERTIES[[#This Row],[VEHIDCODE]],CONTROL[VEHIDCODE],0))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5" t="b">
        <f>IFERROR(OR(TRACK_TYPES[[#This Row],[TRACK_TYPE_STANDARD_GAUGE_RAILTYPE_OHLE]:[TRACK_TYPE_STANDARD_GAUGE_RAILTYPE_NONE]]),FALSE)</f>
        <v>1</v>
      </c>
      <c r="AF809" s="35" t="b">
        <f>IFERROR(OR(TRACK_TYPES[[#This Row],[TRACK_TYPE_NARROW_GAUGE_RAILTYPE_OHLE]:[TRACK_TYPE_NARROW_GAUGE_RAILTYPE_NONE]]),FALSE)</f>
        <v>1</v>
      </c>
      <c r="AG809" s="35" t="b">
        <f>IFERROR(OR(TRACK_TYPES[[#This Row],[TRACK_TYPE_BROAD_GAUGE_RAILTYPE_OHLE]:[TRACK_TYPE_BROAD_GAUGE_RAILTYPE_NONE]]),FALSE)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1706</v>
      </c>
      <c r="B810" s="37" t="str">
        <f>INDEX(CONTROL[ENGLISH],MATCH(PROPERTIES[[#This Row],[VEHIDCODE]],CONTROL[VEHIDCODE],0))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5" t="b">
        <f>IFERROR(OR(TRACK_TYPES[[#This Row],[TRACK_TYPE_STANDARD_GAUGE_RAILTYPE_OHLE]:[TRACK_TYPE_STANDARD_GAUGE_RAILTYPE_NONE]]),FALSE)</f>
        <v>1</v>
      </c>
      <c r="AF810" s="35" t="b">
        <f>IFERROR(OR(TRACK_TYPES[[#This Row],[TRACK_TYPE_NARROW_GAUGE_RAILTYPE_OHLE]:[TRACK_TYPE_NARROW_GAUGE_RAILTYPE_NONE]]),FALSE)</f>
        <v>1</v>
      </c>
      <c r="AG810" s="35" t="b">
        <f>IFERROR(OR(TRACK_TYPES[[#This Row],[TRACK_TYPE_BROAD_GAUGE_RAILTYPE_OHLE]:[TRACK_TYPE_BROAD_GAUGE_RAILTYPE_NONE]]),FALSE)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1707</v>
      </c>
      <c r="B811" s="37" t="str">
        <f>INDEX(CONTROL[ENGLISH],MATCH(PROPERTIES[[#This Row],[VEHIDCODE]],CONTROL[VEHIDCODE],0))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5" t="b">
        <f>IFERROR(OR(TRACK_TYPES[[#This Row],[TRACK_TYPE_STANDARD_GAUGE_RAILTYPE_OHLE]:[TRACK_TYPE_STANDARD_GAUGE_RAILTYPE_NONE]]),FALSE)</f>
        <v>1</v>
      </c>
      <c r="AF811" s="35" t="b">
        <f>IFERROR(OR(TRACK_TYPES[[#This Row],[TRACK_TYPE_NARROW_GAUGE_RAILTYPE_OHLE]:[TRACK_TYPE_NARROW_GAUGE_RAILTYPE_NONE]]),FALSE)</f>
        <v>1</v>
      </c>
      <c r="AG811" s="35" t="b">
        <f>IFERROR(OR(TRACK_TYPES[[#This Row],[TRACK_TYPE_BROAD_GAUGE_RAILTYPE_OHLE]:[TRACK_TYPE_BROAD_GAUGE_RAILTYPE_NONE]]),FALSE)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1708</v>
      </c>
      <c r="B812" s="37" t="str">
        <f>INDEX(CONTROL[ENGLISH],MATCH(PROPERTIES[[#This Row],[VEHIDCODE]],CONTROL[VEHIDCODE],0))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5" t="b">
        <f>IFERROR(OR(TRACK_TYPES[[#This Row],[TRACK_TYPE_STANDARD_GAUGE_RAILTYPE_OHLE]:[TRACK_TYPE_STANDARD_GAUGE_RAILTYPE_NONE]]),FALSE)</f>
        <v>1</v>
      </c>
      <c r="AF812" s="35" t="b">
        <f>IFERROR(OR(TRACK_TYPES[[#This Row],[TRACK_TYPE_NARROW_GAUGE_RAILTYPE_OHLE]:[TRACK_TYPE_NARROW_GAUGE_RAILTYPE_NONE]]),FALSE)</f>
        <v>1</v>
      </c>
      <c r="AG812" s="35" t="b">
        <f>IFERROR(OR(TRACK_TYPES[[#This Row],[TRACK_TYPE_BROAD_GAUGE_RAILTYPE_OHLE]:[TRACK_TYPE_BROAD_GAUGE_RAILTYPE_NONE]]),FALSE)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1727</v>
      </c>
      <c r="B813" s="37" t="str">
        <f>INDEX(CONTROL[ENGLISH],MATCH(PROPERTIES[[#This Row],[VEHIDCODE]],CONTROL[VEHIDCODE],0))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5" t="b">
        <f>IFERROR(OR(TRACK_TYPES[[#This Row],[TRACK_TYPE_STANDARD_GAUGE_RAILTYPE_OHLE]:[TRACK_TYPE_STANDARD_GAUGE_RAILTYPE_NONE]]),FALSE)</f>
        <v>0</v>
      </c>
      <c r="AF813" s="35" t="b">
        <f>IFERROR(OR(TRACK_TYPES[[#This Row],[TRACK_TYPE_NARROW_GAUGE_RAILTYPE_OHLE]:[TRACK_TYPE_NARROW_GAUGE_RAILTYPE_NONE]]),FALSE)</f>
        <v>0</v>
      </c>
      <c r="AG813" s="35" t="b">
        <f>IFERROR(OR(TRACK_TYPES[[#This Row],[TRACK_TYPE_BROAD_GAUGE_RAILTYPE_OHLE]:[TRACK_TYPE_BROAD_GAUGE_RAILTYPE_NONE]]),FALSE)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3272</v>
      </c>
      <c r="B814" s="37" t="str">
        <f>INDEX(CONTROL[ENGLISH],MATCH(PROPERTIES[[#This Row],[VEHIDCODE]],CONTROL[VEHIDCODE],0))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5" t="b">
        <f>IFERROR(OR(TRACK_TYPES[[#This Row],[TRACK_TYPE_STANDARD_GAUGE_RAILTYPE_OHLE]:[TRACK_TYPE_STANDARD_GAUGE_RAILTYPE_NONE]]),FALSE)</f>
        <v>1</v>
      </c>
      <c r="AF814" s="35" t="b">
        <f>IFERROR(OR(TRACK_TYPES[[#This Row],[TRACK_TYPE_NARROW_GAUGE_RAILTYPE_OHLE]:[TRACK_TYPE_NARROW_GAUGE_RAILTYPE_NONE]]),FALSE)</f>
        <v>0</v>
      </c>
      <c r="AG814" s="35" t="b">
        <f>IFERROR(OR(TRACK_TYPES[[#This Row],[TRACK_TYPE_BROAD_GAUGE_RAILTYPE_OHLE]:[TRACK_TYPE_BROAD_GAUGE_RAILTYPE_NONE]]),FALSE)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3273</v>
      </c>
      <c r="B815" s="37" t="str">
        <f>INDEX(CONTROL[ENGLISH],MATCH(PROPERTIES[[#This Row],[VEHIDCODE]],CONTROL[VEHIDCODE],0))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5" t="b">
        <f>IFERROR(OR(TRACK_TYPES[[#This Row],[TRACK_TYPE_STANDARD_GAUGE_RAILTYPE_OHLE]:[TRACK_TYPE_STANDARD_GAUGE_RAILTYPE_NONE]]),FALSE)</f>
        <v>1</v>
      </c>
      <c r="AF815" s="35" t="b">
        <f>IFERROR(OR(TRACK_TYPES[[#This Row],[TRACK_TYPE_NARROW_GAUGE_RAILTYPE_OHLE]:[TRACK_TYPE_NARROW_GAUGE_RAILTYPE_NONE]]),FALSE)</f>
        <v>0</v>
      </c>
      <c r="AG815" s="35" t="b">
        <f>IFERROR(OR(TRACK_TYPES[[#This Row],[TRACK_TYPE_BROAD_GAUGE_RAILTYPE_OHLE]:[TRACK_TYPE_BROAD_GAUGE_RAILTYPE_NONE]]),FALSE)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3274</v>
      </c>
      <c r="B816" s="37" t="str">
        <f>INDEX(CONTROL[ENGLISH],MATCH(PROPERTIES[[#This Row],[VEHIDCODE]],CONTROL[VEHIDCODE],0))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5" t="b">
        <f>IFERROR(OR(TRACK_TYPES[[#This Row],[TRACK_TYPE_STANDARD_GAUGE_RAILTYPE_OHLE]:[TRACK_TYPE_STANDARD_GAUGE_RAILTYPE_NONE]]),FALSE)</f>
        <v>1</v>
      </c>
      <c r="AF816" s="35" t="b">
        <f>IFERROR(OR(TRACK_TYPES[[#This Row],[TRACK_TYPE_NARROW_GAUGE_RAILTYPE_OHLE]:[TRACK_TYPE_NARROW_GAUGE_RAILTYPE_NONE]]),FALSE)</f>
        <v>0</v>
      </c>
      <c r="AG816" s="35" t="b">
        <f>IFERROR(OR(TRACK_TYPES[[#This Row],[TRACK_TYPE_BROAD_GAUGE_RAILTYPE_OHLE]:[TRACK_TYPE_BROAD_GAUGE_RAILTYPE_NONE]]),FALSE)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3275</v>
      </c>
      <c r="B817" s="37" t="str">
        <f>INDEX(CONTROL[ENGLISH],MATCH(PROPERTIES[[#This Row],[VEHIDCODE]],CONTROL[VEHIDCODE],0))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5" t="b">
        <f>IFERROR(OR(TRACK_TYPES[[#This Row],[TRACK_TYPE_STANDARD_GAUGE_RAILTYPE_OHLE]:[TRACK_TYPE_STANDARD_GAUGE_RAILTYPE_NONE]]),FALSE)</f>
        <v>1</v>
      </c>
      <c r="AF817" s="35" t="b">
        <f>IFERROR(OR(TRACK_TYPES[[#This Row],[TRACK_TYPE_NARROW_GAUGE_RAILTYPE_OHLE]:[TRACK_TYPE_NARROW_GAUGE_RAILTYPE_NONE]]),FALSE)</f>
        <v>0</v>
      </c>
      <c r="AG817" s="35" t="b">
        <f>IFERROR(OR(TRACK_TYPES[[#This Row],[TRACK_TYPE_BROAD_GAUGE_RAILTYPE_OHLE]:[TRACK_TYPE_BROAD_GAUGE_RAILTYPE_NONE]]),FALSE)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3276</v>
      </c>
      <c r="B818" s="37" t="str">
        <f>INDEX(CONTROL[ENGLISH],MATCH(PROPERTIES[[#This Row],[VEHIDCODE]],CONTROL[VEHIDCODE],0))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5" t="b">
        <f>IFERROR(OR(TRACK_TYPES[[#This Row],[TRACK_TYPE_STANDARD_GAUGE_RAILTYPE_OHLE]:[TRACK_TYPE_STANDARD_GAUGE_RAILTYPE_NONE]]),FALSE)</f>
        <v>1</v>
      </c>
      <c r="AF818" s="35" t="b">
        <f>IFERROR(OR(TRACK_TYPES[[#This Row],[TRACK_TYPE_NARROW_GAUGE_RAILTYPE_OHLE]:[TRACK_TYPE_NARROW_GAUGE_RAILTYPE_NONE]]),FALSE)</f>
        <v>0</v>
      </c>
      <c r="AG818" s="35" t="b">
        <f>IFERROR(OR(TRACK_TYPES[[#This Row],[TRACK_TYPE_BROAD_GAUGE_RAILTYPE_OHLE]:[TRACK_TYPE_BROAD_GAUGE_RAILTYPE_NONE]]),FALSE)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3277</v>
      </c>
      <c r="B819" s="37" t="str">
        <f>INDEX(CONTROL[ENGLISH],MATCH(PROPERTIES[[#This Row],[VEHIDCODE]],CONTROL[VEHIDCODE],0))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5" t="b">
        <f>IFERROR(OR(TRACK_TYPES[[#This Row],[TRACK_TYPE_STANDARD_GAUGE_RAILTYPE_OHLE]:[TRACK_TYPE_STANDARD_GAUGE_RAILTYPE_NONE]]),FALSE)</f>
        <v>1</v>
      </c>
      <c r="AF819" s="35" t="b">
        <f>IFERROR(OR(TRACK_TYPES[[#This Row],[TRACK_TYPE_NARROW_GAUGE_RAILTYPE_OHLE]:[TRACK_TYPE_NARROW_GAUGE_RAILTYPE_NONE]]),FALSE)</f>
        <v>0</v>
      </c>
      <c r="AG819" s="35" t="b">
        <f>IFERROR(OR(TRACK_TYPES[[#This Row],[TRACK_TYPE_BROAD_GAUGE_RAILTYPE_OHLE]:[TRACK_TYPE_BROAD_GAUGE_RAILTYPE_NONE]]),FALSE)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3278</v>
      </c>
      <c r="B820" s="37" t="str">
        <f>INDEX(CONTROL[ENGLISH],MATCH(PROPERTIES[[#This Row],[VEHIDCODE]],CONTROL[VEHIDCODE],0))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5" t="b">
        <f>IFERROR(OR(TRACK_TYPES[[#This Row],[TRACK_TYPE_STANDARD_GAUGE_RAILTYPE_OHLE]:[TRACK_TYPE_STANDARD_GAUGE_RAILTYPE_NONE]]),FALSE)</f>
        <v>1</v>
      </c>
      <c r="AF820" s="35" t="b">
        <f>IFERROR(OR(TRACK_TYPES[[#This Row],[TRACK_TYPE_NARROW_GAUGE_RAILTYPE_OHLE]:[TRACK_TYPE_NARROW_GAUGE_RAILTYPE_NONE]]),FALSE)</f>
        <v>0</v>
      </c>
      <c r="AG820" s="35" t="b">
        <f>IFERROR(OR(TRACK_TYPES[[#This Row],[TRACK_TYPE_BROAD_GAUGE_RAILTYPE_OHLE]:[TRACK_TYPE_BROAD_GAUGE_RAILTYPE_NONE]]),FALSE)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3279</v>
      </c>
      <c r="B821" s="37" t="str">
        <f>INDEX(CONTROL[ENGLISH],MATCH(PROPERTIES[[#This Row],[VEHIDCODE]],CONTROL[VEHIDCODE],0))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5" t="b">
        <f>IFERROR(OR(TRACK_TYPES[[#This Row],[TRACK_TYPE_STANDARD_GAUGE_RAILTYPE_OHLE]:[TRACK_TYPE_STANDARD_GAUGE_RAILTYPE_NONE]]),FALSE)</f>
        <v>0</v>
      </c>
      <c r="AF821" s="35" t="b">
        <f>IFERROR(OR(TRACK_TYPES[[#This Row],[TRACK_TYPE_NARROW_GAUGE_RAILTYPE_OHLE]:[TRACK_TYPE_NARROW_GAUGE_RAILTYPE_NONE]]),FALSE)</f>
        <v>0</v>
      </c>
      <c r="AG821" s="35" t="b">
        <f>IFERROR(OR(TRACK_TYPES[[#This Row],[TRACK_TYPE_BROAD_GAUGE_RAILTYPE_OHLE]:[TRACK_TYPE_BROAD_GAUGE_RAILTYPE_NONE]]),FALSE)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3280</v>
      </c>
      <c r="B822" s="37" t="str">
        <f>INDEX(CONTROL[ENGLISH],MATCH(PROPERTIES[[#This Row],[VEHIDCODE]],CONTROL[VEHIDCODE],0))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5" t="b">
        <f>IFERROR(OR(TRACK_TYPES[[#This Row],[TRACK_TYPE_STANDARD_GAUGE_RAILTYPE_OHLE]:[TRACK_TYPE_STANDARD_GAUGE_RAILTYPE_NONE]]),FALSE)</f>
        <v>0</v>
      </c>
      <c r="AF822" s="35" t="b">
        <f>IFERROR(OR(TRACK_TYPES[[#This Row],[TRACK_TYPE_NARROW_GAUGE_RAILTYPE_OHLE]:[TRACK_TYPE_NARROW_GAUGE_RAILTYPE_NONE]]),FALSE)</f>
        <v>0</v>
      </c>
      <c r="AG822" s="35" t="b">
        <f>IFERROR(OR(TRACK_TYPES[[#This Row],[TRACK_TYPE_BROAD_GAUGE_RAILTYPE_OHLE]:[TRACK_TYPE_BROAD_GAUGE_RAILTYPE_NONE]]),FALSE)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3281</v>
      </c>
      <c r="B823" s="37" t="str">
        <f>INDEX(CONTROL[ENGLISH],MATCH(PROPERTIES[[#This Row],[VEHIDCODE]],CONTROL[VEHIDCODE],0))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5" t="b">
        <f>IFERROR(OR(TRACK_TYPES[[#This Row],[TRACK_TYPE_STANDARD_GAUGE_RAILTYPE_OHLE]:[TRACK_TYPE_STANDARD_GAUGE_RAILTYPE_NONE]]),FALSE)</f>
        <v>0</v>
      </c>
      <c r="AF823" s="35" t="b">
        <f>IFERROR(OR(TRACK_TYPES[[#This Row],[TRACK_TYPE_NARROW_GAUGE_RAILTYPE_OHLE]:[TRACK_TYPE_NARROW_GAUGE_RAILTYPE_NONE]]),FALSE)</f>
        <v>0</v>
      </c>
      <c r="AG823" s="35" t="b">
        <f>IFERROR(OR(TRACK_TYPES[[#This Row],[TRACK_TYPE_BROAD_GAUGE_RAILTYPE_OHLE]:[TRACK_TYPE_BROAD_GAUGE_RAILTYPE_NONE]]),FALSE)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3282</v>
      </c>
      <c r="B824" s="37" t="str">
        <f>INDEX(CONTROL[ENGLISH],MATCH(PROPERTIES[[#This Row],[VEHIDCODE]],CONTROL[VEHIDCODE],0))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5" t="b">
        <f>IFERROR(OR(TRACK_TYPES[[#This Row],[TRACK_TYPE_STANDARD_GAUGE_RAILTYPE_OHLE]:[TRACK_TYPE_STANDARD_GAUGE_RAILTYPE_NONE]]),FALSE)</f>
        <v>1</v>
      </c>
      <c r="AF824" s="35" t="b">
        <f>IFERROR(OR(TRACK_TYPES[[#This Row],[TRACK_TYPE_NARROW_GAUGE_RAILTYPE_OHLE]:[TRACK_TYPE_NARROW_GAUGE_RAILTYPE_NONE]]),FALSE)</f>
        <v>0</v>
      </c>
      <c r="AG824" s="35" t="b">
        <f>IFERROR(OR(TRACK_TYPES[[#This Row],[TRACK_TYPE_BROAD_GAUGE_RAILTYPE_OHLE]:[TRACK_TYPE_BROAD_GAUGE_RAILTYPE_NONE]]),FALSE)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3283</v>
      </c>
      <c r="B825" s="37" t="str">
        <f>INDEX(CONTROL[ENGLISH],MATCH(PROPERTIES[[#This Row],[VEHIDCODE]],CONTROL[VEHIDCODE],0))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5" t="b">
        <f>IFERROR(OR(TRACK_TYPES[[#This Row],[TRACK_TYPE_STANDARD_GAUGE_RAILTYPE_OHLE]:[TRACK_TYPE_STANDARD_GAUGE_RAILTYPE_NONE]]),FALSE)</f>
        <v>1</v>
      </c>
      <c r="AF825" s="35" t="b">
        <f>IFERROR(OR(TRACK_TYPES[[#This Row],[TRACK_TYPE_NARROW_GAUGE_RAILTYPE_OHLE]:[TRACK_TYPE_NARROW_GAUGE_RAILTYPE_NONE]]),FALSE)</f>
        <v>0</v>
      </c>
      <c r="AG825" s="35" t="b">
        <f>IFERROR(OR(TRACK_TYPES[[#This Row],[TRACK_TYPE_BROAD_GAUGE_RAILTYPE_OHLE]:[TRACK_TYPE_BROAD_GAUGE_RAILTYPE_NONE]]),FALSE)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3601</v>
      </c>
      <c r="B826" s="37" t="str">
        <f>INDEX(CONTROL[ENGLISH],MATCH(PROPERTIES[[#This Row],[VEHIDCODE]],CONTROL[VEHIDCODE],0))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5" t="b">
        <f>IFERROR(OR(TRACK_TYPES[[#This Row],[TRACK_TYPE_STANDARD_GAUGE_RAILTYPE_OHLE]:[TRACK_TYPE_STANDARD_GAUGE_RAILTYPE_NONE]]),FALSE)</f>
        <v>1</v>
      </c>
      <c r="AF826" s="35" t="b">
        <f>IFERROR(OR(TRACK_TYPES[[#This Row],[TRACK_TYPE_NARROW_GAUGE_RAILTYPE_OHLE]:[TRACK_TYPE_NARROW_GAUGE_RAILTYPE_NONE]]),FALSE)</f>
        <v>0</v>
      </c>
      <c r="AG826" s="35" t="b">
        <f>IFERROR(OR(TRACK_TYPES[[#This Row],[TRACK_TYPE_BROAD_GAUGE_RAILTYPE_OHLE]:[TRACK_TYPE_BROAD_GAUGE_RAILTYPE_NONE]]),FALSE)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3284</v>
      </c>
      <c r="B827" s="37" t="str">
        <f>INDEX(CONTROL[ENGLISH],MATCH(PROPERTIES[[#This Row],[VEHIDCODE]],CONTROL[VEHIDCODE],0))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5" t="b">
        <f>IFERROR(OR(TRACK_TYPES[[#This Row],[TRACK_TYPE_STANDARD_GAUGE_RAILTYPE_OHLE]:[TRACK_TYPE_STANDARD_GAUGE_RAILTYPE_NONE]]),FALSE)</f>
        <v>1</v>
      </c>
      <c r="AF827" s="35" t="b">
        <f>IFERROR(OR(TRACK_TYPES[[#This Row],[TRACK_TYPE_NARROW_GAUGE_RAILTYPE_OHLE]:[TRACK_TYPE_NARROW_GAUGE_RAILTYPE_NONE]]),FALSE)</f>
        <v>0</v>
      </c>
      <c r="AG827" s="35" t="b">
        <f>IFERROR(OR(TRACK_TYPES[[#This Row],[TRACK_TYPE_BROAD_GAUGE_RAILTYPE_OHLE]:[TRACK_TYPE_BROAD_GAUGE_RAILTYPE_NONE]]),FALSE)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3285</v>
      </c>
      <c r="B828" s="37" t="str">
        <f>INDEX(CONTROL[ENGLISH],MATCH(PROPERTIES[[#This Row],[VEHIDCODE]],CONTROL[VEHIDCODE],0))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5" t="b">
        <f>IFERROR(OR(TRACK_TYPES[[#This Row],[TRACK_TYPE_STANDARD_GAUGE_RAILTYPE_OHLE]:[TRACK_TYPE_STANDARD_GAUGE_RAILTYPE_NONE]]),FALSE)</f>
        <v>0</v>
      </c>
      <c r="AF828" s="35" t="b">
        <f>IFERROR(OR(TRACK_TYPES[[#This Row],[TRACK_TYPE_NARROW_GAUGE_RAILTYPE_OHLE]:[TRACK_TYPE_NARROW_GAUGE_RAILTYPE_NONE]]),FALSE)</f>
        <v>0</v>
      </c>
      <c r="AG828" s="35" t="b">
        <f>IFERROR(OR(TRACK_TYPES[[#This Row],[TRACK_TYPE_BROAD_GAUGE_RAILTYPE_OHLE]:[TRACK_TYPE_BROAD_GAUGE_RAILTYPE_NONE]]),FALSE)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3286</v>
      </c>
      <c r="B829" s="37" t="str">
        <f>INDEX(CONTROL[ENGLISH],MATCH(PROPERTIES[[#This Row],[VEHIDCODE]],CONTROL[VEHIDCODE],0))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5" t="b">
        <f>IFERROR(OR(TRACK_TYPES[[#This Row],[TRACK_TYPE_STANDARD_GAUGE_RAILTYPE_OHLE]:[TRACK_TYPE_STANDARD_GAUGE_RAILTYPE_NONE]]),FALSE)</f>
        <v>0</v>
      </c>
      <c r="AF829" s="35" t="b">
        <f>IFERROR(OR(TRACK_TYPES[[#This Row],[TRACK_TYPE_NARROW_GAUGE_RAILTYPE_OHLE]:[TRACK_TYPE_NARROW_GAUGE_RAILTYPE_NONE]]),FALSE)</f>
        <v>0</v>
      </c>
      <c r="AG829" s="35" t="b">
        <f>IFERROR(OR(TRACK_TYPES[[#This Row],[TRACK_TYPE_BROAD_GAUGE_RAILTYPE_OHLE]:[TRACK_TYPE_BROAD_GAUGE_RAILTYPE_NONE]]),FALSE)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3287</v>
      </c>
      <c r="B830" s="37" t="str">
        <f>INDEX(CONTROL[ENGLISH],MATCH(PROPERTIES[[#This Row],[VEHIDCODE]],CONTROL[VEHIDCODE],0))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5" t="b">
        <f>IFERROR(OR(TRACK_TYPES[[#This Row],[TRACK_TYPE_STANDARD_GAUGE_RAILTYPE_OHLE]:[TRACK_TYPE_STANDARD_GAUGE_RAILTYPE_NONE]]),FALSE)</f>
        <v>0</v>
      </c>
      <c r="AF830" s="35" t="b">
        <f>IFERROR(OR(TRACK_TYPES[[#This Row],[TRACK_TYPE_NARROW_GAUGE_RAILTYPE_OHLE]:[TRACK_TYPE_NARROW_GAUGE_RAILTYPE_NONE]]),FALSE)</f>
        <v>0</v>
      </c>
      <c r="AG830" s="35" t="b">
        <f>IFERROR(OR(TRACK_TYPES[[#This Row],[TRACK_TYPE_BROAD_GAUGE_RAILTYPE_OHLE]:[TRACK_TYPE_BROAD_GAUGE_RAILTYPE_NONE]]),FALSE)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3288</v>
      </c>
      <c r="B831" s="37" t="str">
        <f>INDEX(CONTROL[ENGLISH],MATCH(PROPERTIES[[#This Row],[VEHIDCODE]],CONTROL[VEHIDCODE],0))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5" t="b">
        <f>IFERROR(OR(TRACK_TYPES[[#This Row],[TRACK_TYPE_STANDARD_GAUGE_RAILTYPE_OHLE]:[TRACK_TYPE_STANDARD_GAUGE_RAILTYPE_NONE]]),FALSE)</f>
        <v>0</v>
      </c>
      <c r="AF831" s="35" t="b">
        <f>IFERROR(OR(TRACK_TYPES[[#This Row],[TRACK_TYPE_NARROW_GAUGE_RAILTYPE_OHLE]:[TRACK_TYPE_NARROW_GAUGE_RAILTYPE_NONE]]),FALSE)</f>
        <v>0</v>
      </c>
      <c r="AG831" s="35" t="b">
        <f>IFERROR(OR(TRACK_TYPES[[#This Row],[TRACK_TYPE_BROAD_GAUGE_RAILTYPE_OHLE]:[TRACK_TYPE_BROAD_GAUGE_RAILTYPE_NONE]]),FALSE)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3289</v>
      </c>
      <c r="B832" s="37" t="str">
        <f>INDEX(CONTROL[ENGLISH],MATCH(PROPERTIES[[#This Row],[VEHIDCODE]],CONTROL[VEHIDCODE],0))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5" t="b">
        <f>IFERROR(OR(TRACK_TYPES[[#This Row],[TRACK_TYPE_STANDARD_GAUGE_RAILTYPE_OHLE]:[TRACK_TYPE_STANDARD_GAUGE_RAILTYPE_NONE]]),FALSE)</f>
        <v>1</v>
      </c>
      <c r="AF832" s="35" t="b">
        <f>IFERROR(OR(TRACK_TYPES[[#This Row],[TRACK_TYPE_NARROW_GAUGE_RAILTYPE_OHLE]:[TRACK_TYPE_NARROW_GAUGE_RAILTYPE_NONE]]),FALSE)</f>
        <v>0</v>
      </c>
      <c r="AG832" s="35" t="b">
        <f>IFERROR(OR(TRACK_TYPES[[#This Row],[TRACK_TYPE_BROAD_GAUGE_RAILTYPE_OHLE]:[TRACK_TYPE_BROAD_GAUGE_RAILTYPE_NONE]]),FALSE)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3290</v>
      </c>
      <c r="B833" s="37" t="str">
        <f>INDEX(CONTROL[ENGLISH],MATCH(PROPERTIES[[#This Row],[VEHIDCODE]],CONTROL[VEHIDCODE],0))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5" t="b">
        <f>IFERROR(OR(TRACK_TYPES[[#This Row],[TRACK_TYPE_STANDARD_GAUGE_RAILTYPE_OHLE]:[TRACK_TYPE_STANDARD_GAUGE_RAILTYPE_NONE]]),FALSE)</f>
        <v>1</v>
      </c>
      <c r="AF833" s="35" t="b">
        <f>IFERROR(OR(TRACK_TYPES[[#This Row],[TRACK_TYPE_NARROW_GAUGE_RAILTYPE_OHLE]:[TRACK_TYPE_NARROW_GAUGE_RAILTYPE_NONE]]),FALSE)</f>
        <v>0</v>
      </c>
      <c r="AG833" s="35" t="b">
        <f>IFERROR(OR(TRACK_TYPES[[#This Row],[TRACK_TYPE_BROAD_GAUGE_RAILTYPE_OHLE]:[TRACK_TYPE_BROAD_GAUGE_RAILTYPE_NONE]]),FALSE)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3291</v>
      </c>
      <c r="B834" s="37" t="str">
        <f>INDEX(CONTROL[ENGLISH],MATCH(PROPERTIES[[#This Row],[VEHIDCODE]],CONTROL[VEHIDCODE],0))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5" t="b">
        <f>IFERROR(OR(TRACK_TYPES[[#This Row],[TRACK_TYPE_STANDARD_GAUGE_RAILTYPE_OHLE]:[TRACK_TYPE_STANDARD_GAUGE_RAILTYPE_NONE]]),FALSE)</f>
        <v>1</v>
      </c>
      <c r="AF834" s="35" t="b">
        <f>IFERROR(OR(TRACK_TYPES[[#This Row],[TRACK_TYPE_NARROW_GAUGE_RAILTYPE_OHLE]:[TRACK_TYPE_NARROW_GAUGE_RAILTYPE_NONE]]),FALSE)</f>
        <v>0</v>
      </c>
      <c r="AG834" s="35" t="b">
        <f>IFERROR(OR(TRACK_TYPES[[#This Row],[TRACK_TYPE_BROAD_GAUGE_RAILTYPE_OHLE]:[TRACK_TYPE_BROAD_GAUGE_RAILTYPE_NONE]]),FALSE)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3292</v>
      </c>
      <c r="B835" s="37" t="str">
        <f>INDEX(CONTROL[ENGLISH],MATCH(PROPERTIES[[#This Row],[VEHIDCODE]],CONTROL[VEHIDCODE],0))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5" t="b">
        <f>IFERROR(OR(TRACK_TYPES[[#This Row],[TRACK_TYPE_STANDARD_GAUGE_RAILTYPE_OHLE]:[TRACK_TYPE_STANDARD_GAUGE_RAILTYPE_NONE]]),FALSE)</f>
        <v>1</v>
      </c>
      <c r="AF835" s="35" t="b">
        <f>IFERROR(OR(TRACK_TYPES[[#This Row],[TRACK_TYPE_NARROW_GAUGE_RAILTYPE_OHLE]:[TRACK_TYPE_NARROW_GAUGE_RAILTYPE_NONE]]),FALSE)</f>
        <v>1</v>
      </c>
      <c r="AG835" s="35" t="b">
        <f>IFERROR(OR(TRACK_TYPES[[#This Row],[TRACK_TYPE_BROAD_GAUGE_RAILTYPE_OHLE]:[TRACK_TYPE_BROAD_GAUGE_RAILTYPE_NONE]]),FALSE)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3293</v>
      </c>
      <c r="B836" s="37" t="str">
        <f>INDEX(CONTROL[ENGLISH],MATCH(PROPERTIES[[#This Row],[VEHIDCODE]],CONTROL[VEHIDCODE],0))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5" t="b">
        <f>IFERROR(OR(TRACK_TYPES[[#This Row],[TRACK_TYPE_STANDARD_GAUGE_RAILTYPE_OHLE]:[TRACK_TYPE_STANDARD_GAUGE_RAILTYPE_NONE]]),FALSE)</f>
        <v>1</v>
      </c>
      <c r="AF836" s="35" t="b">
        <f>IFERROR(OR(TRACK_TYPES[[#This Row],[TRACK_TYPE_NARROW_GAUGE_RAILTYPE_OHLE]:[TRACK_TYPE_NARROW_GAUGE_RAILTYPE_NONE]]),FALSE)</f>
        <v>0</v>
      </c>
      <c r="AG836" s="35" t="b">
        <f>IFERROR(OR(TRACK_TYPES[[#This Row],[TRACK_TYPE_BROAD_GAUGE_RAILTYPE_OHLE]:[TRACK_TYPE_BROAD_GAUGE_RAILTYPE_NONE]]),FALSE)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3294</v>
      </c>
      <c r="B837" s="37" t="str">
        <f>INDEX(CONTROL[ENGLISH],MATCH(PROPERTIES[[#This Row],[VEHIDCODE]],CONTROL[VEHIDCODE],0))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5" t="b">
        <f>IFERROR(OR(TRACK_TYPES[[#This Row],[TRACK_TYPE_STANDARD_GAUGE_RAILTYPE_OHLE]:[TRACK_TYPE_STANDARD_GAUGE_RAILTYPE_NONE]]),FALSE)</f>
        <v>1</v>
      </c>
      <c r="AF837" s="35" t="b">
        <f>IFERROR(OR(TRACK_TYPES[[#This Row],[TRACK_TYPE_NARROW_GAUGE_RAILTYPE_OHLE]:[TRACK_TYPE_NARROW_GAUGE_RAILTYPE_NONE]]),FALSE)</f>
        <v>0</v>
      </c>
      <c r="AG837" s="35" t="b">
        <f>IFERROR(OR(TRACK_TYPES[[#This Row],[TRACK_TYPE_BROAD_GAUGE_RAILTYPE_OHLE]:[TRACK_TYPE_BROAD_GAUGE_RAILTYPE_NONE]]),FALSE)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3295</v>
      </c>
      <c r="B838" s="37" t="str">
        <f>INDEX(CONTROL[ENGLISH],MATCH(PROPERTIES[[#This Row],[VEHIDCODE]],CONTROL[VEHIDCODE],0))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5" t="b">
        <f>IFERROR(OR(TRACK_TYPES[[#This Row],[TRACK_TYPE_STANDARD_GAUGE_RAILTYPE_OHLE]:[TRACK_TYPE_STANDARD_GAUGE_RAILTYPE_NONE]]),FALSE)</f>
        <v>1</v>
      </c>
      <c r="AF838" s="35" t="b">
        <f>IFERROR(OR(TRACK_TYPES[[#This Row],[TRACK_TYPE_NARROW_GAUGE_RAILTYPE_OHLE]:[TRACK_TYPE_NARROW_GAUGE_RAILTYPE_NONE]]),FALSE)</f>
        <v>0</v>
      </c>
      <c r="AG838" s="35" t="b">
        <f>IFERROR(OR(TRACK_TYPES[[#This Row],[TRACK_TYPE_BROAD_GAUGE_RAILTYPE_OHLE]:[TRACK_TYPE_BROAD_GAUGE_RAILTYPE_NONE]]),FALSE)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3296</v>
      </c>
      <c r="B839" s="37" t="str">
        <f>INDEX(CONTROL[ENGLISH],MATCH(PROPERTIES[[#This Row],[VEHIDCODE]],CONTROL[VEHIDCODE],0))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5" t="b">
        <f>IFERROR(OR(TRACK_TYPES[[#This Row],[TRACK_TYPE_STANDARD_GAUGE_RAILTYPE_OHLE]:[TRACK_TYPE_STANDARD_GAUGE_RAILTYPE_NONE]]),FALSE)</f>
        <v>1</v>
      </c>
      <c r="AF839" s="35" t="b">
        <f>IFERROR(OR(TRACK_TYPES[[#This Row],[TRACK_TYPE_NARROW_GAUGE_RAILTYPE_OHLE]:[TRACK_TYPE_NARROW_GAUGE_RAILTYPE_NONE]]),FALSE)</f>
        <v>0</v>
      </c>
      <c r="AG839" s="35" t="b">
        <f>IFERROR(OR(TRACK_TYPES[[#This Row],[TRACK_TYPE_BROAD_GAUGE_RAILTYPE_OHLE]:[TRACK_TYPE_BROAD_GAUGE_RAILTYPE_NONE]]),FALSE)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3297</v>
      </c>
      <c r="B840" s="37" t="str">
        <f>INDEX(CONTROL[ENGLISH],MATCH(PROPERTIES[[#This Row],[VEHIDCODE]],CONTROL[VEHIDCODE],0))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5" t="b">
        <f>IFERROR(OR(TRACK_TYPES[[#This Row],[TRACK_TYPE_STANDARD_GAUGE_RAILTYPE_OHLE]:[TRACK_TYPE_STANDARD_GAUGE_RAILTYPE_NONE]]),FALSE)</f>
        <v>1</v>
      </c>
      <c r="AF840" s="35" t="b">
        <f>IFERROR(OR(TRACK_TYPES[[#This Row],[TRACK_TYPE_NARROW_GAUGE_RAILTYPE_OHLE]:[TRACK_TYPE_NARROW_GAUGE_RAILTYPE_NONE]]),FALSE)</f>
        <v>0</v>
      </c>
      <c r="AG840" s="35" t="b">
        <f>IFERROR(OR(TRACK_TYPES[[#This Row],[TRACK_TYPE_BROAD_GAUGE_RAILTYPE_OHLE]:[TRACK_TYPE_BROAD_GAUGE_RAILTYPE_NONE]]),FALSE)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3298</v>
      </c>
      <c r="B841" s="37" t="str">
        <f>INDEX(CONTROL[ENGLISH],MATCH(PROPERTIES[[#This Row],[VEHIDCODE]],CONTROL[VEHIDCODE],0))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5" t="b">
        <f>IFERROR(OR(TRACK_TYPES[[#This Row],[TRACK_TYPE_STANDARD_GAUGE_RAILTYPE_OHLE]:[TRACK_TYPE_STANDARD_GAUGE_RAILTYPE_NONE]]),FALSE)</f>
        <v>1</v>
      </c>
      <c r="AF841" s="35" t="b">
        <f>IFERROR(OR(TRACK_TYPES[[#This Row],[TRACK_TYPE_NARROW_GAUGE_RAILTYPE_OHLE]:[TRACK_TYPE_NARROW_GAUGE_RAILTYPE_NONE]]),FALSE)</f>
        <v>0</v>
      </c>
      <c r="AG841" s="35" t="b">
        <f>IFERROR(OR(TRACK_TYPES[[#This Row],[TRACK_TYPE_BROAD_GAUGE_RAILTYPE_OHLE]:[TRACK_TYPE_BROAD_GAUGE_RAILTYPE_NONE]]),FALSE)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3299</v>
      </c>
      <c r="B842" s="37" t="str">
        <f>INDEX(CONTROL[ENGLISH],MATCH(PROPERTIES[[#This Row],[VEHIDCODE]],CONTROL[VEHIDCODE],0))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5" t="b">
        <f>IFERROR(OR(TRACK_TYPES[[#This Row],[TRACK_TYPE_STANDARD_GAUGE_RAILTYPE_OHLE]:[TRACK_TYPE_STANDARD_GAUGE_RAILTYPE_NONE]]),FALSE)</f>
        <v>0</v>
      </c>
      <c r="AF842" s="35" t="b">
        <f>IFERROR(OR(TRACK_TYPES[[#This Row],[TRACK_TYPE_NARROW_GAUGE_RAILTYPE_OHLE]:[TRACK_TYPE_NARROW_GAUGE_RAILTYPE_NONE]]),FALSE)</f>
        <v>0</v>
      </c>
      <c r="AG842" s="35" t="b">
        <f>IFERROR(OR(TRACK_TYPES[[#This Row],[TRACK_TYPE_BROAD_GAUGE_RAILTYPE_OHLE]:[TRACK_TYPE_BROAD_GAUGE_RAILTYPE_NONE]]),FALSE)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3300</v>
      </c>
      <c r="B843" s="37" t="str">
        <f>INDEX(CONTROL[ENGLISH],MATCH(PROPERTIES[[#This Row],[VEHIDCODE]],CONTROL[VEHIDCODE],0))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5" t="b">
        <f>IFERROR(OR(TRACK_TYPES[[#This Row],[TRACK_TYPE_STANDARD_GAUGE_RAILTYPE_OHLE]:[TRACK_TYPE_STANDARD_GAUGE_RAILTYPE_NONE]]),FALSE)</f>
        <v>1</v>
      </c>
      <c r="AF843" s="35" t="b">
        <f>IFERROR(OR(TRACK_TYPES[[#This Row],[TRACK_TYPE_NARROW_GAUGE_RAILTYPE_OHLE]:[TRACK_TYPE_NARROW_GAUGE_RAILTYPE_NONE]]),FALSE)</f>
        <v>0</v>
      </c>
      <c r="AG843" s="35" t="b">
        <f>IFERROR(OR(TRACK_TYPES[[#This Row],[TRACK_TYPE_BROAD_GAUGE_RAILTYPE_OHLE]:[TRACK_TYPE_BROAD_GAUGE_RAILTYPE_NONE]]),FALSE)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3301</v>
      </c>
      <c r="B844" s="37" t="str">
        <f>INDEX(CONTROL[ENGLISH],MATCH(PROPERTIES[[#This Row],[VEHIDCODE]],CONTROL[VEHIDCODE],0))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5" t="b">
        <f>IFERROR(OR(TRACK_TYPES[[#This Row],[TRACK_TYPE_STANDARD_GAUGE_RAILTYPE_OHLE]:[TRACK_TYPE_STANDARD_GAUGE_RAILTYPE_NONE]]),FALSE)</f>
        <v>0</v>
      </c>
      <c r="AF844" s="35" t="b">
        <f>IFERROR(OR(TRACK_TYPES[[#This Row],[TRACK_TYPE_NARROW_GAUGE_RAILTYPE_OHLE]:[TRACK_TYPE_NARROW_GAUGE_RAILTYPE_NONE]]),FALSE)</f>
        <v>0</v>
      </c>
      <c r="AG844" s="35" t="b">
        <f>IFERROR(OR(TRACK_TYPES[[#This Row],[TRACK_TYPE_BROAD_GAUGE_RAILTYPE_OHLE]:[TRACK_TYPE_BROAD_GAUGE_RAILTYPE_NONE]]),FALSE)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3302</v>
      </c>
      <c r="B845" s="37" t="str">
        <f>INDEX(CONTROL[ENGLISH],MATCH(PROPERTIES[[#This Row],[VEHIDCODE]],CONTROL[VEHIDCODE],0))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5" t="b">
        <f>IFERROR(OR(TRACK_TYPES[[#This Row],[TRACK_TYPE_STANDARD_GAUGE_RAILTYPE_OHLE]:[TRACK_TYPE_STANDARD_GAUGE_RAILTYPE_NONE]]),FALSE)</f>
        <v>1</v>
      </c>
      <c r="AF845" s="35" t="b">
        <f>IFERROR(OR(TRACK_TYPES[[#This Row],[TRACK_TYPE_NARROW_GAUGE_RAILTYPE_OHLE]:[TRACK_TYPE_NARROW_GAUGE_RAILTYPE_NONE]]),FALSE)</f>
        <v>0</v>
      </c>
      <c r="AG845" s="35" t="b">
        <f>IFERROR(OR(TRACK_TYPES[[#This Row],[TRACK_TYPE_BROAD_GAUGE_RAILTYPE_OHLE]:[TRACK_TYPE_BROAD_GAUGE_RAILTYPE_NONE]]),FALSE)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3303</v>
      </c>
      <c r="B846" s="37" t="str">
        <f>INDEX(CONTROL[ENGLISH],MATCH(PROPERTIES[[#This Row],[VEHIDCODE]],CONTROL[VEHIDCODE],0))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5" t="b">
        <f>IFERROR(OR(TRACK_TYPES[[#This Row],[TRACK_TYPE_STANDARD_GAUGE_RAILTYPE_OHLE]:[TRACK_TYPE_STANDARD_GAUGE_RAILTYPE_NONE]]),FALSE)</f>
        <v>1</v>
      </c>
      <c r="AF846" s="35" t="b">
        <f>IFERROR(OR(TRACK_TYPES[[#This Row],[TRACK_TYPE_NARROW_GAUGE_RAILTYPE_OHLE]:[TRACK_TYPE_NARROW_GAUGE_RAILTYPE_NONE]]),FALSE)</f>
        <v>1</v>
      </c>
      <c r="AG846" s="35" t="b">
        <f>IFERROR(OR(TRACK_TYPES[[#This Row],[TRACK_TYPE_BROAD_GAUGE_RAILTYPE_OHLE]:[TRACK_TYPE_BROAD_GAUGE_RAILTYPE_NONE]]),FALSE)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3304</v>
      </c>
      <c r="B847" s="37" t="str">
        <f>INDEX(CONTROL[ENGLISH],MATCH(PROPERTIES[[#This Row],[VEHIDCODE]],CONTROL[VEHIDCODE],0))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5" t="b">
        <f>IFERROR(OR(TRACK_TYPES[[#This Row],[TRACK_TYPE_STANDARD_GAUGE_RAILTYPE_OHLE]:[TRACK_TYPE_STANDARD_GAUGE_RAILTYPE_NONE]]),FALSE)</f>
        <v>1</v>
      </c>
      <c r="AF847" s="35" t="b">
        <f>IFERROR(OR(TRACK_TYPES[[#This Row],[TRACK_TYPE_NARROW_GAUGE_RAILTYPE_OHLE]:[TRACK_TYPE_NARROW_GAUGE_RAILTYPE_NONE]]),FALSE)</f>
        <v>1</v>
      </c>
      <c r="AG847" s="35" t="b">
        <f>IFERROR(OR(TRACK_TYPES[[#This Row],[TRACK_TYPE_BROAD_GAUGE_RAILTYPE_OHLE]:[TRACK_TYPE_BROAD_GAUGE_RAILTYPE_NONE]]),FALSE)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3305</v>
      </c>
      <c r="B848" s="37" t="str">
        <f>INDEX(CONTROL[ENGLISH],MATCH(PROPERTIES[[#This Row],[VEHIDCODE]],CONTROL[VEHIDCODE],0))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5" t="b">
        <f>IFERROR(OR(TRACK_TYPES[[#This Row],[TRACK_TYPE_STANDARD_GAUGE_RAILTYPE_OHLE]:[TRACK_TYPE_STANDARD_GAUGE_RAILTYPE_NONE]]),FALSE)</f>
        <v>1</v>
      </c>
      <c r="AF848" s="35" t="b">
        <f>IFERROR(OR(TRACK_TYPES[[#This Row],[TRACK_TYPE_NARROW_GAUGE_RAILTYPE_OHLE]:[TRACK_TYPE_NARROW_GAUGE_RAILTYPE_NONE]]),FALSE)</f>
        <v>0</v>
      </c>
      <c r="AG848" s="35" t="b">
        <f>IFERROR(OR(TRACK_TYPES[[#This Row],[TRACK_TYPE_BROAD_GAUGE_RAILTYPE_OHLE]:[TRACK_TYPE_BROAD_GAUGE_RAILTYPE_NONE]]),FALSE)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3449</v>
      </c>
      <c r="B849" s="37" t="str">
        <f>INDEX(CONTROL[ENGLISH],MATCH(PROPERTIES[[#This Row],[VEHIDCODE]],CONTROL[VEHIDCODE],0))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5" t="b">
        <f>IFERROR(OR(TRACK_TYPES[[#This Row],[TRACK_TYPE_STANDARD_GAUGE_RAILTYPE_OHLE]:[TRACK_TYPE_STANDARD_GAUGE_RAILTYPE_NONE]]),FALSE)</f>
        <v>0</v>
      </c>
      <c r="AF849" s="35" t="b">
        <f>IFERROR(OR(TRACK_TYPES[[#This Row],[TRACK_TYPE_NARROW_GAUGE_RAILTYPE_OHLE]:[TRACK_TYPE_NARROW_GAUGE_RAILTYPE_NONE]]),FALSE)</f>
        <v>0</v>
      </c>
      <c r="AG849" s="35" t="b">
        <f>IFERROR(OR(TRACK_TYPES[[#This Row],[TRACK_TYPE_BROAD_GAUGE_RAILTYPE_OHLE]:[TRACK_TYPE_BROAD_GAUGE_RAILTYPE_NONE]]),FALSE)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3306</v>
      </c>
      <c r="B850" s="37" t="str">
        <f>INDEX(CONTROL[ENGLISH],MATCH(PROPERTIES[[#This Row],[VEHIDCODE]],CONTROL[VEHIDCODE],0))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5" t="b">
        <f>IFERROR(OR(TRACK_TYPES[[#This Row],[TRACK_TYPE_STANDARD_GAUGE_RAILTYPE_OHLE]:[TRACK_TYPE_STANDARD_GAUGE_RAILTYPE_NONE]]),FALSE)</f>
        <v>1</v>
      </c>
      <c r="AF850" s="35" t="b">
        <f>IFERROR(OR(TRACK_TYPES[[#This Row],[TRACK_TYPE_NARROW_GAUGE_RAILTYPE_OHLE]:[TRACK_TYPE_NARROW_GAUGE_RAILTYPE_NONE]]),FALSE)</f>
        <v>0</v>
      </c>
      <c r="AG850" s="35" t="b">
        <f>IFERROR(OR(TRACK_TYPES[[#This Row],[TRACK_TYPE_BROAD_GAUGE_RAILTYPE_OHLE]:[TRACK_TYPE_BROAD_GAUGE_RAILTYPE_NONE]]),FALSE)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3307</v>
      </c>
      <c r="B851" s="37" t="str">
        <f>INDEX(CONTROL[ENGLISH],MATCH(PROPERTIES[[#This Row],[VEHIDCODE]],CONTROL[VEHIDCODE],0))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5" t="b">
        <f>IFERROR(OR(TRACK_TYPES[[#This Row],[TRACK_TYPE_STANDARD_GAUGE_RAILTYPE_OHLE]:[TRACK_TYPE_STANDARD_GAUGE_RAILTYPE_NONE]]),FALSE)</f>
        <v>1</v>
      </c>
      <c r="AF851" s="35" t="b">
        <f>IFERROR(OR(TRACK_TYPES[[#This Row],[TRACK_TYPE_NARROW_GAUGE_RAILTYPE_OHLE]:[TRACK_TYPE_NARROW_GAUGE_RAILTYPE_NONE]]),FALSE)</f>
        <v>0</v>
      </c>
      <c r="AG851" s="35" t="b">
        <f>IFERROR(OR(TRACK_TYPES[[#This Row],[TRACK_TYPE_BROAD_GAUGE_RAILTYPE_OHLE]:[TRACK_TYPE_BROAD_GAUGE_RAILTYPE_NONE]]),FALSE)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3308</v>
      </c>
      <c r="B852" s="37" t="str">
        <f>INDEX(CONTROL[ENGLISH],MATCH(PROPERTIES[[#This Row],[VEHIDCODE]],CONTROL[VEHIDCODE],0))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5" t="b">
        <f>IFERROR(OR(TRACK_TYPES[[#This Row],[TRACK_TYPE_STANDARD_GAUGE_RAILTYPE_OHLE]:[TRACK_TYPE_STANDARD_GAUGE_RAILTYPE_NONE]]),FALSE)</f>
        <v>1</v>
      </c>
      <c r="AF852" s="35" t="b">
        <f>IFERROR(OR(TRACK_TYPES[[#This Row],[TRACK_TYPE_NARROW_GAUGE_RAILTYPE_OHLE]:[TRACK_TYPE_NARROW_GAUGE_RAILTYPE_NONE]]),FALSE)</f>
        <v>0</v>
      </c>
      <c r="AG852" s="35" t="b">
        <f>IFERROR(OR(TRACK_TYPES[[#This Row],[TRACK_TYPE_BROAD_GAUGE_RAILTYPE_OHLE]:[TRACK_TYPE_BROAD_GAUGE_RAILTYPE_NONE]]),FALSE)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3309</v>
      </c>
      <c r="B853" s="37" t="str">
        <f>INDEX(CONTROL[ENGLISH],MATCH(PROPERTIES[[#This Row],[VEHIDCODE]],CONTROL[VEHIDCODE],0))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5" t="b">
        <f>IFERROR(OR(TRACK_TYPES[[#This Row],[TRACK_TYPE_STANDARD_GAUGE_RAILTYPE_OHLE]:[TRACK_TYPE_STANDARD_GAUGE_RAILTYPE_NONE]]),FALSE)</f>
        <v>1</v>
      </c>
      <c r="AF853" s="35" t="b">
        <f>IFERROR(OR(TRACK_TYPES[[#This Row],[TRACK_TYPE_NARROW_GAUGE_RAILTYPE_OHLE]:[TRACK_TYPE_NARROW_GAUGE_RAILTYPE_NONE]]),FALSE)</f>
        <v>0</v>
      </c>
      <c r="AG853" s="35" t="b">
        <f>IFERROR(OR(TRACK_TYPES[[#This Row],[TRACK_TYPE_BROAD_GAUGE_RAILTYPE_OHLE]:[TRACK_TYPE_BROAD_GAUGE_RAILTYPE_NONE]]),FALSE)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3310</v>
      </c>
      <c r="B854" s="37" t="str">
        <f>INDEX(CONTROL[ENGLISH],MATCH(PROPERTIES[[#This Row],[VEHIDCODE]],CONTROL[VEHIDCODE],0))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5" t="b">
        <f>IFERROR(OR(TRACK_TYPES[[#This Row],[TRACK_TYPE_STANDARD_GAUGE_RAILTYPE_OHLE]:[TRACK_TYPE_STANDARD_GAUGE_RAILTYPE_NONE]]),FALSE)</f>
        <v>1</v>
      </c>
      <c r="AF854" s="35" t="b">
        <f>IFERROR(OR(TRACK_TYPES[[#This Row],[TRACK_TYPE_NARROW_GAUGE_RAILTYPE_OHLE]:[TRACK_TYPE_NARROW_GAUGE_RAILTYPE_NONE]]),FALSE)</f>
        <v>0</v>
      </c>
      <c r="AG854" s="35" t="b">
        <f>IFERROR(OR(TRACK_TYPES[[#This Row],[TRACK_TYPE_BROAD_GAUGE_RAILTYPE_OHLE]:[TRACK_TYPE_BROAD_GAUGE_RAILTYPE_NONE]]),FALSE)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3311</v>
      </c>
      <c r="B855" s="37" t="str">
        <f>INDEX(CONTROL[ENGLISH],MATCH(PROPERTIES[[#This Row],[VEHIDCODE]],CONTROL[VEHIDCODE],0))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5" t="b">
        <f>IFERROR(OR(TRACK_TYPES[[#This Row],[TRACK_TYPE_STANDARD_GAUGE_RAILTYPE_OHLE]:[TRACK_TYPE_STANDARD_GAUGE_RAILTYPE_NONE]]),FALSE)</f>
        <v>1</v>
      </c>
      <c r="AF855" s="35" t="b">
        <f>IFERROR(OR(TRACK_TYPES[[#This Row],[TRACK_TYPE_NARROW_GAUGE_RAILTYPE_OHLE]:[TRACK_TYPE_NARROW_GAUGE_RAILTYPE_NONE]]),FALSE)</f>
        <v>0</v>
      </c>
      <c r="AG855" s="35" t="b">
        <f>IFERROR(OR(TRACK_TYPES[[#This Row],[TRACK_TYPE_BROAD_GAUGE_RAILTYPE_OHLE]:[TRACK_TYPE_BROAD_GAUGE_RAILTYPE_NONE]]),FALSE)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3312</v>
      </c>
      <c r="B856" s="37" t="str">
        <f>INDEX(CONTROL[ENGLISH],MATCH(PROPERTIES[[#This Row],[VEHIDCODE]],CONTROL[VEHIDCODE],0))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5" t="b">
        <f>IFERROR(OR(TRACK_TYPES[[#This Row],[TRACK_TYPE_STANDARD_GAUGE_RAILTYPE_OHLE]:[TRACK_TYPE_STANDARD_GAUGE_RAILTYPE_NONE]]),FALSE)</f>
        <v>1</v>
      </c>
      <c r="AF856" s="35" t="b">
        <f>IFERROR(OR(TRACK_TYPES[[#This Row],[TRACK_TYPE_NARROW_GAUGE_RAILTYPE_OHLE]:[TRACK_TYPE_NARROW_GAUGE_RAILTYPE_NONE]]),FALSE)</f>
        <v>0</v>
      </c>
      <c r="AG856" s="35" t="b">
        <f>IFERROR(OR(TRACK_TYPES[[#This Row],[TRACK_TYPE_BROAD_GAUGE_RAILTYPE_OHLE]:[TRACK_TYPE_BROAD_GAUGE_RAILTYPE_NONE]]),FALSE)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3444</v>
      </c>
      <c r="B857" s="37" t="str">
        <f>INDEX(CONTROL[ENGLISH],MATCH(PROPERTIES[[#This Row],[VEHIDCODE]],CONTROL[VEHIDCODE],0))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5" t="b">
        <f>IFERROR(OR(TRACK_TYPES[[#This Row],[TRACK_TYPE_STANDARD_GAUGE_RAILTYPE_OHLE]:[TRACK_TYPE_STANDARD_GAUGE_RAILTYPE_NONE]]),FALSE)</f>
        <v>1</v>
      </c>
      <c r="AF857" s="35" t="b">
        <f>IFERROR(OR(TRACK_TYPES[[#This Row],[TRACK_TYPE_NARROW_GAUGE_RAILTYPE_OHLE]:[TRACK_TYPE_NARROW_GAUGE_RAILTYPE_NONE]]),FALSE)</f>
        <v>0</v>
      </c>
      <c r="AG857" s="35" t="b">
        <f>IFERROR(OR(TRACK_TYPES[[#This Row],[TRACK_TYPE_BROAD_GAUGE_RAILTYPE_OHLE]:[TRACK_TYPE_BROAD_GAUGE_RAILTYPE_NONE]]),FALSE)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3445</v>
      </c>
      <c r="B858" s="37" t="str">
        <f>INDEX(CONTROL[ENGLISH],MATCH(PROPERTIES[[#This Row],[VEHIDCODE]],CONTROL[VEHIDCODE],0))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5" t="b">
        <f>IFERROR(OR(TRACK_TYPES[[#This Row],[TRACK_TYPE_STANDARD_GAUGE_RAILTYPE_OHLE]:[TRACK_TYPE_STANDARD_GAUGE_RAILTYPE_NONE]]),FALSE)</f>
        <v>1</v>
      </c>
      <c r="AF858" s="35" t="b">
        <f>IFERROR(OR(TRACK_TYPES[[#This Row],[TRACK_TYPE_NARROW_GAUGE_RAILTYPE_OHLE]:[TRACK_TYPE_NARROW_GAUGE_RAILTYPE_NONE]]),FALSE)</f>
        <v>0</v>
      </c>
      <c r="AG858" s="35" t="b">
        <f>IFERROR(OR(TRACK_TYPES[[#This Row],[TRACK_TYPE_BROAD_GAUGE_RAILTYPE_OHLE]:[TRACK_TYPE_BROAD_GAUGE_RAILTYPE_NONE]]),FALSE)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3468</v>
      </c>
      <c r="B859" s="37" t="str">
        <f>INDEX(CONTROL[ENGLISH],MATCH(PROPERTIES[[#This Row],[VEHIDCODE]],CONTROL[VEHIDCODE],0))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5" t="b">
        <f>IFERROR(OR(TRACK_TYPES[[#This Row],[TRACK_TYPE_STANDARD_GAUGE_RAILTYPE_OHLE]:[TRACK_TYPE_STANDARD_GAUGE_RAILTYPE_NONE]]),FALSE)</f>
        <v>1</v>
      </c>
      <c r="AF859" s="35" t="b">
        <f>IFERROR(OR(TRACK_TYPES[[#This Row],[TRACK_TYPE_NARROW_GAUGE_RAILTYPE_OHLE]:[TRACK_TYPE_NARROW_GAUGE_RAILTYPE_NONE]]),FALSE)</f>
        <v>0</v>
      </c>
      <c r="AG859" s="35" t="b">
        <f>IFERROR(OR(TRACK_TYPES[[#This Row],[TRACK_TYPE_BROAD_GAUGE_RAILTYPE_OHLE]:[TRACK_TYPE_BROAD_GAUGE_RAILTYPE_NONE]]),FALSE)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3450</v>
      </c>
      <c r="B860" s="37" t="str">
        <f>INDEX(CONTROL[ENGLISH],MATCH(PROPERTIES[[#This Row],[VEHIDCODE]],CONTROL[VEHIDCODE],0))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5" t="b">
        <f>IFERROR(OR(TRACK_TYPES[[#This Row],[TRACK_TYPE_STANDARD_GAUGE_RAILTYPE_OHLE]:[TRACK_TYPE_STANDARD_GAUGE_RAILTYPE_NONE]]),FALSE)</f>
        <v>0</v>
      </c>
      <c r="AF860" s="35" t="b">
        <f>IFERROR(OR(TRACK_TYPES[[#This Row],[TRACK_TYPE_NARROW_GAUGE_RAILTYPE_OHLE]:[TRACK_TYPE_NARROW_GAUGE_RAILTYPE_NONE]]),FALSE)</f>
        <v>1</v>
      </c>
      <c r="AG860" s="35" t="b">
        <f>IFERROR(OR(TRACK_TYPES[[#This Row],[TRACK_TYPE_BROAD_GAUGE_RAILTYPE_OHLE]:[TRACK_TYPE_BROAD_GAUGE_RAILTYPE_NONE]]),FALSE)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3313</v>
      </c>
      <c r="B861" s="37" t="str">
        <f>INDEX(CONTROL[ENGLISH],MATCH(PROPERTIES[[#This Row],[VEHIDCODE]],CONTROL[VEHIDCODE],0))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5" t="b">
        <f>IFERROR(OR(TRACK_TYPES[[#This Row],[TRACK_TYPE_STANDARD_GAUGE_RAILTYPE_OHLE]:[TRACK_TYPE_STANDARD_GAUGE_RAILTYPE_NONE]]),FALSE)</f>
        <v>1</v>
      </c>
      <c r="AF861" s="35" t="b">
        <f>IFERROR(OR(TRACK_TYPES[[#This Row],[TRACK_TYPE_NARROW_GAUGE_RAILTYPE_OHLE]:[TRACK_TYPE_NARROW_GAUGE_RAILTYPE_NONE]]),FALSE)</f>
        <v>0</v>
      </c>
      <c r="AG861" s="35" t="b">
        <f>IFERROR(OR(TRACK_TYPES[[#This Row],[TRACK_TYPE_BROAD_GAUGE_RAILTYPE_OHLE]:[TRACK_TYPE_BROAD_GAUGE_RAILTYPE_NONE]]),FALSE)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3451</v>
      </c>
      <c r="B862" s="37" t="str">
        <f>INDEX(CONTROL[ENGLISH],MATCH(PROPERTIES[[#This Row],[VEHIDCODE]],CONTROL[VEHIDCODE],0))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5" t="b">
        <f>IFERROR(OR(TRACK_TYPES[[#This Row],[TRACK_TYPE_STANDARD_GAUGE_RAILTYPE_OHLE]:[TRACK_TYPE_STANDARD_GAUGE_RAILTYPE_NONE]]),FALSE)</f>
        <v>1</v>
      </c>
      <c r="AF862" s="35" t="b">
        <f>IFERROR(OR(TRACK_TYPES[[#This Row],[TRACK_TYPE_NARROW_GAUGE_RAILTYPE_OHLE]:[TRACK_TYPE_NARROW_GAUGE_RAILTYPE_NONE]]),FALSE)</f>
        <v>0</v>
      </c>
      <c r="AG862" s="35" t="b">
        <f>IFERROR(OR(TRACK_TYPES[[#This Row],[TRACK_TYPE_BROAD_GAUGE_RAILTYPE_OHLE]:[TRACK_TYPE_BROAD_GAUGE_RAILTYPE_NONE]]),FALSE)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3314</v>
      </c>
      <c r="B863" s="37" t="str">
        <f>INDEX(CONTROL[ENGLISH],MATCH(PROPERTIES[[#This Row],[VEHIDCODE]],CONTROL[VEHIDCODE],0))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5" t="b">
        <f>IFERROR(OR(TRACK_TYPES[[#This Row],[TRACK_TYPE_STANDARD_GAUGE_RAILTYPE_OHLE]:[TRACK_TYPE_STANDARD_GAUGE_RAILTYPE_NONE]]),FALSE)</f>
        <v>1</v>
      </c>
      <c r="AF863" s="35" t="b">
        <f>IFERROR(OR(TRACK_TYPES[[#This Row],[TRACK_TYPE_NARROW_GAUGE_RAILTYPE_OHLE]:[TRACK_TYPE_NARROW_GAUGE_RAILTYPE_NONE]]),FALSE)</f>
        <v>0</v>
      </c>
      <c r="AG863" s="35" t="b">
        <f>IFERROR(OR(TRACK_TYPES[[#This Row],[TRACK_TYPE_BROAD_GAUGE_RAILTYPE_OHLE]:[TRACK_TYPE_BROAD_GAUGE_RAILTYPE_NONE]]),FALSE)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3315</v>
      </c>
      <c r="B864" s="37" t="str">
        <f>INDEX(CONTROL[ENGLISH],MATCH(PROPERTIES[[#This Row],[VEHIDCODE]],CONTROL[VEHIDCODE],0))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5" t="b">
        <f>IFERROR(OR(TRACK_TYPES[[#This Row],[TRACK_TYPE_STANDARD_GAUGE_RAILTYPE_OHLE]:[TRACK_TYPE_STANDARD_GAUGE_RAILTYPE_NONE]]),FALSE)</f>
        <v>1</v>
      </c>
      <c r="AF864" s="35" t="b">
        <f>IFERROR(OR(TRACK_TYPES[[#This Row],[TRACK_TYPE_NARROW_GAUGE_RAILTYPE_OHLE]:[TRACK_TYPE_NARROW_GAUGE_RAILTYPE_NONE]]),FALSE)</f>
        <v>0</v>
      </c>
      <c r="AG864" s="35" t="b">
        <f>IFERROR(OR(TRACK_TYPES[[#This Row],[TRACK_TYPE_BROAD_GAUGE_RAILTYPE_OHLE]:[TRACK_TYPE_BROAD_GAUGE_RAILTYPE_NONE]]),FALSE)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3316</v>
      </c>
      <c r="B865" s="37" t="str">
        <f>INDEX(CONTROL[ENGLISH],MATCH(PROPERTIES[[#This Row],[VEHIDCODE]],CONTROL[VEHIDCODE],0))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5" t="b">
        <f>IFERROR(OR(TRACK_TYPES[[#This Row],[TRACK_TYPE_STANDARD_GAUGE_RAILTYPE_OHLE]:[TRACK_TYPE_STANDARD_GAUGE_RAILTYPE_NONE]]),FALSE)</f>
        <v>1</v>
      </c>
      <c r="AF865" s="35" t="b">
        <f>IFERROR(OR(TRACK_TYPES[[#This Row],[TRACK_TYPE_NARROW_GAUGE_RAILTYPE_OHLE]:[TRACK_TYPE_NARROW_GAUGE_RAILTYPE_NONE]]),FALSE)</f>
        <v>0</v>
      </c>
      <c r="AG865" s="35" t="b">
        <f>IFERROR(OR(TRACK_TYPES[[#This Row],[TRACK_TYPE_BROAD_GAUGE_RAILTYPE_OHLE]:[TRACK_TYPE_BROAD_GAUGE_RAILTYPE_NONE]]),FALSE)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3317</v>
      </c>
      <c r="B866" s="37" t="str">
        <f>INDEX(CONTROL[ENGLISH],MATCH(PROPERTIES[[#This Row],[VEHIDCODE]],CONTROL[VEHIDCODE],0))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5" t="b">
        <f>IFERROR(OR(TRACK_TYPES[[#This Row],[TRACK_TYPE_STANDARD_GAUGE_RAILTYPE_OHLE]:[TRACK_TYPE_STANDARD_GAUGE_RAILTYPE_NONE]]),FALSE)</f>
        <v>1</v>
      </c>
      <c r="AF866" s="35" t="b">
        <f>IFERROR(OR(TRACK_TYPES[[#This Row],[TRACK_TYPE_NARROW_GAUGE_RAILTYPE_OHLE]:[TRACK_TYPE_NARROW_GAUGE_RAILTYPE_NONE]]),FALSE)</f>
        <v>0</v>
      </c>
      <c r="AG866" s="35" t="b">
        <f>IFERROR(OR(TRACK_TYPES[[#This Row],[TRACK_TYPE_BROAD_GAUGE_RAILTYPE_OHLE]:[TRACK_TYPE_BROAD_GAUGE_RAILTYPE_NONE]]),FALSE)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3318</v>
      </c>
      <c r="B867" s="37" t="str">
        <f>INDEX(CONTROL[ENGLISH],MATCH(PROPERTIES[[#This Row],[VEHIDCODE]],CONTROL[VEHIDCODE],0))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5" t="b">
        <f>IFERROR(OR(TRACK_TYPES[[#This Row],[TRACK_TYPE_STANDARD_GAUGE_RAILTYPE_OHLE]:[TRACK_TYPE_STANDARD_GAUGE_RAILTYPE_NONE]]),FALSE)</f>
        <v>1</v>
      </c>
      <c r="AF867" s="35" t="b">
        <f>IFERROR(OR(TRACK_TYPES[[#This Row],[TRACK_TYPE_NARROW_GAUGE_RAILTYPE_OHLE]:[TRACK_TYPE_NARROW_GAUGE_RAILTYPE_NONE]]),FALSE)</f>
        <v>0</v>
      </c>
      <c r="AG867" s="35" t="b">
        <f>IFERROR(OR(TRACK_TYPES[[#This Row],[TRACK_TYPE_BROAD_GAUGE_RAILTYPE_OHLE]:[TRACK_TYPE_BROAD_GAUGE_RAILTYPE_NONE]]),FALSE)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3319</v>
      </c>
      <c r="B868" s="37" t="str">
        <f>INDEX(CONTROL[ENGLISH],MATCH(PROPERTIES[[#This Row],[VEHIDCODE]],CONTROL[VEHIDCODE],0))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5" t="b">
        <f>IFERROR(OR(TRACK_TYPES[[#This Row],[TRACK_TYPE_STANDARD_GAUGE_RAILTYPE_OHLE]:[TRACK_TYPE_STANDARD_GAUGE_RAILTYPE_NONE]]),FALSE)</f>
        <v>1</v>
      </c>
      <c r="AF868" s="35" t="b">
        <f>IFERROR(OR(TRACK_TYPES[[#This Row],[TRACK_TYPE_NARROW_GAUGE_RAILTYPE_OHLE]:[TRACK_TYPE_NARROW_GAUGE_RAILTYPE_NONE]]),FALSE)</f>
        <v>0</v>
      </c>
      <c r="AG868" s="35" t="b">
        <f>IFERROR(OR(TRACK_TYPES[[#This Row],[TRACK_TYPE_BROAD_GAUGE_RAILTYPE_OHLE]:[TRACK_TYPE_BROAD_GAUGE_RAILTYPE_NONE]]),FALSE)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3320</v>
      </c>
      <c r="B869" s="37" t="str">
        <f>INDEX(CONTROL[ENGLISH],MATCH(PROPERTIES[[#This Row],[VEHIDCODE]],CONTROL[VEHIDCODE],0))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5" t="b">
        <f>IFERROR(OR(TRACK_TYPES[[#This Row],[TRACK_TYPE_STANDARD_GAUGE_RAILTYPE_OHLE]:[TRACK_TYPE_STANDARD_GAUGE_RAILTYPE_NONE]]),FALSE)</f>
        <v>1</v>
      </c>
      <c r="AF869" s="35" t="b">
        <f>IFERROR(OR(TRACK_TYPES[[#This Row],[TRACK_TYPE_NARROW_GAUGE_RAILTYPE_OHLE]:[TRACK_TYPE_NARROW_GAUGE_RAILTYPE_NONE]]),FALSE)</f>
        <v>0</v>
      </c>
      <c r="AG869" s="35" t="b">
        <f>IFERROR(OR(TRACK_TYPES[[#This Row],[TRACK_TYPE_BROAD_GAUGE_RAILTYPE_OHLE]:[TRACK_TYPE_BROAD_GAUGE_RAILTYPE_NONE]]),FALSE)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3321</v>
      </c>
      <c r="B870" s="37" t="str">
        <f>INDEX(CONTROL[ENGLISH],MATCH(PROPERTIES[[#This Row],[VEHIDCODE]],CONTROL[VEHIDCODE],0))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5" t="b">
        <f>IFERROR(OR(TRACK_TYPES[[#This Row],[TRACK_TYPE_STANDARD_GAUGE_RAILTYPE_OHLE]:[TRACK_TYPE_STANDARD_GAUGE_RAILTYPE_NONE]]),FALSE)</f>
        <v>1</v>
      </c>
      <c r="AF870" s="35" t="b">
        <f>IFERROR(OR(TRACK_TYPES[[#This Row],[TRACK_TYPE_NARROW_GAUGE_RAILTYPE_OHLE]:[TRACK_TYPE_NARROW_GAUGE_RAILTYPE_NONE]]),FALSE)</f>
        <v>0</v>
      </c>
      <c r="AG870" s="35" t="b">
        <f>IFERROR(OR(TRACK_TYPES[[#This Row],[TRACK_TYPE_BROAD_GAUGE_RAILTYPE_OHLE]:[TRACK_TYPE_BROAD_GAUGE_RAILTYPE_NONE]]),FALSE)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3452</v>
      </c>
      <c r="B871" s="37" t="str">
        <f>INDEX(CONTROL[ENGLISH],MATCH(PROPERTIES[[#This Row],[VEHIDCODE]],CONTROL[VEHIDCODE],0))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5" t="b">
        <f>IFERROR(OR(TRACK_TYPES[[#This Row],[TRACK_TYPE_STANDARD_GAUGE_RAILTYPE_OHLE]:[TRACK_TYPE_STANDARD_GAUGE_RAILTYPE_NONE]]),FALSE)</f>
        <v>0</v>
      </c>
      <c r="AF871" s="35" t="b">
        <f>IFERROR(OR(TRACK_TYPES[[#This Row],[TRACK_TYPE_NARROW_GAUGE_RAILTYPE_OHLE]:[TRACK_TYPE_NARROW_GAUGE_RAILTYPE_NONE]]),FALSE)</f>
        <v>1</v>
      </c>
      <c r="AG871" s="35" t="b">
        <f>IFERROR(OR(TRACK_TYPES[[#This Row],[TRACK_TYPE_BROAD_GAUGE_RAILTYPE_OHLE]:[TRACK_TYPE_BROAD_GAUGE_RAILTYPE_NONE]]),FALSE)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3322</v>
      </c>
      <c r="B872" s="37" t="str">
        <f>INDEX(CONTROL[ENGLISH],MATCH(PROPERTIES[[#This Row],[VEHIDCODE]],CONTROL[VEHIDCODE],0))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5" t="b">
        <f>IFERROR(OR(TRACK_TYPES[[#This Row],[TRACK_TYPE_STANDARD_GAUGE_RAILTYPE_OHLE]:[TRACK_TYPE_STANDARD_GAUGE_RAILTYPE_NONE]]),FALSE)</f>
        <v>0</v>
      </c>
      <c r="AF872" s="35" t="b">
        <f>IFERROR(OR(TRACK_TYPES[[#This Row],[TRACK_TYPE_NARROW_GAUGE_RAILTYPE_OHLE]:[TRACK_TYPE_NARROW_GAUGE_RAILTYPE_NONE]]),FALSE)</f>
        <v>1</v>
      </c>
      <c r="AG872" s="35" t="b">
        <f>IFERROR(OR(TRACK_TYPES[[#This Row],[TRACK_TYPE_BROAD_GAUGE_RAILTYPE_OHLE]:[TRACK_TYPE_BROAD_GAUGE_RAILTYPE_NONE]]),FALSE)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3323</v>
      </c>
      <c r="B873" s="37" t="str">
        <f>INDEX(CONTROL[ENGLISH],MATCH(PROPERTIES[[#This Row],[VEHIDCODE]],CONTROL[VEHIDCODE],0))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5" t="b">
        <f>IFERROR(OR(TRACK_TYPES[[#This Row],[TRACK_TYPE_STANDARD_GAUGE_RAILTYPE_OHLE]:[TRACK_TYPE_STANDARD_GAUGE_RAILTYPE_NONE]]),FALSE)</f>
        <v>0</v>
      </c>
      <c r="AF873" s="35" t="b">
        <f>IFERROR(OR(TRACK_TYPES[[#This Row],[TRACK_TYPE_NARROW_GAUGE_RAILTYPE_OHLE]:[TRACK_TYPE_NARROW_GAUGE_RAILTYPE_NONE]]),FALSE)</f>
        <v>1</v>
      </c>
      <c r="AG873" s="35" t="b">
        <f>IFERROR(OR(TRACK_TYPES[[#This Row],[TRACK_TYPE_BROAD_GAUGE_RAILTYPE_OHLE]:[TRACK_TYPE_BROAD_GAUGE_RAILTYPE_NONE]]),FALSE)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3324</v>
      </c>
      <c r="B874" s="37" t="str">
        <f>INDEX(CONTROL[ENGLISH],MATCH(PROPERTIES[[#This Row],[VEHIDCODE]],CONTROL[VEHIDCODE],0))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5" t="b">
        <f>IFERROR(OR(TRACK_TYPES[[#This Row],[TRACK_TYPE_STANDARD_GAUGE_RAILTYPE_OHLE]:[TRACK_TYPE_STANDARD_GAUGE_RAILTYPE_NONE]]),FALSE)</f>
        <v>1</v>
      </c>
      <c r="AF874" s="35" t="b">
        <f>IFERROR(OR(TRACK_TYPES[[#This Row],[TRACK_TYPE_NARROW_GAUGE_RAILTYPE_OHLE]:[TRACK_TYPE_NARROW_GAUGE_RAILTYPE_NONE]]),FALSE)</f>
        <v>1</v>
      </c>
      <c r="AG874" s="35" t="b">
        <f>IFERROR(OR(TRACK_TYPES[[#This Row],[TRACK_TYPE_BROAD_GAUGE_RAILTYPE_OHLE]:[TRACK_TYPE_BROAD_GAUGE_RAILTYPE_NONE]]),FALSE)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3325</v>
      </c>
      <c r="B875" s="37" t="str">
        <f>INDEX(CONTROL[ENGLISH],MATCH(PROPERTIES[[#This Row],[VEHIDCODE]],CONTROL[VEHIDCODE],0))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5" t="b">
        <f>IFERROR(OR(TRACK_TYPES[[#This Row],[TRACK_TYPE_STANDARD_GAUGE_RAILTYPE_OHLE]:[TRACK_TYPE_STANDARD_GAUGE_RAILTYPE_NONE]]),FALSE)</f>
        <v>1</v>
      </c>
      <c r="AF875" s="35" t="b">
        <f>IFERROR(OR(TRACK_TYPES[[#This Row],[TRACK_TYPE_NARROW_GAUGE_RAILTYPE_OHLE]:[TRACK_TYPE_NARROW_GAUGE_RAILTYPE_NONE]]),FALSE)</f>
        <v>0</v>
      </c>
      <c r="AG875" s="35" t="b">
        <f>IFERROR(OR(TRACK_TYPES[[#This Row],[TRACK_TYPE_BROAD_GAUGE_RAILTYPE_OHLE]:[TRACK_TYPE_BROAD_GAUGE_RAILTYPE_NONE]]),FALSE)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3326</v>
      </c>
      <c r="B876" s="37" t="str">
        <f>INDEX(CONTROL[ENGLISH],MATCH(PROPERTIES[[#This Row],[VEHIDCODE]],CONTROL[VEHIDCODE],0))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5" t="b">
        <f>IFERROR(OR(TRACK_TYPES[[#This Row],[TRACK_TYPE_STANDARD_GAUGE_RAILTYPE_OHLE]:[TRACK_TYPE_STANDARD_GAUGE_RAILTYPE_NONE]]),FALSE)</f>
        <v>1</v>
      </c>
      <c r="AF876" s="35" t="b">
        <f>IFERROR(OR(TRACK_TYPES[[#This Row],[TRACK_TYPE_NARROW_GAUGE_RAILTYPE_OHLE]:[TRACK_TYPE_NARROW_GAUGE_RAILTYPE_NONE]]),FALSE)</f>
        <v>0</v>
      </c>
      <c r="AG876" s="35" t="b">
        <f>IFERROR(OR(TRACK_TYPES[[#This Row],[TRACK_TYPE_BROAD_GAUGE_RAILTYPE_OHLE]:[TRACK_TYPE_BROAD_GAUGE_RAILTYPE_NONE]]),FALSE)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3327</v>
      </c>
      <c r="B877" s="37" t="str">
        <f>INDEX(CONTROL[ENGLISH],MATCH(PROPERTIES[[#This Row],[VEHIDCODE]],CONTROL[VEHIDCODE],0))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5" t="b">
        <f>IFERROR(OR(TRACK_TYPES[[#This Row],[TRACK_TYPE_STANDARD_GAUGE_RAILTYPE_OHLE]:[TRACK_TYPE_STANDARD_GAUGE_RAILTYPE_NONE]]),FALSE)</f>
        <v>1</v>
      </c>
      <c r="AF877" s="35" t="b">
        <f>IFERROR(OR(TRACK_TYPES[[#This Row],[TRACK_TYPE_NARROW_GAUGE_RAILTYPE_OHLE]:[TRACK_TYPE_NARROW_GAUGE_RAILTYPE_NONE]]),FALSE)</f>
        <v>0</v>
      </c>
      <c r="AG877" s="35" t="b">
        <f>IFERROR(OR(TRACK_TYPES[[#This Row],[TRACK_TYPE_BROAD_GAUGE_RAILTYPE_OHLE]:[TRACK_TYPE_BROAD_GAUGE_RAILTYPE_NONE]]),FALSE)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3328</v>
      </c>
      <c r="B878" s="37" t="str">
        <f>INDEX(CONTROL[ENGLISH],MATCH(PROPERTIES[[#This Row],[VEHIDCODE]],CONTROL[VEHIDCODE],0))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5" t="b">
        <f>IFERROR(OR(TRACK_TYPES[[#This Row],[TRACK_TYPE_STANDARD_GAUGE_RAILTYPE_OHLE]:[TRACK_TYPE_STANDARD_GAUGE_RAILTYPE_NONE]]),FALSE)</f>
        <v>0</v>
      </c>
      <c r="AF878" s="35" t="b">
        <f>IFERROR(OR(TRACK_TYPES[[#This Row],[TRACK_TYPE_NARROW_GAUGE_RAILTYPE_OHLE]:[TRACK_TYPE_NARROW_GAUGE_RAILTYPE_NONE]]),FALSE)</f>
        <v>1</v>
      </c>
      <c r="AG878" s="35" t="b">
        <f>IFERROR(OR(TRACK_TYPES[[#This Row],[TRACK_TYPE_BROAD_GAUGE_RAILTYPE_OHLE]:[TRACK_TYPE_BROAD_GAUGE_RAILTYPE_NONE]]),FALSE)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3329</v>
      </c>
      <c r="B879" s="37" t="str">
        <f>INDEX(CONTROL[ENGLISH],MATCH(PROPERTIES[[#This Row],[VEHIDCODE]],CONTROL[VEHIDCODE],0))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5" t="b">
        <f>IFERROR(OR(TRACK_TYPES[[#This Row],[TRACK_TYPE_STANDARD_GAUGE_RAILTYPE_OHLE]:[TRACK_TYPE_STANDARD_GAUGE_RAILTYPE_NONE]]),FALSE)</f>
        <v>0</v>
      </c>
      <c r="AF879" s="35" t="b">
        <f>IFERROR(OR(TRACK_TYPES[[#This Row],[TRACK_TYPE_NARROW_GAUGE_RAILTYPE_OHLE]:[TRACK_TYPE_NARROW_GAUGE_RAILTYPE_NONE]]),FALSE)</f>
        <v>1</v>
      </c>
      <c r="AG879" s="35" t="b">
        <f>IFERROR(OR(TRACK_TYPES[[#This Row],[TRACK_TYPE_BROAD_GAUGE_RAILTYPE_OHLE]:[TRACK_TYPE_BROAD_GAUGE_RAILTYPE_NONE]]),FALSE)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3330</v>
      </c>
      <c r="B880" s="37" t="str">
        <f>INDEX(CONTROL[ENGLISH],MATCH(PROPERTIES[[#This Row],[VEHIDCODE]],CONTROL[VEHIDCODE],0))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5" t="b">
        <f>IFERROR(OR(TRACK_TYPES[[#This Row],[TRACK_TYPE_STANDARD_GAUGE_RAILTYPE_OHLE]:[TRACK_TYPE_STANDARD_GAUGE_RAILTYPE_NONE]]),FALSE)</f>
        <v>1</v>
      </c>
      <c r="AF880" s="35" t="b">
        <f>IFERROR(OR(TRACK_TYPES[[#This Row],[TRACK_TYPE_NARROW_GAUGE_RAILTYPE_OHLE]:[TRACK_TYPE_NARROW_GAUGE_RAILTYPE_NONE]]),FALSE)</f>
        <v>0</v>
      </c>
      <c r="AG880" s="35" t="b">
        <f>IFERROR(OR(TRACK_TYPES[[#This Row],[TRACK_TYPE_BROAD_GAUGE_RAILTYPE_OHLE]:[TRACK_TYPE_BROAD_GAUGE_RAILTYPE_NONE]]),FALSE)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3331</v>
      </c>
      <c r="B881" s="37" t="str">
        <f>INDEX(CONTROL[ENGLISH],MATCH(PROPERTIES[[#This Row],[VEHIDCODE]],CONTROL[VEHIDCODE],0))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5" t="b">
        <f>IFERROR(OR(TRACK_TYPES[[#This Row],[TRACK_TYPE_STANDARD_GAUGE_RAILTYPE_OHLE]:[TRACK_TYPE_STANDARD_GAUGE_RAILTYPE_NONE]]),FALSE)</f>
        <v>0</v>
      </c>
      <c r="AF881" s="35" t="b">
        <f>IFERROR(OR(TRACK_TYPES[[#This Row],[TRACK_TYPE_NARROW_GAUGE_RAILTYPE_OHLE]:[TRACK_TYPE_NARROW_GAUGE_RAILTYPE_NONE]]),FALSE)</f>
        <v>0</v>
      </c>
      <c r="AG881" s="35" t="b">
        <f>IFERROR(OR(TRACK_TYPES[[#This Row],[TRACK_TYPE_BROAD_GAUGE_RAILTYPE_OHLE]:[TRACK_TYPE_BROAD_GAUGE_RAILTYPE_NONE]]),FALSE)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3332</v>
      </c>
      <c r="B882" s="37" t="str">
        <f>INDEX(CONTROL[ENGLISH],MATCH(PROPERTIES[[#This Row],[VEHIDCODE]],CONTROL[VEHIDCODE],0))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5" t="b">
        <f>IFERROR(OR(TRACK_TYPES[[#This Row],[TRACK_TYPE_STANDARD_GAUGE_RAILTYPE_OHLE]:[TRACK_TYPE_STANDARD_GAUGE_RAILTYPE_NONE]]),FALSE)</f>
        <v>0</v>
      </c>
      <c r="AF882" s="35" t="b">
        <f>IFERROR(OR(TRACK_TYPES[[#This Row],[TRACK_TYPE_NARROW_GAUGE_RAILTYPE_OHLE]:[TRACK_TYPE_NARROW_GAUGE_RAILTYPE_NONE]]),FALSE)</f>
        <v>0</v>
      </c>
      <c r="AG882" s="35" t="b">
        <f>IFERROR(OR(TRACK_TYPES[[#This Row],[TRACK_TYPE_BROAD_GAUGE_RAILTYPE_OHLE]:[TRACK_TYPE_BROAD_GAUGE_RAILTYPE_NONE]]),FALSE)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3333</v>
      </c>
      <c r="B883" s="37" t="str">
        <f>INDEX(CONTROL[ENGLISH],MATCH(PROPERTIES[[#This Row],[VEHIDCODE]],CONTROL[VEHIDCODE],0))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5" t="b">
        <f>IFERROR(OR(TRACK_TYPES[[#This Row],[TRACK_TYPE_STANDARD_GAUGE_RAILTYPE_OHLE]:[TRACK_TYPE_STANDARD_GAUGE_RAILTYPE_NONE]]),FALSE)</f>
        <v>0</v>
      </c>
      <c r="AF883" s="35" t="b">
        <f>IFERROR(OR(TRACK_TYPES[[#This Row],[TRACK_TYPE_NARROW_GAUGE_RAILTYPE_OHLE]:[TRACK_TYPE_NARROW_GAUGE_RAILTYPE_NONE]]),FALSE)</f>
        <v>0</v>
      </c>
      <c r="AG883" s="35" t="b">
        <f>IFERROR(OR(TRACK_TYPES[[#This Row],[TRACK_TYPE_BROAD_GAUGE_RAILTYPE_OHLE]:[TRACK_TYPE_BROAD_GAUGE_RAILTYPE_NONE]]),FALSE)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3334</v>
      </c>
      <c r="B884" s="37" t="str">
        <f>INDEX(CONTROL[ENGLISH],MATCH(PROPERTIES[[#This Row],[VEHIDCODE]],CONTROL[VEHIDCODE],0))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5" t="b">
        <f>IFERROR(OR(TRACK_TYPES[[#This Row],[TRACK_TYPE_STANDARD_GAUGE_RAILTYPE_OHLE]:[TRACK_TYPE_STANDARD_GAUGE_RAILTYPE_NONE]]),FALSE)</f>
        <v>1</v>
      </c>
      <c r="AF884" s="35" t="b">
        <f>IFERROR(OR(TRACK_TYPES[[#This Row],[TRACK_TYPE_NARROW_GAUGE_RAILTYPE_OHLE]:[TRACK_TYPE_NARROW_GAUGE_RAILTYPE_NONE]]),FALSE)</f>
        <v>0</v>
      </c>
      <c r="AG884" s="35" t="b">
        <f>IFERROR(OR(TRACK_TYPES[[#This Row],[TRACK_TYPE_BROAD_GAUGE_RAILTYPE_OHLE]:[TRACK_TYPE_BROAD_GAUGE_RAILTYPE_NONE]]),FALSE)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3335</v>
      </c>
      <c r="B885" s="37" t="str">
        <f>INDEX(CONTROL[ENGLISH],MATCH(PROPERTIES[[#This Row],[VEHIDCODE]],CONTROL[VEHIDCODE],0))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5" t="b">
        <f>IFERROR(OR(TRACK_TYPES[[#This Row],[TRACK_TYPE_STANDARD_GAUGE_RAILTYPE_OHLE]:[TRACK_TYPE_STANDARD_GAUGE_RAILTYPE_NONE]]),FALSE)</f>
        <v>0</v>
      </c>
      <c r="AF885" s="35" t="b">
        <f>IFERROR(OR(TRACK_TYPES[[#This Row],[TRACK_TYPE_NARROW_GAUGE_RAILTYPE_OHLE]:[TRACK_TYPE_NARROW_GAUGE_RAILTYPE_NONE]]),FALSE)</f>
        <v>0</v>
      </c>
      <c r="AG885" s="35" t="b">
        <f>IFERROR(OR(TRACK_TYPES[[#This Row],[TRACK_TYPE_BROAD_GAUGE_RAILTYPE_OHLE]:[TRACK_TYPE_BROAD_GAUGE_RAILTYPE_NONE]]),FALSE)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3336</v>
      </c>
      <c r="B886" s="37" t="str">
        <f>INDEX(CONTROL[ENGLISH],MATCH(PROPERTIES[[#This Row],[VEHIDCODE]],CONTROL[VEHIDCODE],0))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5" t="b">
        <f>IFERROR(OR(TRACK_TYPES[[#This Row],[TRACK_TYPE_STANDARD_GAUGE_RAILTYPE_OHLE]:[TRACK_TYPE_STANDARD_GAUGE_RAILTYPE_NONE]]),FALSE)</f>
        <v>0</v>
      </c>
      <c r="AF886" s="35" t="b">
        <f>IFERROR(OR(TRACK_TYPES[[#This Row],[TRACK_TYPE_NARROW_GAUGE_RAILTYPE_OHLE]:[TRACK_TYPE_NARROW_GAUGE_RAILTYPE_NONE]]),FALSE)</f>
        <v>0</v>
      </c>
      <c r="AG886" s="35" t="b">
        <f>IFERROR(OR(TRACK_TYPES[[#This Row],[TRACK_TYPE_BROAD_GAUGE_RAILTYPE_OHLE]:[TRACK_TYPE_BROAD_GAUGE_RAILTYPE_NONE]]),FALSE)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3337</v>
      </c>
      <c r="B887" s="37" t="str">
        <f>INDEX(CONTROL[ENGLISH],MATCH(PROPERTIES[[#This Row],[VEHIDCODE]],CONTROL[VEHIDCODE],0))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5" t="b">
        <f>IFERROR(OR(TRACK_TYPES[[#This Row],[TRACK_TYPE_STANDARD_GAUGE_RAILTYPE_OHLE]:[TRACK_TYPE_STANDARD_GAUGE_RAILTYPE_NONE]]),FALSE)</f>
        <v>1</v>
      </c>
      <c r="AF887" s="35" t="b">
        <f>IFERROR(OR(TRACK_TYPES[[#This Row],[TRACK_TYPE_NARROW_GAUGE_RAILTYPE_OHLE]:[TRACK_TYPE_NARROW_GAUGE_RAILTYPE_NONE]]),FALSE)</f>
        <v>0</v>
      </c>
      <c r="AG887" s="35" t="b">
        <f>IFERROR(OR(TRACK_TYPES[[#This Row],[TRACK_TYPE_BROAD_GAUGE_RAILTYPE_OHLE]:[TRACK_TYPE_BROAD_GAUGE_RAILTYPE_NONE]]),FALSE)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3338</v>
      </c>
      <c r="B888" s="37" t="str">
        <f>INDEX(CONTROL[ENGLISH],MATCH(PROPERTIES[[#This Row],[VEHIDCODE]],CONTROL[VEHIDCODE],0))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5" t="b">
        <f>IFERROR(OR(TRACK_TYPES[[#This Row],[TRACK_TYPE_STANDARD_GAUGE_RAILTYPE_OHLE]:[TRACK_TYPE_STANDARD_GAUGE_RAILTYPE_NONE]]),FALSE)</f>
        <v>0</v>
      </c>
      <c r="AF888" s="35" t="b">
        <f>IFERROR(OR(TRACK_TYPES[[#This Row],[TRACK_TYPE_NARROW_GAUGE_RAILTYPE_OHLE]:[TRACK_TYPE_NARROW_GAUGE_RAILTYPE_NONE]]),FALSE)</f>
        <v>0</v>
      </c>
      <c r="AG888" s="35" t="b">
        <f>IFERROR(OR(TRACK_TYPES[[#This Row],[TRACK_TYPE_BROAD_GAUGE_RAILTYPE_OHLE]:[TRACK_TYPE_BROAD_GAUGE_RAILTYPE_NONE]]),FALSE)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3339</v>
      </c>
      <c r="B889" s="37" t="str">
        <f>INDEX(CONTROL[ENGLISH],MATCH(PROPERTIES[[#This Row],[VEHIDCODE]],CONTROL[VEHIDCODE],0))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5" t="b">
        <f>IFERROR(OR(TRACK_TYPES[[#This Row],[TRACK_TYPE_STANDARD_GAUGE_RAILTYPE_OHLE]:[TRACK_TYPE_STANDARD_GAUGE_RAILTYPE_NONE]]),FALSE)</f>
        <v>1</v>
      </c>
      <c r="AF889" s="35" t="b">
        <f>IFERROR(OR(TRACK_TYPES[[#This Row],[TRACK_TYPE_NARROW_GAUGE_RAILTYPE_OHLE]:[TRACK_TYPE_NARROW_GAUGE_RAILTYPE_NONE]]),FALSE)</f>
        <v>0</v>
      </c>
      <c r="AG889" s="35" t="b">
        <f>IFERROR(OR(TRACK_TYPES[[#This Row],[TRACK_TYPE_BROAD_GAUGE_RAILTYPE_OHLE]:[TRACK_TYPE_BROAD_GAUGE_RAILTYPE_NONE]]),FALSE)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3340</v>
      </c>
      <c r="B890" s="37" t="str">
        <f>INDEX(CONTROL[ENGLISH],MATCH(PROPERTIES[[#This Row],[VEHIDCODE]],CONTROL[VEHIDCODE],0))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5" t="b">
        <f>IFERROR(OR(TRACK_TYPES[[#This Row],[TRACK_TYPE_STANDARD_GAUGE_RAILTYPE_OHLE]:[TRACK_TYPE_STANDARD_GAUGE_RAILTYPE_NONE]]),FALSE)</f>
        <v>1</v>
      </c>
      <c r="AF890" s="35" t="b">
        <f>IFERROR(OR(TRACK_TYPES[[#This Row],[TRACK_TYPE_NARROW_GAUGE_RAILTYPE_OHLE]:[TRACK_TYPE_NARROW_GAUGE_RAILTYPE_NONE]]),FALSE)</f>
        <v>0</v>
      </c>
      <c r="AG890" s="35" t="b">
        <f>IFERROR(OR(TRACK_TYPES[[#This Row],[TRACK_TYPE_BROAD_GAUGE_RAILTYPE_OHLE]:[TRACK_TYPE_BROAD_GAUGE_RAILTYPE_NONE]]),FALSE)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3341</v>
      </c>
      <c r="B891" s="37" t="str">
        <f>INDEX(CONTROL[ENGLISH],MATCH(PROPERTIES[[#This Row],[VEHIDCODE]],CONTROL[VEHIDCODE],0))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5" t="b">
        <f>IFERROR(OR(TRACK_TYPES[[#This Row],[TRACK_TYPE_STANDARD_GAUGE_RAILTYPE_OHLE]:[TRACK_TYPE_STANDARD_GAUGE_RAILTYPE_NONE]]),FALSE)</f>
        <v>0</v>
      </c>
      <c r="AF891" s="35" t="b">
        <f>IFERROR(OR(TRACK_TYPES[[#This Row],[TRACK_TYPE_NARROW_GAUGE_RAILTYPE_OHLE]:[TRACK_TYPE_NARROW_GAUGE_RAILTYPE_NONE]]),FALSE)</f>
        <v>1</v>
      </c>
      <c r="AG891" s="35" t="b">
        <f>IFERROR(OR(TRACK_TYPES[[#This Row],[TRACK_TYPE_BROAD_GAUGE_RAILTYPE_OHLE]:[TRACK_TYPE_BROAD_GAUGE_RAILTYPE_NONE]]),FALSE)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t="s">
        <v>3683</v>
      </c>
      <c r="B892" s="37" t="str">
        <f>INDEX(CONTROL[ENGLISH],MATCH(PROPERTIES[[#This Row],[VEHIDCODE]],CONTROL[VEHIDCODE],0))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5" t="b">
        <f>IFERROR(OR(TRACK_TYPES[[#This Row],[TRACK_TYPE_STANDARD_GAUGE_RAILTYPE_OHLE]:[TRACK_TYPE_STANDARD_GAUGE_RAILTYPE_NONE]]),FALSE)</f>
        <v>0</v>
      </c>
      <c r="AF892" s="35" t="b">
        <f>IFERROR(OR(TRACK_TYPES[[#This Row],[TRACK_TYPE_NARROW_GAUGE_RAILTYPE_OHLE]:[TRACK_TYPE_NARROW_GAUGE_RAILTYPE_NONE]]),FALSE)</f>
        <v>0</v>
      </c>
      <c r="AG892" s="35" t="b">
        <f>IFERROR(OR(TRACK_TYPES[[#This Row],[TRACK_TYPE_BROAD_GAUGE_RAILTYPE_OHLE]:[TRACK_TYPE_BROAD_GAUGE_RAILTYPE_NONE]]),FALSE)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t="s">
        <v>3342</v>
      </c>
      <c r="B893" s="37" t="str">
        <f>INDEX(CONTROL[ENGLISH],MATCH(PROPERTIES[[#This Row],[VEHIDCODE]],CONTROL[VEHIDCODE],0))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5" t="b">
        <f>IFERROR(OR(TRACK_TYPES[[#This Row],[TRACK_TYPE_STANDARD_GAUGE_RAILTYPE_OHLE]:[TRACK_TYPE_STANDARD_GAUGE_RAILTYPE_NONE]]),FALSE)</f>
        <v>0</v>
      </c>
      <c r="AF893" s="35" t="b">
        <f>IFERROR(OR(TRACK_TYPES[[#This Row],[TRACK_TYPE_NARROW_GAUGE_RAILTYPE_OHLE]:[TRACK_TYPE_NARROW_GAUGE_RAILTYPE_NONE]]),FALSE)</f>
        <v>0</v>
      </c>
      <c r="AG893" s="35" t="b">
        <f>IFERROR(OR(TRACK_TYPES[[#This Row],[TRACK_TYPE_BROAD_GAUGE_RAILTYPE_OHLE]:[TRACK_TYPE_BROAD_GAUGE_RAILTYPE_NONE]]),FALSE)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t="s">
        <v>3682</v>
      </c>
      <c r="B894" s="37" t="str">
        <f>INDEX(CONTROL[ENGLISH],MATCH(PROPERTIES[[#This Row],[VEHIDCODE]],CONTROL[VEHIDCODE],0))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5" t="b">
        <f>IFERROR(OR(TRACK_TYPES[[#This Row],[TRACK_TYPE_STANDARD_GAUGE_RAILTYPE_OHLE]:[TRACK_TYPE_STANDARD_GAUGE_RAILTYPE_NONE]]),FALSE)</f>
        <v>0</v>
      </c>
      <c r="AF894" s="35" t="b">
        <f>IFERROR(OR(TRACK_TYPES[[#This Row],[TRACK_TYPE_NARROW_GAUGE_RAILTYPE_OHLE]:[TRACK_TYPE_NARROW_GAUGE_RAILTYPE_NONE]]),FALSE)</f>
        <v>1</v>
      </c>
      <c r="AG894" s="35" t="b">
        <f>IFERROR(OR(TRACK_TYPES[[#This Row],[TRACK_TYPE_BROAD_GAUGE_RAILTYPE_OHLE]:[TRACK_TYPE_BROAD_GAUGE_RAILTYPE_NONE]]),FALSE)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3343</v>
      </c>
      <c r="B895" s="37" t="str">
        <f>INDEX(CONTROL[ENGLISH],MATCH(PROPERTIES[[#This Row],[VEHIDCODE]],CONTROL[VEHIDCODE],0))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5" t="b">
        <f>IFERROR(OR(TRACK_TYPES[[#This Row],[TRACK_TYPE_STANDARD_GAUGE_RAILTYPE_OHLE]:[TRACK_TYPE_STANDARD_GAUGE_RAILTYPE_NONE]]),FALSE)</f>
        <v>0</v>
      </c>
      <c r="AF895" s="35" t="b">
        <f>IFERROR(OR(TRACK_TYPES[[#This Row],[TRACK_TYPE_NARROW_GAUGE_RAILTYPE_OHLE]:[TRACK_TYPE_NARROW_GAUGE_RAILTYPE_NONE]]),FALSE)</f>
        <v>0</v>
      </c>
      <c r="AG895" s="35" t="b">
        <f>IFERROR(OR(TRACK_TYPES[[#This Row],[TRACK_TYPE_BROAD_GAUGE_RAILTYPE_OHLE]:[TRACK_TYPE_BROAD_GAUGE_RAILTYPE_NONE]]),FALSE)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3344</v>
      </c>
      <c r="B896" s="37" t="str">
        <f>INDEX(CONTROL[ENGLISH],MATCH(PROPERTIES[[#This Row],[VEHIDCODE]],CONTROL[VEHIDCODE],0))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5" t="b">
        <f>IFERROR(OR(TRACK_TYPES[[#This Row],[TRACK_TYPE_STANDARD_GAUGE_RAILTYPE_OHLE]:[TRACK_TYPE_STANDARD_GAUGE_RAILTYPE_NONE]]),FALSE)</f>
        <v>0</v>
      </c>
      <c r="AF896" s="35" t="b">
        <f>IFERROR(OR(TRACK_TYPES[[#This Row],[TRACK_TYPE_NARROW_GAUGE_RAILTYPE_OHLE]:[TRACK_TYPE_NARROW_GAUGE_RAILTYPE_NONE]]),FALSE)</f>
        <v>1</v>
      </c>
      <c r="AG896" s="35" t="b">
        <f>IFERROR(OR(TRACK_TYPES[[#This Row],[TRACK_TYPE_BROAD_GAUGE_RAILTYPE_OHLE]:[TRACK_TYPE_BROAD_GAUGE_RAILTYPE_NONE]]),FALSE)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3345</v>
      </c>
      <c r="B897" s="37" t="str">
        <f>INDEX(CONTROL[ENGLISH],MATCH(PROPERTIES[[#This Row],[VEHIDCODE]],CONTROL[VEHIDCODE],0))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5" t="b">
        <f>IFERROR(OR(TRACK_TYPES[[#This Row],[TRACK_TYPE_STANDARD_GAUGE_RAILTYPE_OHLE]:[TRACK_TYPE_STANDARD_GAUGE_RAILTYPE_NONE]]),FALSE)</f>
        <v>1</v>
      </c>
      <c r="AF897" s="35" t="b">
        <f>IFERROR(OR(TRACK_TYPES[[#This Row],[TRACK_TYPE_NARROW_GAUGE_RAILTYPE_OHLE]:[TRACK_TYPE_NARROW_GAUGE_RAILTYPE_NONE]]),FALSE)</f>
        <v>0</v>
      </c>
      <c r="AG897" s="35" t="b">
        <f>IFERROR(OR(TRACK_TYPES[[#This Row],[TRACK_TYPE_BROAD_GAUGE_RAILTYPE_OHLE]:[TRACK_TYPE_BROAD_GAUGE_RAILTYPE_NONE]]),FALSE)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3346</v>
      </c>
      <c r="B898" s="37" t="str">
        <f>INDEX(CONTROL[ENGLISH],MATCH(PROPERTIES[[#This Row],[VEHIDCODE]],CONTROL[VEHIDCODE],0))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5" t="b">
        <f>IFERROR(OR(TRACK_TYPES[[#This Row],[TRACK_TYPE_STANDARD_GAUGE_RAILTYPE_OHLE]:[TRACK_TYPE_STANDARD_GAUGE_RAILTYPE_NONE]]),FALSE)</f>
        <v>0</v>
      </c>
      <c r="AF898" s="35" t="b">
        <f>IFERROR(OR(TRACK_TYPES[[#This Row],[TRACK_TYPE_NARROW_GAUGE_RAILTYPE_OHLE]:[TRACK_TYPE_NARROW_GAUGE_RAILTYPE_NONE]]),FALSE)</f>
        <v>1</v>
      </c>
      <c r="AG898" s="35" t="b">
        <f>IFERROR(OR(TRACK_TYPES[[#This Row],[TRACK_TYPE_BROAD_GAUGE_RAILTYPE_OHLE]:[TRACK_TYPE_BROAD_GAUGE_RAILTYPE_NONE]]),FALSE)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3347</v>
      </c>
      <c r="B899" s="37" t="str">
        <f>INDEX(CONTROL[ENGLISH],MATCH(PROPERTIES[[#This Row],[VEHIDCODE]],CONTROL[VEHIDCODE],0))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5" t="b">
        <f>IFERROR(OR(TRACK_TYPES[[#This Row],[TRACK_TYPE_STANDARD_GAUGE_RAILTYPE_OHLE]:[TRACK_TYPE_STANDARD_GAUGE_RAILTYPE_NONE]]),FALSE)</f>
        <v>1</v>
      </c>
      <c r="AF899" s="35" t="b">
        <f>IFERROR(OR(TRACK_TYPES[[#This Row],[TRACK_TYPE_NARROW_GAUGE_RAILTYPE_OHLE]:[TRACK_TYPE_NARROW_GAUGE_RAILTYPE_NONE]]),FALSE)</f>
        <v>0</v>
      </c>
      <c r="AG899" s="35" t="b">
        <f>IFERROR(OR(TRACK_TYPES[[#This Row],[TRACK_TYPE_BROAD_GAUGE_RAILTYPE_OHLE]:[TRACK_TYPE_BROAD_GAUGE_RAILTYPE_NONE]]),FALSE)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3348</v>
      </c>
      <c r="B900" s="37" t="str">
        <f>INDEX(CONTROL[ENGLISH],MATCH(PROPERTIES[[#This Row],[VEHIDCODE]],CONTROL[VEHIDCODE],0))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5" t="b">
        <f>IFERROR(OR(TRACK_TYPES[[#This Row],[TRACK_TYPE_STANDARD_GAUGE_RAILTYPE_OHLE]:[TRACK_TYPE_STANDARD_GAUGE_RAILTYPE_NONE]]),FALSE)</f>
        <v>1</v>
      </c>
      <c r="AF900" s="35" t="b">
        <f>IFERROR(OR(TRACK_TYPES[[#This Row],[TRACK_TYPE_NARROW_GAUGE_RAILTYPE_OHLE]:[TRACK_TYPE_NARROW_GAUGE_RAILTYPE_NONE]]),FALSE)</f>
        <v>0</v>
      </c>
      <c r="AG900" s="35" t="b">
        <f>IFERROR(OR(TRACK_TYPES[[#This Row],[TRACK_TYPE_BROAD_GAUGE_RAILTYPE_OHLE]:[TRACK_TYPE_BROAD_GAUGE_RAILTYPE_NONE]]),FALSE)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3349</v>
      </c>
      <c r="B901" s="37" t="str">
        <f>INDEX(CONTROL[ENGLISH],MATCH(PROPERTIES[[#This Row],[VEHIDCODE]],CONTROL[VEHIDCODE],0))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5" t="b">
        <f>IFERROR(OR(TRACK_TYPES[[#This Row],[TRACK_TYPE_STANDARD_GAUGE_RAILTYPE_OHLE]:[TRACK_TYPE_STANDARD_GAUGE_RAILTYPE_NONE]]),FALSE)</f>
        <v>1</v>
      </c>
      <c r="AF901" s="35" t="b">
        <f>IFERROR(OR(TRACK_TYPES[[#This Row],[TRACK_TYPE_NARROW_GAUGE_RAILTYPE_OHLE]:[TRACK_TYPE_NARROW_GAUGE_RAILTYPE_NONE]]),FALSE)</f>
        <v>0</v>
      </c>
      <c r="AG901" s="35" t="b">
        <f>IFERROR(OR(TRACK_TYPES[[#This Row],[TRACK_TYPE_BROAD_GAUGE_RAILTYPE_OHLE]:[TRACK_TYPE_BROAD_GAUGE_RAILTYPE_NONE]]),FALSE)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3350</v>
      </c>
      <c r="B902" s="37" t="str">
        <f>INDEX(CONTROL[ENGLISH],MATCH(PROPERTIES[[#This Row],[VEHIDCODE]],CONTROL[VEHIDCODE],0))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5" t="b">
        <f>IFERROR(OR(TRACK_TYPES[[#This Row],[TRACK_TYPE_STANDARD_GAUGE_RAILTYPE_OHLE]:[TRACK_TYPE_STANDARD_GAUGE_RAILTYPE_NONE]]),FALSE)</f>
        <v>1</v>
      </c>
      <c r="AF902" s="35" t="b">
        <f>IFERROR(OR(TRACK_TYPES[[#This Row],[TRACK_TYPE_NARROW_GAUGE_RAILTYPE_OHLE]:[TRACK_TYPE_NARROW_GAUGE_RAILTYPE_NONE]]),FALSE)</f>
        <v>0</v>
      </c>
      <c r="AG902" s="35" t="b">
        <f>IFERROR(OR(TRACK_TYPES[[#This Row],[TRACK_TYPE_BROAD_GAUGE_RAILTYPE_OHLE]:[TRACK_TYPE_BROAD_GAUGE_RAILTYPE_NONE]]),FALSE)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3351</v>
      </c>
      <c r="B903" s="37" t="str">
        <f>INDEX(CONTROL[ENGLISH],MATCH(PROPERTIES[[#This Row],[VEHIDCODE]],CONTROL[VEHIDCODE],0))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5" t="b">
        <f>IFERROR(OR(TRACK_TYPES[[#This Row],[TRACK_TYPE_STANDARD_GAUGE_RAILTYPE_OHLE]:[TRACK_TYPE_STANDARD_GAUGE_RAILTYPE_NONE]]),FALSE)</f>
        <v>1</v>
      </c>
      <c r="AF903" s="35" t="b">
        <f>IFERROR(OR(TRACK_TYPES[[#This Row],[TRACK_TYPE_NARROW_GAUGE_RAILTYPE_OHLE]:[TRACK_TYPE_NARROW_GAUGE_RAILTYPE_NONE]]),FALSE)</f>
        <v>0</v>
      </c>
      <c r="AG903" s="35" t="b">
        <f>IFERROR(OR(TRACK_TYPES[[#This Row],[TRACK_TYPE_BROAD_GAUGE_RAILTYPE_OHLE]:[TRACK_TYPE_BROAD_GAUGE_RAILTYPE_NONE]]),FALSE)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3352</v>
      </c>
      <c r="B904" s="37" t="str">
        <f>INDEX(CONTROL[ENGLISH],MATCH(PROPERTIES[[#This Row],[VEHIDCODE]],CONTROL[VEHIDCODE],0))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5" t="b">
        <f>IFERROR(OR(TRACK_TYPES[[#This Row],[TRACK_TYPE_STANDARD_GAUGE_RAILTYPE_OHLE]:[TRACK_TYPE_STANDARD_GAUGE_RAILTYPE_NONE]]),FALSE)</f>
        <v>1</v>
      </c>
      <c r="AF904" s="35" t="b">
        <f>IFERROR(OR(TRACK_TYPES[[#This Row],[TRACK_TYPE_NARROW_GAUGE_RAILTYPE_OHLE]:[TRACK_TYPE_NARROW_GAUGE_RAILTYPE_NONE]]),FALSE)</f>
        <v>0</v>
      </c>
      <c r="AG904" s="35" t="b">
        <f>IFERROR(OR(TRACK_TYPES[[#This Row],[TRACK_TYPE_BROAD_GAUGE_RAILTYPE_OHLE]:[TRACK_TYPE_BROAD_GAUGE_RAILTYPE_NONE]]),FALSE)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3353</v>
      </c>
      <c r="B905" s="37" t="str">
        <f>INDEX(CONTROL[ENGLISH],MATCH(PROPERTIES[[#This Row],[VEHIDCODE]],CONTROL[VEHIDCODE],0))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5" t="b">
        <f>IFERROR(OR(TRACK_TYPES[[#This Row],[TRACK_TYPE_STANDARD_GAUGE_RAILTYPE_OHLE]:[TRACK_TYPE_STANDARD_GAUGE_RAILTYPE_NONE]]),FALSE)</f>
        <v>0</v>
      </c>
      <c r="AF905" s="35" t="b">
        <f>IFERROR(OR(TRACK_TYPES[[#This Row],[TRACK_TYPE_NARROW_GAUGE_RAILTYPE_OHLE]:[TRACK_TYPE_NARROW_GAUGE_RAILTYPE_NONE]]),FALSE)</f>
        <v>1</v>
      </c>
      <c r="AG905" s="35" t="b">
        <f>IFERROR(OR(TRACK_TYPES[[#This Row],[TRACK_TYPE_BROAD_GAUGE_RAILTYPE_OHLE]:[TRACK_TYPE_BROAD_GAUGE_RAILTYPE_NONE]]),FALSE)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3354</v>
      </c>
      <c r="B906" s="37" t="str">
        <f>INDEX(CONTROL[ENGLISH],MATCH(PROPERTIES[[#This Row],[VEHIDCODE]],CONTROL[VEHIDCODE],0))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5" t="b">
        <f>IFERROR(OR(TRACK_TYPES[[#This Row],[TRACK_TYPE_STANDARD_GAUGE_RAILTYPE_OHLE]:[TRACK_TYPE_STANDARD_GAUGE_RAILTYPE_NONE]]),FALSE)</f>
        <v>1</v>
      </c>
      <c r="AF906" s="35" t="b">
        <f>IFERROR(OR(TRACK_TYPES[[#This Row],[TRACK_TYPE_NARROW_GAUGE_RAILTYPE_OHLE]:[TRACK_TYPE_NARROW_GAUGE_RAILTYPE_NONE]]),FALSE)</f>
        <v>0</v>
      </c>
      <c r="AG906" s="35" t="b">
        <f>IFERROR(OR(TRACK_TYPES[[#This Row],[TRACK_TYPE_BROAD_GAUGE_RAILTYPE_OHLE]:[TRACK_TYPE_BROAD_GAUGE_RAILTYPE_NONE]]),FALSE)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3355</v>
      </c>
      <c r="B907" s="37" t="str">
        <f>INDEX(CONTROL[ENGLISH],MATCH(PROPERTIES[[#This Row],[VEHIDCODE]],CONTROL[VEHIDCODE],0))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5" t="b">
        <f>IFERROR(OR(TRACK_TYPES[[#This Row],[TRACK_TYPE_STANDARD_GAUGE_RAILTYPE_OHLE]:[TRACK_TYPE_STANDARD_GAUGE_RAILTYPE_NONE]]),FALSE)</f>
        <v>1</v>
      </c>
      <c r="AF907" s="35" t="b">
        <f>IFERROR(OR(TRACK_TYPES[[#This Row],[TRACK_TYPE_NARROW_GAUGE_RAILTYPE_OHLE]:[TRACK_TYPE_NARROW_GAUGE_RAILTYPE_NONE]]),FALSE)</f>
        <v>0</v>
      </c>
      <c r="AG907" s="35" t="b">
        <f>IFERROR(OR(TRACK_TYPES[[#This Row],[TRACK_TYPE_BROAD_GAUGE_RAILTYPE_OHLE]:[TRACK_TYPE_BROAD_GAUGE_RAILTYPE_NONE]]),FALSE)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3356</v>
      </c>
      <c r="B908" s="37" t="str">
        <f>INDEX(CONTROL[ENGLISH],MATCH(PROPERTIES[[#This Row],[VEHIDCODE]],CONTROL[VEHIDCODE],0))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5" t="b">
        <f>IFERROR(OR(TRACK_TYPES[[#This Row],[TRACK_TYPE_STANDARD_GAUGE_RAILTYPE_OHLE]:[TRACK_TYPE_STANDARD_GAUGE_RAILTYPE_NONE]]),FALSE)</f>
        <v>1</v>
      </c>
      <c r="AF908" s="35" t="b">
        <f>IFERROR(OR(TRACK_TYPES[[#This Row],[TRACK_TYPE_NARROW_GAUGE_RAILTYPE_OHLE]:[TRACK_TYPE_NARROW_GAUGE_RAILTYPE_NONE]]),FALSE)</f>
        <v>0</v>
      </c>
      <c r="AG908" s="35" t="b">
        <f>IFERROR(OR(TRACK_TYPES[[#This Row],[TRACK_TYPE_BROAD_GAUGE_RAILTYPE_OHLE]:[TRACK_TYPE_BROAD_GAUGE_RAILTYPE_NONE]]),FALSE)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3357</v>
      </c>
      <c r="B909" s="37" t="str">
        <f>INDEX(CONTROL[ENGLISH],MATCH(PROPERTIES[[#This Row],[VEHIDCODE]],CONTROL[VEHIDCODE],0))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5" t="b">
        <f>IFERROR(OR(TRACK_TYPES[[#This Row],[TRACK_TYPE_STANDARD_GAUGE_RAILTYPE_OHLE]:[TRACK_TYPE_STANDARD_GAUGE_RAILTYPE_NONE]]),FALSE)</f>
        <v>0</v>
      </c>
      <c r="AF909" s="35" t="b">
        <f>IFERROR(OR(TRACK_TYPES[[#This Row],[TRACK_TYPE_NARROW_GAUGE_RAILTYPE_OHLE]:[TRACK_TYPE_NARROW_GAUGE_RAILTYPE_NONE]]),FALSE)</f>
        <v>0</v>
      </c>
      <c r="AG909" s="35" t="b">
        <f>IFERROR(OR(TRACK_TYPES[[#This Row],[TRACK_TYPE_BROAD_GAUGE_RAILTYPE_OHLE]:[TRACK_TYPE_BROAD_GAUGE_RAILTYPE_NONE]]),FALSE)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1826</v>
      </c>
      <c r="B910" s="37" t="str">
        <f>INDEX(CONTROL[ENGLISH],MATCH(PROPERTIES[[#This Row],[VEHIDCODE]],CONTROL[VEHIDCODE],0))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5" t="b">
        <f>IFERROR(OR(TRACK_TYPES[[#This Row],[TRACK_TYPE_STANDARD_GAUGE_RAILTYPE_OHLE]:[TRACK_TYPE_STANDARD_GAUGE_RAILTYPE_NONE]]),FALSE)</f>
        <v>1</v>
      </c>
      <c r="AF910" s="35" t="b">
        <f>IFERROR(OR(TRACK_TYPES[[#This Row],[TRACK_TYPE_NARROW_GAUGE_RAILTYPE_OHLE]:[TRACK_TYPE_NARROW_GAUGE_RAILTYPE_NONE]]),FALSE)</f>
        <v>1</v>
      </c>
      <c r="AG910" s="35" t="b">
        <f>IFERROR(OR(TRACK_TYPES[[#This Row],[TRACK_TYPE_BROAD_GAUGE_RAILTYPE_OHLE]:[TRACK_TYPE_BROAD_GAUGE_RAILTYPE_NONE]]),FALSE)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1828</v>
      </c>
      <c r="B911" s="37" t="str">
        <f>INDEX(CONTROL[ENGLISH],MATCH(PROPERTIES[[#This Row],[VEHIDCODE]],CONTROL[VEHIDCODE],0))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5" t="b">
        <f>IFERROR(OR(TRACK_TYPES[[#This Row],[TRACK_TYPE_STANDARD_GAUGE_RAILTYPE_OHLE]:[TRACK_TYPE_STANDARD_GAUGE_RAILTYPE_NONE]]),FALSE)</f>
        <v>1</v>
      </c>
      <c r="AF911" s="35" t="b">
        <f>IFERROR(OR(TRACK_TYPES[[#This Row],[TRACK_TYPE_NARROW_GAUGE_RAILTYPE_OHLE]:[TRACK_TYPE_NARROW_GAUGE_RAILTYPE_NONE]]),FALSE)</f>
        <v>1</v>
      </c>
      <c r="AG911" s="35" t="b">
        <f>IFERROR(OR(TRACK_TYPES[[#This Row],[TRACK_TYPE_BROAD_GAUGE_RAILTYPE_OHLE]:[TRACK_TYPE_BROAD_GAUGE_RAILTYPE_NONE]]),FALSE)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1829</v>
      </c>
      <c r="B912" s="37" t="str">
        <f>INDEX(CONTROL[ENGLISH],MATCH(PROPERTIES[[#This Row],[VEHIDCODE]],CONTROL[VEHIDCODE],0))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5" t="b">
        <f>IFERROR(OR(TRACK_TYPES[[#This Row],[TRACK_TYPE_STANDARD_GAUGE_RAILTYPE_OHLE]:[TRACK_TYPE_STANDARD_GAUGE_RAILTYPE_NONE]]),FALSE)</f>
        <v>1</v>
      </c>
      <c r="AF912" s="35" t="b">
        <f>IFERROR(OR(TRACK_TYPES[[#This Row],[TRACK_TYPE_NARROW_GAUGE_RAILTYPE_OHLE]:[TRACK_TYPE_NARROW_GAUGE_RAILTYPE_NONE]]),FALSE)</f>
        <v>1</v>
      </c>
      <c r="AG912" s="35" t="b">
        <f>IFERROR(OR(TRACK_TYPES[[#This Row],[TRACK_TYPE_BROAD_GAUGE_RAILTYPE_OHLE]:[TRACK_TYPE_BROAD_GAUGE_RAILTYPE_NONE]]),FALSE)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1830</v>
      </c>
      <c r="B913" s="37" t="str">
        <f>INDEX(CONTROL[ENGLISH],MATCH(PROPERTIES[[#This Row],[VEHIDCODE]],CONTROL[VEHIDCODE],0))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5" t="b">
        <f>IFERROR(OR(TRACK_TYPES[[#This Row],[TRACK_TYPE_STANDARD_GAUGE_RAILTYPE_OHLE]:[TRACK_TYPE_STANDARD_GAUGE_RAILTYPE_NONE]]),FALSE)</f>
        <v>1</v>
      </c>
      <c r="AF913" s="35" t="b">
        <f>IFERROR(OR(TRACK_TYPES[[#This Row],[TRACK_TYPE_NARROW_GAUGE_RAILTYPE_OHLE]:[TRACK_TYPE_NARROW_GAUGE_RAILTYPE_NONE]]),FALSE)</f>
        <v>1</v>
      </c>
      <c r="AG913" s="35" t="b">
        <f>IFERROR(OR(TRACK_TYPES[[#This Row],[TRACK_TYPE_BROAD_GAUGE_RAILTYPE_OHLE]:[TRACK_TYPE_BROAD_GAUGE_RAILTYPE_NONE]]),FALSE)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1833</v>
      </c>
      <c r="B914" s="37" t="str">
        <f>INDEX(CONTROL[ENGLISH],MATCH(PROPERTIES[[#This Row],[VEHIDCODE]],CONTROL[VEHIDCODE],0))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5" t="b">
        <f>IFERROR(OR(TRACK_TYPES[[#This Row],[TRACK_TYPE_STANDARD_GAUGE_RAILTYPE_OHLE]:[TRACK_TYPE_STANDARD_GAUGE_RAILTYPE_NONE]]),FALSE)</f>
        <v>1</v>
      </c>
      <c r="AF914" s="35" t="b">
        <f>IFERROR(OR(TRACK_TYPES[[#This Row],[TRACK_TYPE_NARROW_GAUGE_RAILTYPE_OHLE]:[TRACK_TYPE_NARROW_GAUGE_RAILTYPE_NONE]]),FALSE)</f>
        <v>1</v>
      </c>
      <c r="AG914" s="35" t="b">
        <f>IFERROR(OR(TRACK_TYPES[[#This Row],[TRACK_TYPE_BROAD_GAUGE_RAILTYPE_OHLE]:[TRACK_TYPE_BROAD_GAUGE_RAILTYPE_NONE]]),FALSE)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1834</v>
      </c>
      <c r="B915" s="37" t="str">
        <f>INDEX(CONTROL[ENGLISH],MATCH(PROPERTIES[[#This Row],[VEHIDCODE]],CONTROL[VEHIDCODE],0))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5" t="b">
        <f>IFERROR(OR(TRACK_TYPES[[#This Row],[TRACK_TYPE_STANDARD_GAUGE_RAILTYPE_OHLE]:[TRACK_TYPE_STANDARD_GAUGE_RAILTYPE_NONE]]),FALSE)</f>
        <v>1</v>
      </c>
      <c r="AF915" s="35" t="b">
        <f>IFERROR(OR(TRACK_TYPES[[#This Row],[TRACK_TYPE_NARROW_GAUGE_RAILTYPE_OHLE]:[TRACK_TYPE_NARROW_GAUGE_RAILTYPE_NONE]]),FALSE)</f>
        <v>1</v>
      </c>
      <c r="AG915" s="35" t="b">
        <f>IFERROR(OR(TRACK_TYPES[[#This Row],[TRACK_TYPE_BROAD_GAUGE_RAILTYPE_OHLE]:[TRACK_TYPE_BROAD_GAUGE_RAILTYPE_NONE]]),FALSE)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1837</v>
      </c>
      <c r="B916" s="37" t="str">
        <f>INDEX(CONTROL[ENGLISH],MATCH(PROPERTIES[[#This Row],[VEHIDCODE]],CONTROL[VEHIDCODE],0))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5" t="b">
        <f>IFERROR(OR(TRACK_TYPES[[#This Row],[TRACK_TYPE_STANDARD_GAUGE_RAILTYPE_OHLE]:[TRACK_TYPE_STANDARD_GAUGE_RAILTYPE_NONE]]),FALSE)</f>
        <v>1</v>
      </c>
      <c r="AF916" s="35" t="b">
        <f>IFERROR(OR(TRACK_TYPES[[#This Row],[TRACK_TYPE_NARROW_GAUGE_RAILTYPE_OHLE]:[TRACK_TYPE_NARROW_GAUGE_RAILTYPE_NONE]]),FALSE)</f>
        <v>0</v>
      </c>
      <c r="AG916" s="35" t="b">
        <f>IFERROR(OR(TRACK_TYPES[[#This Row],[TRACK_TYPE_BROAD_GAUGE_RAILTYPE_OHLE]:[TRACK_TYPE_BROAD_GAUGE_RAILTYPE_NONE]]),FALSE)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1838</v>
      </c>
      <c r="B917" s="37" t="str">
        <f>INDEX(CONTROL[ENGLISH],MATCH(PROPERTIES[[#This Row],[VEHIDCODE]],CONTROL[VEHIDCODE],0))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5" t="b">
        <f>IFERROR(OR(TRACK_TYPES[[#This Row],[TRACK_TYPE_STANDARD_GAUGE_RAILTYPE_OHLE]:[TRACK_TYPE_STANDARD_GAUGE_RAILTYPE_NONE]]),FALSE)</f>
        <v>1</v>
      </c>
      <c r="AF917" s="35" t="b">
        <f>IFERROR(OR(TRACK_TYPES[[#This Row],[TRACK_TYPE_NARROW_GAUGE_RAILTYPE_OHLE]:[TRACK_TYPE_NARROW_GAUGE_RAILTYPE_NONE]]),FALSE)</f>
        <v>0</v>
      </c>
      <c r="AG917" s="35" t="b">
        <f>IFERROR(OR(TRACK_TYPES[[#This Row],[TRACK_TYPE_BROAD_GAUGE_RAILTYPE_OHLE]:[TRACK_TYPE_BROAD_GAUGE_RAILTYPE_NONE]]),FALSE)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1840</v>
      </c>
      <c r="B918" s="37" t="str">
        <f>INDEX(CONTROL[ENGLISH],MATCH(PROPERTIES[[#This Row],[VEHIDCODE]],CONTROL[VEHIDCODE],0))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5" t="b">
        <f>IFERROR(OR(TRACK_TYPES[[#This Row],[TRACK_TYPE_STANDARD_GAUGE_RAILTYPE_OHLE]:[TRACK_TYPE_STANDARD_GAUGE_RAILTYPE_NONE]]),FALSE)</f>
        <v>0</v>
      </c>
      <c r="AF918" s="35" t="b">
        <f>IFERROR(OR(TRACK_TYPES[[#This Row],[TRACK_TYPE_NARROW_GAUGE_RAILTYPE_OHLE]:[TRACK_TYPE_NARROW_GAUGE_RAILTYPE_NONE]]),FALSE)</f>
        <v>0</v>
      </c>
      <c r="AG918" s="35" t="b">
        <f>IFERROR(OR(TRACK_TYPES[[#This Row],[TRACK_TYPE_BROAD_GAUGE_RAILTYPE_OHLE]:[TRACK_TYPE_BROAD_GAUGE_RAILTYPE_NONE]]),FALSE)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1842</v>
      </c>
      <c r="B919" s="37" t="str">
        <f>INDEX(CONTROL[ENGLISH],MATCH(PROPERTIES[[#This Row],[VEHIDCODE]],CONTROL[VEHIDCODE],0))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5" t="b">
        <f>IFERROR(OR(TRACK_TYPES[[#This Row],[TRACK_TYPE_STANDARD_GAUGE_RAILTYPE_OHLE]:[TRACK_TYPE_STANDARD_GAUGE_RAILTYPE_NONE]]),FALSE)</f>
        <v>1</v>
      </c>
      <c r="AF919" s="35" t="b">
        <f>IFERROR(OR(TRACK_TYPES[[#This Row],[TRACK_TYPE_NARROW_GAUGE_RAILTYPE_OHLE]:[TRACK_TYPE_NARROW_GAUGE_RAILTYPE_NONE]]),FALSE)</f>
        <v>0</v>
      </c>
      <c r="AG919" s="35" t="b">
        <f>IFERROR(OR(TRACK_TYPES[[#This Row],[TRACK_TYPE_BROAD_GAUGE_RAILTYPE_OHLE]:[TRACK_TYPE_BROAD_GAUGE_RAILTYPE_NONE]]),FALSE)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1843</v>
      </c>
      <c r="B920" s="37" t="str">
        <f>INDEX(CONTROL[ENGLISH],MATCH(PROPERTIES[[#This Row],[VEHIDCODE]],CONTROL[VEHIDCODE],0))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5" t="b">
        <f>IFERROR(OR(TRACK_TYPES[[#This Row],[TRACK_TYPE_STANDARD_GAUGE_RAILTYPE_OHLE]:[TRACK_TYPE_STANDARD_GAUGE_RAILTYPE_NONE]]),FALSE)</f>
        <v>1</v>
      </c>
      <c r="AF920" s="35" t="b">
        <f>IFERROR(OR(TRACK_TYPES[[#This Row],[TRACK_TYPE_NARROW_GAUGE_RAILTYPE_OHLE]:[TRACK_TYPE_NARROW_GAUGE_RAILTYPE_NONE]]),FALSE)</f>
        <v>0</v>
      </c>
      <c r="AG920" s="35" t="b">
        <f>IFERROR(OR(TRACK_TYPES[[#This Row],[TRACK_TYPE_BROAD_GAUGE_RAILTYPE_OHLE]:[TRACK_TYPE_BROAD_GAUGE_RAILTYPE_NONE]]),FALSE)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1845</v>
      </c>
      <c r="B921" s="37" t="str">
        <f>INDEX(CONTROL[ENGLISH],MATCH(PROPERTIES[[#This Row],[VEHIDCODE]],CONTROL[VEHIDCODE],0))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5" t="b">
        <f>IFERROR(OR(TRACK_TYPES[[#This Row],[TRACK_TYPE_STANDARD_GAUGE_RAILTYPE_OHLE]:[TRACK_TYPE_STANDARD_GAUGE_RAILTYPE_NONE]]),FALSE)</f>
        <v>0</v>
      </c>
      <c r="AF921" s="35" t="b">
        <f>IFERROR(OR(TRACK_TYPES[[#This Row],[TRACK_TYPE_NARROW_GAUGE_RAILTYPE_OHLE]:[TRACK_TYPE_NARROW_GAUGE_RAILTYPE_NONE]]),FALSE)</f>
        <v>1</v>
      </c>
      <c r="AG921" s="35" t="b">
        <f>IFERROR(OR(TRACK_TYPES[[#This Row],[TRACK_TYPE_BROAD_GAUGE_RAILTYPE_OHLE]:[TRACK_TYPE_BROAD_GAUGE_RAILTYPE_NONE]]),FALSE)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1847</v>
      </c>
      <c r="B922" s="37" t="str">
        <f>INDEX(CONTROL[ENGLISH],MATCH(PROPERTIES[[#This Row],[VEHIDCODE]],CONTROL[VEHIDCODE],0))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5" t="b">
        <f>IFERROR(OR(TRACK_TYPES[[#This Row],[TRACK_TYPE_STANDARD_GAUGE_RAILTYPE_OHLE]:[TRACK_TYPE_STANDARD_GAUGE_RAILTYPE_NONE]]),FALSE)</f>
        <v>0</v>
      </c>
      <c r="AF922" s="35" t="b">
        <f>IFERROR(OR(TRACK_TYPES[[#This Row],[TRACK_TYPE_NARROW_GAUGE_RAILTYPE_OHLE]:[TRACK_TYPE_NARROW_GAUGE_RAILTYPE_NONE]]),FALSE)</f>
        <v>1</v>
      </c>
      <c r="AG922" s="35" t="b">
        <f>IFERROR(OR(TRACK_TYPES[[#This Row],[TRACK_TYPE_BROAD_GAUGE_RAILTYPE_OHLE]:[TRACK_TYPE_BROAD_GAUGE_RAILTYPE_NONE]]),FALSE)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1849</v>
      </c>
      <c r="B923" s="37" t="str">
        <f>INDEX(CONTROL[ENGLISH],MATCH(PROPERTIES[[#This Row],[VEHIDCODE]],CONTROL[VEHIDCODE],0))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5" t="b">
        <f>IFERROR(OR(TRACK_TYPES[[#This Row],[TRACK_TYPE_STANDARD_GAUGE_RAILTYPE_OHLE]:[TRACK_TYPE_STANDARD_GAUGE_RAILTYPE_NONE]]),FALSE)</f>
        <v>1</v>
      </c>
      <c r="AF923" s="35" t="b">
        <f>IFERROR(OR(TRACK_TYPES[[#This Row],[TRACK_TYPE_NARROW_GAUGE_RAILTYPE_OHLE]:[TRACK_TYPE_NARROW_GAUGE_RAILTYPE_NONE]]),FALSE)</f>
        <v>0</v>
      </c>
      <c r="AG923" s="35" t="b">
        <f>IFERROR(OR(TRACK_TYPES[[#This Row],[TRACK_TYPE_BROAD_GAUGE_RAILTYPE_OHLE]:[TRACK_TYPE_BROAD_GAUGE_RAILTYPE_NONE]]),FALSE)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1850</v>
      </c>
      <c r="B924" s="37" t="str">
        <f>INDEX(CONTROL[ENGLISH],MATCH(PROPERTIES[[#This Row],[VEHIDCODE]],CONTROL[VEHIDCODE],0))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5" t="b">
        <f>IFERROR(OR(TRACK_TYPES[[#This Row],[TRACK_TYPE_STANDARD_GAUGE_RAILTYPE_OHLE]:[TRACK_TYPE_STANDARD_GAUGE_RAILTYPE_NONE]]),FALSE)</f>
        <v>1</v>
      </c>
      <c r="AF924" s="35" t="b">
        <f>IFERROR(OR(TRACK_TYPES[[#This Row],[TRACK_TYPE_NARROW_GAUGE_RAILTYPE_OHLE]:[TRACK_TYPE_NARROW_GAUGE_RAILTYPE_NONE]]),FALSE)</f>
        <v>0</v>
      </c>
      <c r="AG924" s="35" t="b">
        <f>IFERROR(OR(TRACK_TYPES[[#This Row],[TRACK_TYPE_BROAD_GAUGE_RAILTYPE_OHLE]:[TRACK_TYPE_BROAD_GAUGE_RAILTYPE_NONE]]),FALSE)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1854</v>
      </c>
      <c r="B925" s="37" t="str">
        <f>INDEX(CONTROL[ENGLISH],MATCH(PROPERTIES[[#This Row],[VEHIDCODE]],CONTROL[VEHIDCODE],0))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5" t="b">
        <f>IFERROR(OR(TRACK_TYPES[[#This Row],[TRACK_TYPE_STANDARD_GAUGE_RAILTYPE_OHLE]:[TRACK_TYPE_STANDARD_GAUGE_RAILTYPE_NONE]]),FALSE)</f>
        <v>1</v>
      </c>
      <c r="AF925" s="35" t="b">
        <f>IFERROR(OR(TRACK_TYPES[[#This Row],[TRACK_TYPE_NARROW_GAUGE_RAILTYPE_OHLE]:[TRACK_TYPE_NARROW_GAUGE_RAILTYPE_NONE]]),FALSE)</f>
        <v>0</v>
      </c>
      <c r="AG925" s="35" t="b">
        <f>IFERROR(OR(TRACK_TYPES[[#This Row],[TRACK_TYPE_BROAD_GAUGE_RAILTYPE_OHLE]:[TRACK_TYPE_BROAD_GAUGE_RAILTYPE_NONE]]),FALSE)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1856</v>
      </c>
      <c r="B926" s="37" t="str">
        <f>INDEX(CONTROL[ENGLISH],MATCH(PROPERTIES[[#This Row],[VEHIDCODE]],CONTROL[VEHIDCODE],0))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5" t="b">
        <f>IFERROR(OR(TRACK_TYPES[[#This Row],[TRACK_TYPE_STANDARD_GAUGE_RAILTYPE_OHLE]:[TRACK_TYPE_STANDARD_GAUGE_RAILTYPE_NONE]]),FALSE)</f>
        <v>1</v>
      </c>
      <c r="AF926" s="35" t="b">
        <f>IFERROR(OR(TRACK_TYPES[[#This Row],[TRACK_TYPE_NARROW_GAUGE_RAILTYPE_OHLE]:[TRACK_TYPE_NARROW_GAUGE_RAILTYPE_NONE]]),FALSE)</f>
        <v>0</v>
      </c>
      <c r="AG926" s="35" t="b">
        <f>IFERROR(OR(TRACK_TYPES[[#This Row],[TRACK_TYPE_BROAD_GAUGE_RAILTYPE_OHLE]:[TRACK_TYPE_BROAD_GAUGE_RAILTYPE_NONE]]),FALSE)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1857</v>
      </c>
      <c r="B927" s="37" t="str">
        <f>INDEX(CONTROL[ENGLISH],MATCH(PROPERTIES[[#This Row],[VEHIDCODE]],CONTROL[VEHIDCODE],0))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5" t="b">
        <f>IFERROR(OR(TRACK_TYPES[[#This Row],[TRACK_TYPE_STANDARD_GAUGE_RAILTYPE_OHLE]:[TRACK_TYPE_STANDARD_GAUGE_RAILTYPE_NONE]]),FALSE)</f>
        <v>1</v>
      </c>
      <c r="AF927" s="35" t="b">
        <f>IFERROR(OR(TRACK_TYPES[[#This Row],[TRACK_TYPE_NARROW_GAUGE_RAILTYPE_OHLE]:[TRACK_TYPE_NARROW_GAUGE_RAILTYPE_NONE]]),FALSE)</f>
        <v>0</v>
      </c>
      <c r="AG927" s="35" t="b">
        <f>IFERROR(OR(TRACK_TYPES[[#This Row],[TRACK_TYPE_BROAD_GAUGE_RAILTYPE_OHLE]:[TRACK_TYPE_BROAD_GAUGE_RAILTYPE_NONE]]),FALSE)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1859</v>
      </c>
      <c r="B928" s="37" t="str">
        <f>INDEX(CONTROL[ENGLISH],MATCH(PROPERTIES[[#This Row],[VEHIDCODE]],CONTROL[VEHIDCODE],0))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5" t="b">
        <f>IFERROR(OR(TRACK_TYPES[[#This Row],[TRACK_TYPE_STANDARD_GAUGE_RAILTYPE_OHLE]:[TRACK_TYPE_STANDARD_GAUGE_RAILTYPE_NONE]]),FALSE)</f>
        <v>0</v>
      </c>
      <c r="AF928" s="35" t="b">
        <f>IFERROR(OR(TRACK_TYPES[[#This Row],[TRACK_TYPE_NARROW_GAUGE_RAILTYPE_OHLE]:[TRACK_TYPE_NARROW_GAUGE_RAILTYPE_NONE]]),FALSE)</f>
        <v>1</v>
      </c>
      <c r="AG928" s="35" t="b">
        <f>IFERROR(OR(TRACK_TYPES[[#This Row],[TRACK_TYPE_BROAD_GAUGE_RAILTYPE_OHLE]:[TRACK_TYPE_BROAD_GAUGE_RAILTYPE_NONE]]),FALSE)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1861</v>
      </c>
      <c r="B929" s="37" t="str">
        <f>INDEX(CONTROL[ENGLISH],MATCH(PROPERTIES[[#This Row],[VEHIDCODE]],CONTROL[VEHIDCODE],0))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5" t="b">
        <f>IFERROR(OR(TRACK_TYPES[[#This Row],[TRACK_TYPE_STANDARD_GAUGE_RAILTYPE_OHLE]:[TRACK_TYPE_STANDARD_GAUGE_RAILTYPE_NONE]]),FALSE)</f>
        <v>0</v>
      </c>
      <c r="AF929" s="35" t="b">
        <f>IFERROR(OR(TRACK_TYPES[[#This Row],[TRACK_TYPE_NARROW_GAUGE_RAILTYPE_OHLE]:[TRACK_TYPE_NARROW_GAUGE_RAILTYPE_NONE]]),FALSE)</f>
        <v>1</v>
      </c>
      <c r="AG929" s="35" t="b">
        <f>IFERROR(OR(TRACK_TYPES[[#This Row],[TRACK_TYPE_BROAD_GAUGE_RAILTYPE_OHLE]:[TRACK_TYPE_BROAD_GAUGE_RAILTYPE_NONE]]),FALSE)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1862</v>
      </c>
      <c r="B930" s="37" t="str">
        <f>INDEX(CONTROL[ENGLISH],MATCH(PROPERTIES[[#This Row],[VEHIDCODE]],CONTROL[VEHIDCODE],0))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5" t="b">
        <f>IFERROR(OR(TRACK_TYPES[[#This Row],[TRACK_TYPE_STANDARD_GAUGE_RAILTYPE_OHLE]:[TRACK_TYPE_STANDARD_GAUGE_RAILTYPE_NONE]]),FALSE)</f>
        <v>0</v>
      </c>
      <c r="AF930" s="35" t="b">
        <f>IFERROR(OR(TRACK_TYPES[[#This Row],[TRACK_TYPE_NARROW_GAUGE_RAILTYPE_OHLE]:[TRACK_TYPE_NARROW_GAUGE_RAILTYPE_NONE]]),FALSE)</f>
        <v>1</v>
      </c>
      <c r="AG930" s="35" t="b">
        <f>IFERROR(OR(TRACK_TYPES[[#This Row],[TRACK_TYPE_BROAD_GAUGE_RAILTYPE_OHLE]:[TRACK_TYPE_BROAD_GAUGE_RAILTYPE_NONE]]),FALSE)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1870</v>
      </c>
      <c r="B931" s="37" t="str">
        <f>INDEX(CONTROL[ENGLISH],MATCH(PROPERTIES[[#This Row],[VEHIDCODE]],CONTROL[VEHIDCODE],0))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5" t="b">
        <f>IFERROR(OR(TRACK_TYPES[[#This Row],[TRACK_TYPE_STANDARD_GAUGE_RAILTYPE_OHLE]:[TRACK_TYPE_STANDARD_GAUGE_RAILTYPE_NONE]]),FALSE)</f>
        <v>0</v>
      </c>
      <c r="AF931" s="35" t="b">
        <f>IFERROR(OR(TRACK_TYPES[[#This Row],[TRACK_TYPE_NARROW_GAUGE_RAILTYPE_OHLE]:[TRACK_TYPE_NARROW_GAUGE_RAILTYPE_NONE]]),FALSE)</f>
        <v>1</v>
      </c>
      <c r="AG931" s="35" t="b">
        <f>IFERROR(OR(TRACK_TYPES[[#This Row],[TRACK_TYPE_BROAD_GAUGE_RAILTYPE_OHLE]:[TRACK_TYPE_BROAD_GAUGE_RAILTYPE_NONE]]),FALSE)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1871</v>
      </c>
      <c r="B932" s="37" t="str">
        <f>INDEX(CONTROL[ENGLISH],MATCH(PROPERTIES[[#This Row],[VEHIDCODE]],CONTROL[VEHIDCODE],0))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5" t="b">
        <f>IFERROR(OR(TRACK_TYPES[[#This Row],[TRACK_TYPE_STANDARD_GAUGE_RAILTYPE_OHLE]:[TRACK_TYPE_STANDARD_GAUGE_RAILTYPE_NONE]]),FALSE)</f>
        <v>0</v>
      </c>
      <c r="AF932" s="35" t="b">
        <f>IFERROR(OR(TRACK_TYPES[[#This Row],[TRACK_TYPE_NARROW_GAUGE_RAILTYPE_OHLE]:[TRACK_TYPE_NARROW_GAUGE_RAILTYPE_NONE]]),FALSE)</f>
        <v>1</v>
      </c>
      <c r="AG932" s="35" t="b">
        <f>IFERROR(OR(TRACK_TYPES[[#This Row],[TRACK_TYPE_BROAD_GAUGE_RAILTYPE_OHLE]:[TRACK_TYPE_BROAD_GAUGE_RAILTYPE_NONE]]),FALSE)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1873</v>
      </c>
      <c r="B933" s="37" t="str">
        <f>INDEX(CONTROL[ENGLISH],MATCH(PROPERTIES[[#This Row],[VEHIDCODE]],CONTROL[VEHIDCODE],0))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5" t="b">
        <f>IFERROR(OR(TRACK_TYPES[[#This Row],[TRACK_TYPE_STANDARD_GAUGE_RAILTYPE_OHLE]:[TRACK_TYPE_STANDARD_GAUGE_RAILTYPE_NONE]]),FALSE)</f>
        <v>1</v>
      </c>
      <c r="AF933" s="35" t="b">
        <f>IFERROR(OR(TRACK_TYPES[[#This Row],[TRACK_TYPE_NARROW_GAUGE_RAILTYPE_OHLE]:[TRACK_TYPE_NARROW_GAUGE_RAILTYPE_NONE]]),FALSE)</f>
        <v>0</v>
      </c>
      <c r="AG933" s="35" t="b">
        <f>IFERROR(OR(TRACK_TYPES[[#This Row],[TRACK_TYPE_BROAD_GAUGE_RAILTYPE_OHLE]:[TRACK_TYPE_BROAD_GAUGE_RAILTYPE_NONE]]),FALSE)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3358</v>
      </c>
      <c r="B934" s="37" t="str">
        <f>INDEX(CONTROL[ENGLISH],MATCH(PROPERTIES[[#This Row],[VEHIDCODE]],CONTROL[VEHIDCODE],0))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5" t="b">
        <f>IFERROR(OR(TRACK_TYPES[[#This Row],[TRACK_TYPE_STANDARD_GAUGE_RAILTYPE_OHLE]:[TRACK_TYPE_STANDARD_GAUGE_RAILTYPE_NONE]]),FALSE)</f>
        <v>1</v>
      </c>
      <c r="AF934" s="35" t="b">
        <f>IFERROR(OR(TRACK_TYPES[[#This Row],[TRACK_TYPE_NARROW_GAUGE_RAILTYPE_OHLE]:[TRACK_TYPE_NARROW_GAUGE_RAILTYPE_NONE]]),FALSE)</f>
        <v>0</v>
      </c>
      <c r="AG934" s="35" t="b">
        <f>IFERROR(OR(TRACK_TYPES[[#This Row],[TRACK_TYPE_BROAD_GAUGE_RAILTYPE_OHLE]:[TRACK_TYPE_BROAD_GAUGE_RAILTYPE_NONE]]),FALSE)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3232</v>
      </c>
      <c r="B935" s="37" t="str">
        <f>INDEX(CONTROL[ENGLISH],MATCH(PROPERTIES[[#This Row],[VEHIDCODE]],CONTROL[VEHIDCODE],0))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5" t="b">
        <f>IFERROR(OR(TRACK_TYPES[[#This Row],[TRACK_TYPE_STANDARD_GAUGE_RAILTYPE_OHLE]:[TRACK_TYPE_STANDARD_GAUGE_RAILTYPE_NONE]]),FALSE)</f>
        <v>0</v>
      </c>
      <c r="AF935" s="35" t="b">
        <f>IFERROR(OR(TRACK_TYPES[[#This Row],[TRACK_TYPE_NARROW_GAUGE_RAILTYPE_OHLE]:[TRACK_TYPE_NARROW_GAUGE_RAILTYPE_NONE]]),FALSE)</f>
        <v>1</v>
      </c>
      <c r="AG935" s="35" t="b">
        <f>IFERROR(OR(TRACK_TYPES[[#This Row],[TRACK_TYPE_BROAD_GAUGE_RAILTYPE_OHLE]:[TRACK_TYPE_BROAD_GAUGE_RAILTYPE_NONE]]),FALSE)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3359</v>
      </c>
      <c r="B936" s="37" t="str">
        <f>INDEX(CONTROL[ENGLISH],MATCH(PROPERTIES[[#This Row],[VEHIDCODE]],CONTROL[VEHIDCODE],0))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5" t="b">
        <f>IFERROR(OR(TRACK_TYPES[[#This Row],[TRACK_TYPE_STANDARD_GAUGE_RAILTYPE_OHLE]:[TRACK_TYPE_STANDARD_GAUGE_RAILTYPE_NONE]]),FALSE)</f>
        <v>0</v>
      </c>
      <c r="AF936" s="35" t="b">
        <f>IFERROR(OR(TRACK_TYPES[[#This Row],[TRACK_TYPE_NARROW_GAUGE_RAILTYPE_OHLE]:[TRACK_TYPE_NARROW_GAUGE_RAILTYPE_NONE]]),FALSE)</f>
        <v>1</v>
      </c>
      <c r="AG936" s="35" t="b">
        <f>IFERROR(OR(TRACK_TYPES[[#This Row],[TRACK_TYPE_BROAD_GAUGE_RAILTYPE_OHLE]:[TRACK_TYPE_BROAD_GAUGE_RAILTYPE_NONE]]),FALSE)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3360</v>
      </c>
      <c r="B937" s="37" t="str">
        <f>INDEX(CONTROL[ENGLISH],MATCH(PROPERTIES[[#This Row],[VEHIDCODE]],CONTROL[VEHIDCODE],0))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5" t="b">
        <f>IFERROR(OR(TRACK_TYPES[[#This Row],[TRACK_TYPE_STANDARD_GAUGE_RAILTYPE_OHLE]:[TRACK_TYPE_STANDARD_GAUGE_RAILTYPE_NONE]]),FALSE)</f>
        <v>0</v>
      </c>
      <c r="AF937" s="35" t="b">
        <f>IFERROR(OR(TRACK_TYPES[[#This Row],[TRACK_TYPE_NARROW_GAUGE_RAILTYPE_OHLE]:[TRACK_TYPE_NARROW_GAUGE_RAILTYPE_NONE]]),FALSE)</f>
        <v>1</v>
      </c>
      <c r="AG937" s="35" t="b">
        <f>IFERROR(OR(TRACK_TYPES[[#This Row],[TRACK_TYPE_BROAD_GAUGE_RAILTYPE_OHLE]:[TRACK_TYPE_BROAD_GAUGE_RAILTYPE_NONE]]),FALSE)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3361</v>
      </c>
      <c r="B938" s="37" t="str">
        <f>INDEX(CONTROL[ENGLISH],MATCH(PROPERTIES[[#This Row],[VEHIDCODE]],CONTROL[VEHIDCODE],0))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5" t="b">
        <f>IFERROR(OR(TRACK_TYPES[[#This Row],[TRACK_TYPE_STANDARD_GAUGE_RAILTYPE_OHLE]:[TRACK_TYPE_STANDARD_GAUGE_RAILTYPE_NONE]]),FALSE)</f>
        <v>1</v>
      </c>
      <c r="AF938" s="35" t="b">
        <f>IFERROR(OR(TRACK_TYPES[[#This Row],[TRACK_TYPE_NARROW_GAUGE_RAILTYPE_OHLE]:[TRACK_TYPE_NARROW_GAUGE_RAILTYPE_NONE]]),FALSE)</f>
        <v>0</v>
      </c>
      <c r="AG938" s="35" t="b">
        <f>IFERROR(OR(TRACK_TYPES[[#This Row],[TRACK_TYPE_BROAD_GAUGE_RAILTYPE_OHLE]:[TRACK_TYPE_BROAD_GAUGE_RAILTYPE_NONE]]),FALSE)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3362</v>
      </c>
      <c r="B939" s="37" t="str">
        <f>INDEX(CONTROL[ENGLISH],MATCH(PROPERTIES[[#This Row],[VEHIDCODE]],CONTROL[VEHIDCODE],0))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5" t="b">
        <f>IFERROR(OR(TRACK_TYPES[[#This Row],[TRACK_TYPE_STANDARD_GAUGE_RAILTYPE_OHLE]:[TRACK_TYPE_STANDARD_GAUGE_RAILTYPE_NONE]]),FALSE)</f>
        <v>0</v>
      </c>
      <c r="AF939" s="35" t="b">
        <f>IFERROR(OR(TRACK_TYPES[[#This Row],[TRACK_TYPE_NARROW_GAUGE_RAILTYPE_OHLE]:[TRACK_TYPE_NARROW_GAUGE_RAILTYPE_NONE]]),FALSE)</f>
        <v>1</v>
      </c>
      <c r="AG939" s="35" t="b">
        <f>IFERROR(OR(TRACK_TYPES[[#This Row],[TRACK_TYPE_BROAD_GAUGE_RAILTYPE_OHLE]:[TRACK_TYPE_BROAD_GAUGE_RAILTYPE_NONE]]),FALSE)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3363</v>
      </c>
      <c r="B940" s="37" t="str">
        <f>INDEX(CONTROL[ENGLISH],MATCH(PROPERTIES[[#This Row],[VEHIDCODE]],CONTROL[VEHIDCODE],0))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5" t="b">
        <f>IFERROR(OR(TRACK_TYPES[[#This Row],[TRACK_TYPE_STANDARD_GAUGE_RAILTYPE_OHLE]:[TRACK_TYPE_STANDARD_GAUGE_RAILTYPE_NONE]]),FALSE)</f>
        <v>1</v>
      </c>
      <c r="AF940" s="35" t="b">
        <f>IFERROR(OR(TRACK_TYPES[[#This Row],[TRACK_TYPE_NARROW_GAUGE_RAILTYPE_OHLE]:[TRACK_TYPE_NARROW_GAUGE_RAILTYPE_NONE]]),FALSE)</f>
        <v>0</v>
      </c>
      <c r="AG940" s="35" t="b">
        <f>IFERROR(OR(TRACK_TYPES[[#This Row],[TRACK_TYPE_BROAD_GAUGE_RAILTYPE_OHLE]:[TRACK_TYPE_BROAD_GAUGE_RAILTYPE_NONE]]),FALSE)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3364</v>
      </c>
      <c r="B941" s="37" t="str">
        <f>INDEX(CONTROL[ENGLISH],MATCH(PROPERTIES[[#This Row],[VEHIDCODE]],CONTROL[VEHIDCODE],0))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5" t="b">
        <f>IFERROR(OR(TRACK_TYPES[[#This Row],[TRACK_TYPE_STANDARD_GAUGE_RAILTYPE_OHLE]:[TRACK_TYPE_STANDARD_GAUGE_RAILTYPE_NONE]]),FALSE)</f>
        <v>1</v>
      </c>
      <c r="AF941" s="35" t="b">
        <f>IFERROR(OR(TRACK_TYPES[[#This Row],[TRACK_TYPE_NARROW_GAUGE_RAILTYPE_OHLE]:[TRACK_TYPE_NARROW_GAUGE_RAILTYPE_NONE]]),FALSE)</f>
        <v>0</v>
      </c>
      <c r="AG941" s="35" t="b">
        <f>IFERROR(OR(TRACK_TYPES[[#This Row],[TRACK_TYPE_BROAD_GAUGE_RAILTYPE_OHLE]:[TRACK_TYPE_BROAD_GAUGE_RAILTYPE_NONE]]),FALSE)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3365</v>
      </c>
      <c r="B942" s="37" t="str">
        <f>INDEX(CONTROL[ENGLISH],MATCH(PROPERTIES[[#This Row],[VEHIDCODE]],CONTROL[VEHIDCODE],0))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5" t="b">
        <f>IFERROR(OR(TRACK_TYPES[[#This Row],[TRACK_TYPE_STANDARD_GAUGE_RAILTYPE_OHLE]:[TRACK_TYPE_STANDARD_GAUGE_RAILTYPE_NONE]]),FALSE)</f>
        <v>1</v>
      </c>
      <c r="AF942" s="35" t="b">
        <f>IFERROR(OR(TRACK_TYPES[[#This Row],[TRACK_TYPE_NARROW_GAUGE_RAILTYPE_OHLE]:[TRACK_TYPE_NARROW_GAUGE_RAILTYPE_NONE]]),FALSE)</f>
        <v>0</v>
      </c>
      <c r="AG942" s="35" t="b">
        <f>IFERROR(OR(TRACK_TYPES[[#This Row],[TRACK_TYPE_BROAD_GAUGE_RAILTYPE_OHLE]:[TRACK_TYPE_BROAD_GAUGE_RAILTYPE_NONE]]),FALSE)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3366</v>
      </c>
      <c r="B943" s="37" t="str">
        <f>INDEX(CONTROL[ENGLISH],MATCH(PROPERTIES[[#This Row],[VEHIDCODE]],CONTROL[VEHIDCODE],0))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5" t="b">
        <f>IFERROR(OR(TRACK_TYPES[[#This Row],[TRACK_TYPE_STANDARD_GAUGE_RAILTYPE_OHLE]:[TRACK_TYPE_STANDARD_GAUGE_RAILTYPE_NONE]]),FALSE)</f>
        <v>1</v>
      </c>
      <c r="AF943" s="35" t="b">
        <f>IFERROR(OR(TRACK_TYPES[[#This Row],[TRACK_TYPE_NARROW_GAUGE_RAILTYPE_OHLE]:[TRACK_TYPE_NARROW_GAUGE_RAILTYPE_NONE]]),FALSE)</f>
        <v>0</v>
      </c>
      <c r="AG943" s="35" t="b">
        <f>IFERROR(OR(TRACK_TYPES[[#This Row],[TRACK_TYPE_BROAD_GAUGE_RAILTYPE_OHLE]:[TRACK_TYPE_BROAD_GAUGE_RAILTYPE_NONE]]),FALSE)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3367</v>
      </c>
      <c r="B944" s="37" t="str">
        <f>INDEX(CONTROL[ENGLISH],MATCH(PROPERTIES[[#This Row],[VEHIDCODE]],CONTROL[VEHIDCODE],0))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5" t="b">
        <f>IFERROR(OR(TRACK_TYPES[[#This Row],[TRACK_TYPE_STANDARD_GAUGE_RAILTYPE_OHLE]:[TRACK_TYPE_STANDARD_GAUGE_RAILTYPE_NONE]]),FALSE)</f>
        <v>1</v>
      </c>
      <c r="AF944" s="35" t="b">
        <f>IFERROR(OR(TRACK_TYPES[[#This Row],[TRACK_TYPE_NARROW_GAUGE_RAILTYPE_OHLE]:[TRACK_TYPE_NARROW_GAUGE_RAILTYPE_NONE]]),FALSE)</f>
        <v>0</v>
      </c>
      <c r="AG944" s="35" t="b">
        <f>IFERROR(OR(TRACK_TYPES[[#This Row],[TRACK_TYPE_BROAD_GAUGE_RAILTYPE_OHLE]:[TRACK_TYPE_BROAD_GAUGE_RAILTYPE_NONE]]),FALSE)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3368</v>
      </c>
      <c r="B945" s="37" t="str">
        <f>INDEX(CONTROL[ENGLISH],MATCH(PROPERTIES[[#This Row],[VEHIDCODE]],CONTROL[VEHIDCODE],0))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5" t="b">
        <f>IFERROR(OR(TRACK_TYPES[[#This Row],[TRACK_TYPE_STANDARD_GAUGE_RAILTYPE_OHLE]:[TRACK_TYPE_STANDARD_GAUGE_RAILTYPE_NONE]]),FALSE)</f>
        <v>1</v>
      </c>
      <c r="AF945" s="35" t="b">
        <f>IFERROR(OR(TRACK_TYPES[[#This Row],[TRACK_TYPE_NARROW_GAUGE_RAILTYPE_OHLE]:[TRACK_TYPE_NARROW_GAUGE_RAILTYPE_NONE]]),FALSE)</f>
        <v>0</v>
      </c>
      <c r="AG945" s="35" t="b">
        <f>IFERROR(OR(TRACK_TYPES[[#This Row],[TRACK_TYPE_BROAD_GAUGE_RAILTYPE_OHLE]:[TRACK_TYPE_BROAD_GAUGE_RAILTYPE_NONE]]),FALSE)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3369</v>
      </c>
      <c r="B946" s="37" t="str">
        <f>INDEX(CONTROL[ENGLISH],MATCH(PROPERTIES[[#This Row],[VEHIDCODE]],CONTROL[VEHIDCODE],0))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5" t="b">
        <f>IFERROR(OR(TRACK_TYPES[[#This Row],[TRACK_TYPE_STANDARD_GAUGE_RAILTYPE_OHLE]:[TRACK_TYPE_STANDARD_GAUGE_RAILTYPE_NONE]]),FALSE)</f>
        <v>1</v>
      </c>
      <c r="AF946" s="35" t="b">
        <f>IFERROR(OR(TRACK_TYPES[[#This Row],[TRACK_TYPE_NARROW_GAUGE_RAILTYPE_OHLE]:[TRACK_TYPE_NARROW_GAUGE_RAILTYPE_NONE]]),FALSE)</f>
        <v>0</v>
      </c>
      <c r="AG946" s="35" t="b">
        <f>IFERROR(OR(TRACK_TYPES[[#This Row],[TRACK_TYPE_BROAD_GAUGE_RAILTYPE_OHLE]:[TRACK_TYPE_BROAD_GAUGE_RAILTYPE_NONE]]),FALSE)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3370</v>
      </c>
      <c r="B947" s="37" t="str">
        <f>INDEX(CONTROL[ENGLISH],MATCH(PROPERTIES[[#This Row],[VEHIDCODE]],CONTROL[VEHIDCODE],0))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5" t="b">
        <f>IFERROR(OR(TRACK_TYPES[[#This Row],[TRACK_TYPE_STANDARD_GAUGE_RAILTYPE_OHLE]:[TRACK_TYPE_STANDARD_GAUGE_RAILTYPE_NONE]]),FALSE)</f>
        <v>1</v>
      </c>
      <c r="AF947" s="35" t="b">
        <f>IFERROR(OR(TRACK_TYPES[[#This Row],[TRACK_TYPE_NARROW_GAUGE_RAILTYPE_OHLE]:[TRACK_TYPE_NARROW_GAUGE_RAILTYPE_NONE]]),FALSE)</f>
        <v>0</v>
      </c>
      <c r="AG947" s="35" t="b">
        <f>IFERROR(OR(TRACK_TYPES[[#This Row],[TRACK_TYPE_BROAD_GAUGE_RAILTYPE_OHLE]:[TRACK_TYPE_BROAD_GAUGE_RAILTYPE_NONE]]),FALSE)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3371</v>
      </c>
      <c r="B948" s="37" t="str">
        <f>INDEX(CONTROL[ENGLISH],MATCH(PROPERTIES[[#This Row],[VEHIDCODE]],CONTROL[VEHIDCODE],0))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5" t="b">
        <f>IFERROR(OR(TRACK_TYPES[[#This Row],[TRACK_TYPE_STANDARD_GAUGE_RAILTYPE_OHLE]:[TRACK_TYPE_STANDARD_GAUGE_RAILTYPE_NONE]]),FALSE)</f>
        <v>1</v>
      </c>
      <c r="AF948" s="35" t="b">
        <f>IFERROR(OR(TRACK_TYPES[[#This Row],[TRACK_TYPE_NARROW_GAUGE_RAILTYPE_OHLE]:[TRACK_TYPE_NARROW_GAUGE_RAILTYPE_NONE]]),FALSE)</f>
        <v>0</v>
      </c>
      <c r="AG948" s="35" t="b">
        <f>IFERROR(OR(TRACK_TYPES[[#This Row],[TRACK_TYPE_BROAD_GAUGE_RAILTYPE_OHLE]:[TRACK_TYPE_BROAD_GAUGE_RAILTYPE_NONE]]),FALSE)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3372</v>
      </c>
      <c r="B949" s="37" t="str">
        <f>INDEX(CONTROL[ENGLISH],MATCH(PROPERTIES[[#This Row],[VEHIDCODE]],CONTROL[VEHIDCODE],0))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5" t="b">
        <f>IFERROR(OR(TRACK_TYPES[[#This Row],[TRACK_TYPE_STANDARD_GAUGE_RAILTYPE_OHLE]:[TRACK_TYPE_STANDARD_GAUGE_RAILTYPE_NONE]]),FALSE)</f>
        <v>1</v>
      </c>
      <c r="AF949" s="35" t="b">
        <f>IFERROR(OR(TRACK_TYPES[[#This Row],[TRACK_TYPE_NARROW_GAUGE_RAILTYPE_OHLE]:[TRACK_TYPE_NARROW_GAUGE_RAILTYPE_NONE]]),FALSE)</f>
        <v>0</v>
      </c>
      <c r="AG949" s="35" t="b">
        <f>IFERROR(OR(TRACK_TYPES[[#This Row],[TRACK_TYPE_BROAD_GAUGE_RAILTYPE_OHLE]:[TRACK_TYPE_BROAD_GAUGE_RAILTYPE_NONE]]),FALSE)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3373</v>
      </c>
      <c r="B950" s="37" t="str">
        <f>INDEX(CONTROL[ENGLISH],MATCH(PROPERTIES[[#This Row],[VEHIDCODE]],CONTROL[VEHIDCODE],0))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5" t="b">
        <f>IFERROR(OR(TRACK_TYPES[[#This Row],[TRACK_TYPE_STANDARD_GAUGE_RAILTYPE_OHLE]:[TRACK_TYPE_STANDARD_GAUGE_RAILTYPE_NONE]]),FALSE)</f>
        <v>1</v>
      </c>
      <c r="AF950" s="35" t="b">
        <f>IFERROR(OR(TRACK_TYPES[[#This Row],[TRACK_TYPE_NARROW_GAUGE_RAILTYPE_OHLE]:[TRACK_TYPE_NARROW_GAUGE_RAILTYPE_NONE]]),FALSE)</f>
        <v>0</v>
      </c>
      <c r="AG950" s="35" t="b">
        <f>IFERROR(OR(TRACK_TYPES[[#This Row],[TRACK_TYPE_BROAD_GAUGE_RAILTYPE_OHLE]:[TRACK_TYPE_BROAD_GAUGE_RAILTYPE_NONE]]),FALSE)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3374</v>
      </c>
      <c r="B951" s="37" t="str">
        <f>INDEX(CONTROL[ENGLISH],MATCH(PROPERTIES[[#This Row],[VEHIDCODE]],CONTROL[VEHIDCODE],0))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5" t="b">
        <f>IFERROR(OR(TRACK_TYPES[[#This Row],[TRACK_TYPE_STANDARD_GAUGE_RAILTYPE_OHLE]:[TRACK_TYPE_STANDARD_GAUGE_RAILTYPE_NONE]]),FALSE)</f>
        <v>1</v>
      </c>
      <c r="AF951" s="35" t="b">
        <f>IFERROR(OR(TRACK_TYPES[[#This Row],[TRACK_TYPE_NARROW_GAUGE_RAILTYPE_OHLE]:[TRACK_TYPE_NARROW_GAUGE_RAILTYPE_NONE]]),FALSE)</f>
        <v>1</v>
      </c>
      <c r="AG951" s="35" t="b">
        <f>IFERROR(OR(TRACK_TYPES[[#This Row],[TRACK_TYPE_BROAD_GAUGE_RAILTYPE_OHLE]:[TRACK_TYPE_BROAD_GAUGE_RAILTYPE_NONE]]),FALSE)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3375</v>
      </c>
      <c r="B952" s="37" t="str">
        <f>INDEX(CONTROL[ENGLISH],MATCH(PROPERTIES[[#This Row],[VEHIDCODE]],CONTROL[VEHIDCODE],0))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5" t="b">
        <f>IFERROR(OR(TRACK_TYPES[[#This Row],[TRACK_TYPE_STANDARD_GAUGE_RAILTYPE_OHLE]:[TRACK_TYPE_STANDARD_GAUGE_RAILTYPE_NONE]]),FALSE)</f>
        <v>1</v>
      </c>
      <c r="AF952" s="35" t="b">
        <f>IFERROR(OR(TRACK_TYPES[[#This Row],[TRACK_TYPE_NARROW_GAUGE_RAILTYPE_OHLE]:[TRACK_TYPE_NARROW_GAUGE_RAILTYPE_NONE]]),FALSE)</f>
        <v>0</v>
      </c>
      <c r="AG952" s="35" t="b">
        <f>IFERROR(OR(TRACK_TYPES[[#This Row],[TRACK_TYPE_BROAD_GAUGE_RAILTYPE_OHLE]:[TRACK_TYPE_BROAD_GAUGE_RAILTYPE_NONE]]),FALSE)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3376</v>
      </c>
      <c r="B953" s="37" t="str">
        <f>INDEX(CONTROL[ENGLISH],MATCH(PROPERTIES[[#This Row],[VEHIDCODE]],CONTROL[VEHIDCODE],0))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5" t="b">
        <f>IFERROR(OR(TRACK_TYPES[[#This Row],[TRACK_TYPE_STANDARD_GAUGE_RAILTYPE_OHLE]:[TRACK_TYPE_STANDARD_GAUGE_RAILTYPE_NONE]]),FALSE)</f>
        <v>1</v>
      </c>
      <c r="AF953" s="35" t="b">
        <f>IFERROR(OR(TRACK_TYPES[[#This Row],[TRACK_TYPE_NARROW_GAUGE_RAILTYPE_OHLE]:[TRACK_TYPE_NARROW_GAUGE_RAILTYPE_NONE]]),FALSE)</f>
        <v>1</v>
      </c>
      <c r="AG953" s="35" t="b">
        <f>IFERROR(OR(TRACK_TYPES[[#This Row],[TRACK_TYPE_BROAD_GAUGE_RAILTYPE_OHLE]:[TRACK_TYPE_BROAD_GAUGE_RAILTYPE_NONE]]),FALSE)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3377</v>
      </c>
      <c r="B954" s="37" t="str">
        <f>INDEX(CONTROL[ENGLISH],MATCH(PROPERTIES[[#This Row],[VEHIDCODE]],CONTROL[VEHIDCODE],0))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5" t="b">
        <f>IFERROR(OR(TRACK_TYPES[[#This Row],[TRACK_TYPE_STANDARD_GAUGE_RAILTYPE_OHLE]:[TRACK_TYPE_STANDARD_GAUGE_RAILTYPE_NONE]]),FALSE)</f>
        <v>1</v>
      </c>
      <c r="AF954" s="35" t="b">
        <f>IFERROR(OR(TRACK_TYPES[[#This Row],[TRACK_TYPE_NARROW_GAUGE_RAILTYPE_OHLE]:[TRACK_TYPE_NARROW_GAUGE_RAILTYPE_NONE]]),FALSE)</f>
        <v>0</v>
      </c>
      <c r="AG954" s="35" t="b">
        <f>IFERROR(OR(TRACK_TYPES[[#This Row],[TRACK_TYPE_BROAD_GAUGE_RAILTYPE_OHLE]:[TRACK_TYPE_BROAD_GAUGE_RAILTYPE_NONE]]),FALSE)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3378</v>
      </c>
      <c r="B955" s="37" t="str">
        <f>INDEX(CONTROL[ENGLISH],MATCH(PROPERTIES[[#This Row],[VEHIDCODE]],CONTROL[VEHIDCODE],0))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5" t="b">
        <f>IFERROR(OR(TRACK_TYPES[[#This Row],[TRACK_TYPE_STANDARD_GAUGE_RAILTYPE_OHLE]:[TRACK_TYPE_STANDARD_GAUGE_RAILTYPE_NONE]]),FALSE)</f>
        <v>1</v>
      </c>
      <c r="AF955" s="35" t="b">
        <f>IFERROR(OR(TRACK_TYPES[[#This Row],[TRACK_TYPE_NARROW_GAUGE_RAILTYPE_OHLE]:[TRACK_TYPE_NARROW_GAUGE_RAILTYPE_NONE]]),FALSE)</f>
        <v>0</v>
      </c>
      <c r="AG955" s="35" t="b">
        <f>IFERROR(OR(TRACK_TYPES[[#This Row],[TRACK_TYPE_BROAD_GAUGE_RAILTYPE_OHLE]:[TRACK_TYPE_BROAD_GAUGE_RAILTYPE_NONE]]),FALSE)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3379</v>
      </c>
      <c r="B956" s="37" t="str">
        <f>INDEX(CONTROL[ENGLISH],MATCH(PROPERTIES[[#This Row],[VEHIDCODE]],CONTROL[VEHIDCODE],0))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5" t="b">
        <f>IFERROR(OR(TRACK_TYPES[[#This Row],[TRACK_TYPE_STANDARD_GAUGE_RAILTYPE_OHLE]:[TRACK_TYPE_STANDARD_GAUGE_RAILTYPE_NONE]]),FALSE)</f>
        <v>1</v>
      </c>
      <c r="AF956" s="35" t="b">
        <f>IFERROR(OR(TRACK_TYPES[[#This Row],[TRACK_TYPE_NARROW_GAUGE_RAILTYPE_OHLE]:[TRACK_TYPE_NARROW_GAUGE_RAILTYPE_NONE]]),FALSE)</f>
        <v>0</v>
      </c>
      <c r="AG956" s="35" t="b">
        <f>IFERROR(OR(TRACK_TYPES[[#This Row],[TRACK_TYPE_BROAD_GAUGE_RAILTYPE_OHLE]:[TRACK_TYPE_BROAD_GAUGE_RAILTYPE_NONE]]),FALSE)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3469</v>
      </c>
      <c r="B957" s="37" t="str">
        <f>INDEX(CONTROL[ENGLISH],MATCH(PROPERTIES[[#This Row],[VEHIDCODE]],CONTROL[VEHIDCODE],0))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5" t="b">
        <f>IFERROR(OR(TRACK_TYPES[[#This Row],[TRACK_TYPE_STANDARD_GAUGE_RAILTYPE_OHLE]:[TRACK_TYPE_STANDARD_GAUGE_RAILTYPE_NONE]]),FALSE)</f>
        <v>1</v>
      </c>
      <c r="AF957" s="35" t="b">
        <f>IFERROR(OR(TRACK_TYPES[[#This Row],[TRACK_TYPE_NARROW_GAUGE_RAILTYPE_OHLE]:[TRACK_TYPE_NARROW_GAUGE_RAILTYPE_NONE]]),FALSE)</f>
        <v>0</v>
      </c>
      <c r="AG957" s="35" t="b">
        <f>IFERROR(OR(TRACK_TYPES[[#This Row],[TRACK_TYPE_BROAD_GAUGE_RAILTYPE_OHLE]:[TRACK_TYPE_BROAD_GAUGE_RAILTYPE_NONE]]),FALSE)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3380</v>
      </c>
      <c r="B958" s="37" t="str">
        <f>INDEX(CONTROL[ENGLISH],MATCH(PROPERTIES[[#This Row],[VEHIDCODE]],CONTROL[VEHIDCODE],0))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5" t="b">
        <f>IFERROR(OR(TRACK_TYPES[[#This Row],[TRACK_TYPE_STANDARD_GAUGE_RAILTYPE_OHLE]:[TRACK_TYPE_STANDARD_GAUGE_RAILTYPE_NONE]]),FALSE)</f>
        <v>1</v>
      </c>
      <c r="AF958" s="35" t="b">
        <f>IFERROR(OR(TRACK_TYPES[[#This Row],[TRACK_TYPE_NARROW_GAUGE_RAILTYPE_OHLE]:[TRACK_TYPE_NARROW_GAUGE_RAILTYPE_NONE]]),FALSE)</f>
        <v>0</v>
      </c>
      <c r="AG958" s="35" t="b">
        <f>IFERROR(OR(TRACK_TYPES[[#This Row],[TRACK_TYPE_BROAD_GAUGE_RAILTYPE_OHLE]:[TRACK_TYPE_BROAD_GAUGE_RAILTYPE_NONE]]),FALSE)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3381</v>
      </c>
      <c r="B959" s="37" t="str">
        <f>INDEX(CONTROL[ENGLISH],MATCH(PROPERTIES[[#This Row],[VEHIDCODE]],CONTROL[VEHIDCODE],0))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5" t="b">
        <f>IFERROR(OR(TRACK_TYPES[[#This Row],[TRACK_TYPE_STANDARD_GAUGE_RAILTYPE_OHLE]:[TRACK_TYPE_STANDARD_GAUGE_RAILTYPE_NONE]]),FALSE)</f>
        <v>1</v>
      </c>
      <c r="AF959" s="35" t="b">
        <f>IFERROR(OR(TRACK_TYPES[[#This Row],[TRACK_TYPE_NARROW_GAUGE_RAILTYPE_OHLE]:[TRACK_TYPE_NARROW_GAUGE_RAILTYPE_NONE]]),FALSE)</f>
        <v>0</v>
      </c>
      <c r="AG959" s="35" t="b">
        <f>IFERROR(OR(TRACK_TYPES[[#This Row],[TRACK_TYPE_BROAD_GAUGE_RAILTYPE_OHLE]:[TRACK_TYPE_BROAD_GAUGE_RAILTYPE_NONE]]),FALSE)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3382</v>
      </c>
      <c r="B960" s="37" t="str">
        <f>INDEX(CONTROL[ENGLISH],MATCH(PROPERTIES[[#This Row],[VEHIDCODE]],CONTROL[VEHIDCODE],0))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5" t="b">
        <f>IFERROR(OR(TRACK_TYPES[[#This Row],[TRACK_TYPE_STANDARD_GAUGE_RAILTYPE_OHLE]:[TRACK_TYPE_STANDARD_GAUGE_RAILTYPE_NONE]]),FALSE)</f>
        <v>1</v>
      </c>
      <c r="AF960" s="35" t="b">
        <f>IFERROR(OR(TRACK_TYPES[[#This Row],[TRACK_TYPE_NARROW_GAUGE_RAILTYPE_OHLE]:[TRACK_TYPE_NARROW_GAUGE_RAILTYPE_NONE]]),FALSE)</f>
        <v>0</v>
      </c>
      <c r="AG960" s="35" t="b">
        <f>IFERROR(OR(TRACK_TYPES[[#This Row],[TRACK_TYPE_BROAD_GAUGE_RAILTYPE_OHLE]:[TRACK_TYPE_BROAD_GAUGE_RAILTYPE_NONE]]),FALSE)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3383</v>
      </c>
      <c r="B961" s="37" t="str">
        <f>INDEX(CONTROL[ENGLISH],MATCH(PROPERTIES[[#This Row],[VEHIDCODE]],CONTROL[VEHIDCODE],0))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5" t="b">
        <f>IFERROR(OR(TRACK_TYPES[[#This Row],[TRACK_TYPE_STANDARD_GAUGE_RAILTYPE_OHLE]:[TRACK_TYPE_STANDARD_GAUGE_RAILTYPE_NONE]]),FALSE)</f>
        <v>0</v>
      </c>
      <c r="AF961" s="35" t="b">
        <f>IFERROR(OR(TRACK_TYPES[[#This Row],[TRACK_TYPE_NARROW_GAUGE_RAILTYPE_OHLE]:[TRACK_TYPE_NARROW_GAUGE_RAILTYPE_NONE]]),FALSE)</f>
        <v>0</v>
      </c>
      <c r="AG961" s="35" t="b">
        <f>IFERROR(OR(TRACK_TYPES[[#This Row],[TRACK_TYPE_BROAD_GAUGE_RAILTYPE_OHLE]:[TRACK_TYPE_BROAD_GAUGE_RAILTYPE_NONE]]),FALSE)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3384</v>
      </c>
      <c r="B962" s="37" t="str">
        <f>INDEX(CONTROL[ENGLISH],MATCH(PROPERTIES[[#This Row],[VEHIDCODE]],CONTROL[VEHIDCODE],0))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5" t="b">
        <f>IFERROR(OR(TRACK_TYPES[[#This Row],[TRACK_TYPE_STANDARD_GAUGE_RAILTYPE_OHLE]:[TRACK_TYPE_STANDARD_GAUGE_RAILTYPE_NONE]]),FALSE)</f>
        <v>0</v>
      </c>
      <c r="AF962" s="35" t="b">
        <f>IFERROR(OR(TRACK_TYPES[[#This Row],[TRACK_TYPE_NARROW_GAUGE_RAILTYPE_OHLE]:[TRACK_TYPE_NARROW_GAUGE_RAILTYPE_NONE]]),FALSE)</f>
        <v>0</v>
      </c>
      <c r="AG962" s="35" t="b">
        <f>IFERROR(OR(TRACK_TYPES[[#This Row],[TRACK_TYPE_BROAD_GAUGE_RAILTYPE_OHLE]:[TRACK_TYPE_BROAD_GAUGE_RAILTYPE_NONE]]),FALSE)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1907</v>
      </c>
      <c r="B963" s="37" t="str">
        <f>INDEX(CONTROL[ENGLISH],MATCH(PROPERTIES[[#This Row],[VEHIDCODE]],CONTROL[VEHIDCODE],0))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5" t="b">
        <f>IFERROR(OR(TRACK_TYPES[[#This Row],[TRACK_TYPE_STANDARD_GAUGE_RAILTYPE_OHLE]:[TRACK_TYPE_STANDARD_GAUGE_RAILTYPE_NONE]]),FALSE)</f>
        <v>0</v>
      </c>
      <c r="AF963" s="35" t="b">
        <f>IFERROR(OR(TRACK_TYPES[[#This Row],[TRACK_TYPE_NARROW_GAUGE_RAILTYPE_OHLE]:[TRACK_TYPE_NARROW_GAUGE_RAILTYPE_NONE]]),FALSE)</f>
        <v>0</v>
      </c>
      <c r="AG963" s="35" t="b">
        <f>IFERROR(OR(TRACK_TYPES[[#This Row],[TRACK_TYPE_BROAD_GAUGE_RAILTYPE_OHLE]:[TRACK_TYPE_BROAD_GAUGE_RAILTYPE_NONE]]),FALSE)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1908</v>
      </c>
      <c r="B964" s="37" t="str">
        <f>INDEX(CONTROL[ENGLISH],MATCH(PROPERTIES[[#This Row],[VEHIDCODE]],CONTROL[VEHIDCODE],0))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5" t="b">
        <f>IFERROR(OR(TRACK_TYPES[[#This Row],[TRACK_TYPE_STANDARD_GAUGE_RAILTYPE_OHLE]:[TRACK_TYPE_STANDARD_GAUGE_RAILTYPE_NONE]]),FALSE)</f>
        <v>0</v>
      </c>
      <c r="AF964" s="35" t="b">
        <f>IFERROR(OR(TRACK_TYPES[[#This Row],[TRACK_TYPE_NARROW_GAUGE_RAILTYPE_OHLE]:[TRACK_TYPE_NARROW_GAUGE_RAILTYPE_NONE]]),FALSE)</f>
        <v>0</v>
      </c>
      <c r="AG964" s="35" t="b">
        <f>IFERROR(OR(TRACK_TYPES[[#This Row],[TRACK_TYPE_BROAD_GAUGE_RAILTYPE_OHLE]:[TRACK_TYPE_BROAD_GAUGE_RAILTYPE_NONE]]),FALSE)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3385</v>
      </c>
      <c r="B965" s="37" t="str">
        <f>INDEX(CONTROL[ENGLISH],MATCH(PROPERTIES[[#This Row],[VEHIDCODE]],CONTROL[VEHIDCODE],0))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5" t="b">
        <f>IFERROR(OR(TRACK_TYPES[[#This Row],[TRACK_TYPE_STANDARD_GAUGE_RAILTYPE_OHLE]:[TRACK_TYPE_STANDARD_GAUGE_RAILTYPE_NONE]]),FALSE)</f>
        <v>1</v>
      </c>
      <c r="AF965" s="35" t="b">
        <f>IFERROR(OR(TRACK_TYPES[[#This Row],[TRACK_TYPE_NARROW_GAUGE_RAILTYPE_OHLE]:[TRACK_TYPE_NARROW_GAUGE_RAILTYPE_NONE]]),FALSE)</f>
        <v>0</v>
      </c>
      <c r="AG965" s="35" t="b">
        <f>IFERROR(OR(TRACK_TYPES[[#This Row],[TRACK_TYPE_BROAD_GAUGE_RAILTYPE_OHLE]:[TRACK_TYPE_BROAD_GAUGE_RAILTYPE_NONE]]),FALSE)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3386</v>
      </c>
      <c r="B966" s="37" t="str">
        <f>INDEX(CONTROL[ENGLISH],MATCH(PROPERTIES[[#This Row],[VEHIDCODE]],CONTROL[VEHIDCODE],0))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5" t="b">
        <f>IFERROR(OR(TRACK_TYPES[[#This Row],[TRACK_TYPE_STANDARD_GAUGE_RAILTYPE_OHLE]:[TRACK_TYPE_STANDARD_GAUGE_RAILTYPE_NONE]]),FALSE)</f>
        <v>1</v>
      </c>
      <c r="AF966" s="35" t="b">
        <f>IFERROR(OR(TRACK_TYPES[[#This Row],[TRACK_TYPE_NARROW_GAUGE_RAILTYPE_OHLE]:[TRACK_TYPE_NARROW_GAUGE_RAILTYPE_NONE]]),FALSE)</f>
        <v>0</v>
      </c>
      <c r="AG966" s="35" t="b">
        <f>IFERROR(OR(TRACK_TYPES[[#This Row],[TRACK_TYPE_BROAD_GAUGE_RAILTYPE_OHLE]:[TRACK_TYPE_BROAD_GAUGE_RAILTYPE_NONE]]),FALSE)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3387</v>
      </c>
      <c r="B967" s="37" t="str">
        <f>INDEX(CONTROL[ENGLISH],MATCH(PROPERTIES[[#This Row],[VEHIDCODE]],CONTROL[VEHIDCODE],0))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5" t="b">
        <f>IFERROR(OR(TRACK_TYPES[[#This Row],[TRACK_TYPE_STANDARD_GAUGE_RAILTYPE_OHLE]:[TRACK_TYPE_STANDARD_GAUGE_RAILTYPE_NONE]]),FALSE)</f>
        <v>1</v>
      </c>
      <c r="AF967" s="35" t="b">
        <f>IFERROR(OR(TRACK_TYPES[[#This Row],[TRACK_TYPE_NARROW_GAUGE_RAILTYPE_OHLE]:[TRACK_TYPE_NARROW_GAUGE_RAILTYPE_NONE]]),FALSE)</f>
        <v>0</v>
      </c>
      <c r="AG967" s="35" t="b">
        <f>IFERROR(OR(TRACK_TYPES[[#This Row],[TRACK_TYPE_BROAD_GAUGE_RAILTYPE_OHLE]:[TRACK_TYPE_BROAD_GAUGE_RAILTYPE_NONE]]),FALSE)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3388</v>
      </c>
      <c r="B968" s="37" t="str">
        <f>INDEX(CONTROL[ENGLISH],MATCH(PROPERTIES[[#This Row],[VEHIDCODE]],CONTROL[VEHIDCODE],0))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5" t="b">
        <f>IFERROR(OR(TRACK_TYPES[[#This Row],[TRACK_TYPE_STANDARD_GAUGE_RAILTYPE_OHLE]:[TRACK_TYPE_STANDARD_GAUGE_RAILTYPE_NONE]]),FALSE)</f>
        <v>1</v>
      </c>
      <c r="AF968" s="35" t="b">
        <f>IFERROR(OR(TRACK_TYPES[[#This Row],[TRACK_TYPE_NARROW_GAUGE_RAILTYPE_OHLE]:[TRACK_TYPE_NARROW_GAUGE_RAILTYPE_NONE]]),FALSE)</f>
        <v>0</v>
      </c>
      <c r="AG968" s="35" t="b">
        <f>IFERROR(OR(TRACK_TYPES[[#This Row],[TRACK_TYPE_BROAD_GAUGE_RAILTYPE_OHLE]:[TRACK_TYPE_BROAD_GAUGE_RAILTYPE_NONE]]),FALSE)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3389</v>
      </c>
      <c r="B969" s="37" t="str">
        <f>INDEX(CONTROL[ENGLISH],MATCH(PROPERTIES[[#This Row],[VEHIDCODE]],CONTROL[VEHIDCODE],0))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5" t="b">
        <f>IFERROR(OR(TRACK_TYPES[[#This Row],[TRACK_TYPE_STANDARD_GAUGE_RAILTYPE_OHLE]:[TRACK_TYPE_STANDARD_GAUGE_RAILTYPE_NONE]]),FALSE)</f>
        <v>1</v>
      </c>
      <c r="AF969" s="35" t="b">
        <f>IFERROR(OR(TRACK_TYPES[[#This Row],[TRACK_TYPE_NARROW_GAUGE_RAILTYPE_OHLE]:[TRACK_TYPE_NARROW_GAUGE_RAILTYPE_NONE]]),FALSE)</f>
        <v>0</v>
      </c>
      <c r="AG969" s="35" t="b">
        <f>IFERROR(OR(TRACK_TYPES[[#This Row],[TRACK_TYPE_BROAD_GAUGE_RAILTYPE_OHLE]:[TRACK_TYPE_BROAD_GAUGE_RAILTYPE_NONE]]),FALSE)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3390</v>
      </c>
      <c r="B970" s="37" t="str">
        <f>INDEX(CONTROL[ENGLISH],MATCH(PROPERTIES[[#This Row],[VEHIDCODE]],CONTROL[VEHIDCODE],0))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5" t="b">
        <f>IFERROR(OR(TRACK_TYPES[[#This Row],[TRACK_TYPE_STANDARD_GAUGE_RAILTYPE_OHLE]:[TRACK_TYPE_STANDARD_GAUGE_RAILTYPE_NONE]]),FALSE)</f>
        <v>1</v>
      </c>
      <c r="AF970" s="35" t="b">
        <f>IFERROR(OR(TRACK_TYPES[[#This Row],[TRACK_TYPE_NARROW_GAUGE_RAILTYPE_OHLE]:[TRACK_TYPE_NARROW_GAUGE_RAILTYPE_NONE]]),FALSE)</f>
        <v>0</v>
      </c>
      <c r="AG970" s="35" t="b">
        <f>IFERROR(OR(TRACK_TYPES[[#This Row],[TRACK_TYPE_BROAD_GAUGE_RAILTYPE_OHLE]:[TRACK_TYPE_BROAD_GAUGE_RAILTYPE_NONE]]),FALSE)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3391</v>
      </c>
      <c r="B971" s="37" t="str">
        <f>INDEX(CONTROL[ENGLISH],MATCH(PROPERTIES[[#This Row],[VEHIDCODE]],CONTROL[VEHIDCODE],0))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5" t="b">
        <f>IFERROR(OR(TRACK_TYPES[[#This Row],[TRACK_TYPE_STANDARD_GAUGE_RAILTYPE_OHLE]:[TRACK_TYPE_STANDARD_GAUGE_RAILTYPE_NONE]]),FALSE)</f>
        <v>0</v>
      </c>
      <c r="AF971" s="35" t="b">
        <f>IFERROR(OR(TRACK_TYPES[[#This Row],[TRACK_TYPE_NARROW_GAUGE_RAILTYPE_OHLE]:[TRACK_TYPE_NARROW_GAUGE_RAILTYPE_NONE]]),FALSE)</f>
        <v>0</v>
      </c>
      <c r="AG971" s="35" t="b">
        <f>IFERROR(OR(TRACK_TYPES[[#This Row],[TRACK_TYPE_BROAD_GAUGE_RAILTYPE_OHLE]:[TRACK_TYPE_BROAD_GAUGE_RAILTYPE_NONE]]),FALSE)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3392</v>
      </c>
      <c r="B972" s="37" t="str">
        <f>INDEX(CONTROL[ENGLISH],MATCH(PROPERTIES[[#This Row],[VEHIDCODE]],CONTROL[VEHIDCODE],0))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5" t="b">
        <f>IFERROR(OR(TRACK_TYPES[[#This Row],[TRACK_TYPE_STANDARD_GAUGE_RAILTYPE_OHLE]:[TRACK_TYPE_STANDARD_GAUGE_RAILTYPE_NONE]]),FALSE)</f>
        <v>0</v>
      </c>
      <c r="AF972" s="35" t="b">
        <f>IFERROR(OR(TRACK_TYPES[[#This Row],[TRACK_TYPE_NARROW_GAUGE_RAILTYPE_OHLE]:[TRACK_TYPE_NARROW_GAUGE_RAILTYPE_NONE]]),FALSE)</f>
        <v>0</v>
      </c>
      <c r="AG972" s="35" t="b">
        <f>IFERROR(OR(TRACK_TYPES[[#This Row],[TRACK_TYPE_BROAD_GAUGE_RAILTYPE_OHLE]:[TRACK_TYPE_BROAD_GAUGE_RAILTYPE_NONE]]),FALSE)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3393</v>
      </c>
      <c r="B973" s="37" t="str">
        <f>INDEX(CONTROL[ENGLISH],MATCH(PROPERTIES[[#This Row],[VEHIDCODE]],CONTROL[VEHIDCODE],0))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5" t="b">
        <f>IFERROR(OR(TRACK_TYPES[[#This Row],[TRACK_TYPE_STANDARD_GAUGE_RAILTYPE_OHLE]:[TRACK_TYPE_STANDARD_GAUGE_RAILTYPE_NONE]]),FALSE)</f>
        <v>0</v>
      </c>
      <c r="AF973" s="35" t="b">
        <f>IFERROR(OR(TRACK_TYPES[[#This Row],[TRACK_TYPE_NARROW_GAUGE_RAILTYPE_OHLE]:[TRACK_TYPE_NARROW_GAUGE_RAILTYPE_NONE]]),FALSE)</f>
        <v>0</v>
      </c>
      <c r="AG973" s="35" t="b">
        <f>IFERROR(OR(TRACK_TYPES[[#This Row],[TRACK_TYPE_BROAD_GAUGE_RAILTYPE_OHLE]:[TRACK_TYPE_BROAD_GAUGE_RAILTYPE_NONE]]),FALSE)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3394</v>
      </c>
      <c r="B974" s="37" t="str">
        <f>INDEX(CONTROL[ENGLISH],MATCH(PROPERTIES[[#This Row],[VEHIDCODE]],CONTROL[VEHIDCODE],0))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5" t="b">
        <f>IFERROR(OR(TRACK_TYPES[[#This Row],[TRACK_TYPE_STANDARD_GAUGE_RAILTYPE_OHLE]:[TRACK_TYPE_STANDARD_GAUGE_RAILTYPE_NONE]]),FALSE)</f>
        <v>0</v>
      </c>
      <c r="AF974" s="35" t="b">
        <f>IFERROR(OR(TRACK_TYPES[[#This Row],[TRACK_TYPE_NARROW_GAUGE_RAILTYPE_OHLE]:[TRACK_TYPE_NARROW_GAUGE_RAILTYPE_NONE]]),FALSE)</f>
        <v>0</v>
      </c>
      <c r="AG974" s="35" t="b">
        <f>IFERROR(OR(TRACK_TYPES[[#This Row],[TRACK_TYPE_BROAD_GAUGE_RAILTYPE_OHLE]:[TRACK_TYPE_BROAD_GAUGE_RAILTYPE_NONE]]),FALSE)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3395</v>
      </c>
      <c r="B975" s="37" t="str">
        <f>INDEX(CONTROL[ENGLISH],MATCH(PROPERTIES[[#This Row],[VEHIDCODE]],CONTROL[VEHIDCODE],0))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5" t="b">
        <f>IFERROR(OR(TRACK_TYPES[[#This Row],[TRACK_TYPE_STANDARD_GAUGE_RAILTYPE_OHLE]:[TRACK_TYPE_STANDARD_GAUGE_RAILTYPE_NONE]]),FALSE)</f>
        <v>1</v>
      </c>
      <c r="AF975" s="35" t="b">
        <f>IFERROR(OR(TRACK_TYPES[[#This Row],[TRACK_TYPE_NARROW_GAUGE_RAILTYPE_OHLE]:[TRACK_TYPE_NARROW_GAUGE_RAILTYPE_NONE]]),FALSE)</f>
        <v>0</v>
      </c>
      <c r="AG975" s="35" t="b">
        <f>IFERROR(OR(TRACK_TYPES[[#This Row],[TRACK_TYPE_BROAD_GAUGE_RAILTYPE_OHLE]:[TRACK_TYPE_BROAD_GAUGE_RAILTYPE_NONE]]),FALSE)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3396</v>
      </c>
      <c r="B976" s="37" t="str">
        <f>INDEX(CONTROL[ENGLISH],MATCH(PROPERTIES[[#This Row],[VEHIDCODE]],CONTROL[VEHIDCODE],0))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5" t="b">
        <f>IFERROR(OR(TRACK_TYPES[[#This Row],[TRACK_TYPE_STANDARD_GAUGE_RAILTYPE_OHLE]:[TRACK_TYPE_STANDARD_GAUGE_RAILTYPE_NONE]]),FALSE)</f>
        <v>1</v>
      </c>
      <c r="AF976" s="35" t="b">
        <f>IFERROR(OR(TRACK_TYPES[[#This Row],[TRACK_TYPE_NARROW_GAUGE_RAILTYPE_OHLE]:[TRACK_TYPE_NARROW_GAUGE_RAILTYPE_NONE]]),FALSE)</f>
        <v>0</v>
      </c>
      <c r="AG976" s="35" t="b">
        <f>IFERROR(OR(TRACK_TYPES[[#This Row],[TRACK_TYPE_BROAD_GAUGE_RAILTYPE_OHLE]:[TRACK_TYPE_BROAD_GAUGE_RAILTYPE_NONE]]),FALSE)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3397</v>
      </c>
      <c r="B977" s="37" t="str">
        <f>INDEX(CONTROL[ENGLISH],MATCH(PROPERTIES[[#This Row],[VEHIDCODE]],CONTROL[VEHIDCODE],0))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5" t="b">
        <f>IFERROR(OR(TRACK_TYPES[[#This Row],[TRACK_TYPE_STANDARD_GAUGE_RAILTYPE_OHLE]:[TRACK_TYPE_STANDARD_GAUGE_RAILTYPE_NONE]]),FALSE)</f>
        <v>1</v>
      </c>
      <c r="AF977" s="35" t="b">
        <f>IFERROR(OR(TRACK_TYPES[[#This Row],[TRACK_TYPE_NARROW_GAUGE_RAILTYPE_OHLE]:[TRACK_TYPE_NARROW_GAUGE_RAILTYPE_NONE]]),FALSE)</f>
        <v>0</v>
      </c>
      <c r="AG977" s="35" t="b">
        <f>IFERROR(OR(TRACK_TYPES[[#This Row],[TRACK_TYPE_BROAD_GAUGE_RAILTYPE_OHLE]:[TRACK_TYPE_BROAD_GAUGE_RAILTYPE_NONE]]),FALSE)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3398</v>
      </c>
      <c r="B978" s="37" t="str">
        <f>INDEX(CONTROL[ENGLISH],MATCH(PROPERTIES[[#This Row],[VEHIDCODE]],CONTROL[VEHIDCODE],0))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5" t="b">
        <f>IFERROR(OR(TRACK_TYPES[[#This Row],[TRACK_TYPE_STANDARD_GAUGE_RAILTYPE_OHLE]:[TRACK_TYPE_STANDARD_GAUGE_RAILTYPE_NONE]]),FALSE)</f>
        <v>1</v>
      </c>
      <c r="AF978" s="35" t="b">
        <f>IFERROR(OR(TRACK_TYPES[[#This Row],[TRACK_TYPE_NARROW_GAUGE_RAILTYPE_OHLE]:[TRACK_TYPE_NARROW_GAUGE_RAILTYPE_NONE]]),FALSE)</f>
        <v>0</v>
      </c>
      <c r="AG978" s="35" t="b">
        <f>IFERROR(OR(TRACK_TYPES[[#This Row],[TRACK_TYPE_BROAD_GAUGE_RAILTYPE_OHLE]:[TRACK_TYPE_BROAD_GAUGE_RAILTYPE_NONE]]),FALSE)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3399</v>
      </c>
      <c r="B979" s="37" t="str">
        <f>INDEX(CONTROL[ENGLISH],MATCH(PROPERTIES[[#This Row],[VEHIDCODE]],CONTROL[VEHIDCODE],0))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5" t="b">
        <f>IFERROR(OR(TRACK_TYPES[[#This Row],[TRACK_TYPE_STANDARD_GAUGE_RAILTYPE_OHLE]:[TRACK_TYPE_STANDARD_GAUGE_RAILTYPE_NONE]]),FALSE)</f>
        <v>1</v>
      </c>
      <c r="AF979" s="35" t="b">
        <f>IFERROR(OR(TRACK_TYPES[[#This Row],[TRACK_TYPE_NARROW_GAUGE_RAILTYPE_OHLE]:[TRACK_TYPE_NARROW_GAUGE_RAILTYPE_NONE]]),FALSE)</f>
        <v>0</v>
      </c>
      <c r="AG979" s="35" t="b">
        <f>IFERROR(OR(TRACK_TYPES[[#This Row],[TRACK_TYPE_BROAD_GAUGE_RAILTYPE_OHLE]:[TRACK_TYPE_BROAD_GAUGE_RAILTYPE_NONE]]),FALSE)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3400</v>
      </c>
      <c r="B980" s="37" t="str">
        <f>INDEX(CONTROL[ENGLISH],MATCH(PROPERTIES[[#This Row],[VEHIDCODE]],CONTROL[VEHIDCODE],0))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5" t="b">
        <f>IFERROR(OR(TRACK_TYPES[[#This Row],[TRACK_TYPE_STANDARD_GAUGE_RAILTYPE_OHLE]:[TRACK_TYPE_STANDARD_GAUGE_RAILTYPE_NONE]]),FALSE)</f>
        <v>1</v>
      </c>
      <c r="AF980" s="35" t="b">
        <f>IFERROR(OR(TRACK_TYPES[[#This Row],[TRACK_TYPE_NARROW_GAUGE_RAILTYPE_OHLE]:[TRACK_TYPE_NARROW_GAUGE_RAILTYPE_NONE]]),FALSE)</f>
        <v>0</v>
      </c>
      <c r="AG980" s="35" t="b">
        <f>IFERROR(OR(TRACK_TYPES[[#This Row],[TRACK_TYPE_BROAD_GAUGE_RAILTYPE_OHLE]:[TRACK_TYPE_BROAD_GAUGE_RAILTYPE_NONE]]),FALSE)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3401</v>
      </c>
      <c r="B981" s="37" t="str">
        <f>INDEX(CONTROL[ENGLISH],MATCH(PROPERTIES[[#This Row],[VEHIDCODE]],CONTROL[VEHIDCODE],0))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5" t="b">
        <f>IFERROR(OR(TRACK_TYPES[[#This Row],[TRACK_TYPE_STANDARD_GAUGE_RAILTYPE_OHLE]:[TRACK_TYPE_STANDARD_GAUGE_RAILTYPE_NONE]]),FALSE)</f>
        <v>1</v>
      </c>
      <c r="AF981" s="35" t="b">
        <f>IFERROR(OR(TRACK_TYPES[[#This Row],[TRACK_TYPE_NARROW_GAUGE_RAILTYPE_OHLE]:[TRACK_TYPE_NARROW_GAUGE_RAILTYPE_NONE]]),FALSE)</f>
        <v>0</v>
      </c>
      <c r="AG981" s="35" t="b">
        <f>IFERROR(OR(TRACK_TYPES[[#This Row],[TRACK_TYPE_BROAD_GAUGE_RAILTYPE_OHLE]:[TRACK_TYPE_BROAD_GAUGE_RAILTYPE_NONE]]),FALSE)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3402</v>
      </c>
      <c r="B982" s="37" t="str">
        <f>INDEX(CONTROL[ENGLISH],MATCH(PROPERTIES[[#This Row],[VEHIDCODE]],CONTROL[VEHIDCODE],0))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5" t="b">
        <f>IFERROR(OR(TRACK_TYPES[[#This Row],[TRACK_TYPE_STANDARD_GAUGE_RAILTYPE_OHLE]:[TRACK_TYPE_STANDARD_GAUGE_RAILTYPE_NONE]]),FALSE)</f>
        <v>1</v>
      </c>
      <c r="AF982" s="35" t="b">
        <f>IFERROR(OR(TRACK_TYPES[[#This Row],[TRACK_TYPE_NARROW_GAUGE_RAILTYPE_OHLE]:[TRACK_TYPE_NARROW_GAUGE_RAILTYPE_NONE]]),FALSE)</f>
        <v>0</v>
      </c>
      <c r="AG982" s="35" t="b">
        <f>IFERROR(OR(TRACK_TYPES[[#This Row],[TRACK_TYPE_BROAD_GAUGE_RAILTYPE_OHLE]:[TRACK_TYPE_BROAD_GAUGE_RAILTYPE_NONE]]),FALSE)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3403</v>
      </c>
      <c r="B983" s="37" t="str">
        <f>INDEX(CONTROL[ENGLISH],MATCH(PROPERTIES[[#This Row],[VEHIDCODE]],CONTROL[VEHIDCODE],0))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5" t="b">
        <f>IFERROR(OR(TRACK_TYPES[[#This Row],[TRACK_TYPE_STANDARD_GAUGE_RAILTYPE_OHLE]:[TRACK_TYPE_STANDARD_GAUGE_RAILTYPE_NONE]]),FALSE)</f>
        <v>0</v>
      </c>
      <c r="AF983" s="35" t="b">
        <f>IFERROR(OR(TRACK_TYPES[[#This Row],[TRACK_TYPE_NARROW_GAUGE_RAILTYPE_OHLE]:[TRACK_TYPE_NARROW_GAUGE_RAILTYPE_NONE]]),FALSE)</f>
        <v>0</v>
      </c>
      <c r="AG983" s="35" t="b">
        <f>IFERROR(OR(TRACK_TYPES[[#This Row],[TRACK_TYPE_BROAD_GAUGE_RAILTYPE_OHLE]:[TRACK_TYPE_BROAD_GAUGE_RAILTYPE_NONE]]),FALSE)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3404</v>
      </c>
      <c r="B984" s="37" t="str">
        <f>INDEX(CONTROL[ENGLISH],MATCH(PROPERTIES[[#This Row],[VEHIDCODE]],CONTROL[VEHIDCODE],0))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5" t="b">
        <f>IFERROR(OR(TRACK_TYPES[[#This Row],[TRACK_TYPE_STANDARD_GAUGE_RAILTYPE_OHLE]:[TRACK_TYPE_STANDARD_GAUGE_RAILTYPE_NONE]]),FALSE)</f>
        <v>1</v>
      </c>
      <c r="AF984" s="35" t="b">
        <f>IFERROR(OR(TRACK_TYPES[[#This Row],[TRACK_TYPE_NARROW_GAUGE_RAILTYPE_OHLE]:[TRACK_TYPE_NARROW_GAUGE_RAILTYPE_NONE]]),FALSE)</f>
        <v>0</v>
      </c>
      <c r="AG984" s="35" t="b">
        <f>IFERROR(OR(TRACK_TYPES[[#This Row],[TRACK_TYPE_BROAD_GAUGE_RAILTYPE_OHLE]:[TRACK_TYPE_BROAD_GAUGE_RAILTYPE_NONE]]),FALSE)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3405</v>
      </c>
      <c r="B985" s="37" t="str">
        <f>INDEX(CONTROL[ENGLISH],MATCH(PROPERTIES[[#This Row],[VEHIDCODE]],CONTROL[VEHIDCODE],0))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5" t="b">
        <f>IFERROR(OR(TRACK_TYPES[[#This Row],[TRACK_TYPE_STANDARD_GAUGE_RAILTYPE_OHLE]:[TRACK_TYPE_STANDARD_GAUGE_RAILTYPE_NONE]]),FALSE)</f>
        <v>1</v>
      </c>
      <c r="AF985" s="35" t="b">
        <f>IFERROR(OR(TRACK_TYPES[[#This Row],[TRACK_TYPE_NARROW_GAUGE_RAILTYPE_OHLE]:[TRACK_TYPE_NARROW_GAUGE_RAILTYPE_NONE]]),FALSE)</f>
        <v>0</v>
      </c>
      <c r="AG985" s="35" t="b">
        <f>IFERROR(OR(TRACK_TYPES[[#This Row],[TRACK_TYPE_BROAD_GAUGE_RAILTYPE_OHLE]:[TRACK_TYPE_BROAD_GAUGE_RAILTYPE_NONE]]),FALSE)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3406</v>
      </c>
      <c r="B986" s="37" t="str">
        <f>INDEX(CONTROL[ENGLISH],MATCH(PROPERTIES[[#This Row],[VEHIDCODE]],CONTROL[VEHIDCODE],0))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5" t="b">
        <f>IFERROR(OR(TRACK_TYPES[[#This Row],[TRACK_TYPE_STANDARD_GAUGE_RAILTYPE_OHLE]:[TRACK_TYPE_STANDARD_GAUGE_RAILTYPE_NONE]]),FALSE)</f>
        <v>1</v>
      </c>
      <c r="AF986" s="35" t="b">
        <f>IFERROR(OR(TRACK_TYPES[[#This Row],[TRACK_TYPE_NARROW_GAUGE_RAILTYPE_OHLE]:[TRACK_TYPE_NARROW_GAUGE_RAILTYPE_NONE]]),FALSE)</f>
        <v>0</v>
      </c>
      <c r="AG986" s="35" t="b">
        <f>IFERROR(OR(TRACK_TYPES[[#This Row],[TRACK_TYPE_BROAD_GAUGE_RAILTYPE_OHLE]:[TRACK_TYPE_BROAD_GAUGE_RAILTYPE_NONE]]),FALSE)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3407</v>
      </c>
      <c r="B987" s="37" t="str">
        <f>INDEX(CONTROL[ENGLISH],MATCH(PROPERTIES[[#This Row],[VEHIDCODE]],CONTROL[VEHIDCODE],0))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5" t="b">
        <f>IFERROR(OR(TRACK_TYPES[[#This Row],[TRACK_TYPE_STANDARD_GAUGE_RAILTYPE_OHLE]:[TRACK_TYPE_STANDARD_GAUGE_RAILTYPE_NONE]]),FALSE)</f>
        <v>0</v>
      </c>
      <c r="AF987" s="35" t="b">
        <f>IFERROR(OR(TRACK_TYPES[[#This Row],[TRACK_TYPE_NARROW_GAUGE_RAILTYPE_OHLE]:[TRACK_TYPE_NARROW_GAUGE_RAILTYPE_NONE]]),FALSE)</f>
        <v>0</v>
      </c>
      <c r="AG987" s="35" t="b">
        <f>IFERROR(OR(TRACK_TYPES[[#This Row],[TRACK_TYPE_BROAD_GAUGE_RAILTYPE_OHLE]:[TRACK_TYPE_BROAD_GAUGE_RAILTYPE_NONE]]),FALSE)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3408</v>
      </c>
      <c r="B988" s="37" t="str">
        <f>INDEX(CONTROL[ENGLISH],MATCH(PROPERTIES[[#This Row],[VEHIDCODE]],CONTROL[VEHIDCODE],0))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5" t="b">
        <f>IFERROR(OR(TRACK_TYPES[[#This Row],[TRACK_TYPE_STANDARD_GAUGE_RAILTYPE_OHLE]:[TRACK_TYPE_STANDARD_GAUGE_RAILTYPE_NONE]]),FALSE)</f>
        <v>1</v>
      </c>
      <c r="AF988" s="35" t="b">
        <f>IFERROR(OR(TRACK_TYPES[[#This Row],[TRACK_TYPE_NARROW_GAUGE_RAILTYPE_OHLE]:[TRACK_TYPE_NARROW_GAUGE_RAILTYPE_NONE]]),FALSE)</f>
        <v>0</v>
      </c>
      <c r="AG988" s="35" t="b">
        <f>IFERROR(OR(TRACK_TYPES[[#This Row],[TRACK_TYPE_BROAD_GAUGE_RAILTYPE_OHLE]:[TRACK_TYPE_BROAD_GAUGE_RAILTYPE_NONE]]),FALSE)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3409</v>
      </c>
      <c r="B989" s="37" t="str">
        <f>INDEX(CONTROL[ENGLISH],MATCH(PROPERTIES[[#This Row],[VEHIDCODE]],CONTROL[VEHIDCODE],0))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5" t="b">
        <f>IFERROR(OR(TRACK_TYPES[[#This Row],[TRACK_TYPE_STANDARD_GAUGE_RAILTYPE_OHLE]:[TRACK_TYPE_STANDARD_GAUGE_RAILTYPE_NONE]]),FALSE)</f>
        <v>1</v>
      </c>
      <c r="AF989" s="35" t="b">
        <f>IFERROR(OR(TRACK_TYPES[[#This Row],[TRACK_TYPE_NARROW_GAUGE_RAILTYPE_OHLE]:[TRACK_TYPE_NARROW_GAUGE_RAILTYPE_NONE]]),FALSE)</f>
        <v>0</v>
      </c>
      <c r="AG989" s="35" t="b">
        <f>IFERROR(OR(TRACK_TYPES[[#This Row],[TRACK_TYPE_BROAD_GAUGE_RAILTYPE_OHLE]:[TRACK_TYPE_BROAD_GAUGE_RAILTYPE_NONE]]),FALSE)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3410</v>
      </c>
      <c r="B990" s="37" t="str">
        <f>INDEX(CONTROL[ENGLISH],MATCH(PROPERTIES[[#This Row],[VEHIDCODE]],CONTROL[VEHIDCODE],0))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5" t="b">
        <f>IFERROR(OR(TRACK_TYPES[[#This Row],[TRACK_TYPE_STANDARD_GAUGE_RAILTYPE_OHLE]:[TRACK_TYPE_STANDARD_GAUGE_RAILTYPE_NONE]]),FALSE)</f>
        <v>1</v>
      </c>
      <c r="AF990" s="35" t="b">
        <f>IFERROR(OR(TRACK_TYPES[[#This Row],[TRACK_TYPE_NARROW_GAUGE_RAILTYPE_OHLE]:[TRACK_TYPE_NARROW_GAUGE_RAILTYPE_NONE]]),FALSE)</f>
        <v>0</v>
      </c>
      <c r="AG990" s="35" t="b">
        <f>IFERROR(OR(TRACK_TYPES[[#This Row],[TRACK_TYPE_BROAD_GAUGE_RAILTYPE_OHLE]:[TRACK_TYPE_BROAD_GAUGE_RAILTYPE_NONE]]),FALSE)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3411</v>
      </c>
      <c r="B991" s="37" t="str">
        <f>INDEX(CONTROL[ENGLISH],MATCH(PROPERTIES[[#This Row],[VEHIDCODE]],CONTROL[VEHIDCODE],0))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5" t="b">
        <f>IFERROR(OR(TRACK_TYPES[[#This Row],[TRACK_TYPE_STANDARD_GAUGE_RAILTYPE_OHLE]:[TRACK_TYPE_STANDARD_GAUGE_RAILTYPE_NONE]]),FALSE)</f>
        <v>1</v>
      </c>
      <c r="AF991" s="35" t="b">
        <f>IFERROR(OR(TRACK_TYPES[[#This Row],[TRACK_TYPE_NARROW_GAUGE_RAILTYPE_OHLE]:[TRACK_TYPE_NARROW_GAUGE_RAILTYPE_NONE]]),FALSE)</f>
        <v>0</v>
      </c>
      <c r="AG991" s="35" t="b">
        <f>IFERROR(OR(TRACK_TYPES[[#This Row],[TRACK_TYPE_BROAD_GAUGE_RAILTYPE_OHLE]:[TRACK_TYPE_BROAD_GAUGE_RAILTYPE_NONE]]),FALSE)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3412</v>
      </c>
      <c r="B992" s="37" t="str">
        <f>INDEX(CONTROL[ENGLISH],MATCH(PROPERTIES[[#This Row],[VEHIDCODE]],CONTROL[VEHIDCODE],0))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5" t="b">
        <f>IFERROR(OR(TRACK_TYPES[[#This Row],[TRACK_TYPE_STANDARD_GAUGE_RAILTYPE_OHLE]:[TRACK_TYPE_STANDARD_GAUGE_RAILTYPE_NONE]]),FALSE)</f>
        <v>1</v>
      </c>
      <c r="AF992" s="35" t="b">
        <f>IFERROR(OR(TRACK_TYPES[[#This Row],[TRACK_TYPE_NARROW_GAUGE_RAILTYPE_OHLE]:[TRACK_TYPE_NARROW_GAUGE_RAILTYPE_NONE]]),FALSE)</f>
        <v>0</v>
      </c>
      <c r="AG992" s="35" t="b">
        <f>IFERROR(OR(TRACK_TYPES[[#This Row],[TRACK_TYPE_BROAD_GAUGE_RAILTYPE_OHLE]:[TRACK_TYPE_BROAD_GAUGE_RAILTYPE_NONE]]),FALSE)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3413</v>
      </c>
      <c r="B993" s="37" t="str">
        <f>INDEX(CONTROL[ENGLISH],MATCH(PROPERTIES[[#This Row],[VEHIDCODE]],CONTROL[VEHIDCODE],0))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5" t="b">
        <f>IFERROR(OR(TRACK_TYPES[[#This Row],[TRACK_TYPE_STANDARD_GAUGE_RAILTYPE_OHLE]:[TRACK_TYPE_STANDARD_GAUGE_RAILTYPE_NONE]]),FALSE)</f>
        <v>1</v>
      </c>
      <c r="AF993" s="35" t="b">
        <f>IFERROR(OR(TRACK_TYPES[[#This Row],[TRACK_TYPE_NARROW_GAUGE_RAILTYPE_OHLE]:[TRACK_TYPE_NARROW_GAUGE_RAILTYPE_NONE]]),FALSE)</f>
        <v>0</v>
      </c>
      <c r="AG993" s="35" t="b">
        <f>IFERROR(OR(TRACK_TYPES[[#This Row],[TRACK_TYPE_BROAD_GAUGE_RAILTYPE_OHLE]:[TRACK_TYPE_BROAD_GAUGE_RAILTYPE_NONE]]),FALSE)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3414</v>
      </c>
      <c r="B994" s="37" t="str">
        <f>INDEX(CONTROL[ENGLISH],MATCH(PROPERTIES[[#This Row],[VEHIDCODE]],CONTROL[VEHIDCODE],0))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5" t="b">
        <f>IFERROR(OR(TRACK_TYPES[[#This Row],[TRACK_TYPE_STANDARD_GAUGE_RAILTYPE_OHLE]:[TRACK_TYPE_STANDARD_GAUGE_RAILTYPE_NONE]]),FALSE)</f>
        <v>1</v>
      </c>
      <c r="AF994" s="35" t="b">
        <f>IFERROR(OR(TRACK_TYPES[[#This Row],[TRACK_TYPE_NARROW_GAUGE_RAILTYPE_OHLE]:[TRACK_TYPE_NARROW_GAUGE_RAILTYPE_NONE]]),FALSE)</f>
        <v>0</v>
      </c>
      <c r="AG994" s="35" t="b">
        <f>IFERROR(OR(TRACK_TYPES[[#This Row],[TRACK_TYPE_BROAD_GAUGE_RAILTYPE_OHLE]:[TRACK_TYPE_BROAD_GAUGE_RAILTYPE_NONE]]),FALSE)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3415</v>
      </c>
      <c r="B995" s="37" t="str">
        <f>INDEX(CONTROL[ENGLISH],MATCH(PROPERTIES[[#This Row],[VEHIDCODE]],CONTROL[VEHIDCODE],0))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5" t="b">
        <f>IFERROR(OR(TRACK_TYPES[[#This Row],[TRACK_TYPE_STANDARD_GAUGE_RAILTYPE_OHLE]:[TRACK_TYPE_STANDARD_GAUGE_RAILTYPE_NONE]]),FALSE)</f>
        <v>1</v>
      </c>
      <c r="AF995" s="35" t="b">
        <f>IFERROR(OR(TRACK_TYPES[[#This Row],[TRACK_TYPE_NARROW_GAUGE_RAILTYPE_OHLE]:[TRACK_TYPE_NARROW_GAUGE_RAILTYPE_NONE]]),FALSE)</f>
        <v>0</v>
      </c>
      <c r="AG995" s="35" t="b">
        <f>IFERROR(OR(TRACK_TYPES[[#This Row],[TRACK_TYPE_BROAD_GAUGE_RAILTYPE_OHLE]:[TRACK_TYPE_BROAD_GAUGE_RAILTYPE_NONE]]),FALSE)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3416</v>
      </c>
      <c r="B996" s="37" t="str">
        <f>INDEX(CONTROL[ENGLISH],MATCH(PROPERTIES[[#This Row],[VEHIDCODE]],CONTROL[VEHIDCODE],0))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5" t="b">
        <f>IFERROR(OR(TRACK_TYPES[[#This Row],[TRACK_TYPE_STANDARD_GAUGE_RAILTYPE_OHLE]:[TRACK_TYPE_STANDARD_GAUGE_RAILTYPE_NONE]]),FALSE)</f>
        <v>1</v>
      </c>
      <c r="AF996" s="35" t="b">
        <f>IFERROR(OR(TRACK_TYPES[[#This Row],[TRACK_TYPE_NARROW_GAUGE_RAILTYPE_OHLE]:[TRACK_TYPE_NARROW_GAUGE_RAILTYPE_NONE]]),FALSE)</f>
        <v>0</v>
      </c>
      <c r="AG996" s="35" t="b">
        <f>IFERROR(OR(TRACK_TYPES[[#This Row],[TRACK_TYPE_BROAD_GAUGE_RAILTYPE_OHLE]:[TRACK_TYPE_BROAD_GAUGE_RAILTYPE_NONE]]),FALSE)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3417</v>
      </c>
      <c r="B997" s="37" t="str">
        <f>INDEX(CONTROL[ENGLISH],MATCH(PROPERTIES[[#This Row],[VEHIDCODE]],CONTROL[VEHIDCODE],0))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5" t="b">
        <f>IFERROR(OR(TRACK_TYPES[[#This Row],[TRACK_TYPE_STANDARD_GAUGE_RAILTYPE_OHLE]:[TRACK_TYPE_STANDARD_GAUGE_RAILTYPE_NONE]]),FALSE)</f>
        <v>1</v>
      </c>
      <c r="AF997" s="35" t="b">
        <f>IFERROR(OR(TRACK_TYPES[[#This Row],[TRACK_TYPE_NARROW_GAUGE_RAILTYPE_OHLE]:[TRACK_TYPE_NARROW_GAUGE_RAILTYPE_NONE]]),FALSE)</f>
        <v>0</v>
      </c>
      <c r="AG997" s="35" t="b">
        <f>IFERROR(OR(TRACK_TYPES[[#This Row],[TRACK_TYPE_BROAD_GAUGE_RAILTYPE_OHLE]:[TRACK_TYPE_BROAD_GAUGE_RAILTYPE_NONE]]),FALSE)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3418</v>
      </c>
      <c r="B998" s="37" t="str">
        <f>INDEX(CONTROL[ENGLISH],MATCH(PROPERTIES[[#This Row],[VEHIDCODE]],CONTROL[VEHIDCODE],0))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5" t="b">
        <f>IFERROR(OR(TRACK_TYPES[[#This Row],[TRACK_TYPE_STANDARD_GAUGE_RAILTYPE_OHLE]:[TRACK_TYPE_STANDARD_GAUGE_RAILTYPE_NONE]]),FALSE)</f>
        <v>1</v>
      </c>
      <c r="AF998" s="35" t="b">
        <f>IFERROR(OR(TRACK_TYPES[[#This Row],[TRACK_TYPE_NARROW_GAUGE_RAILTYPE_OHLE]:[TRACK_TYPE_NARROW_GAUGE_RAILTYPE_NONE]]),FALSE)</f>
        <v>0</v>
      </c>
      <c r="AG998" s="35" t="b">
        <f>IFERROR(OR(TRACK_TYPES[[#This Row],[TRACK_TYPE_BROAD_GAUGE_RAILTYPE_OHLE]:[TRACK_TYPE_BROAD_GAUGE_RAILTYPE_NONE]]),FALSE)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3419</v>
      </c>
      <c r="B999" s="37" t="str">
        <f>INDEX(CONTROL[ENGLISH],MATCH(PROPERTIES[[#This Row],[VEHIDCODE]],CONTROL[VEHIDCODE],0))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5" t="b">
        <f>IFERROR(OR(TRACK_TYPES[[#This Row],[TRACK_TYPE_STANDARD_GAUGE_RAILTYPE_OHLE]:[TRACK_TYPE_STANDARD_GAUGE_RAILTYPE_NONE]]),FALSE)</f>
        <v>1</v>
      </c>
      <c r="AF999" s="35" t="b">
        <f>IFERROR(OR(TRACK_TYPES[[#This Row],[TRACK_TYPE_NARROW_GAUGE_RAILTYPE_OHLE]:[TRACK_TYPE_NARROW_GAUGE_RAILTYPE_NONE]]),FALSE)</f>
        <v>0</v>
      </c>
      <c r="AG999" s="35" t="b">
        <f>IFERROR(OR(TRACK_TYPES[[#This Row],[TRACK_TYPE_BROAD_GAUGE_RAILTYPE_OHLE]:[TRACK_TYPE_BROAD_GAUGE_RAILTYPE_NONE]]),FALSE)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3420</v>
      </c>
      <c r="B1000" s="37" t="str">
        <f>INDEX(CONTROL[ENGLISH],MATCH(PROPERTIES[[#This Row],[VEHIDCODE]],CONTROL[VEHIDCODE],0))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5" t="b">
        <f>IFERROR(OR(TRACK_TYPES[[#This Row],[TRACK_TYPE_STANDARD_GAUGE_RAILTYPE_OHLE]:[TRACK_TYPE_STANDARD_GAUGE_RAILTYPE_NONE]]),FALSE)</f>
        <v>1</v>
      </c>
      <c r="AF1000" s="35" t="b">
        <f>IFERROR(OR(TRACK_TYPES[[#This Row],[TRACK_TYPE_NARROW_GAUGE_RAILTYPE_OHLE]:[TRACK_TYPE_NARROW_GAUGE_RAILTYPE_NONE]]),FALSE)</f>
        <v>0</v>
      </c>
      <c r="AG1000" s="35" t="b">
        <f>IFERROR(OR(TRACK_TYPES[[#This Row],[TRACK_TYPE_BROAD_GAUGE_RAILTYPE_OHLE]:[TRACK_TYPE_BROAD_GAUGE_RAILTYPE_NONE]]),FALSE)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3421</v>
      </c>
      <c r="B1001" s="37" t="str">
        <f>INDEX(CONTROL[ENGLISH],MATCH(PROPERTIES[[#This Row],[VEHIDCODE]],CONTROL[VEHIDCODE],0))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5" t="b">
        <f>IFERROR(OR(TRACK_TYPES[[#This Row],[TRACK_TYPE_STANDARD_GAUGE_RAILTYPE_OHLE]:[TRACK_TYPE_STANDARD_GAUGE_RAILTYPE_NONE]]),FALSE)</f>
        <v>1</v>
      </c>
      <c r="AF1001" s="35" t="b">
        <f>IFERROR(OR(TRACK_TYPES[[#This Row],[TRACK_TYPE_NARROW_GAUGE_RAILTYPE_OHLE]:[TRACK_TYPE_NARROW_GAUGE_RAILTYPE_NONE]]),FALSE)</f>
        <v>0</v>
      </c>
      <c r="AG1001" s="35" t="b">
        <f>IFERROR(OR(TRACK_TYPES[[#This Row],[TRACK_TYPE_BROAD_GAUGE_RAILTYPE_OHLE]:[TRACK_TYPE_BROAD_GAUGE_RAILTYPE_NONE]]),FALSE)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3422</v>
      </c>
      <c r="B1002" s="37" t="str">
        <f>INDEX(CONTROL[ENGLISH],MATCH(PROPERTIES[[#This Row],[VEHIDCODE]],CONTROL[VEHIDCODE],0))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5" t="b">
        <f>IFERROR(OR(TRACK_TYPES[[#This Row],[TRACK_TYPE_STANDARD_GAUGE_RAILTYPE_OHLE]:[TRACK_TYPE_STANDARD_GAUGE_RAILTYPE_NONE]]),FALSE)</f>
        <v>1</v>
      </c>
      <c r="AF1002" s="35" t="b">
        <f>IFERROR(OR(TRACK_TYPES[[#This Row],[TRACK_TYPE_NARROW_GAUGE_RAILTYPE_OHLE]:[TRACK_TYPE_NARROW_GAUGE_RAILTYPE_NONE]]),FALSE)</f>
        <v>0</v>
      </c>
      <c r="AG1002" s="35" t="b">
        <f>IFERROR(OR(TRACK_TYPES[[#This Row],[TRACK_TYPE_BROAD_GAUGE_RAILTYPE_OHLE]:[TRACK_TYPE_BROAD_GAUGE_RAILTYPE_NONE]]),FALSE)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3423</v>
      </c>
      <c r="B1003" s="37" t="str">
        <f>INDEX(CONTROL[ENGLISH],MATCH(PROPERTIES[[#This Row],[VEHIDCODE]],CONTROL[VEHIDCODE],0))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5" t="b">
        <f>IFERROR(OR(TRACK_TYPES[[#This Row],[TRACK_TYPE_STANDARD_GAUGE_RAILTYPE_OHLE]:[TRACK_TYPE_STANDARD_GAUGE_RAILTYPE_NONE]]),FALSE)</f>
        <v>0</v>
      </c>
      <c r="AF1003" s="35" t="b">
        <f>IFERROR(OR(TRACK_TYPES[[#This Row],[TRACK_TYPE_NARROW_GAUGE_RAILTYPE_OHLE]:[TRACK_TYPE_NARROW_GAUGE_RAILTYPE_NONE]]),FALSE)</f>
        <v>0</v>
      </c>
      <c r="AG1003" s="35" t="b">
        <f>IFERROR(OR(TRACK_TYPES[[#This Row],[TRACK_TYPE_BROAD_GAUGE_RAILTYPE_OHLE]:[TRACK_TYPE_BROAD_GAUGE_RAILTYPE_NONE]]),FALSE)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3424</v>
      </c>
      <c r="B1004" s="37" t="str">
        <f>INDEX(CONTROL[ENGLISH],MATCH(PROPERTIES[[#This Row],[VEHIDCODE]],CONTROL[VEHIDCODE],0))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5" t="b">
        <f>IFERROR(OR(TRACK_TYPES[[#This Row],[TRACK_TYPE_STANDARD_GAUGE_RAILTYPE_OHLE]:[TRACK_TYPE_STANDARD_GAUGE_RAILTYPE_NONE]]),FALSE)</f>
        <v>0</v>
      </c>
      <c r="AF1004" s="35" t="b">
        <f>IFERROR(OR(TRACK_TYPES[[#This Row],[TRACK_TYPE_NARROW_GAUGE_RAILTYPE_OHLE]:[TRACK_TYPE_NARROW_GAUGE_RAILTYPE_NONE]]),FALSE)</f>
        <v>1</v>
      </c>
      <c r="AG1004" s="35" t="b">
        <f>IFERROR(OR(TRACK_TYPES[[#This Row],[TRACK_TYPE_BROAD_GAUGE_RAILTYPE_OHLE]:[TRACK_TYPE_BROAD_GAUGE_RAILTYPE_NONE]]),FALSE)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3425</v>
      </c>
      <c r="B1005" s="37" t="str">
        <f>INDEX(CONTROL[ENGLISH],MATCH(PROPERTIES[[#This Row],[VEHIDCODE]],CONTROL[VEHIDCODE],0))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5" t="b">
        <f>IFERROR(OR(TRACK_TYPES[[#This Row],[TRACK_TYPE_STANDARD_GAUGE_RAILTYPE_OHLE]:[TRACK_TYPE_STANDARD_GAUGE_RAILTYPE_NONE]]),FALSE)</f>
        <v>0</v>
      </c>
      <c r="AF1005" s="35" t="b">
        <f>IFERROR(OR(TRACK_TYPES[[#This Row],[TRACK_TYPE_NARROW_GAUGE_RAILTYPE_OHLE]:[TRACK_TYPE_NARROW_GAUGE_RAILTYPE_NONE]]),FALSE)</f>
        <v>1</v>
      </c>
      <c r="AG1005" s="35" t="b">
        <f>IFERROR(OR(TRACK_TYPES[[#This Row],[TRACK_TYPE_BROAD_GAUGE_RAILTYPE_OHLE]:[TRACK_TYPE_BROAD_GAUGE_RAILTYPE_NONE]]),FALSE)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3426</v>
      </c>
      <c r="B1006" s="37" t="str">
        <f>INDEX(CONTROL[ENGLISH],MATCH(PROPERTIES[[#This Row],[VEHIDCODE]],CONTROL[VEHIDCODE],0))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5" t="b">
        <f>IFERROR(OR(TRACK_TYPES[[#This Row],[TRACK_TYPE_STANDARD_GAUGE_RAILTYPE_OHLE]:[TRACK_TYPE_STANDARD_GAUGE_RAILTYPE_NONE]]),FALSE)</f>
        <v>1</v>
      </c>
      <c r="AF1006" s="35" t="b">
        <f>IFERROR(OR(TRACK_TYPES[[#This Row],[TRACK_TYPE_NARROW_GAUGE_RAILTYPE_OHLE]:[TRACK_TYPE_NARROW_GAUGE_RAILTYPE_NONE]]),FALSE)</f>
        <v>0</v>
      </c>
      <c r="AG1006" s="35" t="b">
        <f>IFERROR(OR(TRACK_TYPES[[#This Row],[TRACK_TYPE_BROAD_GAUGE_RAILTYPE_OHLE]:[TRACK_TYPE_BROAD_GAUGE_RAILTYPE_NONE]]),FALSE)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3427</v>
      </c>
      <c r="B1007" s="37" t="str">
        <f>INDEX(CONTROL[ENGLISH],MATCH(PROPERTIES[[#This Row],[VEHIDCODE]],CONTROL[VEHIDCODE],0))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5" t="b">
        <f>IFERROR(OR(TRACK_TYPES[[#This Row],[TRACK_TYPE_STANDARD_GAUGE_RAILTYPE_OHLE]:[TRACK_TYPE_STANDARD_GAUGE_RAILTYPE_NONE]]),FALSE)</f>
        <v>0</v>
      </c>
      <c r="AF1007" s="35" t="b">
        <f>IFERROR(OR(TRACK_TYPES[[#This Row],[TRACK_TYPE_NARROW_GAUGE_RAILTYPE_OHLE]:[TRACK_TYPE_NARROW_GAUGE_RAILTYPE_NONE]]),FALSE)</f>
        <v>0</v>
      </c>
      <c r="AG1007" s="35" t="b">
        <f>IFERROR(OR(TRACK_TYPES[[#This Row],[TRACK_TYPE_BROAD_GAUGE_RAILTYPE_OHLE]:[TRACK_TYPE_BROAD_GAUGE_RAILTYPE_NONE]]),FALSE)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3428</v>
      </c>
      <c r="B1008" s="37" t="str">
        <f>INDEX(CONTROL[ENGLISH],MATCH(PROPERTIES[[#This Row],[VEHIDCODE]],CONTROL[VEHIDCODE],0))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5" t="b">
        <f>IFERROR(OR(TRACK_TYPES[[#This Row],[TRACK_TYPE_STANDARD_GAUGE_RAILTYPE_OHLE]:[TRACK_TYPE_STANDARD_GAUGE_RAILTYPE_NONE]]),FALSE)</f>
        <v>0</v>
      </c>
      <c r="AF1008" s="35" t="b">
        <f>IFERROR(OR(TRACK_TYPES[[#This Row],[TRACK_TYPE_NARROW_GAUGE_RAILTYPE_OHLE]:[TRACK_TYPE_NARROW_GAUGE_RAILTYPE_NONE]]),FALSE)</f>
        <v>0</v>
      </c>
      <c r="AG1008" s="35" t="b">
        <f>IFERROR(OR(TRACK_TYPES[[#This Row],[TRACK_TYPE_BROAD_GAUGE_RAILTYPE_OHLE]:[TRACK_TYPE_BROAD_GAUGE_RAILTYPE_NONE]]),FALSE)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3429</v>
      </c>
      <c r="B1009" s="37" t="str">
        <f>INDEX(CONTROL[ENGLISH],MATCH(PROPERTIES[[#This Row],[VEHIDCODE]],CONTROL[VEHIDCODE],0))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5" t="b">
        <f>IFERROR(OR(TRACK_TYPES[[#This Row],[TRACK_TYPE_STANDARD_GAUGE_RAILTYPE_OHLE]:[TRACK_TYPE_STANDARD_GAUGE_RAILTYPE_NONE]]),FALSE)</f>
        <v>1</v>
      </c>
      <c r="AF1009" s="35" t="b">
        <f>IFERROR(OR(TRACK_TYPES[[#This Row],[TRACK_TYPE_NARROW_GAUGE_RAILTYPE_OHLE]:[TRACK_TYPE_NARROW_GAUGE_RAILTYPE_NONE]]),FALSE)</f>
        <v>0</v>
      </c>
      <c r="AG1009" s="35" t="b">
        <f>IFERROR(OR(TRACK_TYPES[[#This Row],[TRACK_TYPE_BROAD_GAUGE_RAILTYPE_OHLE]:[TRACK_TYPE_BROAD_GAUGE_RAILTYPE_NONE]]),FALSE)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3430</v>
      </c>
      <c r="B1010" s="37" t="str">
        <f>INDEX(CONTROL[ENGLISH],MATCH(PROPERTIES[[#This Row],[VEHIDCODE]],CONTROL[VEHIDCODE],0))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5" t="b">
        <f>IFERROR(OR(TRACK_TYPES[[#This Row],[TRACK_TYPE_STANDARD_GAUGE_RAILTYPE_OHLE]:[TRACK_TYPE_STANDARD_GAUGE_RAILTYPE_NONE]]),FALSE)</f>
        <v>0</v>
      </c>
      <c r="AF1010" s="35" t="b">
        <f>IFERROR(OR(TRACK_TYPES[[#This Row],[TRACK_TYPE_NARROW_GAUGE_RAILTYPE_OHLE]:[TRACK_TYPE_NARROW_GAUGE_RAILTYPE_NONE]]),FALSE)</f>
        <v>1</v>
      </c>
      <c r="AG1010" s="35" t="b">
        <f>IFERROR(OR(TRACK_TYPES[[#This Row],[TRACK_TYPE_BROAD_GAUGE_RAILTYPE_OHLE]:[TRACK_TYPE_BROAD_GAUGE_RAILTYPE_NONE]]),FALSE)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3479</v>
      </c>
      <c r="B1011" s="37" t="str">
        <f>INDEX(CONTROL[ENGLISH],MATCH(PROPERTIES[[#This Row],[VEHIDCODE]],CONTROL[VEHIDCODE],0))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5" t="b">
        <f>IFERROR(OR(TRACK_TYPES[[#This Row],[TRACK_TYPE_STANDARD_GAUGE_RAILTYPE_OHLE]:[TRACK_TYPE_STANDARD_GAUGE_RAILTYPE_NONE]]),FALSE)</f>
        <v>0</v>
      </c>
      <c r="AF1011" s="35" t="b">
        <f>IFERROR(OR(TRACK_TYPES[[#This Row],[TRACK_TYPE_NARROW_GAUGE_RAILTYPE_OHLE]:[TRACK_TYPE_NARROW_GAUGE_RAILTYPE_NONE]]),FALSE)</f>
        <v>1</v>
      </c>
      <c r="AG1011" s="35" t="b">
        <f>IFERROR(OR(TRACK_TYPES[[#This Row],[TRACK_TYPE_BROAD_GAUGE_RAILTYPE_OHLE]:[TRACK_TYPE_BROAD_GAUGE_RAILTYPE_NONE]]),FALSE)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3471</v>
      </c>
      <c r="B1012" s="37" t="str">
        <f>INDEX(CONTROL[ENGLISH],MATCH(PROPERTIES[[#This Row],[VEHIDCODE]],CONTROL[VEHIDCODE],0))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5" t="b">
        <f>IFERROR(OR(TRACK_TYPES[[#This Row],[TRACK_TYPE_STANDARD_GAUGE_RAILTYPE_OHLE]:[TRACK_TYPE_STANDARD_GAUGE_RAILTYPE_NONE]]),FALSE)</f>
        <v>0</v>
      </c>
      <c r="AF1012" s="35" t="b">
        <f>IFERROR(OR(TRACK_TYPES[[#This Row],[TRACK_TYPE_NARROW_GAUGE_RAILTYPE_OHLE]:[TRACK_TYPE_NARROW_GAUGE_RAILTYPE_NONE]]),FALSE)</f>
        <v>1</v>
      </c>
      <c r="AG1012" s="35" t="b">
        <f>IFERROR(OR(TRACK_TYPES[[#This Row],[TRACK_TYPE_BROAD_GAUGE_RAILTYPE_OHLE]:[TRACK_TYPE_BROAD_GAUGE_RAILTYPE_NONE]]),FALSE)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3483</v>
      </c>
      <c r="B1013" s="37" t="str">
        <f>INDEX(CONTROL[ENGLISH],MATCH(PROPERTIES[[#This Row],[VEHIDCODE]],CONTROL[VEHIDCODE],0))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5" t="b">
        <f>IFERROR(OR(TRACK_TYPES[[#This Row],[TRACK_TYPE_STANDARD_GAUGE_RAILTYPE_OHLE]:[TRACK_TYPE_STANDARD_GAUGE_RAILTYPE_NONE]]),FALSE)</f>
        <v>0</v>
      </c>
      <c r="AF1013" s="35" t="b">
        <f>IFERROR(OR(TRACK_TYPES[[#This Row],[TRACK_TYPE_NARROW_GAUGE_RAILTYPE_OHLE]:[TRACK_TYPE_NARROW_GAUGE_RAILTYPE_NONE]]),FALSE)</f>
        <v>1</v>
      </c>
      <c r="AG1013" s="35" t="b">
        <f>IFERROR(OR(TRACK_TYPES[[#This Row],[TRACK_TYPE_BROAD_GAUGE_RAILTYPE_OHLE]:[TRACK_TYPE_BROAD_GAUGE_RAILTYPE_NONE]]),FALSE)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3486</v>
      </c>
      <c r="B1014" s="37" t="str">
        <f>INDEX(CONTROL[ENGLISH],MATCH(PROPERTIES[[#This Row],[VEHIDCODE]],CONTROL[VEHIDCODE],0))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5" t="b">
        <f>IFERROR(OR(TRACK_TYPES[[#This Row],[TRACK_TYPE_STANDARD_GAUGE_RAILTYPE_OHLE]:[TRACK_TYPE_STANDARD_GAUGE_RAILTYPE_NONE]]),FALSE)</f>
        <v>1</v>
      </c>
      <c r="AF1014" s="35" t="b">
        <f>IFERROR(OR(TRACK_TYPES[[#This Row],[TRACK_TYPE_NARROW_GAUGE_RAILTYPE_OHLE]:[TRACK_TYPE_NARROW_GAUGE_RAILTYPE_NONE]]),FALSE)</f>
        <v>1</v>
      </c>
      <c r="AG1014" s="35" t="b">
        <f>IFERROR(OR(TRACK_TYPES[[#This Row],[TRACK_TYPE_BROAD_GAUGE_RAILTYPE_OHLE]:[TRACK_TYPE_BROAD_GAUGE_RAILTYPE_NONE]]),FALSE)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3491</v>
      </c>
      <c r="B1015" s="37" t="str">
        <f>INDEX(CONTROL[ENGLISH],MATCH(PROPERTIES[[#This Row],[VEHIDCODE]],CONTROL[VEHIDCODE],0))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5" t="b">
        <f>IFERROR(OR(TRACK_TYPES[[#This Row],[TRACK_TYPE_STANDARD_GAUGE_RAILTYPE_OHLE]:[TRACK_TYPE_STANDARD_GAUGE_RAILTYPE_NONE]]),FALSE)</f>
        <v>0</v>
      </c>
      <c r="AF1015" s="35" t="b">
        <f>IFERROR(OR(TRACK_TYPES[[#This Row],[TRACK_TYPE_NARROW_GAUGE_RAILTYPE_OHLE]:[TRACK_TYPE_NARROW_GAUGE_RAILTYPE_NONE]]),FALSE)</f>
        <v>1</v>
      </c>
      <c r="AG1015" s="35" t="b">
        <f>IFERROR(OR(TRACK_TYPES[[#This Row],[TRACK_TYPE_BROAD_GAUGE_RAILTYPE_OHLE]:[TRACK_TYPE_BROAD_GAUGE_RAILTYPE_NONE]]),FALSE)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3484</v>
      </c>
      <c r="B1016" s="37" t="str">
        <f>INDEX(CONTROL[ENGLISH],MATCH(PROPERTIES[[#This Row],[VEHIDCODE]],CONTROL[VEHIDCODE],0))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5" t="b">
        <f>IFERROR(OR(TRACK_TYPES[[#This Row],[TRACK_TYPE_STANDARD_GAUGE_RAILTYPE_OHLE]:[TRACK_TYPE_STANDARD_GAUGE_RAILTYPE_NONE]]),FALSE)</f>
        <v>0</v>
      </c>
      <c r="AF1016" s="35" t="b">
        <f>IFERROR(OR(TRACK_TYPES[[#This Row],[TRACK_TYPE_NARROW_GAUGE_RAILTYPE_OHLE]:[TRACK_TYPE_NARROW_GAUGE_RAILTYPE_NONE]]),FALSE)</f>
        <v>0</v>
      </c>
      <c r="AG1016" s="35" t="b">
        <f>IFERROR(OR(TRACK_TYPES[[#This Row],[TRACK_TYPE_BROAD_GAUGE_RAILTYPE_OHLE]:[TRACK_TYPE_BROAD_GAUGE_RAILTYPE_NONE]]),FALSE)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3494</v>
      </c>
      <c r="B1017" s="37" t="str">
        <f>INDEX(CONTROL[ENGLISH],MATCH(PROPERTIES[[#This Row],[VEHIDCODE]],CONTROL[VEHIDCODE],0))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5" t="b">
        <f>IFERROR(OR(TRACK_TYPES[[#This Row],[TRACK_TYPE_STANDARD_GAUGE_RAILTYPE_OHLE]:[TRACK_TYPE_STANDARD_GAUGE_RAILTYPE_NONE]]),FALSE)</f>
        <v>0</v>
      </c>
      <c r="AF1017" s="35" t="b">
        <f>IFERROR(OR(TRACK_TYPES[[#This Row],[TRACK_TYPE_NARROW_GAUGE_RAILTYPE_OHLE]:[TRACK_TYPE_NARROW_GAUGE_RAILTYPE_NONE]]),FALSE)</f>
        <v>0</v>
      </c>
      <c r="AG1017" s="35" t="b">
        <f>IFERROR(OR(TRACK_TYPES[[#This Row],[TRACK_TYPE_BROAD_GAUGE_RAILTYPE_OHLE]:[TRACK_TYPE_BROAD_GAUGE_RAILTYPE_NONE]]),FALSE)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3694</v>
      </c>
      <c r="B1018" s="37" t="str">
        <f>INDEX(CONTROL[ENGLISH],MATCH(PROPERTIES[[#This Row],[VEHIDCODE]],CONTROL[VEHIDCODE],0))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5" t="b">
        <f>IFERROR(OR(TRACK_TYPES[[#This Row],[TRACK_TYPE_STANDARD_GAUGE_RAILTYPE_OHLE]:[TRACK_TYPE_STANDARD_GAUGE_RAILTYPE_NONE]]),FALSE)</f>
        <v>1</v>
      </c>
      <c r="AF1018" s="35" t="b">
        <f>IFERROR(OR(TRACK_TYPES[[#This Row],[TRACK_TYPE_NARROW_GAUGE_RAILTYPE_OHLE]:[TRACK_TYPE_NARROW_GAUGE_RAILTYPE_NONE]]),FALSE)</f>
        <v>1</v>
      </c>
      <c r="AG1018" s="35" t="b">
        <f>IFERROR(OR(TRACK_TYPES[[#This Row],[TRACK_TYPE_BROAD_GAUGE_RAILTYPE_OHLE]:[TRACK_TYPE_BROAD_GAUGE_RAILTYPE_NONE]]),FALSE)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3550</v>
      </c>
      <c r="B1019" s="37" t="str">
        <f>INDEX(CONTROL[ENGLISH],MATCH(PROPERTIES[[#This Row],[VEHIDCODE]],CONTROL[VEHIDCODE],0))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5" t="b">
        <f>IFERROR(OR(TRACK_TYPES[[#This Row],[TRACK_TYPE_STANDARD_GAUGE_RAILTYPE_OHLE]:[TRACK_TYPE_STANDARD_GAUGE_RAILTYPE_NONE]]),FALSE)</f>
        <v>1</v>
      </c>
      <c r="AF1019" s="35" t="b">
        <f>IFERROR(OR(TRACK_TYPES[[#This Row],[TRACK_TYPE_NARROW_GAUGE_RAILTYPE_OHLE]:[TRACK_TYPE_NARROW_GAUGE_RAILTYPE_NONE]]),FALSE)</f>
        <v>1</v>
      </c>
      <c r="AG1019" s="35" t="b">
        <f>IFERROR(OR(TRACK_TYPES[[#This Row],[TRACK_TYPE_BROAD_GAUGE_RAILTYPE_OHLE]:[TRACK_TYPE_BROAD_GAUGE_RAILTYPE_NONE]]),FALSE)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3553</v>
      </c>
      <c r="B1020" s="37" t="str">
        <f>INDEX(CONTROL[ENGLISH],MATCH(PROPERTIES[[#This Row],[VEHIDCODE]],CONTROL[VEHIDCODE],0))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5" t="b">
        <f>IFERROR(OR(TRACK_TYPES[[#This Row],[TRACK_TYPE_STANDARD_GAUGE_RAILTYPE_OHLE]:[TRACK_TYPE_STANDARD_GAUGE_RAILTYPE_NONE]]),FALSE)</f>
        <v>1</v>
      </c>
      <c r="AF1020" s="35" t="b">
        <f>IFERROR(OR(TRACK_TYPES[[#This Row],[TRACK_TYPE_NARROW_GAUGE_RAILTYPE_OHLE]:[TRACK_TYPE_NARROW_GAUGE_RAILTYPE_NONE]]),FALSE)</f>
        <v>0</v>
      </c>
      <c r="AG1020" s="35" t="b">
        <f>IFERROR(OR(TRACK_TYPES[[#This Row],[TRACK_TYPE_BROAD_GAUGE_RAILTYPE_OHLE]:[TRACK_TYPE_BROAD_GAUGE_RAILTYPE_NONE]]),FALSE)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3562</v>
      </c>
      <c r="B1021" s="37" t="str">
        <f>INDEX(CONTROL[ENGLISH],MATCH(PROPERTIES[[#This Row],[VEHIDCODE]],CONTROL[VEHIDCODE],0))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5" t="b">
        <f>IFERROR(OR(TRACK_TYPES[[#This Row],[TRACK_TYPE_STANDARD_GAUGE_RAILTYPE_OHLE]:[TRACK_TYPE_STANDARD_GAUGE_RAILTYPE_NONE]]),FALSE)</f>
        <v>1</v>
      </c>
      <c r="AF1021" s="35" t="b">
        <f>IFERROR(OR(TRACK_TYPES[[#This Row],[TRACK_TYPE_NARROW_GAUGE_RAILTYPE_OHLE]:[TRACK_TYPE_NARROW_GAUGE_RAILTYPE_NONE]]),FALSE)</f>
        <v>1</v>
      </c>
      <c r="AG1021" s="35" t="b">
        <f>IFERROR(OR(TRACK_TYPES[[#This Row],[TRACK_TYPE_BROAD_GAUGE_RAILTYPE_OHLE]:[TRACK_TYPE_BROAD_GAUGE_RAILTYPE_NONE]]),FALSE)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3567</v>
      </c>
      <c r="B1022" s="37" t="str">
        <f>INDEX(CONTROL[ENGLISH],MATCH(PROPERTIES[[#This Row],[VEHIDCODE]],CONTROL[VEHIDCODE],0))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5" t="b">
        <f>IFERROR(OR(TRACK_TYPES[[#This Row],[TRACK_TYPE_STANDARD_GAUGE_RAILTYPE_OHLE]:[TRACK_TYPE_STANDARD_GAUGE_RAILTYPE_NONE]]),FALSE)</f>
        <v>1</v>
      </c>
      <c r="AF1022" s="35" t="b">
        <f>IFERROR(OR(TRACK_TYPES[[#This Row],[TRACK_TYPE_NARROW_GAUGE_RAILTYPE_OHLE]:[TRACK_TYPE_NARROW_GAUGE_RAILTYPE_NONE]]),FALSE)</f>
        <v>1</v>
      </c>
      <c r="AG1022" s="35" t="b">
        <f>IFERROR(OR(TRACK_TYPES[[#This Row],[TRACK_TYPE_BROAD_GAUGE_RAILTYPE_OHLE]:[TRACK_TYPE_BROAD_GAUGE_RAILTYPE_NONE]]),FALSE)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3566</v>
      </c>
      <c r="B1023" s="37" t="str">
        <f>INDEX(CONTROL[ENGLISH],MATCH(PROPERTIES[[#This Row],[VEHIDCODE]],CONTROL[VEHIDCODE],0))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5" t="b">
        <f>IFERROR(OR(TRACK_TYPES[[#This Row],[TRACK_TYPE_STANDARD_GAUGE_RAILTYPE_OHLE]:[TRACK_TYPE_STANDARD_GAUGE_RAILTYPE_NONE]]),FALSE)</f>
        <v>1</v>
      </c>
      <c r="AF1023" s="35" t="b">
        <f>IFERROR(OR(TRACK_TYPES[[#This Row],[TRACK_TYPE_NARROW_GAUGE_RAILTYPE_OHLE]:[TRACK_TYPE_NARROW_GAUGE_RAILTYPE_NONE]]),FALSE)</f>
        <v>1</v>
      </c>
      <c r="AG1023" s="35" t="b">
        <f>IFERROR(OR(TRACK_TYPES[[#This Row],[TRACK_TYPE_BROAD_GAUGE_RAILTYPE_OHLE]:[TRACK_TYPE_BROAD_GAUGE_RAILTYPE_NONE]]),FALSE)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3573</v>
      </c>
      <c r="B1024" s="37" t="str">
        <f>INDEX(CONTROL[ENGLISH],MATCH(PROPERTIES[[#This Row],[VEHIDCODE]],CONTROL[VEHIDCODE],0))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5" t="b">
        <f>IFERROR(OR(TRACK_TYPES[[#This Row],[TRACK_TYPE_STANDARD_GAUGE_RAILTYPE_OHLE]:[TRACK_TYPE_STANDARD_GAUGE_RAILTYPE_NONE]]),FALSE)</f>
        <v>1</v>
      </c>
      <c r="AF1024" s="35" t="b">
        <f>IFERROR(OR(TRACK_TYPES[[#This Row],[TRACK_TYPE_NARROW_GAUGE_RAILTYPE_OHLE]:[TRACK_TYPE_NARROW_GAUGE_RAILTYPE_NONE]]),FALSE)</f>
        <v>1</v>
      </c>
      <c r="AG1024" s="35" t="b">
        <f>IFERROR(OR(TRACK_TYPES[[#This Row],[TRACK_TYPE_BROAD_GAUGE_RAILTYPE_OHLE]:[TRACK_TYPE_BROAD_GAUGE_RAILTYPE_NONE]]),FALSE)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3575</v>
      </c>
      <c r="B1025" s="37" t="str">
        <f>INDEX(CONTROL[ENGLISH],MATCH(PROPERTIES[[#This Row],[VEHIDCODE]],CONTROL[VEHIDCODE],0))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5" t="b">
        <f>IFERROR(OR(TRACK_TYPES[[#This Row],[TRACK_TYPE_STANDARD_GAUGE_RAILTYPE_OHLE]:[TRACK_TYPE_STANDARD_GAUGE_RAILTYPE_NONE]]),FALSE)</f>
        <v>1</v>
      </c>
      <c r="AF1025" s="35" t="b">
        <f>IFERROR(OR(TRACK_TYPES[[#This Row],[TRACK_TYPE_NARROW_GAUGE_RAILTYPE_OHLE]:[TRACK_TYPE_NARROW_GAUGE_RAILTYPE_NONE]]),FALSE)</f>
        <v>0</v>
      </c>
      <c r="AG1025" s="35" t="b">
        <f>IFERROR(OR(TRACK_TYPES[[#This Row],[TRACK_TYPE_BROAD_GAUGE_RAILTYPE_OHLE]:[TRACK_TYPE_BROAD_GAUGE_RAILTYPE_NONE]]),FALSE)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3578</v>
      </c>
      <c r="B1026" s="37" t="str">
        <f>INDEX(CONTROL[ENGLISH],MATCH(PROPERTIES[[#This Row],[VEHIDCODE]],CONTROL[VEHIDCODE],0))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5" t="b">
        <f>IFERROR(OR(TRACK_TYPES[[#This Row],[TRACK_TYPE_STANDARD_GAUGE_RAILTYPE_OHLE]:[TRACK_TYPE_STANDARD_GAUGE_RAILTYPE_NONE]]),FALSE)</f>
        <v>1</v>
      </c>
      <c r="AF1026" s="35" t="b">
        <f>IFERROR(OR(TRACK_TYPES[[#This Row],[TRACK_TYPE_NARROW_GAUGE_RAILTYPE_OHLE]:[TRACK_TYPE_NARROW_GAUGE_RAILTYPE_NONE]]),FALSE)</f>
        <v>0</v>
      </c>
      <c r="AG1026" s="35" t="b">
        <f>IFERROR(OR(TRACK_TYPES[[#This Row],[TRACK_TYPE_BROAD_GAUGE_RAILTYPE_OHLE]:[TRACK_TYPE_BROAD_GAUGE_RAILTYPE_NONE]]),FALSE)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3583</v>
      </c>
      <c r="B1027" s="37" t="str">
        <f>INDEX(CONTROL[ENGLISH],MATCH(PROPERTIES[[#This Row],[VEHIDCODE]],CONTROL[VEHIDCODE],0))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5" t="b">
        <f>IFERROR(OR(TRACK_TYPES[[#This Row],[TRACK_TYPE_STANDARD_GAUGE_RAILTYPE_OHLE]:[TRACK_TYPE_STANDARD_GAUGE_RAILTYPE_NONE]]),FALSE)</f>
        <v>1</v>
      </c>
      <c r="AF1027" s="35" t="b">
        <f>IFERROR(OR(TRACK_TYPES[[#This Row],[TRACK_TYPE_NARROW_GAUGE_RAILTYPE_OHLE]:[TRACK_TYPE_NARROW_GAUGE_RAILTYPE_NONE]]),FALSE)</f>
        <v>0</v>
      </c>
      <c r="AG1027" s="35" t="b">
        <f>IFERROR(OR(TRACK_TYPES[[#This Row],[TRACK_TYPE_BROAD_GAUGE_RAILTYPE_OHLE]:[TRACK_TYPE_BROAD_GAUGE_RAILTYPE_NONE]]),FALSE)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3584</v>
      </c>
      <c r="B1028" s="37" t="str">
        <f>INDEX(CONTROL[ENGLISH],MATCH(PROPERTIES[[#This Row],[VEHIDCODE]],CONTROL[VEHIDCODE],0))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5" t="b">
        <f>IFERROR(OR(TRACK_TYPES[[#This Row],[TRACK_TYPE_STANDARD_GAUGE_RAILTYPE_OHLE]:[TRACK_TYPE_STANDARD_GAUGE_RAILTYPE_NONE]]),FALSE)</f>
        <v>1</v>
      </c>
      <c r="AF1028" s="35" t="b">
        <f>IFERROR(OR(TRACK_TYPES[[#This Row],[TRACK_TYPE_NARROW_GAUGE_RAILTYPE_OHLE]:[TRACK_TYPE_NARROW_GAUGE_RAILTYPE_NONE]]),FALSE)</f>
        <v>0</v>
      </c>
      <c r="AG1028" s="35" t="b">
        <f>IFERROR(OR(TRACK_TYPES[[#This Row],[TRACK_TYPE_BROAD_GAUGE_RAILTYPE_OHLE]:[TRACK_TYPE_BROAD_GAUGE_RAILTYPE_NONE]]),FALSE)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3588</v>
      </c>
      <c r="B1029" s="37" t="str">
        <f>INDEX(CONTROL[ENGLISH],MATCH(PROPERTIES[[#This Row],[VEHIDCODE]],CONTROL[VEHIDCODE],0))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5" t="b">
        <f>IFERROR(OR(TRACK_TYPES[[#This Row],[TRACK_TYPE_STANDARD_GAUGE_RAILTYPE_OHLE]:[TRACK_TYPE_STANDARD_GAUGE_RAILTYPE_NONE]]),FALSE)</f>
        <v>1</v>
      </c>
      <c r="AF1029" s="35" t="b">
        <f>IFERROR(OR(TRACK_TYPES[[#This Row],[TRACK_TYPE_NARROW_GAUGE_RAILTYPE_OHLE]:[TRACK_TYPE_NARROW_GAUGE_RAILTYPE_NONE]]),FALSE)</f>
        <v>0</v>
      </c>
      <c r="AG1029" s="35" t="b">
        <f>IFERROR(OR(TRACK_TYPES[[#This Row],[TRACK_TYPE_BROAD_GAUGE_RAILTYPE_OHLE]:[TRACK_TYPE_BROAD_GAUGE_RAILTYPE_NONE]]),FALSE)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3590</v>
      </c>
      <c r="B1030" s="37" t="str">
        <f>INDEX(CONTROL[ENGLISH],MATCH(PROPERTIES[[#This Row],[VEHIDCODE]],CONTROL[VEHIDCODE],0))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5" t="b">
        <f>IFERROR(OR(TRACK_TYPES[[#This Row],[TRACK_TYPE_STANDARD_GAUGE_RAILTYPE_OHLE]:[TRACK_TYPE_STANDARD_GAUGE_RAILTYPE_NONE]]),FALSE)</f>
        <v>1</v>
      </c>
      <c r="AF1030" s="35" t="b">
        <f>IFERROR(OR(TRACK_TYPES[[#This Row],[TRACK_TYPE_NARROW_GAUGE_RAILTYPE_OHLE]:[TRACK_TYPE_NARROW_GAUGE_RAILTYPE_NONE]]),FALSE)</f>
        <v>1</v>
      </c>
      <c r="AG1030" s="35" t="b">
        <f>IFERROR(OR(TRACK_TYPES[[#This Row],[TRACK_TYPE_BROAD_GAUGE_RAILTYPE_OHLE]:[TRACK_TYPE_BROAD_GAUGE_RAILTYPE_NONE]]),FALSE)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3595</v>
      </c>
      <c r="B1031" s="37" t="str">
        <f>INDEX(CONTROL[ENGLISH],MATCH(PROPERTIES[[#This Row],[VEHIDCODE]],CONTROL[VEHIDCODE],0))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5" t="b">
        <f>IFERROR(OR(TRACK_TYPES[[#This Row],[TRACK_TYPE_STANDARD_GAUGE_RAILTYPE_OHLE]:[TRACK_TYPE_STANDARD_GAUGE_RAILTYPE_NONE]]),FALSE)</f>
        <v>1</v>
      </c>
      <c r="AF1031" s="35" t="b">
        <f>IFERROR(OR(TRACK_TYPES[[#This Row],[TRACK_TYPE_NARROW_GAUGE_RAILTYPE_OHLE]:[TRACK_TYPE_NARROW_GAUGE_RAILTYPE_NONE]]),FALSE)</f>
        <v>0</v>
      </c>
      <c r="AG1031" s="35" t="b">
        <f>IFERROR(OR(TRACK_TYPES[[#This Row],[TRACK_TYPE_BROAD_GAUGE_RAILTYPE_OHLE]:[TRACK_TYPE_BROAD_GAUGE_RAILTYPE_NONE]]),FALSE)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3596</v>
      </c>
      <c r="B1032" s="37" t="str">
        <f>INDEX(CONTROL[ENGLISH],MATCH(PROPERTIES[[#This Row],[VEHIDCODE]],CONTROL[VEHIDCODE],0))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5" t="b">
        <f>IFERROR(OR(TRACK_TYPES[[#This Row],[TRACK_TYPE_STANDARD_GAUGE_RAILTYPE_OHLE]:[TRACK_TYPE_STANDARD_GAUGE_RAILTYPE_NONE]]),FALSE)</f>
        <v>1</v>
      </c>
      <c r="AF1032" s="35" t="b">
        <f>IFERROR(OR(TRACK_TYPES[[#This Row],[TRACK_TYPE_NARROW_GAUGE_RAILTYPE_OHLE]:[TRACK_TYPE_NARROW_GAUGE_RAILTYPE_NONE]]),FALSE)</f>
        <v>0</v>
      </c>
      <c r="AG1032" s="35" t="b">
        <f>IFERROR(OR(TRACK_TYPES[[#This Row],[TRACK_TYPE_BROAD_GAUGE_RAILTYPE_OHLE]:[TRACK_TYPE_BROAD_GAUGE_RAILTYPE_NONE]]),FALSE)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3598</v>
      </c>
      <c r="B1033" s="37" t="str">
        <f>INDEX(CONTROL[ENGLISH],MATCH(PROPERTIES[[#This Row],[VEHIDCODE]],CONTROL[VEHIDCODE],0))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5" t="b">
        <f>IFERROR(OR(TRACK_TYPES[[#This Row],[TRACK_TYPE_STANDARD_GAUGE_RAILTYPE_OHLE]:[TRACK_TYPE_STANDARD_GAUGE_RAILTYPE_NONE]]),FALSE)</f>
        <v>1</v>
      </c>
      <c r="AF1033" s="35" t="b">
        <f>IFERROR(OR(TRACK_TYPES[[#This Row],[TRACK_TYPE_NARROW_GAUGE_RAILTYPE_OHLE]:[TRACK_TYPE_NARROW_GAUGE_RAILTYPE_NONE]]),FALSE)</f>
        <v>0</v>
      </c>
      <c r="AG1033" s="35" t="b">
        <f>IFERROR(OR(TRACK_TYPES[[#This Row],[TRACK_TYPE_BROAD_GAUGE_RAILTYPE_OHLE]:[TRACK_TYPE_BROAD_GAUGE_RAILTYPE_NONE]]),FALSE)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3597</v>
      </c>
      <c r="B1034" s="37" t="str">
        <f>INDEX(CONTROL[ENGLISH],MATCH(PROPERTIES[[#This Row],[VEHIDCODE]],CONTROL[VEHIDCODE],0))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5" t="b">
        <f>IFERROR(OR(TRACK_TYPES[[#This Row],[TRACK_TYPE_STANDARD_GAUGE_RAILTYPE_OHLE]:[TRACK_TYPE_STANDARD_GAUGE_RAILTYPE_NONE]]),FALSE)</f>
        <v>1</v>
      </c>
      <c r="AF1034" s="35" t="b">
        <f>IFERROR(OR(TRACK_TYPES[[#This Row],[TRACK_TYPE_NARROW_GAUGE_RAILTYPE_OHLE]:[TRACK_TYPE_NARROW_GAUGE_RAILTYPE_NONE]]),FALSE)</f>
        <v>0</v>
      </c>
      <c r="AG1034" s="35" t="b">
        <f>IFERROR(OR(TRACK_TYPES[[#This Row],[TRACK_TYPE_BROAD_GAUGE_RAILTYPE_OHLE]:[TRACK_TYPE_BROAD_GAUGE_RAILTYPE_NONE]]),FALSE)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3604</v>
      </c>
      <c r="B1035" s="37" t="str">
        <f>INDEX(CONTROL[ENGLISH],MATCH(PROPERTIES[[#This Row],[VEHIDCODE]],CONTROL[VEHIDCODE],0))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5" t="b">
        <f>IFERROR(OR(TRACK_TYPES[[#This Row],[TRACK_TYPE_STANDARD_GAUGE_RAILTYPE_OHLE]:[TRACK_TYPE_STANDARD_GAUGE_RAILTYPE_NONE]]),FALSE)</f>
        <v>1</v>
      </c>
      <c r="AF1035" s="35" t="b">
        <f>IFERROR(OR(TRACK_TYPES[[#This Row],[TRACK_TYPE_NARROW_GAUGE_RAILTYPE_OHLE]:[TRACK_TYPE_NARROW_GAUGE_RAILTYPE_NONE]]),FALSE)</f>
        <v>0</v>
      </c>
      <c r="AG1035" s="35" t="b">
        <f>IFERROR(OR(TRACK_TYPES[[#This Row],[TRACK_TYPE_BROAD_GAUGE_RAILTYPE_OHLE]:[TRACK_TYPE_BROAD_GAUGE_RAILTYPE_NONE]]),FALSE)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3606</v>
      </c>
      <c r="B1036" s="37" t="str">
        <f>INDEX(CONTROL[ENGLISH],MATCH(PROPERTIES[[#This Row],[VEHIDCODE]],CONTROL[VEHIDCODE],0))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5" t="b">
        <f>IFERROR(OR(TRACK_TYPES[[#This Row],[TRACK_TYPE_STANDARD_GAUGE_RAILTYPE_OHLE]:[TRACK_TYPE_STANDARD_GAUGE_RAILTYPE_NONE]]),FALSE)</f>
        <v>0</v>
      </c>
      <c r="AF1036" s="35" t="b">
        <f>IFERROR(OR(TRACK_TYPES[[#This Row],[TRACK_TYPE_NARROW_GAUGE_RAILTYPE_OHLE]:[TRACK_TYPE_NARROW_GAUGE_RAILTYPE_NONE]]),FALSE)</f>
        <v>0</v>
      </c>
      <c r="AG1036" s="35" t="b">
        <f>IFERROR(OR(TRACK_TYPES[[#This Row],[TRACK_TYPE_BROAD_GAUGE_RAILTYPE_OHLE]:[TRACK_TYPE_BROAD_GAUGE_RAILTYPE_NONE]]),FALSE)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3607</v>
      </c>
      <c r="B1037" s="37" t="str">
        <f>INDEX(CONTROL[ENGLISH],MATCH(PROPERTIES[[#This Row],[VEHIDCODE]],CONTROL[VEHIDCODE],0))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5" t="b">
        <f>IFERROR(OR(TRACK_TYPES[[#This Row],[TRACK_TYPE_STANDARD_GAUGE_RAILTYPE_OHLE]:[TRACK_TYPE_STANDARD_GAUGE_RAILTYPE_NONE]]),FALSE)</f>
        <v>0</v>
      </c>
      <c r="AF1037" s="35" t="b">
        <f>IFERROR(OR(TRACK_TYPES[[#This Row],[TRACK_TYPE_NARROW_GAUGE_RAILTYPE_OHLE]:[TRACK_TYPE_NARROW_GAUGE_RAILTYPE_NONE]]),FALSE)</f>
        <v>0</v>
      </c>
      <c r="AG1037" s="35" t="b">
        <f>IFERROR(OR(TRACK_TYPES[[#This Row],[TRACK_TYPE_BROAD_GAUGE_RAILTYPE_OHLE]:[TRACK_TYPE_BROAD_GAUGE_RAILTYPE_NONE]]),FALSE)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3608</v>
      </c>
      <c r="B1038" s="37" t="str">
        <f>INDEX(CONTROL[ENGLISH],MATCH(PROPERTIES[[#This Row],[VEHIDCODE]],CONTROL[VEHIDCODE],0))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5" t="b">
        <f>IFERROR(OR(TRACK_TYPES[[#This Row],[TRACK_TYPE_STANDARD_GAUGE_RAILTYPE_OHLE]:[TRACK_TYPE_STANDARD_GAUGE_RAILTYPE_NONE]]),FALSE)</f>
        <v>0</v>
      </c>
      <c r="AF1038" s="35" t="b">
        <f>IFERROR(OR(TRACK_TYPES[[#This Row],[TRACK_TYPE_NARROW_GAUGE_RAILTYPE_OHLE]:[TRACK_TYPE_NARROW_GAUGE_RAILTYPE_NONE]]),FALSE)</f>
        <v>0</v>
      </c>
      <c r="AG1038" s="35" t="b">
        <f>IFERROR(OR(TRACK_TYPES[[#This Row],[TRACK_TYPE_BROAD_GAUGE_RAILTYPE_OHLE]:[TRACK_TYPE_BROAD_GAUGE_RAILTYPE_NONE]]),FALSE)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3648</v>
      </c>
      <c r="B1039" s="37" t="str">
        <f>INDEX(CONTROL[ENGLISH],MATCH(PROPERTIES[[#This Row],[VEHIDCODE]],CONTROL[VEHIDCODE],0))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5" t="b">
        <f>IFERROR(OR(TRACK_TYPES[[#This Row],[TRACK_TYPE_STANDARD_GAUGE_RAILTYPE_OHLE]:[TRACK_TYPE_STANDARD_GAUGE_RAILTYPE_NONE]]),FALSE)</f>
        <v>0</v>
      </c>
      <c r="AF1039" s="35" t="b">
        <f>IFERROR(OR(TRACK_TYPES[[#This Row],[TRACK_TYPE_NARROW_GAUGE_RAILTYPE_OHLE]:[TRACK_TYPE_NARROW_GAUGE_RAILTYPE_NONE]]),FALSE)</f>
        <v>1</v>
      </c>
      <c r="AG1039" s="35" t="b">
        <f>IFERROR(OR(TRACK_TYPES[[#This Row],[TRACK_TYPE_BROAD_GAUGE_RAILTYPE_OHLE]:[TRACK_TYPE_BROAD_GAUGE_RAILTYPE_NONE]]),FALSE)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3611</v>
      </c>
      <c r="B1040" s="37" t="str">
        <f>INDEX(CONTROL[ENGLISH],MATCH(PROPERTIES[[#This Row],[VEHIDCODE]],CONTROL[VEHIDCODE],0))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5" t="b">
        <f>IFERROR(OR(TRACK_TYPES[[#This Row],[TRACK_TYPE_STANDARD_GAUGE_RAILTYPE_OHLE]:[TRACK_TYPE_STANDARD_GAUGE_RAILTYPE_NONE]]),FALSE)</f>
        <v>0</v>
      </c>
      <c r="AF1040" s="35" t="b">
        <f>IFERROR(OR(TRACK_TYPES[[#This Row],[TRACK_TYPE_NARROW_GAUGE_RAILTYPE_OHLE]:[TRACK_TYPE_NARROW_GAUGE_RAILTYPE_NONE]]),FALSE)</f>
        <v>1</v>
      </c>
      <c r="AG1040" s="35" t="b">
        <f>IFERROR(OR(TRACK_TYPES[[#This Row],[TRACK_TYPE_BROAD_GAUGE_RAILTYPE_OHLE]:[TRACK_TYPE_BROAD_GAUGE_RAILTYPE_NONE]]),FALSE)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3613</v>
      </c>
      <c r="B1041" s="37" t="str">
        <f>INDEX(CONTROL[ENGLISH],MATCH(PROPERTIES[[#This Row],[VEHIDCODE]],CONTROL[VEHIDCODE],0))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5" t="b">
        <f>IFERROR(OR(TRACK_TYPES[[#This Row],[TRACK_TYPE_STANDARD_GAUGE_RAILTYPE_OHLE]:[TRACK_TYPE_STANDARD_GAUGE_RAILTYPE_NONE]]),FALSE)</f>
        <v>0</v>
      </c>
      <c r="AF1041" s="35" t="b">
        <f>IFERROR(OR(TRACK_TYPES[[#This Row],[TRACK_TYPE_NARROW_GAUGE_RAILTYPE_OHLE]:[TRACK_TYPE_NARROW_GAUGE_RAILTYPE_NONE]]),FALSE)</f>
        <v>1</v>
      </c>
      <c r="AG1041" s="35" t="b">
        <f>IFERROR(OR(TRACK_TYPES[[#This Row],[TRACK_TYPE_BROAD_GAUGE_RAILTYPE_OHLE]:[TRACK_TYPE_BROAD_GAUGE_RAILTYPE_NONE]]),FALSE)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3617</v>
      </c>
      <c r="B1042" s="37" t="str">
        <f>INDEX(CONTROL[ENGLISH],MATCH(PROPERTIES[[#This Row],[VEHIDCODE]],CONTROL[VEHIDCODE],0))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5" t="b">
        <f>IFERROR(OR(TRACK_TYPES[[#This Row],[TRACK_TYPE_STANDARD_GAUGE_RAILTYPE_OHLE]:[TRACK_TYPE_STANDARD_GAUGE_RAILTYPE_NONE]]),FALSE)</f>
        <v>0</v>
      </c>
      <c r="AF1042" s="35" t="b">
        <f>IFERROR(OR(TRACK_TYPES[[#This Row],[TRACK_TYPE_NARROW_GAUGE_RAILTYPE_OHLE]:[TRACK_TYPE_NARROW_GAUGE_RAILTYPE_NONE]]),FALSE)</f>
        <v>1</v>
      </c>
      <c r="AG1042" s="35" t="b">
        <f>IFERROR(OR(TRACK_TYPES[[#This Row],[TRACK_TYPE_BROAD_GAUGE_RAILTYPE_OHLE]:[TRACK_TYPE_BROAD_GAUGE_RAILTYPE_NONE]]),FALSE)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3619</v>
      </c>
      <c r="B1043" s="37" t="str">
        <f>INDEX(CONTROL[ENGLISH],MATCH(PROPERTIES[[#This Row],[VEHIDCODE]],CONTROL[VEHIDCODE],0))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5" t="b">
        <f>IFERROR(OR(TRACK_TYPES[[#This Row],[TRACK_TYPE_STANDARD_GAUGE_RAILTYPE_OHLE]:[TRACK_TYPE_STANDARD_GAUGE_RAILTYPE_NONE]]),FALSE)</f>
        <v>1</v>
      </c>
      <c r="AF1043" s="35" t="b">
        <f>IFERROR(OR(TRACK_TYPES[[#This Row],[TRACK_TYPE_NARROW_GAUGE_RAILTYPE_OHLE]:[TRACK_TYPE_NARROW_GAUGE_RAILTYPE_NONE]]),FALSE)</f>
        <v>1</v>
      </c>
      <c r="AG1043" s="35" t="b">
        <f>IFERROR(OR(TRACK_TYPES[[#This Row],[TRACK_TYPE_BROAD_GAUGE_RAILTYPE_OHLE]:[TRACK_TYPE_BROAD_GAUGE_RAILTYPE_NONE]]),FALSE)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3624</v>
      </c>
      <c r="B1044" s="37" t="str">
        <f>INDEX(CONTROL[ENGLISH],MATCH(PROPERTIES[[#This Row],[VEHIDCODE]],CONTROL[VEHIDCODE],0))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5" t="b">
        <f>IFERROR(OR(TRACK_TYPES[[#This Row],[TRACK_TYPE_STANDARD_GAUGE_RAILTYPE_OHLE]:[TRACK_TYPE_STANDARD_GAUGE_RAILTYPE_NONE]]),FALSE)</f>
        <v>1</v>
      </c>
      <c r="AF1044" s="35" t="b">
        <f>IFERROR(OR(TRACK_TYPES[[#This Row],[TRACK_TYPE_NARROW_GAUGE_RAILTYPE_OHLE]:[TRACK_TYPE_NARROW_GAUGE_RAILTYPE_NONE]]),FALSE)</f>
        <v>0</v>
      </c>
      <c r="AG1044" s="35" t="b">
        <f>IFERROR(OR(TRACK_TYPES[[#This Row],[TRACK_TYPE_BROAD_GAUGE_RAILTYPE_OHLE]:[TRACK_TYPE_BROAD_GAUGE_RAILTYPE_NONE]]),FALSE)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3622</v>
      </c>
      <c r="B1045" s="37" t="str">
        <f>INDEX(CONTROL[ENGLISH],MATCH(PROPERTIES[[#This Row],[VEHIDCODE]],CONTROL[VEHIDCODE],0))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5" t="b">
        <f>IFERROR(OR(TRACK_TYPES[[#This Row],[TRACK_TYPE_STANDARD_GAUGE_RAILTYPE_OHLE]:[TRACK_TYPE_STANDARD_GAUGE_RAILTYPE_NONE]]),FALSE)</f>
        <v>1</v>
      </c>
      <c r="AF1045" s="35" t="b">
        <f>IFERROR(OR(TRACK_TYPES[[#This Row],[TRACK_TYPE_NARROW_GAUGE_RAILTYPE_OHLE]:[TRACK_TYPE_NARROW_GAUGE_RAILTYPE_NONE]]),FALSE)</f>
        <v>0</v>
      </c>
      <c r="AG1045" s="35" t="b">
        <f>IFERROR(OR(TRACK_TYPES[[#This Row],[TRACK_TYPE_BROAD_GAUGE_RAILTYPE_OHLE]:[TRACK_TYPE_BROAD_GAUGE_RAILTYPE_NONE]]),FALSE)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3668</v>
      </c>
      <c r="B1046" s="37" t="str">
        <f>INDEX(CONTROL[ENGLISH],MATCH(PROPERTIES[[#This Row],[VEHIDCODE]],CONTROL[VEHIDCODE],0))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5" t="b">
        <f>IFERROR(OR(TRACK_TYPES[[#This Row],[TRACK_TYPE_STANDARD_GAUGE_RAILTYPE_OHLE]:[TRACK_TYPE_STANDARD_GAUGE_RAILTYPE_NONE]]),FALSE)</f>
        <v>1</v>
      </c>
      <c r="AF1046" s="35" t="b">
        <f>IFERROR(OR(TRACK_TYPES[[#This Row],[TRACK_TYPE_NARROW_GAUGE_RAILTYPE_OHLE]:[TRACK_TYPE_NARROW_GAUGE_RAILTYPE_NONE]]),FALSE)</f>
        <v>0</v>
      </c>
      <c r="AG1046" s="35" t="b">
        <f>IFERROR(OR(TRACK_TYPES[[#This Row],[TRACK_TYPE_BROAD_GAUGE_RAILTYPE_OHLE]:[TRACK_TYPE_BROAD_GAUGE_RAILTYPE_NONE]]),FALSE)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3633</v>
      </c>
      <c r="B1047" s="37" t="str">
        <f>INDEX(CONTROL[ENGLISH],MATCH(PROPERTIES[[#This Row],[VEHIDCODE]],CONTROL[VEHIDCODE],0))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5" t="b">
        <f>IFERROR(OR(TRACK_TYPES[[#This Row],[TRACK_TYPE_STANDARD_GAUGE_RAILTYPE_OHLE]:[TRACK_TYPE_STANDARD_GAUGE_RAILTYPE_NONE]]),FALSE)</f>
        <v>1</v>
      </c>
      <c r="AF1047" s="35" t="b">
        <f>IFERROR(OR(TRACK_TYPES[[#This Row],[TRACK_TYPE_NARROW_GAUGE_RAILTYPE_OHLE]:[TRACK_TYPE_NARROW_GAUGE_RAILTYPE_NONE]]),FALSE)</f>
        <v>0</v>
      </c>
      <c r="AG1047" s="35" t="b">
        <f>IFERROR(OR(TRACK_TYPES[[#This Row],[TRACK_TYPE_BROAD_GAUGE_RAILTYPE_OHLE]:[TRACK_TYPE_BROAD_GAUGE_RAILTYPE_NONE]]),FALSE)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3630</v>
      </c>
      <c r="B1048" s="37" t="str">
        <f>INDEX(CONTROL[ENGLISH],MATCH(PROPERTIES[[#This Row],[VEHIDCODE]],CONTROL[VEHIDCODE],0))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5" t="b">
        <f>IFERROR(OR(TRACK_TYPES[[#This Row],[TRACK_TYPE_STANDARD_GAUGE_RAILTYPE_OHLE]:[TRACK_TYPE_STANDARD_GAUGE_RAILTYPE_NONE]]),FALSE)</f>
        <v>1</v>
      </c>
      <c r="AF1048" s="35" t="b">
        <f>IFERROR(OR(TRACK_TYPES[[#This Row],[TRACK_TYPE_NARROW_GAUGE_RAILTYPE_OHLE]:[TRACK_TYPE_NARROW_GAUGE_RAILTYPE_NONE]]),FALSE)</f>
        <v>0</v>
      </c>
      <c r="AG1048" s="35" t="b">
        <f>IFERROR(OR(TRACK_TYPES[[#This Row],[TRACK_TYPE_BROAD_GAUGE_RAILTYPE_OHLE]:[TRACK_TYPE_BROAD_GAUGE_RAILTYPE_NONE]]),FALSE)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3651</v>
      </c>
      <c r="B1049" s="37" t="str">
        <f>INDEX(CONTROL[ENGLISH],MATCH(PROPERTIES[[#This Row],[VEHIDCODE]],CONTROL[VEHIDCODE],0))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5" t="b">
        <f>IFERROR(OR(TRACK_TYPES[[#This Row],[TRACK_TYPE_STANDARD_GAUGE_RAILTYPE_OHLE]:[TRACK_TYPE_STANDARD_GAUGE_RAILTYPE_NONE]]),FALSE)</f>
        <v>1</v>
      </c>
      <c r="AF1049" s="35" t="b">
        <f>IFERROR(OR(TRACK_TYPES[[#This Row],[TRACK_TYPE_NARROW_GAUGE_RAILTYPE_OHLE]:[TRACK_TYPE_NARROW_GAUGE_RAILTYPE_NONE]]),FALSE)</f>
        <v>0</v>
      </c>
      <c r="AG1049" s="35" t="b">
        <f>IFERROR(OR(TRACK_TYPES[[#This Row],[TRACK_TYPE_BROAD_GAUGE_RAILTYPE_OHLE]:[TRACK_TYPE_BROAD_GAUGE_RAILTYPE_NONE]]),FALSE)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3666</v>
      </c>
      <c r="B1050" s="37" t="str">
        <f>INDEX(CONTROL[ENGLISH],MATCH(PROPERTIES[[#This Row],[VEHIDCODE]],CONTROL[VEHIDCODE],0))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5" t="b">
        <f>IFERROR(OR(TRACK_TYPES[[#This Row],[TRACK_TYPE_STANDARD_GAUGE_RAILTYPE_OHLE]:[TRACK_TYPE_STANDARD_GAUGE_RAILTYPE_NONE]]),FALSE)</f>
        <v>1</v>
      </c>
      <c r="AF1050" s="35" t="b">
        <f>IFERROR(OR(TRACK_TYPES[[#This Row],[TRACK_TYPE_NARROW_GAUGE_RAILTYPE_OHLE]:[TRACK_TYPE_NARROW_GAUGE_RAILTYPE_NONE]]),FALSE)</f>
        <v>0</v>
      </c>
      <c r="AG1050" s="35" t="b">
        <f>IFERROR(OR(TRACK_TYPES[[#This Row],[TRACK_TYPE_BROAD_GAUGE_RAILTYPE_OHLE]:[TRACK_TYPE_BROAD_GAUGE_RAILTYPE_NONE]]),FALSE)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1" spans="1:34" x14ac:dyDescent="0.35">
      <c r="A1051" s="2" t="s">
        <v>3691</v>
      </c>
      <c r="B1051" s="37" t="str">
        <f>INDEX(CONTROL[ENGLISH],MATCH(PROPERTIES[[#This Row],[VEHIDCODE]],CONTROL[VEHIDCODE],0))</f>
        <v>Ganz-MAVAG SN61</v>
      </c>
      <c r="J1051" s="2" t="b">
        <v>1</v>
      </c>
      <c r="AC1051" s="2"/>
      <c r="AD1051" s="2" t="b">
        <f>LEN(_xlfn.CONCAT(TRACK_TYPES[[#This Row],[TRACK_TYPE_STANDARD_GAUGE_RAILTYPE_OHLE]:[TRACK_TYPE_MTRO]]))&gt;0</f>
        <v>1</v>
      </c>
      <c r="AE1051" s="35" t="b">
        <f>IFERROR(OR(TRACK_TYPES[[#This Row],[TRACK_TYPE_STANDARD_GAUGE_RAILTYPE_OHLE]:[TRACK_TYPE_STANDARD_GAUGE_RAILTYPE_NONE]]),FALSE)</f>
        <v>1</v>
      </c>
      <c r="AF1051" s="35" t="b">
        <f>IFERROR(OR(TRACK_TYPES[[#This Row],[TRACK_TYPE_NARROW_GAUGE_RAILTYPE_OHLE]:[TRACK_TYPE_NARROW_GAUGE_RAILTYPE_NONE]]),FALSE)</f>
        <v>0</v>
      </c>
      <c r="AG1051" s="35" t="b">
        <f>IFERROR(OR(TRACK_TYPES[[#This Row],[TRACK_TYPE_BROAD_GAUGE_RAILTYPE_OHLE]:[TRACK_TYPE_BROAD_GAUGE_RAILTYPE_NONE]]),FALSE)</f>
        <v>0</v>
      </c>
      <c r="AH10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2:A894">
    <cfRule type="expression" dxfId="34" priority="9">
      <formula>$Q892=TRUE</formula>
    </cfRule>
  </conditionalFormatting>
  <conditionalFormatting sqref="A892:A940">
    <cfRule type="containsText" dxfId="33" priority="10" operator="containsText" text=" ">
      <formula>NOT(ISERROR(SEARCH(" ",A892)))</formula>
    </cfRule>
  </conditionalFormatting>
  <conditionalFormatting sqref="A942:A943">
    <cfRule type="containsText" dxfId="32" priority="116" operator="containsText" text=" ">
      <formula>NOT(ISERROR(SEARCH(" ",A942)))</formula>
    </cfRule>
  </conditionalFormatting>
  <conditionalFormatting sqref="A946:A950">
    <cfRule type="containsText" dxfId="31" priority="112" operator="containsText" text=" ">
      <formula>NOT(ISERROR(SEARCH(" ",A946)))</formula>
    </cfRule>
  </conditionalFormatting>
  <conditionalFormatting sqref="A952:A953">
    <cfRule type="containsText" dxfId="30" priority="110" operator="containsText" text=" ">
      <formula>NOT(ISERROR(SEARCH(" ",A952)))</formula>
    </cfRule>
  </conditionalFormatting>
  <conditionalFormatting sqref="A956:A971">
    <cfRule type="containsText" dxfId="29" priority="94" operator="containsText" text=" ">
      <formula>NOT(ISERROR(SEARCH(" ",A956)))</formula>
    </cfRule>
  </conditionalFormatting>
  <conditionalFormatting sqref="A974:A977">
    <cfRule type="containsText" dxfId="28" priority="90" operator="containsText" text=" ">
      <formula>NOT(ISERROR(SEARCH(" ",A974)))</formula>
    </cfRule>
  </conditionalFormatting>
  <conditionalFormatting sqref="A979:A982">
    <cfRule type="containsText" dxfId="27" priority="86" operator="containsText" text=" ">
      <formula>NOT(ISERROR(SEARCH(" ",A979)))</formula>
    </cfRule>
  </conditionalFormatting>
  <conditionalFormatting sqref="A985:A986">
    <cfRule type="containsText" dxfId="26" priority="84" operator="containsText" text=" ">
      <formula>NOT(ISERROR(SEARCH(" ",A985)))</formula>
    </cfRule>
  </conditionalFormatting>
  <conditionalFormatting sqref="A988:A991">
    <cfRule type="containsText" dxfId="25" priority="80" operator="containsText" text=" ">
      <formula>NOT(ISERROR(SEARCH(" ",A988)))</formula>
    </cfRule>
  </conditionalFormatting>
  <conditionalFormatting sqref="A994:A1029">
    <cfRule type="containsText" dxfId="24" priority="44" operator="containsText" text=" ">
      <formula>NOT(ISERROR(SEARCH(" ",A994)))</formula>
    </cfRule>
  </conditionalFormatting>
  <conditionalFormatting sqref="A1031:A1051">
    <cfRule type="containsText" dxfId="23" priority="2" operator="containsText" text=" ">
      <formula>NOT(ISERROR(SEARCH(" ",A1031)))</formula>
    </cfRule>
  </conditionalFormatting>
  <conditionalFormatting sqref="A1050">
    <cfRule type="expression" dxfId="22" priority="31">
      <formula>$AT1050=TRUE</formula>
    </cfRule>
  </conditionalFormatting>
  <conditionalFormatting sqref="A1050:A1051">
    <cfRule type="expression" dxfId="21" priority="1">
      <formula>$Q1050=TRUE</formula>
    </cfRule>
  </conditionalFormatting>
  <conditionalFormatting sqref="AD1:AD1048576 AH790:AH1048576">
    <cfRule type="cellIs" dxfId="20" priority="173" operator="equal">
      <formula>FALSE</formula>
    </cfRule>
  </conditionalFormatting>
  <conditionalFormatting sqref="AE1:AG1048576">
    <cfRule type="containsText" dxfId="19" priority="56" operator="containsText" text="FALSE">
      <formula>NOT(ISERROR(SEARCH("FALSE",AE1)))</formula>
    </cfRule>
  </conditionalFormatting>
  <conditionalFormatting sqref="AH1">
    <cfRule type="cellIs" dxfId="18" priority="167" operator="equal">
      <formula>FALSE</formula>
    </cfRule>
  </conditionalFormatting>
  <dataValidations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244"/>
  <sheetViews>
    <sheetView zoomScaleNormal="100" workbookViewId="0">
      <pane xSplit="1" ySplit="1" topLeftCell="B727" activePane="bottomRight" state="frozen"/>
      <selection activeCell="Q19" sqref="Q19"/>
      <selection pane="topRight" activeCell="Q19" sqref="Q19"/>
      <selection pane="bottomLeft" activeCell="Q19" sqref="Q19"/>
      <selection pane="bottomRight" activeCell="F745" sqref="F745"/>
    </sheetView>
  </sheetViews>
  <sheetFormatPr defaultRowHeight="14.5" x14ac:dyDescent="0.35"/>
  <cols>
    <col min="1" max="1" width="54.6328125" bestFit="1" customWidth="1"/>
    <col min="2" max="2" width="37.54296875" style="37" bestFit="1" customWidth="1"/>
    <col min="3" max="6" width="9" customWidth="1"/>
    <col min="10" max="11" width="18.26953125" bestFit="1" customWidth="1"/>
    <col min="12" max="12" width="22.26953125" bestFit="1" customWidth="1"/>
    <col min="13" max="13" width="19.1796875" style="6" bestFit="1" customWidth="1"/>
    <col min="14" max="14" width="23.7265625" bestFit="1" customWidth="1"/>
    <col min="15" max="15" width="26.7265625" bestFit="1" customWidth="1"/>
    <col min="16" max="16" width="26.90625" bestFit="1" customWidth="1"/>
    <col min="17" max="17" width="19" bestFit="1" customWidth="1"/>
    <col min="18" max="18" width="25.1796875" bestFit="1" customWidth="1"/>
    <col min="19" max="19" width="20.6328125" bestFit="1" customWidth="1"/>
    <col min="20" max="20" width="11.1796875" customWidth="1"/>
    <col min="21" max="22" width="21.36328125" customWidth="1"/>
    <col min="23" max="23" width="20.90625" bestFit="1" customWidth="1"/>
    <col min="24" max="24" width="18.90625" bestFit="1" customWidth="1"/>
    <col min="26" max="28" width="11.1796875" customWidth="1"/>
    <col min="29" max="29" width="11.54296875" bestFit="1" customWidth="1"/>
  </cols>
  <sheetData>
    <row r="1" spans="1:13" s="1" customFormat="1" ht="44.15" customHeight="1" x14ac:dyDescent="0.35">
      <c r="A1" s="1" t="s">
        <v>0</v>
      </c>
      <c r="B1" s="38" t="s">
        <v>2558</v>
      </c>
      <c r="C1" s="1" t="s">
        <v>69</v>
      </c>
      <c r="D1" s="1" t="s">
        <v>522</v>
      </c>
      <c r="E1" s="1" t="s">
        <v>504</v>
      </c>
      <c r="F1" s="1" t="s">
        <v>514</v>
      </c>
    </row>
    <row r="2" spans="1:13" x14ac:dyDescent="0.35">
      <c r="A2" t="s">
        <v>71</v>
      </c>
      <c r="B2" s="37" t="str">
        <f>INDEX(CONTROL[ENGLISH],MATCH(GRAPHICS_PROPERTIES[[#This Row],[VEHIDCODE]],CONTROL[VEHIDCODE],0))</f>
        <v>Maglev Unit Wagon</v>
      </c>
      <c r="C2">
        <v>0</v>
      </c>
      <c r="D2" t="s">
        <v>523</v>
      </c>
      <c r="E2" t="s">
        <v>506</v>
      </c>
      <c r="F2" t="s">
        <v>520</v>
      </c>
      <c r="M2"/>
    </row>
    <row r="3" spans="1:13" x14ac:dyDescent="0.35">
      <c r="A3" t="s">
        <v>72</v>
      </c>
      <c r="B3" s="37" t="str">
        <f>INDEX(CONTROL[ENGLISH],MATCH(PROPERTIES[[#This Row],[VEHIDCODE]],CONTROL[VEHIDCODE],0))</f>
        <v>Maglev Unit Wagon</v>
      </c>
      <c r="C3">
        <v>0</v>
      </c>
      <c r="D3" t="s">
        <v>523</v>
      </c>
      <c r="E3" t="s">
        <v>506</v>
      </c>
      <c r="F3" t="s">
        <v>520</v>
      </c>
      <c r="M3"/>
    </row>
    <row r="4" spans="1:13" x14ac:dyDescent="0.35">
      <c r="A4" t="s">
        <v>2641</v>
      </c>
      <c r="B4" s="37" t="str">
        <f>INDEX(CONTROL[ENGLISH],MATCH(PROPERTIES[[#This Row],[VEHIDCODE]],CONTROL[VEHIDCODE],0))</f>
        <v>Komarek NOLB 1</v>
      </c>
      <c r="C4">
        <v>-3</v>
      </c>
      <c r="D4" t="s">
        <v>523</v>
      </c>
      <c r="E4" t="s">
        <v>506</v>
      </c>
      <c r="F4" t="s">
        <v>516</v>
      </c>
      <c r="M4"/>
    </row>
    <row r="5" spans="1:13" x14ac:dyDescent="0.35">
      <c r="A5" t="s">
        <v>2642</v>
      </c>
      <c r="B5" s="37" t="str">
        <f>INDEX(CONTROL[ENGLISH],MATCH(PROPERTIES[[#This Row],[VEHIDCODE]],CONTROL[VEHIDCODE],0))</f>
        <v>Kerr, Stuart &amp; Co. 86</v>
      </c>
      <c r="C5">
        <v>-3</v>
      </c>
      <c r="D5" t="s">
        <v>523</v>
      </c>
      <c r="E5" t="s">
        <v>513</v>
      </c>
      <c r="F5" t="s">
        <v>517</v>
      </c>
      <c r="M5"/>
    </row>
    <row r="6" spans="1:13" x14ac:dyDescent="0.35">
      <c r="A6" t="s">
        <v>2643</v>
      </c>
      <c r="B6" s="37" t="str">
        <f>INDEX(CONTROL[ENGLISH],MATCH(PROPERTIES[[#This Row],[VEHIDCODE]],CONTROL[VEHIDCODE],0))</f>
        <v>Victorian Railways Rowan Railmotor</v>
      </c>
      <c r="C6">
        <v>0</v>
      </c>
      <c r="D6" t="s">
        <v>523</v>
      </c>
      <c r="E6" t="s">
        <v>513</v>
      </c>
      <c r="F6" t="s">
        <v>517</v>
      </c>
      <c r="M6"/>
    </row>
    <row r="7" spans="1:13" x14ac:dyDescent="0.35">
      <c r="A7" t="s">
        <v>2644</v>
      </c>
      <c r="B7" s="37" t="str">
        <f>INDEX(CONTROL[ENGLISH],MATCH(PROPERTIES[[#This Row],[VEHIDCODE]],CONTROL[VEHIDCODE],0))</f>
        <v>Esslingen Czm 1/2</v>
      </c>
      <c r="C7">
        <v>0</v>
      </c>
      <c r="D7" t="s">
        <v>523</v>
      </c>
      <c r="E7" t="s">
        <v>513</v>
      </c>
      <c r="F7" t="s">
        <v>517</v>
      </c>
      <c r="M7"/>
    </row>
    <row r="8" spans="1:13" x14ac:dyDescent="0.35">
      <c r="A8" t="s">
        <v>2645</v>
      </c>
      <c r="B8" s="37" t="str">
        <f>INDEX(CONTROL[ENGLISH],MATCH(PROPERTIES[[#This Row],[VEHIDCODE]],CONTROL[VEHIDCODE],0))</f>
        <v>Maffei MCCi</v>
      </c>
      <c r="C8">
        <v>0</v>
      </c>
      <c r="D8" t="s">
        <v>523</v>
      </c>
      <c r="E8" t="s">
        <v>506</v>
      </c>
      <c r="F8" t="s">
        <v>516</v>
      </c>
      <c r="M8"/>
    </row>
    <row r="9" spans="1:13" x14ac:dyDescent="0.35">
      <c r="A9" t="s">
        <v>2646</v>
      </c>
      <c r="B9" s="37" t="str">
        <f>INDEX(CONTROL[ENGLISH],MATCH(PROPERTIES[[#This Row],[VEHIDCODE]],CONTROL[VEHIDCODE],0))</f>
        <v>Kitson &amp; Co. CSAR Railmotor</v>
      </c>
      <c r="C9">
        <v>0</v>
      </c>
      <c r="D9" t="s">
        <v>523</v>
      </c>
      <c r="E9" t="s">
        <v>508</v>
      </c>
      <c r="F9" t="s">
        <v>516</v>
      </c>
      <c r="M9"/>
    </row>
    <row r="10" spans="1:13" x14ac:dyDescent="0.35">
      <c r="A10" t="s">
        <v>2647</v>
      </c>
      <c r="B10" s="37" t="str">
        <f>INDEX(CONTROL[ENGLISH],MATCH(PROPERTIES[[#This Row],[VEHIDCODE]],CONTROL[VEHIDCODE],0))</f>
        <v>Kerr, Stuart &amp; Co. Motor Car 3</v>
      </c>
      <c r="C10">
        <v>0</v>
      </c>
      <c r="D10" t="s">
        <v>523</v>
      </c>
      <c r="E10" t="s">
        <v>513</v>
      </c>
      <c r="F10" t="s">
        <v>517</v>
      </c>
      <c r="M10"/>
    </row>
    <row r="11" spans="1:13" x14ac:dyDescent="0.35">
      <c r="A11" t="s">
        <v>2648</v>
      </c>
      <c r="B11" s="37" t="str">
        <f>INDEX(CONTROL[ENGLISH],MATCH(PROPERTIES[[#This Row],[VEHIDCODE]],CONTROL[VEHIDCODE],0))</f>
        <v>KkStB 4.0</v>
      </c>
      <c r="C11">
        <v>-3</v>
      </c>
      <c r="D11" t="s">
        <v>523</v>
      </c>
      <c r="E11" t="s">
        <v>513</v>
      </c>
      <c r="F11" t="s">
        <v>517</v>
      </c>
      <c r="M11"/>
    </row>
    <row r="12" spans="1:13" x14ac:dyDescent="0.35">
      <c r="A12" t="s">
        <v>2649</v>
      </c>
      <c r="B12" s="37" t="str">
        <f>INDEX(CONTROL[ENGLISH],MATCH(PROPERTIES[[#This Row],[VEHIDCODE]],CONTROL[VEHIDCODE],0))</f>
        <v>AEC Railmotor RM1</v>
      </c>
      <c r="C12">
        <v>-3</v>
      </c>
      <c r="D12" t="s">
        <v>523</v>
      </c>
      <c r="E12" t="s">
        <v>506</v>
      </c>
      <c r="F12" t="s">
        <v>516</v>
      </c>
      <c r="M12"/>
    </row>
    <row r="13" spans="1:13" x14ac:dyDescent="0.35">
      <c r="A13" t="s">
        <v>2650</v>
      </c>
      <c r="B13" s="37" t="str">
        <f>INDEX(CONTROL[ENGLISH],MATCH(PROPERTIES[[#This Row],[VEHIDCODE]],CONTROL[VEHIDCODE],0))</f>
        <v>VT133 Wismar Railcar</v>
      </c>
      <c r="C13">
        <v>-3</v>
      </c>
      <c r="D13" t="s">
        <v>523</v>
      </c>
      <c r="E13" t="s">
        <v>506</v>
      </c>
      <c r="F13" t="s">
        <v>516</v>
      </c>
      <c r="M13"/>
    </row>
    <row r="14" spans="1:13" x14ac:dyDescent="0.35">
      <c r="A14" t="s">
        <v>2651</v>
      </c>
      <c r="B14" s="37" t="str">
        <f>INDEX(CONTROL[ENGLISH],MATCH(PROPERTIES[[#This Row],[VEHIDCODE]],CONTROL[VEHIDCODE],0))</f>
        <v>AEC Railcar</v>
      </c>
      <c r="C14">
        <v>-3</v>
      </c>
      <c r="D14" t="s">
        <v>523</v>
      </c>
      <c r="E14" t="s">
        <v>506</v>
      </c>
      <c r="F14" t="s">
        <v>516</v>
      </c>
      <c r="M14"/>
    </row>
    <row r="15" spans="1:13" x14ac:dyDescent="0.35">
      <c r="A15" t="s">
        <v>2652</v>
      </c>
      <c r="B15" s="37" t="str">
        <f>INDEX(CONTROL[ENGLISH],MATCH(PROPERTIES[[#This Row],[VEHIDCODE]],CONTROL[VEHIDCODE],0))</f>
        <v>Simmering VT42</v>
      </c>
      <c r="C15">
        <v>-3</v>
      </c>
      <c r="D15" t="s">
        <v>523</v>
      </c>
      <c r="E15" t="s">
        <v>506</v>
      </c>
      <c r="F15" t="s">
        <v>516</v>
      </c>
      <c r="M15"/>
    </row>
    <row r="16" spans="1:13" x14ac:dyDescent="0.35">
      <c r="A16" t="s">
        <v>2653</v>
      </c>
      <c r="B16" s="37" t="str">
        <f>INDEX(CONTROL[ENGLISH],MATCH(PROPERTIES[[#This Row],[VEHIDCODE]],CONTROL[VEHIDCODE],0))</f>
        <v>Hutt RM31</v>
      </c>
      <c r="C16">
        <v>-3</v>
      </c>
      <c r="D16" t="s">
        <v>523</v>
      </c>
      <c r="E16" t="s">
        <v>506</v>
      </c>
      <c r="F16" t="s">
        <v>516</v>
      </c>
      <c r="M16"/>
    </row>
    <row r="17" spans="1:13" x14ac:dyDescent="0.35">
      <c r="A17" t="s">
        <v>2654</v>
      </c>
      <c r="B17" s="37" t="str">
        <f>INDEX(CONTROL[ENGLISH],MATCH(PROPERTIES[[#This Row],[VEHIDCODE]],CONTROL[VEHIDCODE],0))</f>
        <v>NOHAB CP 0100</v>
      </c>
      <c r="C17">
        <v>-3</v>
      </c>
      <c r="D17" t="s">
        <v>523</v>
      </c>
      <c r="E17" t="s">
        <v>506</v>
      </c>
      <c r="F17" t="s">
        <v>516</v>
      </c>
      <c r="M17"/>
    </row>
    <row r="18" spans="1:13" x14ac:dyDescent="0.35">
      <c r="A18" t="s">
        <v>2655</v>
      </c>
      <c r="B18" s="37" t="str">
        <f>INDEX(CONTROL[ENGLISH],MATCH(PROPERTIES[[#This Row],[VEHIDCODE]],CONTROL[VEHIDCODE],0))</f>
        <v>Budd RDC</v>
      </c>
      <c r="C18">
        <v>-3</v>
      </c>
      <c r="D18" t="s">
        <v>523</v>
      </c>
      <c r="E18" t="s">
        <v>506</v>
      </c>
      <c r="F18" t="s">
        <v>516</v>
      </c>
      <c r="M18"/>
    </row>
    <row r="19" spans="1:13" x14ac:dyDescent="0.35">
      <c r="A19" t="s">
        <v>2656</v>
      </c>
      <c r="B19" s="37" t="str">
        <f>INDEX(CONTROL[ENGLISH],MATCH(PROPERTIES[[#This Row],[VEHIDCODE]],CONTROL[VEHIDCODE],0))</f>
        <v>Uerdingen railbus</v>
      </c>
      <c r="C19">
        <v>-3</v>
      </c>
      <c r="D19" t="s">
        <v>523</v>
      </c>
      <c r="E19" t="s">
        <v>506</v>
      </c>
      <c r="F19" t="s">
        <v>516</v>
      </c>
      <c r="M19"/>
    </row>
    <row r="20" spans="1:13" x14ac:dyDescent="0.35">
      <c r="A20" t="s">
        <v>2657</v>
      </c>
      <c r="B20" s="37" t="str">
        <f>INDEX(CONTROL[ENGLISH],MATCH(PROPERTIES[[#This Row],[VEHIDCODE]],CONTROL[VEHIDCODE],0))</f>
        <v>MaK GDT</v>
      </c>
      <c r="C20">
        <v>-3</v>
      </c>
      <c r="D20" t="s">
        <v>523</v>
      </c>
      <c r="E20" t="s">
        <v>506</v>
      </c>
      <c r="F20" t="s">
        <v>516</v>
      </c>
      <c r="M20"/>
    </row>
    <row r="21" spans="1:13" x14ac:dyDescent="0.35">
      <c r="A21" t="s">
        <v>2658</v>
      </c>
      <c r="B21" s="37" t="str">
        <f>INDEX(CONTROL[ENGLISH],MATCH(PROPERTIES[[#This Row],[VEHIDCODE]],CONTROL[VEHIDCODE],0))</f>
        <v>Allan 'Kameel'</v>
      </c>
      <c r="C21">
        <v>-3</v>
      </c>
      <c r="D21" t="s">
        <v>523</v>
      </c>
      <c r="E21" t="s">
        <v>506</v>
      </c>
      <c r="F21" t="s">
        <v>516</v>
      </c>
      <c r="M21"/>
    </row>
    <row r="22" spans="1:13" x14ac:dyDescent="0.35">
      <c r="A22" t="s">
        <v>2659</v>
      </c>
      <c r="B22" s="37" t="str">
        <f>INDEX(CONTROL[ENGLISH],MATCH(PROPERTIES[[#This Row],[VEHIDCODE]],CONTROL[VEHIDCODE],0))</f>
        <v>NS DH1</v>
      </c>
      <c r="C22">
        <v>-3</v>
      </c>
      <c r="D22" t="s">
        <v>523</v>
      </c>
      <c r="E22" t="s">
        <v>506</v>
      </c>
      <c r="F22" t="s">
        <v>516</v>
      </c>
      <c r="M22"/>
    </row>
    <row r="23" spans="1:13" x14ac:dyDescent="0.35">
      <c r="A23" t="s">
        <v>2660</v>
      </c>
      <c r="B23" s="37" t="str">
        <f>INDEX(CONTROL[ENGLISH],MATCH(PROPERTIES[[#This Row],[VEHIDCODE]],CONTROL[VEHIDCODE],0))</f>
        <v>Jenbacher Werke 5047</v>
      </c>
      <c r="C23">
        <v>-3</v>
      </c>
      <c r="D23" t="s">
        <v>523</v>
      </c>
      <c r="E23" t="s">
        <v>506</v>
      </c>
      <c r="F23" t="s">
        <v>516</v>
      </c>
      <c r="M23"/>
    </row>
    <row r="24" spans="1:13" x14ac:dyDescent="0.35">
      <c r="A24" t="s">
        <v>2661</v>
      </c>
      <c r="B24" s="37" t="str">
        <f>INDEX(CONTROL[ENGLISH],MATCH(PROPERTIES[[#This Row],[VEHIDCODE]],CONTROL[VEHIDCODE],0))</f>
        <v>Hunslet-Barclay 'Super Sprinter'</v>
      </c>
      <c r="C24">
        <v>-3</v>
      </c>
      <c r="D24" t="s">
        <v>523</v>
      </c>
      <c r="E24" t="s">
        <v>506</v>
      </c>
      <c r="F24" t="s">
        <v>516</v>
      </c>
      <c r="M24"/>
    </row>
    <row r="25" spans="1:13" x14ac:dyDescent="0.35">
      <c r="A25" t="s">
        <v>2662</v>
      </c>
      <c r="B25" s="37" t="str">
        <f>INDEX(CONTROL[ENGLISH],MATCH(PROPERTIES[[#This Row],[VEHIDCODE]],CONTROL[VEHIDCODE],0))</f>
        <v>Vagonka Studenka 809</v>
      </c>
      <c r="C25">
        <v>-3</v>
      </c>
      <c r="D25" t="s">
        <v>523</v>
      </c>
      <c r="E25" t="s">
        <v>506</v>
      </c>
      <c r="F25" t="s">
        <v>516</v>
      </c>
      <c r="M25"/>
    </row>
    <row r="26" spans="1:13" x14ac:dyDescent="0.35">
      <c r="A26" t="s">
        <v>2663</v>
      </c>
      <c r="B26" s="37" t="str">
        <f>INDEX(CONTROL[ENGLISH],MATCH(PROPERTIES[[#This Row],[VEHIDCODE]],CONTROL[VEHIDCODE],0))</f>
        <v>DWA 670</v>
      </c>
      <c r="C26">
        <v>-3</v>
      </c>
      <c r="D26" t="s">
        <v>523</v>
      </c>
      <c r="E26" t="s">
        <v>506</v>
      </c>
      <c r="F26" t="s">
        <v>516</v>
      </c>
      <c r="M26"/>
    </row>
    <row r="27" spans="1:13" x14ac:dyDescent="0.35">
      <c r="A27" t="s">
        <v>2664</v>
      </c>
      <c r="B27" s="37" t="str">
        <f>INDEX(CONTROL[ENGLISH],MATCH(PROPERTIES[[#This Row],[VEHIDCODE]],CONTROL[VEHIDCODE],0))</f>
        <v>RVR AR2</v>
      </c>
      <c r="C27">
        <v>-3</v>
      </c>
      <c r="D27" t="s">
        <v>523</v>
      </c>
      <c r="E27" t="s">
        <v>506</v>
      </c>
      <c r="F27" t="s">
        <v>516</v>
      </c>
      <c r="M27"/>
    </row>
    <row r="28" spans="1:13" x14ac:dyDescent="0.35">
      <c r="A28" t="s">
        <v>2665</v>
      </c>
      <c r="B28" s="37" t="str">
        <f>INDEX(CONTROL[ENGLISH],MATCH(PROPERTIES[[#This Row],[VEHIDCODE]],CONTROL[VEHIDCODE],0))</f>
        <v>Austro-Daimler Z1</v>
      </c>
      <c r="C28">
        <v>0</v>
      </c>
      <c r="D28" t="s">
        <v>523</v>
      </c>
      <c r="E28" t="s">
        <v>506</v>
      </c>
      <c r="F28" t="s">
        <v>516</v>
      </c>
      <c r="M28"/>
    </row>
    <row r="29" spans="1:13" x14ac:dyDescent="0.35">
      <c r="A29" t="s">
        <v>2666</v>
      </c>
      <c r="B29" s="37" t="str">
        <f>INDEX(CONTROL[ENGLISH],MATCH(PROPERTIES[[#This Row],[VEHIDCODE]],CONTROL[VEHIDCODE],0))</f>
        <v>McKeen Motor Car 70</v>
      </c>
      <c r="C29">
        <v>0</v>
      </c>
      <c r="D29" t="s">
        <v>523</v>
      </c>
      <c r="E29" t="s">
        <v>506</v>
      </c>
      <c r="F29" t="s">
        <v>516</v>
      </c>
      <c r="M29"/>
    </row>
    <row r="30" spans="1:13" x14ac:dyDescent="0.35">
      <c r="A30" t="s">
        <v>2667</v>
      </c>
      <c r="B30" s="37" t="str">
        <f>INDEX(CONTROL[ENGLISH],MATCH(PROPERTIES[[#This Row],[VEHIDCODE]],CONTROL[VEHIDCODE],0))</f>
        <v>BBC DET 1-2 'Sächsischer'</v>
      </c>
      <c r="C30">
        <v>0</v>
      </c>
      <c r="D30" t="s">
        <v>523</v>
      </c>
      <c r="E30" t="s">
        <v>509</v>
      </c>
      <c r="F30" t="s">
        <v>515</v>
      </c>
      <c r="M30"/>
    </row>
    <row r="31" spans="1:13" x14ac:dyDescent="0.35">
      <c r="A31" t="s">
        <v>2668</v>
      </c>
      <c r="B31" s="37" t="str">
        <f>INDEX(CONTROL[ENGLISH],MATCH(PROPERTIES[[#This Row],[VEHIDCODE]],CONTROL[VEHIDCODE],0))</f>
        <v>WC&amp;PR Drewry Railcar</v>
      </c>
      <c r="C31">
        <v>0</v>
      </c>
      <c r="D31" t="s">
        <v>523</v>
      </c>
      <c r="E31" t="s">
        <v>506</v>
      </c>
      <c r="F31" t="s">
        <v>516</v>
      </c>
      <c r="M31"/>
    </row>
    <row r="32" spans="1:13" x14ac:dyDescent="0.35">
      <c r="A32" t="s">
        <v>2669</v>
      </c>
      <c r="B32" s="37" t="str">
        <f>INDEX(CONTROL[ENGLISH],MATCH(PROPERTIES[[#This Row],[VEHIDCODE]],CONTROL[VEHIDCODE],0))</f>
        <v>LHW BSt 6001</v>
      </c>
      <c r="C32">
        <v>0</v>
      </c>
      <c r="D32" t="s">
        <v>523</v>
      </c>
      <c r="E32" t="s">
        <v>506</v>
      </c>
      <c r="F32" t="s">
        <v>516</v>
      </c>
      <c r="M32"/>
    </row>
    <row r="33" spans="1:13" x14ac:dyDescent="0.35">
      <c r="A33" t="s">
        <v>2670</v>
      </c>
      <c r="B33" s="37" t="str">
        <f>INDEX(CONTROL[ENGLISH],MATCH(PROPERTIES[[#This Row],[VEHIDCODE]],CONTROL[VEHIDCODE],0))</f>
        <v>EMC DERM</v>
      </c>
      <c r="C33">
        <v>0</v>
      </c>
      <c r="D33" t="s">
        <v>523</v>
      </c>
      <c r="E33" t="s">
        <v>506</v>
      </c>
      <c r="F33" t="s">
        <v>516</v>
      </c>
      <c r="M33"/>
    </row>
    <row r="34" spans="1:13" x14ac:dyDescent="0.35">
      <c r="A34" t="s">
        <v>2671</v>
      </c>
      <c r="B34" s="37" t="str">
        <f>INDEX(CONTROL[ENGLISH],MATCH(PROPERTIES[[#This Row],[VEHIDCODE]],CONTROL[VEHIDCODE],0))</f>
        <v>Tatra M120.4</v>
      </c>
      <c r="C34">
        <v>0</v>
      </c>
      <c r="D34" t="s">
        <v>523</v>
      </c>
      <c r="E34" t="s">
        <v>506</v>
      </c>
      <c r="F34" t="s">
        <v>516</v>
      </c>
      <c r="M34"/>
    </row>
    <row r="35" spans="1:13" x14ac:dyDescent="0.35">
      <c r="A35" t="s">
        <v>2672</v>
      </c>
      <c r="B35" s="37" t="str">
        <f>INDEX(CONTROL[ENGLISH],MATCH(PROPERTIES[[#This Row],[VEHIDCODE]],CONTROL[VEHIDCODE],0))</f>
        <v>Franz Kruckenberg Schienenzeppelin</v>
      </c>
      <c r="C35">
        <v>0</v>
      </c>
      <c r="D35" t="s">
        <v>523</v>
      </c>
      <c r="E35" t="s">
        <v>513</v>
      </c>
      <c r="F35" t="s">
        <v>517</v>
      </c>
      <c r="M35"/>
    </row>
    <row r="36" spans="1:13" x14ac:dyDescent="0.35">
      <c r="A36" t="s">
        <v>2673</v>
      </c>
      <c r="B36" s="37" t="str">
        <f>INDEX(CONTROL[ENGLISH],MATCH(PROPERTIES[[#This Row],[VEHIDCODE]],CONTROL[VEHIDCODE],0))</f>
        <v>DSB MO Serie 1</v>
      </c>
      <c r="C36">
        <v>0</v>
      </c>
      <c r="D36" t="s">
        <v>523</v>
      </c>
      <c r="E36" t="s">
        <v>506</v>
      </c>
      <c r="F36" t="s">
        <v>516</v>
      </c>
      <c r="M36"/>
    </row>
    <row r="37" spans="1:13" x14ac:dyDescent="0.35">
      <c r="A37" t="s">
        <v>2674</v>
      </c>
      <c r="B37" s="37" t="str">
        <f>INDEX(CONTROL[ENGLISH],MATCH(PROPERTIES[[#This Row],[VEHIDCODE]],CONTROL[VEHIDCODE],0))</f>
        <v>Strommens Kristine Valdresdatter</v>
      </c>
      <c r="C37">
        <v>0</v>
      </c>
      <c r="D37" t="s">
        <v>523</v>
      </c>
      <c r="E37" t="s">
        <v>506</v>
      </c>
      <c r="F37" t="s">
        <v>516</v>
      </c>
      <c r="M37"/>
    </row>
    <row r="38" spans="1:13" x14ac:dyDescent="0.35">
      <c r="A38" t="s">
        <v>2675</v>
      </c>
      <c r="B38" s="37" t="str">
        <f>INDEX(CONTROL[ENGLISH],MATCH(PROPERTIES[[#This Row],[VEHIDCODE]],CONTROL[VEHIDCODE],0))</f>
        <v>Tatra M290</v>
      </c>
      <c r="C38">
        <v>0</v>
      </c>
      <c r="D38" t="s">
        <v>523</v>
      </c>
      <c r="E38" t="s">
        <v>506</v>
      </c>
      <c r="F38" t="s">
        <v>516</v>
      </c>
      <c r="M38"/>
    </row>
    <row r="39" spans="1:13" x14ac:dyDescent="0.35">
      <c r="A39" t="s">
        <v>2676</v>
      </c>
      <c r="B39" s="37" t="str">
        <f>INDEX(CONTROL[ENGLISH],MATCH(PROPERTIES[[#This Row],[VEHIDCODE]],CONTROL[VEHIDCODE],0))</f>
        <v>Werkspoor DM37</v>
      </c>
      <c r="C39">
        <v>0</v>
      </c>
      <c r="D39" t="s">
        <v>523</v>
      </c>
      <c r="E39" t="s">
        <v>506</v>
      </c>
      <c r="F39" t="s">
        <v>516</v>
      </c>
      <c r="M39"/>
    </row>
    <row r="40" spans="1:13" x14ac:dyDescent="0.35">
      <c r="A40" t="s">
        <v>2677</v>
      </c>
      <c r="B40" s="37" t="str">
        <f>INDEX(CONTROL[ENGLISH],MATCH(PROPERTIES[[#This Row],[VEHIDCODE]],CONTROL[VEHIDCODE],0))</f>
        <v>Eveleigh 400 Class</v>
      </c>
      <c r="C40">
        <v>0</v>
      </c>
      <c r="D40" t="s">
        <v>523</v>
      </c>
      <c r="E40" t="s">
        <v>506</v>
      </c>
      <c r="F40" t="s">
        <v>516</v>
      </c>
      <c r="M40"/>
    </row>
    <row r="41" spans="1:13" x14ac:dyDescent="0.35">
      <c r="A41" t="s">
        <v>2678</v>
      </c>
      <c r="B41" s="37" t="str">
        <f>INDEX(CONTROL[ENGLISH],MATCH(PROPERTIES[[#This Row],[VEHIDCODE]],CONTROL[VEHIDCODE],0))</f>
        <v>Vale do Vouga ME51-55</v>
      </c>
      <c r="C41">
        <v>0</v>
      </c>
      <c r="D41" t="s">
        <v>523</v>
      </c>
      <c r="E41" t="s">
        <v>506</v>
      </c>
      <c r="F41" t="s">
        <v>516</v>
      </c>
      <c r="M41"/>
    </row>
    <row r="42" spans="1:13" x14ac:dyDescent="0.35">
      <c r="A42" t="s">
        <v>2679</v>
      </c>
      <c r="B42" s="37" t="str">
        <f>INDEX(CONTROL[ENGLISH],MATCH(PROPERTIES[[#This Row],[VEHIDCODE]],CONTROL[VEHIDCODE],0))</f>
        <v>Ateliers Germain 42/43</v>
      </c>
      <c r="C42">
        <v>0</v>
      </c>
      <c r="D42" t="s">
        <v>523</v>
      </c>
      <c r="E42" t="s">
        <v>506</v>
      </c>
      <c r="F42" t="s">
        <v>516</v>
      </c>
      <c r="M42"/>
    </row>
    <row r="43" spans="1:13" x14ac:dyDescent="0.35">
      <c r="A43" t="s">
        <v>2680</v>
      </c>
      <c r="B43" s="37" t="str">
        <f>INDEX(CONTROL[ENGLISH],MATCH(PROPERTIES[[#This Row],[VEHIDCODE]],CONTROL[VEHIDCODE],0))</f>
        <v>SGP 77783/1960</v>
      </c>
      <c r="C43">
        <v>0</v>
      </c>
      <c r="D43" t="s">
        <v>523</v>
      </c>
      <c r="E43" t="s">
        <v>506</v>
      </c>
      <c r="F43" t="s">
        <v>516</v>
      </c>
      <c r="M43"/>
    </row>
    <row r="44" spans="1:13" x14ac:dyDescent="0.35">
      <c r="A44" t="s">
        <v>2681</v>
      </c>
      <c r="B44" s="37" t="str">
        <f>INDEX(CONTROL[ENGLISH],MATCH(PROPERTIES[[#This Row],[VEHIDCODE]],CONTROL[VEHIDCODE],0))</f>
        <v>Ferrostaal-Esslingen AA.71</v>
      </c>
      <c r="C44">
        <v>0</v>
      </c>
      <c r="D44" t="s">
        <v>523</v>
      </c>
      <c r="E44" t="s">
        <v>506</v>
      </c>
      <c r="F44" t="s">
        <v>516</v>
      </c>
      <c r="M44"/>
    </row>
    <row r="45" spans="1:13" x14ac:dyDescent="0.35">
      <c r="A45" t="s">
        <v>2682</v>
      </c>
      <c r="B45" s="37" t="str">
        <f>INDEX(CONTROL[ENGLISH],MATCH(PROPERTIES[[#This Row],[VEHIDCODE]],CONTROL[VEHIDCODE],0))</f>
        <v>Alsthom Z-431</v>
      </c>
      <c r="C45">
        <v>0</v>
      </c>
      <c r="D45" t="s">
        <v>523</v>
      </c>
      <c r="E45" t="s">
        <v>506</v>
      </c>
      <c r="F45" t="s">
        <v>516</v>
      </c>
      <c r="M45"/>
    </row>
    <row r="46" spans="1:13" x14ac:dyDescent="0.35">
      <c r="A46" t="s">
        <v>2683</v>
      </c>
      <c r="B46" s="37" t="str">
        <f>INDEX(CONTROL[ENGLISH],MATCH(PROPERTIES[[#This Row],[VEHIDCODE]],CONTROL[VEHIDCODE],0))</f>
        <v>Budd SPV-2000</v>
      </c>
      <c r="C46">
        <v>0</v>
      </c>
      <c r="D46" t="s">
        <v>523</v>
      </c>
      <c r="E46" t="s">
        <v>506</v>
      </c>
      <c r="F46" t="s">
        <v>516</v>
      </c>
      <c r="M46"/>
    </row>
    <row r="47" spans="1:13" x14ac:dyDescent="0.35">
      <c r="A47" t="s">
        <v>2684</v>
      </c>
      <c r="B47" s="37" t="str">
        <f>INDEX(CONTROL[ENGLISH],MATCH(PROPERTIES[[#This Row],[VEHIDCODE]],CONTROL[VEHIDCODE],0))</f>
        <v>CKD Vagonka Dm12</v>
      </c>
      <c r="C47">
        <v>0</v>
      </c>
      <c r="D47" t="s">
        <v>523</v>
      </c>
      <c r="E47" t="s">
        <v>506</v>
      </c>
      <c r="F47" t="s">
        <v>516</v>
      </c>
      <c r="M47"/>
    </row>
    <row r="48" spans="1:13" x14ac:dyDescent="0.35">
      <c r="A48" t="s">
        <v>3446</v>
      </c>
      <c r="B48" s="37" t="str">
        <f>INDEX(CONTROL[ENGLISH],MATCH(PROPERTIES[[#This Row],[VEHIDCODE]],CONTROL[VEHIDCODE],0))</f>
        <v>Stadler Regio-Shuttle RS1</v>
      </c>
      <c r="C48">
        <v>0</v>
      </c>
      <c r="D48" t="s">
        <v>523</v>
      </c>
      <c r="E48" t="s">
        <v>506</v>
      </c>
      <c r="F48" t="s">
        <v>516</v>
      </c>
      <c r="M48"/>
    </row>
    <row r="49" spans="1:13" x14ac:dyDescent="0.35">
      <c r="A49" t="s">
        <v>2685</v>
      </c>
      <c r="B49" s="37" t="str">
        <f>INDEX(CONTROL[ENGLISH],MATCH(PROPERTIES[[#This Row],[VEHIDCODE]],CONTROL[VEHIDCODE],0))</f>
        <v>Fiat Ferroviaria ALn 668.1400</v>
      </c>
      <c r="C49">
        <v>0</v>
      </c>
      <c r="D49" t="s">
        <v>523</v>
      </c>
      <c r="E49" t="s">
        <v>506</v>
      </c>
      <c r="F49" t="s">
        <v>516</v>
      </c>
      <c r="M49"/>
    </row>
    <row r="50" spans="1:13" x14ac:dyDescent="0.35">
      <c r="A50" t="s">
        <v>2686</v>
      </c>
      <c r="B50" s="37" t="str">
        <f>INDEX(CONTROL[ENGLISH],MATCH(PROPERTIES[[#This Row],[VEHIDCODE]],CONTROL[VEHIDCODE],0))</f>
        <v>Ringhoffer 40.001</v>
      </c>
      <c r="C50">
        <v>0</v>
      </c>
      <c r="D50" t="s">
        <v>523</v>
      </c>
      <c r="E50" t="s">
        <v>506</v>
      </c>
      <c r="F50" t="s">
        <v>516</v>
      </c>
      <c r="M50"/>
    </row>
    <row r="51" spans="1:13" x14ac:dyDescent="0.35">
      <c r="A51" t="s">
        <v>2687</v>
      </c>
      <c r="B51" s="37" t="str">
        <f>INDEX(CONTROL[ENGLISH],MATCH(PROPERTIES[[#This Row],[VEHIDCODE]],CONTROL[VEHIDCODE],0))</f>
        <v>Decauville Z 7100</v>
      </c>
      <c r="C51">
        <v>0</v>
      </c>
      <c r="D51" t="s">
        <v>523</v>
      </c>
      <c r="E51" t="s">
        <v>506</v>
      </c>
      <c r="F51" t="s">
        <v>516</v>
      </c>
      <c r="M51"/>
    </row>
    <row r="52" spans="1:13" x14ac:dyDescent="0.35">
      <c r="A52" t="s">
        <v>2688</v>
      </c>
      <c r="B52" s="37" t="str">
        <f>INDEX(CONTROL[ENGLISH],MATCH(PROPERTIES[[#This Row],[VEHIDCODE]],CONTROL[VEHIDCODE],0))</f>
        <v>HAWA/AEG Kleinbahn Nr. 1-3</v>
      </c>
      <c r="C52">
        <v>-3</v>
      </c>
      <c r="D52" t="s">
        <v>523</v>
      </c>
      <c r="E52" t="s">
        <v>506</v>
      </c>
      <c r="F52" t="s">
        <v>516</v>
      </c>
      <c r="M52"/>
    </row>
    <row r="53" spans="1:13" x14ac:dyDescent="0.35">
      <c r="A53" t="s">
        <v>3463</v>
      </c>
      <c r="B53" s="37" t="str">
        <f>INDEX(CONTROL[ENGLISH],MATCH(PROPERTIES[[#This Row],[VEHIDCODE]],CONTROL[VEHIDCODE],0))</f>
        <v>RAW Schoneweide 479.201</v>
      </c>
      <c r="C53">
        <v>-3</v>
      </c>
      <c r="D53" t="s">
        <v>523</v>
      </c>
      <c r="E53" t="s">
        <v>506</v>
      </c>
      <c r="F53" t="s">
        <v>516</v>
      </c>
      <c r="M53"/>
    </row>
    <row r="54" spans="1:13" x14ac:dyDescent="0.35">
      <c r="A54" t="s">
        <v>2689</v>
      </c>
      <c r="B54" s="37" t="str">
        <f>INDEX(CONTROL[ENGLISH],MATCH(PROPERTIES[[#This Row],[VEHIDCODE]],CONTROL[VEHIDCODE],0))</f>
        <v>Studenka 425.95</v>
      </c>
      <c r="C54">
        <v>0</v>
      </c>
      <c r="D54" t="s">
        <v>523</v>
      </c>
      <c r="E54" t="s">
        <v>506</v>
      </c>
      <c r="F54" t="s">
        <v>516</v>
      </c>
      <c r="M54"/>
    </row>
    <row r="55" spans="1:13" x14ac:dyDescent="0.35">
      <c r="A55" t="s">
        <v>2690</v>
      </c>
      <c r="B55" s="37" t="str">
        <f>INDEX(CONTROL[ENGLISH],MATCH(PROPERTIES[[#This Row],[VEHIDCODE]],CONTROL[VEHIDCODE],0))</f>
        <v>Pozzuoli - OCREN OM ALe 840</v>
      </c>
      <c r="C55">
        <v>-3</v>
      </c>
      <c r="D55" t="s">
        <v>523</v>
      </c>
      <c r="E55" t="s">
        <v>506</v>
      </c>
      <c r="F55" t="s">
        <v>516</v>
      </c>
      <c r="M55"/>
    </row>
    <row r="56" spans="1:13" x14ac:dyDescent="0.35">
      <c r="A56" t="s">
        <v>2691</v>
      </c>
      <c r="B56" s="37" t="str">
        <f>INDEX(CONTROL[ENGLISH],MATCH(PROPERTIES[[#This Row],[VEHIDCODE]],CONTROL[VEHIDCODE],0))</f>
        <v>Stanga ALe 80</v>
      </c>
      <c r="C56">
        <v>0</v>
      </c>
      <c r="D56" t="s">
        <v>523</v>
      </c>
      <c r="E56" t="s">
        <v>506</v>
      </c>
      <c r="F56" t="s">
        <v>516</v>
      </c>
      <c r="M56"/>
    </row>
    <row r="57" spans="1:13" x14ac:dyDescent="0.35">
      <c r="A57" t="s">
        <v>2692</v>
      </c>
      <c r="B57" s="37" t="str">
        <f>INDEX(CONTROL[ENGLISH],MATCH(PROPERTIES[[#This Row],[VEHIDCODE]],CONTROL[VEHIDCODE],0))</f>
        <v>FS E.623</v>
      </c>
      <c r="C57">
        <v>0</v>
      </c>
      <c r="D57" t="s">
        <v>523</v>
      </c>
      <c r="E57" t="s">
        <v>506</v>
      </c>
      <c r="F57" t="s">
        <v>516</v>
      </c>
      <c r="M57"/>
    </row>
    <row r="58" spans="1:13" x14ac:dyDescent="0.35">
      <c r="A58" t="s">
        <v>2693</v>
      </c>
      <c r="B58" s="37" t="str">
        <f>INDEX(CONTROL[ENGLISH],MATCH(PROPERTIES[[#This Row],[VEHIDCODE]],CONTROL[VEHIDCODE],0))</f>
        <v>ONCF ZAB1000</v>
      </c>
      <c r="C58">
        <v>-3</v>
      </c>
      <c r="D58" t="s">
        <v>523</v>
      </c>
      <c r="E58" t="s">
        <v>506</v>
      </c>
      <c r="F58" t="s">
        <v>516</v>
      </c>
      <c r="M58"/>
    </row>
    <row r="59" spans="1:13" x14ac:dyDescent="0.35">
      <c r="A59" t="s">
        <v>2694</v>
      </c>
      <c r="B59" s="37" t="str">
        <f>INDEX(CONTROL[ENGLISH],MATCH(PROPERTIES[[#This Row],[VEHIDCODE]],CONTROL[VEHIDCODE],0))</f>
        <v>Pesa 308B</v>
      </c>
      <c r="C59">
        <v>0</v>
      </c>
      <c r="D59" t="s">
        <v>523</v>
      </c>
      <c r="E59" t="s">
        <v>506</v>
      </c>
      <c r="F59" t="s">
        <v>516</v>
      </c>
      <c r="M59"/>
    </row>
    <row r="60" spans="1:13" x14ac:dyDescent="0.35">
      <c r="A60" t="s">
        <v>2695</v>
      </c>
      <c r="B60" s="37" t="str">
        <f>INDEX(CONTROL[ENGLISH],MATCH(PROPERTIES[[#This Row],[VEHIDCODE]],CONTROL[VEHIDCODE],0))</f>
        <v>Franz Knotz 4855</v>
      </c>
      <c r="C60">
        <v>0</v>
      </c>
      <c r="D60" t="s">
        <v>523</v>
      </c>
      <c r="E60" t="s">
        <v>506</v>
      </c>
      <c r="F60" t="s">
        <v>516</v>
      </c>
      <c r="M60"/>
    </row>
    <row r="61" spans="1:13" x14ac:dyDescent="0.35">
      <c r="A61" t="s">
        <v>2696</v>
      </c>
      <c r="B61" s="37" t="str">
        <f>INDEX(CONTROL[ENGLISH],MATCH(PROPERTIES[[#This Row],[VEHIDCODE]],CONTROL[VEHIDCODE],0))</f>
        <v>Lindner/Talbot ET 10.109</v>
      </c>
      <c r="C61">
        <v>0</v>
      </c>
      <c r="D61" t="s">
        <v>523</v>
      </c>
      <c r="E61" t="s">
        <v>506</v>
      </c>
      <c r="F61" t="s">
        <v>516</v>
      </c>
      <c r="M61"/>
    </row>
    <row r="62" spans="1:13" x14ac:dyDescent="0.35">
      <c r="A62" t="s">
        <v>2697</v>
      </c>
      <c r="B62" s="37" t="str">
        <f>INDEX(CONTROL[ENGLISH],MATCH(PROPERTIES[[#This Row],[VEHIDCODE]],CONTROL[VEHIDCODE],0))</f>
        <v>Waggonfabrik Fuchs ET 85</v>
      </c>
      <c r="C62">
        <v>-3</v>
      </c>
      <c r="D62" t="s">
        <v>523</v>
      </c>
      <c r="E62" t="s">
        <v>506</v>
      </c>
      <c r="F62" t="s">
        <v>516</v>
      </c>
      <c r="M62"/>
    </row>
    <row r="63" spans="1:13" x14ac:dyDescent="0.35">
      <c r="A63" t="s">
        <v>2698</v>
      </c>
      <c r="B63" s="37" t="str">
        <f>INDEX(CONTROL[ENGLISH],MATCH(PROPERTIES[[#This Row],[VEHIDCODE]],CONTROL[VEHIDCODE],0))</f>
        <v>ASJ Y6</v>
      </c>
      <c r="C63">
        <v>0</v>
      </c>
      <c r="D63" t="s">
        <v>523</v>
      </c>
      <c r="E63" t="s">
        <v>506</v>
      </c>
      <c r="F63" t="s">
        <v>516</v>
      </c>
      <c r="M63"/>
    </row>
    <row r="64" spans="1:13" x14ac:dyDescent="0.35">
      <c r="A64" t="s">
        <v>2699</v>
      </c>
      <c r="B64" s="37" t="str">
        <f>INDEX(CONTROL[ENGLISH],MATCH(PROPERTIES[[#This Row],[VEHIDCODE]],CONTROL[VEHIDCODE],0))</f>
        <v>Budd Silverliner II</v>
      </c>
      <c r="C64">
        <v>0</v>
      </c>
      <c r="D64" t="s">
        <v>523</v>
      </c>
      <c r="E64" t="s">
        <v>506</v>
      </c>
      <c r="F64" t="s">
        <v>516</v>
      </c>
      <c r="M64"/>
    </row>
    <row r="65" spans="1:13" x14ac:dyDescent="0.35">
      <c r="A65" t="s">
        <v>2700</v>
      </c>
      <c r="B65" s="37" t="str">
        <f>INDEX(CONTROL[ENGLISH],MATCH(PROPERTIES[[#This Row],[VEHIDCODE]],CONTROL[VEHIDCODE],0))</f>
        <v>Hyundai Rotem Silverliner V</v>
      </c>
      <c r="C65">
        <v>0</v>
      </c>
      <c r="D65" t="s">
        <v>523</v>
      </c>
      <c r="E65" t="s">
        <v>506</v>
      </c>
      <c r="F65" t="s">
        <v>516</v>
      </c>
      <c r="M65"/>
    </row>
    <row r="66" spans="1:13" x14ac:dyDescent="0.35">
      <c r="A66" t="s">
        <v>2701</v>
      </c>
      <c r="B66" s="37" t="str">
        <f>INDEX(CONTROL[ENGLISH],MATCH(PROPERTIES[[#This Row],[VEHIDCODE]],CONTROL[VEHIDCODE],0))</f>
        <v>John Cockerill &amp; Cie. Le Belge</v>
      </c>
      <c r="C66">
        <v>-3</v>
      </c>
      <c r="D66" t="s">
        <v>523</v>
      </c>
      <c r="E66" t="s">
        <v>513</v>
      </c>
      <c r="F66" t="s">
        <v>517</v>
      </c>
      <c r="M66"/>
    </row>
    <row r="67" spans="1:13" x14ac:dyDescent="0.35">
      <c r="A67" t="s">
        <v>2702</v>
      </c>
      <c r="B67" s="37" t="str">
        <f>INDEX(CONTROL[ENGLISH],MATCH(PROPERTIES[[#This Row],[VEHIDCODE]],CONTROL[VEHIDCODE],0))</f>
        <v>Breese, Kneeland &amp; Co. 4-4-0 'No 1'</v>
      </c>
      <c r="C67">
        <v>0</v>
      </c>
      <c r="D67" t="s">
        <v>523</v>
      </c>
      <c r="E67" t="s">
        <v>513</v>
      </c>
      <c r="F67" t="s">
        <v>515</v>
      </c>
      <c r="M67"/>
    </row>
    <row r="68" spans="1:13" x14ac:dyDescent="0.35">
      <c r="A68" t="s">
        <v>2703</v>
      </c>
      <c r="B68" s="37" t="str">
        <f>INDEX(CONTROL[ENGLISH],MATCH(PROPERTIES[[#This Row],[VEHIDCODE]],CONTROL[VEHIDCODE],0))</f>
        <v>Esslingen Ec 2/5</v>
      </c>
      <c r="C68">
        <v>-3</v>
      </c>
      <c r="D68" t="s">
        <v>523</v>
      </c>
      <c r="E68" t="s">
        <v>513</v>
      </c>
      <c r="F68" t="s">
        <v>517</v>
      </c>
      <c r="M68"/>
    </row>
    <row r="69" spans="1:13" x14ac:dyDescent="0.35">
      <c r="A69" t="s">
        <v>2704</v>
      </c>
      <c r="B69" s="37" t="str">
        <f>INDEX(CONTROL[ENGLISH],MATCH(PROPERTIES[[#This Row],[VEHIDCODE]],CONTROL[VEHIDCODE],0))</f>
        <v>Baldwin Class D 4-6-0 'Ten-wheeler'</v>
      </c>
      <c r="C69">
        <v>0</v>
      </c>
      <c r="D69" t="s">
        <v>523</v>
      </c>
      <c r="E69" t="s">
        <v>513</v>
      </c>
      <c r="F69" t="s">
        <v>515</v>
      </c>
      <c r="M69"/>
    </row>
    <row r="70" spans="1:13" x14ac:dyDescent="0.35">
      <c r="A70" t="s">
        <v>2705</v>
      </c>
      <c r="B70" s="37" t="str">
        <f>INDEX(CONTROL[ENGLISH],MATCH(PROPERTIES[[#This Row],[VEHIDCODE]],CONTROL[VEHIDCODE],0))</f>
        <v>Baldwin 2-8-0 'Consolidation'</v>
      </c>
      <c r="C70">
        <v>0</v>
      </c>
      <c r="D70" t="s">
        <v>523</v>
      </c>
      <c r="E70" t="s">
        <v>513</v>
      </c>
      <c r="F70" t="s">
        <v>515</v>
      </c>
      <c r="M70"/>
    </row>
    <row r="71" spans="1:13" x14ac:dyDescent="0.35">
      <c r="A71" t="s">
        <v>2706</v>
      </c>
      <c r="B71" s="37" t="str">
        <f>INDEX(CONTROL[ENGLISH],MATCH(PROPERTIES[[#This Row],[VEHIDCODE]],CONTROL[VEHIDCODE],0))</f>
        <v>MAV 377</v>
      </c>
      <c r="C71">
        <v>-3</v>
      </c>
      <c r="D71" t="s">
        <v>523</v>
      </c>
      <c r="E71" t="s">
        <v>513</v>
      </c>
      <c r="F71" t="s">
        <v>517</v>
      </c>
      <c r="M71"/>
    </row>
    <row r="72" spans="1:13" x14ac:dyDescent="0.35">
      <c r="A72" t="s">
        <v>2707</v>
      </c>
      <c r="B72" s="37" t="str">
        <f>INDEX(CONTROL[ENGLISH],MATCH(PROPERTIES[[#This Row],[VEHIDCODE]],CONTROL[VEHIDCODE],0))</f>
        <v>Krauss KkStB 99</v>
      </c>
      <c r="C72">
        <v>-3</v>
      </c>
      <c r="D72" t="s">
        <v>523</v>
      </c>
      <c r="E72" t="s">
        <v>513</v>
      </c>
      <c r="F72" t="s">
        <v>517</v>
      </c>
      <c r="M72"/>
    </row>
    <row r="73" spans="1:13" x14ac:dyDescent="0.35">
      <c r="A73" t="s">
        <v>2708</v>
      </c>
      <c r="B73" s="37" t="str">
        <f>INDEX(CONTROL[ENGLISH],MATCH(PROPERTIES[[#This Row],[VEHIDCODE]],CONTROL[VEHIDCODE],0))</f>
        <v>McIntosh [Caledonian Railway] 439</v>
      </c>
      <c r="C73">
        <v>-3</v>
      </c>
      <c r="D73" t="s">
        <v>523</v>
      </c>
      <c r="E73" t="s">
        <v>513</v>
      </c>
      <c r="F73" t="s">
        <v>517</v>
      </c>
      <c r="M73"/>
    </row>
    <row r="74" spans="1:13" x14ac:dyDescent="0.35">
      <c r="A74" t="s">
        <v>2709</v>
      </c>
      <c r="B74" s="37" t="str">
        <f>INDEX(CONTROL[ENGLISH],MATCH(PROPERTIES[[#This Row],[VEHIDCODE]],CONTROL[VEHIDCODE],0))</f>
        <v>SLM Winterthur A 3/5</v>
      </c>
      <c r="C74">
        <v>0</v>
      </c>
      <c r="D74" t="s">
        <v>523</v>
      </c>
      <c r="E74" t="s">
        <v>513</v>
      </c>
      <c r="F74" t="s">
        <v>515</v>
      </c>
      <c r="M74"/>
    </row>
    <row r="75" spans="1:13" x14ac:dyDescent="0.35">
      <c r="A75" t="s">
        <v>2710</v>
      </c>
      <c r="B75" s="37" t="str">
        <f>INDEX(CONTROL[ENGLISH],MATCH(PROPERTIES[[#This Row],[VEHIDCODE]],CONTROL[VEHIDCODE],0))</f>
        <v>SLM Winterthur E 3/3</v>
      </c>
      <c r="C75">
        <v>0</v>
      </c>
      <c r="D75" t="s">
        <v>523</v>
      </c>
      <c r="E75" t="s">
        <v>513</v>
      </c>
      <c r="F75" t="s">
        <v>517</v>
      </c>
      <c r="M75"/>
    </row>
    <row r="76" spans="1:13" x14ac:dyDescent="0.35">
      <c r="A76" t="s">
        <v>2711</v>
      </c>
      <c r="B76" s="37" t="str">
        <f>INDEX(CONTROL[ENGLISH],MATCH(PROPERTIES[[#This Row],[VEHIDCODE]],CONTROL[VEHIDCODE],0))</f>
        <v>Krauss 299</v>
      </c>
      <c r="C76">
        <v>0</v>
      </c>
      <c r="D76" t="s">
        <v>523</v>
      </c>
      <c r="E76" t="s">
        <v>513</v>
      </c>
      <c r="F76" t="s">
        <v>517</v>
      </c>
      <c r="M76"/>
    </row>
    <row r="77" spans="1:13" x14ac:dyDescent="0.35">
      <c r="A77" t="s">
        <v>2712</v>
      </c>
      <c r="B77" s="37" t="str">
        <f>INDEX(CONTROL[ENGLISH],MATCH(PROPERTIES[[#This Row],[VEHIDCODE]],CONTROL[VEHIDCODE],0))</f>
        <v>NZR X</v>
      </c>
      <c r="C77">
        <v>0</v>
      </c>
      <c r="D77" t="s">
        <v>523</v>
      </c>
      <c r="E77" t="s">
        <v>513</v>
      </c>
      <c r="F77" t="s">
        <v>515</v>
      </c>
      <c r="M77"/>
    </row>
    <row r="78" spans="1:13" x14ac:dyDescent="0.35">
      <c r="A78" t="s">
        <v>3442</v>
      </c>
      <c r="B78" s="37" t="str">
        <f>INDEX(CONTROL[ENGLISH],MATCH(PROPERTIES[[#This Row],[VEHIDCODE]],CONTROL[VEHIDCODE],0))</f>
        <v>MAVAG 375</v>
      </c>
      <c r="C78">
        <v>-3</v>
      </c>
      <c r="D78" t="s">
        <v>523</v>
      </c>
      <c r="E78" t="s">
        <v>513</v>
      </c>
      <c r="F78" t="s">
        <v>517</v>
      </c>
      <c r="M78"/>
    </row>
    <row r="79" spans="1:13" x14ac:dyDescent="0.35">
      <c r="A79" t="s">
        <v>2713</v>
      </c>
      <c r="B79" s="37" t="str">
        <f>INDEX(CONTROL[ENGLISH],MATCH(PROPERTIES[[#This Row],[VEHIDCODE]],CONTROL[VEHIDCODE],0))</f>
        <v>FS 880</v>
      </c>
      <c r="C79">
        <v>-3</v>
      </c>
      <c r="D79" t="s">
        <v>523</v>
      </c>
      <c r="E79" t="s">
        <v>513</v>
      </c>
      <c r="F79" t="s">
        <v>517</v>
      </c>
      <c r="M79"/>
    </row>
    <row r="80" spans="1:13" x14ac:dyDescent="0.35">
      <c r="A80" t="s">
        <v>2714</v>
      </c>
      <c r="B80" s="37" t="str">
        <f>INDEX(CONTROL[ENGLISH],MATCH(PROPERTIES[[#This Row],[VEHIDCODE]],CONTROL[VEHIDCODE],0))</f>
        <v>FCNEA 11B 2-8-0</v>
      </c>
      <c r="C80">
        <v>0</v>
      </c>
      <c r="D80" t="s">
        <v>523</v>
      </c>
      <c r="E80" t="s">
        <v>513</v>
      </c>
      <c r="F80" t="s">
        <v>515</v>
      </c>
      <c r="M80"/>
    </row>
    <row r="81" spans="1:13" x14ac:dyDescent="0.35">
      <c r="A81" t="s">
        <v>2715</v>
      </c>
      <c r="B81" s="37" t="str">
        <f>INDEX(CONTROL[ENGLISH],MATCH(PROPERTIES[[#This Row],[VEHIDCODE]],CONTROL[VEHIDCODE],0))</f>
        <v>Schneider et Cie 140C</v>
      </c>
      <c r="C81">
        <v>0</v>
      </c>
      <c r="D81" t="s">
        <v>523</v>
      </c>
      <c r="E81" t="s">
        <v>513</v>
      </c>
      <c r="F81" t="s">
        <v>515</v>
      </c>
      <c r="M81"/>
    </row>
    <row r="82" spans="1:13" x14ac:dyDescent="0.35">
      <c r="A82" t="s">
        <v>3464</v>
      </c>
      <c r="B82" s="37" t="str">
        <f>INDEX(CONTROL[ENGLISH],MATCH(PROPERTIES[[#This Row],[VEHIDCODE]],CONTROL[VEHIDCODE],0))</f>
        <v>Union Giesserei 2-8-2T</v>
      </c>
      <c r="C82">
        <v>-3</v>
      </c>
      <c r="D82" t="s">
        <v>523</v>
      </c>
      <c r="E82" t="s">
        <v>513</v>
      </c>
      <c r="F82" t="s">
        <v>517</v>
      </c>
      <c r="M82"/>
    </row>
    <row r="83" spans="1:13" x14ac:dyDescent="0.35">
      <c r="A83" t="s">
        <v>2716</v>
      </c>
      <c r="B83" s="37" t="str">
        <f>INDEX(CONTROL[ENGLISH],MATCH(PROPERTIES[[#This Row],[VEHIDCODE]],CONTROL[VEHIDCODE],0))</f>
        <v>GWR 4900 'Hall'</v>
      </c>
      <c r="C83">
        <v>0</v>
      </c>
      <c r="D83" t="s">
        <v>523</v>
      </c>
      <c r="E83" t="s">
        <v>513</v>
      </c>
      <c r="F83" t="s">
        <v>515</v>
      </c>
      <c r="M83"/>
    </row>
    <row r="84" spans="1:13" x14ac:dyDescent="0.35">
      <c r="A84" t="s">
        <v>2717</v>
      </c>
      <c r="B84" s="37" t="str">
        <f>INDEX(CONTROL[ENGLISH],MATCH(PROPERTIES[[#This Row],[VEHIDCODE]],CONTROL[VEHIDCODE],0))</f>
        <v>GWR 5700 'Pannier'</v>
      </c>
      <c r="C84">
        <v>-3</v>
      </c>
      <c r="D84" t="s">
        <v>523</v>
      </c>
      <c r="E84" t="s">
        <v>513</v>
      </c>
      <c r="F84" t="s">
        <v>517</v>
      </c>
      <c r="M84"/>
    </row>
    <row r="85" spans="1:13" x14ac:dyDescent="0.35">
      <c r="A85" t="s">
        <v>2718</v>
      </c>
      <c r="B85" s="37" t="str">
        <f>INDEX(CONTROL[ENGLISH],MATCH(PROPERTIES[[#This Row],[VEHIDCODE]],CONTROL[VEHIDCODE],0))</f>
        <v>Henschel &amp; Sohn series 6300</v>
      </c>
      <c r="C85">
        <v>0</v>
      </c>
      <c r="D85" t="s">
        <v>523</v>
      </c>
      <c r="E85" t="s">
        <v>513</v>
      </c>
      <c r="F85" t="s">
        <v>517</v>
      </c>
      <c r="M85"/>
    </row>
    <row r="86" spans="1:13" x14ac:dyDescent="0.35">
      <c r="A86" t="s">
        <v>2719</v>
      </c>
      <c r="B86" s="37" t="str">
        <f>INDEX(CONTROL[ENGLISH],MATCH(PROPERTIES[[#This Row],[VEHIDCODE]],CONTROL[VEHIDCODE],0))</f>
        <v>Baldwin 5000 'Madame Queen'</v>
      </c>
      <c r="C86">
        <v>0</v>
      </c>
      <c r="D86" t="s">
        <v>523</v>
      </c>
      <c r="E86" t="s">
        <v>513</v>
      </c>
      <c r="F86" t="s">
        <v>515</v>
      </c>
      <c r="M86"/>
    </row>
    <row r="87" spans="1:13" x14ac:dyDescent="0.35">
      <c r="A87" t="s">
        <v>2720</v>
      </c>
      <c r="B87" s="37" t="str">
        <f>INDEX(CONTROL[ENGLISH],MATCH(PROPERTIES[[#This Row],[VEHIDCODE]],CONTROL[VEHIDCODE],0))</f>
        <v>Schwartzkopff S 10 'Prussian'</v>
      </c>
      <c r="C87">
        <v>0</v>
      </c>
      <c r="D87" t="s">
        <v>523</v>
      </c>
      <c r="E87" t="s">
        <v>513</v>
      </c>
      <c r="F87" t="s">
        <v>515</v>
      </c>
      <c r="M87"/>
    </row>
    <row r="88" spans="1:13" x14ac:dyDescent="0.35">
      <c r="A88" t="s">
        <v>2721</v>
      </c>
      <c r="B88" s="37" t="str">
        <f>INDEX(CONTROL[ENGLISH],MATCH(PROPERTIES[[#This Row],[VEHIDCODE]],CONTROL[VEHIDCODE],0))</f>
        <v>LMS 5MT 'Black Five'</v>
      </c>
      <c r="C88">
        <v>0</v>
      </c>
      <c r="D88" t="s">
        <v>523</v>
      </c>
      <c r="E88" t="s">
        <v>513</v>
      </c>
      <c r="F88" t="s">
        <v>515</v>
      </c>
      <c r="M88"/>
    </row>
    <row r="89" spans="1:13" x14ac:dyDescent="0.35">
      <c r="A89" t="s">
        <v>2722</v>
      </c>
      <c r="B89" s="37" t="str">
        <f>INDEX(CONTROL[ENGLISH],MATCH(PROPERTIES[[#This Row],[VEHIDCODE]],CONTROL[VEHIDCODE],0))</f>
        <v>Kolomna 9P</v>
      </c>
      <c r="C89">
        <v>-3</v>
      </c>
      <c r="D89" t="s">
        <v>523</v>
      </c>
      <c r="E89" t="s">
        <v>513</v>
      </c>
      <c r="F89" t="s">
        <v>517</v>
      </c>
      <c r="M89"/>
    </row>
    <row r="90" spans="1:13" x14ac:dyDescent="0.35">
      <c r="A90" t="s">
        <v>2723</v>
      </c>
      <c r="B90" s="37" t="str">
        <f>INDEX(CONTROL[ENGLISH],MATCH(PROPERTIES[[#This Row],[VEHIDCODE]],CONTROL[VEHIDCODE],0))</f>
        <v>LNER A4 'Gresley'</v>
      </c>
      <c r="C90">
        <v>0</v>
      </c>
      <c r="D90" t="s">
        <v>523</v>
      </c>
      <c r="E90" t="s">
        <v>513</v>
      </c>
      <c r="F90" t="s">
        <v>515</v>
      </c>
      <c r="M90"/>
    </row>
    <row r="91" spans="1:13" x14ac:dyDescent="0.35">
      <c r="A91" t="s">
        <v>2724</v>
      </c>
      <c r="B91" s="37" t="str">
        <f>INDEX(CONTROL[ENGLISH],MATCH(PROPERTIES[[#This Row],[VEHIDCODE]],CONTROL[VEHIDCODE],0))</f>
        <v>MLW 'Royal Hudson'</v>
      </c>
      <c r="C91">
        <v>0</v>
      </c>
      <c r="D91" t="s">
        <v>523</v>
      </c>
      <c r="E91" t="s">
        <v>513</v>
      </c>
      <c r="F91" t="s">
        <v>515</v>
      </c>
      <c r="M91"/>
    </row>
    <row r="92" spans="1:13" x14ac:dyDescent="0.35">
      <c r="A92" t="s">
        <v>2725</v>
      </c>
      <c r="B92" s="37" t="str">
        <f>INDEX(CONTROL[ENGLISH],MATCH(PROPERTIES[[#This Row],[VEHIDCODE]],CONTROL[VEHIDCODE],0))</f>
        <v>NOHAB 4-6-2 'F'</v>
      </c>
      <c r="C92">
        <v>-3</v>
      </c>
      <c r="D92" t="s">
        <v>523</v>
      </c>
      <c r="E92" t="s">
        <v>513</v>
      </c>
      <c r="F92" t="s">
        <v>515</v>
      </c>
      <c r="M92"/>
    </row>
    <row r="93" spans="1:13" x14ac:dyDescent="0.35">
      <c r="A93" t="s">
        <v>2726</v>
      </c>
      <c r="B93" s="37" t="str">
        <f>INDEX(CONTROL[ENGLISH],MATCH(PROPERTIES[[#This Row],[VEHIDCODE]],CONTROL[VEHIDCODE],0))</f>
        <v>GGL/HAS 52</v>
      </c>
      <c r="C93">
        <v>0</v>
      </c>
      <c r="D93" t="s">
        <v>523</v>
      </c>
      <c r="E93" t="s">
        <v>513</v>
      </c>
      <c r="F93" t="s">
        <v>515</v>
      </c>
      <c r="M93"/>
    </row>
    <row r="94" spans="1:13" x14ac:dyDescent="0.35">
      <c r="A94" t="s">
        <v>2727</v>
      </c>
      <c r="B94" s="37" t="str">
        <f>INDEX(CONTROL[ENGLISH],MATCH(PROPERTIES[[#This Row],[VEHIDCODE]],CONTROL[VEHIDCODE],0))</f>
        <v>Doncaster/Darlington 'Peppercorn'</v>
      </c>
      <c r="C94">
        <v>0</v>
      </c>
      <c r="D94" t="s">
        <v>523</v>
      </c>
      <c r="E94" t="s">
        <v>513</v>
      </c>
      <c r="F94" t="s">
        <v>515</v>
      </c>
      <c r="M94"/>
    </row>
    <row r="95" spans="1:13" x14ac:dyDescent="0.35">
      <c r="A95" t="s">
        <v>2728</v>
      </c>
      <c r="B95" s="37" t="str">
        <f>INDEX(CONTROL[ENGLISH],MATCH(PROPERTIES[[#This Row],[VEHIDCODE]],CONTROL[VEHIDCODE],0))</f>
        <v>Henschel &amp; Sohn 'Condenser'</v>
      </c>
      <c r="C95">
        <v>0</v>
      </c>
      <c r="D95" t="s">
        <v>523</v>
      </c>
      <c r="E95" t="s">
        <v>513</v>
      </c>
      <c r="F95" t="s">
        <v>515</v>
      </c>
      <c r="M95"/>
    </row>
    <row r="96" spans="1:13" x14ac:dyDescent="0.35">
      <c r="A96" t="s">
        <v>2729</v>
      </c>
      <c r="B96" s="37" t="str">
        <f>INDEX(CONTROL[ENGLISH],MATCH(PROPERTIES[[#This Row],[VEHIDCODE]],CONTROL[VEHIDCODE],0))</f>
        <v>Kolomna P36</v>
      </c>
      <c r="C96">
        <v>0</v>
      </c>
      <c r="D96" t="s">
        <v>523</v>
      </c>
      <c r="E96" t="s">
        <v>513</v>
      </c>
      <c r="F96" t="s">
        <v>515</v>
      </c>
      <c r="M96"/>
    </row>
    <row r="97" spans="1:13" x14ac:dyDescent="0.35">
      <c r="A97" t="s">
        <v>2730</v>
      </c>
      <c r="B97" s="37" t="str">
        <f>INDEX(CONTROL[ENGLISH],MATCH(PROPERTIES[[#This Row],[VEHIDCODE]],CONTROL[VEHIDCODE],0))</f>
        <v>ANF/DEL 150B</v>
      </c>
      <c r="C97">
        <v>0</v>
      </c>
      <c r="D97" t="s">
        <v>523</v>
      </c>
      <c r="E97" t="s">
        <v>513</v>
      </c>
      <c r="F97" t="s">
        <v>515</v>
      </c>
      <c r="M97"/>
    </row>
    <row r="98" spans="1:13" x14ac:dyDescent="0.35">
      <c r="A98" t="s">
        <v>2731</v>
      </c>
      <c r="B98" s="37" t="str">
        <f>INDEX(CONTROL[ENGLISH],MATCH(PROPERTIES[[#This Row],[VEHIDCODE]],CONTROL[VEHIDCODE],0))</f>
        <v>Henschel 895</v>
      </c>
      <c r="C98">
        <v>-3</v>
      </c>
      <c r="D98" t="s">
        <v>523</v>
      </c>
      <c r="E98" t="s">
        <v>513</v>
      </c>
      <c r="F98" t="s">
        <v>517</v>
      </c>
      <c r="M98"/>
    </row>
    <row r="99" spans="1:13" x14ac:dyDescent="0.35">
      <c r="A99" t="s">
        <v>2732</v>
      </c>
      <c r="B99" s="37" t="str">
        <f>INDEX(CONTROL[ENGLISH],MATCH(PROPERTIES[[#This Row],[VEHIDCODE]],CONTROL[VEHIDCODE],0))</f>
        <v>H. Cegielski OKz32</v>
      </c>
      <c r="C99">
        <v>-3</v>
      </c>
      <c r="D99" t="s">
        <v>523</v>
      </c>
      <c r="E99" t="s">
        <v>513</v>
      </c>
      <c r="F99" t="s">
        <v>517</v>
      </c>
      <c r="M99"/>
    </row>
    <row r="100" spans="1:13" x14ac:dyDescent="0.35">
      <c r="A100" t="s">
        <v>2733</v>
      </c>
      <c r="B100" s="37" t="str">
        <f>INDEX(CONTROL[ENGLISH],MATCH(PROPERTIES[[#This Row],[VEHIDCODE]],CONTROL[VEHIDCODE],0))</f>
        <v>SLM C 5/6 'Elephant'</v>
      </c>
      <c r="C100">
        <v>0</v>
      </c>
      <c r="D100" t="s">
        <v>523</v>
      </c>
      <c r="E100" t="s">
        <v>513</v>
      </c>
      <c r="F100" t="s">
        <v>515</v>
      </c>
      <c r="M100"/>
    </row>
    <row r="101" spans="1:13" x14ac:dyDescent="0.35">
      <c r="A101" t="s">
        <v>2734</v>
      </c>
      <c r="B101" s="37" t="str">
        <f>INDEX(CONTROL[ENGLISH],MATCH(PROPERTIES[[#This Row],[VEHIDCODE]],CONTROL[VEHIDCODE],0))</f>
        <v>ALCO series 4000 4-8-8-4 'Big Boy'</v>
      </c>
      <c r="C101">
        <v>0</v>
      </c>
      <c r="D101" t="s">
        <v>523</v>
      </c>
      <c r="E101" t="s">
        <v>513</v>
      </c>
      <c r="F101" t="s">
        <v>521</v>
      </c>
      <c r="M101"/>
    </row>
    <row r="102" spans="1:13" x14ac:dyDescent="0.35">
      <c r="A102" t="s">
        <v>2735</v>
      </c>
      <c r="B102" s="37" t="str">
        <f>INDEX(CONTROL[ENGLISH],MATCH(PROPERTIES[[#This Row],[VEHIDCODE]],CONTROL[VEHIDCODE],0))</f>
        <v>Sharp, Stewart &amp; Co. 4-4-0 3557-3565</v>
      </c>
      <c r="C102">
        <v>0</v>
      </c>
      <c r="D102" t="s">
        <v>523</v>
      </c>
      <c r="E102" t="s">
        <v>513</v>
      </c>
      <c r="F102" t="s">
        <v>515</v>
      </c>
      <c r="M102"/>
    </row>
    <row r="103" spans="1:13" x14ac:dyDescent="0.35">
      <c r="A103" t="s">
        <v>2736</v>
      </c>
      <c r="B103" s="37" t="str">
        <f>INDEX(CONTROL[ENGLISH],MATCH(PROPERTIES[[#This Row],[VEHIDCODE]],CONTROL[VEHIDCODE],0))</f>
        <v>GWR Iron Duke</v>
      </c>
      <c r="C103">
        <v>0</v>
      </c>
      <c r="D103" t="s">
        <v>523</v>
      </c>
      <c r="E103" t="s">
        <v>513</v>
      </c>
      <c r="F103" t="s">
        <v>515</v>
      </c>
      <c r="M103"/>
    </row>
    <row r="104" spans="1:13" x14ac:dyDescent="0.35">
      <c r="A104" t="s">
        <v>2737</v>
      </c>
      <c r="B104" s="37" t="str">
        <f>INDEX(CONTROL[ENGLISH],MATCH(PROPERTIES[[#This Row],[VEHIDCODE]],CONTROL[VEHIDCODE],0))</f>
        <v>Stephenson 0-4-2 'Locomotive No.1'</v>
      </c>
      <c r="C104">
        <v>0</v>
      </c>
      <c r="D104" t="s">
        <v>523</v>
      </c>
      <c r="E104" t="s">
        <v>513</v>
      </c>
      <c r="F104" t="s">
        <v>515</v>
      </c>
      <c r="M104"/>
    </row>
    <row r="105" spans="1:13" x14ac:dyDescent="0.35">
      <c r="A105" t="s">
        <v>2738</v>
      </c>
      <c r="B105" s="37" t="str">
        <f>INDEX(CONTROL[ENGLISH],MATCH(PROPERTIES[[#This Row],[VEHIDCODE]],CONTROL[VEHIDCODE],0))</f>
        <v>Cooke 4-2-2 'T. D. Judah'</v>
      </c>
      <c r="C105">
        <v>0</v>
      </c>
      <c r="D105" t="s">
        <v>523</v>
      </c>
      <c r="E105" t="s">
        <v>513</v>
      </c>
      <c r="F105" t="s">
        <v>515</v>
      </c>
      <c r="M105"/>
    </row>
    <row r="106" spans="1:13" x14ac:dyDescent="0.35">
      <c r="A106" t="s">
        <v>2739</v>
      </c>
      <c r="B106" s="37" t="str">
        <f>INDEX(CONTROL[ENGLISH],MATCH(PROPERTIES[[#This Row],[VEHIDCODE]],CONTROL[VEHIDCODE],0))</f>
        <v>Beyer, P &amp; Co. 2-4-0 SS 9-16, 21-78</v>
      </c>
      <c r="C106">
        <v>0</v>
      </c>
      <c r="D106" t="s">
        <v>523</v>
      </c>
      <c r="E106" t="s">
        <v>513</v>
      </c>
      <c r="F106" t="s">
        <v>515</v>
      </c>
      <c r="M106"/>
    </row>
    <row r="107" spans="1:13" x14ac:dyDescent="0.35">
      <c r="A107" t="s">
        <v>2740</v>
      </c>
      <c r="B107" s="37" t="str">
        <f>INDEX(CONTROL[ENGLISH],MATCH(PROPERTIES[[#This Row],[VEHIDCODE]],CONTROL[VEHIDCODE],0))</f>
        <v>Beyer, P &amp; Co. 2-6-0T 1702-1706</v>
      </c>
      <c r="C107">
        <v>0</v>
      </c>
      <c r="D107" t="s">
        <v>523</v>
      </c>
      <c r="E107" t="s">
        <v>513</v>
      </c>
      <c r="F107" t="s">
        <v>517</v>
      </c>
      <c r="M107"/>
    </row>
    <row r="108" spans="1:13" x14ac:dyDescent="0.35">
      <c r="A108" t="s">
        <v>2741</v>
      </c>
      <c r="B108" s="37" t="str">
        <f>INDEX(CONTROL[ENGLISH],MATCH(PROPERTIES[[#This Row],[VEHIDCODE]],CONTROL[VEHIDCODE],0))</f>
        <v>Beyer, P &amp; Co. 2-6-0 2073-2092</v>
      </c>
      <c r="C108">
        <v>0</v>
      </c>
      <c r="D108" t="s">
        <v>523</v>
      </c>
      <c r="E108" t="s">
        <v>513</v>
      </c>
      <c r="F108" t="s">
        <v>515</v>
      </c>
      <c r="M108"/>
    </row>
    <row r="109" spans="1:13" x14ac:dyDescent="0.35">
      <c r="A109" t="s">
        <v>2742</v>
      </c>
      <c r="B109" s="37" t="str">
        <f>INDEX(CONTROL[ENGLISH],MATCH(PROPERTIES[[#This Row],[VEHIDCODE]],CONTROL[VEHIDCODE],0))</f>
        <v>Canadian Pacific 374</v>
      </c>
      <c r="C109">
        <v>0</v>
      </c>
      <c r="D109" t="s">
        <v>523</v>
      </c>
      <c r="E109" t="s">
        <v>513</v>
      </c>
      <c r="F109" t="s">
        <v>515</v>
      </c>
      <c r="M109"/>
    </row>
    <row r="110" spans="1:13" x14ac:dyDescent="0.35">
      <c r="A110" t="s">
        <v>2743</v>
      </c>
      <c r="B110" s="37" t="str">
        <f>INDEX(CONTROL[ENGLISH],MATCH(PROPERTIES[[#This Row],[VEHIDCODE]],CONTROL[VEHIDCODE],0))</f>
        <v>Nasmyth, Wilson &amp; Co. '35-tonner' 4-6-0T</v>
      </c>
      <c r="C110">
        <v>0</v>
      </c>
      <c r="D110" t="s">
        <v>523</v>
      </c>
      <c r="E110" t="s">
        <v>513</v>
      </c>
      <c r="F110" t="s">
        <v>517</v>
      </c>
      <c r="M110"/>
    </row>
    <row r="111" spans="1:13" x14ac:dyDescent="0.35">
      <c r="A111" t="s">
        <v>2744</v>
      </c>
      <c r="B111" s="37" t="str">
        <f>INDEX(CONTROL[ENGLISH],MATCH(PROPERTIES[[#This Row],[VEHIDCODE]],CONTROL[VEHIDCODE],0))</f>
        <v>Schneider RENFE 040</v>
      </c>
      <c r="C111">
        <v>0</v>
      </c>
      <c r="D111" t="s">
        <v>523</v>
      </c>
      <c r="E111" t="s">
        <v>513</v>
      </c>
      <c r="F111" t="s">
        <v>515</v>
      </c>
      <c r="M111"/>
    </row>
    <row r="112" spans="1:13" x14ac:dyDescent="0.35">
      <c r="A112" t="s">
        <v>2745</v>
      </c>
      <c r="B112" s="37" t="str">
        <f>INDEX(CONTROL[ENGLISH],MATCH(PROPERTIES[[#This Row],[VEHIDCODE]],CONTROL[VEHIDCODE],0))</f>
        <v>Sächsische Maschinenfabrik IV K</v>
      </c>
      <c r="C112">
        <v>0</v>
      </c>
      <c r="D112" t="s">
        <v>523</v>
      </c>
      <c r="E112" t="s">
        <v>513</v>
      </c>
      <c r="F112" t="s">
        <v>517</v>
      </c>
      <c r="M112"/>
    </row>
    <row r="113" spans="1:13" x14ac:dyDescent="0.35">
      <c r="A113" t="s">
        <v>2746</v>
      </c>
      <c r="B113" s="37" t="str">
        <f>INDEX(CONTROL[ENGLISH],MATCH(PROPERTIES[[#This Row],[VEHIDCODE]],CONTROL[VEHIDCODE],0))</f>
        <v>Hanomag S 3</v>
      </c>
      <c r="C113">
        <v>0</v>
      </c>
      <c r="D113" t="s">
        <v>523</v>
      </c>
      <c r="E113" t="s">
        <v>513</v>
      </c>
      <c r="F113" t="s">
        <v>515</v>
      </c>
      <c r="M113"/>
    </row>
    <row r="114" spans="1:13" x14ac:dyDescent="0.35">
      <c r="A114" t="s">
        <v>2747</v>
      </c>
      <c r="B114" s="37" t="str">
        <f>INDEX(CONTROL[ENGLISH],MATCH(PROPERTIES[[#This Row],[VEHIDCODE]],CONTROL[VEHIDCODE],0))</f>
        <v>Thune XXIa</v>
      </c>
      <c r="C114">
        <v>0</v>
      </c>
      <c r="D114" t="s">
        <v>523</v>
      </c>
      <c r="E114" t="s">
        <v>513</v>
      </c>
      <c r="F114" t="s">
        <v>517</v>
      </c>
      <c r="M114"/>
    </row>
    <row r="115" spans="1:13" x14ac:dyDescent="0.35">
      <c r="A115" t="s">
        <v>2748</v>
      </c>
      <c r="B115" s="37" t="str">
        <f>INDEX(CONTROL[ENGLISH],MATCH(PROPERTIES[[#This Row],[VEHIDCODE]],CONTROL[VEHIDCODE],0))</f>
        <v>PRR D16</v>
      </c>
      <c r="C115">
        <v>0</v>
      </c>
      <c r="D115" t="s">
        <v>523</v>
      </c>
      <c r="E115" t="s">
        <v>513</v>
      </c>
      <c r="F115" t="s">
        <v>515</v>
      </c>
      <c r="M115"/>
    </row>
    <row r="116" spans="1:13" x14ac:dyDescent="0.35">
      <c r="A116" t="s">
        <v>2749</v>
      </c>
      <c r="B116" s="37" t="str">
        <f>INDEX(CONTROL[ENGLISH],MATCH(PROPERTIES[[#This Row],[VEHIDCODE]],CONTROL[VEHIDCODE],0))</f>
        <v>Machinefabriek Breda 661-667</v>
      </c>
      <c r="C116">
        <v>0</v>
      </c>
      <c r="D116" t="s">
        <v>523</v>
      </c>
      <c r="E116" t="s">
        <v>513</v>
      </c>
      <c r="F116" t="s">
        <v>517</v>
      </c>
      <c r="M116"/>
    </row>
    <row r="117" spans="1:13" x14ac:dyDescent="0.35">
      <c r="A117" t="s">
        <v>2750</v>
      </c>
      <c r="B117" s="37" t="str">
        <f>INDEX(CONTROL[ENGLISH],MATCH(PROPERTIES[[#This Row],[VEHIDCODE]],CONTROL[VEHIDCODE],0))</f>
        <v>ALCO 46581 2-6-6-2 'Mallet'</v>
      </c>
      <c r="C117">
        <v>0</v>
      </c>
      <c r="D117" t="s">
        <v>523</v>
      </c>
      <c r="E117" t="s">
        <v>513</v>
      </c>
      <c r="F117" t="s">
        <v>515</v>
      </c>
      <c r="M117"/>
    </row>
    <row r="118" spans="1:13" x14ac:dyDescent="0.35">
      <c r="A118" t="s">
        <v>2751</v>
      </c>
      <c r="B118" s="37" t="str">
        <f>INDEX(CONTROL[ENGLISH],MATCH(PROPERTIES[[#This Row],[VEHIDCODE]],CONTROL[VEHIDCODE],0))</f>
        <v>Orenstein &amp; Koppel 2-8-0 '8-Tender'</v>
      </c>
      <c r="C118">
        <v>0</v>
      </c>
      <c r="D118" t="s">
        <v>523</v>
      </c>
      <c r="E118" t="s">
        <v>513</v>
      </c>
      <c r="F118" t="s">
        <v>515</v>
      </c>
      <c r="M118"/>
    </row>
    <row r="119" spans="1:13" x14ac:dyDescent="0.35">
      <c r="A119" t="s">
        <v>2752</v>
      </c>
      <c r="B119" s="37" t="str">
        <f>INDEX(CONTROL[ENGLISH],MATCH(PROPERTIES[[#This Row],[VEHIDCODE]],CONTROL[VEHIDCODE],0))</f>
        <v>Stratford Works L77 'LNER N7'</v>
      </c>
      <c r="C119">
        <v>0</v>
      </c>
      <c r="D119" t="s">
        <v>523</v>
      </c>
      <c r="E119" t="s">
        <v>513</v>
      </c>
      <c r="F119" t="s">
        <v>517</v>
      </c>
      <c r="M119"/>
    </row>
    <row r="120" spans="1:13" x14ac:dyDescent="0.35">
      <c r="A120" t="s">
        <v>2753</v>
      </c>
      <c r="B120" s="37" t="str">
        <f>INDEX(CONTROL[ENGLISH],MATCH(PROPERTIES[[#This Row],[VEHIDCODE]],CONTROL[VEHIDCODE],0))</f>
        <v>Sächsische Maschinenfabrik XX HV</v>
      </c>
      <c r="C120">
        <v>0</v>
      </c>
      <c r="D120" t="s">
        <v>523</v>
      </c>
      <c r="E120" t="s">
        <v>513</v>
      </c>
      <c r="F120" t="s">
        <v>515</v>
      </c>
      <c r="M120"/>
    </row>
    <row r="121" spans="1:13" x14ac:dyDescent="0.35">
      <c r="A121" t="s">
        <v>2754</v>
      </c>
      <c r="B121" s="37" t="str">
        <f>INDEX(CONTROL[ENGLISH],MATCH(PROPERTIES[[#This Row],[VEHIDCODE]],CONTROL[VEHIDCODE],0))</f>
        <v>Beyer, P &amp; Co. 2-4-0 SS 9-16</v>
      </c>
      <c r="C121">
        <v>0</v>
      </c>
      <c r="D121" t="s">
        <v>523</v>
      </c>
      <c r="E121" t="s">
        <v>513</v>
      </c>
      <c r="F121" t="s">
        <v>515</v>
      </c>
      <c r="M121"/>
    </row>
    <row r="122" spans="1:13" x14ac:dyDescent="0.35">
      <c r="A122" t="s">
        <v>2755</v>
      </c>
      <c r="B122" s="37" t="str">
        <f>INDEX(CONTROL[ENGLISH],MATCH(PROPERTIES[[#This Row],[VEHIDCODE]],CONTROL[VEHIDCODE],0))</f>
        <v>Beyer, P &amp; Co. 2-6-0 6112-6113</v>
      </c>
      <c r="C122">
        <v>0</v>
      </c>
      <c r="D122" t="s">
        <v>523</v>
      </c>
      <c r="E122" t="s">
        <v>513</v>
      </c>
      <c r="F122" t="s">
        <v>515</v>
      </c>
      <c r="M122"/>
    </row>
    <row r="123" spans="1:13" x14ac:dyDescent="0.35">
      <c r="A123" t="s">
        <v>2756</v>
      </c>
      <c r="B123" s="37" t="str">
        <f>INDEX(CONTROL[ENGLISH],MATCH(PROPERTIES[[#This Row],[VEHIDCODE]],CONTROL[VEHIDCODE],0))</f>
        <v>Baldwin 10-32-E 55246</v>
      </c>
      <c r="C123">
        <v>0</v>
      </c>
      <c r="D123" t="s">
        <v>523</v>
      </c>
      <c r="E123" t="s">
        <v>513</v>
      </c>
      <c r="F123" t="s">
        <v>515</v>
      </c>
      <c r="M123"/>
    </row>
    <row r="124" spans="1:13" x14ac:dyDescent="0.35">
      <c r="A124" t="s">
        <v>3447</v>
      </c>
      <c r="B124" s="37" t="str">
        <f>INDEX(CONTROL[ENGLISH],MATCH(PROPERTIES[[#This Row],[VEHIDCODE]],CONTROL[VEHIDCODE],0))</f>
        <v xml:space="preserve">Canadian National U-1-a </v>
      </c>
      <c r="C124">
        <v>0</v>
      </c>
      <c r="D124" t="s">
        <v>523</v>
      </c>
      <c r="E124" t="s">
        <v>513</v>
      </c>
      <c r="F124" t="s">
        <v>515</v>
      </c>
      <c r="M124"/>
    </row>
    <row r="125" spans="1:13" x14ac:dyDescent="0.35">
      <c r="A125" t="s">
        <v>2757</v>
      </c>
      <c r="B125" s="37" t="str">
        <f>INDEX(CONTROL[ENGLISH],MATCH(PROPERTIES[[#This Row],[VEHIDCODE]],CONTROL[VEHIDCODE],0))</f>
        <v>Vulcan Foundry 4-6-2 Class XB</v>
      </c>
      <c r="C125">
        <v>0</v>
      </c>
      <c r="D125" t="s">
        <v>523</v>
      </c>
      <c r="E125" t="s">
        <v>513</v>
      </c>
      <c r="F125" t="s">
        <v>515</v>
      </c>
      <c r="M125"/>
    </row>
    <row r="126" spans="1:13" x14ac:dyDescent="0.35">
      <c r="A126" t="s">
        <v>2758</v>
      </c>
      <c r="B126" s="37" t="str">
        <f>INDEX(CONTROL[ENGLISH],MATCH(PROPERTIES[[#This Row],[VEHIDCODE]],CONTROL[VEHIDCODE],0))</f>
        <v>Robert Stephenson 4-6-2 6982-6985</v>
      </c>
      <c r="C126">
        <v>0</v>
      </c>
      <c r="D126" t="s">
        <v>523</v>
      </c>
      <c r="E126" t="s">
        <v>513</v>
      </c>
      <c r="F126" t="s">
        <v>515</v>
      </c>
      <c r="M126"/>
    </row>
    <row r="127" spans="1:13" x14ac:dyDescent="0.35">
      <c r="A127" t="s">
        <v>2759</v>
      </c>
      <c r="B127" s="37" t="str">
        <f>INDEX(CONTROL[ENGLISH],MATCH(PROPERTIES[[#This Row],[VEHIDCODE]],CONTROL[VEHIDCODE],0))</f>
        <v>LMS Fowler 3F WD 0-6-0T</v>
      </c>
      <c r="C127">
        <v>0</v>
      </c>
      <c r="D127" t="s">
        <v>523</v>
      </c>
      <c r="E127" t="s">
        <v>513</v>
      </c>
      <c r="F127" t="s">
        <v>517</v>
      </c>
      <c r="M127"/>
    </row>
    <row r="128" spans="1:13" x14ac:dyDescent="0.35">
      <c r="A128" t="s">
        <v>2760</v>
      </c>
      <c r="B128" s="37" t="str">
        <f>INDEX(CONTROL[ENGLISH],MATCH(PROPERTIES[[#This Row],[VEHIDCODE]],CONTROL[VEHIDCODE],0))</f>
        <v>Swindon Works 381</v>
      </c>
      <c r="C128">
        <v>0</v>
      </c>
      <c r="D128" t="s">
        <v>523</v>
      </c>
      <c r="E128" t="s">
        <v>513</v>
      </c>
      <c r="F128" t="s">
        <v>517</v>
      </c>
      <c r="M128"/>
    </row>
    <row r="129" spans="1:13" x14ac:dyDescent="0.35">
      <c r="A129" t="s">
        <v>2761</v>
      </c>
      <c r="B129" s="37" t="str">
        <f>INDEX(CONTROL[ENGLISH],MATCH(PROPERTIES[[#This Row],[VEHIDCODE]],CONTROL[VEHIDCODE],0))</f>
        <v>North British LC R 4-6-4 Hudson</v>
      </c>
      <c r="C129">
        <v>0</v>
      </c>
      <c r="D129" t="s">
        <v>523</v>
      </c>
      <c r="E129" t="s">
        <v>513</v>
      </c>
      <c r="F129" t="s">
        <v>515</v>
      </c>
      <c r="M129"/>
    </row>
    <row r="130" spans="1:13" x14ac:dyDescent="0.35">
      <c r="A130" t="s">
        <v>2762</v>
      </c>
      <c r="B130" s="37" t="str">
        <f>INDEX(CONTROL[ENGLISH],MATCH(PROPERTIES[[#This Row],[VEHIDCODE]],CONTROL[VEHIDCODE],0))</f>
        <v>VEB 2-10-2T 99.77-79</v>
      </c>
      <c r="C130">
        <v>0</v>
      </c>
      <c r="D130" t="s">
        <v>523</v>
      </c>
      <c r="E130" t="s">
        <v>513</v>
      </c>
      <c r="F130" t="s">
        <v>517</v>
      </c>
      <c r="M130"/>
    </row>
    <row r="131" spans="1:13" x14ac:dyDescent="0.35">
      <c r="A131" t="s">
        <v>2763</v>
      </c>
      <c r="B131" s="37" t="str">
        <f>INDEX(CONTROL[ENGLISH],MATCH(PROPERTIES[[#This Row],[VEHIDCODE]],CONTROL[VEHIDCODE],0))</f>
        <v xml:space="preserve">RAW Meiningen 4-6-2 89 </v>
      </c>
      <c r="C131">
        <v>0</v>
      </c>
      <c r="D131" t="s">
        <v>523</v>
      </c>
      <c r="E131" t="s">
        <v>513</v>
      </c>
      <c r="F131" t="s">
        <v>515</v>
      </c>
      <c r="M131"/>
    </row>
    <row r="132" spans="1:13" x14ac:dyDescent="0.35">
      <c r="A132" t="s">
        <v>2764</v>
      </c>
      <c r="B132" s="37" t="str">
        <f>INDEX(CONTROL[ENGLISH],MATCH(PROPERTIES[[#This Row],[VEHIDCODE]],CONTROL[VEHIDCODE],0))</f>
        <v>NZR 4-6-4T 'WAB'</v>
      </c>
      <c r="C132">
        <v>0</v>
      </c>
      <c r="D132" t="s">
        <v>523</v>
      </c>
      <c r="E132" t="s">
        <v>513</v>
      </c>
      <c r="F132" t="s">
        <v>517</v>
      </c>
      <c r="M132"/>
    </row>
    <row r="133" spans="1:13" x14ac:dyDescent="0.35">
      <c r="A133" t="s">
        <v>2765</v>
      </c>
      <c r="B133" s="37" t="str">
        <f>INDEX(CONTROL[ENGLISH],MATCH(PROPERTIES[[#This Row],[VEHIDCODE]],CONTROL[VEHIDCODE],0))</f>
        <v>Clyde 4-8-2 'D57'</v>
      </c>
      <c r="C133">
        <v>0</v>
      </c>
      <c r="D133" t="s">
        <v>523</v>
      </c>
      <c r="E133" t="s">
        <v>513</v>
      </c>
      <c r="F133" t="s">
        <v>515</v>
      </c>
      <c r="M133"/>
    </row>
    <row r="134" spans="1:13" x14ac:dyDescent="0.35">
      <c r="A134" t="s">
        <v>2766</v>
      </c>
      <c r="B134" s="37" t="str">
        <f>INDEX(CONTROL[ENGLISH],MATCH(PROPERTIES[[#This Row],[VEHIDCODE]],CONTROL[VEHIDCODE],0))</f>
        <v>Islington Railway Workshops 81-92 520</v>
      </c>
      <c r="C134">
        <v>0</v>
      </c>
      <c r="D134" t="s">
        <v>523</v>
      </c>
      <c r="E134" t="s">
        <v>513</v>
      </c>
      <c r="F134" t="s">
        <v>515</v>
      </c>
      <c r="M134"/>
    </row>
    <row r="135" spans="1:13" x14ac:dyDescent="0.35">
      <c r="A135" t="s">
        <v>2767</v>
      </c>
      <c r="B135" s="37" t="str">
        <f>INDEX(CONTROL[ENGLISH],MATCH(PROPERTIES[[#This Row],[VEHIDCODE]],CONTROL[VEHIDCODE],0))</f>
        <v>Beyer, P &amp; Co. 4-8-4+4-8-4 7473-7497</v>
      </c>
      <c r="C135">
        <v>0</v>
      </c>
      <c r="D135" t="s">
        <v>523</v>
      </c>
      <c r="E135" t="s">
        <v>507</v>
      </c>
      <c r="F135" t="s">
        <v>517</v>
      </c>
      <c r="M135"/>
    </row>
    <row r="136" spans="1:13" x14ac:dyDescent="0.35">
      <c r="A136" t="s">
        <v>2768</v>
      </c>
      <c r="B136" s="37" t="str">
        <f>INDEX(CONTROL[ENGLISH],MATCH(PROPERTIES[[#This Row],[VEHIDCODE]],CONTROL[VEHIDCODE],0))</f>
        <v>AFE N1 2-6-0</v>
      </c>
      <c r="C136">
        <v>0</v>
      </c>
      <c r="D136" t="s">
        <v>523</v>
      </c>
      <c r="E136" t="s">
        <v>513</v>
      </c>
      <c r="F136" t="s">
        <v>515</v>
      </c>
      <c r="M136"/>
    </row>
    <row r="137" spans="1:13" x14ac:dyDescent="0.35">
      <c r="A137" t="s">
        <v>2769</v>
      </c>
      <c r="B137" s="37" t="str">
        <f>INDEX(CONTROL[ENGLISH],MATCH(PROPERTIES[[#This Row],[VEHIDCODE]],CONTROL[VEHIDCODE],0))</f>
        <v>Sir Armstrong Whithworth &amp; Co. PS11</v>
      </c>
      <c r="C137">
        <v>0</v>
      </c>
      <c r="D137" t="s">
        <v>523</v>
      </c>
      <c r="E137" t="s">
        <v>513</v>
      </c>
      <c r="F137" t="s">
        <v>515</v>
      </c>
      <c r="M137"/>
    </row>
    <row r="138" spans="1:13" x14ac:dyDescent="0.35">
      <c r="A138" t="s">
        <v>2770</v>
      </c>
      <c r="B138" s="37" t="str">
        <f>INDEX(CONTROL[ENGLISH],MATCH(PROPERTIES[[#This Row],[VEHIDCODE]],CONTROL[VEHIDCODE],0))</f>
        <v>Alexander Chaplin &amp; Co. 1584 0-4-0VB</v>
      </c>
      <c r="C138">
        <v>0</v>
      </c>
      <c r="D138" t="s">
        <v>523</v>
      </c>
      <c r="E138" t="s">
        <v>513</v>
      </c>
      <c r="F138" t="s">
        <v>517</v>
      </c>
      <c r="M138"/>
    </row>
    <row r="139" spans="1:13" x14ac:dyDescent="0.35">
      <c r="A139" t="s">
        <v>2771</v>
      </c>
      <c r="B139" s="37" t="str">
        <f>INDEX(CONTROL[ENGLISH],MATCH(PROPERTIES[[#This Row],[VEHIDCODE]],CONTROL[VEHIDCODE],0))</f>
        <v>Falcon Engine and Car Works F2</v>
      </c>
      <c r="C139">
        <v>0</v>
      </c>
      <c r="D139" t="s">
        <v>523</v>
      </c>
      <c r="E139" t="s">
        <v>513</v>
      </c>
      <c r="F139" t="s">
        <v>515</v>
      </c>
      <c r="M139"/>
    </row>
    <row r="140" spans="1:13" x14ac:dyDescent="0.35">
      <c r="A140" t="s">
        <v>2772</v>
      </c>
      <c r="B140" s="37" t="str">
        <f>INDEX(CONTROL[ENGLISH],MATCH(PROPERTIES[[#This Row],[VEHIDCODE]],CONTROL[VEHIDCODE],0))</f>
        <v>Ansaldo R.440 'Mallet'</v>
      </c>
      <c r="C140">
        <v>0</v>
      </c>
      <c r="D140" t="s">
        <v>523</v>
      </c>
      <c r="E140" t="s">
        <v>513</v>
      </c>
      <c r="F140" t="s">
        <v>517</v>
      </c>
      <c r="M140"/>
    </row>
    <row r="141" spans="1:13" x14ac:dyDescent="0.35">
      <c r="A141" t="s">
        <v>2773</v>
      </c>
      <c r="B141" s="37" t="str">
        <f>INDEX(CONTROL[ENGLISH],MATCH(PROPERTIES[[#This Row],[VEHIDCODE]],CONTROL[VEHIDCODE],0))</f>
        <v>Beyer, P &amp; Co. 4-8-0 6128-6133</v>
      </c>
      <c r="C141">
        <v>0</v>
      </c>
      <c r="D141" t="s">
        <v>523</v>
      </c>
      <c r="E141" t="s">
        <v>513</v>
      </c>
      <c r="F141" t="s">
        <v>515</v>
      </c>
      <c r="M141"/>
    </row>
    <row r="142" spans="1:13" x14ac:dyDescent="0.35">
      <c r="A142" t="s">
        <v>2774</v>
      </c>
      <c r="B142" s="37" t="str">
        <f>INDEX(CONTROL[ENGLISH],MATCH(PROPERTIES[[#This Row],[VEHIDCODE]],CONTROL[VEHIDCODE],0))</f>
        <v>Vulcan Foundry 4-8-2 4318-4320</v>
      </c>
      <c r="C142">
        <v>0</v>
      </c>
      <c r="D142" t="s">
        <v>523</v>
      </c>
      <c r="E142" t="s">
        <v>513</v>
      </c>
      <c r="F142" t="s">
        <v>515</v>
      </c>
      <c r="M142"/>
    </row>
    <row r="143" spans="1:13" x14ac:dyDescent="0.35">
      <c r="A143" t="s">
        <v>2775</v>
      </c>
      <c r="B143" s="37" t="str">
        <f>INDEX(CONTROL[ENGLISH],MATCH(PROPERTIES[[#This Row],[VEHIDCODE]],CONTROL[VEHIDCODE],0))</f>
        <v>Beyer, P &amp; Co. 4-6-4+4-6-4 '15th'</v>
      </c>
      <c r="C143">
        <v>0</v>
      </c>
      <c r="D143" t="s">
        <v>523</v>
      </c>
      <c r="E143" t="s">
        <v>507</v>
      </c>
      <c r="F143" t="s">
        <v>517</v>
      </c>
      <c r="M143"/>
    </row>
    <row r="144" spans="1:13" x14ac:dyDescent="0.35">
      <c r="A144" t="s">
        <v>2776</v>
      </c>
      <c r="B144" s="37" t="str">
        <f>INDEX(CONTROL[ENGLISH],MATCH(PROPERTIES[[#This Row],[VEHIDCODE]],CONTROL[VEHIDCODE],0))</f>
        <v>Beyer, P &amp; Co. 4-8-2+2-8-4 7550-7552</v>
      </c>
      <c r="C144">
        <v>0</v>
      </c>
      <c r="D144" t="s">
        <v>523</v>
      </c>
      <c r="E144" t="s">
        <v>507</v>
      </c>
      <c r="F144" t="s">
        <v>517</v>
      </c>
      <c r="M144"/>
    </row>
    <row r="145" spans="1:13" x14ac:dyDescent="0.35">
      <c r="A145" t="s">
        <v>2777</v>
      </c>
      <c r="B145" s="37" t="str">
        <f>INDEX(CONTROL[ENGLISH],MATCH(PROPERTIES[[#This Row],[VEHIDCODE]],CONTROL[VEHIDCODE],0))</f>
        <v>Vulcan Foundry 2-8-4 6228</v>
      </c>
      <c r="C145">
        <v>0</v>
      </c>
      <c r="D145" t="s">
        <v>523</v>
      </c>
      <c r="E145" t="s">
        <v>513</v>
      </c>
      <c r="F145" t="s">
        <v>515</v>
      </c>
      <c r="M145"/>
    </row>
    <row r="146" spans="1:13" x14ac:dyDescent="0.35">
      <c r="A146" t="s">
        <v>2778</v>
      </c>
      <c r="B146" s="37" t="str">
        <f>INDEX(CONTROL[ENGLISH],MATCH(PROPERTIES[[#This Row],[VEHIDCODE]],CONTROL[VEHIDCODE],0))</f>
        <v>Kitson 2-2-2WT 481 'Fairy Queen'</v>
      </c>
      <c r="C146">
        <v>0</v>
      </c>
      <c r="D146" t="s">
        <v>523</v>
      </c>
      <c r="E146" t="s">
        <v>513</v>
      </c>
      <c r="F146" t="s">
        <v>517</v>
      </c>
      <c r="M146"/>
    </row>
    <row r="147" spans="1:13" x14ac:dyDescent="0.35">
      <c r="A147" t="s">
        <v>2779</v>
      </c>
      <c r="B147" s="37" t="str">
        <f>INDEX(CONTROL[ENGLISH],MATCH(PROPERTIES[[#This Row],[VEHIDCODE]],CONTROL[VEHIDCODE],0))</f>
        <v>Sharp, Stewart &amp; Co. 0-4-0ST DHR B</v>
      </c>
      <c r="C147">
        <v>0</v>
      </c>
      <c r="D147" t="s">
        <v>523</v>
      </c>
      <c r="E147" t="s">
        <v>513</v>
      </c>
      <c r="F147" t="s">
        <v>515</v>
      </c>
      <c r="M147"/>
    </row>
    <row r="148" spans="1:13" x14ac:dyDescent="0.35">
      <c r="A148" t="s">
        <v>2780</v>
      </c>
      <c r="B148" s="37" t="str">
        <f>INDEX(CONTROL[ENGLISH],MATCH(PROPERTIES[[#This Row],[VEHIDCODE]],CONTROL[VEHIDCODE],0))</f>
        <v>Baldwin 2-8-0 Sentetsu Sorii</v>
      </c>
      <c r="C148">
        <v>0</v>
      </c>
      <c r="D148" t="s">
        <v>523</v>
      </c>
      <c r="E148" t="s">
        <v>513</v>
      </c>
      <c r="F148" t="s">
        <v>515</v>
      </c>
      <c r="M148"/>
    </row>
    <row r="149" spans="1:13" x14ac:dyDescent="0.35">
      <c r="A149" t="s">
        <v>2781</v>
      </c>
      <c r="B149" s="37" t="str">
        <f>INDEX(CONTROL[ENGLISH],MATCH(PROPERTIES[[#This Row],[VEHIDCODE]],CONTROL[VEHIDCODE],0))</f>
        <v>Putilov 4-6-0 U</v>
      </c>
      <c r="C149">
        <v>0</v>
      </c>
      <c r="D149" t="s">
        <v>523</v>
      </c>
      <c r="E149" t="s">
        <v>513</v>
      </c>
      <c r="F149" t="s">
        <v>515</v>
      </c>
      <c r="M149"/>
    </row>
    <row r="150" spans="1:13" x14ac:dyDescent="0.35">
      <c r="A150" t="s">
        <v>2782</v>
      </c>
      <c r="B150" s="37" t="str">
        <f>INDEX(CONTROL[ENGLISH],MATCH(PROPERTIES[[#This Row],[VEHIDCODE]],CONTROL[VEHIDCODE],0))</f>
        <v>Baldwin 12-44 F 2-10-0 'Ye'</v>
      </c>
      <c r="C150">
        <v>0</v>
      </c>
      <c r="D150" t="s">
        <v>523</v>
      </c>
      <c r="E150" t="s">
        <v>513</v>
      </c>
      <c r="F150" t="s">
        <v>515</v>
      </c>
      <c r="M150"/>
    </row>
    <row r="151" spans="1:13" x14ac:dyDescent="0.35">
      <c r="A151" t="s">
        <v>2783</v>
      </c>
      <c r="B151" s="37" t="str">
        <f>INDEX(CONTROL[ENGLISH],MATCH(PROPERTIES[[#This Row],[VEHIDCODE]],CONTROL[VEHIDCODE],0))</f>
        <v>Baldwin 4-6-0 50201</v>
      </c>
      <c r="C151">
        <v>0</v>
      </c>
      <c r="D151" t="s">
        <v>523</v>
      </c>
      <c r="E151" t="s">
        <v>513</v>
      </c>
      <c r="F151" t="s">
        <v>515</v>
      </c>
      <c r="M151"/>
    </row>
    <row r="152" spans="1:13" x14ac:dyDescent="0.35">
      <c r="A152" t="s">
        <v>2784</v>
      </c>
      <c r="B152" s="37" t="str">
        <f>INDEX(CONTROL[ENGLISH],MATCH(PROPERTIES[[#This Row],[VEHIDCODE]],CONTROL[VEHIDCODE],0))</f>
        <v>FS 480</v>
      </c>
      <c r="C152">
        <v>0</v>
      </c>
      <c r="D152" t="s">
        <v>523</v>
      </c>
      <c r="E152" t="s">
        <v>513</v>
      </c>
      <c r="F152" t="s">
        <v>515</v>
      </c>
      <c r="M152"/>
    </row>
    <row r="153" spans="1:13" x14ac:dyDescent="0.35">
      <c r="A153" t="s">
        <v>2785</v>
      </c>
      <c r="B153" s="37" t="str">
        <f>INDEX(CONTROL[ENGLISH],MATCH(PROPERTIES[[#This Row],[VEHIDCODE]],CONTROL[VEHIDCODE],0))</f>
        <v>FS 691</v>
      </c>
      <c r="C153">
        <v>0</v>
      </c>
      <c r="D153" t="s">
        <v>523</v>
      </c>
      <c r="E153" t="s">
        <v>513</v>
      </c>
      <c r="F153" t="s">
        <v>515</v>
      </c>
      <c r="M153"/>
    </row>
    <row r="154" spans="1:13" x14ac:dyDescent="0.35">
      <c r="A154" t="s">
        <v>2786</v>
      </c>
      <c r="B154" s="37" t="str">
        <f>INDEX(CONTROL[ENGLISH],MATCH(PROPERTIES[[#This Row],[VEHIDCODE]],CONTROL[VEHIDCODE],0))</f>
        <v>North British Lb 2-10-0</v>
      </c>
      <c r="C154">
        <v>0</v>
      </c>
      <c r="D154" t="s">
        <v>523</v>
      </c>
      <c r="E154" t="s">
        <v>513</v>
      </c>
      <c r="F154" t="s">
        <v>515</v>
      </c>
      <c r="M154"/>
    </row>
    <row r="155" spans="1:13" x14ac:dyDescent="0.35">
      <c r="A155" t="s">
        <v>2787</v>
      </c>
      <c r="B155" s="37" t="str">
        <f>INDEX(CONTROL[ENGLISH],MATCH(PROPERTIES[[#This Row],[VEHIDCODE]],CONTROL[VEHIDCODE],0))</f>
        <v>ALCO/Baldwin 2-8-0 'USATC S160'</v>
      </c>
      <c r="C155">
        <v>0</v>
      </c>
      <c r="D155" t="s">
        <v>523</v>
      </c>
      <c r="E155" t="s">
        <v>513</v>
      </c>
      <c r="F155" t="s">
        <v>517</v>
      </c>
      <c r="M155"/>
    </row>
    <row r="156" spans="1:13" x14ac:dyDescent="0.35">
      <c r="A156" t="s">
        <v>3466</v>
      </c>
      <c r="B156" s="37" t="str">
        <f>INDEX(CONTROL[ENGLISH],MATCH(PROPERTIES[[#This Row],[VEHIDCODE]],CONTROL[VEHIDCODE],0))</f>
        <v>RENFE 4-8-4 242F 'Confederacion'</v>
      </c>
      <c r="C156">
        <v>0</v>
      </c>
      <c r="D156" t="s">
        <v>523</v>
      </c>
      <c r="E156" t="s">
        <v>513</v>
      </c>
      <c r="F156" t="s">
        <v>515</v>
      </c>
      <c r="M156"/>
    </row>
    <row r="157" spans="1:13" x14ac:dyDescent="0.35">
      <c r="A157" t="s">
        <v>2788</v>
      </c>
      <c r="B157" s="37" t="str">
        <f>INDEX(CONTROL[ENGLISH],MATCH(PROPERTIES[[#This Row],[VEHIDCODE]],CONTROL[VEHIDCODE],0))</f>
        <v>Skoda 6Lo</v>
      </c>
      <c r="C157">
        <v>0</v>
      </c>
      <c r="D157" t="s">
        <v>523</v>
      </c>
      <c r="E157" t="s">
        <v>513</v>
      </c>
      <c r="F157" t="s">
        <v>515</v>
      </c>
      <c r="M157"/>
    </row>
    <row r="158" spans="1:13" x14ac:dyDescent="0.35">
      <c r="A158" t="s">
        <v>2789</v>
      </c>
      <c r="B158" s="37" t="str">
        <f>INDEX(CONTROL[ENGLISH],MATCH(PROPERTIES[[#This Row],[VEHIDCODE]],CONTROL[VEHIDCODE],0))</f>
        <v>Hanomag/Fablok 4-6-0 Ok22</v>
      </c>
      <c r="C158">
        <v>0</v>
      </c>
      <c r="D158" t="s">
        <v>523</v>
      </c>
      <c r="E158" t="s">
        <v>513</v>
      </c>
      <c r="F158" t="s">
        <v>515</v>
      </c>
      <c r="M158"/>
    </row>
    <row r="159" spans="1:13" x14ac:dyDescent="0.35">
      <c r="A159" t="s">
        <v>2790</v>
      </c>
      <c r="B159" s="37" t="str">
        <f>INDEX(CONTROL[ENGLISH],MATCH(PROPERTIES[[#This Row],[VEHIDCODE]],CONTROL[VEHIDCODE],0))</f>
        <v>MAVAG 4-8-0 424</v>
      </c>
      <c r="C159">
        <v>0</v>
      </c>
      <c r="D159" t="s">
        <v>523</v>
      </c>
      <c r="E159" t="s">
        <v>513</v>
      </c>
      <c r="F159" t="s">
        <v>515</v>
      </c>
      <c r="M159"/>
    </row>
    <row r="160" spans="1:13" x14ac:dyDescent="0.35">
      <c r="A160" t="s">
        <v>2791</v>
      </c>
      <c r="B160" s="37" t="str">
        <f>INDEX(CONTROL[ENGLISH],MATCH(PROPERTIES[[#This Row],[VEHIDCODE]],CONTROL[VEHIDCODE],0))</f>
        <v>MAVAG 4-4-4T 242</v>
      </c>
      <c r="C160">
        <v>0</v>
      </c>
      <c r="D160" t="s">
        <v>523</v>
      </c>
      <c r="E160" t="s">
        <v>513</v>
      </c>
      <c r="F160" t="s">
        <v>517</v>
      </c>
      <c r="M160"/>
    </row>
    <row r="161" spans="1:13" x14ac:dyDescent="0.35">
      <c r="A161" t="s">
        <v>2792</v>
      </c>
      <c r="B161" s="37" t="str">
        <f>INDEX(CONTROL[ENGLISH],MATCH(PROPERTIES[[#This Row],[VEHIDCODE]],CONTROL[VEHIDCODE],0))</f>
        <v>Vulcan Foundry 2-8-0 'Liberation'</v>
      </c>
      <c r="C161">
        <v>0</v>
      </c>
      <c r="D161" t="s">
        <v>523</v>
      </c>
      <c r="E161" t="s">
        <v>513</v>
      </c>
      <c r="F161" t="s">
        <v>515</v>
      </c>
      <c r="M161"/>
    </row>
    <row r="162" spans="1:13" x14ac:dyDescent="0.35">
      <c r="A162" t="s">
        <v>2793</v>
      </c>
      <c r="B162" s="37" t="str">
        <f>INDEX(CONTROL[ENGLISH],MATCH(PROPERTIES[[#This Row],[VEHIDCODE]],CONTROL[VEHIDCODE],0))</f>
        <v>Fablok 2-6-2 OI49</v>
      </c>
      <c r="C162">
        <v>0</v>
      </c>
      <c r="D162" t="s">
        <v>523</v>
      </c>
      <c r="E162" t="s">
        <v>513</v>
      </c>
      <c r="F162" t="s">
        <v>515</v>
      </c>
      <c r="M162"/>
    </row>
    <row r="163" spans="1:13" x14ac:dyDescent="0.35">
      <c r="A163" t="s">
        <v>2794</v>
      </c>
      <c r="B163" s="37" t="str">
        <f>INDEX(CONTROL[ENGLISH],MATCH(PROPERTIES[[#This Row],[VEHIDCODE]],CONTROL[VEHIDCODE],0))</f>
        <v>Floridsdorf 2-6-2 KkStB 310</v>
      </c>
      <c r="C163">
        <v>0</v>
      </c>
      <c r="D163" t="s">
        <v>523</v>
      </c>
      <c r="E163" t="s">
        <v>513</v>
      </c>
      <c r="F163" t="s">
        <v>515</v>
      </c>
      <c r="M163"/>
    </row>
    <row r="164" spans="1:13" x14ac:dyDescent="0.35">
      <c r="A164" t="s">
        <v>2795</v>
      </c>
      <c r="B164" s="37" t="str">
        <f>INDEX(CONTROL[ENGLISH],MATCH(PROPERTIES[[#This Row],[VEHIDCODE]],CONTROL[VEHIDCODE],0))</f>
        <v>Lima  4-8-4 7798-7817 'Daylight'</v>
      </c>
      <c r="C164">
        <v>0</v>
      </c>
      <c r="D164" t="s">
        <v>523</v>
      </c>
      <c r="E164" t="s">
        <v>513</v>
      </c>
      <c r="F164" t="s">
        <v>515</v>
      </c>
      <c r="M164"/>
    </row>
    <row r="165" spans="1:13" x14ac:dyDescent="0.35">
      <c r="A165" t="s">
        <v>2796</v>
      </c>
      <c r="B165" s="37" t="str">
        <f>INDEX(CONTROL[ENGLISH],MATCH(PROPERTIES[[#This Row],[VEHIDCODE]],CONTROL[VEHIDCODE],0))</f>
        <v>GS&amp;WR 0-6-0 '101'</v>
      </c>
      <c r="C165">
        <v>0</v>
      </c>
      <c r="D165" t="s">
        <v>523</v>
      </c>
      <c r="E165" t="s">
        <v>513</v>
      </c>
      <c r="F165" t="s">
        <v>515</v>
      </c>
      <c r="M165"/>
    </row>
    <row r="166" spans="1:13" x14ac:dyDescent="0.35">
      <c r="A166" t="s">
        <v>2797</v>
      </c>
      <c r="B166" s="37" t="str">
        <f>INDEX(CONTROL[ENGLISH],MATCH(PROPERTIES[[#This Row],[VEHIDCODE]],CONTROL[VEHIDCODE],0))</f>
        <v>ALCO 2-8-2 5100-5194 'Light Mikado'</v>
      </c>
      <c r="C166">
        <v>0</v>
      </c>
      <c r="D166" t="s">
        <v>523</v>
      </c>
      <c r="E166" t="s">
        <v>513</v>
      </c>
      <c r="F166" t="s">
        <v>515</v>
      </c>
      <c r="M166"/>
    </row>
    <row r="167" spans="1:13" x14ac:dyDescent="0.35">
      <c r="A167" t="s">
        <v>2798</v>
      </c>
      <c r="B167" s="37" t="str">
        <f>INDEX(CONTROL[ENGLISH],MATCH(PROPERTIES[[#This Row],[VEHIDCODE]],CONTROL[VEHIDCODE],0))</f>
        <v>FCGR [BAGS] No. 315 2-4-0T</v>
      </c>
      <c r="C167">
        <v>0</v>
      </c>
      <c r="D167" t="s">
        <v>523</v>
      </c>
      <c r="E167" t="s">
        <v>513</v>
      </c>
      <c r="F167" t="s">
        <v>517</v>
      </c>
      <c r="M167"/>
    </row>
    <row r="168" spans="1:13" x14ac:dyDescent="0.35">
      <c r="A168" t="s">
        <v>2799</v>
      </c>
      <c r="B168" s="37" t="str">
        <f>INDEX(CONTROL[ENGLISH],MATCH(PROPERTIES[[#This Row],[VEHIDCODE]],CONTROL[VEHIDCODE],0))</f>
        <v>Eveleigh 4-6-0 'C35'</v>
      </c>
      <c r="C168">
        <v>0</v>
      </c>
      <c r="D168" t="s">
        <v>523</v>
      </c>
      <c r="E168" t="s">
        <v>513</v>
      </c>
      <c r="F168" t="s">
        <v>515</v>
      </c>
      <c r="M168"/>
    </row>
    <row r="169" spans="1:13" x14ac:dyDescent="0.35">
      <c r="A169" t="s">
        <v>2800</v>
      </c>
      <c r="B169" s="37" t="str">
        <f>INDEX(CONTROL[ENGLISH],MATCH(PROPERTIES[[#This Row],[VEHIDCODE]],CONTROL[VEHIDCODE],0))</f>
        <v>ALCO 2-8-0 74707-74785 'Type 29'</v>
      </c>
      <c r="C169">
        <v>0</v>
      </c>
      <c r="D169" t="s">
        <v>523</v>
      </c>
      <c r="E169" t="s">
        <v>513</v>
      </c>
      <c r="F169" t="s">
        <v>515</v>
      </c>
      <c r="M169"/>
    </row>
    <row r="170" spans="1:13" x14ac:dyDescent="0.35">
      <c r="A170" t="s">
        <v>2801</v>
      </c>
      <c r="B170" s="37" t="str">
        <f>INDEX(CONTROL[ENGLISH],MATCH(PROPERTIES[[#This Row],[VEHIDCODE]],CONTROL[VEHIDCODE],0))</f>
        <v>FCAB 4-8-2 Vulcan 'Mountain'</v>
      </c>
      <c r="C170">
        <v>0</v>
      </c>
      <c r="D170" t="s">
        <v>523</v>
      </c>
      <c r="E170" t="s">
        <v>513</v>
      </c>
      <c r="F170" t="s">
        <v>515</v>
      </c>
      <c r="M170"/>
    </row>
    <row r="171" spans="1:13" x14ac:dyDescent="0.35">
      <c r="A171" t="s">
        <v>2802</v>
      </c>
      <c r="B171" s="37" t="str">
        <f>INDEX(CONTROL[ENGLISH],MATCH(PROPERTIES[[#This Row],[VEHIDCODE]],CONTROL[VEHIDCODE],0))</f>
        <v>Datong QJ 2-10-2 101-3602</v>
      </c>
      <c r="C171">
        <v>0</v>
      </c>
      <c r="D171" t="s">
        <v>523</v>
      </c>
      <c r="E171" t="s">
        <v>513</v>
      </c>
      <c r="F171" t="s">
        <v>515</v>
      </c>
      <c r="M171"/>
    </row>
    <row r="172" spans="1:13" x14ac:dyDescent="0.35">
      <c r="A172" t="s">
        <v>2803</v>
      </c>
      <c r="B172" s="37" t="str">
        <f>INDEX(CONTROL[ENGLISH],MATCH(PROPERTIES[[#This Row],[VEHIDCODE]],CONTROL[VEHIDCODE],0))</f>
        <v>DB Kof II/DB 322</v>
      </c>
      <c r="C172">
        <v>0</v>
      </c>
      <c r="D172" t="s">
        <v>523</v>
      </c>
      <c r="E172" t="s">
        <v>506</v>
      </c>
      <c r="F172" t="s">
        <v>515</v>
      </c>
      <c r="M172"/>
    </row>
    <row r="173" spans="1:13" x14ac:dyDescent="0.35">
      <c r="A173" t="s">
        <v>2804</v>
      </c>
      <c r="B173" s="37" t="str">
        <f>INDEX(CONTROL[ENGLISH],MATCH(PROPERTIES[[#This Row],[VEHIDCODE]],CONTROL[VEHIDCODE],0))</f>
        <v>CNJ ALCo-GE-IR Boxcab 100T</v>
      </c>
      <c r="C173">
        <v>0</v>
      </c>
      <c r="D173" t="s">
        <v>523</v>
      </c>
      <c r="E173" t="s">
        <v>506</v>
      </c>
      <c r="F173" t="s">
        <v>515</v>
      </c>
      <c r="M173"/>
    </row>
    <row r="174" spans="1:13" x14ac:dyDescent="0.35">
      <c r="A174" t="s">
        <v>2805</v>
      </c>
      <c r="B174" s="37" t="str">
        <f>INDEX(CONTROL[ENGLISH],MATCH(PROPERTIES[[#This Row],[VEHIDCODE]],CONTROL[VEHIDCODE],0))</f>
        <v>Werkspoor 200 'Sik'</v>
      </c>
      <c r="C174">
        <v>0</v>
      </c>
      <c r="D174" t="s">
        <v>523</v>
      </c>
      <c r="E174" t="s">
        <v>506</v>
      </c>
      <c r="F174" t="s">
        <v>515</v>
      </c>
      <c r="M174"/>
    </row>
    <row r="175" spans="1:13" x14ac:dyDescent="0.35">
      <c r="A175" t="s">
        <v>2806</v>
      </c>
      <c r="B175" s="37" t="str">
        <f>INDEX(CONTROL[ENGLISH],MATCH(PROPERTIES[[#This Row],[VEHIDCODE]],CONTROL[VEHIDCODE],0))</f>
        <v>BMAG 'WR 200 B 14'</v>
      </c>
      <c r="C175">
        <v>0</v>
      </c>
      <c r="D175" t="s">
        <v>523</v>
      </c>
      <c r="E175" t="s">
        <v>513</v>
      </c>
      <c r="F175" t="s">
        <v>517</v>
      </c>
      <c r="M175"/>
    </row>
    <row r="176" spans="1:13" x14ac:dyDescent="0.35">
      <c r="A176" t="s">
        <v>2807</v>
      </c>
      <c r="B176" s="37" t="str">
        <f>INDEX(CONTROL[ENGLISH],MATCH(PROPERTIES[[#This Row],[VEHIDCODE]],CONTROL[VEHIDCODE],0))</f>
        <v>BBC/SLM Am 4/6</v>
      </c>
      <c r="C176">
        <v>0</v>
      </c>
      <c r="D176" t="s">
        <v>523</v>
      </c>
      <c r="E176" t="s">
        <v>506</v>
      </c>
      <c r="F176" t="s">
        <v>515</v>
      </c>
      <c r="M176"/>
    </row>
    <row r="177" spans="1:13" x14ac:dyDescent="0.35">
      <c r="A177" t="s">
        <v>2808</v>
      </c>
      <c r="B177" s="37" t="str">
        <f>INDEX(CONTROL[ENGLISH],MATCH(PROPERTIES[[#This Row],[VEHIDCODE]],CONTROL[VEHIDCODE],0))</f>
        <v>GE 44-ton switcher</v>
      </c>
      <c r="C177">
        <v>0</v>
      </c>
      <c r="D177" t="s">
        <v>523</v>
      </c>
      <c r="E177" t="s">
        <v>506</v>
      </c>
      <c r="F177" t="s">
        <v>515</v>
      </c>
      <c r="M177"/>
    </row>
    <row r="178" spans="1:13" x14ac:dyDescent="0.35">
      <c r="A178" t="s">
        <v>2809</v>
      </c>
      <c r="B178" s="37" t="str">
        <f>INDEX(CONTROL[ENGLISH],MATCH(PROPERTIES[[#This Row],[VEHIDCODE]],CONTROL[VEHIDCODE],0))</f>
        <v>ALCO S-2</v>
      </c>
      <c r="C178">
        <v>0</v>
      </c>
      <c r="D178" t="s">
        <v>523</v>
      </c>
      <c r="E178" t="s">
        <v>506</v>
      </c>
      <c r="F178" t="s">
        <v>515</v>
      </c>
      <c r="M178"/>
    </row>
    <row r="179" spans="1:13" x14ac:dyDescent="0.35">
      <c r="A179" t="s">
        <v>2810</v>
      </c>
      <c r="B179" s="37" t="str">
        <f>INDEX(CONTROL[ENGLISH],MATCH(PROPERTIES[[#This Row],[VEHIDCODE]],CONTROL[VEHIDCODE],0))</f>
        <v>EMD F3</v>
      </c>
      <c r="C179">
        <v>-3</v>
      </c>
      <c r="D179" t="s">
        <v>523</v>
      </c>
      <c r="E179" t="s">
        <v>507</v>
      </c>
      <c r="F179" t="s">
        <v>516</v>
      </c>
      <c r="M179"/>
    </row>
    <row r="180" spans="1:13" x14ac:dyDescent="0.35">
      <c r="A180" t="s">
        <v>2811</v>
      </c>
      <c r="B180" s="37" t="str">
        <f>INDEX(CONTROL[ENGLISH],MATCH(PROPERTIES[[#This Row],[VEHIDCODE]],CONTROL[VEHIDCODE],0))</f>
        <v>EMD E8</v>
      </c>
      <c r="C180">
        <v>-3</v>
      </c>
      <c r="D180" t="s">
        <v>523</v>
      </c>
      <c r="E180" t="s">
        <v>507</v>
      </c>
      <c r="F180" t="s">
        <v>516</v>
      </c>
      <c r="M180"/>
    </row>
    <row r="181" spans="1:13" x14ac:dyDescent="0.35">
      <c r="A181" t="s">
        <v>2812</v>
      </c>
      <c r="B181" s="37" t="str">
        <f>INDEX(CONTROL[ENGLISH],MATCH(PROPERTIES[[#This Row],[VEHIDCODE]],CONTROL[VEHIDCODE],0))</f>
        <v>ALCO RS-3</v>
      </c>
      <c r="C181">
        <v>0</v>
      </c>
      <c r="D181" t="s">
        <v>523</v>
      </c>
      <c r="E181" t="s">
        <v>506</v>
      </c>
      <c r="F181" t="s">
        <v>515</v>
      </c>
      <c r="M181"/>
    </row>
    <row r="182" spans="1:13" x14ac:dyDescent="0.35">
      <c r="A182" t="s">
        <v>2813</v>
      </c>
      <c r="B182" s="37" t="str">
        <f>INDEX(CONTROL[ENGLISH],MATCH(PROPERTIES[[#This Row],[VEHIDCODE]],CONTROL[VEHIDCODE],0))</f>
        <v>English Electric 'Bakkie'</v>
      </c>
      <c r="C182">
        <v>0</v>
      </c>
      <c r="D182" t="s">
        <v>523</v>
      </c>
      <c r="E182" t="s">
        <v>513</v>
      </c>
      <c r="F182" t="s">
        <v>517</v>
      </c>
      <c r="M182"/>
    </row>
    <row r="183" spans="1:13" x14ac:dyDescent="0.35">
      <c r="A183" t="s">
        <v>2814</v>
      </c>
      <c r="B183" s="37" t="str">
        <f>INDEX(CONTROL[ENGLISH],MATCH(PROPERTIES[[#This Row],[VEHIDCODE]],CONTROL[VEHIDCODE],0))</f>
        <v>Baldwin RF-16 'Sharknose'</v>
      </c>
      <c r="C183">
        <v>-3</v>
      </c>
      <c r="D183" t="s">
        <v>523</v>
      </c>
      <c r="E183" t="s">
        <v>507</v>
      </c>
      <c r="F183" t="s">
        <v>516</v>
      </c>
      <c r="M183"/>
    </row>
    <row r="184" spans="1:13" x14ac:dyDescent="0.35">
      <c r="A184" t="s">
        <v>2815</v>
      </c>
      <c r="B184" s="37" t="str">
        <f>INDEX(CONTROL[ENGLISH],MATCH(PROPERTIES[[#This Row],[VEHIDCODE]],CONTROL[VEHIDCODE],0))</f>
        <v>AFE 1500</v>
      </c>
      <c r="C184">
        <v>0</v>
      </c>
      <c r="D184" t="s">
        <v>523</v>
      </c>
      <c r="E184" t="s">
        <v>506</v>
      </c>
      <c r="F184" t="s">
        <v>515</v>
      </c>
      <c r="M184"/>
    </row>
    <row r="185" spans="1:13" x14ac:dyDescent="0.35">
      <c r="A185" t="s">
        <v>2816</v>
      </c>
      <c r="B185" s="37" t="str">
        <f>INDEX(CONTROL[ENGLISH],MATCH(PROPERTIES[[#This Row],[VEHIDCODE]],CONTROL[VEHIDCODE],0))</f>
        <v>FM H-24-66 'Trainmaster'</v>
      </c>
      <c r="C185">
        <v>0</v>
      </c>
      <c r="D185" t="s">
        <v>523</v>
      </c>
      <c r="E185" t="s">
        <v>506</v>
      </c>
      <c r="F185" t="s">
        <v>515</v>
      </c>
      <c r="M185"/>
    </row>
    <row r="186" spans="1:13" x14ac:dyDescent="0.35">
      <c r="A186" t="s">
        <v>2817</v>
      </c>
      <c r="B186" s="37" t="str">
        <f>INDEX(CONTROL[ENGLISH],MATCH(PROPERTIES[[#This Row],[VEHIDCODE]],CONTROL[VEHIDCODE],0))</f>
        <v>BR Class 08 0-6-0DE</v>
      </c>
      <c r="C186">
        <v>0</v>
      </c>
      <c r="D186" t="s">
        <v>523</v>
      </c>
      <c r="E186" t="s">
        <v>513</v>
      </c>
      <c r="F186" t="s">
        <v>517</v>
      </c>
      <c r="M186"/>
    </row>
    <row r="187" spans="1:13" x14ac:dyDescent="0.35">
      <c r="A187" t="s">
        <v>2818</v>
      </c>
      <c r="B187" s="37" t="str">
        <f>INDEX(CONTROL[ENGLISH],MATCH(PROPERTIES[[#This Row],[VEHIDCODE]],CONTROL[VEHIDCODE],0))</f>
        <v>Jenbacher Werke 2060</v>
      </c>
      <c r="C187">
        <v>0</v>
      </c>
      <c r="D187" t="s">
        <v>523</v>
      </c>
      <c r="E187" t="s">
        <v>506</v>
      </c>
      <c r="F187" t="s">
        <v>515</v>
      </c>
      <c r="M187"/>
    </row>
    <row r="188" spans="1:13" x14ac:dyDescent="0.35">
      <c r="A188" t="s">
        <v>2819</v>
      </c>
      <c r="B188" s="37" t="str">
        <f>INDEX(CONTROL[ENGLISH],MATCH(PROPERTIES[[#This Row],[VEHIDCODE]],CONTROL[VEHIDCODE],0))</f>
        <v>EMD SW1200</v>
      </c>
      <c r="C188">
        <v>0</v>
      </c>
      <c r="D188" t="s">
        <v>523</v>
      </c>
      <c r="E188" t="s">
        <v>506</v>
      </c>
      <c r="F188" t="s">
        <v>515</v>
      </c>
      <c r="M188"/>
    </row>
    <row r="189" spans="1:13" x14ac:dyDescent="0.35">
      <c r="A189" t="s">
        <v>2820</v>
      </c>
      <c r="B189" s="37" t="str">
        <f>INDEX(CONTROL[ENGLISH],MATCH(PROPERTIES[[#This Row],[VEHIDCODE]],CONTROL[VEHIDCODE],0))</f>
        <v>EMD FP9</v>
      </c>
      <c r="C189">
        <v>-3</v>
      </c>
      <c r="D189" t="s">
        <v>523</v>
      </c>
      <c r="E189" t="s">
        <v>507</v>
      </c>
      <c r="F189" t="s">
        <v>516</v>
      </c>
      <c r="M189"/>
    </row>
    <row r="190" spans="1:13" x14ac:dyDescent="0.35">
      <c r="A190" t="s">
        <v>2821</v>
      </c>
      <c r="B190" s="37" t="str">
        <f>INDEX(CONTROL[ENGLISH],MATCH(PROPERTIES[[#This Row],[VEHIDCODE]],CONTROL[VEHIDCODE],0))</f>
        <v>Ganz-MAVAG DVM2 'M44'</v>
      </c>
      <c r="C190">
        <v>0</v>
      </c>
      <c r="D190" t="s">
        <v>523</v>
      </c>
      <c r="E190" t="s">
        <v>506</v>
      </c>
      <c r="F190" t="s">
        <v>515</v>
      </c>
      <c r="M190"/>
    </row>
    <row r="191" spans="1:13" x14ac:dyDescent="0.35">
      <c r="A191" t="s">
        <v>3431</v>
      </c>
      <c r="B191" s="37" t="str">
        <f>INDEX(CONTROL[ENGLISH],MATCH(PROPERTIES[[#This Row],[VEHIDCODE]],CONTROL[VEHIDCODE],0))</f>
        <v>Raba M 030 'M28 Nyünyüke'</v>
      </c>
      <c r="C191">
        <v>0</v>
      </c>
      <c r="D191" t="s">
        <v>523</v>
      </c>
      <c r="E191" t="s">
        <v>506</v>
      </c>
      <c r="F191" t="s">
        <v>515</v>
      </c>
      <c r="M191"/>
    </row>
    <row r="192" spans="1:13" x14ac:dyDescent="0.35">
      <c r="A192" t="s">
        <v>3432</v>
      </c>
      <c r="B192" s="37" t="str">
        <f>INDEX(CONTROL[ENGLISH],MATCH(PROPERTIES[[#This Row],[VEHIDCODE]],CONTROL[VEHIDCODE],0))</f>
        <v>Cockerill-Sambre HLD serie 83</v>
      </c>
      <c r="C192">
        <v>0</v>
      </c>
      <c r="D192" t="s">
        <v>523</v>
      </c>
      <c r="E192" t="s">
        <v>513</v>
      </c>
      <c r="F192" t="s">
        <v>517</v>
      </c>
      <c r="M192"/>
    </row>
    <row r="193" spans="1:13" x14ac:dyDescent="0.35">
      <c r="A193" t="s">
        <v>2822</v>
      </c>
      <c r="B193" s="37" t="str">
        <f>INDEX(CONTROL[ENGLISH],MATCH(PROPERTIES[[#This Row],[VEHIDCODE]],CONTROL[VEHIDCODE],0))</f>
        <v>Krauss-Maffei V200</v>
      </c>
      <c r="C193">
        <v>0</v>
      </c>
      <c r="D193" t="s">
        <v>523</v>
      </c>
      <c r="E193" t="s">
        <v>506</v>
      </c>
      <c r="F193" t="s">
        <v>515</v>
      </c>
      <c r="M193"/>
    </row>
    <row r="194" spans="1:13" x14ac:dyDescent="0.35">
      <c r="A194" t="s">
        <v>2823</v>
      </c>
      <c r="B194" s="37" t="str">
        <f>INDEX(CONTROL[ENGLISH],MATCH(PROPERTIES[[#This Row],[VEHIDCODE]],CONTROL[VEHIDCODE],0))</f>
        <v>EMD FL9</v>
      </c>
      <c r="C194">
        <v>0</v>
      </c>
      <c r="D194" t="s">
        <v>523</v>
      </c>
      <c r="E194" t="s">
        <v>506</v>
      </c>
      <c r="F194" t="s">
        <v>515</v>
      </c>
      <c r="M194"/>
    </row>
    <row r="195" spans="1:13" x14ac:dyDescent="0.35">
      <c r="A195" t="s">
        <v>2824</v>
      </c>
      <c r="B195" s="37" t="str">
        <f>INDEX(CONTROL[ENGLISH],MATCH(PROPERTIES[[#This Row],[VEHIDCODE]],CONTROL[VEHIDCODE],0))</f>
        <v>CKD T 435.0</v>
      </c>
      <c r="C195">
        <v>0</v>
      </c>
      <c r="D195" t="s">
        <v>523</v>
      </c>
      <c r="E195" t="s">
        <v>506</v>
      </c>
      <c r="F195" t="s">
        <v>515</v>
      </c>
      <c r="M195"/>
    </row>
    <row r="196" spans="1:13" x14ac:dyDescent="0.35">
      <c r="A196" t="s">
        <v>2825</v>
      </c>
      <c r="B196" s="37" t="str">
        <f>INDEX(CONTROL[ENGLISH],MATCH(PROPERTIES[[#This Row],[VEHIDCODE]],CONTROL[VEHIDCODE],0))</f>
        <v>Valmet/Lokomo Dr12</v>
      </c>
      <c r="C196">
        <v>0</v>
      </c>
      <c r="D196" t="s">
        <v>523</v>
      </c>
      <c r="E196" t="s">
        <v>506</v>
      </c>
      <c r="F196" t="s">
        <v>515</v>
      </c>
      <c r="M196"/>
    </row>
    <row r="197" spans="1:13" x14ac:dyDescent="0.35">
      <c r="A197" t="s">
        <v>2826</v>
      </c>
      <c r="B197" s="37" t="str">
        <f>INDEX(CONTROL[ENGLISH],MATCH(PROPERTIES[[#This Row],[VEHIDCODE]],CONTROL[VEHIDCODE],0))</f>
        <v>Electroputre 060-DA</v>
      </c>
      <c r="C197">
        <v>0</v>
      </c>
      <c r="D197" t="s">
        <v>523</v>
      </c>
      <c r="E197" t="s">
        <v>506</v>
      </c>
      <c r="F197" t="s">
        <v>515</v>
      </c>
      <c r="M197"/>
    </row>
    <row r="198" spans="1:13" x14ac:dyDescent="0.35">
      <c r="A198" t="s">
        <v>2827</v>
      </c>
      <c r="B198" s="37" t="str">
        <f>INDEX(CONTROL[ENGLISH],MATCH(PROPERTIES[[#This Row],[VEHIDCODE]],CONTROL[VEHIDCODE],0))</f>
        <v>EMD GL8</v>
      </c>
      <c r="C198">
        <v>0</v>
      </c>
      <c r="D198" t="s">
        <v>523</v>
      </c>
      <c r="E198" t="s">
        <v>513</v>
      </c>
      <c r="F198" t="s">
        <v>520</v>
      </c>
      <c r="M198"/>
    </row>
    <row r="199" spans="1:13" x14ac:dyDescent="0.35">
      <c r="A199" t="s">
        <v>2828</v>
      </c>
      <c r="B199" s="37" t="str">
        <f>INDEX(CONTROL[ENGLISH],MATCH(PROPERTIES[[#This Row],[VEHIDCODE]],CONTROL[VEHIDCODE],0))</f>
        <v>Krauss-Maffei ML 4000</v>
      </c>
      <c r="C199">
        <v>0</v>
      </c>
      <c r="D199" t="s">
        <v>523</v>
      </c>
      <c r="E199" t="s">
        <v>506</v>
      </c>
      <c r="F199" t="s">
        <v>515</v>
      </c>
      <c r="M199"/>
    </row>
    <row r="200" spans="1:13" x14ac:dyDescent="0.35">
      <c r="A200" t="s">
        <v>2829</v>
      </c>
      <c r="B200" s="37" t="str">
        <f>INDEX(CONTROL[ENGLISH],MATCH(PROPERTIES[[#This Row],[VEHIDCODE]],CONTROL[VEHIDCODE],0))</f>
        <v>Kolomna TEP60</v>
      </c>
      <c r="C200">
        <v>0</v>
      </c>
      <c r="D200" t="s">
        <v>523</v>
      </c>
      <c r="E200" t="s">
        <v>506</v>
      </c>
      <c r="F200" t="s">
        <v>515</v>
      </c>
      <c r="M200"/>
    </row>
    <row r="201" spans="1:13" x14ac:dyDescent="0.35">
      <c r="A201" t="s">
        <v>2830</v>
      </c>
      <c r="B201" s="37" t="str">
        <f>INDEX(CONTROL[ENGLISH],MATCH(PROPERTIES[[#This Row],[VEHIDCODE]],CONTROL[VEHIDCODE],0))</f>
        <v>BN/ACEC 62</v>
      </c>
      <c r="C201">
        <v>0</v>
      </c>
      <c r="D201" t="s">
        <v>523</v>
      </c>
      <c r="E201" t="s">
        <v>506</v>
      </c>
      <c r="F201" t="s">
        <v>515</v>
      </c>
      <c r="M201"/>
    </row>
    <row r="202" spans="1:13" x14ac:dyDescent="0.35">
      <c r="A202" t="s">
        <v>2831</v>
      </c>
      <c r="B202" s="37" t="str">
        <f>INDEX(CONTROL[ENGLISH],MATCH(PROPERTIES[[#This Row],[VEHIDCODE]],CONTROL[VEHIDCODE],0))</f>
        <v>MaK 100</v>
      </c>
      <c r="C202">
        <v>0</v>
      </c>
      <c r="D202" t="s">
        <v>523</v>
      </c>
      <c r="E202" t="s">
        <v>506</v>
      </c>
      <c r="F202" t="s">
        <v>515</v>
      </c>
      <c r="M202"/>
    </row>
    <row r="203" spans="1:13" x14ac:dyDescent="0.35">
      <c r="A203" t="s">
        <v>2832</v>
      </c>
      <c r="B203" s="37" t="str">
        <f>INDEX(CONTROL[ENGLISH],MATCH(PROPERTIES[[#This Row],[VEHIDCODE]],CONTROL[VEHIDCODE],0))</f>
        <v>ALCO DL560C 'WDM-2'</v>
      </c>
      <c r="C203">
        <v>0</v>
      </c>
      <c r="D203" t="s">
        <v>523</v>
      </c>
      <c r="E203" t="s">
        <v>506</v>
      </c>
      <c r="F203" t="s">
        <v>515</v>
      </c>
      <c r="M203"/>
    </row>
    <row r="204" spans="1:13" x14ac:dyDescent="0.35">
      <c r="A204" t="s">
        <v>2833</v>
      </c>
      <c r="B204" s="37" t="str">
        <f>INDEX(CONTROL[ENGLISH],MATCH(PROPERTIES[[#This Row],[VEHIDCODE]],CONTROL[VEHIDCODE],0))</f>
        <v>BR 14 0-6-0DH</v>
      </c>
      <c r="C204">
        <v>0</v>
      </c>
      <c r="D204" t="s">
        <v>523</v>
      </c>
      <c r="E204" t="s">
        <v>513</v>
      </c>
      <c r="F204" t="s">
        <v>517</v>
      </c>
      <c r="M204"/>
    </row>
    <row r="205" spans="1:13" x14ac:dyDescent="0.35">
      <c r="A205" t="s">
        <v>2834</v>
      </c>
      <c r="B205" s="37" t="str">
        <f>INDEX(CONTROL[ENGLISH],MATCH(PROPERTIES[[#This Row],[VEHIDCODE]],CONTROL[VEHIDCODE],0))</f>
        <v>CKD T-669</v>
      </c>
      <c r="C205">
        <v>0</v>
      </c>
      <c r="D205" t="s">
        <v>523</v>
      </c>
      <c r="E205" t="s">
        <v>506</v>
      </c>
      <c r="F205" t="s">
        <v>515</v>
      </c>
      <c r="M205"/>
    </row>
    <row r="206" spans="1:13" x14ac:dyDescent="0.35">
      <c r="A206" t="s">
        <v>2835</v>
      </c>
      <c r="B206" s="37" t="str">
        <f>INDEX(CONTROL[ENGLISH],MATCH(PROPERTIES[[#This Row],[VEHIDCODE]],CONTROL[VEHIDCODE],0))</f>
        <v>UGOFE GM-EMD J16CW/AC</v>
      </c>
      <c r="C206">
        <v>0</v>
      </c>
      <c r="D206" t="s">
        <v>523</v>
      </c>
      <c r="E206" t="s">
        <v>506</v>
      </c>
      <c r="F206" t="s">
        <v>515</v>
      </c>
      <c r="M206"/>
    </row>
    <row r="207" spans="1:13" x14ac:dyDescent="0.35">
      <c r="A207" t="s">
        <v>2836</v>
      </c>
      <c r="B207" s="37" t="str">
        <f>INDEX(CONTROL[ENGLISH],MATCH(PROPERTIES[[#This Row],[VEHIDCODE]],CONTROL[VEHIDCODE],0))</f>
        <v>LTZ M62</v>
      </c>
      <c r="C207">
        <v>0</v>
      </c>
      <c r="D207" t="s">
        <v>523</v>
      </c>
      <c r="E207" t="s">
        <v>506</v>
      </c>
      <c r="F207" t="s">
        <v>515</v>
      </c>
      <c r="M207"/>
    </row>
    <row r="208" spans="1:13" x14ac:dyDescent="0.35">
      <c r="A208" t="s">
        <v>2837</v>
      </c>
      <c r="B208" s="37" t="str">
        <f>INDEX(CONTROL[ENGLISH],MATCH(PROPERTIES[[#This Row],[VEHIDCODE]],CONTROL[VEHIDCODE],0))</f>
        <v>EMD/Clyde J26C</v>
      </c>
      <c r="C208">
        <v>0</v>
      </c>
      <c r="D208" t="s">
        <v>523</v>
      </c>
      <c r="E208" t="s">
        <v>506</v>
      </c>
      <c r="F208" t="s">
        <v>515</v>
      </c>
      <c r="M208"/>
    </row>
    <row r="209" spans="1:13" x14ac:dyDescent="0.35">
      <c r="A209" t="s">
        <v>2838</v>
      </c>
      <c r="B209" s="37" t="str">
        <f>INDEX(CONTROL[ENGLISH],MATCH(PROPERTIES[[#This Row],[VEHIDCODE]],CONTROL[VEHIDCODE],0))</f>
        <v>GE G22</v>
      </c>
      <c r="C209">
        <v>0</v>
      </c>
      <c r="D209" t="s">
        <v>523</v>
      </c>
      <c r="E209" t="s">
        <v>506</v>
      </c>
      <c r="F209" t="s">
        <v>515</v>
      </c>
      <c r="M209"/>
    </row>
    <row r="210" spans="1:13" x14ac:dyDescent="0.35">
      <c r="A210" t="s">
        <v>2839</v>
      </c>
      <c r="B210" s="37" t="str">
        <f>INDEX(CONTROL[ENGLISH],MATCH(PROPERTIES[[#This Row],[VEHIDCODE]],CONTROL[VEHIDCODE],0))</f>
        <v>EMD DDA40X</v>
      </c>
      <c r="C210">
        <v>0</v>
      </c>
      <c r="D210" t="s">
        <v>523</v>
      </c>
      <c r="E210" t="s">
        <v>509</v>
      </c>
      <c r="F210" t="s">
        <v>515</v>
      </c>
      <c r="M210"/>
    </row>
    <row r="211" spans="1:13" x14ac:dyDescent="0.35">
      <c r="A211" t="s">
        <v>2840</v>
      </c>
      <c r="B211" s="37" t="str">
        <f>INDEX(CONTROL[ENGLISH],MATCH(PROPERTIES[[#This Row],[VEHIDCODE]],CONTROL[VEHIDCODE],0))</f>
        <v>EMD/Clyde GL26C</v>
      </c>
      <c r="C211">
        <v>0</v>
      </c>
      <c r="D211" t="s">
        <v>523</v>
      </c>
      <c r="E211" t="s">
        <v>506</v>
      </c>
      <c r="F211" t="s">
        <v>515</v>
      </c>
      <c r="M211"/>
    </row>
    <row r="212" spans="1:13" x14ac:dyDescent="0.35">
      <c r="A212" t="s">
        <v>2841</v>
      </c>
      <c r="B212" s="37" t="str">
        <f>INDEX(CONTROL[ENGLISH],MATCH(PROPERTIES[[#This Row],[VEHIDCODE]],CONTROL[VEHIDCODE],0))</f>
        <v>EMD G26</v>
      </c>
      <c r="C212">
        <v>0</v>
      </c>
      <c r="D212" t="s">
        <v>523</v>
      </c>
      <c r="E212" t="s">
        <v>506</v>
      </c>
      <c r="F212" t="s">
        <v>515</v>
      </c>
      <c r="M212"/>
    </row>
    <row r="213" spans="1:13" x14ac:dyDescent="0.35">
      <c r="A213" t="s">
        <v>2842</v>
      </c>
      <c r="B213" s="37" t="str">
        <f>INDEX(CONTROL[ENGLISH],MATCH(PROPERTIES[[#This Row],[VEHIDCODE]],CONTROL[VEHIDCODE],0))</f>
        <v>Henschel TGOJ V4</v>
      </c>
      <c r="C213">
        <v>0</v>
      </c>
      <c r="D213" t="s">
        <v>523</v>
      </c>
      <c r="E213" t="s">
        <v>506</v>
      </c>
      <c r="F213" t="s">
        <v>515</v>
      </c>
      <c r="M213"/>
    </row>
    <row r="214" spans="1:13" x14ac:dyDescent="0.35">
      <c r="A214" t="s">
        <v>2843</v>
      </c>
      <c r="B214" s="37" t="str">
        <f>INDEX(CONTROL[ENGLISH],MATCH(PROPERTIES[[#This Row],[VEHIDCODE]],CONTROL[VEHIDCODE],0))</f>
        <v>MLW M420W</v>
      </c>
      <c r="C214">
        <v>0</v>
      </c>
      <c r="D214" t="s">
        <v>523</v>
      </c>
      <c r="E214" t="s">
        <v>506</v>
      </c>
      <c r="F214" t="s">
        <v>515</v>
      </c>
      <c r="M214"/>
    </row>
    <row r="215" spans="1:13" x14ac:dyDescent="0.35">
      <c r="A215" t="s">
        <v>2844</v>
      </c>
      <c r="B215" s="37" t="str">
        <f>INDEX(CONTROL[ENGLISH],MATCH(PROPERTIES[[#This Row],[VEHIDCODE]],CONTROL[VEHIDCODE],0))</f>
        <v>EMD SDP-40F</v>
      </c>
      <c r="C215">
        <v>-3</v>
      </c>
      <c r="D215" t="s">
        <v>523</v>
      </c>
      <c r="E215" t="s">
        <v>513</v>
      </c>
      <c r="F215" t="s">
        <v>520</v>
      </c>
      <c r="M215"/>
    </row>
    <row r="216" spans="1:13" x14ac:dyDescent="0.35">
      <c r="A216" t="s">
        <v>2845</v>
      </c>
      <c r="B216" s="37" t="str">
        <f>INDEX(CONTROL[ENGLISH],MATCH(PROPERTIES[[#This Row],[VEHIDCODE]],CONTROL[VEHIDCODE],0))</f>
        <v>Sifang DFH3</v>
      </c>
      <c r="C216">
        <v>0</v>
      </c>
      <c r="D216" t="s">
        <v>523</v>
      </c>
      <c r="E216" t="s">
        <v>506</v>
      </c>
      <c r="F216" t="s">
        <v>515</v>
      </c>
      <c r="M216"/>
    </row>
    <row r="217" spans="1:13" x14ac:dyDescent="0.35">
      <c r="A217" t="s">
        <v>2846</v>
      </c>
      <c r="B217" s="37" t="str">
        <f>INDEX(CONTROL[ENGLISH],MATCH(PROPERTIES[[#This Row],[VEHIDCODE]],CONTROL[VEHIDCODE],0))</f>
        <v>EMD F40PH</v>
      </c>
      <c r="C217">
        <v>0</v>
      </c>
      <c r="D217" t="s">
        <v>523</v>
      </c>
      <c r="E217" t="s">
        <v>513</v>
      </c>
      <c r="F217" t="s">
        <v>520</v>
      </c>
      <c r="M217"/>
    </row>
    <row r="218" spans="1:13" x14ac:dyDescent="0.35">
      <c r="A218" t="s">
        <v>2847</v>
      </c>
      <c r="B218" s="37" t="str">
        <f>INDEX(CONTROL[ENGLISH],MATCH(PROPERTIES[[#This Row],[VEHIDCODE]],CONTROL[VEHIDCODE],0))</f>
        <v>Sorefame/Alsthom 1900</v>
      </c>
      <c r="C218">
        <v>0</v>
      </c>
      <c r="D218" t="s">
        <v>523</v>
      </c>
      <c r="E218" t="s">
        <v>506</v>
      </c>
      <c r="F218" t="s">
        <v>515</v>
      </c>
      <c r="M218"/>
    </row>
    <row r="219" spans="1:13" x14ac:dyDescent="0.35">
      <c r="A219" t="s">
        <v>2848</v>
      </c>
      <c r="B219" s="37" t="str">
        <f>INDEX(CONTROL[ENGLISH],MATCH(PROPERTIES[[#This Row],[VEHIDCODE]],CONTROL[VEHIDCODE],0))</f>
        <v>Valmet Oy Dr16</v>
      </c>
      <c r="C219">
        <v>0</v>
      </c>
      <c r="D219" t="s">
        <v>523</v>
      </c>
      <c r="E219" t="s">
        <v>506</v>
      </c>
      <c r="F219" t="s">
        <v>515</v>
      </c>
      <c r="M219"/>
    </row>
    <row r="220" spans="1:13" x14ac:dyDescent="0.35">
      <c r="A220" t="s">
        <v>2849</v>
      </c>
      <c r="B220" s="37" t="str">
        <f>INDEX(CONTROL[ENGLISH],MATCH(PROPERTIES[[#This Row],[VEHIDCODE]],CONTROL[VEHIDCODE],0))</f>
        <v>Kolomna TEP80</v>
      </c>
      <c r="C220">
        <v>0</v>
      </c>
      <c r="D220" t="s">
        <v>523</v>
      </c>
      <c r="E220" t="s">
        <v>506</v>
      </c>
      <c r="F220" t="s">
        <v>515</v>
      </c>
      <c r="M220"/>
    </row>
    <row r="221" spans="1:13" x14ac:dyDescent="0.35">
      <c r="A221" t="s">
        <v>2850</v>
      </c>
      <c r="B221" s="37" t="str">
        <f>INDEX(CONTROL[ENGLISH],MATCH(PROPERTIES[[#This Row],[VEHIDCODE]],CONTROL[VEHIDCODE],0))</f>
        <v>EMD/Clyde JT46C</v>
      </c>
      <c r="C221">
        <v>0</v>
      </c>
      <c r="D221" t="s">
        <v>523</v>
      </c>
      <c r="E221" t="s">
        <v>506</v>
      </c>
      <c r="F221" t="s">
        <v>515</v>
      </c>
      <c r="M221"/>
    </row>
    <row r="222" spans="1:13" x14ac:dyDescent="0.35">
      <c r="A222" t="s">
        <v>2851</v>
      </c>
      <c r="B222" s="37" t="str">
        <f>INDEX(CONTROL[ENGLISH],MATCH(PROPERTIES[[#This Row],[VEHIDCODE]],CONTROL[VEHIDCODE],0))</f>
        <v>GE P42DC 'Genesis'</v>
      </c>
      <c r="C222">
        <v>0</v>
      </c>
      <c r="D222" t="s">
        <v>523</v>
      </c>
      <c r="E222" t="s">
        <v>513</v>
      </c>
      <c r="F222" t="s">
        <v>520</v>
      </c>
      <c r="M222"/>
    </row>
    <row r="223" spans="1:13" x14ac:dyDescent="0.35">
      <c r="A223" t="s">
        <v>2852</v>
      </c>
      <c r="B223" s="37" t="str">
        <f>INDEX(CONTROL[ENGLISH],MATCH(PROPERTIES[[#This Row],[VEHIDCODE]],CONTROL[VEHIDCODE],0))</f>
        <v>Tulomsas TCDD DH7000</v>
      </c>
      <c r="C223">
        <v>0</v>
      </c>
      <c r="D223" t="s">
        <v>523</v>
      </c>
      <c r="E223" t="s">
        <v>506</v>
      </c>
      <c r="F223" t="s">
        <v>515</v>
      </c>
      <c r="M223"/>
    </row>
    <row r="224" spans="1:13" x14ac:dyDescent="0.35">
      <c r="A224" t="s">
        <v>2853</v>
      </c>
      <c r="B224" s="37" t="str">
        <f>INDEX(CONTROL[ENGLISH],MATCH(PROPERTIES[[#This Row],[VEHIDCODE]],CONTROL[VEHIDCODE],0))</f>
        <v>GE U20C</v>
      </c>
      <c r="C224">
        <v>0</v>
      </c>
      <c r="D224" t="s">
        <v>523</v>
      </c>
      <c r="E224" t="s">
        <v>506</v>
      </c>
      <c r="F224" t="s">
        <v>515</v>
      </c>
      <c r="M224"/>
    </row>
    <row r="225" spans="1:13" x14ac:dyDescent="0.35">
      <c r="A225" t="s">
        <v>3434</v>
      </c>
      <c r="B225" s="37" t="str">
        <f>INDEX(CONTROL[ENGLISH],MATCH(PROPERTIES[[#This Row],[VEHIDCODE]],CONTROL[VEHIDCODE],0))</f>
        <v>Vossloh Siemens serie 77/78</v>
      </c>
      <c r="C225">
        <v>0</v>
      </c>
      <c r="D225" t="s">
        <v>523</v>
      </c>
      <c r="E225" t="s">
        <v>506</v>
      </c>
      <c r="F225" t="s">
        <v>515</v>
      </c>
      <c r="M225"/>
    </row>
    <row r="226" spans="1:13" x14ac:dyDescent="0.35">
      <c r="A226" t="s">
        <v>2854</v>
      </c>
      <c r="B226" s="37" t="str">
        <f>INDEX(CONTROL[ENGLISH],MATCH(PROPERTIES[[#This Row],[VEHIDCODE]],CONTROL[VEHIDCODE],0))</f>
        <v>EMD JT42CWRM</v>
      </c>
      <c r="C226">
        <v>0</v>
      </c>
      <c r="D226" t="s">
        <v>523</v>
      </c>
      <c r="E226" t="s">
        <v>506</v>
      </c>
      <c r="F226" t="s">
        <v>515</v>
      </c>
      <c r="M226"/>
    </row>
    <row r="227" spans="1:13" x14ac:dyDescent="0.35">
      <c r="A227" t="s">
        <v>2855</v>
      </c>
      <c r="B227" s="37" t="str">
        <f>INDEX(CONTROL[ENGLISH],MATCH(PROPERTIES[[#This Row],[VEHIDCODE]],CONTROL[VEHIDCODE],0))</f>
        <v>EMD JT42HW-HS</v>
      </c>
      <c r="C227">
        <v>0</v>
      </c>
      <c r="D227" t="s">
        <v>523</v>
      </c>
      <c r="E227" t="s">
        <v>506</v>
      </c>
      <c r="F227" t="s">
        <v>515</v>
      </c>
      <c r="M227"/>
    </row>
    <row r="228" spans="1:13" x14ac:dyDescent="0.35">
      <c r="A228" t="s">
        <v>2856</v>
      </c>
      <c r="B228" s="37" t="str">
        <f>INDEX(CONTROL[ENGLISH],MATCH(PROPERTIES[[#This Row],[VEHIDCODE]],CONTROL[VEHIDCODE],0))</f>
        <v>Alstom DE43CA 'Prima'</v>
      </c>
      <c r="C228">
        <v>0</v>
      </c>
      <c r="D228" t="s">
        <v>523</v>
      </c>
      <c r="E228" t="s">
        <v>506</v>
      </c>
      <c r="F228" t="s">
        <v>515</v>
      </c>
      <c r="M228"/>
    </row>
    <row r="229" spans="1:13" x14ac:dyDescent="0.35">
      <c r="A229" t="s">
        <v>2857</v>
      </c>
      <c r="B229" s="37" t="str">
        <f>INDEX(CONTROL[ENGLISH],MATCH(PROPERTIES[[#This Row],[VEHIDCODE]],CONTROL[VEHIDCODE],0))</f>
        <v>LTZ TEP150</v>
      </c>
      <c r="C229">
        <v>0</v>
      </c>
      <c r="D229" t="s">
        <v>523</v>
      </c>
      <c r="E229" t="s">
        <v>506</v>
      </c>
      <c r="F229" t="s">
        <v>515</v>
      </c>
      <c r="M229"/>
    </row>
    <row r="230" spans="1:13" x14ac:dyDescent="0.35">
      <c r="A230" t="s">
        <v>2858</v>
      </c>
      <c r="B230" s="37" t="str">
        <f>INDEX(CONTROL[ENGLISH],MATCH(PROPERTIES[[#This Row],[VEHIDCODE]],CONTROL[VEHIDCODE],0))</f>
        <v>GE/CRRC Qishuyan ES59ACi</v>
      </c>
      <c r="C230">
        <v>0</v>
      </c>
      <c r="D230" t="s">
        <v>523</v>
      </c>
      <c r="E230" t="s">
        <v>506</v>
      </c>
      <c r="F230" t="s">
        <v>515</v>
      </c>
      <c r="M230"/>
    </row>
    <row r="231" spans="1:13" x14ac:dyDescent="0.35">
      <c r="A231" t="s">
        <v>2859</v>
      </c>
      <c r="B231" s="37" t="str">
        <f>INDEX(CONTROL[ENGLISH],MATCH(PROPERTIES[[#This Row],[VEHIDCODE]],CONTROL[VEHIDCODE],0))</f>
        <v>Voith Gravita 10 BB</v>
      </c>
      <c r="C231">
        <v>0</v>
      </c>
      <c r="D231" t="s">
        <v>523</v>
      </c>
      <c r="E231" t="s">
        <v>506</v>
      </c>
      <c r="F231" t="s">
        <v>515</v>
      </c>
      <c r="M231"/>
    </row>
    <row r="232" spans="1:13" x14ac:dyDescent="0.35">
      <c r="A232" t="s">
        <v>2860</v>
      </c>
      <c r="B232" s="37" t="str">
        <f>INDEX(CONTROL[ENGLISH],MATCH(PROPERTIES[[#This Row],[VEHIDCODE]],CONTROL[VEHIDCODE],0))</f>
        <v>Voronezh/VNIIZHT GT1</v>
      </c>
      <c r="C232">
        <v>0</v>
      </c>
      <c r="D232" t="s">
        <v>523</v>
      </c>
      <c r="E232" t="s">
        <v>513</v>
      </c>
      <c r="F232" t="s">
        <v>519</v>
      </c>
      <c r="M232"/>
    </row>
    <row r="233" spans="1:13" x14ac:dyDescent="0.35">
      <c r="A233" t="s">
        <v>2861</v>
      </c>
      <c r="B233" s="37" t="str">
        <f>INDEX(CONTROL[ENGLISH],MATCH(PROPERTIES[[#This Row],[VEHIDCODE]],CONTROL[VEHIDCODE],0))</f>
        <v>Siemens ER20 'Eurorunner'</v>
      </c>
      <c r="C233">
        <v>0</v>
      </c>
      <c r="D233" t="s">
        <v>523</v>
      </c>
      <c r="E233" t="s">
        <v>506</v>
      </c>
      <c r="F233" t="s">
        <v>515</v>
      </c>
      <c r="M233"/>
    </row>
    <row r="234" spans="1:13" x14ac:dyDescent="0.35">
      <c r="A234" t="s">
        <v>2862</v>
      </c>
      <c r="B234" s="37" t="str">
        <f>INDEX(CONTROL[ENGLISH],MATCH(PROPERTIES[[#This Row],[VEHIDCODE]],CONTROL[VEHIDCODE],0))</f>
        <v>Voith Maxima 40 CC</v>
      </c>
      <c r="C234">
        <v>0</v>
      </c>
      <c r="D234" t="s">
        <v>523</v>
      </c>
      <c r="E234" t="s">
        <v>506</v>
      </c>
      <c r="F234" t="s">
        <v>515</v>
      </c>
      <c r="M234"/>
    </row>
    <row r="235" spans="1:13" x14ac:dyDescent="0.35">
      <c r="A235" t="s">
        <v>2863</v>
      </c>
      <c r="B235" s="37" t="str">
        <f>INDEX(CONTROL[ENGLISH],MATCH(PROPERTIES[[#This Row],[VEHIDCODE]],CONTROL[VEHIDCODE],0))</f>
        <v>Hohenzollern Emch3</v>
      </c>
      <c r="C235">
        <v>0</v>
      </c>
      <c r="D235" t="s">
        <v>523</v>
      </c>
      <c r="E235" t="s">
        <v>513</v>
      </c>
      <c r="F235" t="s">
        <v>517</v>
      </c>
      <c r="M235"/>
    </row>
    <row r="236" spans="1:13" x14ac:dyDescent="0.35">
      <c r="A236" t="s">
        <v>2864</v>
      </c>
      <c r="B236" s="37" t="str">
        <f>INDEX(CONTROL[ENGLISH],MATCH(PROPERTIES[[#This Row],[VEHIDCODE]],CONTROL[VEHIDCODE],0))</f>
        <v>Canadian Locomotive Company V-1</v>
      </c>
      <c r="C236">
        <v>0</v>
      </c>
      <c r="D236" t="s">
        <v>523</v>
      </c>
      <c r="E236" t="s">
        <v>513</v>
      </c>
      <c r="F236" t="s">
        <v>519</v>
      </c>
      <c r="M236"/>
    </row>
    <row r="237" spans="1:13" x14ac:dyDescent="0.35">
      <c r="A237" t="s">
        <v>2865</v>
      </c>
      <c r="B237" s="37" t="str">
        <f>INDEX(CONTROL[ENGLISH],MATCH(PROPERTIES[[#This Row],[VEHIDCODE]],CONTROL[VEHIDCODE],0))</f>
        <v>LMS 7051 Diesel Shunter</v>
      </c>
      <c r="C237">
        <v>0</v>
      </c>
      <c r="D237" t="s">
        <v>523</v>
      </c>
      <c r="E237" t="s">
        <v>513</v>
      </c>
      <c r="F237" t="s">
        <v>517</v>
      </c>
      <c r="M237"/>
    </row>
    <row r="238" spans="1:13" x14ac:dyDescent="0.35">
      <c r="A238" t="s">
        <v>2866</v>
      </c>
      <c r="B238" s="37" t="str">
        <f>INDEX(CONTROL[ENGLISH],MATCH(PROPERTIES[[#This Row],[VEHIDCODE]],CONTROL[VEHIDCODE],0))</f>
        <v>EMC TA</v>
      </c>
      <c r="C238">
        <v>0</v>
      </c>
      <c r="D238" t="s">
        <v>523</v>
      </c>
      <c r="E238" t="s">
        <v>506</v>
      </c>
      <c r="F238" t="s">
        <v>515</v>
      </c>
      <c r="M238"/>
    </row>
    <row r="239" spans="1:13" x14ac:dyDescent="0.35">
      <c r="A239" t="s">
        <v>2867</v>
      </c>
      <c r="B239" s="37" t="str">
        <f>INDEX(CONTROL[ENGLISH],MATCH(PROPERTIES[[#This Row],[VEHIDCODE]],CONTROL[VEHIDCODE],0))</f>
        <v>Baldwin VO-660</v>
      </c>
      <c r="C239">
        <v>0</v>
      </c>
      <c r="D239" t="s">
        <v>523</v>
      </c>
      <c r="E239" t="s">
        <v>506</v>
      </c>
      <c r="F239" t="s">
        <v>515</v>
      </c>
      <c r="M239"/>
    </row>
    <row r="240" spans="1:13" x14ac:dyDescent="0.35">
      <c r="A240" t="s">
        <v>2868</v>
      </c>
      <c r="B240" s="37" t="str">
        <f>INDEX(CONTROL[ENGLISH],MATCH(PROPERTIES[[#This Row],[VEHIDCODE]],CONTROL[VEHIDCODE],0))</f>
        <v>LMS No. 7080 'D3/7'</v>
      </c>
      <c r="C240">
        <v>0</v>
      </c>
      <c r="D240" t="s">
        <v>523</v>
      </c>
      <c r="E240" t="s">
        <v>513</v>
      </c>
      <c r="F240" t="s">
        <v>517</v>
      </c>
      <c r="M240"/>
    </row>
    <row r="241" spans="1:13" x14ac:dyDescent="0.35">
      <c r="A241" t="s">
        <v>2869</v>
      </c>
      <c r="B241" s="37" t="str">
        <f>INDEX(CONTROL[ENGLISH],MATCH(PROPERTIES[[#This Row],[VEHIDCODE]],CONTROL[VEHIDCODE],0))</f>
        <v>Queensland Railways DL</v>
      </c>
      <c r="C241">
        <v>0</v>
      </c>
      <c r="D241" t="s">
        <v>523</v>
      </c>
      <c r="E241" t="s">
        <v>513</v>
      </c>
      <c r="F241" t="s">
        <v>517</v>
      </c>
      <c r="M241"/>
    </row>
    <row r="242" spans="1:13" x14ac:dyDescent="0.35">
      <c r="A242" t="s">
        <v>2870</v>
      </c>
      <c r="B242" s="37" t="str">
        <f>INDEX(CONTROL[ENGLISH],MATCH(PROPERTIES[[#This Row],[VEHIDCODE]],CONTROL[VEHIDCODE],0))</f>
        <v>FM H-10-44</v>
      </c>
      <c r="C242">
        <v>0</v>
      </c>
      <c r="D242" t="s">
        <v>523</v>
      </c>
      <c r="E242" t="s">
        <v>506</v>
      </c>
      <c r="F242" t="s">
        <v>515</v>
      </c>
      <c r="M242"/>
    </row>
    <row r="243" spans="1:13" x14ac:dyDescent="0.35">
      <c r="A243" t="s">
        <v>2871</v>
      </c>
      <c r="B243" s="37" t="str">
        <f>INDEX(CONTROL[ENGLISH],MATCH(PROPERTIES[[#This Row],[VEHIDCODE]],CONTROL[VEHIDCODE],0))</f>
        <v>Baldwin DRS6-4-1000</v>
      </c>
      <c r="C243">
        <v>0</v>
      </c>
      <c r="D243" t="s">
        <v>523</v>
      </c>
      <c r="E243" t="s">
        <v>506</v>
      </c>
      <c r="F243" t="s">
        <v>515</v>
      </c>
      <c r="M243"/>
    </row>
    <row r="244" spans="1:13" x14ac:dyDescent="0.35">
      <c r="A244" t="s">
        <v>2872</v>
      </c>
      <c r="B244" s="37" t="str">
        <f>INDEX(CONTROL[ENGLISH],MATCH(PROPERTIES[[#This Row],[VEHIDCODE]],CONTROL[VEHIDCODE],0))</f>
        <v>CIE 113</v>
      </c>
      <c r="C244">
        <v>0</v>
      </c>
      <c r="D244" t="s">
        <v>523</v>
      </c>
      <c r="E244" t="s">
        <v>506</v>
      </c>
      <c r="F244" t="s">
        <v>515</v>
      </c>
      <c r="M244"/>
    </row>
    <row r="245" spans="1:13" x14ac:dyDescent="0.35">
      <c r="A245" t="s">
        <v>2873</v>
      </c>
      <c r="B245" s="37" t="str">
        <f>INDEX(CONTROL[ENGLISH],MATCH(PROPERTIES[[#This Row],[VEHIDCODE]],CONTROL[VEHIDCODE],0))</f>
        <v>Baldwin AS-616</v>
      </c>
      <c r="C245">
        <v>0</v>
      </c>
      <c r="D245" t="s">
        <v>523</v>
      </c>
      <c r="E245" t="s">
        <v>506</v>
      </c>
      <c r="F245" t="s">
        <v>515</v>
      </c>
      <c r="M245"/>
    </row>
    <row r="246" spans="1:13" x14ac:dyDescent="0.35">
      <c r="A246" t="s">
        <v>2874</v>
      </c>
      <c r="B246" s="37" t="str">
        <f>INDEX(CONTROL[ENGLISH],MATCH(PROPERTIES[[#This Row],[VEHIDCODE]],CONTROL[VEHIDCODE],0))</f>
        <v>FM H-16-44</v>
      </c>
      <c r="C246">
        <v>0</v>
      </c>
      <c r="D246" t="s">
        <v>523</v>
      </c>
      <c r="E246" t="s">
        <v>506</v>
      </c>
      <c r="F246" t="s">
        <v>515</v>
      </c>
      <c r="M246"/>
    </row>
    <row r="247" spans="1:13" x14ac:dyDescent="0.35">
      <c r="A247" t="s">
        <v>2875</v>
      </c>
      <c r="B247" s="37" t="str">
        <f>INDEX(CONTROL[ENGLISH],MATCH(PROPERTIES[[#This Row],[VEHIDCODE]],CONTROL[VEHIDCODE],0))</f>
        <v>Islington Railway Workshops SAR 900</v>
      </c>
      <c r="C247">
        <v>0</v>
      </c>
      <c r="D247" t="s">
        <v>523</v>
      </c>
      <c r="E247" t="s">
        <v>506</v>
      </c>
      <c r="F247" t="s">
        <v>515</v>
      </c>
      <c r="M247"/>
    </row>
    <row r="248" spans="1:13" x14ac:dyDescent="0.35">
      <c r="A248" t="s">
        <v>2876</v>
      </c>
      <c r="B248" s="37" t="str">
        <f>INDEX(CONTROL[ENGLISH],MATCH(PROPERTIES[[#This Row],[VEHIDCODE]],CONTROL[VEHIDCODE],0))</f>
        <v>EMD G12</v>
      </c>
      <c r="C248">
        <v>0</v>
      </c>
      <c r="D248" t="s">
        <v>523</v>
      </c>
      <c r="E248" t="s">
        <v>506</v>
      </c>
      <c r="F248" t="s">
        <v>515</v>
      </c>
      <c r="M248"/>
    </row>
    <row r="249" spans="1:13" x14ac:dyDescent="0.35">
      <c r="A249" t="s">
        <v>2877</v>
      </c>
      <c r="B249" s="37" t="str">
        <f>INDEX(CONTROL[ENGLISH],MATCH(PROPERTIES[[#This Row],[VEHIDCODE]],CONTROL[VEHIDCODE],0))</f>
        <v>Metropolitan-Vickers/CIE 001</v>
      </c>
      <c r="C249">
        <v>0</v>
      </c>
      <c r="D249" t="s">
        <v>523</v>
      </c>
      <c r="E249" t="s">
        <v>506</v>
      </c>
      <c r="F249" t="s">
        <v>515</v>
      </c>
      <c r="M249"/>
    </row>
    <row r="250" spans="1:13" x14ac:dyDescent="0.35">
      <c r="A250" t="s">
        <v>2878</v>
      </c>
      <c r="B250" s="37" t="str">
        <f>INDEX(CONTROL[ENGLISH],MATCH(PROPERTIES[[#This Row],[VEHIDCODE]],CONTROL[VEHIDCODE],0))</f>
        <v>Fiat Grandi Motori D.341</v>
      </c>
      <c r="C250">
        <v>0</v>
      </c>
      <c r="D250" t="s">
        <v>523</v>
      </c>
      <c r="E250" t="s">
        <v>506</v>
      </c>
      <c r="F250" t="s">
        <v>515</v>
      </c>
      <c r="M250"/>
    </row>
    <row r="251" spans="1:13" x14ac:dyDescent="0.35">
      <c r="A251" t="s">
        <v>2879</v>
      </c>
      <c r="B251" s="37" t="str">
        <f>INDEX(CONTROL[ENGLISH],MATCH(PROPERTIES[[#This Row],[VEHIDCODE]],CONTROL[VEHIDCODE],0))</f>
        <v>ALCO/AE Goodwin DL-500B</v>
      </c>
      <c r="C251">
        <v>0</v>
      </c>
      <c r="D251" t="s">
        <v>523</v>
      </c>
      <c r="E251" t="s">
        <v>506</v>
      </c>
      <c r="F251" t="s">
        <v>515</v>
      </c>
      <c r="M251"/>
    </row>
    <row r="252" spans="1:13" x14ac:dyDescent="0.35">
      <c r="A252" t="s">
        <v>2880</v>
      </c>
      <c r="B252" s="37" t="str">
        <f>INDEX(CONTROL[ENGLISH],MATCH(PROPERTIES[[#This Row],[VEHIDCODE]],CONTROL[VEHIDCODE],0))</f>
        <v>Henschel DH-1420</v>
      </c>
      <c r="C252">
        <v>0</v>
      </c>
      <c r="D252" t="s">
        <v>523</v>
      </c>
      <c r="E252" t="s">
        <v>506</v>
      </c>
      <c r="F252" t="s">
        <v>515</v>
      </c>
      <c r="M252"/>
    </row>
    <row r="253" spans="1:13" x14ac:dyDescent="0.35">
      <c r="A253" t="s">
        <v>2881</v>
      </c>
      <c r="B253" s="37" t="str">
        <f>INDEX(CONTROL[ENGLISH],MATCH(PROPERTIES[[#This Row],[VEHIDCODE]],CONTROL[VEHIDCODE],0))</f>
        <v>EMD SD18</v>
      </c>
      <c r="C253">
        <v>0</v>
      </c>
      <c r="D253" t="s">
        <v>523</v>
      </c>
      <c r="E253" t="s">
        <v>506</v>
      </c>
      <c r="F253" t="s">
        <v>515</v>
      </c>
      <c r="M253"/>
    </row>
    <row r="254" spans="1:13" x14ac:dyDescent="0.35">
      <c r="A254" t="s">
        <v>2882</v>
      </c>
      <c r="B254" s="37" t="str">
        <f>INDEX(CONTROL[ENGLISH],MATCH(PROPERTIES[[#This Row],[VEHIDCODE]],CONTROL[VEHIDCODE],0))</f>
        <v>Fiat Grandi Motori D.345</v>
      </c>
      <c r="C254">
        <v>0</v>
      </c>
      <c r="D254" t="s">
        <v>523</v>
      </c>
      <c r="E254" t="s">
        <v>506</v>
      </c>
      <c r="F254" t="s">
        <v>515</v>
      </c>
      <c r="M254"/>
    </row>
    <row r="255" spans="1:13" x14ac:dyDescent="0.35">
      <c r="A255" t="s">
        <v>2883</v>
      </c>
      <c r="B255" s="37" t="str">
        <f>INDEX(CONTROL[ENGLISH],MATCH(PROPERTIES[[#This Row],[VEHIDCODE]],CONTROL[VEHIDCODE],0))</f>
        <v>Henschel Di4</v>
      </c>
      <c r="C255">
        <v>0</v>
      </c>
      <c r="D255" t="s">
        <v>523</v>
      </c>
      <c r="E255" t="s">
        <v>506</v>
      </c>
      <c r="F255" t="s">
        <v>515</v>
      </c>
      <c r="M255"/>
    </row>
    <row r="256" spans="1:13" x14ac:dyDescent="0.35">
      <c r="A256" t="s">
        <v>2884</v>
      </c>
      <c r="B256" s="37" t="str">
        <f>INDEX(CONTROL[ENGLISH],MATCH(PROPERTIES[[#This Row],[VEHIDCODE]],CONTROL[VEHIDCODE],0))</f>
        <v>Qishuyan DF8</v>
      </c>
      <c r="C256">
        <v>0</v>
      </c>
      <c r="D256" t="s">
        <v>523</v>
      </c>
      <c r="E256" t="s">
        <v>506</v>
      </c>
      <c r="F256" t="s">
        <v>515</v>
      </c>
      <c r="M256"/>
    </row>
    <row r="257" spans="1:13" x14ac:dyDescent="0.35">
      <c r="A257" t="s">
        <v>3443</v>
      </c>
      <c r="B257" s="37" t="str">
        <f>INDEX(CONTROL[ENGLISH],MATCH(PROPERTIES[[#This Row],[VEHIDCODE]],CONTROL[VEHIDCODE],0))</f>
        <v>EMD/Clyde JT26C-2SS</v>
      </c>
      <c r="C257">
        <v>0</v>
      </c>
      <c r="D257" t="s">
        <v>523</v>
      </c>
      <c r="E257" t="s">
        <v>506</v>
      </c>
      <c r="F257" t="s">
        <v>515</v>
      </c>
      <c r="M257"/>
    </row>
    <row r="258" spans="1:13" x14ac:dyDescent="0.35">
      <c r="A258" t="s">
        <v>2885</v>
      </c>
      <c r="B258" s="37" t="str">
        <f>INDEX(CONTROL[ENGLISH],MATCH(PROPERTIES[[#This Row],[VEHIDCODE]],CONTROL[VEHIDCODE],0))</f>
        <v>Brush Class 60</v>
      </c>
      <c r="C258">
        <v>0</v>
      </c>
      <c r="D258" t="s">
        <v>523</v>
      </c>
      <c r="E258" t="s">
        <v>506</v>
      </c>
      <c r="F258" t="s">
        <v>515</v>
      </c>
      <c r="M258"/>
    </row>
    <row r="259" spans="1:13" x14ac:dyDescent="0.35">
      <c r="A259" t="s">
        <v>2886</v>
      </c>
      <c r="B259" s="37" t="str">
        <f>INDEX(CONTROL[ENGLISH],MATCH(PROPERTIES[[#This Row],[VEHIDCODE]],CONTROL[VEHIDCODE],0))</f>
        <v>GE/Goninan CM25-8</v>
      </c>
      <c r="C259">
        <v>0</v>
      </c>
      <c r="D259" t="s">
        <v>523</v>
      </c>
      <c r="E259" t="s">
        <v>506</v>
      </c>
      <c r="F259" t="s">
        <v>515</v>
      </c>
      <c r="M259"/>
    </row>
    <row r="260" spans="1:13" x14ac:dyDescent="0.35">
      <c r="A260" t="s">
        <v>2887</v>
      </c>
      <c r="B260" s="37" t="str">
        <f>INDEX(CONTROL[ENGLISH],MATCH(PROPERTIES[[#This Row],[VEHIDCODE]],CONTROL[VEHIDCODE],0))</f>
        <v>EMD SD70ACS</v>
      </c>
      <c r="C260">
        <v>0</v>
      </c>
      <c r="D260" t="s">
        <v>523</v>
      </c>
      <c r="E260" t="s">
        <v>506</v>
      </c>
      <c r="F260" t="s">
        <v>515</v>
      </c>
      <c r="M260"/>
    </row>
    <row r="261" spans="1:13" x14ac:dyDescent="0.35">
      <c r="A261" t="s">
        <v>2888</v>
      </c>
      <c r="B261" s="37" t="str">
        <f>INDEX(CONTROL[ENGLISH],MATCH(PROPERTIES[[#This Row],[VEHIDCODE]],CONTROL[VEHIDCODE],0))</f>
        <v>GMD JT42HCW</v>
      </c>
      <c r="C261">
        <v>0</v>
      </c>
      <c r="D261" t="s">
        <v>523</v>
      </c>
      <c r="E261" t="s">
        <v>506</v>
      </c>
      <c r="F261" t="s">
        <v>515</v>
      </c>
      <c r="M261"/>
    </row>
    <row r="262" spans="1:13" x14ac:dyDescent="0.35">
      <c r="A262" t="s">
        <v>2889</v>
      </c>
      <c r="B262" s="37" t="str">
        <f>INDEX(CONTROL[ENGLISH],MATCH(PROPERTIES[[#This Row],[VEHIDCODE]],CONTROL[VEHIDCODE],0))</f>
        <v>EMD F59PH</v>
      </c>
      <c r="C262">
        <v>0</v>
      </c>
      <c r="D262" t="s">
        <v>523</v>
      </c>
      <c r="E262" t="s">
        <v>506</v>
      </c>
      <c r="F262" t="s">
        <v>515</v>
      </c>
      <c r="M262"/>
    </row>
    <row r="263" spans="1:13" x14ac:dyDescent="0.35">
      <c r="A263" t="s">
        <v>2890</v>
      </c>
      <c r="B263" s="37" t="str">
        <f>INDEX(CONTROL[ENGLISH],MATCH(PROPERTIES[[#This Row],[VEHIDCODE]],CONTROL[VEHIDCODE],0))</f>
        <v>MaK/Vossloh G1206</v>
      </c>
      <c r="C263">
        <v>0</v>
      </c>
      <c r="D263" t="s">
        <v>523</v>
      </c>
      <c r="E263" t="s">
        <v>506</v>
      </c>
      <c r="F263" t="s">
        <v>515</v>
      </c>
      <c r="M263"/>
    </row>
    <row r="264" spans="1:13" x14ac:dyDescent="0.35">
      <c r="A264" t="s">
        <v>2891</v>
      </c>
      <c r="B264" s="37" t="str">
        <f>INDEX(CONTROL[ENGLISH],MATCH(PROPERTIES[[#This Row],[VEHIDCODE]],CONTROL[VEHIDCODE],0))</f>
        <v>Vossloh G 2000 BB</v>
      </c>
      <c r="C264">
        <v>0</v>
      </c>
      <c r="D264" t="s">
        <v>523</v>
      </c>
      <c r="E264" t="s">
        <v>506</v>
      </c>
      <c r="F264" t="s">
        <v>515</v>
      </c>
      <c r="M264"/>
    </row>
    <row r="265" spans="1:13" x14ac:dyDescent="0.35">
      <c r="A265" t="s">
        <v>2892</v>
      </c>
      <c r="B265" s="37" t="str">
        <f>INDEX(CONTROL[ENGLISH],MATCH(PROPERTIES[[#This Row],[VEHIDCODE]],CONTROL[VEHIDCODE],0))</f>
        <v>MPI MP40PH-3C</v>
      </c>
      <c r="C265">
        <v>0</v>
      </c>
      <c r="D265" t="s">
        <v>523</v>
      </c>
      <c r="E265" t="s">
        <v>506</v>
      </c>
      <c r="F265" t="s">
        <v>515</v>
      </c>
      <c r="M265"/>
    </row>
    <row r="266" spans="1:13" x14ac:dyDescent="0.35">
      <c r="A266" t="s">
        <v>3462</v>
      </c>
      <c r="B266" s="37" t="str">
        <f>INDEX(CONTROL[ENGLISH],MATCH(PROPERTIES[[#This Row],[VEHIDCODE]],CONTROL[VEHIDCODE],0))</f>
        <v>Vossloh Espana/EMD 334</v>
      </c>
      <c r="C266">
        <v>0</v>
      </c>
      <c r="D266" t="s">
        <v>523</v>
      </c>
      <c r="E266" t="s">
        <v>506</v>
      </c>
      <c r="F266" t="s">
        <v>515</v>
      </c>
      <c r="M266"/>
    </row>
    <row r="267" spans="1:13" x14ac:dyDescent="0.35">
      <c r="A267" t="s">
        <v>2893</v>
      </c>
      <c r="B267" s="37" t="str">
        <f>INDEX(CONTROL[ENGLISH],MATCH(PROPERTIES[[#This Row],[VEHIDCODE]],CONTROL[VEHIDCODE],0))</f>
        <v>INKA CC300</v>
      </c>
      <c r="C267">
        <v>0</v>
      </c>
      <c r="D267" t="s">
        <v>523</v>
      </c>
      <c r="E267" t="s">
        <v>506</v>
      </c>
      <c r="F267" t="s">
        <v>515</v>
      </c>
      <c r="M267"/>
    </row>
    <row r="268" spans="1:13" x14ac:dyDescent="0.35">
      <c r="A268" t="s">
        <v>2894</v>
      </c>
      <c r="B268" s="37" t="str">
        <f>INDEX(CONTROL[ENGLISH],MATCH(PROPERTIES[[#This Row],[VEHIDCODE]],CONTROL[VEHIDCODE],0))</f>
        <v>Great Southern Railway DH501</v>
      </c>
      <c r="C268">
        <v>0</v>
      </c>
      <c r="D268" t="s">
        <v>523</v>
      </c>
      <c r="E268" t="s">
        <v>513</v>
      </c>
      <c r="F268" t="s">
        <v>517</v>
      </c>
      <c r="M268"/>
    </row>
    <row r="269" spans="1:13" x14ac:dyDescent="0.35">
      <c r="A269" t="s">
        <v>2895</v>
      </c>
      <c r="B269" s="37" t="str">
        <f>INDEX(CONTROL[ENGLISH],MATCH(PROPERTIES[[#This Row],[VEHIDCODE]],CONTROL[VEHIDCODE],0))</f>
        <v>EE VFFLB</v>
      </c>
      <c r="C269">
        <v>0</v>
      </c>
      <c r="D269" t="s">
        <v>523</v>
      </c>
      <c r="E269" t="s">
        <v>506</v>
      </c>
      <c r="F269" t="s">
        <v>515</v>
      </c>
      <c r="M269"/>
    </row>
    <row r="270" spans="1:13" x14ac:dyDescent="0.35">
      <c r="A270" t="s">
        <v>2896</v>
      </c>
      <c r="B270" s="37" t="str">
        <f>INDEX(CONTROL[ENGLISH],MATCH(PROPERTIES[[#This Row],[VEHIDCODE]],CONTROL[VEHIDCODE],0))</f>
        <v>GE U5B</v>
      </c>
      <c r="C270">
        <v>0</v>
      </c>
      <c r="D270" t="s">
        <v>523</v>
      </c>
      <c r="E270" t="s">
        <v>506</v>
      </c>
      <c r="F270" t="s">
        <v>515</v>
      </c>
      <c r="M270"/>
    </row>
    <row r="271" spans="1:13" x14ac:dyDescent="0.35">
      <c r="A271" t="s">
        <v>2897</v>
      </c>
      <c r="B271" s="37" t="str">
        <f>INDEX(CONTROL[ENGLISH],MATCH(PROPERTIES[[#This Row],[VEHIDCODE]],CONTROL[VEHIDCODE],0))</f>
        <v>ALCO RSD-39</v>
      </c>
      <c r="C271">
        <v>0</v>
      </c>
      <c r="D271" t="s">
        <v>523</v>
      </c>
      <c r="E271" t="s">
        <v>506</v>
      </c>
      <c r="F271" t="s">
        <v>515</v>
      </c>
      <c r="M271"/>
    </row>
    <row r="272" spans="1:13" x14ac:dyDescent="0.35">
      <c r="A272" t="s">
        <v>2898</v>
      </c>
      <c r="B272" s="37" t="str">
        <f>INDEX(CONTROL[ENGLISH],MATCH(PROPERTIES[[#This Row],[VEHIDCODE]],CONTROL[VEHIDCODE],0))</f>
        <v>EMD DDM45</v>
      </c>
      <c r="C272">
        <v>0</v>
      </c>
      <c r="D272" t="s">
        <v>523</v>
      </c>
      <c r="E272" t="s">
        <v>506</v>
      </c>
      <c r="F272" t="s">
        <v>515</v>
      </c>
      <c r="M272"/>
    </row>
    <row r="273" spans="1:13" x14ac:dyDescent="0.35">
      <c r="A273" t="s">
        <v>2899</v>
      </c>
      <c r="B273" s="37" t="str">
        <f>INDEX(CONTROL[ENGLISH],MATCH(PROPERTIES[[#This Row],[VEHIDCODE]],CONTROL[VEHIDCODE],0))</f>
        <v>GE C39-8</v>
      </c>
      <c r="C273">
        <v>0</v>
      </c>
      <c r="D273" t="s">
        <v>523</v>
      </c>
      <c r="E273" t="s">
        <v>506</v>
      </c>
      <c r="F273" t="s">
        <v>515</v>
      </c>
      <c r="M273"/>
    </row>
    <row r="274" spans="1:13" x14ac:dyDescent="0.35">
      <c r="A274" t="s">
        <v>2900</v>
      </c>
      <c r="B274" s="37" t="str">
        <f>INDEX(CONTROL[ENGLISH],MATCH(PROPERTIES[[#This Row],[VEHIDCODE]],CONTROL[VEHIDCODE],0))</f>
        <v>Macosa-Meinfesa 319.3 J26 CW/HEP</v>
      </c>
      <c r="C274">
        <v>0</v>
      </c>
      <c r="D274" t="s">
        <v>523</v>
      </c>
      <c r="E274" t="s">
        <v>506</v>
      </c>
      <c r="F274" t="s">
        <v>515</v>
      </c>
      <c r="M274"/>
    </row>
    <row r="275" spans="1:13" x14ac:dyDescent="0.35">
      <c r="A275" t="s">
        <v>2901</v>
      </c>
      <c r="B275" s="37" t="str">
        <f>INDEX(CONTROL[ENGLISH],MATCH(PROPERTIES[[#This Row],[VEHIDCODE]],CONTROL[VEHIDCODE],0))</f>
        <v>CNR CKD8G</v>
      </c>
      <c r="C275">
        <v>0</v>
      </c>
      <c r="D275" t="s">
        <v>523</v>
      </c>
      <c r="E275" t="s">
        <v>506</v>
      </c>
      <c r="F275" t="s">
        <v>515</v>
      </c>
      <c r="M275"/>
    </row>
    <row r="276" spans="1:13" x14ac:dyDescent="0.35">
      <c r="A276" t="s">
        <v>2902</v>
      </c>
      <c r="B276" s="37" t="str">
        <f>INDEX(CONTROL[ENGLISH],MATCH(PROPERTIES[[#This Row],[VEHIDCODE]],CONTROL[VEHIDCODE],0))</f>
        <v>AEG SAR DS</v>
      </c>
      <c r="C276">
        <v>0</v>
      </c>
      <c r="D276" t="s">
        <v>523</v>
      </c>
      <c r="E276" t="s">
        <v>506</v>
      </c>
      <c r="F276" t="s">
        <v>515</v>
      </c>
      <c r="M276"/>
    </row>
    <row r="277" spans="1:13" x14ac:dyDescent="0.35">
      <c r="A277" t="s">
        <v>2903</v>
      </c>
      <c r="B277" s="37" t="str">
        <f>INDEX(CONTROL[ENGLISH],MATCH(PROPERTIES[[#This Row],[VEHIDCODE]],CONTROL[VEHIDCODE],0))</f>
        <v>GM GT26</v>
      </c>
      <c r="C277">
        <v>0</v>
      </c>
      <c r="D277" t="s">
        <v>523</v>
      </c>
      <c r="E277" t="s">
        <v>506</v>
      </c>
      <c r="F277" t="s">
        <v>515</v>
      </c>
      <c r="M277"/>
    </row>
    <row r="278" spans="1:13" x14ac:dyDescent="0.35">
      <c r="A278" t="s">
        <v>2904</v>
      </c>
      <c r="B278" s="37" t="str">
        <f>INDEX(CONTROL[ENGLISH],MATCH(PROPERTIES[[#This Row],[VEHIDCODE]],CONTROL[VEHIDCODE],0))</f>
        <v>EMD GL8 [040DF]</v>
      </c>
      <c r="C278">
        <v>0</v>
      </c>
      <c r="D278" t="s">
        <v>523</v>
      </c>
      <c r="E278" t="s">
        <v>506</v>
      </c>
      <c r="F278" t="s">
        <v>515</v>
      </c>
      <c r="M278"/>
    </row>
    <row r="279" spans="1:13" x14ac:dyDescent="0.35">
      <c r="A279" t="s">
        <v>2905</v>
      </c>
      <c r="B279" s="37" t="str">
        <f>INDEX(CONTROL[ENGLISH],MATCH(PROPERTIES[[#This Row],[VEHIDCODE]],CONTROL[VEHIDCODE],0))</f>
        <v>LTZ TE114E</v>
      </c>
      <c r="C279">
        <v>0</v>
      </c>
      <c r="D279" t="s">
        <v>523</v>
      </c>
      <c r="E279" t="s">
        <v>506</v>
      </c>
      <c r="F279" t="s">
        <v>515</v>
      </c>
      <c r="M279"/>
    </row>
    <row r="280" spans="1:13" x14ac:dyDescent="0.35">
      <c r="A280" t="s">
        <v>2906</v>
      </c>
      <c r="B280" s="37" t="str">
        <f>INDEX(CONTROL[ENGLISH],MATCH(PROPERTIES[[#This Row],[VEHIDCODE]],CONTROL[VEHIDCODE],0))</f>
        <v>GM G18</v>
      </c>
      <c r="C280">
        <v>0</v>
      </c>
      <c r="D280" t="s">
        <v>523</v>
      </c>
      <c r="E280" t="s">
        <v>506</v>
      </c>
      <c r="F280" t="s">
        <v>515</v>
      </c>
      <c r="M280"/>
    </row>
    <row r="281" spans="1:13" x14ac:dyDescent="0.35">
      <c r="A281" t="s">
        <v>2907</v>
      </c>
      <c r="B281" s="37" t="str">
        <f>INDEX(CONTROL[ENGLISH],MATCH(PROPERTIES[[#This Row],[VEHIDCODE]],CONTROL[VEHIDCODE],0))</f>
        <v>Alsthom CC 72000</v>
      </c>
      <c r="C281">
        <v>0</v>
      </c>
      <c r="D281" t="s">
        <v>523</v>
      </c>
      <c r="E281" t="s">
        <v>506</v>
      </c>
      <c r="F281" t="s">
        <v>515</v>
      </c>
      <c r="M281"/>
    </row>
    <row r="282" spans="1:13" x14ac:dyDescent="0.35">
      <c r="A282" t="s">
        <v>2908</v>
      </c>
      <c r="B282" s="37" t="str">
        <f>INDEX(CONTROL[ENGLISH],MATCH(PROPERTIES[[#This Row],[VEHIDCODE]],CONTROL[VEHIDCODE],0))</f>
        <v>LTZ TEP10L</v>
      </c>
      <c r="C282">
        <v>0</v>
      </c>
      <c r="D282" t="s">
        <v>523</v>
      </c>
      <c r="E282" t="s">
        <v>506</v>
      </c>
      <c r="F282" t="s">
        <v>515</v>
      </c>
      <c r="M282"/>
    </row>
    <row r="283" spans="1:13" x14ac:dyDescent="0.35">
      <c r="A283" t="s">
        <v>2909</v>
      </c>
      <c r="B283" s="37" t="str">
        <f>INDEX(CONTROL[ENGLISH],MATCH(PROPERTIES[[#This Row],[VEHIDCODE]],CONTROL[VEHIDCODE],0))</f>
        <v>LTZ 2TE10M</v>
      </c>
      <c r="C283">
        <v>0</v>
      </c>
      <c r="D283" t="s">
        <v>523</v>
      </c>
      <c r="E283" t="s">
        <v>513</v>
      </c>
      <c r="F283" t="s">
        <v>519</v>
      </c>
      <c r="M283"/>
    </row>
    <row r="284" spans="1:13" x14ac:dyDescent="0.35">
      <c r="A284" t="s">
        <v>2910</v>
      </c>
      <c r="B284" s="37" t="str">
        <f>INDEX(CONTROL[ENGLISH],MATCH(PROPERTIES[[#This Row],[VEHIDCODE]],CONTROL[VEHIDCODE],0))</f>
        <v>FAUR LDE1300</v>
      </c>
      <c r="C284">
        <v>0</v>
      </c>
      <c r="D284" t="s">
        <v>523</v>
      </c>
      <c r="E284" t="s">
        <v>506</v>
      </c>
      <c r="F284" t="s">
        <v>515</v>
      </c>
      <c r="M284"/>
    </row>
    <row r="285" spans="1:13" x14ac:dyDescent="0.35">
      <c r="A285" t="s">
        <v>2911</v>
      </c>
      <c r="B285" s="37" t="str">
        <f>INDEX(CONTROL[ENGLISH],MATCH(PROPERTIES[[#This Row],[VEHIDCODE]],CONTROL[VEHIDCODE],0))</f>
        <v>LTZ 2TE126</v>
      </c>
      <c r="C285">
        <v>0</v>
      </c>
      <c r="D285" t="s">
        <v>523</v>
      </c>
      <c r="E285" t="s">
        <v>508</v>
      </c>
      <c r="F285" t="s">
        <v>515</v>
      </c>
      <c r="M285"/>
    </row>
    <row r="286" spans="1:13" x14ac:dyDescent="0.35">
      <c r="A286" t="s">
        <v>2912</v>
      </c>
      <c r="B286" s="37" t="str">
        <f>INDEX(CONTROL[ENGLISH],MATCH(PROPERTIES[[#This Row],[VEHIDCODE]],CONTROL[VEHIDCODE],0))</f>
        <v>LTZ 2TE10Ut</v>
      </c>
      <c r="C286">
        <v>0</v>
      </c>
      <c r="D286" t="s">
        <v>523</v>
      </c>
      <c r="E286" t="s">
        <v>513</v>
      </c>
      <c r="F286" t="s">
        <v>519</v>
      </c>
      <c r="M286"/>
    </row>
    <row r="287" spans="1:13" x14ac:dyDescent="0.35">
      <c r="A287" t="s">
        <v>2913</v>
      </c>
      <c r="B287" s="37" t="str">
        <f>INDEX(CONTROL[ENGLISH],MATCH(PROPERTIES[[#This Row],[VEHIDCODE]],CONTROL[VEHIDCODE],0))</f>
        <v>CMKS 709 0-4-0DE</v>
      </c>
      <c r="C287">
        <v>0</v>
      </c>
      <c r="D287" t="s">
        <v>523</v>
      </c>
      <c r="E287" t="s">
        <v>506</v>
      </c>
      <c r="F287" t="s">
        <v>515</v>
      </c>
      <c r="M287"/>
    </row>
    <row r="288" spans="1:13" x14ac:dyDescent="0.35">
      <c r="A288" t="s">
        <v>2914</v>
      </c>
      <c r="B288" s="37" t="str">
        <f>INDEX(CONTROL[ENGLISH],MATCH(PROPERTIES[[#This Row],[VEHIDCODE]],CONTROL[VEHIDCODE],0))</f>
        <v>Antonio Badoni Lecco 'Sogliole' 207</v>
      </c>
      <c r="C288">
        <v>0</v>
      </c>
      <c r="D288" t="s">
        <v>523</v>
      </c>
      <c r="E288" t="s">
        <v>506</v>
      </c>
      <c r="F288" t="s">
        <v>515</v>
      </c>
      <c r="M288"/>
    </row>
    <row r="289" spans="1:13" x14ac:dyDescent="0.35">
      <c r="A289" t="s">
        <v>2915</v>
      </c>
      <c r="B289" s="37" t="str">
        <f>INDEX(CONTROL[ENGLISH],MATCH(PROPERTIES[[#This Row],[VEHIDCODE]],CONTROL[VEHIDCODE],0))</f>
        <v>Baldwin 0-6-6-0 1000</v>
      </c>
      <c r="C289">
        <v>0</v>
      </c>
      <c r="D289" t="s">
        <v>523</v>
      </c>
      <c r="E289" t="s">
        <v>506</v>
      </c>
      <c r="F289" t="s">
        <v>515</v>
      </c>
      <c r="M289"/>
    </row>
    <row r="290" spans="1:13" x14ac:dyDescent="0.35">
      <c r="A290" t="s">
        <v>2916</v>
      </c>
      <c r="B290" s="37" t="str">
        <f>INDEX(CONTROL[ENGLISH],MATCH(PROPERTIES[[#This Row],[VEHIDCODE]],CONTROL[VEHIDCODE],0))</f>
        <v>ALCO RSC-2</v>
      </c>
      <c r="C290">
        <v>0</v>
      </c>
      <c r="D290" t="s">
        <v>523</v>
      </c>
      <c r="E290" t="s">
        <v>506</v>
      </c>
      <c r="F290" t="s">
        <v>515</v>
      </c>
      <c r="M290"/>
    </row>
    <row r="291" spans="1:13" x14ac:dyDescent="0.35">
      <c r="A291" t="s">
        <v>2917</v>
      </c>
      <c r="B291" s="37" t="str">
        <f>INDEX(CONTROL[ENGLISH],MATCH(PROPERTIES[[#This Row],[VEHIDCODE]],CONTROL[VEHIDCODE],0))</f>
        <v>Brissonneau and Lotz BB 67400</v>
      </c>
      <c r="C291">
        <v>0</v>
      </c>
      <c r="D291" t="s">
        <v>523</v>
      </c>
      <c r="E291" t="s">
        <v>506</v>
      </c>
      <c r="F291" t="s">
        <v>515</v>
      </c>
      <c r="M291"/>
    </row>
    <row r="292" spans="1:13" x14ac:dyDescent="0.35">
      <c r="A292" t="s">
        <v>2918</v>
      </c>
      <c r="B292" s="37" t="str">
        <f>INDEX(CONTROL[ENGLISH],MATCH(PROPERTIES[[#This Row],[VEHIDCODE]],CONTROL[VEHIDCODE],0))</f>
        <v>MaK DE 6400</v>
      </c>
      <c r="C292">
        <v>0</v>
      </c>
      <c r="D292" t="s">
        <v>523</v>
      </c>
      <c r="E292" t="s">
        <v>506</v>
      </c>
      <c r="F292" t="s">
        <v>515</v>
      </c>
      <c r="M292"/>
    </row>
    <row r="293" spans="1:13" x14ac:dyDescent="0.35">
      <c r="A293" t="s">
        <v>2919</v>
      </c>
      <c r="B293" s="37" t="str">
        <f>INDEX(CONTROL[ENGLISH],MATCH(PROPERTIES[[#This Row],[VEHIDCODE]],CONTROL[VEHIDCODE],0))</f>
        <v>GE ES40ACi</v>
      </c>
      <c r="C293">
        <v>0</v>
      </c>
      <c r="D293" t="s">
        <v>523</v>
      </c>
      <c r="E293" t="s">
        <v>506</v>
      </c>
      <c r="F293" t="s">
        <v>515</v>
      </c>
      <c r="M293"/>
    </row>
    <row r="294" spans="1:13" x14ac:dyDescent="0.35">
      <c r="A294" t="s">
        <v>2920</v>
      </c>
      <c r="B294" s="37" t="str">
        <f>INDEX(CONTROL[ENGLISH],MATCH(PROPERTIES[[#This Row],[VEHIDCODE]],CONTROL[VEHIDCODE],0))</f>
        <v>Vossloh Afro 4000</v>
      </c>
      <c r="C294">
        <v>0</v>
      </c>
      <c r="D294" t="s">
        <v>523</v>
      </c>
      <c r="E294" t="s">
        <v>506</v>
      </c>
      <c r="F294" t="s">
        <v>515</v>
      </c>
      <c r="M294"/>
    </row>
    <row r="295" spans="1:13" x14ac:dyDescent="0.35">
      <c r="A295" t="s">
        <v>2921</v>
      </c>
      <c r="B295" s="37" t="str">
        <f>INDEX(CONTROL[ENGLISH],MATCH(PROPERTIES[[#This Row],[VEHIDCODE]],CONTROL[VEHIDCODE],0))</f>
        <v>GE U10B</v>
      </c>
      <c r="C295">
        <v>0</v>
      </c>
      <c r="D295" t="s">
        <v>523</v>
      </c>
      <c r="E295" t="s">
        <v>506</v>
      </c>
      <c r="F295" t="s">
        <v>515</v>
      </c>
      <c r="M295"/>
    </row>
    <row r="296" spans="1:13" x14ac:dyDescent="0.35">
      <c r="A296" t="s">
        <v>2922</v>
      </c>
      <c r="B296" s="37" t="str">
        <f>INDEX(CONTROL[ENGLISH],MATCH(PROPERTIES[[#This Row],[VEHIDCODE]],CONTROL[VEHIDCODE],0))</f>
        <v>EMD/Pacific GT26C-3</v>
      </c>
      <c r="C296">
        <v>0</v>
      </c>
      <c r="D296" t="s">
        <v>523</v>
      </c>
      <c r="E296" t="s">
        <v>507</v>
      </c>
      <c r="F296" t="s">
        <v>516</v>
      </c>
      <c r="M296"/>
    </row>
    <row r="297" spans="1:13" x14ac:dyDescent="0.35">
      <c r="A297" t="s">
        <v>2923</v>
      </c>
      <c r="B297" s="37" t="str">
        <f>INDEX(CONTROL[ENGLISH],MATCH(PROPERTIES[[#This Row],[VEHIDCODE]],CONTROL[VEHIDCODE],0))</f>
        <v>CargoNet 312</v>
      </c>
      <c r="C297">
        <v>0</v>
      </c>
      <c r="D297" t="s">
        <v>523</v>
      </c>
      <c r="E297" t="s">
        <v>506</v>
      </c>
      <c r="F297" t="s">
        <v>515</v>
      </c>
      <c r="M297"/>
    </row>
    <row r="298" spans="1:13" x14ac:dyDescent="0.35">
      <c r="A298" t="s">
        <v>2924</v>
      </c>
      <c r="B298" s="37" t="str">
        <f>INDEX(CONTROL[ENGLISH],MATCH(PROPERTIES[[#This Row],[VEHIDCODE]],CONTROL[VEHIDCODE],0))</f>
        <v>GE/Pacific C44ESACi</v>
      </c>
      <c r="C298">
        <v>0</v>
      </c>
      <c r="D298" t="s">
        <v>523</v>
      </c>
      <c r="E298" t="s">
        <v>506</v>
      </c>
      <c r="F298" t="s">
        <v>515</v>
      </c>
      <c r="M298"/>
    </row>
    <row r="299" spans="1:13" x14ac:dyDescent="0.35">
      <c r="A299" t="s">
        <v>2925</v>
      </c>
      <c r="B299" s="37" t="str">
        <f>INDEX(CONTROL[ENGLISH],MATCH(PROPERTIES[[#This Row],[VEHIDCODE]],CONTROL[VEHIDCODE],0))</f>
        <v>Stadler UKLight</v>
      </c>
      <c r="C299">
        <v>0</v>
      </c>
      <c r="D299" t="s">
        <v>523</v>
      </c>
      <c r="E299" t="s">
        <v>506</v>
      </c>
      <c r="F299" t="s">
        <v>515</v>
      </c>
      <c r="M299"/>
    </row>
    <row r="300" spans="1:13" x14ac:dyDescent="0.35">
      <c r="A300" t="s">
        <v>2926</v>
      </c>
      <c r="B300" s="37" t="str">
        <f>INDEX(CONTROL[ENGLISH],MATCH(PROPERTIES[[#This Row],[VEHIDCODE]],CONTROL[VEHIDCODE],0))</f>
        <v>Siemens Charger ALC-42</v>
      </c>
      <c r="C300">
        <v>0</v>
      </c>
      <c r="D300" t="s">
        <v>523</v>
      </c>
      <c r="E300" t="s">
        <v>506</v>
      </c>
      <c r="F300" t="s">
        <v>515</v>
      </c>
      <c r="M300"/>
    </row>
    <row r="301" spans="1:13" x14ac:dyDescent="0.35">
      <c r="A301" t="s">
        <v>2927</v>
      </c>
      <c r="B301" s="37" t="str">
        <f>INDEX(CONTROL[ENGLISH],MATCH(PROPERTIES[[#This Row],[VEHIDCODE]],CONTROL[VEHIDCODE],0))</f>
        <v>Buenos Aires 'Le Brugeoise'</v>
      </c>
      <c r="C301">
        <v>0</v>
      </c>
      <c r="D301" t="s">
        <v>523</v>
      </c>
      <c r="E301" t="s">
        <v>510</v>
      </c>
      <c r="F301" t="s">
        <v>517</v>
      </c>
      <c r="M301"/>
    </row>
    <row r="302" spans="1:13" x14ac:dyDescent="0.35">
      <c r="A302" t="s">
        <v>2928</v>
      </c>
      <c r="B302" s="37" t="str">
        <f>INDEX(CONTROL[ENGLISH],MATCH(PROPERTIES[[#This Row],[VEHIDCODE]],CONTROL[VEHIDCODE],0))</f>
        <v>ACF New York R1</v>
      </c>
      <c r="C302">
        <v>0</v>
      </c>
      <c r="D302" t="s">
        <v>523</v>
      </c>
      <c r="E302" t="s">
        <v>510</v>
      </c>
      <c r="F302" t="s">
        <v>517</v>
      </c>
      <c r="M302"/>
    </row>
    <row r="303" spans="1:13" x14ac:dyDescent="0.35">
      <c r="A303" t="s">
        <v>2929</v>
      </c>
      <c r="B303" s="37" t="str">
        <f>INDEX(CONTROL[ENGLISH],MATCH(PROPERTIES[[#This Row],[VEHIDCODE]],CONTROL[VEHIDCODE],0))</f>
        <v>LHB ET 171</v>
      </c>
      <c r="C303">
        <v>0</v>
      </c>
      <c r="D303" t="s">
        <v>523</v>
      </c>
      <c r="E303" t="s">
        <v>510</v>
      </c>
      <c r="F303" t="s">
        <v>517</v>
      </c>
      <c r="M303"/>
    </row>
    <row r="304" spans="1:13" x14ac:dyDescent="0.35">
      <c r="A304" t="s">
        <v>2930</v>
      </c>
      <c r="B304" s="37" t="str">
        <f>INDEX(CONTROL[ENGLISH],MATCH(PROPERTIES[[#This Row],[VEHIDCODE]],CONTROL[VEHIDCODE],0))</f>
        <v>GEC-Alsthom Paris MP55</v>
      </c>
      <c r="C304">
        <v>0</v>
      </c>
      <c r="D304" t="s">
        <v>523</v>
      </c>
      <c r="E304" t="s">
        <v>510</v>
      </c>
      <c r="F304" t="s">
        <v>517</v>
      </c>
      <c r="M304"/>
    </row>
    <row r="305" spans="1:13" x14ac:dyDescent="0.35">
      <c r="A305" t="s">
        <v>2931</v>
      </c>
      <c r="B305" s="37" t="str">
        <f>INDEX(CONTROL[ENGLISH],MATCH(PROPERTIES[[#This Row],[VEHIDCODE]],CONTROL[VEHIDCODE],0))</f>
        <v>LHB Lisbon ML7</v>
      </c>
      <c r="C305">
        <v>0</v>
      </c>
      <c r="D305" t="s">
        <v>523</v>
      </c>
      <c r="E305" t="s">
        <v>510</v>
      </c>
      <c r="F305" t="s">
        <v>517</v>
      </c>
      <c r="M305"/>
    </row>
    <row r="306" spans="1:13" x14ac:dyDescent="0.35">
      <c r="A306" t="s">
        <v>2932</v>
      </c>
      <c r="B306" s="37" t="str">
        <f>INDEX(CONTROL[ENGLISH],MATCH(PROPERTIES[[#This Row],[VEHIDCODE]],CONTROL[VEHIDCODE],0))</f>
        <v>MMZ 81-707 Type Ezsh</v>
      </c>
      <c r="C306">
        <v>0</v>
      </c>
      <c r="D306" t="s">
        <v>523</v>
      </c>
      <c r="E306" t="s">
        <v>510</v>
      </c>
      <c r="F306" t="s">
        <v>517</v>
      </c>
      <c r="M306"/>
    </row>
    <row r="307" spans="1:13" x14ac:dyDescent="0.35">
      <c r="A307" t="s">
        <v>2933</v>
      </c>
      <c r="B307" s="37" t="str">
        <f>INDEX(CONTROL[ENGLISH],MATCH(PROPERTIES[[#This Row],[VEHIDCODE]],CONTROL[VEHIDCODE],0))</f>
        <v>Strommens Oslo T1000</v>
      </c>
      <c r="C307">
        <v>0</v>
      </c>
      <c r="D307" t="s">
        <v>523</v>
      </c>
      <c r="E307" t="s">
        <v>510</v>
      </c>
      <c r="F307" t="s">
        <v>517</v>
      </c>
      <c r="M307"/>
    </row>
    <row r="308" spans="1:13" x14ac:dyDescent="0.35">
      <c r="A308" t="s">
        <v>2934</v>
      </c>
      <c r="B308" s="37" t="str">
        <f>INDEX(CONTROL[ENGLISH],MATCH(PROPERTIES[[#This Row],[VEHIDCODE]],CONTROL[VEHIDCODE],0))</f>
        <v>Hawker Siddeley Toronto H1</v>
      </c>
      <c r="C308">
        <v>0</v>
      </c>
      <c r="D308" t="s">
        <v>523</v>
      </c>
      <c r="E308" t="s">
        <v>510</v>
      </c>
      <c r="F308" t="s">
        <v>517</v>
      </c>
      <c r="M308"/>
    </row>
    <row r="309" spans="1:13" x14ac:dyDescent="0.35">
      <c r="A309" t="s">
        <v>2935</v>
      </c>
      <c r="B309" s="37" t="str">
        <f>INDEX(CONTROL[ENGLISH],MATCH(PROPERTIES[[#This Row],[VEHIDCODE]],CONTROL[VEHIDCODE],0))</f>
        <v>MAN Munchen MVG A2</v>
      </c>
      <c r="C309">
        <v>0</v>
      </c>
      <c r="D309" t="s">
        <v>523</v>
      </c>
      <c r="E309" t="s">
        <v>510</v>
      </c>
      <c r="F309" t="s">
        <v>517</v>
      </c>
      <c r="M309"/>
    </row>
    <row r="310" spans="1:13" x14ac:dyDescent="0.35">
      <c r="A310" t="s">
        <v>2936</v>
      </c>
      <c r="B310" s="37" t="str">
        <f>INDEX(CONTROL[ENGLISH],MATCH(PROPERTIES[[#This Row],[VEHIDCODE]],CONTROL[VEHIDCODE],0))</f>
        <v>St. Louis Car Co New York R44</v>
      </c>
      <c r="C310">
        <v>0</v>
      </c>
      <c r="D310" t="s">
        <v>523</v>
      </c>
      <c r="E310" t="s">
        <v>510</v>
      </c>
      <c r="F310" t="s">
        <v>517</v>
      </c>
      <c r="M310"/>
    </row>
    <row r="311" spans="1:13" x14ac:dyDescent="0.35">
      <c r="A311" t="s">
        <v>2937</v>
      </c>
      <c r="B311" s="37" t="str">
        <f>INDEX(CONTROL[ENGLISH],MATCH(PROPERTIES[[#This Row],[VEHIDCODE]],CONTROL[VEHIDCODE],0))</f>
        <v>LHB Amsterdam M1</v>
      </c>
      <c r="C311">
        <v>0</v>
      </c>
      <c r="D311" t="s">
        <v>523</v>
      </c>
      <c r="E311" t="s">
        <v>510</v>
      </c>
      <c r="F311" t="s">
        <v>517</v>
      </c>
      <c r="M311"/>
    </row>
    <row r="312" spans="1:13" x14ac:dyDescent="0.35">
      <c r="A312" t="s">
        <v>2938</v>
      </c>
      <c r="B312" s="37" t="str">
        <f>INDEX(CONTROL[ENGLISH],MATCH(PROPERTIES[[#This Row],[VEHIDCODE]],CONTROL[VEHIDCODE],0))</f>
        <v>ASEA Stockholm C8</v>
      </c>
      <c r="C312">
        <v>0</v>
      </c>
      <c r="D312" t="s">
        <v>523</v>
      </c>
      <c r="E312" t="s">
        <v>510</v>
      </c>
      <c r="F312" t="s">
        <v>517</v>
      </c>
      <c r="M312"/>
    </row>
    <row r="313" spans="1:13" x14ac:dyDescent="0.35">
      <c r="A313" t="s">
        <v>2939</v>
      </c>
      <c r="B313" s="37" t="str">
        <f>INDEX(CONTROL[ENGLISH],MATCH(PROPERTIES[[#This Row],[VEHIDCODE]],CONTROL[VEHIDCODE],0))</f>
        <v>AEG D</v>
      </c>
      <c r="C313">
        <v>0</v>
      </c>
      <c r="D313" t="s">
        <v>523</v>
      </c>
      <c r="E313" t="s">
        <v>510</v>
      </c>
      <c r="F313" t="s">
        <v>517</v>
      </c>
      <c r="M313"/>
    </row>
    <row r="314" spans="1:13" x14ac:dyDescent="0.35">
      <c r="A314" t="s">
        <v>2940</v>
      </c>
      <c r="B314" s="37" t="str">
        <f>INDEX(CONTROL[ENGLISH],MATCH(PROPERTIES[[#This Row],[VEHIDCODE]],CONTROL[VEHIDCODE],0))</f>
        <v>Valmet Helsinki M100</v>
      </c>
      <c r="C314">
        <v>0</v>
      </c>
      <c r="D314" t="s">
        <v>523</v>
      </c>
      <c r="E314" t="s">
        <v>510</v>
      </c>
      <c r="F314" t="s">
        <v>517</v>
      </c>
      <c r="M314"/>
    </row>
    <row r="315" spans="1:13" x14ac:dyDescent="0.35">
      <c r="A315" t="s">
        <v>2941</v>
      </c>
      <c r="B315" s="37" t="str">
        <f>INDEX(CONTROL[ENGLISH],MATCH(PROPERTIES[[#This Row],[VEHIDCODE]],CONTROL[VEHIDCODE],0))</f>
        <v>Sorefame Sao Paulo Serie 5500</v>
      </c>
      <c r="C315">
        <v>0</v>
      </c>
      <c r="D315" t="s">
        <v>523</v>
      </c>
      <c r="E315" t="s">
        <v>510</v>
      </c>
      <c r="F315" t="s">
        <v>517</v>
      </c>
      <c r="M315"/>
    </row>
    <row r="316" spans="1:13" x14ac:dyDescent="0.35">
      <c r="A316" t="s">
        <v>2942</v>
      </c>
      <c r="B316" s="37" t="str">
        <f>INDEX(CONTROL[ENGLISH],MATCH(PROPERTIES[[#This Row],[VEHIDCODE]],CONTROL[VEHIDCODE],0))</f>
        <v>MMZ 81-720</v>
      </c>
      <c r="C316">
        <v>0</v>
      </c>
      <c r="D316" t="s">
        <v>523</v>
      </c>
      <c r="E316" t="s">
        <v>510</v>
      </c>
      <c r="F316" t="s">
        <v>517</v>
      </c>
      <c r="M316"/>
    </row>
    <row r="317" spans="1:13" x14ac:dyDescent="0.35">
      <c r="A317" t="s">
        <v>2943</v>
      </c>
      <c r="B317" s="37" t="str">
        <f>INDEX(CONTROL[ENGLISH],MATCH(PROPERTIES[[#This Row],[VEHIDCODE]],CONTROL[VEHIDCODE],0))</f>
        <v>Kawasaki Tokyo S01</v>
      </c>
      <c r="C317">
        <v>0</v>
      </c>
      <c r="D317" t="s">
        <v>523</v>
      </c>
      <c r="E317" t="s">
        <v>510</v>
      </c>
      <c r="F317" t="s">
        <v>517</v>
      </c>
      <c r="M317"/>
    </row>
    <row r="318" spans="1:13" x14ac:dyDescent="0.35">
      <c r="A318" t="s">
        <v>2944</v>
      </c>
      <c r="B318" s="37" t="str">
        <f>INDEX(CONTROL[ENGLISH],MATCH(PROPERTIES[[#This Row],[VEHIDCODE]],CONTROL[VEHIDCODE],0))</f>
        <v>Kinki Sharyo Vcairo</v>
      </c>
      <c r="C318">
        <v>0</v>
      </c>
      <c r="D318" t="s">
        <v>523</v>
      </c>
      <c r="E318" t="s">
        <v>510</v>
      </c>
      <c r="F318" t="s">
        <v>517</v>
      </c>
      <c r="M318"/>
    </row>
    <row r="319" spans="1:13" x14ac:dyDescent="0.35">
      <c r="A319" t="s">
        <v>2945</v>
      </c>
      <c r="B319" s="37" t="str">
        <f>INDEX(CONTROL[ENGLISH],MATCH(PROPERTIES[[#This Row],[VEHIDCODE]],CONTROL[VEHIDCODE],0))</f>
        <v>LHB London DLR P86</v>
      </c>
      <c r="C319">
        <v>0</v>
      </c>
      <c r="D319" t="s">
        <v>523</v>
      </c>
      <c r="E319" t="s">
        <v>510</v>
      </c>
      <c r="F319" t="s">
        <v>517</v>
      </c>
      <c r="M319"/>
    </row>
    <row r="320" spans="1:13" x14ac:dyDescent="0.35">
      <c r="A320" t="s">
        <v>2946</v>
      </c>
      <c r="B320" s="37" t="str">
        <f>INDEX(CONTROL[ENGLISH],MATCH(PROPERTIES[[#This Row],[VEHIDCODE]],CONTROL[VEHIDCODE],0))</f>
        <v>MMZ 81-717.5M</v>
      </c>
      <c r="C320">
        <v>0</v>
      </c>
      <c r="D320" t="s">
        <v>523</v>
      </c>
      <c r="E320" t="s">
        <v>510</v>
      </c>
      <c r="F320" t="s">
        <v>517</v>
      </c>
      <c r="M320"/>
    </row>
    <row r="321" spans="1:13" x14ac:dyDescent="0.35">
      <c r="A321" t="s">
        <v>2947</v>
      </c>
      <c r="B321" s="37" t="str">
        <f>INDEX(CONTROL[ENGLISH],MATCH(PROPERTIES[[#This Row],[VEHIDCODE]],CONTROL[VEHIDCODE],0))</f>
        <v>Bombardier Boston 01800</v>
      </c>
      <c r="C321">
        <v>0</v>
      </c>
      <c r="D321" t="s">
        <v>523</v>
      </c>
      <c r="E321" t="s">
        <v>510</v>
      </c>
      <c r="F321" t="s">
        <v>517</v>
      </c>
      <c r="M321"/>
    </row>
    <row r="322" spans="1:13" x14ac:dyDescent="0.35">
      <c r="A322" t="s">
        <v>2948</v>
      </c>
      <c r="B322" s="37" t="str">
        <f>INDEX(CONTROL[ENGLISH],MATCH(PROPERTIES[[#This Row],[VEHIDCODE]],CONTROL[VEHIDCODE],0))</f>
        <v>Breda LA A650</v>
      </c>
      <c r="C322">
        <v>0</v>
      </c>
      <c r="D322" t="s">
        <v>523</v>
      </c>
      <c r="E322" t="s">
        <v>510</v>
      </c>
      <c r="F322" t="s">
        <v>517</v>
      </c>
      <c r="M322"/>
    </row>
    <row r="323" spans="1:13" x14ac:dyDescent="0.35">
      <c r="A323" t="s">
        <v>2949</v>
      </c>
      <c r="B323" s="37" t="str">
        <f>INDEX(CONTROL[ENGLISH],MATCH(PROPERTIES[[#This Row],[VEHIDCODE]],CONTROL[VEHIDCODE],0))</f>
        <v>Kawasaki Taipei C301</v>
      </c>
      <c r="C323">
        <v>0</v>
      </c>
      <c r="D323" t="s">
        <v>523</v>
      </c>
      <c r="E323" t="s">
        <v>510</v>
      </c>
      <c r="F323" t="s">
        <v>517</v>
      </c>
      <c r="M323"/>
    </row>
    <row r="324" spans="1:13" x14ac:dyDescent="0.35">
      <c r="A324" t="s">
        <v>2950</v>
      </c>
      <c r="B324" s="37" t="str">
        <f>INDEX(CONTROL[ENGLISH],MATCH(PROPERTIES[[#This Row],[VEHIDCODE]],CONTROL[VEHIDCODE],0))</f>
        <v>CAF Amsterdam S3 90</v>
      </c>
      <c r="C324">
        <v>0</v>
      </c>
      <c r="D324" t="s">
        <v>523</v>
      </c>
      <c r="E324" t="s">
        <v>510</v>
      </c>
      <c r="F324" t="s">
        <v>517</v>
      </c>
      <c r="M324"/>
    </row>
    <row r="325" spans="1:13" x14ac:dyDescent="0.35">
      <c r="A325" t="s">
        <v>2951</v>
      </c>
      <c r="B325" s="37" t="str">
        <f>INDEX(CONTROL[ENGLISH],MATCH(PROPERTIES[[#This Row],[VEHIDCODE]],CONTROL[VEHIDCODE],0))</f>
        <v>GEC-Alsthom Paris MP89</v>
      </c>
      <c r="C325">
        <v>0</v>
      </c>
      <c r="D325" t="s">
        <v>523</v>
      </c>
      <c r="E325" t="s">
        <v>510</v>
      </c>
      <c r="F325" t="s">
        <v>517</v>
      </c>
      <c r="M325"/>
    </row>
    <row r="326" spans="1:13" x14ac:dyDescent="0.35">
      <c r="A326" t="s">
        <v>2952</v>
      </c>
      <c r="B326" s="37" t="str">
        <f>INDEX(CONTROL[ENGLISH],MATCH(PROPERTIES[[#This Row],[VEHIDCODE]],CONTROL[VEHIDCODE],0))</f>
        <v>MMZ 81-740</v>
      </c>
      <c r="C326">
        <v>0</v>
      </c>
      <c r="D326" t="s">
        <v>523</v>
      </c>
      <c r="E326" t="s">
        <v>510</v>
      </c>
      <c r="F326" t="s">
        <v>517</v>
      </c>
      <c r="M326"/>
    </row>
    <row r="327" spans="1:13" x14ac:dyDescent="0.35">
      <c r="A327" t="s">
        <v>2953</v>
      </c>
      <c r="B327" s="37" t="str">
        <f>INDEX(CONTROL[ENGLISH],MATCH(PROPERTIES[[#This Row],[VEHIDCODE]],CONTROL[VEHIDCODE],0))</f>
        <v>Alstom Singapore C830 'Metropolis'</v>
      </c>
      <c r="C327">
        <v>0</v>
      </c>
      <c r="D327" t="s">
        <v>523</v>
      </c>
      <c r="E327" t="s">
        <v>510</v>
      </c>
      <c r="F327" t="s">
        <v>517</v>
      </c>
      <c r="M327"/>
    </row>
    <row r="328" spans="1:13" x14ac:dyDescent="0.35">
      <c r="A328" t="s">
        <v>2954</v>
      </c>
      <c r="B328" s="37" t="str">
        <f>INDEX(CONTROL[ENGLISH],MATCH(PROPERTIES[[#This Row],[VEHIDCODE]],CONTROL[VEHIDCODE],0))</f>
        <v>Siemens Oslo MX3000</v>
      </c>
      <c r="C328">
        <v>0</v>
      </c>
      <c r="D328" t="s">
        <v>523</v>
      </c>
      <c r="E328" t="s">
        <v>510</v>
      </c>
      <c r="F328" t="s">
        <v>517</v>
      </c>
      <c r="M328"/>
    </row>
    <row r="329" spans="1:13" x14ac:dyDescent="0.35">
      <c r="A329" t="s">
        <v>2955</v>
      </c>
      <c r="B329" s="37" t="str">
        <f>INDEX(CONTROL[ENGLISH],MATCH(PROPERTIES[[#This Row],[VEHIDCODE]],CONTROL[VEHIDCODE],0))</f>
        <v>Kawasaki Osaka 30000</v>
      </c>
      <c r="C329">
        <v>0</v>
      </c>
      <c r="D329" t="s">
        <v>523</v>
      </c>
      <c r="E329" t="s">
        <v>510</v>
      </c>
      <c r="F329" t="s">
        <v>517</v>
      </c>
      <c r="M329"/>
    </row>
    <row r="330" spans="1:13" x14ac:dyDescent="0.35">
      <c r="A330" t="s">
        <v>2956</v>
      </c>
      <c r="B330" s="37" t="str">
        <f>INDEX(CONTROL[ENGLISH],MATCH(PROPERTIES[[#This Row],[VEHIDCODE]],CONTROL[VEHIDCODE],0))</f>
        <v>Kawasaki Singapore C151A</v>
      </c>
      <c r="C330">
        <v>0</v>
      </c>
      <c r="D330" t="s">
        <v>523</v>
      </c>
      <c r="E330" t="s">
        <v>510</v>
      </c>
      <c r="F330" t="s">
        <v>517</v>
      </c>
      <c r="M330"/>
    </row>
    <row r="331" spans="1:13" x14ac:dyDescent="0.35">
      <c r="A331" t="s">
        <v>2957</v>
      </c>
      <c r="B331" s="37" t="str">
        <f>INDEX(CONTROL[ENGLISH],MATCH(PROPERTIES[[#This Row],[VEHIDCODE]],CONTROL[VEHIDCODE],0))</f>
        <v>Kawasaki Washington 7000</v>
      </c>
      <c r="C331">
        <v>0</v>
      </c>
      <c r="D331" t="s">
        <v>523</v>
      </c>
      <c r="E331" t="s">
        <v>510</v>
      </c>
      <c r="F331" t="s">
        <v>517</v>
      </c>
      <c r="M331"/>
    </row>
    <row r="332" spans="1:13" x14ac:dyDescent="0.35">
      <c r="A332" t="s">
        <v>2958</v>
      </c>
      <c r="B332" s="37" t="str">
        <f>INDEX(CONTROL[ENGLISH],MATCH(PROPERTIES[[#This Row],[VEHIDCODE]],CONTROL[VEHIDCODE],0))</f>
        <v>Hitachi Thessaloniki 2014</v>
      </c>
      <c r="C332">
        <v>0</v>
      </c>
      <c r="D332" t="s">
        <v>523</v>
      </c>
      <c r="E332" t="s">
        <v>510</v>
      </c>
      <c r="F332" t="s">
        <v>517</v>
      </c>
      <c r="M332"/>
    </row>
    <row r="333" spans="1:13" x14ac:dyDescent="0.35">
      <c r="A333" t="s">
        <v>2959</v>
      </c>
      <c r="B333" s="37" t="str">
        <f>INDEX(CONTROL[ENGLISH],MATCH(PROPERTIES[[#This Row],[VEHIDCODE]],CONTROL[VEHIDCODE],0))</f>
        <v>AEG Berlin U-Bahn A I</v>
      </c>
      <c r="C333">
        <v>0</v>
      </c>
      <c r="D333" t="s">
        <v>523</v>
      </c>
      <c r="E333" t="s">
        <v>510</v>
      </c>
      <c r="F333" t="s">
        <v>517</v>
      </c>
      <c r="M333"/>
    </row>
    <row r="334" spans="1:13" x14ac:dyDescent="0.35">
      <c r="A334" t="s">
        <v>2960</v>
      </c>
      <c r="B334" s="37" t="str">
        <f>INDEX(CONTROL[ENGLISH],MATCH(PROPERTIES[[#This Row],[VEHIDCODE]],CONTROL[VEHIDCODE],0))</f>
        <v>ACF New York Hedley Hi-V</v>
      </c>
      <c r="C334">
        <v>0</v>
      </c>
      <c r="D334" t="s">
        <v>523</v>
      </c>
      <c r="E334" t="s">
        <v>510</v>
      </c>
      <c r="F334" t="s">
        <v>517</v>
      </c>
      <c r="M334"/>
    </row>
    <row r="335" spans="1:13" x14ac:dyDescent="0.35">
      <c r="A335" t="s">
        <v>2961</v>
      </c>
      <c r="B335" s="37" t="str">
        <f>INDEX(CONTROL[ENGLISH],MATCH(PROPERTIES[[#This Row],[VEHIDCODE]],CONTROL[VEHIDCODE],0))</f>
        <v>Kawasaki Osaka 1000</v>
      </c>
      <c r="C335">
        <v>0</v>
      </c>
      <c r="D335" t="s">
        <v>523</v>
      </c>
      <c r="E335" t="s">
        <v>510</v>
      </c>
      <c r="F335" t="s">
        <v>517</v>
      </c>
      <c r="M335"/>
    </row>
    <row r="336" spans="1:13" x14ac:dyDescent="0.35">
      <c r="A336" t="s">
        <v>2962</v>
      </c>
      <c r="B336" s="37" t="str">
        <f>INDEX(CONTROL[ENGLISH],MATCH(PROPERTIES[[#This Row],[VEHIDCODE]],CONTROL[VEHIDCODE],0))</f>
        <v>MMZ Type A</v>
      </c>
      <c r="C336">
        <v>0</v>
      </c>
      <c r="D336" t="s">
        <v>523</v>
      </c>
      <c r="E336" t="s">
        <v>510</v>
      </c>
      <c r="F336" t="s">
        <v>517</v>
      </c>
      <c r="M336"/>
    </row>
    <row r="337" spans="1:13" x14ac:dyDescent="0.35">
      <c r="A337" t="s">
        <v>2963</v>
      </c>
      <c r="B337" s="37" t="str">
        <f>INDEX(CONTROL[ENGLISH],MATCH(PROPERTIES[[#This Row],[VEHIDCODE]],CONTROL[VEHIDCODE],0))</f>
        <v>ACF New York R10</v>
      </c>
      <c r="C337">
        <v>0</v>
      </c>
      <c r="D337" t="s">
        <v>523</v>
      </c>
      <c r="E337" t="s">
        <v>510</v>
      </c>
      <c r="F337" t="s">
        <v>517</v>
      </c>
      <c r="M337"/>
    </row>
    <row r="338" spans="1:13" x14ac:dyDescent="0.35">
      <c r="A338" t="s">
        <v>2964</v>
      </c>
      <c r="B338" s="37" t="str">
        <f>INDEX(CONTROL[ENGLISH],MATCH(PROPERTIES[[#This Row],[VEHIDCODE]],CONTROL[VEHIDCODE],0))</f>
        <v>Stanga Rome MR 100</v>
      </c>
      <c r="C338">
        <v>0</v>
      </c>
      <c r="D338" t="s">
        <v>523</v>
      </c>
      <c r="E338" t="s">
        <v>510</v>
      </c>
      <c r="F338" t="s">
        <v>517</v>
      </c>
      <c r="M338"/>
    </row>
    <row r="339" spans="1:13" x14ac:dyDescent="0.35">
      <c r="A339" t="s">
        <v>2965</v>
      </c>
      <c r="B339" s="37" t="str">
        <f>INDEX(CONTROL[ENGLISH],MATCH(PROPERTIES[[#This Row],[VEHIDCODE]],CONTROL[VEHIDCODE],0))</f>
        <v>MMZ 81-702 Type D</v>
      </c>
      <c r="C339">
        <v>0</v>
      </c>
      <c r="D339" t="s">
        <v>523</v>
      </c>
      <c r="E339" t="s">
        <v>510</v>
      </c>
      <c r="F339" t="s">
        <v>517</v>
      </c>
      <c r="M339"/>
    </row>
    <row r="340" spans="1:13" x14ac:dyDescent="0.35">
      <c r="A340" t="s">
        <v>2966</v>
      </c>
      <c r="B340" s="37" t="str">
        <f>INDEX(CONTROL[ENGLISH],MATCH(PROPERTIES[[#This Row],[VEHIDCODE]],CONTROL[VEHIDCODE],0))</f>
        <v>Werkspoor Rotterdam MG2 Type M</v>
      </c>
      <c r="C340">
        <v>0</v>
      </c>
      <c r="D340" t="s">
        <v>523</v>
      </c>
      <c r="E340" t="s">
        <v>510</v>
      </c>
      <c r="F340" t="s">
        <v>517</v>
      </c>
      <c r="M340"/>
    </row>
    <row r="341" spans="1:13" x14ac:dyDescent="0.35">
      <c r="A341" t="s">
        <v>2967</v>
      </c>
      <c r="B341" s="37" t="str">
        <f>INDEX(CONTROL[ENGLISH],MATCH(PROPERTIES[[#This Row],[VEHIDCODE]],CONTROL[VEHIDCODE],0))</f>
        <v>MMZ 81-709 ECS</v>
      </c>
      <c r="C341">
        <v>0</v>
      </c>
      <c r="D341" t="s">
        <v>523</v>
      </c>
      <c r="E341" t="s">
        <v>510</v>
      </c>
      <c r="F341" t="s">
        <v>517</v>
      </c>
      <c r="M341"/>
    </row>
    <row r="342" spans="1:13" x14ac:dyDescent="0.35">
      <c r="A342" t="s">
        <v>2968</v>
      </c>
      <c r="B342" s="37" t="str">
        <f>INDEX(CONTROL[ENGLISH],MATCH(PROPERTIES[[#This Row],[VEHIDCODE]],CONTROL[VEHIDCODE],0))</f>
        <v>Hitachi Buenos Aires Serie 1200</v>
      </c>
      <c r="C342">
        <v>0</v>
      </c>
      <c r="D342" t="s">
        <v>523</v>
      </c>
      <c r="E342" t="s">
        <v>510</v>
      </c>
      <c r="F342" t="s">
        <v>517</v>
      </c>
      <c r="M342"/>
    </row>
    <row r="343" spans="1:13" x14ac:dyDescent="0.35">
      <c r="A343" t="s">
        <v>2969</v>
      </c>
      <c r="B343" s="37" t="str">
        <f>INDEX(CONTROL[ENGLISH],MATCH(PROPERTIES[[#This Row],[VEHIDCODE]],CONTROL[VEHIDCODE],0))</f>
        <v>GEC-Alsthom Santiago NS-93</v>
      </c>
      <c r="C343">
        <v>0</v>
      </c>
      <c r="D343" t="s">
        <v>523</v>
      </c>
      <c r="E343" t="s">
        <v>510</v>
      </c>
      <c r="F343" t="s">
        <v>517</v>
      </c>
      <c r="M343"/>
    </row>
    <row r="344" spans="1:13" x14ac:dyDescent="0.35">
      <c r="A344" t="s">
        <v>2970</v>
      </c>
      <c r="B344" s="37" t="str">
        <f>INDEX(CONTROL[ENGLISH],MATCH(PROPERTIES[[#This Row],[VEHIDCODE]],CONTROL[VEHIDCODE],0))</f>
        <v>Alstom Brasil Santiago AS-2002</v>
      </c>
      <c r="C344">
        <v>0</v>
      </c>
      <c r="D344" t="s">
        <v>523</v>
      </c>
      <c r="E344" t="s">
        <v>510</v>
      </c>
      <c r="F344" t="s">
        <v>517</v>
      </c>
      <c r="M344"/>
    </row>
    <row r="345" spans="1:13" x14ac:dyDescent="0.35">
      <c r="A345" t="s">
        <v>2971</v>
      </c>
      <c r="B345" s="37" t="str">
        <f>INDEX(CONTROL[ENGLISH],MATCH(PROPERTIES[[#This Row],[VEHIDCODE]],CONTROL[VEHIDCODE],0))</f>
        <v>TUDH Recife VLT Mobile 3</v>
      </c>
      <c r="C345">
        <v>0</v>
      </c>
      <c r="D345" t="s">
        <v>523</v>
      </c>
      <c r="E345" t="s">
        <v>510</v>
      </c>
      <c r="F345" t="s">
        <v>517</v>
      </c>
      <c r="M345"/>
    </row>
    <row r="346" spans="1:13" x14ac:dyDescent="0.35">
      <c r="A346" t="s">
        <v>2972</v>
      </c>
      <c r="B346" s="37" t="str">
        <f>INDEX(CONTROL[ENGLISH],MATCH(PROPERTIES[[#This Row],[VEHIDCODE]],CONTROL[VEHIDCODE],0))</f>
        <v>CAF Madrid Series 5000</v>
      </c>
      <c r="C346">
        <v>0</v>
      </c>
      <c r="D346" t="s">
        <v>523</v>
      </c>
      <c r="E346" t="s">
        <v>510</v>
      </c>
      <c r="F346" t="s">
        <v>517</v>
      </c>
      <c r="M346"/>
    </row>
    <row r="347" spans="1:13" x14ac:dyDescent="0.35">
      <c r="A347" t="s">
        <v>2973</v>
      </c>
      <c r="B347" s="37" t="str">
        <f>INDEX(CONTROL[ENGLISH],MATCH(PROPERTIES[[#This Row],[VEHIDCODE]],CONTROL[VEHIDCODE],0))</f>
        <v>CAF Rome S/300</v>
      </c>
      <c r="C347">
        <v>0</v>
      </c>
      <c r="D347" t="s">
        <v>523</v>
      </c>
      <c r="E347" t="s">
        <v>510</v>
      </c>
      <c r="F347" t="s">
        <v>517</v>
      </c>
      <c r="M347"/>
    </row>
    <row r="348" spans="1:13" x14ac:dyDescent="0.35">
      <c r="A348" t="s">
        <v>2974</v>
      </c>
      <c r="B348" s="37" t="str">
        <f>INDEX(CONTROL[ENGLISH],MATCH(PROPERTIES[[#This Row],[VEHIDCODE]],CONTROL[VEHIDCODE],0))</f>
        <v>CAF Algiers 2011 Stock</v>
      </c>
      <c r="C348">
        <v>0</v>
      </c>
      <c r="D348" t="s">
        <v>523</v>
      </c>
      <c r="E348" t="s">
        <v>510</v>
      </c>
      <c r="F348" t="s">
        <v>517</v>
      </c>
      <c r="M348"/>
    </row>
    <row r="349" spans="1:13" x14ac:dyDescent="0.35">
      <c r="A349" t="s">
        <v>2975</v>
      </c>
      <c r="B349" s="37" t="str">
        <f>INDEX(CONTROL[ENGLISH],MATCH(PROPERTIES[[#This Row],[VEHIDCODE]],CONTROL[VEHIDCODE],0))</f>
        <v>Stadler Berlin U-Bahn IK</v>
      </c>
      <c r="C349">
        <v>0</v>
      </c>
      <c r="D349" t="s">
        <v>523</v>
      </c>
      <c r="E349" t="s">
        <v>510</v>
      </c>
      <c r="F349" t="s">
        <v>517</v>
      </c>
      <c r="M349"/>
    </row>
    <row r="350" spans="1:13" x14ac:dyDescent="0.35">
      <c r="A350" t="s">
        <v>2976</v>
      </c>
      <c r="B350" s="37" t="str">
        <f>INDEX(CONTROL[ENGLISH],MATCH(PROPERTIES[[#This Row],[VEHIDCODE]],CONTROL[VEHIDCODE],0))</f>
        <v>St. Louis Car Company Chicago L 6000 Series</v>
      </c>
      <c r="C350">
        <v>0</v>
      </c>
      <c r="D350" t="s">
        <v>523</v>
      </c>
      <c r="E350" t="s">
        <v>510</v>
      </c>
      <c r="F350" t="s">
        <v>517</v>
      </c>
      <c r="M350"/>
    </row>
    <row r="351" spans="1:13" x14ac:dyDescent="0.35">
      <c r="A351" t="s">
        <v>2977</v>
      </c>
      <c r="B351" s="37" t="str">
        <f>INDEX(CONTROL[ENGLISH],MATCH(PROPERTIES[[#This Row],[VEHIDCODE]],CONTROL[VEHIDCODE],0))</f>
        <v>BRC&amp;W London 1903 Stock</v>
      </c>
      <c r="C351">
        <v>0</v>
      </c>
      <c r="D351" t="s">
        <v>523</v>
      </c>
      <c r="E351" t="s">
        <v>510</v>
      </c>
      <c r="F351" t="s">
        <v>517</v>
      </c>
      <c r="M351"/>
    </row>
    <row r="352" spans="1:13" x14ac:dyDescent="0.35">
      <c r="A352" t="s">
        <v>2978</v>
      </c>
      <c r="B352" s="37" t="str">
        <f>INDEX(CONTROL[ENGLISH],MATCH(PROPERTIES[[#This Row],[VEHIDCODE]],CONTROL[VEHIDCODE],0))</f>
        <v>BRC&amp;W London 1938 Stock</v>
      </c>
      <c r="C352">
        <v>0</v>
      </c>
      <c r="D352" t="s">
        <v>523</v>
      </c>
      <c r="E352" t="s">
        <v>510</v>
      </c>
      <c r="F352" t="s">
        <v>517</v>
      </c>
      <c r="M352"/>
    </row>
    <row r="353" spans="1:13" x14ac:dyDescent="0.35">
      <c r="A353" t="s">
        <v>2979</v>
      </c>
      <c r="B353" s="37" t="str">
        <f>INDEX(CONTROL[ENGLISH],MATCH(PROPERTIES[[#This Row],[VEHIDCODE]],CONTROL[VEHIDCODE],0))</f>
        <v>NER EF1</v>
      </c>
      <c r="C353">
        <v>-3</v>
      </c>
      <c r="D353" t="s">
        <v>524</v>
      </c>
      <c r="E353" t="s">
        <v>506</v>
      </c>
      <c r="F353" t="s">
        <v>515</v>
      </c>
      <c r="M353"/>
    </row>
    <row r="354" spans="1:13" x14ac:dyDescent="0.35">
      <c r="A354" t="s">
        <v>2980</v>
      </c>
      <c r="B354" s="37" t="str">
        <f>INDEX(CONTROL[ENGLISH],MATCH(PROPERTIES[[#This Row],[VEHIDCODE]],CONTROL[VEHIDCODE],0))</f>
        <v>JNR EB10</v>
      </c>
      <c r="C354">
        <v>-3</v>
      </c>
      <c r="D354" t="s">
        <v>524</v>
      </c>
      <c r="E354" t="s">
        <v>506</v>
      </c>
      <c r="F354" t="s">
        <v>515</v>
      </c>
      <c r="M354"/>
    </row>
    <row r="355" spans="1:13" x14ac:dyDescent="0.35">
      <c r="A355" t="s">
        <v>2981</v>
      </c>
      <c r="B355" s="37" t="str">
        <f>INDEX(CONTROL[ENGLISH],MATCH(PROPERTIES[[#This Row],[VEHIDCODE]],CONTROL[VEHIDCODE],0))</f>
        <v>Hitachi/Kawasaki EF55</v>
      </c>
      <c r="C355">
        <v>-3</v>
      </c>
      <c r="D355" t="s">
        <v>524</v>
      </c>
      <c r="E355" t="s">
        <v>513</v>
      </c>
      <c r="F355" t="s">
        <v>520</v>
      </c>
      <c r="M355"/>
    </row>
    <row r="356" spans="1:13" x14ac:dyDescent="0.35">
      <c r="A356" t="s">
        <v>2982</v>
      </c>
      <c r="B356" s="37" t="str">
        <f>INDEX(CONTROL[ENGLISH],MATCH(PROPERTIES[[#This Row],[VEHIDCODE]],CONTROL[VEHIDCODE],0))</f>
        <v>SLM NS 1000</v>
      </c>
      <c r="C356">
        <v>-3</v>
      </c>
      <c r="D356" t="s">
        <v>524</v>
      </c>
      <c r="E356" t="s">
        <v>506</v>
      </c>
      <c r="F356" t="s">
        <v>515</v>
      </c>
      <c r="M356"/>
    </row>
    <row r="357" spans="1:13" x14ac:dyDescent="0.35">
      <c r="A357" t="s">
        <v>2983</v>
      </c>
      <c r="B357" s="37" t="str">
        <f>INDEX(CONTROL[ENGLISH],MATCH(PROPERTIES[[#This Row],[VEHIDCODE]],CONTROL[VEHIDCODE],0))</f>
        <v>Alsthom BB 7200/NS 1600</v>
      </c>
      <c r="C357">
        <v>-3</v>
      </c>
      <c r="D357" t="s">
        <v>524</v>
      </c>
      <c r="E357" t="s">
        <v>506</v>
      </c>
      <c r="F357" t="s">
        <v>515</v>
      </c>
      <c r="M357"/>
    </row>
    <row r="358" spans="1:13" x14ac:dyDescent="0.35">
      <c r="A358" t="s">
        <v>2984</v>
      </c>
      <c r="B358" s="37" t="str">
        <f>INDEX(CONTROL[ENGLISH],MATCH(PROPERTIES[[#This Row],[VEHIDCODE]],CONTROL[VEHIDCODE],0))</f>
        <v>Victorian Railways E</v>
      </c>
      <c r="C358">
        <v>0</v>
      </c>
      <c r="D358" t="s">
        <v>524</v>
      </c>
      <c r="E358" t="s">
        <v>506</v>
      </c>
      <c r="F358" t="s">
        <v>515</v>
      </c>
      <c r="M358"/>
    </row>
    <row r="359" spans="1:13" x14ac:dyDescent="0.35">
      <c r="A359" t="s">
        <v>2985</v>
      </c>
      <c r="B359" s="37" t="str">
        <f>INDEX(CONTROL[ENGLISH],MATCH(PROPERTIES[[#This Row],[VEHIDCODE]],CONTROL[VEHIDCODE],0))</f>
        <v>British Thomson-Houston ES1</v>
      </c>
      <c r="C359">
        <v>0</v>
      </c>
      <c r="D359" t="s">
        <v>524</v>
      </c>
      <c r="E359" t="s">
        <v>506</v>
      </c>
      <c r="F359" t="s">
        <v>515</v>
      </c>
      <c r="M359"/>
    </row>
    <row r="360" spans="1:13" x14ac:dyDescent="0.35">
      <c r="A360" t="s">
        <v>2986</v>
      </c>
      <c r="B360" s="37" t="str">
        <f>INDEX(CONTROL[ENGLISH],MATCH(PROPERTIES[[#This Row],[VEHIDCODE]],CONTROL[VEHIDCODE],0))</f>
        <v>ALCO-GE NYC S-Motor S1</v>
      </c>
      <c r="C360">
        <v>0</v>
      </c>
      <c r="D360" t="s">
        <v>524</v>
      </c>
      <c r="E360" t="s">
        <v>506</v>
      </c>
      <c r="F360" t="s">
        <v>515</v>
      </c>
      <c r="M360"/>
    </row>
    <row r="361" spans="1:13" x14ac:dyDescent="0.35">
      <c r="A361" t="s">
        <v>2987</v>
      </c>
      <c r="B361" s="37" t="str">
        <f>INDEX(CONTROL[ENGLISH],MATCH(PROPERTIES[[#This Row],[VEHIDCODE]],CONTROL[VEHIDCODE],0))</f>
        <v>Nippon Sharyo DeKi 400</v>
      </c>
      <c r="C361">
        <v>0</v>
      </c>
      <c r="D361" t="s">
        <v>524</v>
      </c>
      <c r="E361" t="s">
        <v>506</v>
      </c>
      <c r="F361" t="s">
        <v>515</v>
      </c>
      <c r="M361"/>
    </row>
    <row r="362" spans="1:13" x14ac:dyDescent="0.35">
      <c r="A362" t="s">
        <v>2988</v>
      </c>
      <c r="B362" s="37" t="str">
        <f>INDEX(CONTROL[ENGLISH],MATCH(PROPERTIES[[#This Row],[VEHIDCODE]],CONTROL[VEHIDCODE],0))</f>
        <v>Vulcan Foundry-SLM EF/1</v>
      </c>
      <c r="C362">
        <v>-3</v>
      </c>
      <c r="D362" t="s">
        <v>524</v>
      </c>
      <c r="E362" t="s">
        <v>513</v>
      </c>
      <c r="F362" t="s">
        <v>517</v>
      </c>
      <c r="M362"/>
    </row>
    <row r="363" spans="1:13" x14ac:dyDescent="0.35">
      <c r="A363" t="s">
        <v>2989</v>
      </c>
      <c r="B363" s="37" t="str">
        <f>INDEX(CONTROL[ENGLISH],MATCH(PROPERTIES[[#This Row],[VEHIDCODE]],CONTROL[VEHIDCODE],0))</f>
        <v>Jeumont-Schneider BB 9004</v>
      </c>
      <c r="C363">
        <v>-3</v>
      </c>
      <c r="D363" t="s">
        <v>524</v>
      </c>
      <c r="E363" t="s">
        <v>506</v>
      </c>
      <c r="F363" t="s">
        <v>515</v>
      </c>
      <c r="M363"/>
    </row>
    <row r="364" spans="1:13" x14ac:dyDescent="0.35">
      <c r="A364" t="s">
        <v>2990</v>
      </c>
      <c r="B364" s="37" t="str">
        <f>INDEX(CONTROL[ENGLISH],MATCH(PROPERTIES[[#This Row],[VEHIDCODE]],CONTROL[VEHIDCODE],0))</f>
        <v>Werkspoor ESS 3200</v>
      </c>
      <c r="C364">
        <v>0</v>
      </c>
      <c r="D364" t="s">
        <v>524</v>
      </c>
      <c r="E364" t="s">
        <v>506</v>
      </c>
      <c r="F364" t="s">
        <v>515</v>
      </c>
      <c r="M364"/>
    </row>
    <row r="365" spans="1:13" x14ac:dyDescent="0.35">
      <c r="A365" t="s">
        <v>2991</v>
      </c>
      <c r="B365" s="37" t="str">
        <f>INDEX(CONTROL[ENGLISH],MATCH(PROPERTIES[[#This Row],[VEHIDCODE]],CONTROL[VEHIDCODE],0))</f>
        <v>Metropolitan-Vickers EM2</v>
      </c>
      <c r="C365">
        <v>-3</v>
      </c>
      <c r="D365" t="s">
        <v>524</v>
      </c>
      <c r="E365" t="s">
        <v>506</v>
      </c>
      <c r="F365" t="s">
        <v>515</v>
      </c>
      <c r="M365"/>
    </row>
    <row r="366" spans="1:13" x14ac:dyDescent="0.35">
      <c r="A366" t="s">
        <v>2992</v>
      </c>
      <c r="B366" s="37" t="str">
        <f>INDEX(CONTROL[ENGLISH],MATCH(PROPERTIES[[#This Row],[VEHIDCODE]],CONTROL[VEHIDCODE],0))</f>
        <v>NER EE1</v>
      </c>
      <c r="C366">
        <v>0</v>
      </c>
      <c r="D366" t="s">
        <v>524</v>
      </c>
      <c r="E366" t="s">
        <v>506</v>
      </c>
      <c r="F366" t="s">
        <v>515</v>
      </c>
      <c r="M366"/>
    </row>
    <row r="367" spans="1:13" x14ac:dyDescent="0.35">
      <c r="A367" t="s">
        <v>2993</v>
      </c>
      <c r="B367" s="37" t="str">
        <f>INDEX(CONTROL[ENGLISH],MATCH(PROPERTIES[[#This Row],[VEHIDCODE]],CONTROL[VEHIDCODE],0))</f>
        <v>GE ES-2</v>
      </c>
      <c r="C367">
        <v>-3</v>
      </c>
      <c r="D367" t="s">
        <v>524</v>
      </c>
      <c r="E367" t="s">
        <v>506</v>
      </c>
      <c r="F367" t="s">
        <v>515</v>
      </c>
      <c r="M367"/>
    </row>
    <row r="368" spans="1:13" x14ac:dyDescent="0.35">
      <c r="A368" t="s">
        <v>2994</v>
      </c>
      <c r="B368" s="37" t="str">
        <f>INDEX(CONTROL[ENGLISH],MATCH(PROPERTIES[[#This Row],[VEHIDCODE]],CONTROL[VEHIDCODE],0))</f>
        <v>GE 2-4-8-0+0-8-4-2 EP2</v>
      </c>
      <c r="C368">
        <v>0</v>
      </c>
      <c r="D368" t="s">
        <v>524</v>
      </c>
      <c r="E368" t="s">
        <v>509</v>
      </c>
      <c r="F368" t="s">
        <v>515</v>
      </c>
      <c r="M368"/>
    </row>
    <row r="369" spans="1:13" x14ac:dyDescent="0.35">
      <c r="A369" t="s">
        <v>2995</v>
      </c>
      <c r="B369" s="37" t="str">
        <f>INDEX(CONTROL[ENGLISH],MATCH(PROPERTIES[[#This Row],[VEHIDCODE]],CONTROL[VEHIDCODE],0))</f>
        <v>Baldwin Westinghouse E-28</v>
      </c>
      <c r="C369">
        <v>-3</v>
      </c>
      <c r="D369" t="s">
        <v>524</v>
      </c>
      <c r="E369" t="s">
        <v>506</v>
      </c>
      <c r="F369" t="s">
        <v>515</v>
      </c>
      <c r="M369"/>
    </row>
    <row r="370" spans="1:13" x14ac:dyDescent="0.35">
      <c r="A370" t="s">
        <v>2996</v>
      </c>
      <c r="B370" s="37" t="str">
        <f>INDEX(CONTROL[ENGLISH],MATCH(PROPERTIES[[#This Row],[VEHIDCODE]],CONTROL[VEHIDCODE],0))</f>
        <v>Breda E.428</v>
      </c>
      <c r="C370">
        <v>-3</v>
      </c>
      <c r="D370" t="s">
        <v>524</v>
      </c>
      <c r="E370" t="s">
        <v>506</v>
      </c>
      <c r="F370" t="s">
        <v>515</v>
      </c>
      <c r="M370"/>
    </row>
    <row r="371" spans="1:13" x14ac:dyDescent="0.35">
      <c r="A371" t="s">
        <v>2997</v>
      </c>
      <c r="B371" s="37" t="str">
        <f>INDEX(CONTROL[ENGLISH],MATCH(PROPERTIES[[#This Row],[VEHIDCODE]],CONTROL[VEHIDCODE],0))</f>
        <v>Werkspoor SAR ES</v>
      </c>
      <c r="C371">
        <v>-3</v>
      </c>
      <c r="D371" t="s">
        <v>524</v>
      </c>
      <c r="E371" t="s">
        <v>506</v>
      </c>
      <c r="F371" t="s">
        <v>515</v>
      </c>
      <c r="M371"/>
    </row>
    <row r="372" spans="1:13" x14ac:dyDescent="0.35">
      <c r="A372" t="s">
        <v>2998</v>
      </c>
      <c r="B372" s="37" t="str">
        <f>INDEX(CONTROL[ENGLISH],MATCH(PROPERTIES[[#This Row],[VEHIDCODE]],CONTROL[VEHIDCODE],0))</f>
        <v>English Electric E [AEI E]</v>
      </c>
      <c r="C372">
        <v>0</v>
      </c>
      <c r="D372" t="s">
        <v>524</v>
      </c>
      <c r="E372" t="s">
        <v>506</v>
      </c>
      <c r="F372" t="s">
        <v>515</v>
      </c>
      <c r="M372"/>
    </row>
    <row r="373" spans="1:13" x14ac:dyDescent="0.35">
      <c r="A373" t="s">
        <v>2999</v>
      </c>
      <c r="B373" s="37" t="str">
        <f>INDEX(CONTROL[ENGLISH],MATCH(PROPERTIES[[#This Row],[VEHIDCODE]],CONTROL[VEHIDCODE],0))</f>
        <v>HCP 203E</v>
      </c>
      <c r="C373">
        <v>0</v>
      </c>
      <c r="D373" t="s">
        <v>524</v>
      </c>
      <c r="E373" t="s">
        <v>513</v>
      </c>
      <c r="F373" t="s">
        <v>519</v>
      </c>
      <c r="M373"/>
    </row>
    <row r="374" spans="1:13" x14ac:dyDescent="0.35">
      <c r="A374" t="s">
        <v>3000</v>
      </c>
      <c r="B374" s="37" t="str">
        <f>INDEX(CONTROL[ENGLISH],MATCH(PROPERTIES[[#This Row],[VEHIDCODE]],CONTROL[VEHIDCODE],0))</f>
        <v>Pafawag 104E</v>
      </c>
      <c r="C374">
        <v>0</v>
      </c>
      <c r="D374" t="s">
        <v>524</v>
      </c>
      <c r="E374" t="s">
        <v>506</v>
      </c>
      <c r="F374" t="s">
        <v>515</v>
      </c>
      <c r="M374"/>
    </row>
    <row r="375" spans="1:13" x14ac:dyDescent="0.35">
      <c r="A375" t="s">
        <v>3001</v>
      </c>
      <c r="B375" s="37" t="str">
        <f>INDEX(CONTROL[ENGLISH],MATCH(PROPERTIES[[#This Row],[VEHIDCODE]],CONTROL[VEHIDCODE],0))</f>
        <v>Skoda 98E</v>
      </c>
      <c r="C375">
        <v>0</v>
      </c>
      <c r="D375" t="s">
        <v>524</v>
      </c>
      <c r="E375" t="s">
        <v>506</v>
      </c>
      <c r="F375" t="s">
        <v>515</v>
      </c>
      <c r="M375"/>
    </row>
    <row r="376" spans="1:13" x14ac:dyDescent="0.35">
      <c r="A376" t="s">
        <v>3002</v>
      </c>
      <c r="B376" s="37" t="str">
        <f>INDEX(CONTROL[ENGLISH],MATCH(PROPERTIES[[#This Row],[VEHIDCODE]],CONTROL[VEHIDCODE],0))</f>
        <v>TIBB E.646</v>
      </c>
      <c r="C376">
        <v>0</v>
      </c>
      <c r="D376" t="s">
        <v>524</v>
      </c>
      <c r="E376" t="s">
        <v>513</v>
      </c>
      <c r="F376" t="s">
        <v>519</v>
      </c>
      <c r="M376"/>
    </row>
    <row r="377" spans="1:13" x14ac:dyDescent="0.35">
      <c r="A377" t="s">
        <v>3003</v>
      </c>
      <c r="B377" s="37" t="str">
        <f>INDEX(CONTROL[ENGLISH],MATCH(PROPERTIES[[#This Row],[VEHIDCODE]],CONTROL[VEHIDCODE],0))</f>
        <v>Breda E.424</v>
      </c>
      <c r="C377">
        <v>0</v>
      </c>
      <c r="D377" t="s">
        <v>524</v>
      </c>
      <c r="E377" t="s">
        <v>506</v>
      </c>
      <c r="F377" t="s">
        <v>515</v>
      </c>
      <c r="M377"/>
    </row>
    <row r="378" spans="1:13" x14ac:dyDescent="0.35">
      <c r="A378" t="s">
        <v>3004</v>
      </c>
      <c r="B378" s="37" t="str">
        <f>INDEX(CONTROL[ENGLISH],MATCH(PROPERTIES[[#This Row],[VEHIDCODE]],CONTROL[VEHIDCODE],0))</f>
        <v>Savigliano E.444</v>
      </c>
      <c r="C378">
        <v>0</v>
      </c>
      <c r="D378" t="s">
        <v>524</v>
      </c>
      <c r="E378" t="s">
        <v>506</v>
      </c>
      <c r="F378" t="s">
        <v>515</v>
      </c>
      <c r="M378"/>
    </row>
    <row r="379" spans="1:13" x14ac:dyDescent="0.35">
      <c r="A379" t="s">
        <v>3005</v>
      </c>
      <c r="B379" s="37" t="str">
        <f>INDEX(CONTROL[ENGLISH],MATCH(PROPERTIES[[#This Row],[VEHIDCODE]],CONTROL[VEHIDCODE],0))</f>
        <v>Fiat E.633</v>
      </c>
      <c r="C379">
        <v>0</v>
      </c>
      <c r="D379" t="s">
        <v>524</v>
      </c>
      <c r="E379" t="s">
        <v>506</v>
      </c>
      <c r="F379" t="s">
        <v>515</v>
      </c>
      <c r="M379"/>
    </row>
    <row r="380" spans="1:13" x14ac:dyDescent="0.35">
      <c r="A380" t="s">
        <v>3006</v>
      </c>
      <c r="B380" s="37" t="str">
        <f>INDEX(CONTROL[ENGLISH],MATCH(PROPERTIES[[#This Row],[VEHIDCODE]],CONTROL[VEHIDCODE],0))</f>
        <v>BN/ACEC 25.5</v>
      </c>
      <c r="C380">
        <v>0</v>
      </c>
      <c r="D380" t="s">
        <v>524</v>
      </c>
      <c r="E380" t="s">
        <v>506</v>
      </c>
      <c r="F380" t="s">
        <v>515</v>
      </c>
      <c r="M380"/>
    </row>
    <row r="381" spans="1:13" x14ac:dyDescent="0.35">
      <c r="A381" t="s">
        <v>3007</v>
      </c>
      <c r="B381" s="37" t="str">
        <f>INDEX(CONTROL[ENGLISH],MATCH(PROPERTIES[[#This Row],[VEHIDCODE]],CONTROL[VEHIDCODE],0))</f>
        <v>Krauss Maffei/CAF 250</v>
      </c>
      <c r="C381">
        <v>0</v>
      </c>
      <c r="D381" t="s">
        <v>524</v>
      </c>
      <c r="E381" t="s">
        <v>506</v>
      </c>
      <c r="F381" t="s">
        <v>515</v>
      </c>
      <c r="M381"/>
    </row>
    <row r="382" spans="1:13" x14ac:dyDescent="0.35">
      <c r="A382" t="s">
        <v>3008</v>
      </c>
      <c r="B382" s="37" t="str">
        <f>INDEX(CONTROL[ENGLISH],MATCH(PROPERTIES[[#This Row],[VEHIDCODE]],CONTROL[VEHIDCODE],0))</f>
        <v>EF-E 29 GE 2-C+C-2</v>
      </c>
      <c r="C382">
        <v>0</v>
      </c>
      <c r="D382" t="s">
        <v>524</v>
      </c>
      <c r="E382" t="s">
        <v>509</v>
      </c>
      <c r="F382" t="s">
        <v>515</v>
      </c>
      <c r="M382"/>
    </row>
    <row r="383" spans="1:13" x14ac:dyDescent="0.35">
      <c r="A383" t="s">
        <v>3009</v>
      </c>
      <c r="B383" s="37" t="str">
        <f>INDEX(CONTROL[ENGLISH],MATCH(PROPERTIES[[#This Row],[VEHIDCODE]],CONTROL[VEHIDCODE],0))</f>
        <v>GAI/Breda E-17</v>
      </c>
      <c r="C383">
        <v>0</v>
      </c>
      <c r="D383" t="s">
        <v>524</v>
      </c>
      <c r="E383" t="s">
        <v>506</v>
      </c>
      <c r="F383" t="s">
        <v>515</v>
      </c>
      <c r="M383"/>
    </row>
    <row r="384" spans="1:13" x14ac:dyDescent="0.35">
      <c r="A384" t="s">
        <v>3010</v>
      </c>
      <c r="B384" s="37" t="str">
        <f>INDEX(CONTROL[ENGLISH],MATCH(PROPERTIES[[#This Row],[VEHIDCODE]],CONTROL[VEHIDCODE],0))</f>
        <v>Alsthom BB 8100</v>
      </c>
      <c r="C384">
        <v>0</v>
      </c>
      <c r="D384" t="s">
        <v>524</v>
      </c>
      <c r="E384" t="s">
        <v>506</v>
      </c>
      <c r="F384" t="s">
        <v>515</v>
      </c>
      <c r="M384"/>
    </row>
    <row r="385" spans="1:13" x14ac:dyDescent="0.35">
      <c r="A385" t="s">
        <v>3011</v>
      </c>
      <c r="B385" s="37" t="str">
        <f>INDEX(CONTROL[ENGLISH],MATCH(PROPERTIES[[#This Row],[VEHIDCODE]],CONTROL[VEHIDCODE],0))</f>
        <v>Vulcan Foundry-EE EM/1</v>
      </c>
      <c r="C385">
        <v>-3</v>
      </c>
      <c r="D385" t="s">
        <v>524</v>
      </c>
      <c r="E385" t="s">
        <v>506</v>
      </c>
      <c r="F385" t="s">
        <v>515</v>
      </c>
      <c r="M385"/>
    </row>
    <row r="386" spans="1:13" x14ac:dyDescent="0.35">
      <c r="A386" t="s">
        <v>3012</v>
      </c>
      <c r="B386" s="37" t="str">
        <f>INDEX(CONTROL[ENGLISH],MATCH(PROPERTIES[[#This Row],[VEHIDCODE]],CONTROL[VEHIDCODE],0))</f>
        <v>Union Carriage &amp; Wagon E38</v>
      </c>
      <c r="C386">
        <v>0</v>
      </c>
      <c r="D386" t="s">
        <v>524</v>
      </c>
      <c r="E386" t="s">
        <v>506</v>
      </c>
      <c r="F386" t="s">
        <v>515</v>
      </c>
      <c r="M386"/>
    </row>
    <row r="387" spans="1:13" x14ac:dyDescent="0.35">
      <c r="A387" t="s">
        <v>3013</v>
      </c>
      <c r="B387" s="37" t="str">
        <f>INDEX(CONTROL[ENGLISH],MATCH(PROPERTIES[[#This Row],[VEHIDCODE]],CONTROL[VEHIDCODE],0))</f>
        <v>Mitsubishi series 269</v>
      </c>
      <c r="C387">
        <v>0</v>
      </c>
      <c r="D387" t="s">
        <v>524</v>
      </c>
      <c r="E387" t="s">
        <v>506</v>
      </c>
      <c r="F387" t="s">
        <v>515</v>
      </c>
      <c r="M387"/>
    </row>
    <row r="388" spans="1:13" x14ac:dyDescent="0.35">
      <c r="A388" t="s">
        <v>3014</v>
      </c>
      <c r="B388" s="37" t="str">
        <f>INDEX(CONTROL[ENGLISH],MATCH(PROPERTIES[[#This Row],[VEHIDCODE]],CONTROL[VEHIDCODE],0))</f>
        <v>Skoda 69E</v>
      </c>
      <c r="C388">
        <v>0</v>
      </c>
      <c r="D388" t="s">
        <v>524</v>
      </c>
      <c r="E388" t="s">
        <v>506</v>
      </c>
      <c r="F388" t="s">
        <v>515</v>
      </c>
      <c r="M388"/>
    </row>
    <row r="389" spans="1:13" x14ac:dyDescent="0.35">
      <c r="A389" t="s">
        <v>3015</v>
      </c>
      <c r="B389" s="37" t="str">
        <f>INDEX(CONTROL[ENGLISH],MATCH(PROPERTIES[[#This Row],[VEHIDCODE]],CONTROL[VEHIDCODE],0))</f>
        <v>AEG/Skabo EL7</v>
      </c>
      <c r="C389">
        <v>-3</v>
      </c>
      <c r="D389" t="s">
        <v>524</v>
      </c>
      <c r="E389" t="s">
        <v>506</v>
      </c>
      <c r="F389" t="s">
        <v>515</v>
      </c>
      <c r="M389"/>
    </row>
    <row r="390" spans="1:13" x14ac:dyDescent="0.35">
      <c r="A390" t="s">
        <v>3016</v>
      </c>
      <c r="B390" s="37" t="str">
        <f>INDEX(CONTROL[ENGLISH],MATCH(PROPERTIES[[#This Row],[VEHIDCODE]],CONTROL[VEHIDCODE],0))</f>
        <v xml:space="preserve">Westinghouse FF-1 'Big Liz' </v>
      </c>
      <c r="C390">
        <v>0</v>
      </c>
      <c r="D390" t="s">
        <v>524</v>
      </c>
      <c r="E390" t="s">
        <v>508</v>
      </c>
      <c r="F390" t="s">
        <v>517</v>
      </c>
      <c r="M390"/>
    </row>
    <row r="391" spans="1:13" x14ac:dyDescent="0.35">
      <c r="A391" t="s">
        <v>3017</v>
      </c>
      <c r="B391" s="37" t="str">
        <f>INDEX(CONTROL[ENGLISH],MATCH(PROPERTIES[[#This Row],[VEHIDCODE]],CONTROL[VEHIDCODE],0))</f>
        <v>ELIN/Floridsdorf 1161</v>
      </c>
      <c r="C391">
        <v>-3</v>
      </c>
      <c r="D391" t="s">
        <v>524</v>
      </c>
      <c r="E391" t="s">
        <v>513</v>
      </c>
      <c r="F391" t="s">
        <v>517</v>
      </c>
      <c r="M391"/>
    </row>
    <row r="392" spans="1:13" x14ac:dyDescent="0.35">
      <c r="A392" t="s">
        <v>3018</v>
      </c>
      <c r="B392" s="37" t="str">
        <f>INDEX(CONTROL[ENGLISH],MATCH(PROPERTIES[[#This Row],[VEHIDCODE]],CONTROL[VEHIDCODE],0))</f>
        <v>Maffei/SSW Lok 5 'Adolphine'</v>
      </c>
      <c r="C392">
        <v>-3</v>
      </c>
      <c r="D392" t="s">
        <v>524</v>
      </c>
      <c r="E392" t="s">
        <v>506</v>
      </c>
      <c r="F392" t="s">
        <v>515</v>
      </c>
      <c r="M392"/>
    </row>
    <row r="393" spans="1:13" x14ac:dyDescent="0.35">
      <c r="A393" t="s">
        <v>3019</v>
      </c>
      <c r="B393" s="37" t="str">
        <f>INDEX(CONTROL[ENGLISH],MATCH(PROPERTIES[[#This Row],[VEHIDCODE]],CONTROL[VEHIDCODE],0))</f>
        <v>Thune/ASEA EL10</v>
      </c>
      <c r="C393">
        <v>-3</v>
      </c>
      <c r="D393" t="s">
        <v>524</v>
      </c>
      <c r="E393" t="s">
        <v>506</v>
      </c>
      <c r="F393" t="s">
        <v>515</v>
      </c>
      <c r="M393"/>
    </row>
    <row r="394" spans="1:13" x14ac:dyDescent="0.35">
      <c r="A394" t="s">
        <v>3020</v>
      </c>
      <c r="B394" s="37" t="str">
        <f>INDEX(CONTROL[ENGLISH],MATCH(PROPERTIES[[#This Row],[VEHIDCODE]],CONTROL[VEHIDCODE],0))</f>
        <v>AEG E 04</v>
      </c>
      <c r="C394">
        <v>-3</v>
      </c>
      <c r="D394" t="s">
        <v>524</v>
      </c>
      <c r="E394" t="s">
        <v>506</v>
      </c>
      <c r="F394" t="s">
        <v>515</v>
      </c>
      <c r="M394"/>
    </row>
    <row r="395" spans="1:13" x14ac:dyDescent="0.35">
      <c r="A395" t="s">
        <v>3021</v>
      </c>
      <c r="B395" s="37" t="str">
        <f>INDEX(CONTROL[ENGLISH],MATCH(PROPERTIES[[#This Row],[VEHIDCODE]],CONTROL[VEHIDCODE],0))</f>
        <v>GE 4-6-0+0-6-4OE GG-1</v>
      </c>
      <c r="C395">
        <v>0</v>
      </c>
      <c r="D395" t="s">
        <v>524</v>
      </c>
      <c r="E395" t="s">
        <v>509</v>
      </c>
      <c r="F395" t="s">
        <v>515</v>
      </c>
      <c r="M395"/>
    </row>
    <row r="396" spans="1:13" x14ac:dyDescent="0.35">
      <c r="A396" t="s">
        <v>3022</v>
      </c>
      <c r="B396" s="37" t="str">
        <f>INDEX(CONTROL[ENGLISH],MATCH(PROPERTIES[[#This Row],[VEHIDCODE]],CONTROL[VEHIDCODE],0))</f>
        <v>SLM 1100 'Crocodile'</v>
      </c>
      <c r="C396">
        <v>-3</v>
      </c>
      <c r="D396" t="s">
        <v>524</v>
      </c>
      <c r="E396" t="s">
        <v>506</v>
      </c>
      <c r="F396" t="s">
        <v>515</v>
      </c>
      <c r="M396"/>
    </row>
    <row r="397" spans="1:13" x14ac:dyDescent="0.35">
      <c r="A397" t="s">
        <v>3023</v>
      </c>
      <c r="B397" s="37" t="str">
        <f>INDEX(CONTROL[ENGLISH],MATCH(PROPERTIES[[#This Row],[VEHIDCODE]],CONTROL[VEHIDCODE],0))</f>
        <v>AEG/BBC/Henschel/Siemens E03</v>
      </c>
      <c r="C397">
        <v>-3</v>
      </c>
      <c r="D397" t="s">
        <v>524</v>
      </c>
      <c r="E397" t="s">
        <v>506</v>
      </c>
      <c r="F397" t="s">
        <v>515</v>
      </c>
      <c r="M397"/>
    </row>
    <row r="398" spans="1:13" x14ac:dyDescent="0.35">
      <c r="A398" t="s">
        <v>3024</v>
      </c>
      <c r="B398" s="37" t="str">
        <f>INDEX(CONTROL[ENGLISH],MATCH(PROPERTIES[[#This Row],[VEHIDCODE]],CONTROL[VEHIDCODE],0))</f>
        <v>Krauss/WASSEG E 91.9</v>
      </c>
      <c r="C398">
        <v>0</v>
      </c>
      <c r="D398" t="s">
        <v>524</v>
      </c>
      <c r="E398" t="s">
        <v>506</v>
      </c>
      <c r="F398" t="s">
        <v>515</v>
      </c>
      <c r="M398"/>
    </row>
    <row r="399" spans="1:13" x14ac:dyDescent="0.35">
      <c r="A399" t="s">
        <v>3025</v>
      </c>
      <c r="B399" s="37" t="str">
        <f>INDEX(CONTROL[ENGLISH],MATCH(PROPERTIES[[#This Row],[VEHIDCODE]],CONTROL[VEHIDCODE],0))</f>
        <v>SLM Ce 4/4</v>
      </c>
      <c r="C399">
        <v>-3</v>
      </c>
      <c r="D399" t="s">
        <v>524</v>
      </c>
      <c r="E399" t="s">
        <v>506</v>
      </c>
      <c r="F399" t="s">
        <v>515</v>
      </c>
      <c r="M399"/>
    </row>
    <row r="400" spans="1:13" x14ac:dyDescent="0.35">
      <c r="A400" t="s">
        <v>3026</v>
      </c>
      <c r="B400" s="37" t="str">
        <f>INDEX(CONTROL[ENGLISH],MATCH(PROPERTIES[[#This Row],[VEHIDCODE]],CONTROL[VEHIDCODE],0))</f>
        <v>SLM Ae 6/6</v>
      </c>
      <c r="C400">
        <v>-3</v>
      </c>
      <c r="D400" t="s">
        <v>524</v>
      </c>
      <c r="E400" t="s">
        <v>506</v>
      </c>
      <c r="F400" t="s">
        <v>515</v>
      </c>
      <c r="M400"/>
    </row>
    <row r="401" spans="1:13" x14ac:dyDescent="0.35">
      <c r="A401" t="s">
        <v>3027</v>
      </c>
      <c r="B401" s="37" t="str">
        <f>INDEX(CONTROL[ENGLISH],MATCH(PROPERTIES[[#This Row],[VEHIDCODE]],CONTROL[VEHIDCODE],0))</f>
        <v>SLM-ABB Lok 2000</v>
      </c>
      <c r="C401">
        <v>-3</v>
      </c>
      <c r="D401" t="s">
        <v>524</v>
      </c>
      <c r="E401" t="s">
        <v>506</v>
      </c>
      <c r="F401" t="s">
        <v>515</v>
      </c>
      <c r="M401"/>
    </row>
    <row r="402" spans="1:13" x14ac:dyDescent="0.35">
      <c r="A402" t="s">
        <v>3028</v>
      </c>
      <c r="B402" s="37" t="str">
        <f>INDEX(CONTROL[ENGLISH],MATCH(PROPERTIES[[#This Row],[VEHIDCODE]],CONTROL[VEHIDCODE],0))</f>
        <v>Stadler Butler Eem 923</v>
      </c>
      <c r="C402">
        <v>-3</v>
      </c>
      <c r="D402" t="s">
        <v>524</v>
      </c>
      <c r="E402" t="s">
        <v>506</v>
      </c>
      <c r="F402" t="s">
        <v>515</v>
      </c>
      <c r="M402"/>
    </row>
    <row r="403" spans="1:13" x14ac:dyDescent="0.35">
      <c r="A403" t="s">
        <v>3029</v>
      </c>
      <c r="B403" s="37" t="str">
        <f>INDEX(CONTROL[ENGLISH],MATCH(PROPERTIES[[#This Row],[VEHIDCODE]],CONTROL[VEHIDCODE],0))</f>
        <v>SGP 1044</v>
      </c>
      <c r="C403">
        <v>-3</v>
      </c>
      <c r="D403" t="s">
        <v>524</v>
      </c>
      <c r="E403" t="s">
        <v>506</v>
      </c>
      <c r="F403" t="s">
        <v>515</v>
      </c>
      <c r="M403"/>
    </row>
    <row r="404" spans="1:13" x14ac:dyDescent="0.35">
      <c r="A404" t="s">
        <v>3030</v>
      </c>
      <c r="B404" s="37" t="str">
        <f>INDEX(CONTROL[ENGLISH],MATCH(PROPERTIES[[#This Row],[VEHIDCODE]],CONTROL[VEHIDCODE],0))</f>
        <v>SGP 1063</v>
      </c>
      <c r="C404">
        <v>-3</v>
      </c>
      <c r="D404" t="s">
        <v>524</v>
      </c>
      <c r="E404" t="s">
        <v>506</v>
      </c>
      <c r="F404" t="s">
        <v>515</v>
      </c>
      <c r="M404"/>
    </row>
    <row r="405" spans="1:13" x14ac:dyDescent="0.35">
      <c r="A405" t="s">
        <v>3031</v>
      </c>
      <c r="B405" s="37" t="str">
        <f>INDEX(CONTROL[ENGLISH],MATCH(PROPERTIES[[#This Row],[VEHIDCODE]],CONTROL[VEHIDCODE],0))</f>
        <v>ASEA Dm3</v>
      </c>
      <c r="C405">
        <v>0</v>
      </c>
      <c r="D405" t="s">
        <v>524</v>
      </c>
      <c r="E405" t="s">
        <v>507</v>
      </c>
      <c r="F405" t="s">
        <v>519</v>
      </c>
      <c r="M405"/>
    </row>
    <row r="406" spans="1:13" x14ac:dyDescent="0.35">
      <c r="A406" t="s">
        <v>3032</v>
      </c>
      <c r="B406" s="37" t="str">
        <f>INDEX(CONTROL[ENGLISH],MATCH(PROPERTIES[[#This Row],[VEHIDCODE]],CONTROL[VEHIDCODE],0))</f>
        <v>Bombardier Traxx H80 AC</v>
      </c>
      <c r="C406">
        <v>0</v>
      </c>
      <c r="D406" t="s">
        <v>524</v>
      </c>
      <c r="E406" t="s">
        <v>513</v>
      </c>
      <c r="F406" t="s">
        <v>519</v>
      </c>
      <c r="M406"/>
    </row>
    <row r="407" spans="1:13" x14ac:dyDescent="0.35">
      <c r="A407" t="s">
        <v>3033</v>
      </c>
      <c r="B407" s="37" t="str">
        <f>INDEX(CONTROL[ENGLISH],MATCH(PROPERTIES[[#This Row],[VEHIDCODE]],CONTROL[VEHIDCODE],0))</f>
        <v>Siemens Oa</v>
      </c>
      <c r="C407">
        <v>0</v>
      </c>
      <c r="D407" t="s">
        <v>524</v>
      </c>
      <c r="E407" t="s">
        <v>507</v>
      </c>
      <c r="F407" t="s">
        <v>518</v>
      </c>
      <c r="M407"/>
    </row>
    <row r="408" spans="1:13" x14ac:dyDescent="0.35">
      <c r="A408" t="s">
        <v>3034</v>
      </c>
      <c r="B408" s="37" t="str">
        <f>INDEX(CONTROL[ENGLISH],MATCH(PROPERTIES[[#This Row],[VEHIDCODE]],CONTROL[VEHIDCODE],0))</f>
        <v>ASEA F</v>
      </c>
      <c r="C408">
        <v>0</v>
      </c>
      <c r="D408" t="s">
        <v>524</v>
      </c>
      <c r="E408" t="s">
        <v>506</v>
      </c>
      <c r="F408" t="s">
        <v>515</v>
      </c>
      <c r="M408"/>
    </row>
    <row r="409" spans="1:13" x14ac:dyDescent="0.35">
      <c r="A409" t="s">
        <v>3035</v>
      </c>
      <c r="B409" s="37" t="str">
        <f>INDEX(CONTROL[ENGLISH],MATCH(PROPERTIES[[#This Row],[VEHIDCODE]],CONTROL[VEHIDCODE],0))</f>
        <v>Thyssen-Henschel EL17</v>
      </c>
      <c r="C409">
        <v>0</v>
      </c>
      <c r="D409" t="s">
        <v>524</v>
      </c>
      <c r="E409" t="s">
        <v>506</v>
      </c>
      <c r="F409" t="s">
        <v>515</v>
      </c>
      <c r="M409"/>
    </row>
    <row r="410" spans="1:13" x14ac:dyDescent="0.35">
      <c r="A410" t="s">
        <v>3036</v>
      </c>
      <c r="B410" s="37" t="str">
        <f>INDEX(CONTROL[ENGLISH],MATCH(PROPERTIES[[#This Row],[VEHIDCODE]],CONTROL[VEHIDCODE],0))</f>
        <v>Borsig/SSW ES 6</v>
      </c>
      <c r="C410">
        <v>-3</v>
      </c>
      <c r="D410" t="s">
        <v>524</v>
      </c>
      <c r="E410" t="s">
        <v>513</v>
      </c>
      <c r="F410" t="s">
        <v>517</v>
      </c>
      <c r="M410"/>
    </row>
    <row r="411" spans="1:13" x14ac:dyDescent="0.35">
      <c r="A411" t="s">
        <v>3037</v>
      </c>
      <c r="B411" s="37" t="str">
        <f>INDEX(CONTROL[ENGLISH],MATCH(PROPERTIES[[#This Row],[VEHIDCODE]],CONTROL[VEHIDCODE],0))</f>
        <v>GE EL-2B</v>
      </c>
      <c r="C411">
        <v>0</v>
      </c>
      <c r="D411" t="s">
        <v>524</v>
      </c>
      <c r="E411" t="s">
        <v>513</v>
      </c>
      <c r="F411" t="s">
        <v>519</v>
      </c>
      <c r="M411"/>
    </row>
    <row r="412" spans="1:13" x14ac:dyDescent="0.35">
      <c r="A412" t="s">
        <v>3038</v>
      </c>
      <c r="B412" s="37" t="str">
        <f>INDEX(CONTROL[ENGLISH],MATCH(PROPERTIES[[#This Row],[VEHIDCODE]],CONTROL[VEHIDCODE],0))</f>
        <v>GE W-1</v>
      </c>
      <c r="C412">
        <v>0</v>
      </c>
      <c r="D412" t="s">
        <v>524</v>
      </c>
      <c r="E412" t="s">
        <v>509</v>
      </c>
      <c r="F412" t="s">
        <v>515</v>
      </c>
      <c r="M412"/>
    </row>
    <row r="413" spans="1:13" x14ac:dyDescent="0.35">
      <c r="A413" t="s">
        <v>3039</v>
      </c>
      <c r="B413" s="37" t="str">
        <f>INDEX(CONTROL[ENGLISH],MATCH(PROPERTIES[[#This Row],[VEHIDCODE]],CONTROL[VEHIDCODE],0))</f>
        <v>Westinghouse 6wOE B1</v>
      </c>
      <c r="C413">
        <v>0</v>
      </c>
      <c r="D413" t="s">
        <v>524</v>
      </c>
      <c r="E413" t="s">
        <v>506</v>
      </c>
      <c r="F413" t="s">
        <v>515</v>
      </c>
      <c r="M413"/>
    </row>
    <row r="414" spans="1:13" x14ac:dyDescent="0.35">
      <c r="A414" t="s">
        <v>3040</v>
      </c>
      <c r="B414" s="37" t="str">
        <f>INDEX(CONTROL[ENGLISH],MATCH(PROPERTIES[[#This Row],[VEHIDCODE]],CONTROL[VEHIDCODE],0))</f>
        <v>Siemens E40 AG-V1</v>
      </c>
      <c r="C414">
        <v>0</v>
      </c>
      <c r="D414" t="s">
        <v>524</v>
      </c>
      <c r="E414" t="s">
        <v>506</v>
      </c>
      <c r="F414" t="s">
        <v>515</v>
      </c>
      <c r="M414"/>
    </row>
    <row r="415" spans="1:13" x14ac:dyDescent="0.35">
      <c r="A415" t="s">
        <v>3041</v>
      </c>
      <c r="B415" s="37" t="str">
        <f>INDEX(CONTROL[ENGLISH],MATCH(PROPERTIES[[#This Row],[VEHIDCODE]],CONTROL[VEHIDCODE],0))</f>
        <v>Zuzhou SS6</v>
      </c>
      <c r="C415">
        <v>-3</v>
      </c>
      <c r="D415" t="s">
        <v>524</v>
      </c>
      <c r="E415" t="s">
        <v>506</v>
      </c>
      <c r="F415" t="s">
        <v>515</v>
      </c>
      <c r="M415"/>
    </row>
    <row r="416" spans="1:13" x14ac:dyDescent="0.35">
      <c r="A416" t="s">
        <v>3042</v>
      </c>
      <c r="B416" s="37" t="str">
        <f>INDEX(CONTROL[ENGLISH],MATCH(PROPERTIES[[#This Row],[VEHIDCODE]],CONTROL[VEHIDCODE],0))</f>
        <v>Zuzhou SS3</v>
      </c>
      <c r="C416">
        <v>0</v>
      </c>
      <c r="D416" t="s">
        <v>524</v>
      </c>
      <c r="E416" t="s">
        <v>506</v>
      </c>
      <c r="F416" t="s">
        <v>515</v>
      </c>
      <c r="M416"/>
    </row>
    <row r="417" spans="1:13" x14ac:dyDescent="0.35">
      <c r="A417" t="s">
        <v>3043</v>
      </c>
      <c r="B417" s="37" t="str">
        <f>INDEX(CONTROL[ENGLISH],MATCH(PROPERTIES[[#This Row],[VEHIDCODE]],CONTROL[VEHIDCODE],0))</f>
        <v>Toshiba/CNR Dalian HXD3</v>
      </c>
      <c r="C417">
        <v>-3</v>
      </c>
      <c r="D417" t="s">
        <v>524</v>
      </c>
      <c r="E417" t="s">
        <v>506</v>
      </c>
      <c r="F417" t="s">
        <v>515</v>
      </c>
      <c r="M417"/>
    </row>
    <row r="418" spans="1:13" x14ac:dyDescent="0.35">
      <c r="A418" t="s">
        <v>3044</v>
      </c>
      <c r="B418" s="37" t="str">
        <f>INDEX(CONTROL[ENGLISH],MATCH(PROPERTIES[[#This Row],[VEHIDCODE]],CONTROL[VEHIDCODE],0))</f>
        <v>Toshiba/CRRC HXD1D</v>
      </c>
      <c r="C418">
        <v>0</v>
      </c>
      <c r="D418" t="s">
        <v>524</v>
      </c>
      <c r="E418" t="s">
        <v>506</v>
      </c>
      <c r="F418" t="s">
        <v>515</v>
      </c>
      <c r="M418"/>
    </row>
    <row r="419" spans="1:13" x14ac:dyDescent="0.35">
      <c r="A419" t="s">
        <v>3045</v>
      </c>
      <c r="B419" s="37" t="str">
        <f>INDEX(CONTROL[ENGLISH],MATCH(PROPERTIES[[#This Row],[VEHIDCODE]],CONTROL[VEHIDCODE],0))</f>
        <v>Kawasaki 6K</v>
      </c>
      <c r="C419">
        <v>-3</v>
      </c>
      <c r="D419" t="s">
        <v>524</v>
      </c>
      <c r="E419" t="s">
        <v>506</v>
      </c>
      <c r="F419" t="s">
        <v>515</v>
      </c>
      <c r="M419"/>
    </row>
    <row r="420" spans="1:13" x14ac:dyDescent="0.35">
      <c r="A420" t="s">
        <v>3046</v>
      </c>
      <c r="B420" s="37" t="str">
        <f>INDEX(CONTROL[ENGLISH],MATCH(PROPERTIES[[#This Row],[VEHIDCODE]],CONTROL[VEHIDCODE],0))</f>
        <v>GE E44</v>
      </c>
      <c r="C420">
        <v>0</v>
      </c>
      <c r="D420" t="s">
        <v>524</v>
      </c>
      <c r="E420" t="s">
        <v>506</v>
      </c>
      <c r="F420" t="s">
        <v>515</v>
      </c>
      <c r="M420"/>
    </row>
    <row r="421" spans="1:13" x14ac:dyDescent="0.35">
      <c r="A421" t="s">
        <v>3047</v>
      </c>
      <c r="B421" s="37" t="str">
        <f>INDEX(CONTROL[ENGLISH],MATCH(PROPERTIES[[#This Row],[VEHIDCODE]],CONTROL[VEHIDCODE],0))</f>
        <v>ASEA/Koncar Rb</v>
      </c>
      <c r="C421">
        <v>-3</v>
      </c>
      <c r="D421" t="s">
        <v>524</v>
      </c>
      <c r="E421" t="s">
        <v>506</v>
      </c>
      <c r="F421" t="s">
        <v>515</v>
      </c>
      <c r="M421"/>
    </row>
    <row r="422" spans="1:13" x14ac:dyDescent="0.35">
      <c r="A422" t="s">
        <v>3048</v>
      </c>
      <c r="B422" s="37" t="str">
        <f>INDEX(CONTROL[ENGLISH],MATCH(PROPERTIES[[#This Row],[VEHIDCODE]],CONTROL[VEHIDCODE],0))</f>
        <v>Ganz-MAVAG VM14 'V43'</v>
      </c>
      <c r="C422">
        <v>0</v>
      </c>
      <c r="D422" t="s">
        <v>524</v>
      </c>
      <c r="E422" t="s">
        <v>506</v>
      </c>
      <c r="F422" t="s">
        <v>515</v>
      </c>
      <c r="M422"/>
    </row>
    <row r="423" spans="1:13" x14ac:dyDescent="0.35">
      <c r="A423" t="s">
        <v>3049</v>
      </c>
      <c r="B423" s="37" t="str">
        <f>INDEX(CONTROL[ENGLISH],MATCH(PROPERTIES[[#This Row],[VEHIDCODE]],CONTROL[VEHIDCODE],0))</f>
        <v>Alsthom CP 2500</v>
      </c>
      <c r="C423">
        <v>-3</v>
      </c>
      <c r="D423" t="s">
        <v>524</v>
      </c>
      <c r="E423" t="s">
        <v>506</v>
      </c>
      <c r="F423" t="s">
        <v>515</v>
      </c>
      <c r="M423"/>
    </row>
    <row r="424" spans="1:13" x14ac:dyDescent="0.35">
      <c r="A424" t="s">
        <v>3050</v>
      </c>
      <c r="B424" s="37" t="str">
        <f>INDEX(CONTROL[ENGLISH],MATCH(PROPERTIES[[#This Row],[VEHIDCODE]],CONTROL[VEHIDCODE],0))</f>
        <v>Alsthom CP 2600</v>
      </c>
      <c r="C424">
        <v>0</v>
      </c>
      <c r="D424" t="s">
        <v>524</v>
      </c>
      <c r="E424" t="s">
        <v>506</v>
      </c>
      <c r="F424" t="s">
        <v>515</v>
      </c>
      <c r="M424"/>
    </row>
    <row r="425" spans="1:13" x14ac:dyDescent="0.35">
      <c r="A425" t="s">
        <v>3051</v>
      </c>
      <c r="B425" s="37" t="str">
        <f>INDEX(CONTROL[ENGLISH],MATCH(PROPERTIES[[#This Row],[VEHIDCODE]],CONTROL[VEHIDCODE],0))</f>
        <v>ZELC 20E 'China Doll'</v>
      </c>
      <c r="C425">
        <v>0</v>
      </c>
      <c r="D425" t="s">
        <v>524</v>
      </c>
      <c r="E425" t="s">
        <v>506</v>
      </c>
      <c r="F425" t="s">
        <v>515</v>
      </c>
      <c r="M425"/>
    </row>
    <row r="426" spans="1:13" x14ac:dyDescent="0.35">
      <c r="A426" t="s">
        <v>3448</v>
      </c>
      <c r="B426" s="37" t="str">
        <f>INDEX(CONTROL[ENGLISH],MATCH(PROPERTIES[[#This Row],[VEHIDCODE]],CONTROL[VEHIDCODE],0))</f>
        <v>Siemens EuroSprinter ES64F4</v>
      </c>
      <c r="C426">
        <v>-3</v>
      </c>
      <c r="D426" t="s">
        <v>524</v>
      </c>
      <c r="E426" t="s">
        <v>506</v>
      </c>
      <c r="F426" t="s">
        <v>515</v>
      </c>
      <c r="M426"/>
    </row>
    <row r="427" spans="1:13" x14ac:dyDescent="0.35">
      <c r="A427" t="s">
        <v>3052</v>
      </c>
      <c r="B427" s="37" t="str">
        <f>INDEX(CONTROL[ENGLISH],MATCH(PROPERTIES[[#This Row],[VEHIDCODE]],CONTROL[VEHIDCODE],0))</f>
        <v>DEVZ DS3</v>
      </c>
      <c r="C427">
        <v>-3</v>
      </c>
      <c r="D427" t="s">
        <v>524</v>
      </c>
      <c r="E427" t="s">
        <v>506</v>
      </c>
      <c r="F427" t="s">
        <v>515</v>
      </c>
      <c r="M427"/>
    </row>
    <row r="428" spans="1:13" x14ac:dyDescent="0.35">
      <c r="A428" t="s">
        <v>3053</v>
      </c>
      <c r="B428" s="37" t="str">
        <f>INDEX(CONTROL[ENGLISH],MATCH(PROPERTIES[[#This Row],[VEHIDCODE]],CONTROL[VEHIDCODE],0))</f>
        <v>Skoda 47E</v>
      </c>
      <c r="C428">
        <v>0</v>
      </c>
      <c r="D428" t="s">
        <v>524</v>
      </c>
      <c r="E428" t="s">
        <v>506</v>
      </c>
      <c r="F428" t="s">
        <v>515</v>
      </c>
      <c r="M428"/>
    </row>
    <row r="429" spans="1:13" x14ac:dyDescent="0.35">
      <c r="A429" t="s">
        <v>3054</v>
      </c>
      <c r="B429" s="37" t="str">
        <f>INDEX(CONTROL[ENGLISH],MATCH(PROPERTIES[[#This Row],[VEHIDCODE]],CONTROL[VEHIDCODE],0))</f>
        <v>Ansaldo - Breda C.F E.491</v>
      </c>
      <c r="C429">
        <v>0</v>
      </c>
      <c r="D429" t="s">
        <v>524</v>
      </c>
      <c r="E429" t="s">
        <v>506</v>
      </c>
      <c r="F429" t="s">
        <v>515</v>
      </c>
      <c r="M429"/>
    </row>
    <row r="430" spans="1:13" x14ac:dyDescent="0.35">
      <c r="A430" t="s">
        <v>3055</v>
      </c>
      <c r="B430" s="37" t="str">
        <f>INDEX(CONTROL[ENGLISH],MATCH(PROPERTIES[[#This Row],[VEHIDCODE]],CONTROL[VEHIDCODE],0))</f>
        <v>ASEA/Electroputere LE5100</v>
      </c>
      <c r="C430">
        <v>0</v>
      </c>
      <c r="D430" t="s">
        <v>524</v>
      </c>
      <c r="E430" t="s">
        <v>506</v>
      </c>
      <c r="F430" t="s">
        <v>515</v>
      </c>
      <c r="M430"/>
    </row>
    <row r="431" spans="1:13" x14ac:dyDescent="0.35">
      <c r="A431" t="s">
        <v>3056</v>
      </c>
      <c r="B431" s="37" t="str">
        <f>INDEX(CONTROL[ENGLISH],MATCH(PROPERTIES[[#This Row],[VEHIDCODE]],CONTROL[VEHIDCODE],0))</f>
        <v>CEF BB 1600</v>
      </c>
      <c r="C431">
        <v>0</v>
      </c>
      <c r="D431" t="s">
        <v>524</v>
      </c>
      <c r="E431" t="s">
        <v>506</v>
      </c>
      <c r="F431" t="s">
        <v>515</v>
      </c>
      <c r="M431"/>
    </row>
    <row r="432" spans="1:13" x14ac:dyDescent="0.35">
      <c r="A432" t="s">
        <v>3057</v>
      </c>
      <c r="B432" s="37" t="str">
        <f>INDEX(CONTROL[ENGLISH],MATCH(PROPERTIES[[#This Row],[VEHIDCODE]],CONTROL[VEHIDCODE],0))</f>
        <v>Doncaster AL5</v>
      </c>
      <c r="C432">
        <v>0</v>
      </c>
      <c r="D432" t="s">
        <v>524</v>
      </c>
      <c r="E432" t="s">
        <v>506</v>
      </c>
      <c r="F432" t="s">
        <v>515</v>
      </c>
      <c r="M432"/>
    </row>
    <row r="433" spans="1:13" x14ac:dyDescent="0.35">
      <c r="A433" t="s">
        <v>3058</v>
      </c>
      <c r="B433" s="37" t="str">
        <f>INDEX(CONTROL[ENGLISH],MATCH(PROPERTIES[[#This Row],[VEHIDCODE]],CONTROL[VEHIDCODE],0))</f>
        <v>GE E60C-2</v>
      </c>
      <c r="C433">
        <v>0</v>
      </c>
      <c r="D433" t="s">
        <v>524</v>
      </c>
      <c r="E433" t="s">
        <v>506</v>
      </c>
      <c r="F433" t="s">
        <v>515</v>
      </c>
      <c r="M433"/>
    </row>
    <row r="434" spans="1:13" x14ac:dyDescent="0.35">
      <c r="A434" t="s">
        <v>3059</v>
      </c>
      <c r="B434" s="37" t="str">
        <f>INDEX(CONTROL[ENGLISH],MATCH(PROPERTIES[[#This Row],[VEHIDCODE]],CONTROL[VEHIDCODE],0))</f>
        <v>Alstom E 1400</v>
      </c>
      <c r="C434">
        <v>0</v>
      </c>
      <c r="D434" t="s">
        <v>524</v>
      </c>
      <c r="E434" t="s">
        <v>506</v>
      </c>
      <c r="F434" t="s">
        <v>515</v>
      </c>
      <c r="M434"/>
    </row>
    <row r="435" spans="1:13" x14ac:dyDescent="0.35">
      <c r="A435" t="s">
        <v>3060</v>
      </c>
      <c r="B435" s="37" t="str">
        <f>INDEX(CONTROL[ENGLISH],MATCH(PROPERTIES[[#This Row],[VEHIDCODE]],CONTROL[VEHIDCODE],0))</f>
        <v>Toshiba EA</v>
      </c>
      <c r="C435">
        <v>0</v>
      </c>
      <c r="D435" t="s">
        <v>524</v>
      </c>
      <c r="E435" t="s">
        <v>506</v>
      </c>
      <c r="F435" t="s">
        <v>515</v>
      </c>
      <c r="M435"/>
    </row>
    <row r="436" spans="1:13" x14ac:dyDescent="0.35">
      <c r="A436" t="s">
        <v>3061</v>
      </c>
      <c r="B436" s="37" t="str">
        <f>INDEX(CONTROL[ENGLISH],MATCH(PROPERTIES[[#This Row],[VEHIDCODE]],CONTROL[VEHIDCODE],0))</f>
        <v>ASEA-GMD GF6C</v>
      </c>
      <c r="C436">
        <v>0</v>
      </c>
      <c r="D436" t="s">
        <v>524</v>
      </c>
      <c r="E436" t="s">
        <v>506</v>
      </c>
      <c r="F436" t="s">
        <v>515</v>
      </c>
      <c r="M436"/>
    </row>
    <row r="437" spans="1:13" x14ac:dyDescent="0.35">
      <c r="A437" t="s">
        <v>3062</v>
      </c>
      <c r="B437" s="37" t="str">
        <f>INDEX(CONTROL[ENGLISH],MATCH(PROPERTIES[[#This Row],[VEHIDCODE]],CONTROL[VEHIDCODE],0))</f>
        <v>Alsthom BB 22200</v>
      </c>
      <c r="C437">
        <v>-3</v>
      </c>
      <c r="D437" t="s">
        <v>524</v>
      </c>
      <c r="E437" t="s">
        <v>506</v>
      </c>
      <c r="F437" t="s">
        <v>515</v>
      </c>
      <c r="M437"/>
    </row>
    <row r="438" spans="1:13" x14ac:dyDescent="0.35">
      <c r="A438" t="s">
        <v>3063</v>
      </c>
      <c r="B438" s="37" t="str">
        <f>INDEX(CONTROL[ENGLISH],MATCH(PROPERTIES[[#This Row],[VEHIDCODE]],CONTROL[VEHIDCODE],0))</f>
        <v>GEC-Alsthom BB 26000</v>
      </c>
      <c r="C438">
        <v>-3</v>
      </c>
      <c r="D438" t="s">
        <v>524</v>
      </c>
      <c r="E438" t="s">
        <v>506</v>
      </c>
      <c r="F438" t="s">
        <v>515</v>
      </c>
      <c r="M438"/>
    </row>
    <row r="439" spans="1:13" x14ac:dyDescent="0.35">
      <c r="A439" t="s">
        <v>3064</v>
      </c>
      <c r="B439" s="37" t="str">
        <f>INDEX(CONTROL[ENGLISH],MATCH(PROPERTIES[[#This Row],[VEHIDCODE]],CONTROL[VEHIDCODE],0))</f>
        <v>Alsthom BB 25500</v>
      </c>
      <c r="C439">
        <v>0</v>
      </c>
      <c r="D439" t="s">
        <v>524</v>
      </c>
      <c r="E439" t="s">
        <v>506</v>
      </c>
      <c r="F439" t="s">
        <v>515</v>
      </c>
      <c r="M439"/>
    </row>
    <row r="440" spans="1:13" x14ac:dyDescent="0.35">
      <c r="A440" t="s">
        <v>3065</v>
      </c>
      <c r="B440" s="37" t="str">
        <f>INDEX(CONTROL[ENGLISH],MATCH(PROPERTIES[[#This Row],[VEHIDCODE]],CONTROL[VEHIDCODE],0))</f>
        <v>Siemens EuroSprinter ES64U4</v>
      </c>
      <c r="C440">
        <v>-3</v>
      </c>
      <c r="D440" t="s">
        <v>524</v>
      </c>
      <c r="E440" t="s">
        <v>506</v>
      </c>
      <c r="F440" t="s">
        <v>515</v>
      </c>
      <c r="M440"/>
    </row>
    <row r="441" spans="1:13" x14ac:dyDescent="0.35">
      <c r="A441" t="s">
        <v>3066</v>
      </c>
      <c r="B441" s="37" t="str">
        <f>INDEX(CONTROL[ENGLISH],MATCH(PROPERTIES[[#This Row],[VEHIDCODE]],CONTROL[VEHIDCODE],0))</f>
        <v>Toshiba EH500</v>
      </c>
      <c r="C441">
        <v>0</v>
      </c>
      <c r="D441" t="s">
        <v>524</v>
      </c>
      <c r="E441" t="s">
        <v>513</v>
      </c>
      <c r="F441" t="s">
        <v>519</v>
      </c>
      <c r="M441"/>
    </row>
    <row r="442" spans="1:13" x14ac:dyDescent="0.35">
      <c r="A442" t="s">
        <v>3067</v>
      </c>
      <c r="B442" s="37" t="str">
        <f>INDEX(CONTROL[ENGLISH],MATCH(PROPERTIES[[#This Row],[VEHIDCODE]],CONTROL[VEHIDCODE],0))</f>
        <v>ASEA-EMD AEM-7</v>
      </c>
      <c r="C442">
        <v>0</v>
      </c>
      <c r="D442" t="s">
        <v>524</v>
      </c>
      <c r="E442" t="s">
        <v>506</v>
      </c>
      <c r="F442" t="s">
        <v>515</v>
      </c>
      <c r="M442"/>
    </row>
    <row r="443" spans="1:13" x14ac:dyDescent="0.35">
      <c r="A443" t="s">
        <v>3068</v>
      </c>
      <c r="B443" s="37" t="str">
        <f>INDEX(CONTROL[ENGLISH],MATCH(PROPERTIES[[#This Row],[VEHIDCODE]],CONTROL[VEHIDCODE],0))</f>
        <v>Bombardier-Alstom HHP-8</v>
      </c>
      <c r="C443">
        <v>0</v>
      </c>
      <c r="D443" t="s">
        <v>524</v>
      </c>
      <c r="E443" t="s">
        <v>506</v>
      </c>
      <c r="F443" t="s">
        <v>515</v>
      </c>
      <c r="M443"/>
    </row>
    <row r="444" spans="1:13" x14ac:dyDescent="0.35">
      <c r="A444" t="s">
        <v>3069</v>
      </c>
      <c r="B444" s="37" t="str">
        <f>INDEX(CONTROL[ENGLISH],MATCH(PROPERTIES[[#This Row],[VEHIDCODE]],CONTROL[VEHIDCODE],0))</f>
        <v>Skoda 109E</v>
      </c>
      <c r="C444">
        <v>0</v>
      </c>
      <c r="D444" t="s">
        <v>524</v>
      </c>
      <c r="E444" t="s">
        <v>506</v>
      </c>
      <c r="F444" t="s">
        <v>515</v>
      </c>
      <c r="M444"/>
    </row>
    <row r="445" spans="1:13" x14ac:dyDescent="0.35">
      <c r="A445" t="s">
        <v>3070</v>
      </c>
      <c r="B445" s="37" t="str">
        <f>INDEX(CONTROL[ENGLISH],MATCH(PROPERTIES[[#This Row],[VEHIDCODE]],CONTROL[VEHIDCODE],0))</f>
        <v>CAF/Macosa 252</v>
      </c>
      <c r="C445">
        <v>-3</v>
      </c>
      <c r="D445" t="s">
        <v>524</v>
      </c>
      <c r="E445" t="s">
        <v>506</v>
      </c>
      <c r="F445" t="s">
        <v>515</v>
      </c>
      <c r="M445"/>
    </row>
    <row r="446" spans="1:13" x14ac:dyDescent="0.35">
      <c r="A446" t="s">
        <v>3071</v>
      </c>
      <c r="B446" s="37" t="str">
        <f>INDEX(CONTROL[ENGLISH],MATCH(PROPERTIES[[#This Row],[VEHIDCODE]],CONTROL[VEHIDCODE],0))</f>
        <v>Bombardier Traxx F140 MS</v>
      </c>
      <c r="C446">
        <v>-3</v>
      </c>
      <c r="D446" t="s">
        <v>524</v>
      </c>
      <c r="E446" t="s">
        <v>506</v>
      </c>
      <c r="F446" t="s">
        <v>515</v>
      </c>
      <c r="M446"/>
    </row>
    <row r="447" spans="1:13" x14ac:dyDescent="0.35">
      <c r="A447" t="s">
        <v>3072</v>
      </c>
      <c r="B447" s="37" t="str">
        <f>INDEX(CONTROL[ENGLISH],MATCH(PROPERTIES[[#This Row],[VEHIDCODE]],CONTROL[VEHIDCODE],0))</f>
        <v>TIBB E.550</v>
      </c>
      <c r="C447">
        <v>0</v>
      </c>
      <c r="D447" t="s">
        <v>524</v>
      </c>
      <c r="E447" t="s">
        <v>513</v>
      </c>
      <c r="F447" t="s">
        <v>517</v>
      </c>
      <c r="M447"/>
    </row>
    <row r="448" spans="1:13" x14ac:dyDescent="0.35">
      <c r="A448" t="s">
        <v>3073</v>
      </c>
      <c r="B448" s="37" t="str">
        <f>INDEX(CONTROL[ENGLISH],MATCH(PROPERTIES[[#This Row],[VEHIDCODE]],CONTROL[VEHIDCODE],0))</f>
        <v>Hitachi EF81</v>
      </c>
      <c r="C448">
        <v>0</v>
      </c>
      <c r="D448" t="s">
        <v>524</v>
      </c>
      <c r="E448" t="s">
        <v>506</v>
      </c>
      <c r="F448" t="s">
        <v>515</v>
      </c>
      <c r="M448"/>
    </row>
    <row r="449" spans="1:13" x14ac:dyDescent="0.35">
      <c r="A449" t="s">
        <v>3074</v>
      </c>
      <c r="B449" s="37" t="str">
        <f>INDEX(CONTROL[ENGLISH],MATCH(PROPERTIES[[#This Row],[VEHIDCODE]],CONTROL[VEHIDCODE],0))</f>
        <v>ABB/Brush Class 92</v>
      </c>
      <c r="C449">
        <v>-3</v>
      </c>
      <c r="D449" t="s">
        <v>524</v>
      </c>
      <c r="E449" t="s">
        <v>506</v>
      </c>
      <c r="F449" t="s">
        <v>515</v>
      </c>
      <c r="M449"/>
    </row>
    <row r="450" spans="1:13" x14ac:dyDescent="0.35">
      <c r="A450" t="s">
        <v>3075</v>
      </c>
      <c r="B450" s="37" t="str">
        <f>INDEX(CONTROL[ENGLISH],MATCH(PROPERTIES[[#This Row],[VEHIDCODE]],CONTROL[VEHIDCODE],0))</f>
        <v>Siemens ACS-64</v>
      </c>
      <c r="C450">
        <v>0</v>
      </c>
      <c r="D450" t="s">
        <v>524</v>
      </c>
      <c r="E450" t="s">
        <v>506</v>
      </c>
      <c r="F450" t="s">
        <v>515</v>
      </c>
      <c r="M450"/>
    </row>
    <row r="451" spans="1:13" x14ac:dyDescent="0.35">
      <c r="A451" t="s">
        <v>3076</v>
      </c>
      <c r="B451" s="37" t="str">
        <f>INDEX(CONTROL[ENGLISH],MATCH(PROPERTIES[[#This Row],[VEHIDCODE]],CONTROL[VEHIDCODE],0))</f>
        <v>Alsthom CC 40100</v>
      </c>
      <c r="C451">
        <v>-3</v>
      </c>
      <c r="D451" t="s">
        <v>524</v>
      </c>
      <c r="E451" t="s">
        <v>506</v>
      </c>
      <c r="F451" t="s">
        <v>515</v>
      </c>
      <c r="M451"/>
    </row>
    <row r="452" spans="1:13" x14ac:dyDescent="0.35">
      <c r="A452" t="s">
        <v>3077</v>
      </c>
      <c r="B452" s="37" t="str">
        <f>INDEX(CONTROL[ENGLISH],MATCH(PROPERTIES[[#This Row],[VEHIDCODE]],CONTROL[VEHIDCODE],0))</f>
        <v>Alsthom Class 13 HLE</v>
      </c>
      <c r="C452">
        <v>-3</v>
      </c>
      <c r="D452" t="s">
        <v>524</v>
      </c>
      <c r="E452" t="s">
        <v>506</v>
      </c>
      <c r="F452" t="s">
        <v>515</v>
      </c>
      <c r="M452"/>
    </row>
    <row r="453" spans="1:13" x14ac:dyDescent="0.35">
      <c r="A453" t="s">
        <v>3078</v>
      </c>
      <c r="B453" s="37" t="str">
        <f>INDEX(CONTROL[ENGLISH],MATCH(PROPERTIES[[#This Row],[VEHIDCODE]],CONTROL[VEHIDCODE],0))</f>
        <v>LHB VT 04.0 'Flying Hamburger'</v>
      </c>
      <c r="C453">
        <v>0</v>
      </c>
      <c r="D453" t="s">
        <v>523</v>
      </c>
      <c r="E453" t="s">
        <v>510</v>
      </c>
      <c r="F453" t="s">
        <v>515</v>
      </c>
      <c r="M453"/>
    </row>
    <row r="454" spans="1:13" x14ac:dyDescent="0.35">
      <c r="A454" t="s">
        <v>3079</v>
      </c>
      <c r="B454" s="37" t="str">
        <f>INDEX(CONTROL[ENGLISH],MATCH(PROPERTIES[[#This Row],[VEHIDCODE]],CONTROL[VEHIDCODE],0))</f>
        <v>Harland &amp; Wolf 'Silver City Comet'</v>
      </c>
      <c r="C454">
        <v>0</v>
      </c>
      <c r="D454" t="s">
        <v>523</v>
      </c>
      <c r="E454" t="s">
        <v>510</v>
      </c>
      <c r="F454" t="s">
        <v>515</v>
      </c>
      <c r="M454"/>
    </row>
    <row r="455" spans="1:13" x14ac:dyDescent="0.35">
      <c r="A455" t="s">
        <v>3080</v>
      </c>
      <c r="B455" s="37" t="str">
        <f>INDEX(CONTROL[ENGLISH],MATCH(PROPERTIES[[#This Row],[VEHIDCODE]],CONTROL[VEHIDCODE],0))</f>
        <v>Tatra M131</v>
      </c>
      <c r="C455">
        <v>0</v>
      </c>
      <c r="D455" t="s">
        <v>523</v>
      </c>
      <c r="E455" t="s">
        <v>510</v>
      </c>
      <c r="F455" t="s">
        <v>515</v>
      </c>
      <c r="M455"/>
    </row>
    <row r="456" spans="1:13" x14ac:dyDescent="0.35">
      <c r="A456" t="s">
        <v>3081</v>
      </c>
      <c r="B456" s="37" t="str">
        <f>INDEX(CONTROL[ENGLISH],MATCH(PROPERTIES[[#This Row],[VEHIDCODE]],CONTROL[VEHIDCODE],0))</f>
        <v>MAN VT 08.5</v>
      </c>
      <c r="C456">
        <v>0</v>
      </c>
      <c r="D456" t="s">
        <v>523</v>
      </c>
      <c r="E456" t="s">
        <v>510</v>
      </c>
      <c r="F456" t="s">
        <v>515</v>
      </c>
      <c r="M456"/>
    </row>
    <row r="457" spans="1:13" x14ac:dyDescent="0.35">
      <c r="A457" t="s">
        <v>3082</v>
      </c>
      <c r="B457" s="37" t="str">
        <f>INDEX(CONTROL[ENGLISH],MATCH(PROPERTIES[[#This Row],[VEHIDCODE]],CONTROL[VEHIDCODE],0))</f>
        <v>South Australian Railways 400 'Redhen'</v>
      </c>
      <c r="C457">
        <v>0</v>
      </c>
      <c r="D457" t="s">
        <v>523</v>
      </c>
      <c r="E457" t="s">
        <v>510</v>
      </c>
      <c r="F457" t="s">
        <v>515</v>
      </c>
      <c r="M457"/>
    </row>
    <row r="458" spans="1:13" x14ac:dyDescent="0.35">
      <c r="A458" t="s">
        <v>3083</v>
      </c>
      <c r="B458" s="37" t="str">
        <f>INDEX(CONTROL[ENGLISH],MATCH(PROPERTIES[[#This Row],[VEHIDCODE]],CONTROL[VEHIDCODE],0))</f>
        <v>MAN/LHB VT11.5/DB 601 'TEE'</v>
      </c>
      <c r="C458">
        <v>0</v>
      </c>
      <c r="D458" t="s">
        <v>523</v>
      </c>
      <c r="E458" t="s">
        <v>510</v>
      </c>
      <c r="F458" t="s">
        <v>515</v>
      </c>
      <c r="M458"/>
    </row>
    <row r="459" spans="1:13" x14ac:dyDescent="0.35">
      <c r="A459" t="s">
        <v>3084</v>
      </c>
      <c r="B459" s="37" t="str">
        <f>INDEX(CONTROL[ENGLISH],MATCH(PROPERTIES[[#This Row],[VEHIDCODE]],CONTROL[VEHIDCODE],0))</f>
        <v>Werkspoor Plan U DE-III</v>
      </c>
      <c r="C459">
        <v>0</v>
      </c>
      <c r="D459" t="s">
        <v>523</v>
      </c>
      <c r="E459" t="s">
        <v>510</v>
      </c>
      <c r="F459" t="s">
        <v>515</v>
      </c>
      <c r="M459"/>
    </row>
    <row r="460" spans="1:13" x14ac:dyDescent="0.35">
      <c r="A460" t="s">
        <v>3085</v>
      </c>
      <c r="B460" s="37" t="str">
        <f>INDEX(CONTROL[ENGLISH],MATCH(PROPERTIES[[#This Row],[VEHIDCODE]],CONTROL[VEHIDCODE],0))</f>
        <v>UAC 'Turbo Train'</v>
      </c>
      <c r="C460">
        <v>0</v>
      </c>
      <c r="D460" t="s">
        <v>523</v>
      </c>
      <c r="E460" t="s">
        <v>510</v>
      </c>
      <c r="F460" t="s">
        <v>515</v>
      </c>
      <c r="M460"/>
    </row>
    <row r="461" spans="1:13" x14ac:dyDescent="0.35">
      <c r="A461" t="s">
        <v>3086</v>
      </c>
      <c r="B461" s="37" t="str">
        <f>INDEX(CONTROL[ENGLISH],MATCH(PROPERTIES[[#This Row],[VEHIDCODE]],CONTROL[VEHIDCODE],0))</f>
        <v>Ganz-MAVAG 811</v>
      </c>
      <c r="C461">
        <v>0</v>
      </c>
      <c r="D461" t="s">
        <v>523</v>
      </c>
      <c r="E461" t="s">
        <v>510</v>
      </c>
      <c r="F461" t="s">
        <v>515</v>
      </c>
      <c r="M461"/>
    </row>
    <row r="462" spans="1:13" x14ac:dyDescent="0.35">
      <c r="A462" t="s">
        <v>3087</v>
      </c>
      <c r="B462" s="37" t="str">
        <f>INDEX(CONTROL[ENGLISH],MATCH(PROPERTIES[[#This Row],[VEHIDCODE]],CONTROL[VEHIDCODE],0))</f>
        <v>BREL 43 IC125</v>
      </c>
      <c r="C462">
        <v>0</v>
      </c>
      <c r="D462" t="s">
        <v>523</v>
      </c>
      <c r="E462" t="s">
        <v>510</v>
      </c>
      <c r="F462" t="s">
        <v>515</v>
      </c>
      <c r="M462"/>
    </row>
    <row r="463" spans="1:13" x14ac:dyDescent="0.35">
      <c r="A463" t="s">
        <v>3088</v>
      </c>
      <c r="B463" s="37" t="str">
        <f>INDEX(CONTROL[ENGLISH],MATCH(PROPERTIES[[#This Row],[VEHIDCODE]],CONTROL[VEHIDCODE],0))</f>
        <v>Bombardier M6109</v>
      </c>
      <c r="C463">
        <v>0</v>
      </c>
      <c r="D463" t="s">
        <v>523</v>
      </c>
      <c r="E463" t="s">
        <v>510</v>
      </c>
      <c r="F463" t="s">
        <v>515</v>
      </c>
      <c r="M463"/>
    </row>
    <row r="464" spans="1:13" x14ac:dyDescent="0.35">
      <c r="A464" t="s">
        <v>3089</v>
      </c>
      <c r="B464" s="37" t="str">
        <f>INDEX(CONTROL[ENGLISH],MATCH(PROPERTIES[[#This Row],[VEHIDCODE]],CONTROL[VEHIDCODE],0))</f>
        <v>ABB IC3 Y2</v>
      </c>
      <c r="C464">
        <v>0</v>
      </c>
      <c r="D464" t="s">
        <v>523</v>
      </c>
      <c r="E464" t="s">
        <v>510</v>
      </c>
      <c r="F464" t="s">
        <v>515</v>
      </c>
      <c r="M464"/>
    </row>
    <row r="465" spans="1:13" x14ac:dyDescent="0.35">
      <c r="A465" t="s">
        <v>3090</v>
      </c>
      <c r="B465" s="37" t="str">
        <f>INDEX(CONTROL[ENGLISH],MATCH(PROPERTIES[[#This Row],[VEHIDCODE]],CONTROL[VEHIDCODE],0))</f>
        <v>CAF 594 TRD</v>
      </c>
      <c r="C465">
        <v>0</v>
      </c>
      <c r="D465" t="s">
        <v>523</v>
      </c>
      <c r="E465" t="s">
        <v>510</v>
      </c>
      <c r="F465" t="s">
        <v>515</v>
      </c>
      <c r="M465"/>
    </row>
    <row r="466" spans="1:13" x14ac:dyDescent="0.35">
      <c r="A466" t="s">
        <v>3091</v>
      </c>
      <c r="B466" s="37" t="str">
        <f>INDEX(CONTROL[ENGLISH],MATCH(PROPERTIES[[#This Row],[VEHIDCODE]],CONTROL[VEHIDCODE],0))</f>
        <v>Adtranz Class 168 'Clubman'</v>
      </c>
      <c r="C466">
        <v>0</v>
      </c>
      <c r="D466" t="s">
        <v>523</v>
      </c>
      <c r="E466" t="s">
        <v>510</v>
      </c>
      <c r="F466" t="s">
        <v>515</v>
      </c>
      <c r="M466"/>
    </row>
    <row r="467" spans="1:13" x14ac:dyDescent="0.35">
      <c r="A467" t="s">
        <v>3092</v>
      </c>
      <c r="B467" s="37" t="str">
        <f>INDEX(CONTROL[ENGLISH],MATCH(PROPERTIES[[#This Row],[VEHIDCODE]],CONTROL[VEHIDCODE],0))</f>
        <v>Adtranz Class 612 'Regio Swinger'</v>
      </c>
      <c r="C467">
        <v>0</v>
      </c>
      <c r="D467" t="s">
        <v>523</v>
      </c>
      <c r="E467" t="s">
        <v>510</v>
      </c>
      <c r="F467" t="s">
        <v>515</v>
      </c>
      <c r="M467"/>
    </row>
    <row r="468" spans="1:13" x14ac:dyDescent="0.35">
      <c r="A468" t="s">
        <v>3093</v>
      </c>
      <c r="B468" s="37" t="str">
        <f>INDEX(CONTROL[ENGLISH],MATCH(PROPERTIES[[#This Row],[VEHIDCODE]],CONTROL[VEHIDCODE],0))</f>
        <v>Siemens Desiro</v>
      </c>
      <c r="C468">
        <v>0</v>
      </c>
      <c r="D468" t="s">
        <v>523</v>
      </c>
      <c r="E468" t="s">
        <v>510</v>
      </c>
      <c r="F468" t="s">
        <v>515</v>
      </c>
      <c r="M468"/>
    </row>
    <row r="469" spans="1:13" x14ac:dyDescent="0.35">
      <c r="A469" t="s">
        <v>3094</v>
      </c>
      <c r="B469" s="37" t="str">
        <f>INDEX(CONTROL[ENGLISH],MATCH(PROPERTIES[[#This Row],[VEHIDCODE]],CONTROL[VEHIDCODE],0))</f>
        <v>Alstom Coradia LINT</v>
      </c>
      <c r="C469">
        <v>0</v>
      </c>
      <c r="D469" t="s">
        <v>523</v>
      </c>
      <c r="E469" t="s">
        <v>510</v>
      </c>
      <c r="F469" t="s">
        <v>515</v>
      </c>
      <c r="M469"/>
    </row>
    <row r="470" spans="1:13" x14ac:dyDescent="0.35">
      <c r="A470" t="s">
        <v>3095</v>
      </c>
      <c r="B470" s="37" t="str">
        <f>INDEX(CONTROL[ENGLISH],MATCH(PROPERTIES[[#This Row],[VEHIDCODE]],CONTROL[VEHIDCODE],0))</f>
        <v>Bombardier Talent NSB BM 93</v>
      </c>
      <c r="C470">
        <v>0</v>
      </c>
      <c r="D470" t="s">
        <v>523</v>
      </c>
      <c r="E470" t="s">
        <v>510</v>
      </c>
      <c r="F470" t="s">
        <v>515</v>
      </c>
      <c r="M470"/>
    </row>
    <row r="471" spans="1:13" x14ac:dyDescent="0.35">
      <c r="A471" t="s">
        <v>3096</v>
      </c>
      <c r="B471" s="37" t="str">
        <f>INDEX(CONTROL[ENGLISH],MATCH(PROPERTIES[[#This Row],[VEHIDCODE]],CONTROL[VEHIDCODE],0))</f>
        <v>UGL WD 'Prospector'</v>
      </c>
      <c r="C471">
        <v>0</v>
      </c>
      <c r="D471" t="s">
        <v>523</v>
      </c>
      <c r="E471" t="s">
        <v>510</v>
      </c>
      <c r="F471" t="s">
        <v>515</v>
      </c>
      <c r="M471"/>
    </row>
    <row r="472" spans="1:13" x14ac:dyDescent="0.35">
      <c r="A472" t="s">
        <v>3097</v>
      </c>
      <c r="B472" s="37" t="str">
        <f>INDEX(CONTROL[ENGLISH],MATCH(PROPERTIES[[#This Row],[VEHIDCODE]],CONTROL[VEHIDCODE],0))</f>
        <v>UGL 'Hunter' Railcar</v>
      </c>
      <c r="C472">
        <v>0</v>
      </c>
      <c r="D472" t="s">
        <v>523</v>
      </c>
      <c r="E472" t="s">
        <v>510</v>
      </c>
      <c r="F472" t="s">
        <v>515</v>
      </c>
      <c r="M472"/>
    </row>
    <row r="473" spans="1:13" x14ac:dyDescent="0.35">
      <c r="A473" t="s">
        <v>3098</v>
      </c>
      <c r="B473" s="37" t="str">
        <f>INDEX(CONTROL[ENGLISH],MATCH(PROPERTIES[[#This Row],[VEHIDCODE]],CONTROL[VEHIDCODE],0))</f>
        <v>MVM RA2</v>
      </c>
      <c r="C473">
        <v>0</v>
      </c>
      <c r="D473" t="s">
        <v>523</v>
      </c>
      <c r="E473" t="s">
        <v>510</v>
      </c>
      <c r="F473" t="s">
        <v>515</v>
      </c>
      <c r="M473"/>
    </row>
    <row r="474" spans="1:13" x14ac:dyDescent="0.35">
      <c r="A474" t="s">
        <v>3099</v>
      </c>
      <c r="B474" s="37" t="str">
        <f>INDEX(CONTROL[ENGLISH],MATCH(PROPERTIES[[#This Row],[VEHIDCODE]],CONTROL[VEHIDCODE],0))</f>
        <v>AnsaldoBreda IC4</v>
      </c>
      <c r="C474">
        <v>0</v>
      </c>
      <c r="D474" t="s">
        <v>523</v>
      </c>
      <c r="E474" t="s">
        <v>510</v>
      </c>
      <c r="F474" t="s">
        <v>515</v>
      </c>
      <c r="M474"/>
    </row>
    <row r="475" spans="1:13" x14ac:dyDescent="0.35">
      <c r="A475" t="s">
        <v>3100</v>
      </c>
      <c r="B475" s="37" t="str">
        <f>INDEX(CONTROL[ENGLISH],MATCH(PROPERTIES[[#This Row],[VEHIDCODE]],CONTROL[VEHIDCODE],0))</f>
        <v>TZV Gredelj 7022</v>
      </c>
      <c r="C475">
        <v>0</v>
      </c>
      <c r="D475" t="s">
        <v>523</v>
      </c>
      <c r="E475" t="s">
        <v>510</v>
      </c>
      <c r="F475" t="s">
        <v>515</v>
      </c>
      <c r="M475"/>
    </row>
    <row r="476" spans="1:13" x14ac:dyDescent="0.35">
      <c r="A476" t="s">
        <v>3101</v>
      </c>
      <c r="B476" s="37" t="str">
        <f>INDEX(CONTROL[ENGLISH],MATCH(PROPERTIES[[#This Row],[VEHIDCODE]],CONTROL[VEHIDCODE],0))</f>
        <v>Fiat TCDD MT 5500</v>
      </c>
      <c r="C476">
        <v>0</v>
      </c>
      <c r="D476" t="s">
        <v>523</v>
      </c>
      <c r="E476" t="s">
        <v>510</v>
      </c>
      <c r="F476" t="s">
        <v>515</v>
      </c>
      <c r="M476"/>
    </row>
    <row r="477" spans="1:13" x14ac:dyDescent="0.35">
      <c r="A477" t="s">
        <v>3102</v>
      </c>
      <c r="B477" s="37" t="str">
        <f>INDEX(CONTROL[ENGLISH],MATCH(PROPERTIES[[#This Row],[VEHIDCODE]],CONTROL[VEHIDCODE],0))</f>
        <v>Fuji KiHa 181</v>
      </c>
      <c r="C477">
        <v>0</v>
      </c>
      <c r="D477" t="s">
        <v>523</v>
      </c>
      <c r="E477" t="s">
        <v>510</v>
      </c>
      <c r="F477" t="s">
        <v>515</v>
      </c>
      <c r="M477"/>
    </row>
    <row r="478" spans="1:13" x14ac:dyDescent="0.35">
      <c r="A478" t="s">
        <v>3103</v>
      </c>
      <c r="B478" s="37" t="str">
        <f>INDEX(CONTROL[ENGLISH],MATCH(PROPERTIES[[#This Row],[VEHIDCODE]],CONTROL[VEHIDCODE],0))</f>
        <v>Vagonka Studenka 814</v>
      </c>
      <c r="C478">
        <v>0</v>
      </c>
      <c r="D478" t="s">
        <v>523</v>
      </c>
      <c r="E478" t="s">
        <v>510</v>
      </c>
      <c r="F478" t="s">
        <v>515</v>
      </c>
      <c r="M478"/>
    </row>
    <row r="479" spans="1:13" x14ac:dyDescent="0.35">
      <c r="A479" t="s">
        <v>3104</v>
      </c>
      <c r="B479" s="37" t="str">
        <f>INDEX(CONTROL[ENGLISH],MATCH(PROPERTIES[[#This Row],[VEHIDCODE]],CONTROL[VEHIDCODE],0))</f>
        <v>BR 150/0 'Sprinter'</v>
      </c>
      <c r="C479">
        <v>0</v>
      </c>
      <c r="D479" t="s">
        <v>523</v>
      </c>
      <c r="E479" t="s">
        <v>510</v>
      </c>
      <c r="F479" t="s">
        <v>515</v>
      </c>
      <c r="M479"/>
    </row>
    <row r="480" spans="1:13" x14ac:dyDescent="0.35">
      <c r="A480" t="s">
        <v>3105</v>
      </c>
      <c r="B480" s="37" t="str">
        <f>INDEX(CONTROL[ENGLISH],MATCH(PROPERTIES[[#This Row],[VEHIDCODE]],CONTROL[VEHIDCODE],0))</f>
        <v>BREL 141 'Pacer'</v>
      </c>
      <c r="C480">
        <v>0</v>
      </c>
      <c r="D480" t="s">
        <v>523</v>
      </c>
      <c r="E480" t="s">
        <v>510</v>
      </c>
      <c r="F480" t="s">
        <v>515</v>
      </c>
      <c r="M480"/>
    </row>
    <row r="481" spans="1:13" x14ac:dyDescent="0.35">
      <c r="A481" t="s">
        <v>3106</v>
      </c>
      <c r="B481" s="37" t="str">
        <f>INDEX(CONTROL[ENGLISH],MATCH(PROPERTIES[[#This Row],[VEHIDCODE]],CONTROL[VEHIDCODE],0))</f>
        <v>ABB IC3 [Israel]</v>
      </c>
      <c r="C481">
        <v>0</v>
      </c>
      <c r="D481" t="s">
        <v>523</v>
      </c>
      <c r="E481" t="s">
        <v>510</v>
      </c>
      <c r="F481" t="s">
        <v>515</v>
      </c>
      <c r="M481"/>
    </row>
    <row r="482" spans="1:13" x14ac:dyDescent="0.35">
      <c r="A482" t="s">
        <v>3107</v>
      </c>
      <c r="B482" s="37" t="str">
        <f>INDEX(CONTROL[ENGLISH],MATCH(PROPERTIES[[#This Row],[VEHIDCODE]],CONTROL[VEHIDCODE],0))</f>
        <v>Comeng 3100</v>
      </c>
      <c r="C482">
        <v>0</v>
      </c>
      <c r="D482" t="s">
        <v>523</v>
      </c>
      <c r="E482" t="s">
        <v>510</v>
      </c>
      <c r="F482" t="s">
        <v>515</v>
      </c>
      <c r="M482"/>
    </row>
    <row r="483" spans="1:13" x14ac:dyDescent="0.35">
      <c r="A483" t="s">
        <v>3108</v>
      </c>
      <c r="B483" s="37" t="str">
        <f>INDEX(CONTROL[ENGLISH],MATCH(PROPERTIES[[#This Row],[VEHIDCODE]],CONTROL[VEHIDCODE],0))</f>
        <v>ABB Xplorer</v>
      </c>
      <c r="C483">
        <v>0</v>
      </c>
      <c r="D483" t="s">
        <v>523</v>
      </c>
      <c r="E483" t="s">
        <v>510</v>
      </c>
      <c r="F483" t="s">
        <v>515</v>
      </c>
      <c r="M483"/>
    </row>
    <row r="484" spans="1:13" x14ac:dyDescent="0.35">
      <c r="A484" t="s">
        <v>3109</v>
      </c>
      <c r="B484" s="37" t="str">
        <f>INDEX(CONTROL[ENGLISH],MATCH(PROPERTIES[[#This Row],[VEHIDCODE]],CONTROL[VEHIDCODE],0))</f>
        <v>Niigata Transys KiHa 189</v>
      </c>
      <c r="C484">
        <v>0</v>
      </c>
      <c r="D484" t="s">
        <v>523</v>
      </c>
      <c r="E484" t="s">
        <v>510</v>
      </c>
      <c r="F484" t="s">
        <v>515</v>
      </c>
      <c r="M484"/>
    </row>
    <row r="485" spans="1:13" x14ac:dyDescent="0.35">
      <c r="A485" t="s">
        <v>3110</v>
      </c>
      <c r="B485" s="37" t="str">
        <f>INDEX(CONTROL[ENGLISH],MATCH(PROPERTIES[[#This Row],[VEHIDCODE]],CONTROL[VEHIDCODE],0))</f>
        <v>Integral Coach Factory S11</v>
      </c>
      <c r="C485">
        <v>0</v>
      </c>
      <c r="D485" t="s">
        <v>523</v>
      </c>
      <c r="E485" t="s">
        <v>510</v>
      </c>
      <c r="F485" t="s">
        <v>515</v>
      </c>
      <c r="M485"/>
    </row>
    <row r="486" spans="1:13" x14ac:dyDescent="0.35">
      <c r="A486" t="s">
        <v>3111</v>
      </c>
      <c r="B486" s="37" t="str">
        <f>INDEX(CONTROL[ENGLISH],MATCH(PROPERTIES[[#This Row],[VEHIDCODE]],CONTROL[VEHIDCODE],0))</f>
        <v>ZOS Vrutky 861</v>
      </c>
      <c r="C486">
        <v>0</v>
      </c>
      <c r="D486" t="s">
        <v>523</v>
      </c>
      <c r="E486" t="s">
        <v>510</v>
      </c>
      <c r="F486" t="s">
        <v>515</v>
      </c>
      <c r="M486"/>
    </row>
    <row r="487" spans="1:13" x14ac:dyDescent="0.35">
      <c r="A487" t="s">
        <v>3112</v>
      </c>
      <c r="B487" s="37" t="str">
        <f>INDEX(CONTROL[ENGLISH],MATCH(PROPERTIES[[#This Row],[VEHIDCODE]],CONTROL[VEHIDCODE],0))</f>
        <v>CAF TLD-500</v>
      </c>
      <c r="C487">
        <v>0</v>
      </c>
      <c r="D487" t="s">
        <v>523</v>
      </c>
      <c r="E487" t="s">
        <v>510</v>
      </c>
      <c r="F487" t="s">
        <v>515</v>
      </c>
      <c r="M487"/>
    </row>
    <row r="488" spans="1:13" x14ac:dyDescent="0.35">
      <c r="A488" t="s">
        <v>3113</v>
      </c>
      <c r="B488" s="37" t="str">
        <f>INDEX(CONTROL[ENGLISH],MATCH(PROPERTIES[[#This Row],[VEHIDCODE]],CONTROL[VEHIDCODE],0))</f>
        <v>Camrail ZE 500</v>
      </c>
      <c r="C488">
        <v>0</v>
      </c>
      <c r="D488" t="s">
        <v>523</v>
      </c>
      <c r="E488" t="s">
        <v>510</v>
      </c>
      <c r="F488" t="s">
        <v>515</v>
      </c>
      <c r="M488"/>
    </row>
    <row r="489" spans="1:13" x14ac:dyDescent="0.35">
      <c r="A489" t="s">
        <v>3114</v>
      </c>
      <c r="B489" s="37" t="str">
        <f>INDEX(CONTROL[ENGLISH],MATCH(PROPERTIES[[#This Row],[VEHIDCODE]],CONTROL[VEHIDCODE],0))</f>
        <v>Metro-Cammell 251 'Blue Pullman'</v>
      </c>
      <c r="C489">
        <v>0</v>
      </c>
      <c r="D489" t="s">
        <v>523</v>
      </c>
      <c r="E489" t="s">
        <v>510</v>
      </c>
      <c r="F489" t="s">
        <v>515</v>
      </c>
      <c r="M489"/>
    </row>
    <row r="490" spans="1:13" x14ac:dyDescent="0.35">
      <c r="A490" t="s">
        <v>3115</v>
      </c>
      <c r="B490" s="37" t="str">
        <f>INDEX(CONTROL[ENGLISH],MATCH(PROPERTIES[[#This Row],[VEHIDCODE]],CONTROL[VEHIDCODE],0))</f>
        <v>Comeng ADK</v>
      </c>
      <c r="C490">
        <v>0</v>
      </c>
      <c r="D490" t="s">
        <v>523</v>
      </c>
      <c r="E490" t="s">
        <v>510</v>
      </c>
      <c r="F490" t="s">
        <v>515</v>
      </c>
      <c r="M490"/>
    </row>
    <row r="491" spans="1:13" x14ac:dyDescent="0.35">
      <c r="A491" t="s">
        <v>3116</v>
      </c>
      <c r="B491" s="37" t="str">
        <f>INDEX(CONTROL[ENGLISH],MATCH(PROPERTIES[[#This Row],[VEHIDCODE]],CONTROL[VEHIDCODE],0))</f>
        <v>ANF X 4630</v>
      </c>
      <c r="C491">
        <v>0</v>
      </c>
      <c r="D491" t="s">
        <v>523</v>
      </c>
      <c r="E491" t="s">
        <v>510</v>
      </c>
      <c r="F491" t="s">
        <v>515</v>
      </c>
      <c r="M491"/>
    </row>
    <row r="492" spans="1:13" x14ac:dyDescent="0.35">
      <c r="A492" t="s">
        <v>3117</v>
      </c>
      <c r="B492" s="37" t="str">
        <f>INDEX(CONTROL[ENGLISH],MATCH(PROPERTIES[[#This Row],[VEHIDCODE]],CONTROL[VEHIDCODE],0))</f>
        <v>ANF T 2000</v>
      </c>
      <c r="C492">
        <v>0</v>
      </c>
      <c r="D492" t="s">
        <v>523</v>
      </c>
      <c r="E492" t="s">
        <v>510</v>
      </c>
      <c r="F492" t="s">
        <v>515</v>
      </c>
      <c r="M492"/>
    </row>
    <row r="493" spans="1:13" x14ac:dyDescent="0.35">
      <c r="A493" t="s">
        <v>3118</v>
      </c>
      <c r="B493" s="37" t="str">
        <f>INDEX(CONTROL[ENGLISH],MATCH(PROPERTIES[[#This Row],[VEHIDCODE]],CONTROL[VEHIDCODE],0))</f>
        <v>Duwag Wadloper</v>
      </c>
      <c r="C493">
        <v>0</v>
      </c>
      <c r="D493" t="s">
        <v>523</v>
      </c>
      <c r="E493" t="s">
        <v>510</v>
      </c>
      <c r="F493" t="s">
        <v>515</v>
      </c>
      <c r="M493"/>
    </row>
    <row r="494" spans="1:13" x14ac:dyDescent="0.35">
      <c r="A494" t="s">
        <v>3119</v>
      </c>
      <c r="B494" s="37" t="str">
        <f>INDEX(CONTROL[ENGLISH],MATCH(PROPERTIES[[#This Row],[VEHIDCODE]],CONTROL[VEHIDCODE],0))</f>
        <v>Duwag 628.2</v>
      </c>
      <c r="C494">
        <v>0</v>
      </c>
      <c r="D494" t="s">
        <v>523</v>
      </c>
      <c r="E494" t="s">
        <v>510</v>
      </c>
      <c r="F494" t="s">
        <v>515</v>
      </c>
      <c r="M494"/>
    </row>
    <row r="495" spans="1:13" x14ac:dyDescent="0.35">
      <c r="A495" t="s">
        <v>3120</v>
      </c>
      <c r="B495" s="37" t="str">
        <f>INDEX(CONTROL[ENGLISH],MATCH(PROPERTIES[[#This Row],[VEHIDCODE]],CONTROL[VEHIDCODE],0))</f>
        <v>CAF ZZ 2200 Autorail</v>
      </c>
      <c r="C495">
        <v>0</v>
      </c>
      <c r="D495" t="s">
        <v>523</v>
      </c>
      <c r="E495" t="s">
        <v>510</v>
      </c>
      <c r="F495" t="s">
        <v>515</v>
      </c>
      <c r="M495"/>
    </row>
    <row r="496" spans="1:13" x14ac:dyDescent="0.35">
      <c r="A496" t="s">
        <v>3121</v>
      </c>
      <c r="B496" s="37" t="str">
        <f>INDEX(CONTROL[ENGLISH],MATCH(PROPERTIES[[#This Row],[VEHIDCODE]],CONTROL[VEHIDCODE],0))</f>
        <v>CFD AMT 800</v>
      </c>
      <c r="C496">
        <v>0</v>
      </c>
      <c r="D496" t="s">
        <v>523</v>
      </c>
      <c r="E496" t="s">
        <v>510</v>
      </c>
      <c r="F496" t="s">
        <v>515</v>
      </c>
      <c r="M496"/>
    </row>
    <row r="497" spans="1:13" x14ac:dyDescent="0.35">
      <c r="A497" t="s">
        <v>3122</v>
      </c>
      <c r="B497" s="37" t="str">
        <f>INDEX(CONTROL[ENGLISH],MATCH(PROPERTIES[[#This Row],[VEHIDCODE]],CONTROL[VEHIDCODE],0))</f>
        <v>CNR Tangshan Ghana DEMU</v>
      </c>
      <c r="C497">
        <v>0</v>
      </c>
      <c r="D497" t="s">
        <v>523</v>
      </c>
      <c r="E497" t="s">
        <v>510</v>
      </c>
      <c r="F497" t="s">
        <v>515</v>
      </c>
      <c r="M497"/>
    </row>
    <row r="498" spans="1:13" x14ac:dyDescent="0.35">
      <c r="A498" t="s">
        <v>3123</v>
      </c>
      <c r="B498" s="37" t="str">
        <f>INDEX(CONTROL[ENGLISH],MATCH(PROPERTIES[[#This Row],[VEHIDCODE]],CONTROL[VEHIDCODE],0))</f>
        <v>Downer EDI/Hitachi Tilt Train</v>
      </c>
      <c r="C498">
        <v>0</v>
      </c>
      <c r="D498" t="s">
        <v>523</v>
      </c>
      <c r="E498" t="s">
        <v>510</v>
      </c>
      <c r="F498" t="s">
        <v>515</v>
      </c>
      <c r="M498"/>
    </row>
    <row r="499" spans="1:13" x14ac:dyDescent="0.35">
      <c r="A499" t="s">
        <v>3124</v>
      </c>
      <c r="B499" s="37" t="str">
        <f>INDEX(CONTROL[ENGLISH],MATCH(PROPERTIES[[#This Row],[VEHIDCODE]],CONTROL[VEHIDCODE],0))</f>
        <v>Nippon Sharyo 1000 Series</v>
      </c>
      <c r="C499">
        <v>0</v>
      </c>
      <c r="D499" t="s">
        <v>523</v>
      </c>
      <c r="E499" t="s">
        <v>510</v>
      </c>
      <c r="F499" t="s">
        <v>515</v>
      </c>
      <c r="M499"/>
    </row>
    <row r="500" spans="1:13" x14ac:dyDescent="0.35">
      <c r="A500" t="s">
        <v>3125</v>
      </c>
      <c r="B500" s="37" t="str">
        <f>INDEX(CONTROL[ENGLISH],MATCH(PROPERTIES[[#This Row],[VEHIDCODE]],CONTROL[VEHIDCODE],0))</f>
        <v>Materfer CMM 400-2</v>
      </c>
      <c r="C500">
        <v>0</v>
      </c>
      <c r="D500" t="s">
        <v>523</v>
      </c>
      <c r="E500" t="s">
        <v>510</v>
      </c>
      <c r="F500" t="s">
        <v>515</v>
      </c>
      <c r="M500"/>
    </row>
    <row r="501" spans="1:13" x14ac:dyDescent="0.35">
      <c r="A501" t="s">
        <v>3126</v>
      </c>
      <c r="B501" s="37" t="str">
        <f>INDEX(CONTROL[ENGLISH],MATCH(PROPERTIES[[#This Row],[VEHIDCODE]],CONTROL[VEHIDCODE],0))</f>
        <v>Fiat ALn 442-448</v>
      </c>
      <c r="C501">
        <v>0</v>
      </c>
      <c r="D501" t="s">
        <v>523</v>
      </c>
      <c r="E501" t="s">
        <v>510</v>
      </c>
      <c r="F501" t="s">
        <v>515</v>
      </c>
      <c r="M501"/>
    </row>
    <row r="502" spans="1:13" x14ac:dyDescent="0.35">
      <c r="A502" t="s">
        <v>3127</v>
      </c>
      <c r="B502" s="37" t="str">
        <f>INDEX(CONTROL[ENGLISH],MATCH(PROPERTIES[[#This Row],[VEHIDCODE]],CONTROL[VEHIDCODE],0))</f>
        <v>Sorefame CP 0400</v>
      </c>
      <c r="C502">
        <v>0</v>
      </c>
      <c r="D502" t="s">
        <v>523</v>
      </c>
      <c r="E502" t="s">
        <v>510</v>
      </c>
      <c r="F502" t="s">
        <v>515</v>
      </c>
      <c r="M502"/>
    </row>
    <row r="503" spans="1:13" x14ac:dyDescent="0.35">
      <c r="A503" t="s">
        <v>3128</v>
      </c>
      <c r="B503" s="37" t="str">
        <f>INDEX(CONTROL[ENGLISH],MATCH(PROPERTIES[[#This Row],[VEHIDCODE]],CONTROL[VEHIDCODE],0))</f>
        <v>Sorefame CP 0600</v>
      </c>
      <c r="C503">
        <v>0</v>
      </c>
      <c r="D503" t="s">
        <v>523</v>
      </c>
      <c r="E503" t="s">
        <v>510</v>
      </c>
      <c r="F503" t="s">
        <v>515</v>
      </c>
      <c r="M503"/>
    </row>
    <row r="504" spans="1:13" x14ac:dyDescent="0.35">
      <c r="A504" t="s">
        <v>3129</v>
      </c>
      <c r="B504" s="37" t="str">
        <f>INDEX(CONTROL[ENGLISH],MATCH(PROPERTIES[[#This Row],[VEHIDCODE]],CONTROL[VEHIDCODE],0))</f>
        <v>MTM 2400 'Apollos'</v>
      </c>
      <c r="C504">
        <v>0</v>
      </c>
      <c r="D504" t="s">
        <v>523</v>
      </c>
      <c r="E504" t="s">
        <v>510</v>
      </c>
      <c r="F504" t="s">
        <v>515</v>
      </c>
      <c r="M504"/>
    </row>
    <row r="505" spans="1:13" x14ac:dyDescent="0.35">
      <c r="A505" t="s">
        <v>3130</v>
      </c>
      <c r="B505" s="37" t="str">
        <f>INDEX(CONTROL[ENGLISH],MATCH(PROPERTIES[[#This Row],[VEHIDCODE]],CONTROL[VEHIDCODE],0))</f>
        <v>Windhoff CargoSprinter</v>
      </c>
      <c r="C505">
        <v>0</v>
      </c>
      <c r="D505" t="s">
        <v>523</v>
      </c>
      <c r="E505" t="s">
        <v>505</v>
      </c>
      <c r="F505" t="s">
        <v>515</v>
      </c>
      <c r="M505"/>
    </row>
    <row r="506" spans="1:13" x14ac:dyDescent="0.35">
      <c r="A506" t="s">
        <v>3131</v>
      </c>
      <c r="B506" s="37" t="str">
        <f>INDEX(CONTROL[ENGLISH],MATCH(PROPERTIES[[#This Row],[VEHIDCODE]],CONTROL[VEHIDCODE],0))</f>
        <v>Downer/CRRC/Hitachi 'Waratah'</v>
      </c>
      <c r="C506">
        <v>0</v>
      </c>
      <c r="D506" t="s">
        <v>524</v>
      </c>
      <c r="E506" t="s">
        <v>510</v>
      </c>
      <c r="F506" t="s">
        <v>515</v>
      </c>
      <c r="M506"/>
    </row>
    <row r="507" spans="1:13" x14ac:dyDescent="0.35">
      <c r="A507" t="s">
        <v>3132</v>
      </c>
      <c r="B507" s="37" t="str">
        <f>INDEX(CONTROL[ENGLISH],MATCH(PROPERTIES[[#This Row],[VEHIDCODE]],CONTROL[VEHIDCODE],0))</f>
        <v>Frichs &amp; Scandia S-Tog II</v>
      </c>
      <c r="C507">
        <v>0</v>
      </c>
      <c r="D507" t="s">
        <v>525</v>
      </c>
      <c r="E507" t="s">
        <v>510</v>
      </c>
      <c r="F507" t="s">
        <v>519</v>
      </c>
      <c r="M507"/>
    </row>
    <row r="508" spans="1:13" x14ac:dyDescent="0.35">
      <c r="A508" t="s">
        <v>3133</v>
      </c>
      <c r="B508" s="37" t="str">
        <f>INDEX(CONTROL[ENGLISH],MATCH(PROPERTIES[[#This Row],[VEHIDCODE]],CONTROL[VEHIDCODE],0))</f>
        <v>Alsthom S-Tog IV</v>
      </c>
      <c r="C508">
        <v>0</v>
      </c>
      <c r="D508" t="s">
        <v>525</v>
      </c>
      <c r="E508" t="s">
        <v>510</v>
      </c>
      <c r="F508" t="s">
        <v>519</v>
      </c>
      <c r="M508"/>
    </row>
    <row r="509" spans="1:13" x14ac:dyDescent="0.35">
      <c r="A509" t="s">
        <v>3134</v>
      </c>
      <c r="B509" s="37" t="str">
        <f>INDEX(CONTROL[ENGLISH],MATCH(PROPERTIES[[#This Row],[VEHIDCODE]],CONTROL[VEHIDCODE],0))</f>
        <v>TIBB ECD 21-30</v>
      </c>
      <c r="C509">
        <v>0</v>
      </c>
      <c r="D509" t="s">
        <v>524</v>
      </c>
      <c r="E509" t="s">
        <v>510</v>
      </c>
      <c r="F509" t="s">
        <v>515</v>
      </c>
      <c r="M509"/>
    </row>
    <row r="510" spans="1:13" x14ac:dyDescent="0.35">
      <c r="A510" t="s">
        <v>3135</v>
      </c>
      <c r="B510" s="37" t="str">
        <f>INDEX(CONTROL[ENGLISH],MATCH(PROPERTIES[[#This Row],[VEHIDCODE]],CONTROL[VEHIDCODE],0))</f>
        <v>Werkspoor Mat'24</v>
      </c>
      <c r="C510">
        <v>0</v>
      </c>
      <c r="D510" t="s">
        <v>524</v>
      </c>
      <c r="E510" t="s">
        <v>510</v>
      </c>
      <c r="F510" t="s">
        <v>515</v>
      </c>
      <c r="M510"/>
    </row>
    <row r="511" spans="1:13" x14ac:dyDescent="0.35">
      <c r="A511" t="s">
        <v>3136</v>
      </c>
      <c r="B511" s="37" t="str">
        <f>INDEX(CONTROL[ENGLISH],MATCH(PROPERTIES[[#This Row],[VEHIDCODE]],CONTROL[VEHIDCODE],0))</f>
        <v>Werkspoor Mat'36</v>
      </c>
      <c r="C511">
        <v>0</v>
      </c>
      <c r="D511" t="s">
        <v>524</v>
      </c>
      <c r="E511" t="s">
        <v>510</v>
      </c>
      <c r="F511" t="s">
        <v>515</v>
      </c>
      <c r="M511"/>
    </row>
    <row r="512" spans="1:13" x14ac:dyDescent="0.35">
      <c r="A512" t="s">
        <v>3137</v>
      </c>
      <c r="B512" s="37" t="str">
        <f>INDEX(CONTROL[ENGLISH],MATCH(PROPERTIES[[#This Row],[VEHIDCODE]],CONTROL[VEHIDCODE],0))</f>
        <v>Werkspoor Mat'54</v>
      </c>
      <c r="C512">
        <v>0</v>
      </c>
      <c r="D512" t="s">
        <v>524</v>
      </c>
      <c r="E512" t="s">
        <v>510</v>
      </c>
      <c r="F512" t="s">
        <v>515</v>
      </c>
      <c r="M512"/>
    </row>
    <row r="513" spans="1:13" x14ac:dyDescent="0.35">
      <c r="A513" t="s">
        <v>3138</v>
      </c>
      <c r="B513" s="37" t="str">
        <f>INDEX(CONTROL[ENGLISH],MATCH(PROPERTIES[[#This Row],[VEHIDCODE]],CONTROL[VEHIDCODE],0))</f>
        <v>Talbot Plan Y</v>
      </c>
      <c r="C513">
        <v>0</v>
      </c>
      <c r="D513" t="s">
        <v>524</v>
      </c>
      <c r="E513" t="s">
        <v>510</v>
      </c>
      <c r="F513" t="s">
        <v>515</v>
      </c>
      <c r="M513"/>
    </row>
    <row r="514" spans="1:13" x14ac:dyDescent="0.35">
      <c r="A514" t="s">
        <v>3139</v>
      </c>
      <c r="B514" s="37" t="str">
        <f>INDEX(CONTROL[ENGLISH],MATCH(PROPERTIES[[#This Row],[VEHIDCODE]],CONTROL[VEHIDCODE],0))</f>
        <v>Talbot ICM 4000</v>
      </c>
      <c r="C514">
        <v>0</v>
      </c>
      <c r="D514" t="s">
        <v>524</v>
      </c>
      <c r="E514" t="s">
        <v>510</v>
      </c>
      <c r="F514" t="s">
        <v>515</v>
      </c>
      <c r="M514"/>
    </row>
    <row r="515" spans="1:13" x14ac:dyDescent="0.35">
      <c r="A515" t="s">
        <v>3140</v>
      </c>
      <c r="B515" s="37" t="str">
        <f>INDEX(CONTROL[ENGLISH],MATCH(PROPERTIES[[#This Row],[VEHIDCODE]],CONTROL[VEHIDCODE],0))</f>
        <v>Talbot DD-IRM 'VIRM' 8000</v>
      </c>
      <c r="C515">
        <v>0</v>
      </c>
      <c r="D515" t="s">
        <v>524</v>
      </c>
      <c r="E515" t="s">
        <v>510</v>
      </c>
      <c r="F515" t="s">
        <v>515</v>
      </c>
      <c r="M515"/>
    </row>
    <row r="516" spans="1:13" x14ac:dyDescent="0.35">
      <c r="A516" t="s">
        <v>3141</v>
      </c>
      <c r="B516" s="37" t="str">
        <f>INDEX(CONTROL[ENGLISH],MATCH(PROPERTIES[[#This Row],[VEHIDCODE]],CONTROL[VEHIDCODE],0))</f>
        <v>De Dietrich/Adtranz mDDm 390</v>
      </c>
      <c r="C516">
        <v>0</v>
      </c>
      <c r="D516" t="s">
        <v>524</v>
      </c>
      <c r="E516" t="s">
        <v>510</v>
      </c>
      <c r="F516" t="s">
        <v>515</v>
      </c>
      <c r="M516"/>
    </row>
    <row r="517" spans="1:13" x14ac:dyDescent="0.35">
      <c r="A517" t="s">
        <v>3142</v>
      </c>
      <c r="B517" s="37" t="str">
        <f>INDEX(CONTROL[ENGLISH],MATCH(PROPERTIES[[#This Row],[VEHIDCODE]],CONTROL[VEHIDCODE],0))</f>
        <v>ET 165</v>
      </c>
      <c r="C517">
        <v>0</v>
      </c>
      <c r="D517" t="s">
        <v>524</v>
      </c>
      <c r="E517" t="s">
        <v>510</v>
      </c>
      <c r="F517" t="s">
        <v>515</v>
      </c>
      <c r="M517"/>
    </row>
    <row r="518" spans="1:13" x14ac:dyDescent="0.35">
      <c r="A518" t="s">
        <v>3143</v>
      </c>
      <c r="B518" s="37" t="str">
        <f>INDEX(CONTROL[ENGLISH],MATCH(PROPERTIES[[#This Row],[VEHIDCODE]],CONTROL[VEHIDCODE],0))</f>
        <v>Breda ETR.200</v>
      </c>
      <c r="C518">
        <v>0</v>
      </c>
      <c r="D518" t="s">
        <v>524</v>
      </c>
      <c r="E518" t="s">
        <v>510</v>
      </c>
      <c r="F518" t="s">
        <v>515</v>
      </c>
      <c r="M518"/>
    </row>
    <row r="519" spans="1:13" x14ac:dyDescent="0.35">
      <c r="A519" t="s">
        <v>3144</v>
      </c>
      <c r="B519" s="37" t="str">
        <f>INDEX(CONTROL[ENGLISH],MATCH(PROPERTIES[[#This Row],[VEHIDCODE]],CONTROL[VEHIDCODE],0))</f>
        <v>Breda ETR.300 'Settebello'</v>
      </c>
      <c r="C519">
        <v>0</v>
      </c>
      <c r="D519" t="s">
        <v>525</v>
      </c>
      <c r="E519" t="s">
        <v>510</v>
      </c>
      <c r="F519" t="s">
        <v>519</v>
      </c>
      <c r="M519"/>
    </row>
    <row r="520" spans="1:13" x14ac:dyDescent="0.35">
      <c r="A520" t="s">
        <v>3145</v>
      </c>
      <c r="B520" s="37" t="str">
        <f>INDEX(CONTROL[ENGLISH],MATCH(PROPERTIES[[#This Row],[VEHIDCODE]],CONTROL[VEHIDCODE],0))</f>
        <v>TREVI ETR.500 'Frecciarossa'</v>
      </c>
      <c r="C520">
        <v>0</v>
      </c>
      <c r="D520" t="s">
        <v>524</v>
      </c>
      <c r="E520" t="s">
        <v>510</v>
      </c>
      <c r="F520" t="s">
        <v>515</v>
      </c>
      <c r="M520"/>
    </row>
    <row r="521" spans="1:13" x14ac:dyDescent="0.35">
      <c r="A521" t="s">
        <v>3146</v>
      </c>
      <c r="B521" s="37" t="str">
        <f>INDEX(CONTROL[ENGLISH],MATCH(PROPERTIES[[#This Row],[VEHIDCODE]],CONTROL[VEHIDCODE],0))</f>
        <v>AnsaldoBreda ALe 426</v>
      </c>
      <c r="C521">
        <v>0</v>
      </c>
      <c r="D521" t="s">
        <v>524</v>
      </c>
      <c r="E521" t="s">
        <v>510</v>
      </c>
      <c r="F521" t="s">
        <v>515</v>
      </c>
      <c r="M521"/>
    </row>
    <row r="522" spans="1:13" x14ac:dyDescent="0.35">
      <c r="A522" t="s">
        <v>3147</v>
      </c>
      <c r="B522" s="37" t="str">
        <f>INDEX(CONTROL[ENGLISH],MATCH(PROPERTIES[[#This Row],[VEHIDCODE]],CONTROL[VEHIDCODE],0))</f>
        <v>BN/ACEC ZMC</v>
      </c>
      <c r="C522">
        <v>0</v>
      </c>
      <c r="D522" t="s">
        <v>524</v>
      </c>
      <c r="E522" t="s">
        <v>510</v>
      </c>
      <c r="F522" t="s">
        <v>515</v>
      </c>
      <c r="M522"/>
    </row>
    <row r="523" spans="1:13" x14ac:dyDescent="0.35">
      <c r="A523" t="s">
        <v>3148</v>
      </c>
      <c r="B523" s="37" t="str">
        <f>INDEX(CONTROL[ENGLISH],MATCH(PROPERTIES[[#This Row],[VEHIDCODE]],CONTROL[VEHIDCODE],0))</f>
        <v>ASEA EW54</v>
      </c>
      <c r="C523">
        <v>0</v>
      </c>
      <c r="D523" t="s">
        <v>525</v>
      </c>
      <c r="E523" t="s">
        <v>510</v>
      </c>
      <c r="F523" t="s">
        <v>519</v>
      </c>
      <c r="M523"/>
    </row>
    <row r="524" spans="1:13" x14ac:dyDescent="0.35">
      <c r="A524" t="s">
        <v>3149</v>
      </c>
      <c r="B524" s="37" t="str">
        <f>INDEX(CONTROL[ENGLISH],MATCH(PROPERTIES[[#This Row],[VEHIDCODE]],CONTROL[VEHIDCODE],0))</f>
        <v>Breda ALe 801</v>
      </c>
      <c r="C524">
        <v>0</v>
      </c>
      <c r="D524" t="s">
        <v>524</v>
      </c>
      <c r="E524" t="s">
        <v>510</v>
      </c>
      <c r="F524" t="s">
        <v>515</v>
      </c>
      <c r="M524"/>
    </row>
    <row r="525" spans="1:13" x14ac:dyDescent="0.35">
      <c r="A525" t="s">
        <v>3150</v>
      </c>
      <c r="B525" s="37" t="str">
        <f>INDEX(CONTROL[ENGLISH],MATCH(PROPERTIES[[#This Row],[VEHIDCODE]],CONTROL[VEHIDCODE],0))</f>
        <v>SGP/AEG/BBC 4030</v>
      </c>
      <c r="C525">
        <v>0</v>
      </c>
      <c r="D525" t="s">
        <v>524</v>
      </c>
      <c r="E525" t="s">
        <v>510</v>
      </c>
      <c r="F525" t="s">
        <v>515</v>
      </c>
      <c r="M525"/>
    </row>
    <row r="526" spans="1:13" x14ac:dyDescent="0.35">
      <c r="A526" t="s">
        <v>3151</v>
      </c>
      <c r="B526" s="37" t="str">
        <f>INDEX(CONTROL[ENGLISH],MATCH(PROPERTIES[[#This Row],[VEHIDCODE]],CONTROL[VEHIDCODE],0))</f>
        <v>ELIN ET 10</v>
      </c>
      <c r="C526">
        <v>0</v>
      </c>
      <c r="D526" t="s">
        <v>524</v>
      </c>
      <c r="E526" t="s">
        <v>510</v>
      </c>
      <c r="F526" t="s">
        <v>515</v>
      </c>
      <c r="M526"/>
    </row>
    <row r="527" spans="1:13" x14ac:dyDescent="0.35">
      <c r="A527" t="s">
        <v>3152</v>
      </c>
      <c r="B527" s="37" t="str">
        <f>INDEX(CONTROL[ENGLISH],MATCH(PROPERTIES[[#This Row],[VEHIDCODE]],CONTROL[VEHIDCODE],0))</f>
        <v>Stadler 'KISS'</v>
      </c>
      <c r="C527">
        <v>0</v>
      </c>
      <c r="D527" t="s">
        <v>524</v>
      </c>
      <c r="E527" t="s">
        <v>510</v>
      </c>
      <c r="F527" t="s">
        <v>515</v>
      </c>
      <c r="M527"/>
    </row>
    <row r="528" spans="1:13" x14ac:dyDescent="0.35">
      <c r="A528" t="s">
        <v>3153</v>
      </c>
      <c r="B528" s="37" t="str">
        <f>INDEX(CONTROL[ENGLISH],MATCH(PROPERTIES[[#This Row],[VEHIDCODE]],CONTROL[VEHIDCODE],0))</f>
        <v>LHB 420</v>
      </c>
      <c r="C528">
        <v>0</v>
      </c>
      <c r="D528" t="s">
        <v>525</v>
      </c>
      <c r="E528" t="s">
        <v>510</v>
      </c>
      <c r="F528" t="s">
        <v>519</v>
      </c>
      <c r="M528"/>
    </row>
    <row r="529" spans="1:13" x14ac:dyDescent="0.35">
      <c r="A529" t="s">
        <v>3154</v>
      </c>
      <c r="B529" s="37" t="str">
        <f>INDEX(CONTROL[ENGLISH],MATCH(PROPERTIES[[#This Row],[VEHIDCODE]],CONTROL[VEHIDCODE],0))</f>
        <v>Adtranz BM73</v>
      </c>
      <c r="C529">
        <v>0</v>
      </c>
      <c r="D529" t="s">
        <v>525</v>
      </c>
      <c r="E529" t="s">
        <v>510</v>
      </c>
      <c r="F529" t="s">
        <v>519</v>
      </c>
      <c r="M529"/>
    </row>
    <row r="530" spans="1:13" x14ac:dyDescent="0.35">
      <c r="A530" t="s">
        <v>3155</v>
      </c>
      <c r="B530" s="37" t="str">
        <f>INDEX(CONTROL[ENGLISH],MATCH(PROPERTIES[[#This Row],[VEHIDCODE]],CONTROL[VEHIDCODE],0))</f>
        <v>NEBB M65</v>
      </c>
      <c r="C530">
        <v>0</v>
      </c>
      <c r="D530" t="s">
        <v>524</v>
      </c>
      <c r="E530" t="s">
        <v>510</v>
      </c>
      <c r="F530" t="s">
        <v>515</v>
      </c>
      <c r="M530"/>
    </row>
    <row r="531" spans="1:13" x14ac:dyDescent="0.35">
      <c r="A531" t="s">
        <v>3156</v>
      </c>
      <c r="B531" s="37" t="str">
        <f>INDEX(CONTROL[ENGLISH],MATCH(PROPERTIES[[#This Row],[VEHIDCODE]],CONTROL[VEHIDCODE],0))</f>
        <v>ASEA X2000</v>
      </c>
      <c r="C531">
        <v>0</v>
      </c>
      <c r="D531" t="s">
        <v>524</v>
      </c>
      <c r="E531" t="s">
        <v>510</v>
      </c>
      <c r="F531" t="s">
        <v>515</v>
      </c>
      <c r="M531"/>
    </row>
    <row r="532" spans="1:13" x14ac:dyDescent="0.35">
      <c r="A532" t="s">
        <v>3157</v>
      </c>
      <c r="B532" s="37" t="str">
        <f>INDEX(CONTROL[ENGLISH],MATCH(PROPERTIES[[#This Row],[VEHIDCODE]],CONTROL[VEHIDCODE],0))</f>
        <v>SWP RABDe 510</v>
      </c>
      <c r="C532">
        <v>0</v>
      </c>
      <c r="D532" t="s">
        <v>525</v>
      </c>
      <c r="E532" t="s">
        <v>510</v>
      </c>
      <c r="F532" t="s">
        <v>519</v>
      </c>
      <c r="M532"/>
    </row>
    <row r="533" spans="1:13" x14ac:dyDescent="0.35">
      <c r="A533" t="s">
        <v>3158</v>
      </c>
      <c r="B533" s="37" t="str">
        <f>INDEX(CONTROL[ENGLISH],MATCH(PROPERTIES[[#This Row],[VEHIDCODE]],CONTROL[VEHIDCODE],0))</f>
        <v>Schindler RBDe 560</v>
      </c>
      <c r="C533">
        <v>0</v>
      </c>
      <c r="D533" t="s">
        <v>524</v>
      </c>
      <c r="E533" t="s">
        <v>510</v>
      </c>
      <c r="F533" t="s">
        <v>515</v>
      </c>
      <c r="M533"/>
    </row>
    <row r="534" spans="1:13" x14ac:dyDescent="0.35">
      <c r="A534" t="s">
        <v>3159</v>
      </c>
      <c r="B534" s="37" t="str">
        <f>INDEX(CONTROL[ENGLISH],MATCH(PROPERTIES[[#This Row],[VEHIDCODE]],CONTROL[VEHIDCODE],0))</f>
        <v>Stadler RABe 523 'Flirt'</v>
      </c>
      <c r="C534">
        <v>0</v>
      </c>
      <c r="D534" t="s">
        <v>524</v>
      </c>
      <c r="E534" t="s">
        <v>510</v>
      </c>
      <c r="F534" t="s">
        <v>515</v>
      </c>
      <c r="M534"/>
    </row>
    <row r="535" spans="1:13" x14ac:dyDescent="0.35">
      <c r="A535" t="s">
        <v>3160</v>
      </c>
      <c r="B535" s="37" t="str">
        <f>INDEX(CONTROL[ENGLISH],MATCH(PROPERTIES[[#This Row],[VEHIDCODE]],CONTROL[VEHIDCODE],0))</f>
        <v>Budd Metroliner</v>
      </c>
      <c r="C535">
        <v>0</v>
      </c>
      <c r="D535" t="s">
        <v>524</v>
      </c>
      <c r="E535" t="s">
        <v>510</v>
      </c>
      <c r="F535" t="s">
        <v>515</v>
      </c>
      <c r="M535"/>
    </row>
    <row r="536" spans="1:13" x14ac:dyDescent="0.35">
      <c r="A536" t="s">
        <v>3161</v>
      </c>
      <c r="B536" s="37" t="str">
        <f>INDEX(CONTROL[ENGLISH],MATCH(PROPERTIES[[#This Row],[VEHIDCODE]],CONTROL[VEHIDCODE],0))</f>
        <v>Siemens Velero</v>
      </c>
      <c r="C536">
        <v>0</v>
      </c>
      <c r="D536" t="s">
        <v>525</v>
      </c>
      <c r="E536" t="s">
        <v>510</v>
      </c>
      <c r="F536" t="s">
        <v>519</v>
      </c>
      <c r="M536"/>
    </row>
    <row r="537" spans="1:13" x14ac:dyDescent="0.35">
      <c r="A537" t="s">
        <v>3162</v>
      </c>
      <c r="B537" s="37" t="str">
        <f>INDEX(CONTROL[ENGLISH],MATCH(PROPERTIES[[#This Row],[VEHIDCODE]],CONTROL[VEHIDCODE],0))</f>
        <v>Siemens Desiro BDZ</v>
      </c>
      <c r="C537">
        <v>0</v>
      </c>
      <c r="D537" t="s">
        <v>524</v>
      </c>
      <c r="E537" t="s">
        <v>510</v>
      </c>
      <c r="F537" t="s">
        <v>515</v>
      </c>
      <c r="M537"/>
    </row>
    <row r="538" spans="1:13" x14ac:dyDescent="0.35">
      <c r="A538" t="s">
        <v>3163</v>
      </c>
      <c r="B538" s="37" t="str">
        <f>INDEX(CONTROL[ENGLISH],MATCH(PROPERTIES[[#This Row],[VEHIDCODE]],CONTROL[VEHIDCODE],0))</f>
        <v>Valmet Sm2</v>
      </c>
      <c r="C538">
        <v>0</v>
      </c>
      <c r="D538" t="s">
        <v>524</v>
      </c>
      <c r="E538" t="s">
        <v>510</v>
      </c>
      <c r="F538" t="s">
        <v>515</v>
      </c>
      <c r="M538"/>
    </row>
    <row r="539" spans="1:13" x14ac:dyDescent="0.35">
      <c r="A539" t="s">
        <v>3164</v>
      </c>
      <c r="B539" s="37" t="str">
        <f>INDEX(CONTROL[ENGLISH],MATCH(PROPERTIES[[#This Row],[VEHIDCODE]],CONTROL[VEHIDCODE],0))</f>
        <v>Fiat/CAF Sm4</v>
      </c>
      <c r="C539">
        <v>0</v>
      </c>
      <c r="D539" t="s">
        <v>524</v>
      </c>
      <c r="E539" t="s">
        <v>510</v>
      </c>
      <c r="F539" t="s">
        <v>515</v>
      </c>
      <c r="M539"/>
    </row>
    <row r="540" spans="1:13" x14ac:dyDescent="0.35">
      <c r="A540" t="s">
        <v>3165</v>
      </c>
      <c r="B540" s="37" t="str">
        <f>INDEX(CONTROL[ENGLISH],MATCH(PROPERTIES[[#This Row],[VEHIDCODE]],CONTROL[VEHIDCODE],0))</f>
        <v>Ganz-MAVAG VM17 'BDVmot'</v>
      </c>
      <c r="C540">
        <v>0</v>
      </c>
      <c r="D540" t="s">
        <v>524</v>
      </c>
      <c r="E540" t="s">
        <v>510</v>
      </c>
      <c r="F540" t="s">
        <v>515</v>
      </c>
      <c r="M540"/>
    </row>
    <row r="541" spans="1:13" x14ac:dyDescent="0.35">
      <c r="A541" t="s">
        <v>3166</v>
      </c>
      <c r="B541" s="37" t="str">
        <f>INDEX(CONTROL[ENGLISH],MATCH(PROPERTIES[[#This Row],[VEHIDCODE]],CONTROL[VEHIDCODE],0))</f>
        <v>ACME Corp. Sureot</v>
      </c>
      <c r="C541">
        <v>0</v>
      </c>
      <c r="D541" t="s">
        <v>524</v>
      </c>
      <c r="E541" t="s">
        <v>510</v>
      </c>
      <c r="F541" t="s">
        <v>515</v>
      </c>
      <c r="M541"/>
    </row>
    <row r="542" spans="1:13" x14ac:dyDescent="0.35">
      <c r="A542" t="s">
        <v>3167</v>
      </c>
      <c r="B542" s="37" t="str">
        <f>INDEX(CONTROL[ENGLISH],MATCH(PROPERTIES[[#This Row],[VEHIDCODE]],CONTROL[VEHIDCODE],0))</f>
        <v>Hitachi Shinkansen Series 0</v>
      </c>
      <c r="C542">
        <v>-3</v>
      </c>
      <c r="D542" t="s">
        <v>525</v>
      </c>
      <c r="E542" t="s">
        <v>510</v>
      </c>
      <c r="F542" t="s">
        <v>519</v>
      </c>
      <c r="M542"/>
    </row>
    <row r="543" spans="1:13" x14ac:dyDescent="0.35">
      <c r="A543" t="s">
        <v>3168</v>
      </c>
      <c r="B543" s="37" t="str">
        <f>INDEX(CONTROL[ENGLISH],MATCH(PROPERTIES[[#This Row],[VEHIDCODE]],CONTROL[VEHIDCODE],0))</f>
        <v>Hitachi Shinkansen Series 700</v>
      </c>
      <c r="C543">
        <v>0</v>
      </c>
      <c r="D543" t="s">
        <v>525</v>
      </c>
      <c r="E543" t="s">
        <v>510</v>
      </c>
      <c r="F543" t="s">
        <v>519</v>
      </c>
      <c r="M543"/>
    </row>
    <row r="544" spans="1:13" x14ac:dyDescent="0.35">
      <c r="A544" t="s">
        <v>3169</v>
      </c>
      <c r="B544" s="37" t="str">
        <f>INDEX(CONTROL[ENGLISH],MATCH(PROPERTIES[[#This Row],[VEHIDCODE]],CONTROL[VEHIDCODE],0))</f>
        <v>Hitachi/Kawasaki Shinkansen Series E1 Max</v>
      </c>
      <c r="C544">
        <v>0</v>
      </c>
      <c r="D544" t="s">
        <v>525</v>
      </c>
      <c r="E544" t="s">
        <v>510</v>
      </c>
      <c r="F544" t="s">
        <v>519</v>
      </c>
      <c r="M544"/>
    </row>
    <row r="545" spans="1:13" x14ac:dyDescent="0.35">
      <c r="A545" t="s">
        <v>3170</v>
      </c>
      <c r="B545" s="37" t="str">
        <f>INDEX(CONTROL[ENGLISH],MATCH(PROPERTIES[[#This Row],[VEHIDCODE]],CONTROL[VEHIDCODE],0))</f>
        <v>Alstom Coradia Duplex</v>
      </c>
      <c r="C545">
        <v>0</v>
      </c>
      <c r="D545" t="s">
        <v>524</v>
      </c>
      <c r="E545" t="s">
        <v>510</v>
      </c>
      <c r="F545" t="s">
        <v>515</v>
      </c>
      <c r="M545"/>
    </row>
    <row r="546" spans="1:13" x14ac:dyDescent="0.35">
      <c r="A546" t="s">
        <v>3171</v>
      </c>
      <c r="B546" s="37" t="str">
        <f>INDEX(CONTROL[ENGLISH],MATCH(PROPERTIES[[#This Row],[VEHIDCODE]],CONTROL[VEHIDCODE],0))</f>
        <v>RVR ER31</v>
      </c>
      <c r="C546">
        <v>0</v>
      </c>
      <c r="D546" t="s">
        <v>524</v>
      </c>
      <c r="E546" t="s">
        <v>510</v>
      </c>
      <c r="F546" t="s">
        <v>515</v>
      </c>
      <c r="M546"/>
    </row>
    <row r="547" spans="1:13" x14ac:dyDescent="0.35">
      <c r="A547" t="s">
        <v>3436</v>
      </c>
      <c r="B547" s="37" t="str">
        <f>INDEX(CONTROL[ENGLISH],MATCH(PROPERTIES[[#This Row],[VEHIDCODE]],CONTROL[VEHIDCODE],0))</f>
        <v>Carel et Fouche/Alsthom Z 6100</v>
      </c>
      <c r="C547">
        <v>0</v>
      </c>
      <c r="D547" t="s">
        <v>524</v>
      </c>
      <c r="E547" t="s">
        <v>510</v>
      </c>
      <c r="F547" t="s">
        <v>515</v>
      </c>
      <c r="M547"/>
    </row>
    <row r="548" spans="1:13" x14ac:dyDescent="0.35">
      <c r="A548" t="s">
        <v>3172</v>
      </c>
      <c r="B548" s="37" t="str">
        <f>INDEX(CONTROL[ENGLISH],MATCH(PROPERTIES[[#This Row],[VEHIDCODE]],CONTROL[VEHIDCODE],0))</f>
        <v>Bombardier/UCW Electrostar 'Gautrain'</v>
      </c>
      <c r="C548">
        <v>0</v>
      </c>
      <c r="D548" t="s">
        <v>524</v>
      </c>
      <c r="E548" t="s">
        <v>510</v>
      </c>
      <c r="F548" t="s">
        <v>515</v>
      </c>
      <c r="M548"/>
    </row>
    <row r="549" spans="1:13" x14ac:dyDescent="0.35">
      <c r="A549" t="s">
        <v>3173</v>
      </c>
      <c r="B549" s="37" t="str">
        <f>INDEX(CONTROL[ENGLISH],MATCH(PROPERTIES[[#This Row],[VEHIDCODE]],CONTROL[VEHIDCODE],0))</f>
        <v>Alsthom/Jeumont TCDD E8000</v>
      </c>
      <c r="C549">
        <v>0</v>
      </c>
      <c r="D549" t="s">
        <v>524</v>
      </c>
      <c r="E549" t="s">
        <v>510</v>
      </c>
      <c r="F549" t="s">
        <v>515</v>
      </c>
      <c r="M549"/>
    </row>
    <row r="550" spans="1:13" x14ac:dyDescent="0.35">
      <c r="A550" t="s">
        <v>3174</v>
      </c>
      <c r="B550" s="37" t="str">
        <f>INDEX(CONTROL[ENGLISH],MATCH(PROPERTIES[[#This Row],[VEHIDCODE]],CONTROL[VEHIDCODE],0))</f>
        <v>CSR Qingdao CHR380A</v>
      </c>
      <c r="C550">
        <v>0</v>
      </c>
      <c r="D550" t="s">
        <v>525</v>
      </c>
      <c r="E550" t="s">
        <v>510</v>
      </c>
      <c r="F550" t="s">
        <v>519</v>
      </c>
      <c r="M550"/>
    </row>
    <row r="551" spans="1:13" x14ac:dyDescent="0.35">
      <c r="A551" t="s">
        <v>3175</v>
      </c>
      <c r="B551" s="37" t="str">
        <f>INDEX(CONTROL[ENGLISH],MATCH(PROPERTIES[[#This Row],[VEHIDCODE]],CONTROL[VEHIDCODE],0))</f>
        <v>PRR MP54</v>
      </c>
      <c r="C551">
        <v>0</v>
      </c>
      <c r="D551" t="s">
        <v>524</v>
      </c>
      <c r="E551" t="s">
        <v>510</v>
      </c>
      <c r="F551" t="s">
        <v>515</v>
      </c>
      <c r="M551"/>
    </row>
    <row r="552" spans="1:13" x14ac:dyDescent="0.35">
      <c r="A552" t="s">
        <v>3176</v>
      </c>
      <c r="B552" s="37" t="str">
        <f>INDEX(CONTROL[ENGLISH],MATCH(PROPERTIES[[#This Row],[VEHIDCODE]],CONTROL[VEHIDCODE],0))</f>
        <v>Alstom AGV</v>
      </c>
      <c r="C552">
        <v>0</v>
      </c>
      <c r="D552" t="s">
        <v>525</v>
      </c>
      <c r="E552" t="s">
        <v>510</v>
      </c>
      <c r="F552" t="s">
        <v>518</v>
      </c>
      <c r="M552"/>
    </row>
    <row r="553" spans="1:13" x14ac:dyDescent="0.35">
      <c r="A553" t="s">
        <v>3177</v>
      </c>
      <c r="B553" s="37" t="str">
        <f>INDEX(CONTROL[ENGLISH],MATCH(PROPERTIES[[#This Row],[VEHIDCODE]],CONTROL[VEHIDCODE],0))</f>
        <v>Alstom Avelia Horizon</v>
      </c>
      <c r="C553">
        <v>0</v>
      </c>
      <c r="D553" t="s">
        <v>525</v>
      </c>
      <c r="E553" t="s">
        <v>510</v>
      </c>
      <c r="F553" t="s">
        <v>518</v>
      </c>
      <c r="M553"/>
    </row>
    <row r="554" spans="1:13" x14ac:dyDescent="0.35">
      <c r="A554" t="s">
        <v>3178</v>
      </c>
      <c r="B554" s="37" t="str">
        <f>INDEX(CONTROL[ENGLISH],MATCH(PROPERTIES[[#This Row],[VEHIDCODE]],CONTROL[VEHIDCODE],0))</f>
        <v>AnsaldoBreda V250 'Albatros'</v>
      </c>
      <c r="C554">
        <v>0</v>
      </c>
      <c r="D554" t="s">
        <v>524</v>
      </c>
      <c r="E554" t="s">
        <v>510</v>
      </c>
      <c r="F554" t="s">
        <v>519</v>
      </c>
      <c r="M554"/>
    </row>
    <row r="555" spans="1:13" x14ac:dyDescent="0.35">
      <c r="A555" t="s">
        <v>3179</v>
      </c>
      <c r="B555" s="37" t="str">
        <f>INDEX(CONTROL[ENGLISH],MATCH(PROPERTIES[[#This Row],[VEHIDCODE]],CONTROL[VEHIDCODE],0))</f>
        <v>NS 4800 HSA 'Fyra'</v>
      </c>
      <c r="C555">
        <v>0</v>
      </c>
      <c r="D555" t="s">
        <v>525</v>
      </c>
      <c r="E555" t="s">
        <v>510</v>
      </c>
      <c r="F555" t="s">
        <v>518</v>
      </c>
      <c r="M555"/>
    </row>
    <row r="556" spans="1:13" x14ac:dyDescent="0.35">
      <c r="A556" t="s">
        <v>3180</v>
      </c>
      <c r="B556" s="37" t="str">
        <f>INDEX(CONTROL[ENGLISH],MATCH(PROPERTIES[[#This Row],[VEHIDCODE]],CONTROL[VEHIDCODE],0))</f>
        <v>SIG Rae TEE II</v>
      </c>
      <c r="C556">
        <v>0</v>
      </c>
      <c r="D556" t="s">
        <v>525</v>
      </c>
      <c r="E556" t="s">
        <v>510</v>
      </c>
      <c r="F556" t="s">
        <v>519</v>
      </c>
      <c r="M556"/>
    </row>
    <row r="557" spans="1:13" x14ac:dyDescent="0.35">
      <c r="A557" t="s">
        <v>3181</v>
      </c>
      <c r="B557" s="37" t="str">
        <f>INDEX(CONTROL[ENGLISH],MATCH(PROPERTIES[[#This Row],[VEHIDCODE]],CONTROL[VEHIDCODE],0))</f>
        <v>Pullman Erie Lackawanna 2500 Series</v>
      </c>
      <c r="C557">
        <v>0</v>
      </c>
      <c r="D557" t="s">
        <v>524</v>
      </c>
      <c r="E557" t="s">
        <v>510</v>
      </c>
      <c r="F557" t="s">
        <v>515</v>
      </c>
      <c r="M557"/>
    </row>
    <row r="558" spans="1:13" x14ac:dyDescent="0.35">
      <c r="A558" t="s">
        <v>3182</v>
      </c>
      <c r="B558" s="37" t="str">
        <f>INDEX(CONTROL[ENGLISH],MATCH(PROPERTIES[[#This Row],[VEHIDCODE]],CONTROL[VEHIDCODE],0))</f>
        <v>Alsthom TGV 23000</v>
      </c>
      <c r="C558">
        <v>0</v>
      </c>
      <c r="D558" t="s">
        <v>525</v>
      </c>
      <c r="E558" t="s">
        <v>510</v>
      </c>
      <c r="F558" t="s">
        <v>518</v>
      </c>
      <c r="M558"/>
    </row>
    <row r="559" spans="1:13" x14ac:dyDescent="0.35">
      <c r="A559" t="s">
        <v>3183</v>
      </c>
      <c r="B559" s="37" t="str">
        <f>INDEX(CONTROL[ENGLISH],MATCH(PROPERTIES[[#This Row],[VEHIDCODE]],CONTROL[VEHIDCODE],0))</f>
        <v>Alsthom TGV Duplex</v>
      </c>
      <c r="C559">
        <v>-3</v>
      </c>
      <c r="D559" t="s">
        <v>524</v>
      </c>
      <c r="E559" t="s">
        <v>510</v>
      </c>
      <c r="F559" t="s">
        <v>515</v>
      </c>
      <c r="M559"/>
    </row>
    <row r="560" spans="1:13" x14ac:dyDescent="0.35">
      <c r="A560" t="s">
        <v>3184</v>
      </c>
      <c r="B560" s="37" t="str">
        <f>INDEX(CONTROL[ENGLISH],MATCH(PROPERTIES[[#This Row],[VEHIDCODE]],CONTROL[VEHIDCODE],0))</f>
        <v>GEC-Alsthom Thalys PBKA</v>
      </c>
      <c r="C560">
        <v>0</v>
      </c>
      <c r="D560" t="s">
        <v>525</v>
      </c>
      <c r="E560" t="s">
        <v>510</v>
      </c>
      <c r="F560" t="s">
        <v>518</v>
      </c>
      <c r="M560"/>
    </row>
    <row r="561" spans="1:13" x14ac:dyDescent="0.35">
      <c r="A561" t="s">
        <v>3185</v>
      </c>
      <c r="B561" s="37" t="str">
        <f>INDEX(CONTROL[ENGLISH],MATCH(PROPERTIES[[#This Row],[VEHIDCODE]],CONTROL[VEHIDCODE],0))</f>
        <v>Alsthom 'Pendolino' 680</v>
      </c>
      <c r="C561">
        <v>0</v>
      </c>
      <c r="D561" t="s">
        <v>524</v>
      </c>
      <c r="E561" t="s">
        <v>510</v>
      </c>
      <c r="F561" t="s">
        <v>515</v>
      </c>
      <c r="M561"/>
    </row>
    <row r="562" spans="1:13" x14ac:dyDescent="0.35">
      <c r="A562" t="s">
        <v>3186</v>
      </c>
      <c r="B562" s="37" t="str">
        <f>INDEX(CONTROL[ENGLISH],MATCH(PROPERTIES[[#This Row],[VEHIDCODE]],CONTROL[VEHIDCODE],0))</f>
        <v>CAF/Alstom Class 120</v>
      </c>
      <c r="C562">
        <v>0</v>
      </c>
      <c r="D562" t="s">
        <v>524</v>
      </c>
      <c r="E562" t="s">
        <v>510</v>
      </c>
      <c r="F562" t="s">
        <v>515</v>
      </c>
      <c r="M562"/>
    </row>
    <row r="563" spans="1:13" x14ac:dyDescent="0.35">
      <c r="A563" t="s">
        <v>3187</v>
      </c>
      <c r="B563" s="37" t="str">
        <f>INDEX(CONTROL[ENGLISH],MATCH(PROPERTIES[[#This Row],[VEHIDCODE]],CONTROL[VEHIDCODE],0))</f>
        <v>Bombarier/Alstom Acela Express</v>
      </c>
      <c r="C563">
        <v>0</v>
      </c>
      <c r="D563" t="s">
        <v>524</v>
      </c>
      <c r="E563" t="s">
        <v>510</v>
      </c>
      <c r="F563" t="s">
        <v>515</v>
      </c>
      <c r="M563"/>
    </row>
    <row r="564" spans="1:13" x14ac:dyDescent="0.35">
      <c r="A564" t="s">
        <v>3188</v>
      </c>
      <c r="B564" s="37" t="str">
        <f>INDEX(CONTROL[ENGLISH],MATCH(PROPERTIES[[#This Row],[VEHIDCODE]],CONTROL[VEHIDCODE],0))</f>
        <v>Brooklyn Union Gate 1300</v>
      </c>
      <c r="C564">
        <v>0</v>
      </c>
      <c r="D564" t="s">
        <v>523</v>
      </c>
      <c r="E564" t="s">
        <v>506</v>
      </c>
      <c r="F564" t="s">
        <v>516</v>
      </c>
      <c r="M564"/>
    </row>
    <row r="565" spans="1:13" x14ac:dyDescent="0.35">
      <c r="A565" t="s">
        <v>3189</v>
      </c>
      <c r="B565" s="37" t="str">
        <f>INDEX(CONTROL[ENGLISH],MATCH(PROPERTIES[[#This Row],[VEHIDCODE]],CONTROL[VEHIDCODE],0))</f>
        <v>Siemens &amp; Halske Budapest 1894 Stock</v>
      </c>
      <c r="C565">
        <v>0</v>
      </c>
      <c r="D565" t="s">
        <v>523</v>
      </c>
      <c r="E565" t="s">
        <v>506</v>
      </c>
      <c r="F565" t="s">
        <v>516</v>
      </c>
      <c r="M565"/>
    </row>
    <row r="566" spans="1:13" x14ac:dyDescent="0.35">
      <c r="A566" t="s">
        <v>3190</v>
      </c>
      <c r="B566" s="37" t="str">
        <f>INDEX(CONTROL[ENGLISH],MATCH(PROPERTIES[[#This Row],[VEHIDCODE]],CONTROL[VEHIDCODE],0))</f>
        <v>Chicago L Northwest Elevated 1907 Stock</v>
      </c>
      <c r="C566">
        <v>0</v>
      </c>
      <c r="D566" t="s">
        <v>523</v>
      </c>
      <c r="E566" t="s">
        <v>506</v>
      </c>
      <c r="F566" t="s">
        <v>515</v>
      </c>
      <c r="M566"/>
    </row>
    <row r="567" spans="1:13" x14ac:dyDescent="0.35">
      <c r="A567" t="s">
        <v>3191</v>
      </c>
      <c r="B567" s="37" t="str">
        <f>INDEX(CONTROL[ENGLISH],MATCH(PROPERTIES[[#This Row],[VEHIDCODE]],CONTROL[VEHIDCODE],0))</f>
        <v>Berlin U-Bahn C II</v>
      </c>
      <c r="C567">
        <v>0</v>
      </c>
      <c r="D567" t="s">
        <v>523</v>
      </c>
      <c r="E567" t="s">
        <v>506</v>
      </c>
      <c r="F567" t="s">
        <v>516</v>
      </c>
      <c r="M567"/>
    </row>
    <row r="568" spans="1:13" x14ac:dyDescent="0.35">
      <c r="A568" t="s">
        <v>3192</v>
      </c>
      <c r="B568" s="37" t="str">
        <f>INDEX(CONTROL[ENGLISH],MATCH(PROPERTIES[[#This Row],[VEHIDCODE]],CONTROL[VEHIDCODE],0))</f>
        <v>ACME Corp. Turbobus</v>
      </c>
      <c r="C568">
        <v>0</v>
      </c>
      <c r="D568" t="s">
        <v>523</v>
      </c>
      <c r="E568" t="s">
        <v>509</v>
      </c>
      <c r="F568" t="s">
        <v>516</v>
      </c>
      <c r="M568"/>
    </row>
    <row r="569" spans="1:13" x14ac:dyDescent="0.35">
      <c r="A569" t="s">
        <v>3193</v>
      </c>
      <c r="B569" s="37" t="str">
        <f>INDEX(CONTROL[ENGLISH],MATCH(PROPERTIES[[#This Row],[VEHIDCODE]],CONTROL[VEHIDCODE],0))</f>
        <v>Siemens EuroSprinter ES64U4M</v>
      </c>
      <c r="C569">
        <v>0</v>
      </c>
      <c r="D569" t="s">
        <v>523</v>
      </c>
      <c r="E569" t="s">
        <v>506</v>
      </c>
      <c r="F569" t="s">
        <v>515</v>
      </c>
      <c r="M569"/>
    </row>
    <row r="570" spans="1:13" x14ac:dyDescent="0.35">
      <c r="A570" t="s">
        <v>3194</v>
      </c>
      <c r="B570" s="37" t="str">
        <f>INDEX(CONTROL[ENGLISH],MATCH(PROPERTIES[[#This Row],[VEHIDCODE]],CONTROL[VEHIDCODE],0))</f>
        <v>Siemens-Thyssenkrupp Transrapid</v>
      </c>
      <c r="C570">
        <v>0</v>
      </c>
      <c r="D570" t="s">
        <v>523</v>
      </c>
      <c r="E570" t="s">
        <v>510</v>
      </c>
      <c r="F570" t="s">
        <v>515</v>
      </c>
      <c r="M570"/>
    </row>
    <row r="571" spans="1:13" x14ac:dyDescent="0.35">
      <c r="A571" t="s">
        <v>3195</v>
      </c>
      <c r="B571" s="37" t="str">
        <f>INDEX(CONTROL[ENGLISH],MATCH(PROPERTIES[[#This Row],[VEHIDCODE]],CONTROL[VEHIDCODE],0))</f>
        <v>Mistubishi/Nippon Sharyo MLX01-901</v>
      </c>
      <c r="C571">
        <v>0</v>
      </c>
      <c r="D571" t="s">
        <v>523</v>
      </c>
      <c r="E571" t="s">
        <v>510</v>
      </c>
      <c r="F571" t="s">
        <v>515</v>
      </c>
      <c r="M571"/>
    </row>
    <row r="572" spans="1:13" x14ac:dyDescent="0.35">
      <c r="A572" t="s">
        <v>227</v>
      </c>
      <c r="B572" s="37" t="str">
        <f>INDEX(CONTROL[ENGLISH],MATCH(PROPERTIES[[#This Row],[VEHIDCODE]],CONTROL[VEHIDCODE],0))</f>
        <v>7th Gen Boxcar [Food]</v>
      </c>
      <c r="C572">
        <v>0</v>
      </c>
      <c r="D572" t="s">
        <v>523</v>
      </c>
      <c r="E572" t="s">
        <v>512</v>
      </c>
      <c r="F572" t="s">
        <v>516</v>
      </c>
      <c r="M572"/>
    </row>
    <row r="573" spans="1:13" x14ac:dyDescent="0.35">
      <c r="A573" t="s">
        <v>211</v>
      </c>
      <c r="B573" s="37" t="str">
        <f>INDEX(CONTROL[ENGLISH],MATCH(PROPERTIES[[#This Row],[VEHIDCODE]],CONTROL[VEHIDCODE],0))</f>
        <v>7th Gen Boxcar [Non-Food]</v>
      </c>
      <c r="C573">
        <v>0</v>
      </c>
      <c r="D573" t="s">
        <v>523</v>
      </c>
      <c r="E573" t="s">
        <v>512</v>
      </c>
      <c r="F573" t="s">
        <v>516</v>
      </c>
      <c r="M573"/>
    </row>
    <row r="574" spans="1:13" x14ac:dyDescent="0.35">
      <c r="A574" t="s">
        <v>212</v>
      </c>
      <c r="B574" s="37" t="str">
        <f>INDEX(CONTROL[ENGLISH],MATCH(PROPERTIES[[#This Row],[VEHIDCODE]],CONTROL[VEHIDCODE],0))</f>
        <v>7th Gen Car Transporter</v>
      </c>
      <c r="C574">
        <v>0</v>
      </c>
      <c r="D574" t="s">
        <v>523</v>
      </c>
      <c r="E574" t="s">
        <v>512</v>
      </c>
      <c r="F574" t="s">
        <v>516</v>
      </c>
      <c r="M574"/>
    </row>
    <row r="575" spans="1:13" x14ac:dyDescent="0.35">
      <c r="A575" t="s">
        <v>213</v>
      </c>
      <c r="B575" s="37" t="str">
        <f>INDEX(CONTROL[ENGLISH],MATCH(PROPERTIES[[#This Row],[VEHIDCODE]],CONTROL[VEHIDCODE],0))</f>
        <v>7th Gen Centerbeam Flatcar</v>
      </c>
      <c r="C575">
        <v>0</v>
      </c>
      <c r="D575" t="s">
        <v>523</v>
      </c>
      <c r="E575" t="s">
        <v>512</v>
      </c>
      <c r="F575" t="s">
        <v>516</v>
      </c>
      <c r="M575"/>
    </row>
    <row r="576" spans="1:13" x14ac:dyDescent="0.35">
      <c r="A576" t="s">
        <v>214</v>
      </c>
      <c r="B576" s="37" t="str">
        <f>INDEX(CONTROL[ENGLISH],MATCH(PROPERTIES[[#This Row],[VEHIDCODE]],CONTROL[VEHIDCODE],0))</f>
        <v>7th Gen Container Carrier</v>
      </c>
      <c r="C576">
        <v>0</v>
      </c>
      <c r="D576" t="s">
        <v>523</v>
      </c>
      <c r="E576" t="s">
        <v>512</v>
      </c>
      <c r="F576" t="s">
        <v>516</v>
      </c>
      <c r="M576"/>
    </row>
    <row r="577" spans="1:13" x14ac:dyDescent="0.35">
      <c r="A577" t="s">
        <v>215</v>
      </c>
      <c r="B577" s="37" t="str">
        <f>INDEX(CONTROL[ENGLISH],MATCH(PROPERTIES[[#This Row],[VEHIDCODE]],CONTROL[VEHIDCODE],0))</f>
        <v>7th Gen Container Doublestack</v>
      </c>
      <c r="C577">
        <v>0</v>
      </c>
      <c r="D577" t="s">
        <v>523</v>
      </c>
      <c r="E577" t="s">
        <v>512</v>
      </c>
      <c r="F577" t="s">
        <v>516</v>
      </c>
      <c r="M577"/>
    </row>
    <row r="578" spans="1:13" x14ac:dyDescent="0.35">
      <c r="A578" t="s">
        <v>216</v>
      </c>
      <c r="B578" s="37" t="str">
        <f>INDEX(CONTROL[ENGLISH],MATCH(PROPERTIES[[#This Row],[VEHIDCODE]],CONTROL[VEHIDCODE],0))</f>
        <v>7th Gen Flatcar</v>
      </c>
      <c r="C578">
        <v>0</v>
      </c>
      <c r="D578" t="s">
        <v>523</v>
      </c>
      <c r="E578" t="s">
        <v>512</v>
      </c>
      <c r="F578" t="s">
        <v>516</v>
      </c>
      <c r="M578"/>
    </row>
    <row r="579" spans="1:13" x14ac:dyDescent="0.35">
      <c r="A579" t="s">
        <v>217</v>
      </c>
      <c r="B579" s="37" t="str">
        <f>INDEX(CONTROL[ENGLISH],MATCH(PROPERTIES[[#This Row],[VEHIDCODE]],CONTROL[VEHIDCODE],0))</f>
        <v>7th Gen Gondola</v>
      </c>
      <c r="C579">
        <v>0</v>
      </c>
      <c r="D579" t="s">
        <v>523</v>
      </c>
      <c r="E579" t="s">
        <v>512</v>
      </c>
      <c r="F579" t="s">
        <v>516</v>
      </c>
      <c r="M579"/>
    </row>
    <row r="580" spans="1:13" x14ac:dyDescent="0.35">
      <c r="A580" t="s">
        <v>218</v>
      </c>
      <c r="B580" s="37" t="str">
        <f>INDEX(CONTROL[ENGLISH],MATCH(PROPERTIES[[#This Row],[VEHIDCODE]],CONTROL[VEHIDCODE],0))</f>
        <v>7th Gen Heavy Flatcar</v>
      </c>
      <c r="C580">
        <v>0</v>
      </c>
      <c r="D580" t="s">
        <v>523</v>
      </c>
      <c r="E580" t="s">
        <v>512</v>
      </c>
      <c r="F580" t="s">
        <v>516</v>
      </c>
      <c r="M580"/>
    </row>
    <row r="581" spans="1:13" x14ac:dyDescent="0.35">
      <c r="A581" t="s">
        <v>219</v>
      </c>
      <c r="B581" s="37" t="str">
        <f>INDEX(CONTROL[ENGLISH],MATCH(PROPERTIES[[#This Row],[VEHIDCODE]],CONTROL[VEHIDCODE],0))</f>
        <v>7th Gen Self-discharging Hopper [Food]</v>
      </c>
      <c r="C581">
        <v>0</v>
      </c>
      <c r="D581" t="s">
        <v>523</v>
      </c>
      <c r="E581" t="s">
        <v>512</v>
      </c>
      <c r="F581" t="s">
        <v>516</v>
      </c>
      <c r="M581"/>
    </row>
    <row r="582" spans="1:13" x14ac:dyDescent="0.35">
      <c r="A582" t="s">
        <v>220</v>
      </c>
      <c r="B582" s="37" t="str">
        <f>INDEX(CONTROL[ENGLISH],MATCH(PROPERTIES[[#This Row],[VEHIDCODE]],CONTROL[VEHIDCODE],0))</f>
        <v>7th Gen Self-discharging Hopper [Non-Food]</v>
      </c>
      <c r="C582">
        <v>0</v>
      </c>
      <c r="D582" t="s">
        <v>523</v>
      </c>
      <c r="E582" t="s">
        <v>512</v>
      </c>
      <c r="F582" t="s">
        <v>516</v>
      </c>
      <c r="M582"/>
    </row>
    <row r="583" spans="1:13" x14ac:dyDescent="0.35">
      <c r="A583" t="s">
        <v>221</v>
      </c>
      <c r="B583" s="37" t="str">
        <f>INDEX(CONTROL[ENGLISH],MATCH(PROPERTIES[[#This Row],[VEHIDCODE]],CONTROL[VEHIDCODE],0))</f>
        <v>7th Gen Silo [Food]</v>
      </c>
      <c r="C583">
        <v>0</v>
      </c>
      <c r="D583" t="s">
        <v>523</v>
      </c>
      <c r="E583" t="s">
        <v>512</v>
      </c>
      <c r="F583" t="s">
        <v>516</v>
      </c>
      <c r="M583"/>
    </row>
    <row r="584" spans="1:13" x14ac:dyDescent="0.35">
      <c r="A584" t="s">
        <v>222</v>
      </c>
      <c r="B584" s="37" t="str">
        <f>INDEX(CONTROL[ENGLISH],MATCH(PROPERTIES[[#This Row],[VEHIDCODE]],CONTROL[VEHIDCODE],0))</f>
        <v>7th Gen Silo [Non-Food]</v>
      </c>
      <c r="C584">
        <v>0</v>
      </c>
      <c r="D584" t="s">
        <v>523</v>
      </c>
      <c r="E584" t="s">
        <v>512</v>
      </c>
      <c r="F584" t="s">
        <v>516</v>
      </c>
      <c r="M584"/>
    </row>
    <row r="585" spans="1:13" x14ac:dyDescent="0.35">
      <c r="A585" t="s">
        <v>223</v>
      </c>
      <c r="B585" s="37" t="str">
        <f>INDEX(CONTROL[ENGLISH],MATCH(PROPERTIES[[#This Row],[VEHIDCODE]],CONTROL[VEHIDCODE],0))</f>
        <v>7th Gen Superheavy Flatcar</v>
      </c>
      <c r="C585">
        <v>0</v>
      </c>
      <c r="D585" t="s">
        <v>523</v>
      </c>
      <c r="E585" t="s">
        <v>511</v>
      </c>
      <c r="F585" t="s">
        <v>515</v>
      </c>
      <c r="M585"/>
    </row>
    <row r="586" spans="1:13" x14ac:dyDescent="0.35">
      <c r="A586" t="s">
        <v>224</v>
      </c>
      <c r="B586" s="37" t="str">
        <f>INDEX(CONTROL[ENGLISH],MATCH(PROPERTIES[[#This Row],[VEHIDCODE]],CONTROL[VEHIDCODE],0))</f>
        <v>7th Gen Tanker</v>
      </c>
      <c r="C586">
        <v>0</v>
      </c>
      <c r="D586" t="s">
        <v>523</v>
      </c>
      <c r="E586" t="s">
        <v>512</v>
      </c>
      <c r="F586" t="s">
        <v>516</v>
      </c>
      <c r="M586"/>
    </row>
    <row r="587" spans="1:13" x14ac:dyDescent="0.35">
      <c r="A587" t="s">
        <v>3196</v>
      </c>
      <c r="B587" s="37" t="str">
        <f>INDEX(CONTROL[ENGLISH],MATCH(PROPERTIES[[#This Row],[VEHIDCODE]],CONTROL[VEHIDCODE],0))</f>
        <v>Niigata Transys Shikoku 1000</v>
      </c>
      <c r="C587">
        <v>0</v>
      </c>
      <c r="D587" t="s">
        <v>523</v>
      </c>
      <c r="E587" t="s">
        <v>506</v>
      </c>
      <c r="F587" t="s">
        <v>516</v>
      </c>
      <c r="M587"/>
    </row>
    <row r="588" spans="1:13" x14ac:dyDescent="0.35">
      <c r="A588" t="s">
        <v>3197</v>
      </c>
      <c r="B588" s="37" t="str">
        <f>INDEX(CONTROL[ENGLISH],MATCH(PROPERTIES[[#This Row],[VEHIDCODE]],CONTROL[VEHIDCODE],0))</f>
        <v>Niigata Transys KiHa E120</v>
      </c>
      <c r="C588">
        <v>0</v>
      </c>
      <c r="D588" t="s">
        <v>523</v>
      </c>
      <c r="E588" t="s">
        <v>506</v>
      </c>
      <c r="F588" t="s">
        <v>516</v>
      </c>
      <c r="M588"/>
    </row>
    <row r="589" spans="1:13" x14ac:dyDescent="0.35">
      <c r="A589" t="s">
        <v>3198</v>
      </c>
      <c r="B589" s="37" t="str">
        <f>INDEX(CONTROL[ENGLISH],MATCH(PROPERTIES[[#This Row],[VEHIDCODE]],CONTROL[VEHIDCODE],0))</f>
        <v>Ferrostaal SB-56</v>
      </c>
      <c r="C589">
        <v>0</v>
      </c>
      <c r="D589" t="s">
        <v>523</v>
      </c>
      <c r="E589" t="s">
        <v>506</v>
      </c>
      <c r="F589" t="s">
        <v>516</v>
      </c>
      <c r="M589"/>
    </row>
    <row r="590" spans="1:13" x14ac:dyDescent="0.35">
      <c r="A590" t="s">
        <v>3199</v>
      </c>
      <c r="B590" s="37" t="str">
        <f>INDEX(CONTROL[ENGLISH],MATCH(PROPERTIES[[#This Row],[VEHIDCODE]],CONTROL[VEHIDCODE],0))</f>
        <v>Sulzer M Railcar</v>
      </c>
      <c r="C590">
        <v>0</v>
      </c>
      <c r="D590" t="s">
        <v>523</v>
      </c>
      <c r="E590" t="s">
        <v>506</v>
      </c>
      <c r="F590" t="s">
        <v>516</v>
      </c>
      <c r="M590"/>
    </row>
    <row r="591" spans="1:13" x14ac:dyDescent="0.35">
      <c r="A591" t="s">
        <v>3200</v>
      </c>
      <c r="B591" s="37" t="str">
        <f>INDEX(CONTROL[ENGLISH],MATCH(PROPERTIES[[#This Row],[VEHIDCODE]],CONTROL[VEHIDCODE],0))</f>
        <v>Eritrean Railway A.62-70 'Littorina'</v>
      </c>
      <c r="C591">
        <v>0</v>
      </c>
      <c r="D591" t="s">
        <v>523</v>
      </c>
      <c r="E591" t="s">
        <v>506</v>
      </c>
      <c r="F591" t="s">
        <v>516</v>
      </c>
      <c r="M591"/>
    </row>
    <row r="592" spans="1:13" x14ac:dyDescent="0.35">
      <c r="A592" t="s">
        <v>3201</v>
      </c>
      <c r="B592" s="37" t="str">
        <f>INDEX(CONTROL[ENGLISH],MATCH(PROPERTIES[[#This Row],[VEHIDCODE]],CONTROL[VEHIDCODE],0))</f>
        <v>SLM CFe 3/3</v>
      </c>
      <c r="C592">
        <v>-3</v>
      </c>
      <c r="D592" t="s">
        <v>523</v>
      </c>
      <c r="E592" t="s">
        <v>506</v>
      </c>
      <c r="F592" t="s">
        <v>516</v>
      </c>
      <c r="M592"/>
    </row>
    <row r="593" spans="1:13" x14ac:dyDescent="0.35">
      <c r="A593" t="s">
        <v>3202</v>
      </c>
      <c r="B593" s="37" t="str">
        <f>INDEX(CONTROL[ENGLISH],MATCH(PROPERTIES[[#This Row],[VEHIDCODE]],CONTROL[VEHIDCODE],0))</f>
        <v>TPC BVB Be 2/2</v>
      </c>
      <c r="C593">
        <v>0</v>
      </c>
      <c r="D593" t="s">
        <v>523</v>
      </c>
      <c r="E593" t="s">
        <v>506</v>
      </c>
      <c r="F593" t="s">
        <v>516</v>
      </c>
      <c r="M593"/>
    </row>
    <row r="594" spans="1:13" x14ac:dyDescent="0.35">
      <c r="A594" t="s">
        <v>3203</v>
      </c>
      <c r="B594" s="37" t="str">
        <f>INDEX(CONTROL[ENGLISH],MATCH(PROPERTIES[[#This Row],[VEHIDCODE]],CONTROL[VEHIDCODE],0))</f>
        <v>MVR Beh 2/4</v>
      </c>
      <c r="C594">
        <v>0</v>
      </c>
      <c r="D594" t="s">
        <v>523</v>
      </c>
      <c r="E594" t="s">
        <v>506</v>
      </c>
      <c r="F594" t="s">
        <v>516</v>
      </c>
      <c r="M594"/>
    </row>
    <row r="595" spans="1:13" x14ac:dyDescent="0.35">
      <c r="A595" t="s">
        <v>3204</v>
      </c>
      <c r="B595" s="37" t="str">
        <f>INDEX(CONTROL[ENGLISH],MATCH(PROPERTIES[[#This Row],[VEHIDCODE]],CONTROL[VEHIDCODE],0))</f>
        <v>Ferrocarril de Soller 1-3</v>
      </c>
      <c r="C595">
        <v>0</v>
      </c>
      <c r="D595" t="s">
        <v>523</v>
      </c>
      <c r="E595" t="s">
        <v>506</v>
      </c>
      <c r="F595" t="s">
        <v>516</v>
      </c>
      <c r="M595"/>
    </row>
    <row r="596" spans="1:13" x14ac:dyDescent="0.35">
      <c r="A596" t="s">
        <v>3205</v>
      </c>
      <c r="B596" s="37" t="str">
        <f>INDEX(CONTROL[ENGLISH],MATCH(PROPERTIES[[#This Row],[VEHIDCODE]],CONTROL[VEHIDCODE],0))</f>
        <v>Hitachi Choshi DeHa 1000</v>
      </c>
      <c r="C596">
        <v>0</v>
      </c>
      <c r="D596" t="s">
        <v>523</v>
      </c>
      <c r="E596" t="s">
        <v>506</v>
      </c>
      <c r="F596" t="s">
        <v>516</v>
      </c>
      <c r="M596"/>
    </row>
    <row r="597" spans="1:13" x14ac:dyDescent="0.35">
      <c r="A597" t="s">
        <v>3206</v>
      </c>
      <c r="B597" s="37" t="str">
        <f>INDEX(CONTROL[ENGLISH],MATCH(PROPERTIES[[#This Row],[VEHIDCODE]],CONTROL[VEHIDCODE],0))</f>
        <v>SLM G 3/4</v>
      </c>
      <c r="C597">
        <v>0</v>
      </c>
      <c r="D597" t="s">
        <v>523</v>
      </c>
      <c r="E597" t="s">
        <v>513</v>
      </c>
      <c r="F597" t="s">
        <v>517</v>
      </c>
      <c r="M597"/>
    </row>
    <row r="598" spans="1:13" x14ac:dyDescent="0.35">
      <c r="A598" t="s">
        <v>3207</v>
      </c>
      <c r="B598" s="37" t="str">
        <f>INDEX(CONTROL[ENGLISH],MATCH(PROPERTIES[[#This Row],[VEHIDCODE]],CONTROL[VEHIDCODE],0))</f>
        <v>Kisha Seizo 2-10-4T E10</v>
      </c>
      <c r="C598">
        <v>0</v>
      </c>
      <c r="D598" t="s">
        <v>523</v>
      </c>
      <c r="E598" t="s">
        <v>513</v>
      </c>
      <c r="F598" t="s">
        <v>517</v>
      </c>
      <c r="M598"/>
    </row>
    <row r="599" spans="1:13" x14ac:dyDescent="0.35">
      <c r="A599" t="s">
        <v>3208</v>
      </c>
      <c r="B599" s="37" t="str">
        <f>INDEX(CONTROL[ENGLISH],MATCH(PROPERTIES[[#This Row],[VEHIDCODE]],CONTROL[VEHIDCODE],0))</f>
        <v>H. K. Porter, Inc 2-6-0 7100</v>
      </c>
      <c r="C599">
        <v>0</v>
      </c>
      <c r="D599" t="s">
        <v>523</v>
      </c>
      <c r="E599" t="s">
        <v>513</v>
      </c>
      <c r="F599" t="s">
        <v>515</v>
      </c>
      <c r="M599"/>
    </row>
    <row r="600" spans="1:13" x14ac:dyDescent="0.35">
      <c r="A600" t="s">
        <v>3209</v>
      </c>
      <c r="B600" s="37" t="str">
        <f>INDEX(CONTROL[ENGLISH],MATCH(PROPERTIES[[#This Row],[VEHIDCODE]],CONTROL[VEHIDCODE],0))</f>
        <v>Richard Francis Trevithick 2-4-2T 860</v>
      </c>
      <c r="C600">
        <v>0</v>
      </c>
      <c r="D600" t="s">
        <v>523</v>
      </c>
      <c r="E600" t="s">
        <v>513</v>
      </c>
      <c r="F600" t="s">
        <v>517</v>
      </c>
      <c r="M600"/>
    </row>
    <row r="601" spans="1:13" x14ac:dyDescent="0.35">
      <c r="A601" t="s">
        <v>3210</v>
      </c>
      <c r="B601" s="37" t="str">
        <f>INDEX(CONTROL[ENGLISH],MATCH(PROPERTIES[[#This Row],[VEHIDCODE]],CONTROL[VEHIDCODE],0))</f>
        <v>Kawasaki 2-8-0 9600</v>
      </c>
      <c r="C601">
        <v>0</v>
      </c>
      <c r="D601" t="s">
        <v>523</v>
      </c>
      <c r="E601" t="s">
        <v>513</v>
      </c>
      <c r="F601" t="s">
        <v>515</v>
      </c>
      <c r="M601"/>
    </row>
    <row r="602" spans="1:13" x14ac:dyDescent="0.35">
      <c r="A602" t="s">
        <v>3211</v>
      </c>
      <c r="B602" s="37" t="str">
        <f>INDEX(CONTROL[ENGLISH],MATCH(PROPERTIES[[#This Row],[VEHIDCODE]],CONTROL[VEHIDCODE],0))</f>
        <v>Kawasaki 2-8-2 D50</v>
      </c>
      <c r="C602">
        <v>0</v>
      </c>
      <c r="D602" t="s">
        <v>523</v>
      </c>
      <c r="E602" t="s">
        <v>513</v>
      </c>
      <c r="F602" t="s">
        <v>515</v>
      </c>
      <c r="M602"/>
    </row>
    <row r="603" spans="1:13" x14ac:dyDescent="0.35">
      <c r="A603" t="s">
        <v>3212</v>
      </c>
      <c r="B603" s="37" t="str">
        <f>INDEX(CONTROL[ENGLISH],MATCH(PROPERTIES[[#This Row],[VEHIDCODE]],CONTROL[VEHIDCODE],0))</f>
        <v>Kisha/Mitsubishi/NS DF50</v>
      </c>
      <c r="C603">
        <v>0</v>
      </c>
      <c r="D603" t="s">
        <v>523</v>
      </c>
      <c r="E603" t="s">
        <v>506</v>
      </c>
      <c r="F603" t="s">
        <v>515</v>
      </c>
      <c r="M603"/>
    </row>
    <row r="604" spans="1:13" x14ac:dyDescent="0.35">
      <c r="A604" t="s">
        <v>3213</v>
      </c>
      <c r="B604" s="37" t="str">
        <f>INDEX(CONTROL[ENGLISH],MATCH(PROPERTIES[[#This Row],[VEHIDCODE]],CONTROL[VEHIDCODE],0))</f>
        <v>SIG Alioth De 2/2</v>
      </c>
      <c r="C604">
        <v>-3</v>
      </c>
      <c r="D604" t="s">
        <v>524</v>
      </c>
      <c r="E604" t="s">
        <v>506</v>
      </c>
      <c r="F604" t="s">
        <v>515</v>
      </c>
      <c r="M604"/>
    </row>
    <row r="605" spans="1:13" x14ac:dyDescent="0.35">
      <c r="A605" t="s">
        <v>3214</v>
      </c>
      <c r="B605" s="37" t="str">
        <f>INDEX(CONTROL[ENGLISH],MATCH(PROPERTIES[[#This Row],[VEHIDCODE]],CONTROL[VEHIDCODE],0))</f>
        <v>Toshiba EH10</v>
      </c>
      <c r="C605">
        <v>0</v>
      </c>
      <c r="D605" t="s">
        <v>524</v>
      </c>
      <c r="E605" t="s">
        <v>513</v>
      </c>
      <c r="F605" t="s">
        <v>519</v>
      </c>
      <c r="M605"/>
    </row>
    <row r="606" spans="1:13" x14ac:dyDescent="0.35">
      <c r="A606" t="s">
        <v>3215</v>
      </c>
      <c r="B606" s="37" t="str">
        <f>INDEX(CONTROL[ENGLISH],MATCH(PROPERTIES[[#This Row],[VEHIDCODE]],CONTROL[VEHIDCODE],0))</f>
        <v>Kawasaki/Toshiba EF64</v>
      </c>
      <c r="C606">
        <v>-3</v>
      </c>
      <c r="D606" t="s">
        <v>524</v>
      </c>
      <c r="E606" t="s">
        <v>506</v>
      </c>
      <c r="F606" t="s">
        <v>515</v>
      </c>
      <c r="M606"/>
    </row>
    <row r="607" spans="1:13" x14ac:dyDescent="0.35">
      <c r="A607" t="s">
        <v>3216</v>
      </c>
      <c r="B607" s="37" t="str">
        <f>INDEX(CONTROL[ENGLISH],MATCH(PROPERTIES[[#This Row],[VEHIDCODE]],CONTROL[VEHIDCODE],0))</f>
        <v>EEC EO Class</v>
      </c>
      <c r="C607">
        <v>0</v>
      </c>
      <c r="D607" t="s">
        <v>524</v>
      </c>
      <c r="E607" t="s">
        <v>506</v>
      </c>
      <c r="F607" t="s">
        <v>515</v>
      </c>
      <c r="M607"/>
    </row>
    <row r="608" spans="1:13" x14ac:dyDescent="0.35">
      <c r="A608" t="s">
        <v>3217</v>
      </c>
      <c r="B608" s="37" t="str">
        <f>INDEX(CONTROL[ENGLISH],MATCH(PROPERTIES[[#This Row],[VEHIDCODE]],CONTROL[VEHIDCODE],0))</f>
        <v>Tulloch 0-6-0DM 'W' Class DNU WRONG</v>
      </c>
      <c r="C608">
        <v>0</v>
      </c>
      <c r="D608" t="s">
        <v>524</v>
      </c>
      <c r="E608" t="s">
        <v>506</v>
      </c>
      <c r="F608" t="s">
        <v>515</v>
      </c>
      <c r="M608"/>
    </row>
    <row r="609" spans="1:13" x14ac:dyDescent="0.35">
      <c r="A609" t="s">
        <v>3218</v>
      </c>
      <c r="B609" s="37" t="str">
        <f>INDEX(CONTROL[ENGLISH],MATCH(PROPERTIES[[#This Row],[VEHIDCODE]],CONTROL[VEHIDCODE],0))</f>
        <v xml:space="preserve">GEC/NBLC SAR 4E </v>
      </c>
      <c r="C609">
        <v>0</v>
      </c>
      <c r="D609" t="s">
        <v>524</v>
      </c>
      <c r="E609" t="s">
        <v>506</v>
      </c>
      <c r="F609" t="s">
        <v>515</v>
      </c>
      <c r="M609"/>
    </row>
    <row r="610" spans="1:13" x14ac:dyDescent="0.35">
      <c r="A610" t="s">
        <v>3219</v>
      </c>
      <c r="B610" s="37" t="str">
        <f>INDEX(CONTROL[ENGLISH],MATCH(PROPERTIES[[#This Row],[VEHIDCODE]],CONTROL[VEHIDCODE],0))</f>
        <v>Metrowick MV 5E1</v>
      </c>
      <c r="C610">
        <v>0</v>
      </c>
      <c r="D610" t="s">
        <v>524</v>
      </c>
      <c r="E610" t="s">
        <v>506</v>
      </c>
      <c r="F610" t="s">
        <v>515</v>
      </c>
      <c r="M610"/>
    </row>
    <row r="611" spans="1:13" x14ac:dyDescent="0.35">
      <c r="A611" t="s">
        <v>3220</v>
      </c>
      <c r="B611" s="37" t="str">
        <f>INDEX(CONTROL[ENGLISH],MATCH(PROPERTIES[[#This Row],[VEHIDCODE]],CONTROL[VEHIDCODE],0))</f>
        <v>UCW 6E</v>
      </c>
      <c r="C611">
        <v>-3</v>
      </c>
      <c r="D611" t="s">
        <v>524</v>
      </c>
      <c r="E611" t="s">
        <v>506</v>
      </c>
      <c r="F611" t="s">
        <v>515</v>
      </c>
      <c r="M611"/>
    </row>
    <row r="612" spans="1:13" x14ac:dyDescent="0.35">
      <c r="A612" t="s">
        <v>3221</v>
      </c>
      <c r="B612" s="37" t="str">
        <f>INDEX(CONTROL[ENGLISH],MATCH(PROPERTIES[[#This Row],[VEHIDCODE]],CONTROL[VEHIDCODE],0))</f>
        <v>SLM/BBC/MFO Ge 4/4 I</v>
      </c>
      <c r="C612">
        <v>0</v>
      </c>
      <c r="D612" t="s">
        <v>524</v>
      </c>
      <c r="E612" t="s">
        <v>506</v>
      </c>
      <c r="F612" t="s">
        <v>515</v>
      </c>
      <c r="M612"/>
    </row>
    <row r="613" spans="1:13" x14ac:dyDescent="0.35">
      <c r="A613" t="s">
        <v>3222</v>
      </c>
      <c r="B613" s="37" t="str">
        <f>INDEX(CONTROL[ENGLISH],MATCH(PROPERTIES[[#This Row],[VEHIDCODE]],CONTROL[VEHIDCODE],0))</f>
        <v>SLM/BBC/MFO Ge 6/6 'Krokodil'</v>
      </c>
      <c r="C613">
        <v>0</v>
      </c>
      <c r="D613" t="s">
        <v>524</v>
      </c>
      <c r="E613" t="s">
        <v>513</v>
      </c>
      <c r="F613" t="s">
        <v>517</v>
      </c>
      <c r="M613"/>
    </row>
    <row r="614" spans="1:13" x14ac:dyDescent="0.35">
      <c r="A614" t="s">
        <v>3223</v>
      </c>
      <c r="B614" s="37" t="str">
        <f>INDEX(CONTROL[ENGLISH],MATCH(PROPERTIES[[#This Row],[VEHIDCODE]],CONTROL[VEHIDCODE],0))</f>
        <v>Stadler He 4/4</v>
      </c>
      <c r="C614">
        <v>0</v>
      </c>
      <c r="D614" t="s">
        <v>524</v>
      </c>
      <c r="E614" t="s">
        <v>506</v>
      </c>
      <c r="F614" t="s">
        <v>515</v>
      </c>
      <c r="M614"/>
    </row>
    <row r="615" spans="1:13" x14ac:dyDescent="0.35">
      <c r="A615" t="s">
        <v>3224</v>
      </c>
      <c r="B615" s="37" t="str">
        <f>INDEX(CONTROL[ENGLISH],MATCH(PROPERTIES[[#This Row],[VEHIDCODE]],CONTROL[VEHIDCODE],0))</f>
        <v>UCW 50 c/s Group 7E</v>
      </c>
      <c r="C615">
        <v>0</v>
      </c>
      <c r="D615" t="s">
        <v>524</v>
      </c>
      <c r="E615" t="s">
        <v>506</v>
      </c>
      <c r="F615" t="s">
        <v>515</v>
      </c>
      <c r="M615"/>
    </row>
    <row r="616" spans="1:13" x14ac:dyDescent="0.35">
      <c r="A616" t="s">
        <v>3225</v>
      </c>
      <c r="B616" s="37" t="str">
        <f>INDEX(CONTROL[ENGLISH],MATCH(PROPERTIES[[#This Row],[VEHIDCODE]],CONTROL[VEHIDCODE],0))</f>
        <v>General Motors GM5FC</v>
      </c>
      <c r="C616">
        <v>0</v>
      </c>
      <c r="D616" t="s">
        <v>524</v>
      </c>
      <c r="E616" t="s">
        <v>506</v>
      </c>
      <c r="F616" t="s">
        <v>515</v>
      </c>
      <c r="M616"/>
    </row>
    <row r="617" spans="1:13" x14ac:dyDescent="0.35">
      <c r="A617" t="s">
        <v>3226</v>
      </c>
      <c r="B617" s="37" t="str">
        <f>INDEX(CONTROL[ENGLISH],MATCH(PROPERTIES[[#This Row],[VEHIDCODE]],CONTROL[VEHIDCODE],0))</f>
        <v>Brush EF Class</v>
      </c>
      <c r="C617">
        <v>0</v>
      </c>
      <c r="D617" t="s">
        <v>524</v>
      </c>
      <c r="E617" t="s">
        <v>506</v>
      </c>
      <c r="F617" t="s">
        <v>515</v>
      </c>
      <c r="M617"/>
    </row>
    <row r="618" spans="1:13" x14ac:dyDescent="0.35">
      <c r="A618" t="s">
        <v>3227</v>
      </c>
      <c r="B618" s="37" t="str">
        <f>INDEX(CONTROL[ENGLISH],MATCH(PROPERTIES[[#This Row],[VEHIDCODE]],CONTROL[VEHIDCODE],0))</f>
        <v>Nippon Sharyo Odakyu 3100 series NSE</v>
      </c>
      <c r="C618">
        <v>0</v>
      </c>
      <c r="D618" t="s">
        <v>525</v>
      </c>
      <c r="E618" t="s">
        <v>510</v>
      </c>
      <c r="F618" t="s">
        <v>519</v>
      </c>
      <c r="M618"/>
    </row>
    <row r="619" spans="1:13" x14ac:dyDescent="0.35">
      <c r="A619" t="s">
        <v>3228</v>
      </c>
      <c r="B619" s="37" t="str">
        <f>INDEX(CONTROL[ENGLISH],MATCH(PROPERTIES[[#This Row],[VEHIDCODE]],CONTROL[VEHIDCODE],0))</f>
        <v>Nippon Sharyo Odakyu 10000 series HiSE</v>
      </c>
      <c r="C619">
        <v>0</v>
      </c>
      <c r="D619" t="s">
        <v>525</v>
      </c>
      <c r="E619" t="s">
        <v>510</v>
      </c>
      <c r="F619" t="s">
        <v>519</v>
      </c>
      <c r="M619"/>
    </row>
    <row r="620" spans="1:13" x14ac:dyDescent="0.35">
      <c r="A620" t="s">
        <v>3229</v>
      </c>
      <c r="B620" s="37" t="str">
        <f>INDEX(CONTROL[ENGLISH],MATCH(PROPERTIES[[#This Row],[VEHIDCODE]],CONTROL[VEHIDCODE],0))</f>
        <v>Comeng/Goninan S-set</v>
      </c>
      <c r="C620">
        <v>-3</v>
      </c>
      <c r="D620" t="s">
        <v>524</v>
      </c>
      <c r="E620" t="s">
        <v>510</v>
      </c>
      <c r="F620" t="s">
        <v>515</v>
      </c>
      <c r="M620"/>
    </row>
    <row r="621" spans="1:13" x14ac:dyDescent="0.35">
      <c r="A621" t="s">
        <v>3230</v>
      </c>
      <c r="B621" s="37" t="str">
        <f>INDEX(CONTROL[ENGLISH],MATCH(PROPERTIES[[#This Row],[VEHIDCODE]],CONTROL[VEHIDCODE],0))</f>
        <v>UGL Rail H-set 'OSCAR'</v>
      </c>
      <c r="C621">
        <v>0</v>
      </c>
      <c r="D621" t="s">
        <v>524</v>
      </c>
      <c r="E621" t="s">
        <v>510</v>
      </c>
      <c r="F621" t="s">
        <v>515</v>
      </c>
      <c r="M621"/>
    </row>
    <row r="622" spans="1:13" x14ac:dyDescent="0.35">
      <c r="A622" t="s">
        <v>3231</v>
      </c>
      <c r="B622" s="37" t="str">
        <f>INDEX(CONTROL[ENGLISH],MATCH(PROPERTIES[[#This Row],[VEHIDCODE]],CONTROL[VEHIDCODE],0))</f>
        <v>Victorian Railways 'Swing Door'</v>
      </c>
      <c r="C622">
        <v>0</v>
      </c>
      <c r="D622" t="s">
        <v>524</v>
      </c>
      <c r="E622" t="s">
        <v>510</v>
      </c>
      <c r="F622" t="s">
        <v>515</v>
      </c>
      <c r="M622"/>
    </row>
    <row r="623" spans="1:13" x14ac:dyDescent="0.35">
      <c r="A623" t="s">
        <v>3470</v>
      </c>
      <c r="B623" s="37" t="str">
        <f>INDEX(CONTROL[ENGLISH],MATCH(PROPERTIES[[#This Row],[VEHIDCODE]],CONTROL[VEHIDCODE],0))</f>
        <v>Ganz-MAVAG EM/ET</v>
      </c>
      <c r="C623">
        <v>0</v>
      </c>
      <c r="D623" t="s">
        <v>524</v>
      </c>
      <c r="E623" t="s">
        <v>510</v>
      </c>
      <c r="F623" t="s">
        <v>515</v>
      </c>
      <c r="M623"/>
    </row>
    <row r="624" spans="1:13" x14ac:dyDescent="0.35">
      <c r="A624" t="s">
        <v>3233</v>
      </c>
      <c r="B624" s="37" t="str">
        <f>INDEX(CONTROL[ENGLISH],MATCH(PROPERTIES[[#This Row],[VEHIDCODE]],CONTROL[VEHIDCODE],0))</f>
        <v>Metro-Cammell 5M2</v>
      </c>
      <c r="C624">
        <v>0</v>
      </c>
      <c r="D624" t="s">
        <v>524</v>
      </c>
      <c r="E624" t="s">
        <v>510</v>
      </c>
      <c r="F624" t="s">
        <v>515</v>
      </c>
      <c r="M624"/>
    </row>
    <row r="625" spans="1:13" x14ac:dyDescent="0.35">
      <c r="A625" t="s">
        <v>3234</v>
      </c>
      <c r="B625" s="37" t="str">
        <f>INDEX(CONTROL[ENGLISH],MATCH(PROPERTIES[[#This Row],[VEHIDCODE]],CONTROL[VEHIDCODE],0))</f>
        <v>Alstom X'Trapolis 100</v>
      </c>
      <c r="C625">
        <v>0</v>
      </c>
      <c r="D625" t="s">
        <v>524</v>
      </c>
      <c r="E625" t="s">
        <v>510</v>
      </c>
      <c r="F625" t="s">
        <v>515</v>
      </c>
      <c r="M625"/>
    </row>
    <row r="626" spans="1:13" x14ac:dyDescent="0.35">
      <c r="A626" t="s">
        <v>3235</v>
      </c>
      <c r="B626" s="37" t="str">
        <f>INDEX(CONTROL[ENGLISH],MATCH(PROPERTIES[[#This Row],[VEHIDCODE]],CONTROL[VEHIDCODE],0))</f>
        <v>GEC/Fiat AES Railcar</v>
      </c>
      <c r="C626">
        <v>0</v>
      </c>
      <c r="D626" t="s">
        <v>524</v>
      </c>
      <c r="E626" t="s">
        <v>510</v>
      </c>
      <c r="F626" t="s">
        <v>515</v>
      </c>
      <c r="M626"/>
    </row>
    <row r="627" spans="1:13" x14ac:dyDescent="0.35">
      <c r="A627" t="s">
        <v>3236</v>
      </c>
      <c r="B627" s="37" t="str">
        <f>INDEX(CONTROL[ENGLISH],MATCH(PROPERTIES[[#This Row],[VEHIDCODE]],CONTROL[VEHIDCODE],0))</f>
        <v>Ganz-MAVAG YZ-E</v>
      </c>
      <c r="C627">
        <v>0</v>
      </c>
      <c r="D627" t="s">
        <v>525</v>
      </c>
      <c r="E627" t="s">
        <v>510</v>
      </c>
      <c r="F627" t="s">
        <v>519</v>
      </c>
      <c r="M627"/>
    </row>
    <row r="628" spans="1:13" x14ac:dyDescent="0.35">
      <c r="A628" t="s">
        <v>3237</v>
      </c>
      <c r="B628" s="37" t="str">
        <f>INDEX(CONTROL[ENGLISH],MATCH(PROPERTIES[[#This Row],[VEHIDCODE]],CONTROL[VEHIDCODE],0))</f>
        <v>Walkers Tilt Train 'ETT'</v>
      </c>
      <c r="C628">
        <v>0</v>
      </c>
      <c r="D628" t="s">
        <v>525</v>
      </c>
      <c r="E628" t="s">
        <v>510</v>
      </c>
      <c r="F628" t="s">
        <v>519</v>
      </c>
      <c r="M628"/>
    </row>
    <row r="629" spans="1:13" x14ac:dyDescent="0.35">
      <c r="A629" t="s">
        <v>3238</v>
      </c>
      <c r="B629" s="37" t="str">
        <f>INDEX(CONTROL[ENGLISH],MATCH(PROPERTIES[[#This Row],[VEHIDCODE]],CONTROL[VEHIDCODE],0))</f>
        <v>NEVZ-TEVZ VL15</v>
      </c>
      <c r="C629">
        <v>0</v>
      </c>
      <c r="D629" t="s">
        <v>524</v>
      </c>
      <c r="E629" t="s">
        <v>513</v>
      </c>
      <c r="F629" t="s">
        <v>519</v>
      </c>
      <c r="M629"/>
    </row>
    <row r="630" spans="1:13" x14ac:dyDescent="0.35">
      <c r="A630" t="s">
        <v>3239</v>
      </c>
      <c r="B630" s="37" t="str">
        <f>INDEX(CONTROL[ENGLISH],MATCH(PROPERTIES[[#This Row],[VEHIDCODE]],CONTROL[VEHIDCODE],0))</f>
        <v>TEVZ VL11</v>
      </c>
      <c r="C630">
        <v>0</v>
      </c>
      <c r="D630" t="s">
        <v>524</v>
      </c>
      <c r="E630" t="s">
        <v>513</v>
      </c>
      <c r="F630" t="s">
        <v>519</v>
      </c>
      <c r="M630"/>
    </row>
    <row r="631" spans="1:13" x14ac:dyDescent="0.35">
      <c r="A631" t="s">
        <v>3240</v>
      </c>
      <c r="B631" s="37" t="str">
        <f>INDEX(CONTROL[ENGLISH],MATCH(PROPERTIES[[#This Row],[VEHIDCODE]],CONTROL[VEHIDCODE],0))</f>
        <v>NEVZ VL22M</v>
      </c>
      <c r="C631">
        <v>-3</v>
      </c>
      <c r="D631" t="s">
        <v>524</v>
      </c>
      <c r="E631" t="s">
        <v>506</v>
      </c>
      <c r="F631" t="s">
        <v>515</v>
      </c>
      <c r="M631"/>
    </row>
    <row r="632" spans="1:13" x14ac:dyDescent="0.35">
      <c r="A632" t="s">
        <v>3241</v>
      </c>
      <c r="B632" s="37" t="str">
        <f>INDEX(CONTROL[ENGLISH],MATCH(PROPERTIES[[#This Row],[VEHIDCODE]],CONTROL[VEHIDCODE],0))</f>
        <v>DEVZ DE1</v>
      </c>
      <c r="C632">
        <v>0</v>
      </c>
      <c r="D632" t="s">
        <v>524</v>
      </c>
      <c r="E632" t="s">
        <v>513</v>
      </c>
      <c r="F632" t="s">
        <v>519</v>
      </c>
      <c r="M632"/>
    </row>
    <row r="633" spans="1:13" x14ac:dyDescent="0.35">
      <c r="A633" t="s">
        <v>3242</v>
      </c>
      <c r="B633" s="37" t="str">
        <f>INDEX(CONTROL[ENGLISH],MATCH(PROPERTIES[[#This Row],[VEHIDCODE]],CONTROL[VEHIDCODE],0))</f>
        <v>Skoda 12E</v>
      </c>
      <c r="C633">
        <v>0</v>
      </c>
      <c r="D633" t="s">
        <v>524</v>
      </c>
      <c r="E633" t="s">
        <v>506</v>
      </c>
      <c r="F633" t="s">
        <v>515</v>
      </c>
      <c r="M633"/>
    </row>
    <row r="634" spans="1:13" x14ac:dyDescent="0.35">
      <c r="A634" t="s">
        <v>3243</v>
      </c>
      <c r="B634" s="37" t="str">
        <f>INDEX(CONTROL[ENGLISH],MATCH(PROPERTIES[[#This Row],[VEHIDCODE]],CONTROL[VEHIDCODE],0))</f>
        <v>Skoda 82E</v>
      </c>
      <c r="C634">
        <v>0</v>
      </c>
      <c r="D634" t="s">
        <v>524</v>
      </c>
      <c r="E634" t="s">
        <v>513</v>
      </c>
      <c r="F634" t="s">
        <v>519</v>
      </c>
      <c r="M634"/>
    </row>
    <row r="635" spans="1:13" x14ac:dyDescent="0.35">
      <c r="A635" t="s">
        <v>3244</v>
      </c>
      <c r="B635" s="37" t="str">
        <f>INDEX(CONTROL[ENGLISH],MATCH(PROPERTIES[[#This Row],[VEHIDCODE]],CONTROL[VEHIDCODE],0))</f>
        <v>GE C-C 4400 RFFSA</v>
      </c>
      <c r="C635">
        <v>0</v>
      </c>
      <c r="D635" t="s">
        <v>524</v>
      </c>
      <c r="E635" t="s">
        <v>513</v>
      </c>
      <c r="F635" t="s">
        <v>519</v>
      </c>
      <c r="M635"/>
    </row>
    <row r="636" spans="1:13" x14ac:dyDescent="0.35">
      <c r="A636" t="s">
        <v>3245</v>
      </c>
      <c r="B636" s="37" t="str">
        <f>INDEX(CONTROL[ENGLISH],MATCH(PROPERTIES[[#This Row],[VEHIDCODE]],CONTROL[VEHIDCODE],0))</f>
        <v>NEVZ VL85</v>
      </c>
      <c r="C636">
        <v>0</v>
      </c>
      <c r="D636" t="s">
        <v>524</v>
      </c>
      <c r="E636" t="s">
        <v>513</v>
      </c>
      <c r="F636" t="s">
        <v>519</v>
      </c>
      <c r="M636"/>
    </row>
    <row r="637" spans="1:13" x14ac:dyDescent="0.35">
      <c r="A637" t="s">
        <v>3246</v>
      </c>
      <c r="B637" s="37" t="str">
        <f>INDEX(CONTROL[ENGLISH],MATCH(PROPERTIES[[#This Row],[VEHIDCODE]],CONTROL[VEHIDCODE],0))</f>
        <v>DEVZ VL41</v>
      </c>
      <c r="C637">
        <v>-3</v>
      </c>
      <c r="D637" t="s">
        <v>524</v>
      </c>
      <c r="E637" t="s">
        <v>506</v>
      </c>
      <c r="F637" t="s">
        <v>515</v>
      </c>
      <c r="M637"/>
    </row>
    <row r="638" spans="1:13" x14ac:dyDescent="0.35">
      <c r="A638" t="s">
        <v>3247</v>
      </c>
      <c r="B638" s="37" t="str">
        <f>INDEX(CONTROL[ENGLISH],MATCH(PROPERTIES[[#This Row],[VEHIDCODE]],CONTROL[VEHIDCODE],0))</f>
        <v>CLW WAP-4</v>
      </c>
      <c r="C638">
        <v>-3</v>
      </c>
      <c r="D638" t="s">
        <v>524</v>
      </c>
      <c r="E638" t="s">
        <v>506</v>
      </c>
      <c r="F638" t="s">
        <v>515</v>
      </c>
      <c r="M638"/>
    </row>
    <row r="639" spans="1:13" x14ac:dyDescent="0.35">
      <c r="A639" t="s">
        <v>3248</v>
      </c>
      <c r="B639" s="37" t="str">
        <f>INDEX(CONTROL[ENGLISH],MATCH(PROPERTIES[[#This Row],[VEHIDCODE]],CONTROL[VEHIDCODE],0))</f>
        <v>NEVZ ES40</v>
      </c>
      <c r="C639">
        <v>-3</v>
      </c>
      <c r="D639" t="s">
        <v>524</v>
      </c>
      <c r="E639" t="s">
        <v>506</v>
      </c>
      <c r="F639" t="s">
        <v>515</v>
      </c>
      <c r="M639"/>
    </row>
    <row r="640" spans="1:13" x14ac:dyDescent="0.35">
      <c r="A640" t="s">
        <v>3249</v>
      </c>
      <c r="B640" s="37" t="str">
        <f>INDEX(CONTROL[ENGLISH],MATCH(PROPERTIES[[#This Row],[VEHIDCODE]],CONTROL[VEHIDCODE],0))</f>
        <v>Zuzhou KZ4A</v>
      </c>
      <c r="C640">
        <v>-3</v>
      </c>
      <c r="D640" t="s">
        <v>524</v>
      </c>
      <c r="E640" t="s">
        <v>506</v>
      </c>
      <c r="F640" t="s">
        <v>515</v>
      </c>
      <c r="M640"/>
    </row>
    <row r="641" spans="1:13" x14ac:dyDescent="0.35">
      <c r="A641" t="s">
        <v>3250</v>
      </c>
      <c r="B641" s="37" t="str">
        <f>INDEX(CONTROL[ENGLISH],MATCH(PROPERTIES[[#This Row],[VEHIDCODE]],CONTROL[VEHIDCODE],0))</f>
        <v>Alstom KZ8A</v>
      </c>
      <c r="C641">
        <v>0</v>
      </c>
      <c r="D641" t="s">
        <v>524</v>
      </c>
      <c r="E641" t="s">
        <v>513</v>
      </c>
      <c r="F641" t="s">
        <v>519</v>
      </c>
      <c r="M641"/>
    </row>
    <row r="642" spans="1:13" x14ac:dyDescent="0.35">
      <c r="A642" t="s">
        <v>3251</v>
      </c>
      <c r="B642" s="37" t="str">
        <f>INDEX(CONTROL[ENGLISH],MATCH(PROPERTIES[[#This Row],[VEHIDCODE]],CONTROL[VEHIDCODE],0))</f>
        <v>TRTrans/NEVZ EP20</v>
      </c>
      <c r="C642">
        <v>0</v>
      </c>
      <c r="D642" t="s">
        <v>524</v>
      </c>
      <c r="E642" t="s">
        <v>506</v>
      </c>
      <c r="F642" t="s">
        <v>515</v>
      </c>
      <c r="M642"/>
    </row>
    <row r="643" spans="1:13" x14ac:dyDescent="0.35">
      <c r="A643" t="s">
        <v>3252</v>
      </c>
      <c r="B643" s="37" t="str">
        <f>INDEX(CONTROL[ENGLISH],MATCH(PROPERTIES[[#This Row],[VEHIDCODE]],CONTROL[VEHIDCODE],0))</f>
        <v>Valmet Dm7</v>
      </c>
      <c r="C643">
        <v>-3</v>
      </c>
      <c r="D643" t="s">
        <v>523</v>
      </c>
      <c r="E643" t="s">
        <v>506</v>
      </c>
      <c r="F643" t="s">
        <v>516</v>
      </c>
      <c r="M643"/>
    </row>
    <row r="644" spans="1:13" x14ac:dyDescent="0.35">
      <c r="A644" t="s">
        <v>3253</v>
      </c>
      <c r="B644" s="37" t="str">
        <f>INDEX(CONTROL[ENGLISH],MATCH(PROPERTIES[[#This Row],[VEHIDCODE]],CONTROL[VEHIDCODE],0))</f>
        <v xml:space="preserve">Vagonka Studenka 91M0 </v>
      </c>
      <c r="C644">
        <v>-3</v>
      </c>
      <c r="D644" t="s">
        <v>523</v>
      </c>
      <c r="E644" t="s">
        <v>506</v>
      </c>
      <c r="F644" t="s">
        <v>516</v>
      </c>
      <c r="M644"/>
    </row>
    <row r="645" spans="1:13" x14ac:dyDescent="0.35">
      <c r="A645" t="s">
        <v>3254</v>
      </c>
      <c r="B645" s="37" t="str">
        <f>INDEX(CONTROL[ENGLISH],MATCH(PROPERTIES[[#This Row],[VEHIDCODE]],CONTROL[VEHIDCODE],0))</f>
        <v>RVR ER200</v>
      </c>
      <c r="C645">
        <v>0</v>
      </c>
      <c r="D645" t="s">
        <v>525</v>
      </c>
      <c r="E645" t="s">
        <v>510</v>
      </c>
      <c r="F645" t="s">
        <v>519</v>
      </c>
      <c r="M645"/>
    </row>
    <row r="646" spans="1:13" x14ac:dyDescent="0.35">
      <c r="A646" t="s">
        <v>3255</v>
      </c>
      <c r="B646" s="37" t="str">
        <f>INDEX(CONTROL[ENGLISH],MATCH(PROPERTIES[[#This Row],[VEHIDCODE]],CONTROL[VEHIDCODE],0))</f>
        <v>MMZ 'S'</v>
      </c>
      <c r="C646">
        <v>0</v>
      </c>
      <c r="D646" t="s">
        <v>524</v>
      </c>
      <c r="E646" t="s">
        <v>510</v>
      </c>
      <c r="F646" t="s">
        <v>519</v>
      </c>
      <c r="M646"/>
    </row>
    <row r="647" spans="1:13" x14ac:dyDescent="0.35">
      <c r="A647" t="s">
        <v>3256</v>
      </c>
      <c r="B647" s="37" t="str">
        <f>INDEX(CONTROL[ENGLISH],MATCH(PROPERTIES[[#This Row],[VEHIDCODE]],CONTROL[VEHIDCODE],0))</f>
        <v>Koncar 6112</v>
      </c>
      <c r="C647">
        <v>0</v>
      </c>
      <c r="D647" t="s">
        <v>524</v>
      </c>
      <c r="E647" t="s">
        <v>510</v>
      </c>
      <c r="F647" t="s">
        <v>515</v>
      </c>
      <c r="M647"/>
    </row>
    <row r="648" spans="1:13" x14ac:dyDescent="0.35">
      <c r="A648" t="s">
        <v>3257</v>
      </c>
      <c r="B648" s="37" t="str">
        <f>INDEX(CONTROL[ENGLISH],MATCH(PROPERTIES[[#This Row],[VEHIDCODE]],CONTROL[VEHIDCODE],0))</f>
        <v>Siemens Desiro ES1 'Lastochka'</v>
      </c>
      <c r="C648">
        <v>0</v>
      </c>
      <c r="D648" t="s">
        <v>525</v>
      </c>
      <c r="E648" t="s">
        <v>510</v>
      </c>
      <c r="F648" t="s">
        <v>519</v>
      </c>
      <c r="M648"/>
    </row>
    <row r="649" spans="1:13" x14ac:dyDescent="0.35">
      <c r="A649" t="s">
        <v>74</v>
      </c>
      <c r="B649" s="37" t="str">
        <f>INDEX(CONTROL[ENGLISH],MATCH(PROPERTIES[[#This Row],[VEHIDCODE]],CONTROL[VEHIDCODE],0))</f>
        <v>Metro Unit Wagon</v>
      </c>
      <c r="C649">
        <v>0</v>
      </c>
      <c r="D649" t="s">
        <v>523</v>
      </c>
      <c r="E649" t="s">
        <v>506</v>
      </c>
      <c r="F649" t="s">
        <v>520</v>
      </c>
      <c r="M649"/>
    </row>
    <row r="650" spans="1:13" x14ac:dyDescent="0.35">
      <c r="A650" t="s">
        <v>73</v>
      </c>
      <c r="B650" s="37" t="str">
        <f>INDEX(CONTROL[ENGLISH],MATCH(PROPERTIES[[#This Row],[VEHIDCODE]],CONTROL[VEHIDCODE],0))</f>
        <v>Metro Unit Wagon</v>
      </c>
      <c r="C650">
        <v>0</v>
      </c>
      <c r="D650" t="s">
        <v>523</v>
      </c>
      <c r="E650" t="s">
        <v>506</v>
      </c>
      <c r="F650" t="s">
        <v>520</v>
      </c>
      <c r="M650"/>
    </row>
    <row r="651" spans="1:13" x14ac:dyDescent="0.35">
      <c r="A651" t="s">
        <v>75</v>
      </c>
      <c r="B651" s="37" t="str">
        <f>INDEX(CONTROL[ENGLISH],MATCH(PROPERTIES[[#This Row],[VEHIDCODE]],CONTROL[VEHIDCODE],0))</f>
        <v>Multiple Unit Cargo Wagon</v>
      </c>
      <c r="C651">
        <v>0</v>
      </c>
      <c r="D651" t="s">
        <v>523</v>
      </c>
      <c r="E651" t="s">
        <v>506</v>
      </c>
      <c r="F651" t="s">
        <v>520</v>
      </c>
      <c r="M651"/>
    </row>
    <row r="652" spans="1:13" x14ac:dyDescent="0.35">
      <c r="A652" t="s">
        <v>76</v>
      </c>
      <c r="B652" s="37" t="str">
        <f>INDEX(CONTROL[ENGLISH],MATCH(PROPERTIES[[#This Row],[VEHIDCODE]],CONTROL[VEHIDCODE],0))</f>
        <v>Multiple Unit Cargo Wagon</v>
      </c>
      <c r="C652">
        <v>0</v>
      </c>
      <c r="D652" t="s">
        <v>523</v>
      </c>
      <c r="E652" t="s">
        <v>506</v>
      </c>
      <c r="F652" t="s">
        <v>520</v>
      </c>
      <c r="M652"/>
    </row>
    <row r="653" spans="1:13" x14ac:dyDescent="0.35">
      <c r="A653" t="s">
        <v>77</v>
      </c>
      <c r="B653" s="37" t="str">
        <f>INDEX(CONTROL[ENGLISH],MATCH(PROPERTIES[[#This Row],[VEHIDCODE]],CONTROL[VEHIDCODE],0))</f>
        <v>Multiple Unit Wagon</v>
      </c>
      <c r="C653">
        <v>0</v>
      </c>
      <c r="D653" t="s">
        <v>523</v>
      </c>
      <c r="E653" t="s">
        <v>506</v>
      </c>
      <c r="F653" t="s">
        <v>520</v>
      </c>
      <c r="M653"/>
    </row>
    <row r="654" spans="1:13" x14ac:dyDescent="0.35">
      <c r="A654" t="s">
        <v>78</v>
      </c>
      <c r="B654" s="37" t="str">
        <f>INDEX(CONTROL[ENGLISH],MATCH(PROPERTIES[[#This Row],[VEHIDCODE]],CONTROL[VEHIDCODE],0))</f>
        <v>Multiple Unit Wagon</v>
      </c>
      <c r="C654">
        <v>0</v>
      </c>
      <c r="D654" t="s">
        <v>523</v>
      </c>
      <c r="E654" t="s">
        <v>506</v>
      </c>
      <c r="F654" t="s">
        <v>520</v>
      </c>
      <c r="M654"/>
    </row>
    <row r="655" spans="1:13" x14ac:dyDescent="0.35">
      <c r="A655" t="s">
        <v>79</v>
      </c>
      <c r="B655" s="37" t="str">
        <f>INDEX(CONTROL[ENGLISH],MATCH(PROPERTIES[[#This Row],[VEHIDCODE]],CONTROL[VEHIDCODE],0))</f>
        <v>1st Gen Flat Wagon</v>
      </c>
      <c r="C655">
        <v>0</v>
      </c>
      <c r="D655" t="s">
        <v>523</v>
      </c>
      <c r="E655" t="s">
        <v>512</v>
      </c>
      <c r="F655" t="s">
        <v>516</v>
      </c>
      <c r="M655"/>
    </row>
    <row r="656" spans="1:13" x14ac:dyDescent="0.35">
      <c r="A656" t="s">
        <v>80</v>
      </c>
      <c r="B656" s="37" t="str">
        <f>INDEX(CONTROL[ENGLISH],MATCH(PROPERTIES[[#This Row],[VEHIDCODE]],CONTROL[VEHIDCODE],0))</f>
        <v>1st Gen Wooden Box Van</v>
      </c>
      <c r="C656">
        <v>0</v>
      </c>
      <c r="D656" t="s">
        <v>523</v>
      </c>
      <c r="E656" t="s">
        <v>512</v>
      </c>
      <c r="F656" t="s">
        <v>516</v>
      </c>
      <c r="M656"/>
    </row>
    <row r="657" spans="1:13" x14ac:dyDescent="0.35">
      <c r="A657" t="s">
        <v>81</v>
      </c>
      <c r="B657" s="37" t="str">
        <f>INDEX(CONTROL[ENGLISH],MATCH(PROPERTIES[[#This Row],[VEHIDCODE]],CONTROL[VEHIDCODE],0))</f>
        <v>1st Gen Tanker</v>
      </c>
      <c r="C657">
        <v>0</v>
      </c>
      <c r="D657" t="s">
        <v>523</v>
      </c>
      <c r="E657" t="s">
        <v>512</v>
      </c>
      <c r="F657" t="s">
        <v>516</v>
      </c>
      <c r="M657"/>
    </row>
    <row r="658" spans="1:13" x14ac:dyDescent="0.35">
      <c r="A658" t="s">
        <v>82</v>
      </c>
      <c r="B658" s="37" t="str">
        <f>INDEX(CONTROL[ENGLISH],MATCH(PROPERTIES[[#This Row],[VEHIDCODE]],CONTROL[VEHIDCODE],0))</f>
        <v>1st Gen Wooden Open Wagon</v>
      </c>
      <c r="C658">
        <v>0</v>
      </c>
      <c r="D658" t="s">
        <v>523</v>
      </c>
      <c r="E658" t="s">
        <v>512</v>
      </c>
      <c r="F658" t="s">
        <v>516</v>
      </c>
      <c r="M658"/>
    </row>
    <row r="659" spans="1:13" x14ac:dyDescent="0.35">
      <c r="A659" t="s">
        <v>153</v>
      </c>
      <c r="B659" s="37" t="str">
        <f>INDEX(CONTROL[ENGLISH],MATCH(PROPERTIES[[#This Row],[VEHIDCODE]],CONTROL[VEHIDCODE],0))</f>
        <v>2nd Gen Flat Wagon</v>
      </c>
      <c r="C659">
        <v>0</v>
      </c>
      <c r="D659" t="s">
        <v>523</v>
      </c>
      <c r="E659" t="s">
        <v>512</v>
      </c>
      <c r="F659" t="s">
        <v>516</v>
      </c>
      <c r="M659"/>
    </row>
    <row r="660" spans="1:13" x14ac:dyDescent="0.35">
      <c r="A660" t="s">
        <v>154</v>
      </c>
      <c r="B660" s="37" t="str">
        <f>INDEX(CONTROL[ENGLISH],MATCH(PROPERTIES[[#This Row],[VEHIDCODE]],CONTROL[VEHIDCODE],0))</f>
        <v>2nd Gen Wooden Box Van [Food]</v>
      </c>
      <c r="C660">
        <v>0</v>
      </c>
      <c r="D660" t="s">
        <v>523</v>
      </c>
      <c r="E660" t="s">
        <v>512</v>
      </c>
      <c r="F660" t="s">
        <v>516</v>
      </c>
      <c r="M660"/>
    </row>
    <row r="661" spans="1:13" x14ac:dyDescent="0.35">
      <c r="A661" t="s">
        <v>155</v>
      </c>
      <c r="B661" s="37" t="str">
        <f>INDEX(CONTROL[ENGLISH],MATCH(PROPERTIES[[#This Row],[VEHIDCODE]],CONTROL[VEHIDCODE],0))</f>
        <v>2nd Gen Wooden Box Van [Non-Food]</v>
      </c>
      <c r="C661">
        <v>0</v>
      </c>
      <c r="D661" t="s">
        <v>523</v>
      </c>
      <c r="E661" t="s">
        <v>512</v>
      </c>
      <c r="F661" t="s">
        <v>516</v>
      </c>
      <c r="M661"/>
    </row>
    <row r="662" spans="1:13" x14ac:dyDescent="0.35">
      <c r="A662" t="s">
        <v>156</v>
      </c>
      <c r="B662" s="37" t="str">
        <f>INDEX(CONTROL[ENGLISH],MATCH(PROPERTIES[[#This Row],[VEHIDCODE]],CONTROL[VEHIDCODE],0))</f>
        <v>2nd Gen Tanker</v>
      </c>
      <c r="C662">
        <v>0</v>
      </c>
      <c r="D662" t="s">
        <v>523</v>
      </c>
      <c r="E662" t="s">
        <v>512</v>
      </c>
      <c r="F662" t="s">
        <v>516</v>
      </c>
      <c r="M662"/>
    </row>
    <row r="663" spans="1:13" x14ac:dyDescent="0.35">
      <c r="A663" t="s">
        <v>157</v>
      </c>
      <c r="B663" s="37" t="str">
        <f>INDEX(CONTROL[ENGLISH],MATCH(PROPERTIES[[#This Row],[VEHIDCODE]],CONTROL[VEHIDCODE],0))</f>
        <v>2nd Gen Wooden Open Wagon</v>
      </c>
      <c r="C663">
        <v>0</v>
      </c>
      <c r="D663" t="s">
        <v>523</v>
      </c>
      <c r="E663" t="s">
        <v>512</v>
      </c>
      <c r="F663" t="s">
        <v>516</v>
      </c>
      <c r="M663"/>
    </row>
    <row r="664" spans="1:13" x14ac:dyDescent="0.35">
      <c r="A664" t="s">
        <v>158</v>
      </c>
      <c r="B664" s="37" t="str">
        <f>INDEX(CONTROL[ENGLISH],MATCH(PROPERTIES[[#This Row],[VEHIDCODE]],CONTROL[VEHIDCODE],0))</f>
        <v>2nd Gen Silo</v>
      </c>
      <c r="C664">
        <v>0</v>
      </c>
      <c r="D664" t="s">
        <v>523</v>
      </c>
      <c r="E664" t="s">
        <v>512</v>
      </c>
      <c r="F664" t="s">
        <v>516</v>
      </c>
      <c r="M664"/>
    </row>
    <row r="665" spans="1:13" x14ac:dyDescent="0.35">
      <c r="A665" t="s">
        <v>159</v>
      </c>
      <c r="B665" s="37" t="str">
        <f>INDEX(CONTROL[ENGLISH],MATCH(PROPERTIES[[#This Row],[VEHIDCODE]],CONTROL[VEHIDCODE],0))</f>
        <v>2nd Gen Wooden Hopper</v>
      </c>
      <c r="C665">
        <v>0</v>
      </c>
      <c r="D665" t="s">
        <v>523</v>
      </c>
      <c r="E665" t="s">
        <v>512</v>
      </c>
      <c r="F665" t="s">
        <v>516</v>
      </c>
      <c r="M665"/>
    </row>
    <row r="666" spans="1:13" x14ac:dyDescent="0.35">
      <c r="A666" t="s">
        <v>160</v>
      </c>
      <c r="B666" s="37" t="str">
        <f>INDEX(CONTROL[ENGLISH],MATCH(PROPERTIES[[#This Row],[VEHIDCODE]],CONTROL[VEHIDCODE],0))</f>
        <v>3rd Gen Flat Wagon</v>
      </c>
      <c r="C666">
        <v>0</v>
      </c>
      <c r="D666" t="s">
        <v>523</v>
      </c>
      <c r="E666" t="s">
        <v>512</v>
      </c>
      <c r="F666" t="s">
        <v>516</v>
      </c>
      <c r="M666"/>
    </row>
    <row r="667" spans="1:13" x14ac:dyDescent="0.35">
      <c r="A667" t="s">
        <v>161</v>
      </c>
      <c r="B667" s="37" t="str">
        <f>INDEX(CONTROL[ENGLISH],MATCH(PROPERTIES[[#This Row],[VEHIDCODE]],CONTROL[VEHIDCODE],0))</f>
        <v>3rd Gen Wooden Boxcar [Food]</v>
      </c>
      <c r="C667">
        <v>0</v>
      </c>
      <c r="D667" t="s">
        <v>523</v>
      </c>
      <c r="E667" t="s">
        <v>512</v>
      </c>
      <c r="F667" t="s">
        <v>516</v>
      </c>
      <c r="M667"/>
    </row>
    <row r="668" spans="1:13" x14ac:dyDescent="0.35">
      <c r="A668" t="s">
        <v>162</v>
      </c>
      <c r="B668" s="37" t="str">
        <f>INDEX(CONTROL[ENGLISH],MATCH(PROPERTIES[[#This Row],[VEHIDCODE]],CONTROL[VEHIDCODE],0))</f>
        <v>3rd Gen Wooden Boxcar [Non-Food]</v>
      </c>
      <c r="C668">
        <v>0</v>
      </c>
      <c r="D668" t="s">
        <v>523</v>
      </c>
      <c r="E668" t="s">
        <v>512</v>
      </c>
      <c r="F668" t="s">
        <v>516</v>
      </c>
      <c r="M668"/>
    </row>
    <row r="669" spans="1:13" x14ac:dyDescent="0.35">
      <c r="A669" t="s">
        <v>163</v>
      </c>
      <c r="B669" s="37" t="str">
        <f>INDEX(CONTROL[ENGLISH],MATCH(PROPERTIES[[#This Row],[VEHIDCODE]],CONTROL[VEHIDCODE],0))</f>
        <v>3rd Gen Tanker</v>
      </c>
      <c r="C669">
        <v>0</v>
      </c>
      <c r="D669" t="s">
        <v>523</v>
      </c>
      <c r="E669" t="s">
        <v>512</v>
      </c>
      <c r="F669" t="s">
        <v>516</v>
      </c>
      <c r="M669"/>
    </row>
    <row r="670" spans="1:13" x14ac:dyDescent="0.35">
      <c r="A670" t="s">
        <v>164</v>
      </c>
      <c r="B670" s="37" t="str">
        <f>INDEX(CONTROL[ENGLISH],MATCH(PROPERTIES[[#This Row],[VEHIDCODE]],CONTROL[VEHIDCODE],0))</f>
        <v>3rd Gen Open Wagon</v>
      </c>
      <c r="C670">
        <v>0</v>
      </c>
      <c r="D670" t="s">
        <v>523</v>
      </c>
      <c r="E670" t="s">
        <v>512</v>
      </c>
      <c r="F670" t="s">
        <v>516</v>
      </c>
      <c r="M670"/>
    </row>
    <row r="671" spans="1:13" x14ac:dyDescent="0.35">
      <c r="A671" t="s">
        <v>165</v>
      </c>
      <c r="B671" s="37" t="str">
        <f>INDEX(CONTROL[ENGLISH],MATCH(PROPERTIES[[#This Row],[VEHIDCODE]],CONTROL[VEHIDCODE],0))</f>
        <v>3rd Gen Silo [Food]</v>
      </c>
      <c r="C671">
        <v>0</v>
      </c>
      <c r="D671" t="s">
        <v>523</v>
      </c>
      <c r="E671" t="s">
        <v>512</v>
      </c>
      <c r="F671" t="s">
        <v>516</v>
      </c>
      <c r="M671"/>
    </row>
    <row r="672" spans="1:13" x14ac:dyDescent="0.35">
      <c r="A672" t="s">
        <v>166</v>
      </c>
      <c r="B672" s="37" t="str">
        <f>INDEX(CONTROL[ENGLISH],MATCH(PROPERTIES[[#This Row],[VEHIDCODE]],CONTROL[VEHIDCODE],0))</f>
        <v>3rd Gen Silo [Non-Food]</v>
      </c>
      <c r="C672">
        <v>0</v>
      </c>
      <c r="D672" t="s">
        <v>523</v>
      </c>
      <c r="E672" t="s">
        <v>512</v>
      </c>
      <c r="F672" t="s">
        <v>516</v>
      </c>
      <c r="M672"/>
    </row>
    <row r="673" spans="1:13" x14ac:dyDescent="0.35">
      <c r="A673" t="s">
        <v>167</v>
      </c>
      <c r="B673" s="37" t="str">
        <f>INDEX(CONTROL[ENGLISH],MATCH(PROPERTIES[[#This Row],[VEHIDCODE]],CONTROL[VEHIDCODE],0))</f>
        <v>3rd Gen Hopper</v>
      </c>
      <c r="C673">
        <v>0</v>
      </c>
      <c r="D673" t="s">
        <v>523</v>
      </c>
      <c r="E673" t="s">
        <v>512</v>
      </c>
      <c r="F673" t="s">
        <v>516</v>
      </c>
      <c r="M673"/>
    </row>
    <row r="674" spans="1:13" x14ac:dyDescent="0.35">
      <c r="A674" t="s">
        <v>168</v>
      </c>
      <c r="B674" s="37" t="str">
        <f>INDEX(CONTROL[ENGLISH],MATCH(PROPERTIES[[#This Row],[VEHIDCODE]],CONTROL[VEHIDCODE],0))</f>
        <v>4th Gen Flatcar</v>
      </c>
      <c r="C674">
        <v>0</v>
      </c>
      <c r="D674" t="s">
        <v>523</v>
      </c>
      <c r="E674" t="s">
        <v>512</v>
      </c>
      <c r="F674" t="s">
        <v>516</v>
      </c>
      <c r="M674"/>
    </row>
    <row r="675" spans="1:13" x14ac:dyDescent="0.35">
      <c r="A675" t="s">
        <v>169</v>
      </c>
      <c r="B675" s="37" t="str">
        <f>INDEX(CONTROL[ENGLISH],MATCH(PROPERTIES[[#This Row],[VEHIDCODE]],CONTROL[VEHIDCODE],0))</f>
        <v>4th Gen Heavy Flatcar</v>
      </c>
      <c r="C675">
        <v>0</v>
      </c>
      <c r="D675" t="s">
        <v>523</v>
      </c>
      <c r="E675" t="s">
        <v>512</v>
      </c>
      <c r="F675" t="s">
        <v>516</v>
      </c>
      <c r="M675"/>
    </row>
    <row r="676" spans="1:13" x14ac:dyDescent="0.35">
      <c r="A676" t="s">
        <v>170</v>
      </c>
      <c r="B676" s="37" t="str">
        <f>INDEX(CONTROL[ENGLISH],MATCH(PROPERTIES[[#This Row],[VEHIDCODE]],CONTROL[VEHIDCODE],0))</f>
        <v>4th Gen Boxcar [Food]</v>
      </c>
      <c r="C676">
        <v>0</v>
      </c>
      <c r="D676" t="s">
        <v>523</v>
      </c>
      <c r="E676" t="s">
        <v>512</v>
      </c>
      <c r="F676" t="s">
        <v>516</v>
      </c>
      <c r="M676"/>
    </row>
    <row r="677" spans="1:13" x14ac:dyDescent="0.35">
      <c r="A677" t="s">
        <v>171</v>
      </c>
      <c r="B677" s="37" t="str">
        <f>INDEX(CONTROL[ENGLISH],MATCH(PROPERTIES[[#This Row],[VEHIDCODE]],CONTROL[VEHIDCODE],0))</f>
        <v>4th Gen Boxcar [Non-Food]</v>
      </c>
      <c r="C677">
        <v>0</v>
      </c>
      <c r="D677" t="s">
        <v>523</v>
      </c>
      <c r="E677" t="s">
        <v>512</v>
      </c>
      <c r="F677" t="s">
        <v>516</v>
      </c>
      <c r="M677"/>
    </row>
    <row r="678" spans="1:13" x14ac:dyDescent="0.35">
      <c r="A678" t="s">
        <v>172</v>
      </c>
      <c r="B678" s="37" t="str">
        <f>INDEX(CONTROL[ENGLISH],MATCH(PROPERTIES[[#This Row],[VEHIDCODE]],CONTROL[VEHIDCODE],0))</f>
        <v>4th Gen Tanker</v>
      </c>
      <c r="C678">
        <v>0</v>
      </c>
      <c r="D678" t="s">
        <v>523</v>
      </c>
      <c r="E678" t="s">
        <v>512</v>
      </c>
      <c r="F678" t="s">
        <v>516</v>
      </c>
      <c r="M678"/>
    </row>
    <row r="679" spans="1:13" x14ac:dyDescent="0.35">
      <c r="A679" t="s">
        <v>173</v>
      </c>
      <c r="B679" s="37" t="str">
        <f>INDEX(CONTROL[ENGLISH],MATCH(PROPERTIES[[#This Row],[VEHIDCODE]],CONTROL[VEHIDCODE],0))</f>
        <v>4th Gen Gondola</v>
      </c>
      <c r="C679">
        <v>0</v>
      </c>
      <c r="D679" t="s">
        <v>523</v>
      </c>
      <c r="E679" t="s">
        <v>512</v>
      </c>
      <c r="F679" t="s">
        <v>516</v>
      </c>
      <c r="M679"/>
    </row>
    <row r="680" spans="1:13" x14ac:dyDescent="0.35">
      <c r="A680" t="s">
        <v>174</v>
      </c>
      <c r="B680" s="37" t="str">
        <f>INDEX(CONTROL[ENGLISH],MATCH(PROPERTIES[[#This Row],[VEHIDCODE]],CONTROL[VEHIDCODE],0))</f>
        <v>4th Gen Silo [Food]</v>
      </c>
      <c r="C680">
        <v>0</v>
      </c>
      <c r="D680" t="s">
        <v>523</v>
      </c>
      <c r="E680" t="s">
        <v>512</v>
      </c>
      <c r="F680" t="s">
        <v>516</v>
      </c>
      <c r="M680"/>
    </row>
    <row r="681" spans="1:13" x14ac:dyDescent="0.35">
      <c r="A681" t="s">
        <v>175</v>
      </c>
      <c r="B681" s="37" t="str">
        <f>INDEX(CONTROL[ENGLISH],MATCH(PROPERTIES[[#This Row],[VEHIDCODE]],CONTROL[VEHIDCODE],0))</f>
        <v>4th Gen Silo [Non-Food]</v>
      </c>
      <c r="C681">
        <v>0</v>
      </c>
      <c r="D681" t="s">
        <v>523</v>
      </c>
      <c r="E681" t="s">
        <v>512</v>
      </c>
      <c r="F681" t="s">
        <v>516</v>
      </c>
      <c r="M681"/>
    </row>
    <row r="682" spans="1:13" x14ac:dyDescent="0.35">
      <c r="A682" t="s">
        <v>176</v>
      </c>
      <c r="B682" s="37" t="str">
        <f>INDEX(CONTROL[ENGLISH],MATCH(PROPERTIES[[#This Row],[VEHIDCODE]],CONTROL[VEHIDCODE],0))</f>
        <v>4th Gen Self-discharging Hopper [Food]</v>
      </c>
      <c r="C682">
        <v>0</v>
      </c>
      <c r="D682" t="s">
        <v>523</v>
      </c>
      <c r="E682" t="s">
        <v>512</v>
      </c>
      <c r="F682" t="s">
        <v>516</v>
      </c>
      <c r="M682"/>
    </row>
    <row r="683" spans="1:13" x14ac:dyDescent="0.35">
      <c r="A683" t="s">
        <v>177</v>
      </c>
      <c r="B683" s="37" t="str">
        <f>INDEX(CONTROL[ENGLISH],MATCH(PROPERTIES[[#This Row],[VEHIDCODE]],CONTROL[VEHIDCODE],0))</f>
        <v>4th Gen Self-discharging Hopper [Non-Food]</v>
      </c>
      <c r="C683">
        <v>0</v>
      </c>
      <c r="D683" t="s">
        <v>523</v>
      </c>
      <c r="E683" t="s">
        <v>512</v>
      </c>
      <c r="F683" t="s">
        <v>516</v>
      </c>
      <c r="M683"/>
    </row>
    <row r="684" spans="1:13" x14ac:dyDescent="0.35">
      <c r="A684" t="s">
        <v>178</v>
      </c>
      <c r="B684" s="37" t="str">
        <f>INDEX(CONTROL[ENGLISH],MATCH(PROPERTIES[[#This Row],[VEHIDCODE]],CONTROL[VEHIDCODE],0))</f>
        <v>4th Gen Car Transporter</v>
      </c>
      <c r="C684">
        <v>0</v>
      </c>
      <c r="D684" t="s">
        <v>523</v>
      </c>
      <c r="E684" t="s">
        <v>512</v>
      </c>
      <c r="F684" t="s">
        <v>516</v>
      </c>
      <c r="M684"/>
    </row>
    <row r="685" spans="1:13" x14ac:dyDescent="0.35">
      <c r="A685" t="s">
        <v>179</v>
      </c>
      <c r="B685" s="37" t="str">
        <f>INDEX(CONTROL[ENGLISH],MATCH(PROPERTIES[[#This Row],[VEHIDCODE]],CONTROL[VEHIDCODE],0))</f>
        <v>4th Gen Container Carrier</v>
      </c>
      <c r="C685">
        <v>0</v>
      </c>
      <c r="D685" t="s">
        <v>523</v>
      </c>
      <c r="E685" t="s">
        <v>512</v>
      </c>
      <c r="F685" t="s">
        <v>516</v>
      </c>
      <c r="M685"/>
    </row>
    <row r="686" spans="1:13" x14ac:dyDescent="0.35">
      <c r="A686" t="s">
        <v>180</v>
      </c>
      <c r="B686" s="37" t="str">
        <f>INDEX(CONTROL[ENGLISH],MATCH(PROPERTIES[[#This Row],[VEHIDCODE]],CONTROL[VEHIDCODE],0))</f>
        <v>4th Gen Centerbeam Flatcar</v>
      </c>
      <c r="C686">
        <v>0</v>
      </c>
      <c r="D686" t="s">
        <v>523</v>
      </c>
      <c r="E686" t="s">
        <v>512</v>
      </c>
      <c r="F686" t="s">
        <v>516</v>
      </c>
      <c r="M686"/>
    </row>
    <row r="687" spans="1:13" x14ac:dyDescent="0.35">
      <c r="A687" t="s">
        <v>181</v>
      </c>
      <c r="B687" s="37" t="str">
        <f>INDEX(CONTROL[ENGLISH],MATCH(PROPERTIES[[#This Row],[VEHIDCODE]],CONTROL[VEHIDCODE],0))</f>
        <v>5th Gen Flatcar</v>
      </c>
      <c r="C687">
        <v>0</v>
      </c>
      <c r="D687" t="s">
        <v>523</v>
      </c>
      <c r="E687" t="s">
        <v>512</v>
      </c>
      <c r="F687" t="s">
        <v>516</v>
      </c>
      <c r="M687"/>
    </row>
    <row r="688" spans="1:13" x14ac:dyDescent="0.35">
      <c r="A688" t="s">
        <v>182</v>
      </c>
      <c r="B688" s="37" t="str">
        <f>INDEX(CONTROL[ENGLISH],MATCH(PROPERTIES[[#This Row],[VEHIDCODE]],CONTROL[VEHIDCODE],0))</f>
        <v>5th Gen Heavy Flatcar</v>
      </c>
      <c r="C688">
        <v>0</v>
      </c>
      <c r="D688" t="s">
        <v>523</v>
      </c>
      <c r="E688" t="s">
        <v>512</v>
      </c>
      <c r="F688" t="s">
        <v>516</v>
      </c>
      <c r="M688"/>
    </row>
    <row r="689" spans="1:13" x14ac:dyDescent="0.35">
      <c r="A689" t="s">
        <v>183</v>
      </c>
      <c r="B689" s="37" t="str">
        <f>INDEX(CONTROL[ENGLISH],MATCH(PROPERTIES[[#This Row],[VEHIDCODE]],CONTROL[VEHIDCODE],0))</f>
        <v>5th Gen Boxcar [Food]</v>
      </c>
      <c r="C689">
        <v>0</v>
      </c>
      <c r="D689" t="s">
        <v>523</v>
      </c>
      <c r="E689" t="s">
        <v>512</v>
      </c>
      <c r="F689" t="s">
        <v>516</v>
      </c>
      <c r="M689"/>
    </row>
    <row r="690" spans="1:13" x14ac:dyDescent="0.35">
      <c r="A690" t="s">
        <v>184</v>
      </c>
      <c r="B690" s="37" t="str">
        <f>INDEX(CONTROL[ENGLISH],MATCH(PROPERTIES[[#This Row],[VEHIDCODE]],CONTROL[VEHIDCODE],0))</f>
        <v>5th Gen Boxcar [Non-Food]</v>
      </c>
      <c r="C690">
        <v>0</v>
      </c>
      <c r="D690" t="s">
        <v>523</v>
      </c>
      <c r="E690" t="s">
        <v>512</v>
      </c>
      <c r="F690" t="s">
        <v>516</v>
      </c>
      <c r="M690"/>
    </row>
    <row r="691" spans="1:13" x14ac:dyDescent="0.35">
      <c r="A691" t="s">
        <v>185</v>
      </c>
      <c r="B691" s="37" t="str">
        <f>INDEX(CONTROL[ENGLISH],MATCH(PROPERTIES[[#This Row],[VEHIDCODE]],CONTROL[VEHIDCODE],0))</f>
        <v>5th Gen Tanker</v>
      </c>
      <c r="C691">
        <v>0</v>
      </c>
      <c r="D691" t="s">
        <v>523</v>
      </c>
      <c r="E691" t="s">
        <v>512</v>
      </c>
      <c r="F691" t="s">
        <v>516</v>
      </c>
      <c r="M691"/>
    </row>
    <row r="692" spans="1:13" x14ac:dyDescent="0.35">
      <c r="A692" t="s">
        <v>186</v>
      </c>
      <c r="B692" s="37" t="str">
        <f>INDEX(CONTROL[ENGLISH],MATCH(PROPERTIES[[#This Row],[VEHIDCODE]],CONTROL[VEHIDCODE],0))</f>
        <v>5th Gen Gondola</v>
      </c>
      <c r="C692">
        <v>0</v>
      </c>
      <c r="D692" t="s">
        <v>523</v>
      </c>
      <c r="E692" t="s">
        <v>512</v>
      </c>
      <c r="F692" t="s">
        <v>516</v>
      </c>
      <c r="M692"/>
    </row>
    <row r="693" spans="1:13" x14ac:dyDescent="0.35">
      <c r="A693" t="s">
        <v>187</v>
      </c>
      <c r="B693" s="37" t="str">
        <f>INDEX(CONTROL[ENGLISH],MATCH(PROPERTIES[[#This Row],[VEHIDCODE]],CONTROL[VEHIDCODE],0))</f>
        <v>5th Gen Silo [Food]</v>
      </c>
      <c r="C693">
        <v>0</v>
      </c>
      <c r="D693" t="s">
        <v>523</v>
      </c>
      <c r="E693" t="s">
        <v>512</v>
      </c>
      <c r="F693" t="s">
        <v>516</v>
      </c>
      <c r="M693"/>
    </row>
    <row r="694" spans="1:13" x14ac:dyDescent="0.35">
      <c r="A694" t="s">
        <v>188</v>
      </c>
      <c r="B694" s="37" t="str">
        <f>INDEX(CONTROL[ENGLISH],MATCH(PROPERTIES[[#This Row],[VEHIDCODE]],CONTROL[VEHIDCODE],0))</f>
        <v>5th Gen Silo [Non-Food]</v>
      </c>
      <c r="C694">
        <v>0</v>
      </c>
      <c r="D694" t="s">
        <v>523</v>
      </c>
      <c r="E694" t="s">
        <v>512</v>
      </c>
      <c r="F694" t="s">
        <v>516</v>
      </c>
      <c r="M694"/>
    </row>
    <row r="695" spans="1:13" x14ac:dyDescent="0.35">
      <c r="A695" t="s">
        <v>189</v>
      </c>
      <c r="B695" s="37" t="str">
        <f>INDEX(CONTROL[ENGLISH],MATCH(PROPERTIES[[#This Row],[VEHIDCODE]],CONTROL[VEHIDCODE],0))</f>
        <v>5th Gen Self-discharging Hopper [Food]</v>
      </c>
      <c r="C695">
        <v>0</v>
      </c>
      <c r="D695" t="s">
        <v>523</v>
      </c>
      <c r="E695" t="s">
        <v>512</v>
      </c>
      <c r="F695" t="s">
        <v>516</v>
      </c>
      <c r="M695"/>
    </row>
    <row r="696" spans="1:13" x14ac:dyDescent="0.35">
      <c r="A696" t="s">
        <v>190</v>
      </c>
      <c r="B696" s="37" t="str">
        <f>INDEX(CONTROL[ENGLISH],MATCH(PROPERTIES[[#This Row],[VEHIDCODE]],CONTROL[VEHIDCODE],0))</f>
        <v>5th Gen Self-discharging Hopper [Non-Food]</v>
      </c>
      <c r="C696">
        <v>0</v>
      </c>
      <c r="D696" t="s">
        <v>523</v>
      </c>
      <c r="E696" t="s">
        <v>512</v>
      </c>
      <c r="F696" t="s">
        <v>516</v>
      </c>
      <c r="M696"/>
    </row>
    <row r="697" spans="1:13" x14ac:dyDescent="0.35">
      <c r="A697" t="s">
        <v>191</v>
      </c>
      <c r="B697" s="37" t="str">
        <f>INDEX(CONTROL[ENGLISH],MATCH(PROPERTIES[[#This Row],[VEHIDCODE]],CONTROL[VEHIDCODE],0))</f>
        <v>5th Gen Car Transporter</v>
      </c>
      <c r="C697">
        <v>0</v>
      </c>
      <c r="D697" t="s">
        <v>523</v>
      </c>
      <c r="E697" t="s">
        <v>512</v>
      </c>
      <c r="F697" t="s">
        <v>516</v>
      </c>
      <c r="M697"/>
    </row>
    <row r="698" spans="1:13" x14ac:dyDescent="0.35">
      <c r="A698" t="s">
        <v>192</v>
      </c>
      <c r="B698" s="37" t="str">
        <f>INDEX(CONTROL[ENGLISH],MATCH(PROPERTIES[[#This Row],[VEHIDCODE]],CONTROL[VEHIDCODE],0))</f>
        <v>5th Gen Container Carrier</v>
      </c>
      <c r="C698">
        <v>0</v>
      </c>
      <c r="D698" t="s">
        <v>523</v>
      </c>
      <c r="E698" t="s">
        <v>512</v>
      </c>
      <c r="F698" t="s">
        <v>516</v>
      </c>
      <c r="M698"/>
    </row>
    <row r="699" spans="1:13" x14ac:dyDescent="0.35">
      <c r="A699" t="s">
        <v>193</v>
      </c>
      <c r="B699" s="37" t="str">
        <f>INDEX(CONTROL[ENGLISH],MATCH(PROPERTIES[[#This Row],[VEHIDCODE]],CONTROL[VEHIDCODE],0))</f>
        <v>5th Gen Centerbeam Flatcar</v>
      </c>
      <c r="C699">
        <v>0</v>
      </c>
      <c r="D699" t="s">
        <v>523</v>
      </c>
      <c r="E699" t="s">
        <v>512</v>
      </c>
      <c r="F699" t="s">
        <v>516</v>
      </c>
      <c r="M699"/>
    </row>
    <row r="700" spans="1:13" x14ac:dyDescent="0.35">
      <c r="A700" t="s">
        <v>194</v>
      </c>
      <c r="B700" s="37" t="str">
        <f>INDEX(CONTROL[ENGLISH],MATCH(PROPERTIES[[#This Row],[VEHIDCODE]],CONTROL[VEHIDCODE],0))</f>
        <v>5th Gen Container Doublestack</v>
      </c>
      <c r="C700">
        <v>0</v>
      </c>
      <c r="D700" t="s">
        <v>523</v>
      </c>
      <c r="E700" t="s">
        <v>512</v>
      </c>
      <c r="F700" t="s">
        <v>516</v>
      </c>
      <c r="M700"/>
    </row>
    <row r="701" spans="1:13" x14ac:dyDescent="0.35">
      <c r="A701" t="s">
        <v>195</v>
      </c>
      <c r="B701" s="37" t="str">
        <f>INDEX(CONTROL[ENGLISH],MATCH(PROPERTIES[[#This Row],[VEHIDCODE]],CONTROL[VEHIDCODE],0))</f>
        <v>5th Gen Superheavy Flatcar</v>
      </c>
      <c r="C701">
        <v>0</v>
      </c>
      <c r="D701" t="s">
        <v>523</v>
      </c>
      <c r="E701" t="s">
        <v>511</v>
      </c>
      <c r="F701" t="s">
        <v>515</v>
      </c>
      <c r="M701"/>
    </row>
    <row r="702" spans="1:13" x14ac:dyDescent="0.35">
      <c r="A702" t="s">
        <v>196</v>
      </c>
      <c r="B702" s="37" t="str">
        <f>INDEX(CONTROL[ENGLISH],MATCH(PROPERTIES[[#This Row],[VEHIDCODE]],CONTROL[VEHIDCODE],0))</f>
        <v>6th Gen Flatcar</v>
      </c>
      <c r="C702">
        <v>0</v>
      </c>
      <c r="D702" t="s">
        <v>523</v>
      </c>
      <c r="E702" t="s">
        <v>512</v>
      </c>
      <c r="F702" t="s">
        <v>516</v>
      </c>
      <c r="M702"/>
    </row>
    <row r="703" spans="1:13" x14ac:dyDescent="0.35">
      <c r="A703" t="s">
        <v>197</v>
      </c>
      <c r="B703" s="37" t="str">
        <f>INDEX(CONTROL[ENGLISH],MATCH(PROPERTIES[[#This Row],[VEHIDCODE]],CONTROL[VEHIDCODE],0))</f>
        <v>6th Gen Heavy Flatcar</v>
      </c>
      <c r="C703">
        <v>0</v>
      </c>
      <c r="D703" t="s">
        <v>523</v>
      </c>
      <c r="E703" t="s">
        <v>512</v>
      </c>
      <c r="F703" t="s">
        <v>516</v>
      </c>
      <c r="M703"/>
    </row>
    <row r="704" spans="1:13" x14ac:dyDescent="0.35">
      <c r="A704" t="s">
        <v>198</v>
      </c>
      <c r="B704" s="37" t="str">
        <f>INDEX(CONTROL[ENGLISH],MATCH(PROPERTIES[[#This Row],[VEHIDCODE]],CONTROL[VEHIDCODE],0))</f>
        <v>6th Gen Boxcar [Food]</v>
      </c>
      <c r="C704">
        <v>0</v>
      </c>
      <c r="D704" t="s">
        <v>523</v>
      </c>
      <c r="E704" t="s">
        <v>512</v>
      </c>
      <c r="F704" t="s">
        <v>516</v>
      </c>
      <c r="M704"/>
    </row>
    <row r="705" spans="1:13" x14ac:dyDescent="0.35">
      <c r="A705" t="s">
        <v>199</v>
      </c>
      <c r="B705" s="37" t="str">
        <f>INDEX(CONTROL[ENGLISH],MATCH(PROPERTIES[[#This Row],[VEHIDCODE]],CONTROL[VEHIDCODE],0))</f>
        <v>6th Gen Boxcar [Non-Food]</v>
      </c>
      <c r="C705">
        <v>0</v>
      </c>
      <c r="D705" t="s">
        <v>523</v>
      </c>
      <c r="E705" t="s">
        <v>512</v>
      </c>
      <c r="F705" t="s">
        <v>516</v>
      </c>
      <c r="M705"/>
    </row>
    <row r="706" spans="1:13" x14ac:dyDescent="0.35">
      <c r="A706" t="s">
        <v>200</v>
      </c>
      <c r="B706" s="37" t="str">
        <f>INDEX(CONTROL[ENGLISH],MATCH(PROPERTIES[[#This Row],[VEHIDCODE]],CONTROL[VEHIDCODE],0))</f>
        <v>6th Gen Tanker</v>
      </c>
      <c r="C706">
        <v>0</v>
      </c>
      <c r="D706" t="s">
        <v>523</v>
      </c>
      <c r="E706" t="s">
        <v>512</v>
      </c>
      <c r="F706" t="s">
        <v>516</v>
      </c>
      <c r="M706"/>
    </row>
    <row r="707" spans="1:13" x14ac:dyDescent="0.35">
      <c r="A707" t="s">
        <v>201</v>
      </c>
      <c r="B707" s="37" t="str">
        <f>INDEX(CONTROL[ENGLISH],MATCH(PROPERTIES[[#This Row],[VEHIDCODE]],CONTROL[VEHIDCODE],0))</f>
        <v>6th Gen Gondola</v>
      </c>
      <c r="C707">
        <v>0</v>
      </c>
      <c r="D707" t="s">
        <v>523</v>
      </c>
      <c r="E707" t="s">
        <v>512</v>
      </c>
      <c r="F707" t="s">
        <v>516</v>
      </c>
      <c r="M707"/>
    </row>
    <row r="708" spans="1:13" x14ac:dyDescent="0.35">
      <c r="A708" t="s">
        <v>202</v>
      </c>
      <c r="B708" s="37" t="str">
        <f>INDEX(CONTROL[ENGLISH],MATCH(PROPERTIES[[#This Row],[VEHIDCODE]],CONTROL[VEHIDCODE],0))</f>
        <v>6th Gen Silo [Food]</v>
      </c>
      <c r="C708">
        <v>0</v>
      </c>
      <c r="D708" t="s">
        <v>523</v>
      </c>
      <c r="E708" t="s">
        <v>512</v>
      </c>
      <c r="F708" t="s">
        <v>516</v>
      </c>
      <c r="M708"/>
    </row>
    <row r="709" spans="1:13" x14ac:dyDescent="0.35">
      <c r="A709" t="s">
        <v>203</v>
      </c>
      <c r="B709" s="37" t="str">
        <f>INDEX(CONTROL[ENGLISH],MATCH(PROPERTIES[[#This Row],[VEHIDCODE]],CONTROL[VEHIDCODE],0))</f>
        <v>6th Gen Silo [Non-Food]</v>
      </c>
      <c r="C709">
        <v>0</v>
      </c>
      <c r="D709" t="s">
        <v>523</v>
      </c>
      <c r="E709" t="s">
        <v>512</v>
      </c>
      <c r="F709" t="s">
        <v>516</v>
      </c>
      <c r="M709"/>
    </row>
    <row r="710" spans="1:13" x14ac:dyDescent="0.35">
      <c r="A710" t="s">
        <v>204</v>
      </c>
      <c r="B710" s="37" t="str">
        <f>INDEX(CONTROL[ENGLISH],MATCH(PROPERTIES[[#This Row],[VEHIDCODE]],CONTROL[VEHIDCODE],0))</f>
        <v>6th Gen Self-discharging Hopper [Food]</v>
      </c>
      <c r="C710">
        <v>0</v>
      </c>
      <c r="D710" t="s">
        <v>523</v>
      </c>
      <c r="E710" t="s">
        <v>512</v>
      </c>
      <c r="F710" t="s">
        <v>516</v>
      </c>
      <c r="M710"/>
    </row>
    <row r="711" spans="1:13" x14ac:dyDescent="0.35">
      <c r="A711" t="s">
        <v>205</v>
      </c>
      <c r="B711" s="37" t="str">
        <f>INDEX(CONTROL[ENGLISH],MATCH(PROPERTIES[[#This Row],[VEHIDCODE]],CONTROL[VEHIDCODE],0))</f>
        <v>6th Gen Self-discharging Hopper [Non-Food]</v>
      </c>
      <c r="C711">
        <v>0</v>
      </c>
      <c r="D711" t="s">
        <v>523</v>
      </c>
      <c r="E711" t="s">
        <v>512</v>
      </c>
      <c r="F711" t="s">
        <v>516</v>
      </c>
      <c r="M711"/>
    </row>
    <row r="712" spans="1:13" x14ac:dyDescent="0.35">
      <c r="A712" t="s">
        <v>206</v>
      </c>
      <c r="B712" s="37" t="str">
        <f>INDEX(CONTROL[ENGLISH],MATCH(PROPERTIES[[#This Row],[VEHIDCODE]],CONTROL[VEHIDCODE],0))</f>
        <v>6th Gen Car Transporter</v>
      </c>
      <c r="C712">
        <v>0</v>
      </c>
      <c r="D712" t="s">
        <v>523</v>
      </c>
      <c r="E712" t="s">
        <v>512</v>
      </c>
      <c r="F712" t="s">
        <v>516</v>
      </c>
      <c r="M712"/>
    </row>
    <row r="713" spans="1:13" x14ac:dyDescent="0.35">
      <c r="A713" t="s">
        <v>207</v>
      </c>
      <c r="B713" s="37" t="str">
        <f>INDEX(CONTROL[ENGLISH],MATCH(PROPERTIES[[#This Row],[VEHIDCODE]],CONTROL[VEHIDCODE],0))</f>
        <v>6th Gen Container Carrier</v>
      </c>
      <c r="C713">
        <v>0</v>
      </c>
      <c r="D713" t="s">
        <v>523</v>
      </c>
      <c r="E713" t="s">
        <v>512</v>
      </c>
      <c r="F713" t="s">
        <v>516</v>
      </c>
      <c r="M713"/>
    </row>
    <row r="714" spans="1:13" x14ac:dyDescent="0.35">
      <c r="A714" t="s">
        <v>208</v>
      </c>
      <c r="B714" s="37" t="str">
        <f>INDEX(CONTROL[ENGLISH],MATCH(PROPERTIES[[#This Row],[VEHIDCODE]],CONTROL[VEHIDCODE],0))</f>
        <v>6th Gen Centerbeam Flatcar</v>
      </c>
      <c r="C714">
        <v>0</v>
      </c>
      <c r="D714" t="s">
        <v>523</v>
      </c>
      <c r="E714" t="s">
        <v>512</v>
      </c>
      <c r="F714" t="s">
        <v>516</v>
      </c>
      <c r="M714"/>
    </row>
    <row r="715" spans="1:13" x14ac:dyDescent="0.35">
      <c r="A715" t="s">
        <v>209</v>
      </c>
      <c r="B715" s="37" t="str">
        <f>INDEX(CONTROL[ENGLISH],MATCH(PROPERTIES[[#This Row],[VEHIDCODE]],CONTROL[VEHIDCODE],0))</f>
        <v>6th Gen Container Doublestack</v>
      </c>
      <c r="C715">
        <v>0</v>
      </c>
      <c r="D715" t="s">
        <v>523</v>
      </c>
      <c r="E715" t="s">
        <v>512</v>
      </c>
      <c r="F715" t="s">
        <v>516</v>
      </c>
      <c r="M715"/>
    </row>
    <row r="716" spans="1:13" x14ac:dyDescent="0.35">
      <c r="A716" t="s">
        <v>210</v>
      </c>
      <c r="B716" s="37" t="str">
        <f>INDEX(CONTROL[ENGLISH],MATCH(PROPERTIES[[#This Row],[VEHIDCODE]],CONTROL[VEHIDCODE],0))</f>
        <v>6th Gen Superheavy Flatcar</v>
      </c>
      <c r="C716">
        <v>0</v>
      </c>
      <c r="D716" t="s">
        <v>523</v>
      </c>
      <c r="E716" t="s">
        <v>511</v>
      </c>
      <c r="F716" t="s">
        <v>515</v>
      </c>
      <c r="M716"/>
    </row>
    <row r="717" spans="1:13" x14ac:dyDescent="0.35">
      <c r="A717" t="s">
        <v>225</v>
      </c>
      <c r="B717" s="37" t="str">
        <f>INDEX(CONTROL[ENGLISH],MATCH(PROPERTIES[[#This Row],[VEHIDCODE]],CONTROL[VEHIDCODE],0))</f>
        <v>Service Car [European Style]</v>
      </c>
      <c r="C717">
        <v>0</v>
      </c>
      <c r="D717" t="s">
        <v>523</v>
      </c>
      <c r="E717" t="s">
        <v>512</v>
      </c>
      <c r="F717" t="s">
        <v>515</v>
      </c>
      <c r="M717"/>
    </row>
    <row r="718" spans="1:13" x14ac:dyDescent="0.35">
      <c r="A718" t="s">
        <v>226</v>
      </c>
      <c r="B718" s="37" t="str">
        <f>INDEX(CONTROL[ENGLISH],MATCH(PROPERTIES[[#This Row],[VEHIDCODE]],CONTROL[VEHIDCODE],0))</f>
        <v>Service Car [American Style]</v>
      </c>
      <c r="C718">
        <v>0</v>
      </c>
      <c r="D718" t="s">
        <v>523</v>
      </c>
      <c r="E718" t="s">
        <v>512</v>
      </c>
      <c r="F718" t="s">
        <v>515</v>
      </c>
      <c r="M718"/>
    </row>
    <row r="719" spans="1:13" x14ac:dyDescent="0.35">
      <c r="A719" t="s">
        <v>83</v>
      </c>
      <c r="B719" s="37" t="str">
        <f>INDEX(CONTROL[ENGLISH],MATCH(PROPERTIES[[#This Row],[VEHIDCODE]],CONTROL[VEHIDCODE],0))</f>
        <v>Wooden 2-axle Compartment Coach</v>
      </c>
      <c r="C719">
        <v>0</v>
      </c>
      <c r="D719" t="s">
        <v>523</v>
      </c>
      <c r="E719" t="s">
        <v>512</v>
      </c>
      <c r="F719" t="s">
        <v>515</v>
      </c>
      <c r="M719"/>
    </row>
    <row r="720" spans="1:13" x14ac:dyDescent="0.35">
      <c r="A720" t="s">
        <v>84</v>
      </c>
      <c r="B720" s="37" t="str">
        <f>INDEX(CONTROL[ENGLISH],MATCH(PROPERTIES[[#This Row],[VEHIDCODE]],CONTROL[VEHIDCODE],0))</f>
        <v>Wooden 2-axle Regional Coach</v>
      </c>
      <c r="C720">
        <v>0</v>
      </c>
      <c r="D720" t="s">
        <v>523</v>
      </c>
      <c r="E720" t="s">
        <v>512</v>
      </c>
      <c r="F720" t="s">
        <v>515</v>
      </c>
      <c r="M720"/>
    </row>
    <row r="721" spans="1:13" x14ac:dyDescent="0.35">
      <c r="A721" t="s">
        <v>85</v>
      </c>
      <c r="B721" s="37" t="str">
        <f>INDEX(CONTROL[ENGLISH],MATCH(PROPERTIES[[#This Row],[VEHIDCODE]],CONTROL[VEHIDCODE],0))</f>
        <v>Wooden 2-axle Mail Coach</v>
      </c>
      <c r="C721">
        <v>0</v>
      </c>
      <c r="D721" t="s">
        <v>523</v>
      </c>
      <c r="E721" t="s">
        <v>512</v>
      </c>
      <c r="F721" t="s">
        <v>515</v>
      </c>
      <c r="M721"/>
    </row>
    <row r="722" spans="1:13" x14ac:dyDescent="0.35">
      <c r="A722" t="s">
        <v>86</v>
      </c>
      <c r="B722" s="37" t="str">
        <f>INDEX(CONTROL[ENGLISH],MATCH(PROPERTIES[[#This Row],[VEHIDCODE]],CONTROL[VEHIDCODE],0))</f>
        <v>Clerestory Compartment Coach</v>
      </c>
      <c r="C722">
        <v>0</v>
      </c>
      <c r="D722" t="s">
        <v>523</v>
      </c>
      <c r="E722" t="s">
        <v>512</v>
      </c>
      <c r="F722" t="s">
        <v>515</v>
      </c>
      <c r="M722"/>
    </row>
    <row r="723" spans="1:13" x14ac:dyDescent="0.35">
      <c r="A723" t="s">
        <v>87</v>
      </c>
      <c r="B723" s="37" t="str">
        <f>INDEX(CONTROL[ENGLISH],MATCH(PROPERTIES[[#This Row],[VEHIDCODE]],CONTROL[VEHIDCODE],0))</f>
        <v>Clerestory Regional Coach</v>
      </c>
      <c r="C723">
        <v>0</v>
      </c>
      <c r="D723" t="s">
        <v>523</v>
      </c>
      <c r="E723" t="s">
        <v>512</v>
      </c>
      <c r="F723" t="s">
        <v>515</v>
      </c>
      <c r="M723"/>
    </row>
    <row r="724" spans="1:13" x14ac:dyDescent="0.35">
      <c r="A724" t="s">
        <v>88</v>
      </c>
      <c r="B724" s="37" t="str">
        <f>INDEX(CONTROL[ENGLISH],MATCH(PROPERTIES[[#This Row],[VEHIDCODE]],CONTROL[VEHIDCODE],0))</f>
        <v>Clerestory Mail Coach</v>
      </c>
      <c r="C724">
        <v>0</v>
      </c>
      <c r="D724" t="s">
        <v>523</v>
      </c>
      <c r="E724" t="s">
        <v>512</v>
      </c>
      <c r="F724" t="s">
        <v>515</v>
      </c>
      <c r="M724"/>
    </row>
    <row r="725" spans="1:13" x14ac:dyDescent="0.35">
      <c r="A725" t="s">
        <v>89</v>
      </c>
      <c r="B725" s="37" t="str">
        <f>INDEX(CONTROL[ENGLISH],MATCH(PROPERTIES[[#This Row],[VEHIDCODE]],CONTROL[VEHIDCODE],0))</f>
        <v>Wooden 3-axle Compartment Coach</v>
      </c>
      <c r="C725">
        <v>0</v>
      </c>
      <c r="D725" t="s">
        <v>523</v>
      </c>
      <c r="E725" t="s">
        <v>512</v>
      </c>
      <c r="F725" t="s">
        <v>515</v>
      </c>
      <c r="M725"/>
    </row>
    <row r="726" spans="1:13" x14ac:dyDescent="0.35">
      <c r="A726" t="s">
        <v>90</v>
      </c>
      <c r="B726" s="37" t="str">
        <f>INDEX(CONTROL[ENGLISH],MATCH(PROPERTIES[[#This Row],[VEHIDCODE]],CONTROL[VEHIDCODE],0))</f>
        <v>Wooden 3-axle Regional Coach</v>
      </c>
      <c r="C726">
        <v>0</v>
      </c>
      <c r="D726" t="s">
        <v>523</v>
      </c>
      <c r="E726" t="s">
        <v>512</v>
      </c>
      <c r="F726" t="s">
        <v>515</v>
      </c>
      <c r="M726"/>
    </row>
    <row r="727" spans="1:13" x14ac:dyDescent="0.35">
      <c r="A727" t="s">
        <v>91</v>
      </c>
      <c r="B727" s="37" t="str">
        <f>INDEX(CONTROL[ENGLISH],MATCH(PROPERTIES[[#This Row],[VEHIDCODE]],CONTROL[VEHIDCODE],0))</f>
        <v>Wooden 3-axle Mail Coach</v>
      </c>
      <c r="C727">
        <v>0</v>
      </c>
      <c r="D727" t="s">
        <v>523</v>
      </c>
      <c r="E727" t="s">
        <v>512</v>
      </c>
      <c r="F727" t="s">
        <v>515</v>
      </c>
      <c r="M727"/>
    </row>
    <row r="728" spans="1:13" x14ac:dyDescent="0.35">
      <c r="A728" t="s">
        <v>92</v>
      </c>
      <c r="B728" s="37" t="str">
        <f>INDEX(CONTROL[ENGLISH],MATCH(PROPERTIES[[#This Row],[VEHIDCODE]],CONTROL[VEHIDCODE],0))</f>
        <v>Heavyweight Intercity Coach</v>
      </c>
      <c r="C728">
        <v>0</v>
      </c>
      <c r="D728" t="s">
        <v>523</v>
      </c>
      <c r="E728" t="s">
        <v>512</v>
      </c>
      <c r="F728" t="s">
        <v>3558</v>
      </c>
      <c r="M728"/>
    </row>
    <row r="729" spans="1:13" x14ac:dyDescent="0.35">
      <c r="A729" t="s">
        <v>93</v>
      </c>
      <c r="B729" s="37" t="str">
        <f>INDEX(CONTROL[ENGLISH],MATCH(PROPERTIES[[#This Row],[VEHIDCODE]],CONTROL[VEHIDCODE],0))</f>
        <v>Heavyweight Mail Coach</v>
      </c>
      <c r="C729">
        <v>0</v>
      </c>
      <c r="D729" t="s">
        <v>523</v>
      </c>
      <c r="E729" t="s">
        <v>512</v>
      </c>
      <c r="F729" t="s">
        <v>515</v>
      </c>
      <c r="M729"/>
    </row>
    <row r="730" spans="1:13" x14ac:dyDescent="0.35">
      <c r="A730" t="s">
        <v>94</v>
      </c>
      <c r="B730" s="37" t="str">
        <f>INDEX(CONTROL[ENGLISH],MATCH(PROPERTIES[[#This Row],[VEHIDCODE]],CONTROL[VEHIDCODE],0))</f>
        <v>Steel Intercity Coach</v>
      </c>
      <c r="C730">
        <v>0</v>
      </c>
      <c r="D730" t="s">
        <v>523</v>
      </c>
      <c r="E730" t="s">
        <v>512</v>
      </c>
      <c r="F730" t="s">
        <v>515</v>
      </c>
      <c r="M730"/>
    </row>
    <row r="731" spans="1:13" x14ac:dyDescent="0.35">
      <c r="A731" t="s">
        <v>95</v>
      </c>
      <c r="B731" s="37" t="str">
        <f>INDEX(CONTROL[ENGLISH],MATCH(PROPERTIES[[#This Row],[VEHIDCODE]],CONTROL[VEHIDCODE],0))</f>
        <v>Steel Compartment Coach</v>
      </c>
      <c r="C731">
        <v>0</v>
      </c>
      <c r="D731" t="s">
        <v>523</v>
      </c>
      <c r="E731" t="s">
        <v>512</v>
      </c>
      <c r="F731" t="s">
        <v>515</v>
      </c>
      <c r="M731"/>
    </row>
    <row r="732" spans="1:13" x14ac:dyDescent="0.35">
      <c r="A732" t="s">
        <v>96</v>
      </c>
      <c r="B732" s="37" t="str">
        <f>INDEX(CONTROL[ENGLISH],MATCH(PROPERTIES[[#This Row],[VEHIDCODE]],CONTROL[VEHIDCODE],0))</f>
        <v>Steel Regional Coach</v>
      </c>
      <c r="C732">
        <v>0</v>
      </c>
      <c r="D732" t="s">
        <v>523</v>
      </c>
      <c r="E732" t="s">
        <v>512</v>
      </c>
      <c r="F732" t="s">
        <v>515</v>
      </c>
      <c r="M732"/>
    </row>
    <row r="733" spans="1:13" x14ac:dyDescent="0.35">
      <c r="A733" t="s">
        <v>97</v>
      </c>
      <c r="B733" s="37" t="str">
        <f>INDEX(CONTROL[ENGLISH],MATCH(PROPERTIES[[#This Row],[VEHIDCODE]],CONTROL[VEHIDCODE],0))</f>
        <v>Steel Mail Coach</v>
      </c>
      <c r="C733">
        <v>0</v>
      </c>
      <c r="D733" t="s">
        <v>523</v>
      </c>
      <c r="E733" t="s">
        <v>512</v>
      </c>
      <c r="F733" t="s">
        <v>515</v>
      </c>
      <c r="M733"/>
    </row>
    <row r="734" spans="1:13" x14ac:dyDescent="0.35">
      <c r="A734" t="s">
        <v>98</v>
      </c>
      <c r="B734" s="37" t="str">
        <f>INDEX(CONTROL[ENGLISH],MATCH(PROPERTIES[[#This Row],[VEHIDCODE]],CONTROL[VEHIDCODE],0))</f>
        <v>Steel 2-axle Compartment Coach</v>
      </c>
      <c r="C734">
        <v>0</v>
      </c>
      <c r="D734" t="s">
        <v>523</v>
      </c>
      <c r="E734" t="s">
        <v>512</v>
      </c>
      <c r="F734" t="s">
        <v>515</v>
      </c>
      <c r="M734"/>
    </row>
    <row r="735" spans="1:13" x14ac:dyDescent="0.35">
      <c r="A735" t="s">
        <v>99</v>
      </c>
      <c r="B735" s="37" t="str">
        <f>INDEX(CONTROL[ENGLISH],MATCH(PROPERTIES[[#This Row],[VEHIDCODE]],CONTROL[VEHIDCODE],0))</f>
        <v>Steel 2-axle Regional Coach</v>
      </c>
      <c r="C735">
        <v>0</v>
      </c>
      <c r="D735" t="s">
        <v>523</v>
      </c>
      <c r="E735" t="s">
        <v>512</v>
      </c>
      <c r="F735" t="s">
        <v>515</v>
      </c>
      <c r="M735"/>
    </row>
    <row r="736" spans="1:13" x14ac:dyDescent="0.35">
      <c r="A736" t="s">
        <v>100</v>
      </c>
      <c r="B736" s="37" t="str">
        <f>INDEX(CONTROL[ENGLISH],MATCH(PROPERTIES[[#This Row],[VEHIDCODE]],CONTROL[VEHIDCODE],0))</f>
        <v>Steel 2-axle Mail Coach</v>
      </c>
      <c r="C736">
        <v>0</v>
      </c>
      <c r="D736" t="s">
        <v>523</v>
      </c>
      <c r="E736" t="s">
        <v>512</v>
      </c>
      <c r="F736" t="s">
        <v>515</v>
      </c>
      <c r="M736"/>
    </row>
    <row r="737" spans="1:13" x14ac:dyDescent="0.35">
      <c r="A737" t="s">
        <v>101</v>
      </c>
      <c r="B737" s="37" t="str">
        <f>INDEX(CONTROL[ENGLISH],MATCH(PROPERTIES[[#This Row],[VEHIDCODE]],CONTROL[VEHIDCODE],0))</f>
        <v>Steel 3-axle Compartment Coach</v>
      </c>
      <c r="C737">
        <v>0</v>
      </c>
      <c r="D737" t="s">
        <v>523</v>
      </c>
      <c r="E737" t="s">
        <v>512</v>
      </c>
      <c r="F737" t="s">
        <v>515</v>
      </c>
      <c r="M737"/>
    </row>
    <row r="738" spans="1:13" x14ac:dyDescent="0.35">
      <c r="A738" t="s">
        <v>102</v>
      </c>
      <c r="B738" s="37" t="str">
        <f>INDEX(CONTROL[ENGLISH],MATCH(PROPERTIES[[#This Row],[VEHIDCODE]],CONTROL[VEHIDCODE],0))</f>
        <v>Steel 3-axle Regional Coach</v>
      </c>
      <c r="C738">
        <v>0</v>
      </c>
      <c r="D738" t="s">
        <v>523</v>
      </c>
      <c r="E738" t="s">
        <v>512</v>
      </c>
      <c r="F738" t="s">
        <v>515</v>
      </c>
      <c r="M738"/>
    </row>
    <row r="739" spans="1:13" x14ac:dyDescent="0.35">
      <c r="A739" t="s">
        <v>103</v>
      </c>
      <c r="B739" s="37" t="str">
        <f>INDEX(CONTROL[ENGLISH],MATCH(PROPERTIES[[#This Row],[VEHIDCODE]],CONTROL[VEHIDCODE],0))</f>
        <v>Steel 3-axle Mail Coach</v>
      </c>
      <c r="C739">
        <v>0</v>
      </c>
      <c r="D739" t="s">
        <v>523</v>
      </c>
      <c r="E739" t="s">
        <v>512</v>
      </c>
      <c r="F739" t="s">
        <v>515</v>
      </c>
      <c r="M739"/>
    </row>
    <row r="740" spans="1:13" x14ac:dyDescent="0.35">
      <c r="A740" t="s">
        <v>104</v>
      </c>
      <c r="B740" s="37" t="str">
        <f>INDEX(CONTROL[ENGLISH],MATCH(PROPERTIES[[#This Row],[VEHIDCODE]],CONTROL[VEHIDCODE],0))</f>
        <v>Lightweight Intercity Coach</v>
      </c>
      <c r="C740">
        <v>0</v>
      </c>
      <c r="D740" t="s">
        <v>523</v>
      </c>
      <c r="E740" t="s">
        <v>512</v>
      </c>
      <c r="F740" t="s">
        <v>3558</v>
      </c>
      <c r="M740"/>
    </row>
    <row r="741" spans="1:13" x14ac:dyDescent="0.35">
      <c r="A741" t="s">
        <v>105</v>
      </c>
      <c r="B741" s="37" t="str">
        <f>INDEX(CONTROL[ENGLISH],MATCH(PROPERTIES[[#This Row],[VEHIDCODE]],CONTROL[VEHIDCODE],0))</f>
        <v>Lightweight Regional Coach</v>
      </c>
      <c r="C741">
        <v>0</v>
      </c>
      <c r="D741" t="s">
        <v>523</v>
      </c>
      <c r="E741" t="s">
        <v>512</v>
      </c>
      <c r="F741" t="s">
        <v>515</v>
      </c>
      <c r="M741"/>
    </row>
    <row r="742" spans="1:13" x14ac:dyDescent="0.35">
      <c r="A742" t="s">
        <v>106</v>
      </c>
      <c r="B742" s="37" t="str">
        <f>INDEX(CONTROL[ENGLISH],MATCH(PROPERTIES[[#This Row],[VEHIDCODE]],CONTROL[VEHIDCODE],0))</f>
        <v>Lightweight Mail Coach</v>
      </c>
      <c r="C742">
        <v>0</v>
      </c>
      <c r="D742" t="s">
        <v>523</v>
      </c>
      <c r="E742" t="s">
        <v>512</v>
      </c>
      <c r="F742" t="s">
        <v>515</v>
      </c>
      <c r="M742"/>
    </row>
    <row r="743" spans="1:13" x14ac:dyDescent="0.35">
      <c r="A743" t="s">
        <v>107</v>
      </c>
      <c r="B743" s="37" t="str">
        <f>INDEX(CONTROL[ENGLISH],MATCH(PROPERTIES[[#This Row],[VEHIDCODE]],CONTROL[VEHIDCODE],0))</f>
        <v>Streamlined Intercity Coach</v>
      </c>
      <c r="C743">
        <v>0</v>
      </c>
      <c r="D743" t="s">
        <v>523</v>
      </c>
      <c r="E743" t="s">
        <v>512</v>
      </c>
      <c r="F743" t="s">
        <v>3558</v>
      </c>
      <c r="M743"/>
    </row>
    <row r="744" spans="1:13" x14ac:dyDescent="0.35">
      <c r="A744" t="s">
        <v>108</v>
      </c>
      <c r="B744" s="37" t="str">
        <f>INDEX(CONTROL[ENGLISH],MATCH(PROPERTIES[[#This Row],[VEHIDCODE]],CONTROL[VEHIDCODE],0))</f>
        <v>Streamlined Regional Coach</v>
      </c>
      <c r="C744">
        <v>0</v>
      </c>
      <c r="D744" t="s">
        <v>523</v>
      </c>
      <c r="E744" t="s">
        <v>512</v>
      </c>
      <c r="F744" t="s">
        <v>3558</v>
      </c>
      <c r="M744"/>
    </row>
    <row r="745" spans="1:13" x14ac:dyDescent="0.35">
      <c r="A745" t="s">
        <v>109</v>
      </c>
      <c r="B745" s="37" t="str">
        <f>INDEX(CONTROL[ENGLISH],MATCH(PROPERTIES[[#This Row],[VEHIDCODE]],CONTROL[VEHIDCODE],0))</f>
        <v>Streamlined Mail Coach</v>
      </c>
      <c r="C745">
        <v>0</v>
      </c>
      <c r="D745" t="s">
        <v>523</v>
      </c>
      <c r="E745" t="s">
        <v>512</v>
      </c>
      <c r="F745" t="s">
        <v>515</v>
      </c>
      <c r="M745"/>
    </row>
    <row r="746" spans="1:13" x14ac:dyDescent="0.35">
      <c r="A746" t="s">
        <v>110</v>
      </c>
      <c r="B746" s="37" t="str">
        <f>INDEX(CONTROL[ENGLISH],MATCH(PROPERTIES[[#This Row],[VEHIDCODE]],CONTROL[VEHIDCODE],0))</f>
        <v>Gallery Car</v>
      </c>
      <c r="C746">
        <v>0</v>
      </c>
      <c r="D746" t="s">
        <v>523</v>
      </c>
      <c r="E746" t="s">
        <v>512</v>
      </c>
      <c r="F746" t="s">
        <v>515</v>
      </c>
      <c r="M746"/>
    </row>
    <row r="747" spans="1:13" x14ac:dyDescent="0.35">
      <c r="A747" t="s">
        <v>111</v>
      </c>
      <c r="B747" s="37" t="str">
        <f>INDEX(CONTROL[ENGLISH],MATCH(PROPERTIES[[#This Row],[VEHIDCODE]],CONTROL[VEHIDCODE],0))</f>
        <v>Mk1 Intercity Coach</v>
      </c>
      <c r="C747">
        <v>0</v>
      </c>
      <c r="D747" t="s">
        <v>523</v>
      </c>
      <c r="E747" t="s">
        <v>512</v>
      </c>
      <c r="F747" t="s">
        <v>515</v>
      </c>
      <c r="M747"/>
    </row>
    <row r="748" spans="1:13" x14ac:dyDescent="0.35">
      <c r="A748" t="s">
        <v>112</v>
      </c>
      <c r="B748" s="37" t="str">
        <f>INDEX(CONTROL[ENGLISH],MATCH(PROPERTIES[[#This Row],[VEHIDCODE]],CONTROL[VEHIDCODE],0))</f>
        <v>Mk1 Regional Coach</v>
      </c>
      <c r="C748">
        <v>0</v>
      </c>
      <c r="D748" t="s">
        <v>523</v>
      </c>
      <c r="E748" t="s">
        <v>512</v>
      </c>
      <c r="F748" t="s">
        <v>515</v>
      </c>
      <c r="M748"/>
    </row>
    <row r="749" spans="1:13" x14ac:dyDescent="0.35">
      <c r="A749" t="s">
        <v>113</v>
      </c>
      <c r="B749" s="37" t="str">
        <f>INDEX(CONTROL[ENGLISH],MATCH(PROPERTIES[[#This Row],[VEHIDCODE]],CONTROL[VEHIDCODE],0))</f>
        <v>Mk1 Mail Coach</v>
      </c>
      <c r="C749">
        <v>0</v>
      </c>
      <c r="D749" t="s">
        <v>523</v>
      </c>
      <c r="E749" t="s">
        <v>512</v>
      </c>
      <c r="F749" t="s">
        <v>515</v>
      </c>
      <c r="M749"/>
    </row>
    <row r="750" spans="1:13" x14ac:dyDescent="0.35">
      <c r="A750" t="s">
        <v>114</v>
      </c>
      <c r="B750" s="37" t="str">
        <f>INDEX(CONTROL[ENGLISH],MATCH(PROPERTIES[[#This Row],[VEHIDCODE]],CONTROL[VEHIDCODE],0))</f>
        <v>UIC-X Intercity Coach</v>
      </c>
      <c r="C750">
        <v>0</v>
      </c>
      <c r="D750" t="s">
        <v>523</v>
      </c>
      <c r="E750" t="s">
        <v>512</v>
      </c>
      <c r="F750" t="s">
        <v>515</v>
      </c>
      <c r="M750"/>
    </row>
    <row r="751" spans="1:13" x14ac:dyDescent="0.35">
      <c r="A751" t="s">
        <v>115</v>
      </c>
      <c r="B751" s="37" t="str">
        <f>INDEX(CONTROL[ENGLISH],MATCH(PROPERTIES[[#This Row],[VEHIDCODE]],CONTROL[VEHIDCODE],0))</f>
        <v>TEE Intercity Coach</v>
      </c>
      <c r="C751">
        <v>0</v>
      </c>
      <c r="D751" t="s">
        <v>523</v>
      </c>
      <c r="E751" t="s">
        <v>512</v>
      </c>
      <c r="F751" t="s">
        <v>515</v>
      </c>
      <c r="M751"/>
    </row>
    <row r="752" spans="1:13" x14ac:dyDescent="0.35">
      <c r="A752" t="s">
        <v>116</v>
      </c>
      <c r="B752" s="37" t="str">
        <f>INDEX(CONTROL[ENGLISH],MATCH(PROPERTIES[[#This Row],[VEHIDCODE]],CONTROL[VEHIDCODE],0))</f>
        <v>UIC-X Regional Coach</v>
      </c>
      <c r="C752">
        <v>0</v>
      </c>
      <c r="D752" t="s">
        <v>523</v>
      </c>
      <c r="E752" t="s">
        <v>512</v>
      </c>
      <c r="F752" t="s">
        <v>515</v>
      </c>
      <c r="M752"/>
    </row>
    <row r="753" spans="1:13" x14ac:dyDescent="0.35">
      <c r="A753" t="s">
        <v>117</v>
      </c>
      <c r="B753" s="37" t="str">
        <f>INDEX(CONTROL[ENGLISH],MATCH(PROPERTIES[[#This Row],[VEHIDCODE]],CONTROL[VEHIDCODE],0))</f>
        <v>'Umbauwagen' Local Coach</v>
      </c>
      <c r="C753">
        <v>0</v>
      </c>
      <c r="D753" t="s">
        <v>523</v>
      </c>
      <c r="E753" t="s">
        <v>512</v>
      </c>
      <c r="F753" t="s">
        <v>515</v>
      </c>
      <c r="M753"/>
    </row>
    <row r="754" spans="1:13" x14ac:dyDescent="0.35">
      <c r="A754" t="s">
        <v>3593</v>
      </c>
      <c r="B754" s="37" t="str">
        <f>INDEX(CONTROL[ENGLISH],MATCH(PROPERTIES[[#This Row],[VEHIDCODE]],CONTROL[VEHIDCODE],0))</f>
        <v>Goerlitz Double Decker Coach</v>
      </c>
      <c r="C754">
        <v>0</v>
      </c>
      <c r="D754" t="s">
        <v>523</v>
      </c>
      <c r="E754" t="s">
        <v>512</v>
      </c>
      <c r="F754" t="s">
        <v>515</v>
      </c>
      <c r="M754"/>
    </row>
    <row r="755" spans="1:13" x14ac:dyDescent="0.35">
      <c r="A755" t="s">
        <v>118</v>
      </c>
      <c r="B755" s="37" t="str">
        <f>INDEX(CONTROL[ENGLISH],MATCH(PROPERTIES[[#This Row],[VEHIDCODE]],CONTROL[VEHIDCODE],0))</f>
        <v>UIC-X Mail Coach</v>
      </c>
      <c r="C755">
        <v>0</v>
      </c>
      <c r="D755" t="s">
        <v>523</v>
      </c>
      <c r="E755" t="s">
        <v>512</v>
      </c>
      <c r="F755" t="s">
        <v>515</v>
      </c>
      <c r="M755"/>
    </row>
    <row r="756" spans="1:13" x14ac:dyDescent="0.35">
      <c r="A756" t="s">
        <v>119</v>
      </c>
      <c r="B756" s="37" t="str">
        <f>INDEX(CONTROL[ENGLISH],MATCH(PROPERTIES[[#This Row],[VEHIDCODE]],CONTROL[VEHIDCODE],0))</f>
        <v>Indian Intercity Coach</v>
      </c>
      <c r="C756">
        <v>0</v>
      </c>
      <c r="D756" t="s">
        <v>523</v>
      </c>
      <c r="E756" t="s">
        <v>512</v>
      </c>
      <c r="F756" t="s">
        <v>515</v>
      </c>
      <c r="M756"/>
    </row>
    <row r="757" spans="1:13" x14ac:dyDescent="0.35">
      <c r="A757" t="s">
        <v>120</v>
      </c>
      <c r="B757" s="37" t="str">
        <f>INDEX(CONTROL[ENGLISH],MATCH(PROPERTIES[[#This Row],[VEHIDCODE]],CONTROL[VEHIDCODE],0))</f>
        <v>Indian Local Coach</v>
      </c>
      <c r="C757">
        <v>0</v>
      </c>
      <c r="D757" t="s">
        <v>523</v>
      </c>
      <c r="E757" t="s">
        <v>512</v>
      </c>
      <c r="F757" t="s">
        <v>516</v>
      </c>
      <c r="M757"/>
    </row>
    <row r="758" spans="1:13" x14ac:dyDescent="0.35">
      <c r="A758" t="s">
        <v>121</v>
      </c>
      <c r="B758" s="37" t="str">
        <f>INDEX(CONTROL[ENGLISH],MATCH(PROPERTIES[[#This Row],[VEHIDCODE]],CONTROL[VEHIDCODE],0))</f>
        <v>Indian Regional Coach</v>
      </c>
      <c r="C758">
        <v>0</v>
      </c>
      <c r="D758" t="s">
        <v>523</v>
      </c>
      <c r="E758" t="s">
        <v>512</v>
      </c>
      <c r="F758" t="s">
        <v>516</v>
      </c>
      <c r="M758"/>
    </row>
    <row r="759" spans="1:13" x14ac:dyDescent="0.35">
      <c r="A759" t="s">
        <v>122</v>
      </c>
      <c r="B759" s="37" t="str">
        <f>INDEX(CONTROL[ENGLISH],MATCH(PROPERTIES[[#This Row],[VEHIDCODE]],CONTROL[VEHIDCODE],0))</f>
        <v>Indian Mail Coach</v>
      </c>
      <c r="C759">
        <v>0</v>
      </c>
      <c r="D759" t="s">
        <v>523</v>
      </c>
      <c r="E759" t="s">
        <v>512</v>
      </c>
      <c r="F759" t="s">
        <v>515</v>
      </c>
      <c r="M759"/>
    </row>
    <row r="760" spans="1:13" x14ac:dyDescent="0.35">
      <c r="A760" t="s">
        <v>123</v>
      </c>
      <c r="B760" s="37" t="str">
        <f>INDEX(CONTROL[ENGLISH],MATCH(PROPERTIES[[#This Row],[VEHIDCODE]],CONTROL[VEHIDCODE],0))</f>
        <v>Eurofima Coach</v>
      </c>
      <c r="C760">
        <v>0</v>
      </c>
      <c r="D760" t="s">
        <v>523</v>
      </c>
      <c r="E760" t="s">
        <v>512</v>
      </c>
      <c r="F760" t="s">
        <v>515</v>
      </c>
      <c r="M760"/>
    </row>
    <row r="761" spans="1:13" x14ac:dyDescent="0.35">
      <c r="A761" t="s">
        <v>124</v>
      </c>
      <c r="B761" s="37" t="str">
        <f>INDEX(CONTROL[ENGLISH],MATCH(PROPERTIES[[#This Row],[VEHIDCODE]],CONTROL[VEHIDCODE],0))</f>
        <v>InterRegio Coach</v>
      </c>
      <c r="C761">
        <v>0</v>
      </c>
      <c r="D761" t="s">
        <v>523</v>
      </c>
      <c r="E761" t="s">
        <v>512</v>
      </c>
      <c r="F761" t="s">
        <v>515</v>
      </c>
      <c r="M761"/>
    </row>
    <row r="762" spans="1:13" x14ac:dyDescent="0.35">
      <c r="A762" t="s">
        <v>125</v>
      </c>
      <c r="B762" s="37" t="str">
        <f>INDEX(CONTROL[ENGLISH],MATCH(PROPERTIES[[#This Row],[VEHIDCODE]],CONTROL[VEHIDCODE],0))</f>
        <v>'Silberling' Commuter Coach</v>
      </c>
      <c r="C762">
        <v>0</v>
      </c>
      <c r="D762" t="s">
        <v>523</v>
      </c>
      <c r="E762" t="s">
        <v>512</v>
      </c>
      <c r="F762" t="s">
        <v>515</v>
      </c>
      <c r="M762"/>
    </row>
    <row r="763" spans="1:13" x14ac:dyDescent="0.35">
      <c r="A763" t="s">
        <v>126</v>
      </c>
      <c r="B763" s="37" t="str">
        <f>INDEX(CONTROL[ENGLISH],MATCH(PROPERTIES[[#This Row],[VEHIDCODE]],CONTROL[VEHIDCODE],0))</f>
        <v>Eurofima Mail Coach</v>
      </c>
      <c r="C763">
        <v>0</v>
      </c>
      <c r="D763" t="s">
        <v>523</v>
      </c>
      <c r="E763" t="s">
        <v>512</v>
      </c>
      <c r="F763" t="s">
        <v>515</v>
      </c>
      <c r="M763"/>
    </row>
    <row r="764" spans="1:13" x14ac:dyDescent="0.35">
      <c r="A764" t="s">
        <v>127</v>
      </c>
      <c r="B764" s="37" t="str">
        <f>INDEX(CONTROL[ENGLISH],MATCH(PROPERTIES[[#This Row],[VEHIDCODE]],CONTROL[VEHIDCODE],0))</f>
        <v>Double Decker Coach</v>
      </c>
      <c r="C764">
        <v>0</v>
      </c>
      <c r="D764" t="s">
        <v>523</v>
      </c>
      <c r="E764" t="s">
        <v>512</v>
      </c>
      <c r="F764" t="s">
        <v>515</v>
      </c>
      <c r="M764"/>
    </row>
    <row r="765" spans="1:13" x14ac:dyDescent="0.35">
      <c r="A765" t="s">
        <v>128</v>
      </c>
      <c r="B765" s="37" t="str">
        <f>INDEX(CONTROL[ENGLISH],MATCH(PROPERTIES[[#This Row],[VEHIDCODE]],CONTROL[VEHIDCODE],0))</f>
        <v>Russian Intercity Sleeper Coach</v>
      </c>
      <c r="C765">
        <v>0</v>
      </c>
      <c r="D765" t="s">
        <v>523</v>
      </c>
      <c r="E765" t="s">
        <v>512</v>
      </c>
      <c r="F765" t="s">
        <v>515</v>
      </c>
      <c r="M765"/>
    </row>
    <row r="766" spans="1:13" x14ac:dyDescent="0.35">
      <c r="A766" t="s">
        <v>129</v>
      </c>
      <c r="B766" s="37" t="str">
        <f>INDEX(CONTROL[ENGLISH],MATCH(PROPERTIES[[#This Row],[VEHIDCODE]],CONTROL[VEHIDCODE],0))</f>
        <v>Russian Regional Coach</v>
      </c>
      <c r="C766">
        <v>0</v>
      </c>
      <c r="D766" t="s">
        <v>523</v>
      </c>
      <c r="E766" t="s">
        <v>512</v>
      </c>
      <c r="F766" t="s">
        <v>515</v>
      </c>
      <c r="M766"/>
    </row>
    <row r="767" spans="1:13" x14ac:dyDescent="0.35">
      <c r="A767" t="s">
        <v>130</v>
      </c>
      <c r="B767" s="37" t="str">
        <f>INDEX(CONTROL[ENGLISH],MATCH(PROPERTIES[[#This Row],[VEHIDCODE]],CONTROL[VEHIDCODE],0))</f>
        <v>Russian Mail Coach</v>
      </c>
      <c r="C767">
        <v>0</v>
      </c>
      <c r="D767" t="s">
        <v>523</v>
      </c>
      <c r="E767" t="s">
        <v>512</v>
      </c>
      <c r="F767" t="s">
        <v>515</v>
      </c>
      <c r="M767"/>
    </row>
    <row r="768" spans="1:13" x14ac:dyDescent="0.35">
      <c r="A768" t="s">
        <v>131</v>
      </c>
      <c r="B768" s="37" t="str">
        <f>INDEX(CONTROL[ENGLISH],MATCH(PROPERTIES[[#This Row],[VEHIDCODE]],CONTROL[VEHIDCODE],0))</f>
        <v>Superliner Coach</v>
      </c>
      <c r="C768">
        <v>0</v>
      </c>
      <c r="D768" t="s">
        <v>523</v>
      </c>
      <c r="E768" t="s">
        <v>512</v>
      </c>
      <c r="F768" t="s">
        <v>515</v>
      </c>
      <c r="M768"/>
    </row>
    <row r="769" spans="1:13" x14ac:dyDescent="0.35">
      <c r="A769" t="s">
        <v>132</v>
      </c>
      <c r="B769" s="37" t="str">
        <f>INDEX(CONTROL[ENGLISH],MATCH(PROPERTIES[[#This Row],[VEHIDCODE]],CONTROL[VEHIDCODE],0))</f>
        <v>Superliner California</v>
      </c>
      <c r="C769">
        <v>0</v>
      </c>
      <c r="D769" t="s">
        <v>523</v>
      </c>
      <c r="E769" t="s">
        <v>512</v>
      </c>
      <c r="F769" t="s">
        <v>515</v>
      </c>
      <c r="M769"/>
    </row>
    <row r="770" spans="1:13" x14ac:dyDescent="0.35">
      <c r="A770" t="s">
        <v>133</v>
      </c>
      <c r="B770" s="37" t="str">
        <f>INDEX(CONTROL[ENGLISH],MATCH(PROPERTIES[[#This Row],[VEHIDCODE]],CONTROL[VEHIDCODE],0))</f>
        <v>Amfleet Regional Coach</v>
      </c>
      <c r="C770">
        <v>0</v>
      </c>
      <c r="D770" t="s">
        <v>523</v>
      </c>
      <c r="E770" t="s">
        <v>512</v>
      </c>
      <c r="F770" t="s">
        <v>515</v>
      </c>
      <c r="M770"/>
    </row>
    <row r="771" spans="1:13" x14ac:dyDescent="0.35">
      <c r="A771" t="s">
        <v>134</v>
      </c>
      <c r="B771" s="37" t="str">
        <f>INDEX(CONTROL[ENGLISH],MATCH(PROPERTIES[[#This Row],[VEHIDCODE]],CONTROL[VEHIDCODE],0))</f>
        <v>Amfleet Intercity Coach</v>
      </c>
      <c r="C771">
        <v>0</v>
      </c>
      <c r="D771" t="s">
        <v>523</v>
      </c>
      <c r="E771" t="s">
        <v>512</v>
      </c>
      <c r="F771" t="s">
        <v>515</v>
      </c>
      <c r="M771"/>
    </row>
    <row r="772" spans="1:13" x14ac:dyDescent="0.35">
      <c r="A772" t="s">
        <v>135</v>
      </c>
      <c r="B772" s="37" t="str">
        <f>INDEX(CONTROL[ENGLISH],MATCH(PROPERTIES[[#This Row],[VEHIDCODE]],CONTROL[VEHIDCODE],0))</f>
        <v>Comet Commuter Coach</v>
      </c>
      <c r="C772">
        <v>0</v>
      </c>
      <c r="D772" t="s">
        <v>523</v>
      </c>
      <c r="E772" t="s">
        <v>512</v>
      </c>
      <c r="F772" t="s">
        <v>515</v>
      </c>
      <c r="M772"/>
    </row>
    <row r="773" spans="1:13" x14ac:dyDescent="0.35">
      <c r="A773" t="s">
        <v>136</v>
      </c>
      <c r="B773" s="37" t="str">
        <f>INDEX(CONTROL[ENGLISH],MATCH(PROPERTIES[[#This Row],[VEHIDCODE]],CONTROL[VEHIDCODE],0))</f>
        <v>Horizon Regional Coach</v>
      </c>
      <c r="C773">
        <v>0</v>
      </c>
      <c r="D773" t="s">
        <v>523</v>
      </c>
      <c r="E773" t="s">
        <v>512</v>
      </c>
      <c r="F773" t="s">
        <v>515</v>
      </c>
      <c r="M773"/>
    </row>
    <row r="774" spans="1:13" x14ac:dyDescent="0.35">
      <c r="A774" t="s">
        <v>137</v>
      </c>
      <c r="B774" s="37" t="str">
        <f>INDEX(CONTROL[ENGLISH],MATCH(PROPERTIES[[#This Row],[VEHIDCODE]],CONTROL[VEHIDCODE],0))</f>
        <v>Horizon Baggage Coach</v>
      </c>
      <c r="C774">
        <v>0</v>
      </c>
      <c r="D774" t="s">
        <v>523</v>
      </c>
      <c r="E774" t="s">
        <v>512</v>
      </c>
      <c r="F774" t="s">
        <v>515</v>
      </c>
      <c r="M774"/>
    </row>
    <row r="775" spans="1:13" x14ac:dyDescent="0.35">
      <c r="A775" t="s">
        <v>138</v>
      </c>
      <c r="B775" s="37" t="str">
        <f>INDEX(CONTROL[ENGLISH],MATCH(PROPERTIES[[#This Row],[VEHIDCODE]],CONTROL[VEHIDCODE],0))</f>
        <v>Bombardier Bi-level</v>
      </c>
      <c r="C775">
        <v>0</v>
      </c>
      <c r="D775" t="s">
        <v>523</v>
      </c>
      <c r="E775" t="s">
        <v>512</v>
      </c>
      <c r="F775" t="s">
        <v>515</v>
      </c>
      <c r="M775"/>
    </row>
    <row r="776" spans="1:13" x14ac:dyDescent="0.35">
      <c r="A776" t="s">
        <v>139</v>
      </c>
      <c r="B776" s="37" t="str">
        <f>INDEX(CONTROL[ENGLISH],MATCH(PROPERTIES[[#This Row],[VEHIDCODE]],CONTROL[VEHIDCODE],0))</f>
        <v>High Speed Coach</v>
      </c>
      <c r="C776">
        <v>0</v>
      </c>
      <c r="D776" t="s">
        <v>523</v>
      </c>
      <c r="E776" t="s">
        <v>512</v>
      </c>
      <c r="F776" t="s">
        <v>515</v>
      </c>
      <c r="M776"/>
    </row>
    <row r="777" spans="1:13" x14ac:dyDescent="0.35">
      <c r="A777" t="s">
        <v>140</v>
      </c>
      <c r="B777" s="37" t="str">
        <f>INDEX(CONTROL[ENGLISH],MATCH(PROPERTIES[[#This Row],[VEHIDCODE]],CONTROL[VEHIDCODE],0))</f>
        <v>Modern Regional Coach</v>
      </c>
      <c r="C777">
        <v>0</v>
      </c>
      <c r="D777" t="s">
        <v>523</v>
      </c>
      <c r="E777" t="s">
        <v>512</v>
      </c>
      <c r="F777" t="s">
        <v>515</v>
      </c>
      <c r="M777"/>
    </row>
    <row r="778" spans="1:13" x14ac:dyDescent="0.35">
      <c r="A778" t="s">
        <v>141</v>
      </c>
      <c r="B778" s="37" t="str">
        <f>INDEX(CONTROL[ENGLISH],MATCH(PROPERTIES[[#This Row],[VEHIDCODE]],CONTROL[VEHIDCODE],0))</f>
        <v>Modern Commuter Coach</v>
      </c>
      <c r="C778">
        <v>0</v>
      </c>
      <c r="D778" t="s">
        <v>523</v>
      </c>
      <c r="E778" t="s">
        <v>512</v>
      </c>
      <c r="F778" t="s">
        <v>515</v>
      </c>
      <c r="M778"/>
    </row>
    <row r="779" spans="1:13" x14ac:dyDescent="0.35">
      <c r="A779" t="s">
        <v>142</v>
      </c>
      <c r="B779" s="37" t="str">
        <f>INDEX(CONTROL[ENGLISH],MATCH(PROPERTIES[[#This Row],[VEHIDCODE]],CONTROL[VEHIDCODE],0))</f>
        <v xml:space="preserve">Modern Double Decker Coach </v>
      </c>
      <c r="C779">
        <v>0</v>
      </c>
      <c r="D779" t="s">
        <v>523</v>
      </c>
      <c r="E779" t="s">
        <v>512</v>
      </c>
      <c r="F779" t="s">
        <v>515</v>
      </c>
      <c r="M779"/>
    </row>
    <row r="780" spans="1:13" x14ac:dyDescent="0.35">
      <c r="A780" t="s">
        <v>143</v>
      </c>
      <c r="B780" s="37" t="str">
        <f>INDEX(CONTROL[ENGLISH],MATCH(PROPERTIES[[#This Row],[VEHIDCODE]],CONTROL[VEHIDCODE],0))</f>
        <v>High Speed Double Decker</v>
      </c>
      <c r="C780">
        <v>0</v>
      </c>
      <c r="D780" t="s">
        <v>523</v>
      </c>
      <c r="E780" t="s">
        <v>512</v>
      </c>
      <c r="F780" t="s">
        <v>515</v>
      </c>
      <c r="M780"/>
    </row>
    <row r="781" spans="1:13" x14ac:dyDescent="0.35">
      <c r="A781" t="s">
        <v>144</v>
      </c>
      <c r="B781" s="37" t="str">
        <f>INDEX(CONTROL[ENGLISH],MATCH(PROPERTIES[[#This Row],[VEHIDCODE]],CONTROL[VEHIDCODE],0))</f>
        <v>High Speed Mail Coach</v>
      </c>
      <c r="C781">
        <v>0</v>
      </c>
      <c r="D781" t="s">
        <v>523</v>
      </c>
      <c r="E781" t="s">
        <v>512</v>
      </c>
      <c r="F781" t="s">
        <v>515</v>
      </c>
      <c r="M781"/>
    </row>
    <row r="782" spans="1:13" x14ac:dyDescent="0.35">
      <c r="A782" t="s">
        <v>145</v>
      </c>
      <c r="B782" s="37" t="str">
        <f>INDEX(CONTROL[ENGLISH],MATCH(PROPERTIES[[#This Row],[VEHIDCODE]],CONTROL[VEHIDCODE],0))</f>
        <v>Talgo Pendular</v>
      </c>
      <c r="C782">
        <v>0</v>
      </c>
      <c r="D782" t="s">
        <v>523</v>
      </c>
      <c r="E782" t="s">
        <v>512</v>
      </c>
      <c r="F782" t="s">
        <v>3558</v>
      </c>
      <c r="M782"/>
    </row>
    <row r="783" spans="1:13" x14ac:dyDescent="0.35">
      <c r="A783" t="s">
        <v>146</v>
      </c>
      <c r="B783" s="37" t="str">
        <f>INDEX(CONTROL[ENGLISH],MATCH(PROPERTIES[[#This Row],[VEHIDCODE]],CONTROL[VEHIDCODE],0))</f>
        <v>Talgo Pendular Mail</v>
      </c>
      <c r="C783">
        <v>0</v>
      </c>
      <c r="D783" t="s">
        <v>523</v>
      </c>
      <c r="E783" t="s">
        <v>512</v>
      </c>
      <c r="F783" t="s">
        <v>3558</v>
      </c>
      <c r="M783"/>
    </row>
    <row r="784" spans="1:13" x14ac:dyDescent="0.35">
      <c r="A784" t="s">
        <v>147</v>
      </c>
      <c r="B784" s="37" t="str">
        <f>INDEX(CONTROL[ENGLISH],MATCH(PROPERTIES[[#This Row],[VEHIDCODE]],CONTROL[VEHIDCODE],0))</f>
        <v>Grand Voyager Coach</v>
      </c>
      <c r="C784">
        <v>0</v>
      </c>
      <c r="D784" t="s">
        <v>523</v>
      </c>
      <c r="E784" t="s">
        <v>512</v>
      </c>
      <c r="F784" t="s">
        <v>515</v>
      </c>
      <c r="M784"/>
    </row>
    <row r="785" spans="1:13" x14ac:dyDescent="0.35">
      <c r="A785" t="s">
        <v>148</v>
      </c>
      <c r="B785" s="37" t="str">
        <f>INDEX(CONTROL[ENGLISH],MATCH(PROPERTIES[[#This Row],[VEHIDCODE]],CONTROL[VEHIDCODE],0))</f>
        <v>Grand Regio Coach</v>
      </c>
      <c r="C785">
        <v>0</v>
      </c>
      <c r="D785" t="s">
        <v>523</v>
      </c>
      <c r="E785" t="s">
        <v>512</v>
      </c>
      <c r="F785" t="s">
        <v>515</v>
      </c>
      <c r="M785"/>
    </row>
    <row r="786" spans="1:13" x14ac:dyDescent="0.35">
      <c r="A786" t="s">
        <v>149</v>
      </c>
      <c r="B786" s="37" t="str">
        <f>INDEX(CONTROL[ENGLISH],MATCH(PROPERTIES[[#This Row],[VEHIDCODE]],CONTROL[VEHIDCODE],0))</f>
        <v>Metropolis Coach</v>
      </c>
      <c r="C786">
        <v>0</v>
      </c>
      <c r="D786" t="s">
        <v>523</v>
      </c>
      <c r="E786" t="s">
        <v>512</v>
      </c>
      <c r="F786" t="s">
        <v>515</v>
      </c>
      <c r="M786"/>
    </row>
    <row r="787" spans="1:13" x14ac:dyDescent="0.35">
      <c r="A787" t="s">
        <v>150</v>
      </c>
      <c r="B787" s="37" t="str">
        <f>INDEX(CONTROL[ENGLISH],MATCH(PROPERTIES[[#This Row],[VEHIDCODE]],CONTROL[VEHIDCODE],0))</f>
        <v>Speedmail Coach</v>
      </c>
      <c r="C787">
        <v>0</v>
      </c>
      <c r="D787" t="s">
        <v>523</v>
      </c>
      <c r="E787" t="s">
        <v>512</v>
      </c>
      <c r="F787" t="s">
        <v>515</v>
      </c>
      <c r="M787"/>
    </row>
    <row r="788" spans="1:13" x14ac:dyDescent="0.35">
      <c r="A788" t="s">
        <v>151</v>
      </c>
      <c r="B788" s="37" t="str">
        <f>INDEX(CONTROL[ENGLISH],MATCH(PROPERTIES[[#This Row],[VEHIDCODE]],CONTROL[VEHIDCODE],0))</f>
        <v>Super Regio Coach</v>
      </c>
      <c r="C788">
        <v>0</v>
      </c>
      <c r="D788" t="s">
        <v>523</v>
      </c>
      <c r="E788" t="s">
        <v>512</v>
      </c>
      <c r="F788" t="s">
        <v>515</v>
      </c>
      <c r="M788"/>
    </row>
    <row r="789" spans="1:13" x14ac:dyDescent="0.35">
      <c r="A789" t="s">
        <v>152</v>
      </c>
      <c r="B789" s="37" t="str">
        <f>INDEX(CONTROL[ENGLISH],MATCH(PROPERTIES[[#This Row],[VEHIDCODE]],CONTROL[VEHIDCODE],0))</f>
        <v>Super Voyager Coach</v>
      </c>
      <c r="C789">
        <v>0</v>
      </c>
      <c r="D789" t="s">
        <v>523</v>
      </c>
      <c r="E789" t="s">
        <v>512</v>
      </c>
      <c r="F789" t="s">
        <v>515</v>
      </c>
      <c r="M789"/>
    </row>
    <row r="790" spans="1:13" x14ac:dyDescent="0.35">
      <c r="A790" t="s">
        <v>3258</v>
      </c>
      <c r="B790" s="37" t="str">
        <f>INDEX(CONTROL[ENGLISH],MATCH(PROPERTIES[[#This Row],[VEHIDCODE]],CONTROL[VEHIDCODE],0))</f>
        <v>Alsthom AD30B</v>
      </c>
      <c r="C790">
        <v>0</v>
      </c>
      <c r="D790" t="s">
        <v>523</v>
      </c>
      <c r="E790" t="s">
        <v>506</v>
      </c>
      <c r="F790" t="s">
        <v>515</v>
      </c>
    </row>
    <row r="791" spans="1:13" x14ac:dyDescent="0.35">
      <c r="A791" t="s">
        <v>3259</v>
      </c>
      <c r="B791" s="37" t="str">
        <f>INDEX(CONTROL[ENGLISH],MATCH(PROPERTIES[[#This Row],[VEHIDCODE]],CONTROL[VEHIDCODE],0))</f>
        <v>Porter 2-8-2 Class 200 'Katanga Mikado'</v>
      </c>
      <c r="C791">
        <v>0</v>
      </c>
      <c r="D791" t="s">
        <v>523</v>
      </c>
      <c r="E791" t="s">
        <v>513</v>
      </c>
      <c r="F791" t="s">
        <v>515</v>
      </c>
    </row>
    <row r="792" spans="1:13" x14ac:dyDescent="0.35">
      <c r="A792" t="s">
        <v>3260</v>
      </c>
      <c r="B792" s="37" t="str">
        <f>INDEX(CONTROL[ENGLISH],MATCH(PROPERTIES[[#This Row],[VEHIDCODE]],CONTROL[VEHIDCODE],0))</f>
        <v>Kawasaki/Nippon Sharyo/Toshiba M250</v>
      </c>
      <c r="C792">
        <v>0</v>
      </c>
      <c r="D792" t="s">
        <v>524</v>
      </c>
      <c r="E792" t="s">
        <v>505</v>
      </c>
      <c r="F792" t="s">
        <v>516</v>
      </c>
    </row>
    <row r="793" spans="1:13" x14ac:dyDescent="0.35">
      <c r="A793" t="s">
        <v>3261</v>
      </c>
      <c r="B793" s="37" t="str">
        <f>INDEX(CONTROL[ENGLISH],MATCH(PROPERTIES[[#This Row],[VEHIDCODE]],CONTROL[VEHIDCODE],0))</f>
        <v>Esslingen/MAN/Hohenzollern 'Thomas'</v>
      </c>
      <c r="C793">
        <v>0</v>
      </c>
      <c r="D793" t="s">
        <v>523</v>
      </c>
      <c r="E793" t="s">
        <v>513</v>
      </c>
      <c r="F793" t="s">
        <v>517</v>
      </c>
    </row>
    <row r="794" spans="1:13" x14ac:dyDescent="0.35">
      <c r="A794" t="s">
        <v>3262</v>
      </c>
      <c r="B794" s="37" t="str">
        <f>INDEX(CONTROL[ENGLISH],MATCH(PROPERTIES[[#This Row],[VEHIDCODE]],CONTROL[VEHIDCODE],0))</f>
        <v>Komarek NOLB 30-33</v>
      </c>
      <c r="C794">
        <v>0</v>
      </c>
      <c r="D794" t="s">
        <v>523</v>
      </c>
      <c r="E794" t="s">
        <v>506</v>
      </c>
      <c r="F794" t="s">
        <v>516</v>
      </c>
    </row>
    <row r="795" spans="1:13" x14ac:dyDescent="0.35">
      <c r="A795" t="s">
        <v>3263</v>
      </c>
      <c r="B795" s="37" t="str">
        <f>INDEX(CONTROL[ENGLISH],MATCH(PROPERTIES[[#This Row],[VEHIDCODE]],CONTROL[VEHIDCODE],0))</f>
        <v>Henschel 4-4-2 19906</v>
      </c>
      <c r="C795">
        <v>0</v>
      </c>
      <c r="D795" t="s">
        <v>523</v>
      </c>
      <c r="E795" t="s">
        <v>513</v>
      </c>
      <c r="F795" t="s">
        <v>515</v>
      </c>
    </row>
    <row r="796" spans="1:13" x14ac:dyDescent="0.35">
      <c r="A796" t="s">
        <v>3438</v>
      </c>
      <c r="B796" s="37" t="str">
        <f>INDEX(CONTROL[ENGLISH],MATCH(PROPERTIES[[#This Row],[VEHIDCODE]],CONTROL[VEHIDCODE],0))</f>
        <v>Haine-Saint-Pierre 2-6-0+0-6-2T 'Golwe'</v>
      </c>
      <c r="C796">
        <v>0</v>
      </c>
      <c r="D796" t="s">
        <v>523</v>
      </c>
      <c r="E796" t="s">
        <v>513</v>
      </c>
      <c r="F796" t="s">
        <v>515</v>
      </c>
    </row>
    <row r="797" spans="1:13" x14ac:dyDescent="0.35">
      <c r="A797" t="s">
        <v>3264</v>
      </c>
      <c r="B797" s="37" t="str">
        <f>INDEX(CONTROL[ENGLISH],MATCH(PROPERTIES[[#This Row],[VEHIDCODE]],CONTROL[VEHIDCODE],0))</f>
        <v>Henschel EMD TT12</v>
      </c>
      <c r="C797">
        <v>0</v>
      </c>
      <c r="D797" t="s">
        <v>523</v>
      </c>
      <c r="E797" t="s">
        <v>509</v>
      </c>
      <c r="F797" t="s">
        <v>515</v>
      </c>
    </row>
    <row r="798" spans="1:13" x14ac:dyDescent="0.35">
      <c r="A798" t="s">
        <v>3265</v>
      </c>
      <c r="B798" s="37" t="str">
        <f>INDEX(CONTROL[ENGLISH],MATCH(PROPERTIES[[#This Row],[VEHIDCODE]],CONTROL[VEHIDCODE],0))</f>
        <v>Henschel GE G16</v>
      </c>
      <c r="C798">
        <v>0</v>
      </c>
      <c r="D798" t="s">
        <v>523</v>
      </c>
      <c r="E798" t="s">
        <v>509</v>
      </c>
      <c r="F798" t="s">
        <v>515</v>
      </c>
    </row>
    <row r="799" spans="1:13" x14ac:dyDescent="0.35">
      <c r="A799" t="s">
        <v>3266</v>
      </c>
      <c r="B799" s="37" t="str">
        <f>INDEX(CONTROL[ENGLISH],MATCH(PROPERTIES[[#This Row],[VEHIDCODE]],CONTROL[VEHIDCODE],0))</f>
        <v>ACEC/BN Type 2450</v>
      </c>
      <c r="C799">
        <v>0</v>
      </c>
      <c r="D799" t="s">
        <v>524</v>
      </c>
      <c r="E799" t="s">
        <v>506</v>
      </c>
      <c r="F799" t="s">
        <v>515</v>
      </c>
    </row>
    <row r="800" spans="1:13" x14ac:dyDescent="0.35">
      <c r="A800" t="s">
        <v>3267</v>
      </c>
      <c r="B800" s="37" t="str">
        <f>INDEX(CONTROL[ENGLISH],MATCH(PROPERTIES[[#This Row],[VEHIDCODE]],CONTROL[VEHIDCODE],0))</f>
        <v>Alsthom BB-BB 300</v>
      </c>
      <c r="C800">
        <v>0</v>
      </c>
      <c r="D800" t="s">
        <v>523</v>
      </c>
      <c r="E800" t="s">
        <v>506</v>
      </c>
      <c r="F800" t="s">
        <v>515</v>
      </c>
    </row>
    <row r="801" spans="1:6" x14ac:dyDescent="0.35">
      <c r="A801" t="s">
        <v>3268</v>
      </c>
      <c r="B801" s="37" t="str">
        <f>INDEX(CONTROL[ENGLISH],MATCH(PROPERTIES[[#This Row],[VEHIDCODE]],CONTROL[VEHIDCODE],0))</f>
        <v>Alsthom CC 200</v>
      </c>
      <c r="C801">
        <v>0</v>
      </c>
      <c r="D801" t="s">
        <v>523</v>
      </c>
      <c r="E801" t="s">
        <v>506</v>
      </c>
      <c r="F801" t="s">
        <v>515</v>
      </c>
    </row>
    <row r="802" spans="1:6" x14ac:dyDescent="0.35">
      <c r="A802" t="s">
        <v>3269</v>
      </c>
      <c r="B802" s="37" t="str">
        <f>INDEX(CONTROL[ENGLISH],MATCH(PROPERTIES[[#This Row],[VEHIDCODE]],CONTROL[VEHIDCODE],0))</f>
        <v>GMD GT22LC-2</v>
      </c>
      <c r="C802">
        <v>0</v>
      </c>
      <c r="D802" t="s">
        <v>523</v>
      </c>
      <c r="E802" t="s">
        <v>506</v>
      </c>
      <c r="F802" t="s">
        <v>515</v>
      </c>
    </row>
    <row r="803" spans="1:6" x14ac:dyDescent="0.35">
      <c r="A803" t="s">
        <v>3270</v>
      </c>
      <c r="B803" s="37" t="str">
        <f>INDEX(CONTROL[ENGLISH],MATCH(PROPERTIES[[#This Row],[VEHIDCODE]],CONTROL[VEHIDCODE],0))</f>
        <v>TRC E6800</v>
      </c>
      <c r="C803">
        <v>0</v>
      </c>
      <c r="D803" t="s">
        <v>524</v>
      </c>
      <c r="E803" t="s">
        <v>506</v>
      </c>
      <c r="F803" t="s">
        <v>515</v>
      </c>
    </row>
    <row r="804" spans="1:6" x14ac:dyDescent="0.35">
      <c r="A804" t="s">
        <v>3271</v>
      </c>
      <c r="B804" s="37" t="str">
        <f>INDEX(CONTROL[ENGLISH],MATCH(PROPERTIES[[#This Row],[VEHIDCODE]],CONTROL[VEHIDCODE],0))</f>
        <v>Brooklyn Union Gate Elevated</v>
      </c>
      <c r="C804">
        <v>0</v>
      </c>
      <c r="D804" t="s">
        <v>523</v>
      </c>
      <c r="E804" t="s">
        <v>510</v>
      </c>
      <c r="F804" t="s">
        <v>517</v>
      </c>
    </row>
    <row r="805" spans="1:6" x14ac:dyDescent="0.35">
      <c r="A805" t="s">
        <v>1723</v>
      </c>
      <c r="B805" s="37" t="str">
        <f>INDEX(CONTROL[ENGLISH],MATCH(PROPERTIES[[#This Row],[VEHIDCODE]],CONTROL[VEHIDCODE],0))</f>
        <v>'CityNightLine' Sleeper</v>
      </c>
      <c r="C805">
        <v>0</v>
      </c>
      <c r="D805" t="s">
        <v>523</v>
      </c>
      <c r="E805" t="s">
        <v>512</v>
      </c>
      <c r="F805" t="s">
        <v>515</v>
      </c>
    </row>
    <row r="806" spans="1:6" x14ac:dyDescent="0.35">
      <c r="A806" t="s">
        <v>1724</v>
      </c>
      <c r="B806" s="37" t="str">
        <f>INDEX(CONTROL[ENGLISH],MATCH(PROPERTIES[[#This Row],[VEHIDCODE]],CONTROL[VEHIDCODE],0))</f>
        <v>'Trans Euro Night' Sleeper</v>
      </c>
      <c r="C806">
        <v>0</v>
      </c>
      <c r="D806" t="s">
        <v>523</v>
      </c>
      <c r="E806" t="s">
        <v>512</v>
      </c>
      <c r="F806" t="s">
        <v>515</v>
      </c>
    </row>
    <row r="807" spans="1:6" x14ac:dyDescent="0.35">
      <c r="A807" t="s">
        <v>1709</v>
      </c>
      <c r="B807" s="37" t="str">
        <f>INDEX(CONTROL[ENGLISH],MATCH(PROPERTIES[[#This Row],[VEHIDCODE]],CONTROL[VEHIDCODE],0))</f>
        <v>1st Gen Livestock Van</v>
      </c>
      <c r="C807">
        <v>0</v>
      </c>
      <c r="D807" t="s">
        <v>523</v>
      </c>
      <c r="E807" t="s">
        <v>512</v>
      </c>
      <c r="F807" t="s">
        <v>516</v>
      </c>
    </row>
    <row r="808" spans="1:6" x14ac:dyDescent="0.35">
      <c r="A808" t="s">
        <v>1704</v>
      </c>
      <c r="B808" s="37" t="str">
        <f>INDEX(CONTROL[ENGLISH],MATCH(PROPERTIES[[#This Row],[VEHIDCODE]],CONTROL[VEHIDCODE],0))</f>
        <v>2nd Gen Livestock Van</v>
      </c>
      <c r="C808">
        <v>0</v>
      </c>
      <c r="D808" t="s">
        <v>523</v>
      </c>
      <c r="E808" t="s">
        <v>512</v>
      </c>
      <c r="F808" t="s">
        <v>516</v>
      </c>
    </row>
    <row r="809" spans="1:6" x14ac:dyDescent="0.35">
      <c r="A809" t="s">
        <v>1705</v>
      </c>
      <c r="B809" s="37" t="str">
        <f>INDEX(CONTROL[ENGLISH],MATCH(PROPERTIES[[#This Row],[VEHIDCODE]],CONTROL[VEHIDCODE],0))</f>
        <v>3rd Gen Livestock Van</v>
      </c>
      <c r="C809">
        <v>0</v>
      </c>
      <c r="D809" t="s">
        <v>523</v>
      </c>
      <c r="E809" t="s">
        <v>512</v>
      </c>
      <c r="F809" t="s">
        <v>516</v>
      </c>
    </row>
    <row r="810" spans="1:6" x14ac:dyDescent="0.35">
      <c r="A810" t="s">
        <v>1706</v>
      </c>
      <c r="B810" s="37" t="str">
        <f>INDEX(CONTROL[ENGLISH],MATCH(PROPERTIES[[#This Row],[VEHIDCODE]],CONTROL[VEHIDCODE],0))</f>
        <v>4th Gen Livestock Van</v>
      </c>
      <c r="C810">
        <v>0</v>
      </c>
      <c r="D810" t="s">
        <v>523</v>
      </c>
      <c r="E810" t="s">
        <v>512</v>
      </c>
      <c r="F810" t="s">
        <v>516</v>
      </c>
    </row>
    <row r="811" spans="1:6" x14ac:dyDescent="0.35">
      <c r="A811" t="s">
        <v>1707</v>
      </c>
      <c r="B811" s="37" t="str">
        <f>INDEX(CONTROL[ENGLISH],MATCH(PROPERTIES[[#This Row],[VEHIDCODE]],CONTROL[VEHIDCODE],0))</f>
        <v>5th Gen Livestock Van</v>
      </c>
      <c r="C811">
        <v>0</v>
      </c>
      <c r="D811" t="s">
        <v>523</v>
      </c>
      <c r="E811" t="s">
        <v>512</v>
      </c>
      <c r="F811" t="s">
        <v>516</v>
      </c>
    </row>
    <row r="812" spans="1:6" x14ac:dyDescent="0.35">
      <c r="A812" t="s">
        <v>1708</v>
      </c>
      <c r="B812" s="37" t="str">
        <f>INDEX(CONTROL[ENGLISH],MATCH(PROPERTIES[[#This Row],[VEHIDCODE]],CONTROL[VEHIDCODE],0))</f>
        <v>6th Gen Livestock Van</v>
      </c>
      <c r="C812">
        <v>0</v>
      </c>
      <c r="D812" t="s">
        <v>523</v>
      </c>
      <c r="E812" t="s">
        <v>512</v>
      </c>
      <c r="F812" t="s">
        <v>516</v>
      </c>
    </row>
    <row r="813" spans="1:6" x14ac:dyDescent="0.35">
      <c r="A813" t="s">
        <v>1727</v>
      </c>
      <c r="B813" s="37" t="str">
        <f>INDEX(CONTROL[ENGLISH],MATCH(PROPERTIES[[#This Row],[VEHIDCODE]],CONTROL[VEHIDCODE],0))</f>
        <v>7th Gen Livestock Van</v>
      </c>
      <c r="C813">
        <v>0</v>
      </c>
      <c r="D813" t="s">
        <v>523</v>
      </c>
      <c r="E813" t="s">
        <v>512</v>
      </c>
      <c r="F813" t="s">
        <v>516</v>
      </c>
    </row>
    <row r="814" spans="1:6" x14ac:dyDescent="0.35">
      <c r="A814" t="s">
        <v>3272</v>
      </c>
      <c r="B814" s="37" t="str">
        <f>INDEX(CONTROL[ENGLISH],MATCH(PROPERTIES[[#This Row],[VEHIDCODE]],CONTROL[VEHIDCODE],0))</f>
        <v>Ganz-MAVAG VM15 'V63'</v>
      </c>
      <c r="C814">
        <v>0</v>
      </c>
      <c r="D814" t="s">
        <v>524</v>
      </c>
      <c r="E814" t="s">
        <v>509</v>
      </c>
      <c r="F814" t="s">
        <v>515</v>
      </c>
    </row>
    <row r="815" spans="1:6" x14ac:dyDescent="0.35">
      <c r="A815" t="s">
        <v>3273</v>
      </c>
      <c r="B815" s="37" t="str">
        <f>INDEX(CONTROL[ENGLISH],MATCH(PROPERTIES[[#This Row],[VEHIDCODE]],CONTROL[VEHIDCODE],0))</f>
        <v>BREL/ABB London 1992 Stock</v>
      </c>
      <c r="C815">
        <v>0</v>
      </c>
      <c r="D815" t="s">
        <v>523</v>
      </c>
      <c r="E815" t="s">
        <v>510</v>
      </c>
      <c r="F815" t="s">
        <v>517</v>
      </c>
    </row>
    <row r="816" spans="1:6" x14ac:dyDescent="0.35">
      <c r="A816" t="s">
        <v>3274</v>
      </c>
      <c r="B816" s="37" t="str">
        <f>INDEX(CONTROL[ENGLISH],MATCH(PROPERTIES[[#This Row],[VEHIDCODE]],CONTROL[VEHIDCODE],0))</f>
        <v>Bombardier Movia London S Stock</v>
      </c>
      <c r="C816">
        <v>0</v>
      </c>
      <c r="D816" t="s">
        <v>523</v>
      </c>
      <c r="E816" t="s">
        <v>510</v>
      </c>
      <c r="F816" t="s">
        <v>517</v>
      </c>
    </row>
    <row r="817" spans="1:6" x14ac:dyDescent="0.35">
      <c r="A817" t="s">
        <v>3275</v>
      </c>
      <c r="B817" s="37" t="str">
        <f>INDEX(CONTROL[ENGLISH],MATCH(PROPERTIES[[#This Row],[VEHIDCODE]],CONTROL[VEHIDCODE],0))</f>
        <v>Metro-Cammell London 1972 Stock</v>
      </c>
      <c r="C817">
        <v>0</v>
      </c>
      <c r="D817" t="s">
        <v>523</v>
      </c>
      <c r="E817" t="s">
        <v>510</v>
      </c>
      <c r="F817" t="s">
        <v>517</v>
      </c>
    </row>
    <row r="818" spans="1:6" x14ac:dyDescent="0.35">
      <c r="A818" t="s">
        <v>3276</v>
      </c>
      <c r="B818" s="37" t="str">
        <f>INDEX(CONTROL[ENGLISH],MATCH(PROPERTIES[[#This Row],[VEHIDCODE]],CONTROL[VEHIDCODE],0))</f>
        <v>Metro-Cammell London 1959 Stock</v>
      </c>
      <c r="C818">
        <v>0</v>
      </c>
      <c r="D818" t="s">
        <v>523</v>
      </c>
      <c r="E818" t="s">
        <v>510</v>
      </c>
      <c r="F818" t="s">
        <v>517</v>
      </c>
    </row>
    <row r="819" spans="1:6" x14ac:dyDescent="0.35">
      <c r="A819" t="s">
        <v>3277</v>
      </c>
      <c r="B819" s="37" t="str">
        <f>INDEX(CONTROL[ENGLISH],MATCH(PROPERTIES[[#This Row],[VEHIDCODE]],CONTROL[VEHIDCODE],0))</f>
        <v>Kawasaki HI C151</v>
      </c>
      <c r="C819">
        <v>0</v>
      </c>
      <c r="D819" t="s">
        <v>523</v>
      </c>
      <c r="E819" t="s">
        <v>510</v>
      </c>
      <c r="F819" t="s">
        <v>517</v>
      </c>
    </row>
    <row r="820" spans="1:6" x14ac:dyDescent="0.35">
      <c r="A820" t="s">
        <v>3278</v>
      </c>
      <c r="B820" s="37" t="str">
        <f>INDEX(CONTROL[ENGLISH],MATCH(PROPERTIES[[#This Row],[VEHIDCODE]],CONTROL[VEHIDCODE],0))</f>
        <v>Kawasaki HI &amp; Nippon Sharyo C751B</v>
      </c>
      <c r="C820">
        <v>0</v>
      </c>
      <c r="D820" t="s">
        <v>523</v>
      </c>
      <c r="E820" t="s">
        <v>510</v>
      </c>
      <c r="F820" t="s">
        <v>517</v>
      </c>
    </row>
    <row r="821" spans="1:6" x14ac:dyDescent="0.35">
      <c r="A821" t="s">
        <v>3279</v>
      </c>
      <c r="B821" s="37" t="str">
        <f>INDEX(CONTROL[ENGLISH],MATCH(PROPERTIES[[#This Row],[VEHIDCODE]],CONTROL[VEHIDCODE],0))</f>
        <v>Comeng Light Metro Prototype</v>
      </c>
      <c r="C821">
        <v>0</v>
      </c>
      <c r="D821" t="s">
        <v>523</v>
      </c>
      <c r="E821" t="s">
        <v>510</v>
      </c>
      <c r="F821" t="s">
        <v>517</v>
      </c>
    </row>
    <row r="822" spans="1:6" x14ac:dyDescent="0.35">
      <c r="A822" t="s">
        <v>3280</v>
      </c>
      <c r="B822" s="37" t="str">
        <f>INDEX(CONTROL[ENGLISH],MATCH(PROPERTIES[[#This Row],[VEHIDCODE]],CONTROL[VEHIDCODE],0))</f>
        <v>Comeng EMU</v>
      </c>
      <c r="C822">
        <v>0</v>
      </c>
      <c r="D822" t="s">
        <v>523</v>
      </c>
      <c r="E822" t="s">
        <v>510</v>
      </c>
      <c r="F822" t="s">
        <v>515</v>
      </c>
    </row>
    <row r="823" spans="1:6" x14ac:dyDescent="0.35">
      <c r="A823" t="s">
        <v>3281</v>
      </c>
      <c r="B823" s="37" t="str">
        <f>INDEX(CONTROL[ENGLISH],MATCH(PROPERTIES[[#This Row],[VEHIDCODE]],CONTROL[VEHIDCODE],0))</f>
        <v>Evolution Rail HCMT Munnel</v>
      </c>
      <c r="C823">
        <v>0</v>
      </c>
      <c r="D823" t="s">
        <v>523</v>
      </c>
      <c r="E823" t="s">
        <v>510</v>
      </c>
      <c r="F823" t="s">
        <v>515</v>
      </c>
    </row>
    <row r="824" spans="1:6" x14ac:dyDescent="0.35">
      <c r="A824" t="s">
        <v>3282</v>
      </c>
      <c r="B824" s="37" t="str">
        <f>INDEX(CONTROL[ENGLISH],MATCH(PROPERTIES[[#This Row],[VEHIDCODE]],CONTROL[VEHIDCODE],0))</f>
        <v>LTZ DR 130</v>
      </c>
      <c r="C824">
        <v>0</v>
      </c>
      <c r="D824" t="s">
        <v>523</v>
      </c>
      <c r="E824" t="s">
        <v>506</v>
      </c>
      <c r="F824" t="s">
        <v>515</v>
      </c>
    </row>
    <row r="825" spans="1:6" x14ac:dyDescent="0.35">
      <c r="A825" t="s">
        <v>3283</v>
      </c>
      <c r="B825" s="37" t="str">
        <f>INDEX(CONTROL[ENGLISH],MATCH(PROPERTIES[[#This Row],[VEHIDCODE]],CONTROL[VEHIDCODE],0))</f>
        <v>GE AC6044CW</v>
      </c>
      <c r="C825">
        <v>0</v>
      </c>
      <c r="D825" t="s">
        <v>523</v>
      </c>
      <c r="E825" t="s">
        <v>509</v>
      </c>
      <c r="F825" t="s">
        <v>515</v>
      </c>
    </row>
    <row r="826" spans="1:6" x14ac:dyDescent="0.35">
      <c r="A826" t="s">
        <v>3601</v>
      </c>
      <c r="B826" s="37" t="str">
        <f>INDEX(CONTROL[ENGLISH],MATCH(PROPERTIES[[#This Row],[VEHIDCODE]],CONTROL[VEHIDCODE],0))</f>
        <v>GE AC6000CW</v>
      </c>
      <c r="C826">
        <v>0</v>
      </c>
      <c r="D826" t="s">
        <v>523</v>
      </c>
      <c r="E826" t="s">
        <v>509</v>
      </c>
      <c r="F826" t="s">
        <v>515</v>
      </c>
    </row>
    <row r="827" spans="1:6" x14ac:dyDescent="0.35">
      <c r="A827" t="s">
        <v>3284</v>
      </c>
      <c r="B827" s="37" t="str">
        <f>INDEX(CONTROL[ENGLISH],MATCH(PROPERTIES[[#This Row],[VEHIDCODE]],CONTROL[VEHIDCODE],0))</f>
        <v>Robert Stephenson and Co 2-2-2 192</v>
      </c>
      <c r="C827">
        <v>0</v>
      </c>
      <c r="D827" t="s">
        <v>523</v>
      </c>
      <c r="E827" t="s">
        <v>513</v>
      </c>
      <c r="F827" t="s">
        <v>515</v>
      </c>
    </row>
    <row r="828" spans="1:6" x14ac:dyDescent="0.35">
      <c r="A828" t="s">
        <v>3285</v>
      </c>
      <c r="B828" s="37" t="str">
        <f>INDEX(CONTROL[ENGLISH],MATCH(PROPERTIES[[#This Row],[VEHIDCODE]],CONTROL[VEHIDCODE],0))</f>
        <v>Comeng/MK Hitachi Trains</v>
      </c>
      <c r="C828">
        <v>0</v>
      </c>
      <c r="D828" t="s">
        <v>523</v>
      </c>
      <c r="E828" t="s">
        <v>510</v>
      </c>
      <c r="F828" t="s">
        <v>515</v>
      </c>
    </row>
    <row r="829" spans="1:6" x14ac:dyDescent="0.35">
      <c r="A829" t="s">
        <v>3286</v>
      </c>
      <c r="B829" s="37" t="str">
        <f>INDEX(CONTROL[ENGLISH],MATCH(PROPERTIES[[#This Row],[VEHIDCODE]],CONTROL[VEHIDCODE],0))</f>
        <v>GRC&amp;W Harris Trains</v>
      </c>
      <c r="C829">
        <v>0</v>
      </c>
      <c r="D829" t="s">
        <v>523</v>
      </c>
      <c r="E829" t="s">
        <v>510</v>
      </c>
      <c r="F829" t="s">
        <v>515</v>
      </c>
    </row>
    <row r="830" spans="1:6" x14ac:dyDescent="0.35">
      <c r="A830" t="s">
        <v>3287</v>
      </c>
      <c r="B830" s="37" t="str">
        <f>INDEX(CONTROL[ENGLISH],MATCH(PROPERTIES[[#This Row],[VEHIDCODE]],CONTROL[VEHIDCODE],0))</f>
        <v>Siemens Nexas</v>
      </c>
      <c r="C830">
        <v>0</v>
      </c>
      <c r="D830" t="s">
        <v>523</v>
      </c>
      <c r="E830" t="s">
        <v>510</v>
      </c>
      <c r="F830" t="s">
        <v>515</v>
      </c>
    </row>
    <row r="831" spans="1:6" x14ac:dyDescent="0.35">
      <c r="A831" t="s">
        <v>3288</v>
      </c>
      <c r="B831" s="37" t="str">
        <f>INDEX(CONTROL[ENGLISH],MATCH(PROPERTIES[[#This Row],[VEHIDCODE]],CONTROL[VEHIDCODE],0))</f>
        <v>Victorian Railways Tait Trains</v>
      </c>
      <c r="C831">
        <v>0</v>
      </c>
      <c r="D831" t="s">
        <v>523</v>
      </c>
      <c r="E831" t="s">
        <v>510</v>
      </c>
      <c r="F831" t="s">
        <v>515</v>
      </c>
    </row>
    <row r="832" spans="1:6" x14ac:dyDescent="0.35">
      <c r="A832" t="s">
        <v>3289</v>
      </c>
      <c r="B832" s="37" t="str">
        <f>INDEX(CONTROL[ENGLISH],MATCH(PROPERTIES[[#This Row],[VEHIDCODE]],CONTROL[VEHIDCODE],0))</f>
        <v>ABB Henschel Berlin BVG F74</v>
      </c>
      <c r="C832">
        <v>0</v>
      </c>
      <c r="D832" t="s">
        <v>523</v>
      </c>
      <c r="E832" t="s">
        <v>510</v>
      </c>
      <c r="F832" t="s">
        <v>517</v>
      </c>
    </row>
    <row r="833" spans="1:6" x14ac:dyDescent="0.35">
      <c r="A833" t="s">
        <v>3290</v>
      </c>
      <c r="B833" s="37" t="str">
        <f>INDEX(CONTROL[ENGLISH],MATCH(PROPERTIES[[#This Row],[VEHIDCODE]],CONTROL[VEHIDCODE],0))</f>
        <v>Adtranz Berlin BVG H</v>
      </c>
      <c r="C833">
        <v>0</v>
      </c>
      <c r="D833" t="s">
        <v>523</v>
      </c>
      <c r="E833" t="s">
        <v>510</v>
      </c>
      <c r="F833" t="s">
        <v>517</v>
      </c>
    </row>
    <row r="834" spans="1:6" x14ac:dyDescent="0.35">
      <c r="A834" t="s">
        <v>3291</v>
      </c>
      <c r="B834" s="37" t="str">
        <f>INDEX(CONTROL[ENGLISH],MATCH(PROPERTIES[[#This Row],[VEHIDCODE]],CONTROL[VEHIDCODE],0))</f>
        <v>LB&amp;SCR BRW 0-6-0T 'A1'</v>
      </c>
      <c r="C834">
        <v>0</v>
      </c>
      <c r="D834" t="s">
        <v>523</v>
      </c>
      <c r="E834" t="s">
        <v>513</v>
      </c>
      <c r="F834" t="s">
        <v>517</v>
      </c>
    </row>
    <row r="835" spans="1:6" x14ac:dyDescent="0.35">
      <c r="A835" t="s">
        <v>3292</v>
      </c>
      <c r="B835" s="37" t="str">
        <f>INDEX(CONTROL[ENGLISH],MATCH(PROPERTIES[[#This Row],[VEHIDCODE]],CONTROL[VEHIDCODE],0))</f>
        <v>BP 4-6-4T 4444-4478 'C30'</v>
      </c>
      <c r="C835">
        <v>0</v>
      </c>
      <c r="D835" t="s">
        <v>523</v>
      </c>
      <c r="E835" t="s">
        <v>513</v>
      </c>
      <c r="F835" t="s">
        <v>517</v>
      </c>
    </row>
    <row r="836" spans="1:6" x14ac:dyDescent="0.35">
      <c r="A836" t="s">
        <v>3293</v>
      </c>
      <c r="B836" s="37" t="str">
        <f>INDEX(CONTROL[ENGLISH],MATCH(PROPERTIES[[#This Row],[VEHIDCODE]],CONTROL[VEHIDCODE],0))</f>
        <v>BP/Baldwin/Clyde 4-6-0 'C32'</v>
      </c>
      <c r="C836">
        <v>0</v>
      </c>
      <c r="D836" t="s">
        <v>523</v>
      </c>
      <c r="E836" t="s">
        <v>513</v>
      </c>
      <c r="F836" t="s">
        <v>515</v>
      </c>
    </row>
    <row r="837" spans="1:6" x14ac:dyDescent="0.35">
      <c r="A837" t="s">
        <v>3294</v>
      </c>
      <c r="B837" s="37" t="str">
        <f>INDEX(CONTROL[ENGLISH],MATCH(PROPERTIES[[#This Row],[VEHIDCODE]],CONTROL[VEHIDCODE],0))</f>
        <v>BP/NBLC 2-8-0 'D50'</v>
      </c>
      <c r="C837">
        <v>0</v>
      </c>
      <c r="D837" t="s">
        <v>523</v>
      </c>
      <c r="E837" t="s">
        <v>513</v>
      </c>
      <c r="F837" t="s">
        <v>515</v>
      </c>
    </row>
    <row r="838" spans="1:6" x14ac:dyDescent="0.35">
      <c r="A838" t="s">
        <v>3295</v>
      </c>
      <c r="B838" s="37" t="str">
        <f>INDEX(CONTROL[ENGLISH],MATCH(PROPERTIES[[#This Row],[VEHIDCODE]],CONTROL[VEHIDCODE],0))</f>
        <v>BP/Dubs 4-4-0 'Z12'</v>
      </c>
      <c r="C838">
        <v>0</v>
      </c>
      <c r="D838" t="s">
        <v>523</v>
      </c>
      <c r="E838" t="s">
        <v>513</v>
      </c>
      <c r="F838" t="s">
        <v>515</v>
      </c>
    </row>
    <row r="839" spans="1:6" x14ac:dyDescent="0.35">
      <c r="A839" t="s">
        <v>3296</v>
      </c>
      <c r="B839" s="37" t="str">
        <f>INDEX(CONTROL[ENGLISH],MATCH(PROPERTIES[[#This Row],[VEHIDCODE]],CONTROL[VEHIDCODE],0))</f>
        <v>BP 0-6-0 'Z19'</v>
      </c>
      <c r="C839">
        <v>0</v>
      </c>
      <c r="D839" t="s">
        <v>523</v>
      </c>
      <c r="E839" t="s">
        <v>513</v>
      </c>
      <c r="F839" t="s">
        <v>515</v>
      </c>
    </row>
    <row r="840" spans="1:6" x14ac:dyDescent="0.35">
      <c r="A840" t="s">
        <v>3297</v>
      </c>
      <c r="B840" s="37" t="str">
        <f>INDEX(CONTROL[ENGLISH],MATCH(PROPERTIES[[#This Row],[VEHIDCODE]],CONTROL[VEHIDCODE],0))</f>
        <v>Dubs 2-6-2ST 'Z26'</v>
      </c>
      <c r="C840">
        <v>0</v>
      </c>
      <c r="D840" t="s">
        <v>523</v>
      </c>
      <c r="E840" t="s">
        <v>513</v>
      </c>
      <c r="F840" t="s">
        <v>517</v>
      </c>
    </row>
    <row r="841" spans="1:6" x14ac:dyDescent="0.35">
      <c r="A841" s="2" t="s">
        <v>3298</v>
      </c>
      <c r="B841" s="37" t="str">
        <f>INDEX(CONTROL[ENGLISH],MATCH(PROPERTIES[[#This Row],[VEHIDCODE]],CONTROL[VEHIDCODE],0))</f>
        <v>GCR/Kitson/NBLC ROD 2-8-0 '8K'</v>
      </c>
      <c r="C841">
        <v>0</v>
      </c>
      <c r="D841" t="s">
        <v>523</v>
      </c>
      <c r="E841" t="s">
        <v>513</v>
      </c>
      <c r="F841" t="s">
        <v>515</v>
      </c>
    </row>
    <row r="842" spans="1:6" x14ac:dyDescent="0.35">
      <c r="A842" s="2" t="s">
        <v>3299</v>
      </c>
      <c r="B842" s="37" t="str">
        <f>INDEX(CONTROL[ENGLISH],MATCH(PROPERTIES[[#This Row],[VEHIDCODE]],CONTROL[VEHIDCODE],0))</f>
        <v>ALCO 4-6-2 SAR 600</v>
      </c>
      <c r="C842">
        <v>0</v>
      </c>
      <c r="D842" t="s">
        <v>523</v>
      </c>
      <c r="E842" t="s">
        <v>513</v>
      </c>
      <c r="F842" t="s">
        <v>515</v>
      </c>
    </row>
    <row r="843" spans="1:6" x14ac:dyDescent="0.35">
      <c r="A843" s="2" t="s">
        <v>3300</v>
      </c>
      <c r="B843" s="37" t="str">
        <f>INDEX(CONTROL[ENGLISH],MATCH(PROPERTIES[[#This Row],[VEHIDCODE]],CONTROL[VEHIDCODE],0))</f>
        <v>BP 2-8-2T South Maitland 10</v>
      </c>
      <c r="C843">
        <v>0</v>
      </c>
      <c r="D843" t="s">
        <v>523</v>
      </c>
      <c r="E843" t="s">
        <v>513</v>
      </c>
      <c r="F843" t="s">
        <v>517</v>
      </c>
    </row>
    <row r="844" spans="1:6" x14ac:dyDescent="0.35">
      <c r="A844" s="2" t="s">
        <v>3301</v>
      </c>
      <c r="B844" s="37" t="str">
        <f>INDEX(CONTROL[ENGLISH],MATCH(PROPERTIES[[#This Row],[VEHIDCODE]],CONTROL[VEHIDCODE],0))</f>
        <v>Victorian Railways H</v>
      </c>
      <c r="C844">
        <v>0</v>
      </c>
      <c r="D844" t="s">
        <v>523</v>
      </c>
      <c r="E844" t="s">
        <v>513</v>
      </c>
      <c r="F844" t="s">
        <v>515</v>
      </c>
    </row>
    <row r="845" spans="1:6" x14ac:dyDescent="0.35">
      <c r="A845" s="2" t="s">
        <v>3302</v>
      </c>
      <c r="B845" s="37" t="str">
        <f>INDEX(CONTROL[ENGLISH],MATCH(PROPERTIES[[#This Row],[VEHIDCODE]],CONTROL[VEHIDCODE],0))</f>
        <v>BTH 41 Class</v>
      </c>
      <c r="C845">
        <v>0</v>
      </c>
      <c r="D845" t="s">
        <v>523</v>
      </c>
      <c r="E845" t="s">
        <v>506</v>
      </c>
      <c r="F845" t="s">
        <v>515</v>
      </c>
    </row>
    <row r="846" spans="1:6" x14ac:dyDescent="0.35">
      <c r="A846" s="2" t="s">
        <v>3303</v>
      </c>
      <c r="B846" s="37" t="str">
        <f>INDEX(CONTROL[ENGLISH],MATCH(PROPERTIES[[#This Row],[VEHIDCODE]],CONTROL[VEHIDCODE],0))</f>
        <v>ALCO/AE Goodwin DL531/532</v>
      </c>
      <c r="C846">
        <v>0</v>
      </c>
      <c r="D846" t="s">
        <v>523</v>
      </c>
      <c r="E846" t="s">
        <v>506</v>
      </c>
      <c r="F846" t="s">
        <v>515</v>
      </c>
    </row>
    <row r="847" spans="1:6" x14ac:dyDescent="0.35">
      <c r="A847" s="2" t="s">
        <v>3304</v>
      </c>
      <c r="B847" s="37" t="str">
        <f>INDEX(CONTROL[ENGLISH],MATCH(PROPERTIES[[#This Row],[VEHIDCODE]],CONTROL[VEHIDCODE],0))</f>
        <v>ALCO/AE Goodwin DL500</v>
      </c>
      <c r="C847">
        <v>0</v>
      </c>
      <c r="D847" t="s">
        <v>523</v>
      </c>
      <c r="E847" t="s">
        <v>506</v>
      </c>
      <c r="F847" t="s">
        <v>515</v>
      </c>
    </row>
    <row r="848" spans="1:6" x14ac:dyDescent="0.35">
      <c r="A848" s="2" t="s">
        <v>3305</v>
      </c>
      <c r="B848" s="37" t="str">
        <f>INDEX(CONTROL[ENGLISH],MATCH(PROPERTIES[[#This Row],[VEHIDCODE]],CONTROL[VEHIDCODE],0))</f>
        <v>EMD/Clyde A16C</v>
      </c>
      <c r="C848">
        <v>0</v>
      </c>
      <c r="D848" t="s">
        <v>523</v>
      </c>
      <c r="E848" t="s">
        <v>506</v>
      </c>
      <c r="F848" t="s">
        <v>515</v>
      </c>
    </row>
    <row r="849" spans="1:6" x14ac:dyDescent="0.35">
      <c r="A849" s="2" t="s">
        <v>3449</v>
      </c>
      <c r="B849" s="37" t="str">
        <f>INDEX(CONTROL[ENGLISH],MATCH(PROPERTIES[[#This Row],[VEHIDCODE]],CONTROL[VEHIDCODE],0))</f>
        <v>EMD/Clyde AAT22C-2R</v>
      </c>
      <c r="C849">
        <v>0</v>
      </c>
      <c r="D849" t="s">
        <v>523</v>
      </c>
      <c r="E849" t="s">
        <v>506</v>
      </c>
      <c r="F849" t="s">
        <v>515</v>
      </c>
    </row>
    <row r="850" spans="1:6" x14ac:dyDescent="0.35">
      <c r="A850" s="2" t="s">
        <v>3306</v>
      </c>
      <c r="B850" s="37" t="str">
        <f>INDEX(CONTROL[ENGLISH],MATCH(PROPERTIES[[#This Row],[VEHIDCODE]],CONTROL[VEHIDCODE],0))</f>
        <v>EMD/Clyde A7</v>
      </c>
      <c r="C850">
        <v>0</v>
      </c>
      <c r="D850" t="s">
        <v>523</v>
      </c>
      <c r="E850" t="s">
        <v>506</v>
      </c>
      <c r="F850" t="s">
        <v>515</v>
      </c>
    </row>
    <row r="851" spans="1:6" x14ac:dyDescent="0.35">
      <c r="A851" s="2" t="s">
        <v>3307</v>
      </c>
      <c r="B851" s="37" t="str">
        <f>INDEX(CONTROL[ENGLISH],MATCH(PROPERTIES[[#This Row],[VEHIDCODE]],CONTROL[VEHIDCODE],0))</f>
        <v xml:space="preserve">EMD/Clyde AT42C </v>
      </c>
      <c r="C851">
        <v>0</v>
      </c>
      <c r="D851" t="s">
        <v>523</v>
      </c>
      <c r="E851" t="s">
        <v>506</v>
      </c>
      <c r="F851" t="s">
        <v>515</v>
      </c>
    </row>
    <row r="852" spans="1:6" x14ac:dyDescent="0.35">
      <c r="A852" s="2" t="s">
        <v>3308</v>
      </c>
      <c r="B852" s="37" t="str">
        <f>INDEX(CONTROL[ENGLISH],MATCH(PROPERTIES[[#This Row],[VEHIDCODE]],CONTROL[VEHIDCODE],0))</f>
        <v>Clyde-ASEA CF48</v>
      </c>
      <c r="C852">
        <v>0</v>
      </c>
      <c r="D852" t="s">
        <v>523</v>
      </c>
      <c r="E852" t="s">
        <v>506</v>
      </c>
      <c r="F852" t="s">
        <v>515</v>
      </c>
    </row>
    <row r="853" spans="1:6" x14ac:dyDescent="0.35">
      <c r="A853" s="2" t="s">
        <v>3309</v>
      </c>
      <c r="B853" s="37" t="str">
        <f>INDEX(CONTROL[ENGLISH],MATCH(PROPERTIES[[#This Row],[VEHIDCODE]],CONTROL[VEHIDCODE],0))</f>
        <v>EMD GT46CWM</v>
      </c>
      <c r="C853">
        <v>0</v>
      </c>
      <c r="D853" t="s">
        <v>523</v>
      </c>
      <c r="E853" t="s">
        <v>506</v>
      </c>
      <c r="F853" t="s">
        <v>515</v>
      </c>
    </row>
    <row r="854" spans="1:6" x14ac:dyDescent="0.35">
      <c r="A854" s="2" t="s">
        <v>3310</v>
      </c>
      <c r="B854" s="37" t="str">
        <f>INDEX(CONTROL[ENGLISH],MATCH(PROPERTIES[[#This Row],[VEHIDCODE]],CONTROL[VEHIDCODE],0))</f>
        <v>Clyde-EMD GT46CW NR Concept</v>
      </c>
      <c r="C854">
        <v>0</v>
      </c>
      <c r="D854" t="s">
        <v>523</v>
      </c>
      <c r="E854" t="s">
        <v>506</v>
      </c>
      <c r="F854" t="s">
        <v>515</v>
      </c>
    </row>
    <row r="855" spans="1:6" x14ac:dyDescent="0.35">
      <c r="A855" s="2" t="s">
        <v>3311</v>
      </c>
      <c r="B855" s="37" t="str">
        <f>INDEX(CONTROL[ENGLISH],MATCH(PROPERTIES[[#This Row],[VEHIDCODE]],CONTROL[VEHIDCODE],0))</f>
        <v>Clyde JE28C PTC 73 Class Concept</v>
      </c>
      <c r="C855">
        <v>0</v>
      </c>
      <c r="D855" t="s">
        <v>523</v>
      </c>
      <c r="E855" t="s">
        <v>506</v>
      </c>
      <c r="F855" t="s">
        <v>515</v>
      </c>
    </row>
    <row r="856" spans="1:6" x14ac:dyDescent="0.35">
      <c r="A856" s="2" t="s">
        <v>3312</v>
      </c>
      <c r="B856" s="37" t="str">
        <f>INDEX(CONTROL[ENGLISH],MATCH(PROPERTIES[[#This Row],[VEHIDCODE]],CONTROL[VEHIDCODE],0))</f>
        <v>EMD/Clyde JT22HC-2</v>
      </c>
      <c r="C856">
        <v>0</v>
      </c>
      <c r="D856" t="s">
        <v>523</v>
      </c>
      <c r="E856" t="s">
        <v>506</v>
      </c>
      <c r="F856" t="s">
        <v>515</v>
      </c>
    </row>
    <row r="857" spans="1:6" x14ac:dyDescent="0.35">
      <c r="A857" s="2" t="s">
        <v>3444</v>
      </c>
      <c r="B857" s="37" t="str">
        <f>INDEX(CONTROL[ENGLISH],MATCH(PROPERTIES[[#This Row],[VEHIDCODE]],CONTROL[VEHIDCODE],0))</f>
        <v>EMD/Clyde JT26C-2SS NSW 81</v>
      </c>
      <c r="C857">
        <v>0</v>
      </c>
      <c r="D857" t="s">
        <v>523</v>
      </c>
      <c r="E857" t="s">
        <v>506</v>
      </c>
      <c r="F857" t="s">
        <v>515</v>
      </c>
    </row>
    <row r="858" spans="1:6" x14ac:dyDescent="0.35">
      <c r="A858" s="2" t="s">
        <v>3445</v>
      </c>
      <c r="B858" s="37" t="str">
        <f>INDEX(CONTROL[ENGLISH],MATCH(PROPERTIES[[#This Row],[VEHIDCODE]],CONTROL[VEHIDCODE],0))</f>
        <v>EMD/Clyde JT26C-2SS V-line G</v>
      </c>
      <c r="C858">
        <v>0</v>
      </c>
      <c r="D858" t="s">
        <v>523</v>
      </c>
      <c r="E858" t="s">
        <v>506</v>
      </c>
      <c r="F858" t="s">
        <v>515</v>
      </c>
    </row>
    <row r="859" spans="1:6" x14ac:dyDescent="0.35">
      <c r="A859" s="2" t="s">
        <v>3468</v>
      </c>
      <c r="B859" s="37" t="str">
        <f>INDEX(CONTROL[ENGLISH],MATCH(PROPERTIES[[#This Row],[VEHIDCODE]],CONTROL[VEHIDCODE],0))</f>
        <v>EMD/Clyde JT42C</v>
      </c>
      <c r="C859">
        <v>0</v>
      </c>
      <c r="D859" t="s">
        <v>523</v>
      </c>
      <c r="E859" t="s">
        <v>506</v>
      </c>
      <c r="F859" t="s">
        <v>515</v>
      </c>
    </row>
    <row r="860" spans="1:6" x14ac:dyDescent="0.35">
      <c r="A860" s="2" t="s">
        <v>3450</v>
      </c>
      <c r="B860" s="37" t="str">
        <f>INDEX(CONTROL[ENGLISH],MATCH(PROPERTIES[[#This Row],[VEHIDCODE]],CONTROL[VEHIDCODE],0))</f>
        <v>EMD JT42C 90-1277</v>
      </c>
      <c r="C860">
        <v>0</v>
      </c>
      <c r="D860" t="s">
        <v>523</v>
      </c>
      <c r="E860" t="s">
        <v>506</v>
      </c>
      <c r="F860" t="s">
        <v>515</v>
      </c>
    </row>
    <row r="861" spans="1:6" x14ac:dyDescent="0.35">
      <c r="A861" s="2" t="s">
        <v>3313</v>
      </c>
      <c r="B861" s="37" t="str">
        <f>INDEX(CONTROL[ENGLISH],MATCH(PROPERTIES[[#This Row],[VEHIDCODE]],CONTROL[VEHIDCODE],0))</f>
        <v>EMD/Clyde JT42C</v>
      </c>
      <c r="C861">
        <v>0</v>
      </c>
      <c r="D861" t="s">
        <v>523</v>
      </c>
      <c r="E861" t="s">
        <v>506</v>
      </c>
      <c r="F861" t="s">
        <v>515</v>
      </c>
    </row>
    <row r="862" spans="1:6" x14ac:dyDescent="0.35">
      <c r="A862" s="2" t="s">
        <v>3451</v>
      </c>
      <c r="B862" s="37" t="str">
        <f>INDEX(CONTROL[ENGLISH],MATCH(PROPERTIES[[#This Row],[VEHIDCODE]],CONTROL[VEHIDCODE],0))</f>
        <v>EMD/Clyde ML2</v>
      </c>
      <c r="C862">
        <v>0</v>
      </c>
      <c r="D862" t="s">
        <v>523</v>
      </c>
      <c r="E862" t="s">
        <v>506</v>
      </c>
      <c r="F862" t="s">
        <v>515</v>
      </c>
    </row>
    <row r="863" spans="1:6" x14ac:dyDescent="0.35">
      <c r="A863" t="s">
        <v>3314</v>
      </c>
      <c r="B863" s="37" t="str">
        <f>INDEX(CONTROL[ENGLISH],MATCH(PROPERTIES[[#This Row],[VEHIDCODE]],CONTROL[VEHIDCODE],0))</f>
        <v>EMD/Clyde G16C X1</v>
      </c>
      <c r="C863">
        <v>0</v>
      </c>
      <c r="D863" t="s">
        <v>523</v>
      </c>
      <c r="E863" t="s">
        <v>506</v>
      </c>
      <c r="F863" t="s">
        <v>515</v>
      </c>
    </row>
    <row r="864" spans="1:6" x14ac:dyDescent="0.35">
      <c r="A864" t="s">
        <v>3315</v>
      </c>
      <c r="B864" s="37" t="str">
        <f>INDEX(CONTROL[ENGLISH],MATCH(PROPERTIES[[#This Row],[VEHIDCODE]],CONTROL[VEHIDCODE],0))</f>
        <v>EMD/Clyde G26C X2</v>
      </c>
      <c r="C864">
        <v>0</v>
      </c>
      <c r="D864" t="s">
        <v>523</v>
      </c>
      <c r="E864" t="s">
        <v>506</v>
      </c>
      <c r="F864" t="s">
        <v>515</v>
      </c>
    </row>
    <row r="865" spans="1:6" x14ac:dyDescent="0.35">
      <c r="A865" t="s">
        <v>3316</v>
      </c>
      <c r="B865" s="37" t="str">
        <f>INDEX(CONTROL[ENGLISH],MATCH(PROPERTIES[[#This Row],[VEHIDCODE]],CONTROL[VEHIDCODE],0))</f>
        <v>EMD/Clyde G26C X3</v>
      </c>
      <c r="C865">
        <v>0</v>
      </c>
      <c r="D865" t="s">
        <v>523</v>
      </c>
      <c r="E865" t="s">
        <v>506</v>
      </c>
      <c r="F865" t="s">
        <v>515</v>
      </c>
    </row>
    <row r="866" spans="1:6" x14ac:dyDescent="0.35">
      <c r="A866" s="2" t="s">
        <v>3317</v>
      </c>
      <c r="B866" s="37" t="str">
        <f>INDEX(CONTROL[ENGLISH],MATCH(PROPERTIES[[#This Row],[VEHIDCODE]],CONTROL[VEHIDCODE],0))</f>
        <v>ALCO/Comeng CE615A</v>
      </c>
      <c r="C866">
        <v>0</v>
      </c>
      <c r="D866" t="s">
        <v>523</v>
      </c>
      <c r="E866" t="s">
        <v>506</v>
      </c>
      <c r="F866" t="s">
        <v>515</v>
      </c>
    </row>
    <row r="867" spans="1:6" x14ac:dyDescent="0.35">
      <c r="A867" t="s">
        <v>3318</v>
      </c>
      <c r="B867" s="37" t="str">
        <f>INDEX(CONTROL[ENGLISH],MATCH(PROPERTIES[[#This Row],[VEHIDCODE]],CONTROL[VEHIDCODE],0))</f>
        <v>Comeng Class 85</v>
      </c>
      <c r="C867">
        <v>0</v>
      </c>
      <c r="D867" t="s">
        <v>523</v>
      </c>
      <c r="E867" t="s">
        <v>506</v>
      </c>
      <c r="F867" t="s">
        <v>515</v>
      </c>
    </row>
    <row r="868" spans="1:6" x14ac:dyDescent="0.35">
      <c r="A868" s="2" t="s">
        <v>3319</v>
      </c>
      <c r="B868" s="37" t="str">
        <f>INDEX(CONTROL[ENGLISH],MATCH(PROPERTIES[[#This Row],[VEHIDCODE]],CONTROL[VEHIDCODE],0))</f>
        <v>Comeng Maldon-Dombarton '8650'</v>
      </c>
      <c r="C868">
        <v>0</v>
      </c>
      <c r="D868" t="s">
        <v>523</v>
      </c>
      <c r="E868" t="s">
        <v>506</v>
      </c>
      <c r="F868" t="s">
        <v>515</v>
      </c>
    </row>
    <row r="869" spans="1:6" x14ac:dyDescent="0.35">
      <c r="A869" s="2" t="s">
        <v>3320</v>
      </c>
      <c r="B869" s="37" t="str">
        <f>INDEX(CONTROL[ENGLISH],MATCH(PROPERTIES[[#This Row],[VEHIDCODE]],CONTROL[VEHIDCODE],0))</f>
        <v>EMD/NOHAB J30C-2DSB MZ III</v>
      </c>
      <c r="C869">
        <v>0</v>
      </c>
      <c r="D869" t="s">
        <v>523</v>
      </c>
      <c r="E869" t="s">
        <v>506</v>
      </c>
      <c r="F869" t="s">
        <v>515</v>
      </c>
    </row>
    <row r="870" spans="1:6" x14ac:dyDescent="0.35">
      <c r="A870" s="2" t="s">
        <v>3321</v>
      </c>
      <c r="B870" s="37" t="str">
        <f>INDEX(CONTROL[ENGLISH],MATCH(PROPERTIES[[#This Row],[VEHIDCODE]],CONTROL[VEHIDCODE],0))</f>
        <v>EMD/Clyde AT26C 'Twin 16-645'</v>
      </c>
      <c r="C870">
        <v>0</v>
      </c>
      <c r="D870" t="s">
        <v>524</v>
      </c>
      <c r="E870" t="s">
        <v>509</v>
      </c>
      <c r="F870" t="s">
        <v>515</v>
      </c>
    </row>
    <row r="871" spans="1:6" x14ac:dyDescent="0.35">
      <c r="A871" s="2" t="s">
        <v>3452</v>
      </c>
      <c r="B871" s="37" t="str">
        <f>INDEX(CONTROL[ENGLISH],MATCH(PROPERTIES[[#This Row],[VEHIDCODE]],CONTROL[VEHIDCODE],0))</f>
        <v>EMD/Clyde GL26C-2</v>
      </c>
      <c r="C871">
        <v>0</v>
      </c>
      <c r="D871" t="s">
        <v>523</v>
      </c>
      <c r="E871" t="s">
        <v>506</v>
      </c>
      <c r="F871" t="s">
        <v>515</v>
      </c>
    </row>
    <row r="872" spans="1:6" x14ac:dyDescent="0.35">
      <c r="A872" s="2" t="s">
        <v>3322</v>
      </c>
      <c r="B872" s="37" t="str">
        <f>INDEX(CONTROL[ENGLISH],MATCH(PROPERTIES[[#This Row],[VEHIDCODE]],CONTROL[VEHIDCODE],0))</f>
        <v xml:space="preserve">EEC A.249 </v>
      </c>
      <c r="C872">
        <v>0</v>
      </c>
      <c r="D872" t="s">
        <v>523</v>
      </c>
      <c r="E872" t="s">
        <v>506</v>
      </c>
      <c r="F872" t="s">
        <v>515</v>
      </c>
    </row>
    <row r="873" spans="1:6" x14ac:dyDescent="0.35">
      <c r="A873" s="2" t="s">
        <v>3323</v>
      </c>
      <c r="B873" s="37" t="str">
        <f>INDEX(CONTROL[ENGLISH],MATCH(PROPERTIES[[#This Row],[VEHIDCODE]],CONTROL[VEHIDCODE],0))</f>
        <v>EEC A.253</v>
      </c>
      <c r="C873">
        <v>0</v>
      </c>
      <c r="D873" t="s">
        <v>523</v>
      </c>
      <c r="E873" t="s">
        <v>506</v>
      </c>
      <c r="F873" t="s">
        <v>515</v>
      </c>
    </row>
    <row r="874" spans="1:6" x14ac:dyDescent="0.35">
      <c r="A874" s="2" t="s">
        <v>3324</v>
      </c>
      <c r="B874" s="37" t="str">
        <f>INDEX(CONTROL[ENGLISH],MATCH(PROPERTIES[[#This Row],[VEHIDCODE]],CONTROL[VEHIDCODE],0))</f>
        <v>GE U26C</v>
      </c>
      <c r="C874">
        <v>0</v>
      </c>
      <c r="D874" t="s">
        <v>523</v>
      </c>
      <c r="E874" t="s">
        <v>506</v>
      </c>
      <c r="F874" t="s">
        <v>515</v>
      </c>
    </row>
    <row r="875" spans="1:6" x14ac:dyDescent="0.35">
      <c r="A875" s="2" t="s">
        <v>3325</v>
      </c>
      <c r="B875" s="37" t="str">
        <f>INDEX(CONTROL[ENGLISH],MATCH(PROPERTIES[[#This Row],[VEHIDCODE]],CONTROL[VEHIDCODE],0))</f>
        <v>Metrowick/BP 786</v>
      </c>
      <c r="C875">
        <v>0</v>
      </c>
      <c r="D875" t="s">
        <v>523</v>
      </c>
      <c r="E875" t="s">
        <v>506</v>
      </c>
      <c r="F875" t="s">
        <v>515</v>
      </c>
    </row>
    <row r="876" spans="1:6" x14ac:dyDescent="0.35">
      <c r="A876" s="2" t="s">
        <v>3326</v>
      </c>
      <c r="B876" s="37" t="str">
        <f>INDEX(CONTROL[ENGLISH],MATCH(PROPERTIES[[#This Row],[VEHIDCODE]],CONTROL[VEHIDCODE],0))</f>
        <v>ALCO RSC-3 77732</v>
      </c>
      <c r="C876">
        <v>0</v>
      </c>
      <c r="D876" t="s">
        <v>523</v>
      </c>
      <c r="E876" t="s">
        <v>506</v>
      </c>
      <c r="F876" t="s">
        <v>515</v>
      </c>
    </row>
    <row r="877" spans="1:6" x14ac:dyDescent="0.35">
      <c r="A877" s="2" t="s">
        <v>3327</v>
      </c>
      <c r="B877" s="37" t="str">
        <f>INDEX(CONTROL[ENGLISH],MATCH(PROPERTIES[[#This Row],[VEHIDCODE]],CONTROL[VEHIDCODE],0))</f>
        <v>EMD/Clyde G8C</v>
      </c>
      <c r="C877">
        <v>0</v>
      </c>
      <c r="D877" t="s">
        <v>523</v>
      </c>
      <c r="E877" t="s">
        <v>506</v>
      </c>
      <c r="F877" t="s">
        <v>515</v>
      </c>
    </row>
    <row r="878" spans="1:6" x14ac:dyDescent="0.35">
      <c r="A878" s="2" t="s">
        <v>3328</v>
      </c>
      <c r="B878" s="37" t="str">
        <f>INDEX(CONTROL[ENGLISH],MATCH(PROPERTIES[[#This Row],[VEHIDCODE]],CONTROL[VEHIDCODE],0))</f>
        <v>EMD/Clyde G12</v>
      </c>
      <c r="C878">
        <v>0</v>
      </c>
      <c r="D878" t="s">
        <v>523</v>
      </c>
      <c r="E878" t="s">
        <v>506</v>
      </c>
      <c r="F878" t="s">
        <v>515</v>
      </c>
    </row>
    <row r="879" spans="1:6" x14ac:dyDescent="0.35">
      <c r="A879" s="2" t="s">
        <v>3329</v>
      </c>
      <c r="B879" s="37" t="str">
        <f>INDEX(CONTROL[ENGLISH],MATCH(PROPERTIES[[#This Row],[VEHIDCODE]],CONTROL[VEHIDCODE],0))</f>
        <v>EMD/Clyde G8</v>
      </c>
      <c r="C879">
        <v>0</v>
      </c>
      <c r="D879" t="s">
        <v>523</v>
      </c>
      <c r="E879" t="s">
        <v>506</v>
      </c>
      <c r="F879" t="s">
        <v>515</v>
      </c>
    </row>
    <row r="880" spans="1:6" x14ac:dyDescent="0.35">
      <c r="A880" s="2" t="s">
        <v>3330</v>
      </c>
      <c r="B880" s="37" t="str">
        <f>INDEX(CONTROL[ENGLISH],MATCH(PROPERTIES[[#This Row],[VEHIDCODE]],CONTROL[VEHIDCODE],0))</f>
        <v>Goninan 47 Class</v>
      </c>
      <c r="C880">
        <v>0</v>
      </c>
      <c r="D880" t="s">
        <v>523</v>
      </c>
      <c r="E880" t="s">
        <v>506</v>
      </c>
      <c r="F880" t="s">
        <v>515</v>
      </c>
    </row>
    <row r="881" spans="1:6" x14ac:dyDescent="0.35">
      <c r="A881" t="s">
        <v>3331</v>
      </c>
      <c r="B881" s="37" t="str">
        <f>INDEX(CONTROL[ENGLISH],MATCH(PROPERTIES[[#This Row],[VEHIDCODE]],CONTROL[VEHIDCODE],0))</f>
        <v>William Fairbairn 2-2-2 'Baroneza'</v>
      </c>
      <c r="C881">
        <v>0</v>
      </c>
      <c r="D881" t="s">
        <v>523</v>
      </c>
      <c r="E881" t="s">
        <v>513</v>
      </c>
      <c r="F881" t="s">
        <v>515</v>
      </c>
    </row>
    <row r="882" spans="1:6" x14ac:dyDescent="0.35">
      <c r="A882" s="2" t="s">
        <v>3332</v>
      </c>
      <c r="B882" s="37" t="str">
        <f>INDEX(CONTROL[ENGLISH],MATCH(PROPERTIES[[#This Row],[VEHIDCODE]],CONTROL[VEHIDCODE],0))</f>
        <v>Hunslet 0-4-0ST 'La Portena'</v>
      </c>
      <c r="C882">
        <v>0</v>
      </c>
      <c r="D882" t="s">
        <v>523</v>
      </c>
      <c r="E882" t="s">
        <v>513</v>
      </c>
      <c r="F882" t="s">
        <v>515</v>
      </c>
    </row>
    <row r="883" spans="1:6" x14ac:dyDescent="0.35">
      <c r="A883" s="2" t="s">
        <v>3333</v>
      </c>
      <c r="B883" s="37" t="str">
        <f>INDEX(CONTROL[ENGLISH],MATCH(PROPERTIES[[#This Row],[VEHIDCODE]],CONTROL[VEHIDCODE],0))</f>
        <v>Burnham 2-10-0 'Dom Pedro Segundo 119'</v>
      </c>
      <c r="C883">
        <v>0</v>
      </c>
      <c r="D883" t="s">
        <v>523</v>
      </c>
      <c r="E883" t="s">
        <v>513</v>
      </c>
      <c r="F883" t="s">
        <v>515</v>
      </c>
    </row>
    <row r="884" spans="1:6" x14ac:dyDescent="0.35">
      <c r="A884" t="s">
        <v>3334</v>
      </c>
      <c r="B884" s="37" t="str">
        <f>INDEX(CONTROL[ENGLISH],MATCH(PROPERTIES[[#This Row],[VEHIDCODE]],CONTROL[VEHIDCODE],0))</f>
        <v>Baldwin 0-22C No8 'Monsefu'</v>
      </c>
      <c r="C884">
        <v>0</v>
      </c>
      <c r="D884" t="s">
        <v>523</v>
      </c>
      <c r="E884" t="s">
        <v>513</v>
      </c>
      <c r="F884" t="s">
        <v>515</v>
      </c>
    </row>
    <row r="885" spans="1:6" x14ac:dyDescent="0.35">
      <c r="A885" s="2" t="s">
        <v>3335</v>
      </c>
      <c r="B885" s="37" t="str">
        <f>INDEX(CONTROL[ENGLISH],MATCH(PROPERTIES[[#This Row],[VEHIDCODE]],CONTROL[VEHIDCODE],0))</f>
        <v>North British 2-6-0 Q Class</v>
      </c>
      <c r="C885">
        <v>0</v>
      </c>
      <c r="D885" t="s">
        <v>523</v>
      </c>
      <c r="E885" t="s">
        <v>513</v>
      </c>
      <c r="F885" t="s">
        <v>515</v>
      </c>
    </row>
    <row r="886" spans="1:6" x14ac:dyDescent="0.35">
      <c r="A886" s="2" t="s">
        <v>3336</v>
      </c>
      <c r="B886" s="37" t="str">
        <f>INDEX(CONTROL[ENGLISH],MATCH(PROPERTIES[[#This Row],[VEHIDCODE]],CONTROL[VEHIDCODE],0))</f>
        <v>NBLC 4-6-2 PS10 Class</v>
      </c>
      <c r="C886">
        <v>0</v>
      </c>
      <c r="D886" t="s">
        <v>523</v>
      </c>
      <c r="E886" t="s">
        <v>513</v>
      </c>
      <c r="F886" t="s">
        <v>515</v>
      </c>
    </row>
    <row r="887" spans="1:6" x14ac:dyDescent="0.35">
      <c r="A887" s="2" t="s">
        <v>3337</v>
      </c>
      <c r="B887" s="37" t="str">
        <f>INDEX(CONTROL[ENGLISH],MATCH(PROPERTIES[[#This Row],[VEHIDCODE]],CONTROL[VEHIDCODE],0))</f>
        <v>Yorkshire Engine Co. 4-8-4T 'Nitrate 101'</v>
      </c>
      <c r="C887">
        <v>0</v>
      </c>
      <c r="D887" t="s">
        <v>523</v>
      </c>
      <c r="E887" t="s">
        <v>513</v>
      </c>
      <c r="F887" t="s">
        <v>517</v>
      </c>
    </row>
    <row r="888" spans="1:6" x14ac:dyDescent="0.35">
      <c r="A888" t="s">
        <v>3338</v>
      </c>
      <c r="B888" s="37" t="str">
        <f>INDEX(CONTROL[ENGLISH],MATCH(PROPERTIES[[#This Row],[VEHIDCODE]],CONTROL[VEHIDCODE],0))</f>
        <v>SLM-BBC 1-D-1</v>
      </c>
      <c r="C888">
        <v>0</v>
      </c>
      <c r="D888" t="s">
        <v>523</v>
      </c>
      <c r="E888" t="s">
        <v>506</v>
      </c>
      <c r="F888" t="s">
        <v>515</v>
      </c>
    </row>
    <row r="889" spans="1:6" x14ac:dyDescent="0.35">
      <c r="A889" s="2" t="s">
        <v>3339</v>
      </c>
      <c r="B889" s="37" t="str">
        <f>INDEX(CONTROL[ENGLISH],MATCH(PROPERTIES[[#This Row],[VEHIDCODE]],CONTROL[VEHIDCODE],0))</f>
        <v>GE 2-C+C-2</v>
      </c>
      <c r="C889">
        <v>0</v>
      </c>
      <c r="D889" t="s">
        <v>523</v>
      </c>
      <c r="E889" t="s">
        <v>506</v>
      </c>
      <c r="F889" t="s">
        <v>515</v>
      </c>
    </row>
    <row r="890" spans="1:6" x14ac:dyDescent="0.35">
      <c r="A890" s="2" t="s">
        <v>3340</v>
      </c>
      <c r="B890" s="37" t="str">
        <f>INDEX(CONTROL[ENGLISH],MATCH(PROPERTIES[[#This Row],[VEHIDCODE]],CONTROL[VEHIDCODE],0))</f>
        <v>Norris &amp; Brothers 4-4-0 'La Copiapo'</v>
      </c>
      <c r="C890">
        <v>0</v>
      </c>
      <c r="D890" t="s">
        <v>523</v>
      </c>
      <c r="E890" t="s">
        <v>513</v>
      </c>
      <c r="F890" t="s">
        <v>515</v>
      </c>
    </row>
    <row r="891" spans="1:6" x14ac:dyDescent="0.35">
      <c r="A891" s="2" t="s">
        <v>3341</v>
      </c>
      <c r="B891" s="37" t="str">
        <f>INDEX(CONTROL[ENGLISH],MATCH(PROPERTIES[[#This Row],[VEHIDCODE]],CONTROL[VEHIDCODE],0))</f>
        <v>AEG A1A+A1A</v>
      </c>
      <c r="C891">
        <v>0</v>
      </c>
      <c r="D891" t="s">
        <v>523</v>
      </c>
      <c r="E891" t="s">
        <v>506</v>
      </c>
      <c r="F891" t="s">
        <v>515</v>
      </c>
    </row>
    <row r="892" spans="1:6" x14ac:dyDescent="0.35">
      <c r="A892" t="s">
        <v>3683</v>
      </c>
      <c r="B892" s="37" t="str">
        <f>INDEX(CONTROL[ENGLISH],MATCH(PROPERTIES[[#This Row],[VEHIDCODE]],CONTROL[VEHIDCODE],0))</f>
        <v>Ganz 'Bariloche' DMU</v>
      </c>
      <c r="C892">
        <v>0</v>
      </c>
      <c r="D892" t="s">
        <v>523</v>
      </c>
      <c r="E892" t="s">
        <v>510</v>
      </c>
      <c r="F892" t="s">
        <v>515</v>
      </c>
    </row>
    <row r="893" spans="1:6" x14ac:dyDescent="0.35">
      <c r="A893" t="s">
        <v>3342</v>
      </c>
      <c r="B893" s="37" t="str">
        <f>INDEX(CONTROL[ENGLISH],MATCH(PROPERTIES[[#This Row],[VEHIDCODE]],CONTROL[VEHIDCODE],0))</f>
        <v>Avonside 0-6-0ST Sao Paulo No. 13 - 14</v>
      </c>
      <c r="C893">
        <v>0</v>
      </c>
      <c r="D893" t="s">
        <v>523</v>
      </c>
      <c r="E893" t="s">
        <v>513</v>
      </c>
      <c r="F893" t="s">
        <v>515</v>
      </c>
    </row>
    <row r="894" spans="1:6" x14ac:dyDescent="0.35">
      <c r="A894" t="s">
        <v>3682</v>
      </c>
      <c r="B894" s="37" t="str">
        <f>INDEX(CONTROL[ENGLISH],MATCH(PROPERTIES[[#This Row],[VEHIDCODE]],CONTROL[VEHIDCODE],0))</f>
        <v>Ganz 'Transandino' CMU 4701</v>
      </c>
      <c r="C894">
        <v>0</v>
      </c>
      <c r="D894" t="s">
        <v>523</v>
      </c>
      <c r="E894" t="s">
        <v>510</v>
      </c>
      <c r="F894" t="s">
        <v>515</v>
      </c>
    </row>
    <row r="895" spans="1:6" x14ac:dyDescent="0.35">
      <c r="A895" s="2" t="s">
        <v>3343</v>
      </c>
      <c r="B895" s="37" t="str">
        <f>INDEX(CONTROL[ENGLISH],MATCH(PROPERTIES[[#This Row],[VEHIDCODE]],CONTROL[VEHIDCODE],0))</f>
        <v>Kawasaki/Hitachi AEZ Railcar</v>
      </c>
      <c r="C895">
        <v>0</v>
      </c>
      <c r="D895" t="s">
        <v>524</v>
      </c>
      <c r="E895" t="s">
        <v>510</v>
      </c>
      <c r="F895" t="s">
        <v>515</v>
      </c>
    </row>
    <row r="896" spans="1:6" x14ac:dyDescent="0.35">
      <c r="A896" t="s">
        <v>3344</v>
      </c>
      <c r="B896" s="37" t="str">
        <f>INDEX(CONTROL[ENGLISH],MATCH(PROPERTIES[[#This Row],[VEHIDCODE]],CONTROL[VEHIDCODE],0))</f>
        <v>BREL GEC Auckland ART Concept</v>
      </c>
      <c r="C896">
        <v>0</v>
      </c>
      <c r="D896" t="s">
        <v>524</v>
      </c>
      <c r="E896" t="s">
        <v>510</v>
      </c>
      <c r="F896" t="s">
        <v>515</v>
      </c>
    </row>
    <row r="897" spans="1:6" x14ac:dyDescent="0.35">
      <c r="A897" s="2" t="s">
        <v>3345</v>
      </c>
      <c r="B897" s="37" t="str">
        <f>INDEX(CONTROL[ENGLISH],MATCH(PROPERTIES[[#This Row],[VEHIDCODE]],CONTROL[VEHIDCODE],0))</f>
        <v>Comeng 1100 Railcar</v>
      </c>
      <c r="C897">
        <v>0</v>
      </c>
      <c r="D897" t="s">
        <v>524</v>
      </c>
      <c r="E897" t="s">
        <v>510</v>
      </c>
      <c r="F897" t="s">
        <v>515</v>
      </c>
    </row>
    <row r="898" spans="1:6" x14ac:dyDescent="0.35">
      <c r="A898" s="2" t="s">
        <v>3346</v>
      </c>
      <c r="B898" s="37" t="str">
        <f>INDEX(CONTROL[ENGLISH],MATCH(PROPERTIES[[#This Row],[VEHIDCODE]],CONTROL[VEHIDCODE],0))</f>
        <v>Thai Comeng XPT Concept</v>
      </c>
      <c r="C898">
        <v>0</v>
      </c>
      <c r="D898" t="s">
        <v>524</v>
      </c>
      <c r="E898" t="s">
        <v>510</v>
      </c>
      <c r="F898" t="s">
        <v>515</v>
      </c>
    </row>
    <row r="899" spans="1:6" x14ac:dyDescent="0.35">
      <c r="A899" s="2" t="s">
        <v>3347</v>
      </c>
      <c r="B899" s="37" t="str">
        <f>INDEX(CONTROL[ENGLISH],MATCH(PROPERTIES[[#This Row],[VEHIDCODE]],CONTROL[VEHIDCODE],0))</f>
        <v>Comeng NSW XPT</v>
      </c>
      <c r="C899">
        <v>0</v>
      </c>
      <c r="D899" t="s">
        <v>524</v>
      </c>
      <c r="E899" t="s">
        <v>510</v>
      </c>
      <c r="F899" t="s">
        <v>515</v>
      </c>
    </row>
    <row r="900" spans="1:6" x14ac:dyDescent="0.35">
      <c r="A900" t="s">
        <v>3348</v>
      </c>
      <c r="B900" s="37" t="str">
        <f>INDEX(CONTROL[ENGLISH],MATCH(PROPERTIES[[#This Row],[VEHIDCODE]],CONTROL[VEHIDCODE],0))</f>
        <v>Tangara V-Set Hybrid Concept</v>
      </c>
      <c r="C900">
        <v>0</v>
      </c>
      <c r="D900" t="s">
        <v>524</v>
      </c>
      <c r="E900" t="s">
        <v>510</v>
      </c>
      <c r="F900" t="s">
        <v>515</v>
      </c>
    </row>
    <row r="901" spans="1:6" x14ac:dyDescent="0.35">
      <c r="A901" s="2" t="s">
        <v>3349</v>
      </c>
      <c r="B901" s="37" t="str">
        <f>INDEX(CONTROL[ENGLISH],MATCH(PROPERTIES[[#This Row],[VEHIDCODE]],CONTROL[VEHIDCODE],0))</f>
        <v>NSWGR 800/900 'DEB'</v>
      </c>
      <c r="C901">
        <v>0</v>
      </c>
      <c r="D901" t="s">
        <v>524</v>
      </c>
      <c r="E901" t="s">
        <v>510</v>
      </c>
      <c r="F901" t="s">
        <v>515</v>
      </c>
    </row>
    <row r="902" spans="1:6" x14ac:dyDescent="0.35">
      <c r="A902" s="2" t="s">
        <v>3350</v>
      </c>
      <c r="B902" s="37" t="str">
        <f>INDEX(CONTROL[ENGLISH],MATCH(PROPERTIES[[#This Row],[VEHIDCODE]],CONTROL[VEHIDCODE],0))</f>
        <v>Goninan Tangara 4D Prototype</v>
      </c>
      <c r="C902">
        <v>0</v>
      </c>
      <c r="D902" t="s">
        <v>524</v>
      </c>
      <c r="E902" t="s">
        <v>510</v>
      </c>
      <c r="F902" t="s">
        <v>515</v>
      </c>
    </row>
    <row r="903" spans="1:6" x14ac:dyDescent="0.35">
      <c r="A903" s="2" t="s">
        <v>3351</v>
      </c>
      <c r="B903" s="37" t="str">
        <f>INDEX(CONTROL[ENGLISH],MATCH(PROPERTIES[[#This Row],[VEHIDCODE]],CONTROL[VEHIDCODE],0))</f>
        <v>Goninan Tangara T-Set</v>
      </c>
      <c r="C903">
        <v>0</v>
      </c>
      <c r="D903" t="s">
        <v>524</v>
      </c>
      <c r="E903" t="s">
        <v>510</v>
      </c>
      <c r="F903" t="s">
        <v>515</v>
      </c>
    </row>
    <row r="904" spans="1:6" x14ac:dyDescent="0.35">
      <c r="A904" s="2" t="s">
        <v>3352</v>
      </c>
      <c r="B904" s="37" t="str">
        <f>INDEX(CONTROL[ENGLISH],MATCH(PROPERTIES[[#This Row],[VEHIDCODE]],CONTROL[VEHIDCODE],0))</f>
        <v>NSWGR 600/700</v>
      </c>
      <c r="C904">
        <v>0</v>
      </c>
      <c r="D904" t="s">
        <v>524</v>
      </c>
      <c r="E904" t="s">
        <v>510</v>
      </c>
      <c r="F904" t="s">
        <v>515</v>
      </c>
    </row>
    <row r="905" spans="1:6" x14ac:dyDescent="0.35">
      <c r="A905" s="2" t="s">
        <v>3353</v>
      </c>
      <c r="B905" s="37" t="str">
        <f>INDEX(CONTROL[ENGLISH],MATCH(PROPERTIES[[#This Row],[VEHIDCODE]],CONTROL[VEHIDCODE],0))</f>
        <v>Kawasaki RM 'Silver Fern'</v>
      </c>
      <c r="C905">
        <v>0</v>
      </c>
      <c r="D905" t="s">
        <v>524</v>
      </c>
      <c r="E905" t="s">
        <v>510</v>
      </c>
      <c r="F905" t="s">
        <v>515</v>
      </c>
    </row>
    <row r="906" spans="1:6" x14ac:dyDescent="0.35">
      <c r="A906" s="2" t="s">
        <v>3354</v>
      </c>
      <c r="B906" s="37" t="str">
        <f>INDEX(CONTROL[ENGLISH],MATCH(PROPERTIES[[#This Row],[VEHIDCODE]],CONTROL[VEHIDCODE],0))</f>
        <v>Comeng W Class 'Sputnik'</v>
      </c>
      <c r="C906">
        <v>0</v>
      </c>
      <c r="D906" t="s">
        <v>524</v>
      </c>
      <c r="E906" t="s">
        <v>510</v>
      </c>
      <c r="F906" t="s">
        <v>515</v>
      </c>
    </row>
    <row r="907" spans="1:6" x14ac:dyDescent="0.35">
      <c r="A907" s="2" t="s">
        <v>3355</v>
      </c>
      <c r="B907" s="37" t="str">
        <f>INDEX(CONTROL[ENGLISH],MATCH(PROPERTIES[[#This Row],[VEHIDCODE]],CONTROL[VEHIDCODE],0))</f>
        <v>Leeds/Clyde 'Standard' EMU</v>
      </c>
      <c r="C907">
        <v>0</v>
      </c>
      <c r="D907" t="s">
        <v>524</v>
      </c>
      <c r="E907" t="s">
        <v>510</v>
      </c>
      <c r="F907" t="s">
        <v>515</v>
      </c>
    </row>
    <row r="908" spans="1:6" x14ac:dyDescent="0.35">
      <c r="A908" s="2" t="s">
        <v>3356</v>
      </c>
      <c r="B908" s="37" t="str">
        <f>INDEX(CONTROL[ENGLISH],MATCH(PROPERTIES[[#This Row],[VEHIDCODE]],CONTROL[VEHIDCODE],0))</f>
        <v>NSWGR 'Tulloch' EMU</v>
      </c>
      <c r="C908">
        <v>0</v>
      </c>
      <c r="D908" t="s">
        <v>524</v>
      </c>
      <c r="E908" t="s">
        <v>510</v>
      </c>
      <c r="F908" t="s">
        <v>515</v>
      </c>
    </row>
    <row r="909" spans="1:6" x14ac:dyDescent="0.35">
      <c r="A909" s="2" t="s">
        <v>3357</v>
      </c>
      <c r="B909" s="37" t="str">
        <f>INDEX(CONTROL[ENGLISH],MATCH(PROPERTIES[[#This Row],[VEHIDCODE]],CONTROL[VEHIDCODE],0))</f>
        <v>Alstom X'Trapolis 100 Melbourne</v>
      </c>
      <c r="C909">
        <v>0</v>
      </c>
      <c r="D909" t="s">
        <v>524</v>
      </c>
      <c r="E909" t="s">
        <v>510</v>
      </c>
      <c r="F909" t="s">
        <v>515</v>
      </c>
    </row>
    <row r="910" spans="1:6" x14ac:dyDescent="0.35">
      <c r="A910" s="2" t="s">
        <v>1826</v>
      </c>
      <c r="B910" s="37" t="str">
        <f>INDEX(CONTROL[ENGLISH],MATCH(PROPERTIES[[#This Row],[VEHIDCODE]],CONTROL[VEHIDCODE],0))</f>
        <v>Early American End-Platform Coach [Smaller]</v>
      </c>
      <c r="C910">
        <v>0</v>
      </c>
      <c r="D910" t="s">
        <v>523</v>
      </c>
      <c r="E910" t="s">
        <v>512</v>
      </c>
      <c r="F910" t="s">
        <v>1827</v>
      </c>
    </row>
    <row r="911" spans="1:6" x14ac:dyDescent="0.35">
      <c r="A911" s="2" t="s">
        <v>1828</v>
      </c>
      <c r="B911" s="37" t="str">
        <f>INDEX(CONTROL[ENGLISH],MATCH(PROPERTIES[[#This Row],[VEHIDCODE]],CONTROL[VEHIDCODE],0))</f>
        <v>Early American End-Platform Mail Coach [Smaller]</v>
      </c>
      <c r="C911">
        <v>0</v>
      </c>
      <c r="D911" t="s">
        <v>523</v>
      </c>
      <c r="E911" t="s">
        <v>512</v>
      </c>
      <c r="F911" t="s">
        <v>1827</v>
      </c>
    </row>
    <row r="912" spans="1:6" x14ac:dyDescent="0.35">
      <c r="A912" s="2" t="s">
        <v>1829</v>
      </c>
      <c r="B912" s="37" t="str">
        <f>INDEX(CONTROL[ENGLISH],MATCH(PROPERTIES[[#This Row],[VEHIDCODE]],CONTROL[VEHIDCODE],0))</f>
        <v>Early 2-axle Compartment Coach</v>
      </c>
      <c r="C912">
        <v>0</v>
      </c>
      <c r="D912" t="s">
        <v>523</v>
      </c>
      <c r="E912" t="s">
        <v>512</v>
      </c>
      <c r="F912" t="s">
        <v>1827</v>
      </c>
    </row>
    <row r="913" spans="1:6" x14ac:dyDescent="0.35">
      <c r="A913" s="2" t="s">
        <v>1830</v>
      </c>
      <c r="B913" s="37" t="str">
        <f>INDEX(CONTROL[ENGLISH],MATCH(PROPERTIES[[#This Row],[VEHIDCODE]],CONTROL[VEHIDCODE],0))</f>
        <v>Early 2-axle Mail Coach</v>
      </c>
      <c r="C913">
        <v>0</v>
      </c>
      <c r="D913" t="s">
        <v>523</v>
      </c>
      <c r="E913" t="s">
        <v>512</v>
      </c>
      <c r="F913" t="s">
        <v>1827</v>
      </c>
    </row>
    <row r="914" spans="1:6" x14ac:dyDescent="0.35">
      <c r="A914" s="2" t="s">
        <v>1833</v>
      </c>
      <c r="B914" s="37" t="str">
        <f>INDEX(CONTROL[ENGLISH],MATCH(PROPERTIES[[#This Row],[VEHIDCODE]],CONTROL[VEHIDCODE],0))</f>
        <v>Early 2-axle End-Platform Coach</v>
      </c>
      <c r="C914">
        <v>0</v>
      </c>
      <c r="D914" t="s">
        <v>523</v>
      </c>
      <c r="E914" t="s">
        <v>512</v>
      </c>
      <c r="F914" t="s">
        <v>1827</v>
      </c>
    </row>
    <row r="915" spans="1:6" x14ac:dyDescent="0.35">
      <c r="A915" s="2" t="s">
        <v>1834</v>
      </c>
      <c r="B915" s="37" t="str">
        <f>INDEX(CONTROL[ENGLISH],MATCH(PROPERTIES[[#This Row],[VEHIDCODE]],CONTROL[VEHIDCODE],0))</f>
        <v>Early 2-axle Suburban Coach</v>
      </c>
      <c r="C915">
        <v>0</v>
      </c>
      <c r="D915" t="s">
        <v>523</v>
      </c>
      <c r="E915" t="s">
        <v>512</v>
      </c>
      <c r="F915" t="s">
        <v>1827</v>
      </c>
    </row>
    <row r="916" spans="1:6" x14ac:dyDescent="0.35">
      <c r="A916" s="2" t="s">
        <v>1837</v>
      </c>
      <c r="B916" s="37" t="str">
        <f>INDEX(CONTROL[ENGLISH],MATCH(PROPERTIES[[#This Row],[VEHIDCODE]],CONTROL[VEHIDCODE],0))</f>
        <v>BREL Mk3 Coach</v>
      </c>
      <c r="C916">
        <v>0</v>
      </c>
      <c r="D916" t="s">
        <v>523</v>
      </c>
      <c r="E916" t="s">
        <v>512</v>
      </c>
      <c r="F916" t="s">
        <v>515</v>
      </c>
    </row>
    <row r="917" spans="1:6" x14ac:dyDescent="0.35">
      <c r="A917" s="2" t="s">
        <v>1838</v>
      </c>
      <c r="B917" s="37" t="str">
        <f>INDEX(CONTROL[ENGLISH],MATCH(PROPERTIES[[#This Row],[VEHIDCODE]],CONTROL[VEHIDCODE],0))</f>
        <v>BREL Mk3 Mail Coach</v>
      </c>
      <c r="C917">
        <v>0</v>
      </c>
      <c r="D917" t="s">
        <v>523</v>
      </c>
      <c r="E917" t="s">
        <v>512</v>
      </c>
      <c r="F917" t="s">
        <v>1827</v>
      </c>
    </row>
    <row r="918" spans="1:6" x14ac:dyDescent="0.35">
      <c r="A918" s="2" t="s">
        <v>1840</v>
      </c>
      <c r="B918" s="37" t="str">
        <f>INDEX(CONTROL[ENGLISH],MATCH(PROPERTIES[[#This Row],[VEHIDCODE]],CONTROL[VEHIDCODE],0))</f>
        <v>Comeng SA2000 SDD Concept</v>
      </c>
      <c r="C918">
        <v>0</v>
      </c>
      <c r="D918" t="s">
        <v>523</v>
      </c>
      <c r="E918" t="s">
        <v>512</v>
      </c>
      <c r="F918" t="s">
        <v>1827</v>
      </c>
    </row>
    <row r="919" spans="1:6" x14ac:dyDescent="0.35">
      <c r="A919" s="2" t="s">
        <v>1842</v>
      </c>
      <c r="B919" s="37" t="str">
        <f>INDEX(CONTROL[ENGLISH],MATCH(PROPERTIES[[#This Row],[VEHIDCODE]],CONTROL[VEHIDCODE],0))</f>
        <v>Melbourne/Goninan 4D Coach Concept</v>
      </c>
      <c r="C919">
        <v>0</v>
      </c>
      <c r="D919" t="s">
        <v>523</v>
      </c>
      <c r="E919" t="s">
        <v>512</v>
      </c>
      <c r="F919" t="s">
        <v>1827</v>
      </c>
    </row>
    <row r="920" spans="1:6" x14ac:dyDescent="0.35">
      <c r="A920" s="2" t="s">
        <v>1843</v>
      </c>
      <c r="B920" s="37" t="str">
        <f>INDEX(CONTROL[ENGLISH],MATCH(PROPERTIES[[#This Row],[VEHIDCODE]],CONTROL[VEHIDCODE],0))</f>
        <v>Tangara V-Set Hybrid Coach Concept</v>
      </c>
      <c r="C920">
        <v>0</v>
      </c>
      <c r="D920" t="s">
        <v>523</v>
      </c>
      <c r="E920" t="s">
        <v>512</v>
      </c>
      <c r="F920" t="s">
        <v>1827</v>
      </c>
    </row>
    <row r="921" spans="1:6" x14ac:dyDescent="0.35">
      <c r="A921" s="2" t="s">
        <v>1845</v>
      </c>
      <c r="B921" s="37" t="str">
        <f>INDEX(CONTROL[ENGLISH],MATCH(PROPERTIES[[#This Row],[VEHIDCODE]],CONTROL[VEHIDCODE],0))</f>
        <v>NZR Silver Star Coach</v>
      </c>
      <c r="C921">
        <v>0</v>
      </c>
      <c r="D921" t="s">
        <v>523</v>
      </c>
      <c r="E921" t="s">
        <v>512</v>
      </c>
      <c r="F921" t="s">
        <v>1827</v>
      </c>
    </row>
    <row r="922" spans="1:6" x14ac:dyDescent="0.35">
      <c r="A922" s="2" t="s">
        <v>1847</v>
      </c>
      <c r="B922" s="37" t="str">
        <f>INDEX(CONTROL[ENGLISH],MATCH(PROPERTIES[[#This Row],[VEHIDCODE]],CONTROL[VEHIDCODE],0))</f>
        <v>NZR Silver Star Mail Coach</v>
      </c>
      <c r="C922">
        <v>0</v>
      </c>
      <c r="D922" t="s">
        <v>523</v>
      </c>
      <c r="E922" t="s">
        <v>512</v>
      </c>
      <c r="F922" t="s">
        <v>1827</v>
      </c>
    </row>
    <row r="923" spans="1:6" x14ac:dyDescent="0.35">
      <c r="A923" s="2" t="s">
        <v>1849</v>
      </c>
      <c r="B923" s="37" t="str">
        <f>INDEX(CONTROL[ENGLISH],MATCH(PROPERTIES[[#This Row],[VEHIDCODE]],CONTROL[VEHIDCODE],0))</f>
        <v>Comeng High Speed Coach</v>
      </c>
      <c r="C923">
        <v>0</v>
      </c>
      <c r="D923" t="s">
        <v>523</v>
      </c>
      <c r="E923" t="s">
        <v>512</v>
      </c>
      <c r="F923" t="s">
        <v>1827</v>
      </c>
    </row>
    <row r="924" spans="1:6" x14ac:dyDescent="0.35">
      <c r="A924" s="2" t="s">
        <v>1850</v>
      </c>
      <c r="B924" s="37" t="str">
        <f>INDEX(CONTROL[ENGLISH],MATCH(PROPERTIES[[#This Row],[VEHIDCODE]],CONTROL[VEHIDCODE],0))</f>
        <v>Comeng High Speed Mail Coach</v>
      </c>
      <c r="C924">
        <v>0</v>
      </c>
      <c r="D924" t="s">
        <v>523</v>
      </c>
      <c r="E924" t="s">
        <v>512</v>
      </c>
      <c r="F924" t="s">
        <v>1827</v>
      </c>
    </row>
    <row r="925" spans="1:6" x14ac:dyDescent="0.35">
      <c r="A925" s="2" t="s">
        <v>1854</v>
      </c>
      <c r="B925" s="37" t="str">
        <f>INDEX(CONTROL[ENGLISH],MATCH(PROPERTIES[[#This Row],[VEHIDCODE]],CONTROL[VEHIDCODE],0))</f>
        <v>Comeng-M&amp;K H-Type Suburban Coach</v>
      </c>
      <c r="C925">
        <v>0</v>
      </c>
      <c r="D925" t="s">
        <v>523</v>
      </c>
      <c r="E925" t="s">
        <v>512</v>
      </c>
      <c r="F925" t="s">
        <v>1827</v>
      </c>
    </row>
    <row r="926" spans="1:6" x14ac:dyDescent="0.35">
      <c r="A926" s="2" t="s">
        <v>1856</v>
      </c>
      <c r="B926" s="37" t="str">
        <f>INDEX(CONTROL[ENGLISH],MATCH(PROPERTIES[[#This Row],[VEHIDCODE]],CONTROL[VEHIDCODE],0))</f>
        <v>NSWGR 'Tulloch' RUB Coach</v>
      </c>
      <c r="C926">
        <v>0</v>
      </c>
      <c r="D926" t="s">
        <v>523</v>
      </c>
      <c r="E926" t="s">
        <v>512</v>
      </c>
      <c r="F926" t="s">
        <v>1827</v>
      </c>
    </row>
    <row r="927" spans="1:6" x14ac:dyDescent="0.35">
      <c r="A927" s="2" t="s">
        <v>1857</v>
      </c>
      <c r="B927" s="37" t="str">
        <f>INDEX(CONTROL[ENGLISH],MATCH(PROPERTIES[[#This Row],[VEHIDCODE]],CONTROL[VEHIDCODE],0))</f>
        <v>NSWGR 'Tulloch' RUB Mail Coach</v>
      </c>
      <c r="C927">
        <v>0</v>
      </c>
      <c r="D927" t="s">
        <v>523</v>
      </c>
      <c r="E927" t="s">
        <v>512</v>
      </c>
      <c r="F927" t="s">
        <v>1827</v>
      </c>
    </row>
    <row r="928" spans="1:6" x14ac:dyDescent="0.35">
      <c r="A928" s="2" t="s">
        <v>1859</v>
      </c>
      <c r="B928" s="37" t="str">
        <f>INDEX(CONTROL[ENGLISH],MATCH(PROPERTIES[[#This Row],[VEHIDCODE]],CONTROL[VEHIDCODE],0))</f>
        <v>WAGR AY Suburban Coaches</v>
      </c>
      <c r="C928">
        <v>0</v>
      </c>
      <c r="D928" t="s">
        <v>523</v>
      </c>
      <c r="E928" t="s">
        <v>512</v>
      </c>
      <c r="F928" t="s">
        <v>1827</v>
      </c>
    </row>
    <row r="929" spans="1:6" x14ac:dyDescent="0.35">
      <c r="A929" t="s">
        <v>1861</v>
      </c>
      <c r="B929" s="37" t="str">
        <f>INDEX(CONTROL[ENGLISH],MATCH(PROPERTIES[[#This Row],[VEHIDCODE]],CONTROL[VEHIDCODE],0))</f>
        <v>NZR 56ft Coach</v>
      </c>
      <c r="C929">
        <v>0</v>
      </c>
      <c r="D929" t="s">
        <v>523</v>
      </c>
      <c r="E929" t="s">
        <v>512</v>
      </c>
      <c r="F929" t="s">
        <v>1827</v>
      </c>
    </row>
    <row r="930" spans="1:6" x14ac:dyDescent="0.35">
      <c r="A930" t="s">
        <v>1862</v>
      </c>
      <c r="B930" s="37" t="str">
        <f>INDEX(CONTROL[ENGLISH],MATCH(PROPERTIES[[#This Row],[VEHIDCODE]],CONTROL[VEHIDCODE],0))</f>
        <v>NZR 56ft Mail Coach</v>
      </c>
      <c r="C930">
        <v>0</v>
      </c>
      <c r="D930" t="s">
        <v>523</v>
      </c>
      <c r="E930" t="s">
        <v>512</v>
      </c>
      <c r="F930" t="s">
        <v>1827</v>
      </c>
    </row>
    <row r="931" spans="1:6" x14ac:dyDescent="0.35">
      <c r="A931" s="2" t="s">
        <v>1870</v>
      </c>
      <c r="B931" s="37" t="str">
        <f>INDEX(CONTROL[ENGLISH],MATCH(PROPERTIES[[#This Row],[VEHIDCODE]],CONTROL[VEHIDCODE],0))</f>
        <v>NZR 50ft Coach</v>
      </c>
      <c r="C931">
        <v>0</v>
      </c>
      <c r="D931" t="s">
        <v>523</v>
      </c>
      <c r="E931" t="s">
        <v>512</v>
      </c>
      <c r="F931" t="s">
        <v>1827</v>
      </c>
    </row>
    <row r="932" spans="1:6" x14ac:dyDescent="0.35">
      <c r="A932" s="2" t="s">
        <v>1871</v>
      </c>
      <c r="B932" s="37" t="str">
        <f>INDEX(CONTROL[ENGLISH],MATCH(PROPERTIES[[#This Row],[VEHIDCODE]],CONTROL[VEHIDCODE],0))</f>
        <v>NZR 50ft Mail Coach</v>
      </c>
      <c r="C932">
        <v>0</v>
      </c>
      <c r="D932" t="s">
        <v>523</v>
      </c>
      <c r="E932" t="s">
        <v>512</v>
      </c>
      <c r="F932" t="s">
        <v>1827</v>
      </c>
    </row>
    <row r="933" spans="1:6" x14ac:dyDescent="0.35">
      <c r="A933" s="2" t="s">
        <v>1873</v>
      </c>
      <c r="B933" s="37" t="str">
        <f>INDEX(CONTROL[ENGLISH],MATCH(PROPERTIES[[#This Row],[VEHIDCODE]],CONTROL[VEHIDCODE],0))</f>
        <v>KA Type Tram Car</v>
      </c>
      <c r="C933">
        <v>0</v>
      </c>
      <c r="D933" t="s">
        <v>523</v>
      </c>
      <c r="E933" t="s">
        <v>512</v>
      </c>
      <c r="F933" t="s">
        <v>1827</v>
      </c>
    </row>
    <row r="934" spans="1:6" x14ac:dyDescent="0.35">
      <c r="A934" s="2" t="s">
        <v>3358</v>
      </c>
      <c r="B934" s="37" t="str">
        <f>INDEX(CONTROL[ENGLISH],MATCH(PROPERTIES[[#This Row],[VEHIDCODE]],CONTROL[VEHIDCODE],0))</f>
        <v>Comeng 86 Class</v>
      </c>
      <c r="C934">
        <v>0</v>
      </c>
      <c r="D934" t="s">
        <v>523</v>
      </c>
      <c r="E934" t="s">
        <v>506</v>
      </c>
      <c r="F934" t="s">
        <v>515</v>
      </c>
    </row>
    <row r="935" spans="1:6" x14ac:dyDescent="0.35">
      <c r="A935" s="2" t="s">
        <v>3232</v>
      </c>
      <c r="B935" s="37" t="str">
        <f>INDEX(CONTROL[ENGLISH],MATCH(PROPERTIES[[#This Row],[VEHIDCODE]],CONTROL[VEHIDCODE],0))</f>
        <v>Ganz-MAVAG EM/ET</v>
      </c>
      <c r="C935">
        <v>0</v>
      </c>
      <c r="D935" t="s">
        <v>523</v>
      </c>
      <c r="E935" t="s">
        <v>510</v>
      </c>
      <c r="F935" t="s">
        <v>515</v>
      </c>
    </row>
    <row r="936" spans="1:6" x14ac:dyDescent="0.35">
      <c r="A936" s="2" t="s">
        <v>3359</v>
      </c>
      <c r="B936" s="37" t="str">
        <f>INDEX(CONTROL[ENGLISH],MATCH(PROPERTIES[[#This Row],[VEHIDCODE]],CONTROL[VEHIDCODE],0))</f>
        <v>EEC DM EMU</v>
      </c>
      <c r="C936">
        <v>0</v>
      </c>
      <c r="D936" t="s">
        <v>523</v>
      </c>
      <c r="E936" t="s">
        <v>510</v>
      </c>
      <c r="F936" t="s">
        <v>515</v>
      </c>
    </row>
    <row r="937" spans="1:6" x14ac:dyDescent="0.35">
      <c r="A937" s="2" t="s">
        <v>3360</v>
      </c>
      <c r="B937" s="37" t="str">
        <f>INDEX(CONTROL[ENGLISH],MATCH(PROPERTIES[[#This Row],[VEHIDCODE]],CONTROL[VEHIDCODE],0))</f>
        <v>Hyundai Rotem/Mitsui 'Matangi'</v>
      </c>
      <c r="C937">
        <v>0</v>
      </c>
      <c r="D937" t="s">
        <v>523</v>
      </c>
      <c r="E937" t="s">
        <v>510</v>
      </c>
      <c r="F937" t="s">
        <v>515</v>
      </c>
    </row>
    <row r="938" spans="1:6" x14ac:dyDescent="0.35">
      <c r="A938" s="2" t="s">
        <v>3361</v>
      </c>
      <c r="B938" s="37" t="str">
        <f>INDEX(CONTROL[ENGLISH],MATCH(PROPERTIES[[#This Row],[VEHIDCODE]],CONTROL[VEHIDCODE],0))</f>
        <v>Ganz Hunslet Budapest G2</v>
      </c>
      <c r="C938">
        <v>0</v>
      </c>
      <c r="D938" t="s">
        <v>523</v>
      </c>
      <c r="E938" t="s">
        <v>510</v>
      </c>
      <c r="F938" t="s">
        <v>517</v>
      </c>
    </row>
    <row r="939" spans="1:6" x14ac:dyDescent="0.35">
      <c r="A939" s="2" t="s">
        <v>3362</v>
      </c>
      <c r="B939" s="37" t="str">
        <f>INDEX(CONTROL[ENGLISH],MATCH(PROPERTIES[[#This Row],[VEHIDCODE]],CONTROL[VEHIDCODE],0))</f>
        <v>BRC&amp;W NSU Class</v>
      </c>
      <c r="C939">
        <v>0</v>
      </c>
      <c r="D939" t="s">
        <v>523</v>
      </c>
      <c r="E939" t="s">
        <v>506</v>
      </c>
      <c r="F939" t="s">
        <v>515</v>
      </c>
    </row>
    <row r="940" spans="1:6" x14ac:dyDescent="0.35">
      <c r="A940" t="s">
        <v>3363</v>
      </c>
      <c r="B940" s="37" t="str">
        <f>INDEX(CONTROL[ENGLISH],MATCH(PROPERTIES[[#This Row],[VEHIDCODE]],CONTROL[VEHIDCODE],0))</f>
        <v>Itochu/Kinki/Kawasaki SP1900</v>
      </c>
      <c r="C940">
        <v>0</v>
      </c>
      <c r="D940" t="s">
        <v>523</v>
      </c>
      <c r="E940" t="s">
        <v>510</v>
      </c>
      <c r="F940" t="s">
        <v>519</v>
      </c>
    </row>
    <row r="941" spans="1:6" x14ac:dyDescent="0.35">
      <c r="A941" t="s">
        <v>3364</v>
      </c>
      <c r="B941" s="37" t="str">
        <f>INDEX(CONTROL[ENGLISH],MATCH(PROPERTIES[[#This Row],[VEHIDCODE]],CONTROL[VEHIDCODE],0))</f>
        <v>Alstom/CRRC Datong HXD2</v>
      </c>
      <c r="C941">
        <v>0</v>
      </c>
      <c r="D941" t="s">
        <v>524</v>
      </c>
      <c r="E941" t="s">
        <v>513</v>
      </c>
      <c r="F941" t="s">
        <v>519</v>
      </c>
    </row>
    <row r="942" spans="1:6" x14ac:dyDescent="0.35">
      <c r="A942" s="2" t="s">
        <v>3365</v>
      </c>
      <c r="B942" s="37" t="str">
        <f>INDEX(CONTROL[ENGLISH],MATCH(PROPERTIES[[#This Row],[VEHIDCODE]],CONTROL[VEHIDCODE],0))</f>
        <v>CRRC Qishuyan DF11</v>
      </c>
      <c r="C942">
        <v>0</v>
      </c>
      <c r="D942" t="s">
        <v>523</v>
      </c>
      <c r="E942" t="s">
        <v>506</v>
      </c>
      <c r="F942" t="s">
        <v>515</v>
      </c>
    </row>
    <row r="943" spans="1:6" x14ac:dyDescent="0.35">
      <c r="A943" s="2" t="s">
        <v>3366</v>
      </c>
      <c r="B943" s="37" t="str">
        <f>INDEX(CONTROL[ENGLISH],MATCH(PROPERTIES[[#This Row],[VEHIDCODE]],CONTROL[VEHIDCODE],0))</f>
        <v>Zhuzhou SS8</v>
      </c>
      <c r="C943">
        <v>0</v>
      </c>
      <c r="D943" t="s">
        <v>523</v>
      </c>
      <c r="E943" t="s">
        <v>506</v>
      </c>
      <c r="F943" t="s">
        <v>515</v>
      </c>
    </row>
    <row r="944" spans="1:6" x14ac:dyDescent="0.35">
      <c r="A944" s="2" t="s">
        <v>3367</v>
      </c>
      <c r="B944" s="37" t="str">
        <f>INDEX(CONTROL[ENGLISH],MATCH(PROPERTIES[[#This Row],[VEHIDCODE]],CONTROL[VEHIDCODE],0))</f>
        <v>Alstom/CRRC Datong HXD2B</v>
      </c>
      <c r="C944">
        <v>0</v>
      </c>
      <c r="D944" t="s">
        <v>523</v>
      </c>
      <c r="E944" t="s">
        <v>506</v>
      </c>
      <c r="F944" t="s">
        <v>515</v>
      </c>
    </row>
    <row r="945" spans="1:6" x14ac:dyDescent="0.35">
      <c r="A945" s="2" t="s">
        <v>3368</v>
      </c>
      <c r="B945" s="37" t="str">
        <f>INDEX(CONTROL[ENGLISH],MATCH(PROPERTIES[[#This Row],[VEHIDCODE]],CONTROL[VEHIDCODE],0))</f>
        <v>CRRC Dalian HXD3D</v>
      </c>
      <c r="C945">
        <v>0</v>
      </c>
      <c r="D945" t="s">
        <v>523</v>
      </c>
      <c r="E945" t="s">
        <v>506</v>
      </c>
      <c r="F945" t="s">
        <v>515</v>
      </c>
    </row>
    <row r="946" spans="1:6" x14ac:dyDescent="0.35">
      <c r="A946" s="2" t="s">
        <v>3369</v>
      </c>
      <c r="B946" s="37" t="str">
        <f>INDEX(CONTROL[ENGLISH],MATCH(PROPERTIES[[#This Row],[VEHIDCODE]],CONTROL[VEHIDCODE],0))</f>
        <v>CRRC Dalian DF4</v>
      </c>
      <c r="C946">
        <v>0</v>
      </c>
      <c r="D946" t="s">
        <v>523</v>
      </c>
      <c r="E946" t="s">
        <v>506</v>
      </c>
      <c r="F946" t="s">
        <v>515</v>
      </c>
    </row>
    <row r="947" spans="1:6" x14ac:dyDescent="0.35">
      <c r="A947" s="2" t="s">
        <v>3370</v>
      </c>
      <c r="B947" s="37" t="str">
        <f>INDEX(CONTROL[ENGLISH],MATCH(PROPERTIES[[#This Row],[VEHIDCODE]],CONTROL[VEHIDCODE],0))</f>
        <v>Tangshan/Dalian/Sifang DF5</v>
      </c>
      <c r="C947">
        <v>0</v>
      </c>
      <c r="D947" t="s">
        <v>523</v>
      </c>
      <c r="E947" t="s">
        <v>513</v>
      </c>
      <c r="F947" t="s">
        <v>520</v>
      </c>
    </row>
    <row r="948" spans="1:6" x14ac:dyDescent="0.35">
      <c r="A948" s="2" t="s">
        <v>3371</v>
      </c>
      <c r="B948" s="37" t="str">
        <f>INDEX(CONTROL[ENGLISH],MATCH(PROPERTIES[[#This Row],[VEHIDCODE]],CONTROL[VEHIDCODE],0))</f>
        <v>Dalian 2-8-2 JS Class</v>
      </c>
      <c r="C948">
        <v>0</v>
      </c>
      <c r="D948" t="s">
        <v>523</v>
      </c>
      <c r="E948" t="s">
        <v>513</v>
      </c>
      <c r="F948" t="s">
        <v>515</v>
      </c>
    </row>
    <row r="949" spans="1:6" x14ac:dyDescent="0.35">
      <c r="A949" s="2" t="s">
        <v>3372</v>
      </c>
      <c r="B949" s="37" t="str">
        <f>INDEX(CONTROL[ENGLISH],MATCH(PROPERTIES[[#This Row],[VEHIDCODE]],CONTROL[VEHIDCODE],0))</f>
        <v>CSR Sifang 4-6-2 RM</v>
      </c>
      <c r="C949">
        <v>0</v>
      </c>
      <c r="D949" t="s">
        <v>523</v>
      </c>
      <c r="E949" t="s">
        <v>513</v>
      </c>
      <c r="F949" t="s">
        <v>515</v>
      </c>
    </row>
    <row r="950" spans="1:6" x14ac:dyDescent="0.35">
      <c r="A950" s="2" t="s">
        <v>3373</v>
      </c>
      <c r="B950" s="37" t="str">
        <f>INDEX(CONTROL[ENGLISH],MATCH(PROPERTIES[[#This Row],[VEHIDCODE]],CONTROL[VEHIDCODE],0))</f>
        <v>MAV Ikarus 260</v>
      </c>
      <c r="C950">
        <v>0</v>
      </c>
      <c r="D950" t="s">
        <v>523</v>
      </c>
      <c r="E950" t="s">
        <v>506</v>
      </c>
      <c r="F950" t="s">
        <v>515</v>
      </c>
    </row>
    <row r="951" spans="1:6" x14ac:dyDescent="0.35">
      <c r="A951" s="2" t="s">
        <v>3374</v>
      </c>
      <c r="B951" s="37" t="str">
        <f>INDEX(CONTROL[ENGLISH],MATCH(PROPERTIES[[#This Row],[VEHIDCODE]],CONTROL[VEHIDCODE],0))</f>
        <v>GE ES43ACi</v>
      </c>
      <c r="C951">
        <v>0</v>
      </c>
      <c r="D951" t="s">
        <v>523</v>
      </c>
      <c r="E951" t="s">
        <v>506</v>
      </c>
      <c r="F951" t="s">
        <v>515</v>
      </c>
    </row>
    <row r="952" spans="1:6" x14ac:dyDescent="0.35">
      <c r="A952" s="2" t="s">
        <v>3375</v>
      </c>
      <c r="B952" s="37" t="str">
        <f>INDEX(CONTROL[ENGLISH],MATCH(PROPERTIES[[#This Row],[VEHIDCODE]],CONTROL[VEHIDCODE],0))</f>
        <v>EMD GP40</v>
      </c>
      <c r="C952">
        <v>0</v>
      </c>
      <c r="D952" t="s">
        <v>523</v>
      </c>
      <c r="E952" t="s">
        <v>506</v>
      </c>
      <c r="F952" t="s">
        <v>515</v>
      </c>
    </row>
    <row r="953" spans="1:6" x14ac:dyDescent="0.35">
      <c r="A953" s="2" t="s">
        <v>3376</v>
      </c>
      <c r="B953" s="37" t="str">
        <f>INDEX(CONTROL[ENGLISH],MATCH(PROPERTIES[[#This Row],[VEHIDCODE]],CONTROL[VEHIDCODE],0))</f>
        <v>EMD SD70</v>
      </c>
      <c r="C953">
        <v>0</v>
      </c>
      <c r="D953" t="s">
        <v>523</v>
      </c>
      <c r="E953" t="s">
        <v>506</v>
      </c>
      <c r="F953" t="s">
        <v>515</v>
      </c>
    </row>
    <row r="954" spans="1:6" x14ac:dyDescent="0.35">
      <c r="A954" s="2" t="s">
        <v>3377</v>
      </c>
      <c r="B954" s="37" t="str">
        <f>INDEX(CONTROL[ENGLISH],MATCH(PROPERTIES[[#This Row],[VEHIDCODE]],CONTROL[VEHIDCODE],0))</f>
        <v>GE C30-7 'Dash 7'</v>
      </c>
      <c r="C954">
        <v>0</v>
      </c>
      <c r="D954" t="s">
        <v>523</v>
      </c>
      <c r="E954" t="s">
        <v>506</v>
      </c>
      <c r="F954" t="s">
        <v>515</v>
      </c>
    </row>
    <row r="955" spans="1:6" x14ac:dyDescent="0.35">
      <c r="A955" s="2" t="s">
        <v>3378</v>
      </c>
      <c r="B955" s="37" t="str">
        <f>INDEX(CONTROL[ENGLISH],MATCH(PROPERTIES[[#This Row],[VEHIDCODE]],CONTROL[VEHIDCODE],0))</f>
        <v>GE C40-8 'Dash-8'</v>
      </c>
      <c r="C955">
        <v>0</v>
      </c>
      <c r="D955" t="s">
        <v>523</v>
      </c>
      <c r="E955" t="s">
        <v>506</v>
      </c>
      <c r="F955" t="s">
        <v>515</v>
      </c>
    </row>
    <row r="956" spans="1:6" x14ac:dyDescent="0.35">
      <c r="A956" t="s">
        <v>3379</v>
      </c>
      <c r="B956" s="37" t="str">
        <f>INDEX(CONTROL[ENGLISH],MATCH(PROPERTIES[[#This Row],[VEHIDCODE]],CONTROL[VEHIDCODE],0))</f>
        <v>GE C44-9W 'Dash 9'</v>
      </c>
      <c r="C956">
        <v>0</v>
      </c>
      <c r="D956" t="s">
        <v>523</v>
      </c>
      <c r="E956" t="s">
        <v>506</v>
      </c>
      <c r="F956" t="s">
        <v>515</v>
      </c>
    </row>
    <row r="957" spans="1:6" x14ac:dyDescent="0.35">
      <c r="A957" s="2" t="s">
        <v>3469</v>
      </c>
      <c r="B957" s="37" t="str">
        <f>INDEX(CONTROL[ENGLISH],MATCH(PROPERTIES[[#This Row],[VEHIDCODE]],CONTROL[VEHIDCODE],0))</f>
        <v>EMD GP40</v>
      </c>
      <c r="C957">
        <v>0</v>
      </c>
      <c r="D957" t="s">
        <v>523</v>
      </c>
      <c r="E957" t="s">
        <v>506</v>
      </c>
      <c r="F957" t="s">
        <v>515</v>
      </c>
    </row>
    <row r="958" spans="1:6" x14ac:dyDescent="0.35">
      <c r="A958" s="2" t="s">
        <v>3380</v>
      </c>
      <c r="B958" s="37" t="str">
        <f>INDEX(CONTROL[ENGLISH],MATCH(PROPERTIES[[#This Row],[VEHIDCODE]],CONTROL[VEHIDCODE],0))</f>
        <v>Kitson 2-2-2 3166-3171</v>
      </c>
      <c r="C958">
        <v>0</v>
      </c>
      <c r="D958" t="s">
        <v>523</v>
      </c>
      <c r="E958" t="s">
        <v>513</v>
      </c>
      <c r="F958" t="s">
        <v>515</v>
      </c>
    </row>
    <row r="959" spans="1:6" x14ac:dyDescent="0.35">
      <c r="A959" s="2" t="s">
        <v>3381</v>
      </c>
      <c r="B959" s="37" t="str">
        <f>INDEX(CONTROL[ENGLISH],MATCH(PROPERTIES[[#This Row],[VEHIDCODE]],CONTROL[VEHIDCODE],0))</f>
        <v>Burnham 2-6-0 15857-15871</v>
      </c>
      <c r="C959">
        <v>0</v>
      </c>
      <c r="D959" t="s">
        <v>523</v>
      </c>
      <c r="E959" t="s">
        <v>513</v>
      </c>
      <c r="F959" t="s">
        <v>515</v>
      </c>
    </row>
    <row r="960" spans="1:6" x14ac:dyDescent="0.35">
      <c r="A960" s="2" t="s">
        <v>3382</v>
      </c>
      <c r="B960" s="37" t="str">
        <f>INDEX(CONTROL[ENGLISH],MATCH(PROPERTIES[[#This Row],[VEHIDCODE]],CONTROL[VEHIDCODE],0))</f>
        <v>SA Franco-Belge 0-6-0 'Class 4'</v>
      </c>
      <c r="C960">
        <v>0</v>
      </c>
      <c r="D960" t="s">
        <v>523</v>
      </c>
      <c r="E960" t="s">
        <v>513</v>
      </c>
      <c r="F960" t="s">
        <v>517</v>
      </c>
    </row>
    <row r="961" spans="1:6" x14ac:dyDescent="0.35">
      <c r="A961" s="2" t="s">
        <v>3383</v>
      </c>
      <c r="B961" s="37" t="str">
        <f>INDEX(CONTROL[ENGLISH],MATCH(PROPERTIES[[#This Row],[VEHIDCODE]],CONTROL[VEHIDCODE],0))</f>
        <v>ACME Corp. Pegasus</v>
      </c>
      <c r="C961">
        <v>0</v>
      </c>
      <c r="D961" t="s">
        <v>523</v>
      </c>
      <c r="E961" t="s">
        <v>506</v>
      </c>
      <c r="F961" t="s">
        <v>515</v>
      </c>
    </row>
    <row r="962" spans="1:6" x14ac:dyDescent="0.35">
      <c r="A962" s="2" t="s">
        <v>3384</v>
      </c>
      <c r="B962" s="37" t="str">
        <f>INDEX(CONTROL[ENGLISH],MATCH(PROPERTIES[[#This Row],[VEHIDCODE]],CONTROL[VEHIDCODE],0))</f>
        <v>ACME Corp. Chimaera</v>
      </c>
      <c r="C962">
        <v>0</v>
      </c>
      <c r="D962" t="s">
        <v>523</v>
      </c>
      <c r="E962" t="s">
        <v>510</v>
      </c>
      <c r="F962" t="s">
        <v>515</v>
      </c>
    </row>
    <row r="963" spans="1:6" x14ac:dyDescent="0.35">
      <c r="A963" s="2" t="s">
        <v>1907</v>
      </c>
      <c r="B963" s="37" t="str">
        <f>INDEX(CONTROL[ENGLISH],MATCH(PROPERTIES[[#This Row],[VEHIDCODE]],CONTROL[VEHIDCODE],0))</f>
        <v>ACME Corp. Chimaera Passenger Coach</v>
      </c>
      <c r="C963">
        <v>0</v>
      </c>
      <c r="D963" t="s">
        <v>523</v>
      </c>
      <c r="E963" t="s">
        <v>512</v>
      </c>
      <c r="F963" t="s">
        <v>1827</v>
      </c>
    </row>
    <row r="964" spans="1:6" x14ac:dyDescent="0.35">
      <c r="A964" s="2" t="s">
        <v>1908</v>
      </c>
      <c r="B964" s="37" t="str">
        <f>INDEX(CONTROL[ENGLISH],MATCH(PROPERTIES[[#This Row],[VEHIDCODE]],CONTROL[VEHIDCODE],0))</f>
        <v>ACME Corp. Chimaera Mail Coach</v>
      </c>
      <c r="C964">
        <v>0</v>
      </c>
      <c r="D964" t="s">
        <v>523</v>
      </c>
      <c r="E964" t="s">
        <v>512</v>
      </c>
      <c r="F964" t="s">
        <v>1827</v>
      </c>
    </row>
    <row r="965" spans="1:6" x14ac:dyDescent="0.35">
      <c r="A965" s="2" t="s">
        <v>3385</v>
      </c>
      <c r="B965" s="37" t="str">
        <f>INDEX(CONTROL[ENGLISH],MATCH(PROPERTIES[[#This Row],[VEHIDCODE]],CONTROL[VEHIDCODE],0))</f>
        <v>Sharp/BP 0-6-0 BDZ 142-150</v>
      </c>
      <c r="C965">
        <v>0</v>
      </c>
      <c r="D965" t="s">
        <v>523</v>
      </c>
      <c r="E965" t="s">
        <v>513</v>
      </c>
      <c r="F965" t="s">
        <v>515</v>
      </c>
    </row>
    <row r="966" spans="1:6" x14ac:dyDescent="0.35">
      <c r="A966" s="2" t="s">
        <v>3386</v>
      </c>
      <c r="B966" s="37" t="str">
        <f>INDEX(CONTROL[ENGLISH],MATCH(PROPERTIES[[#This Row],[VEHIDCODE]],CONTROL[VEHIDCODE],0))</f>
        <v>MAVAG 4-4-2 Class 203</v>
      </c>
      <c r="C966">
        <v>0</v>
      </c>
      <c r="D966" t="s">
        <v>523</v>
      </c>
      <c r="E966" t="s">
        <v>513</v>
      </c>
      <c r="F966" t="s">
        <v>515</v>
      </c>
    </row>
    <row r="967" spans="1:6" x14ac:dyDescent="0.35">
      <c r="A967" s="2" t="s">
        <v>3387</v>
      </c>
      <c r="B967" s="37" t="str">
        <f>INDEX(CONTROL[ENGLISH],MATCH(PROPERTIES[[#This Row],[VEHIDCODE]],CONTROL[VEHIDCODE],0))</f>
        <v>MAVAG 2-6-6-0 Class 601</v>
      </c>
      <c r="C967">
        <v>0</v>
      </c>
      <c r="D967" t="s">
        <v>523</v>
      </c>
      <c r="E967" t="s">
        <v>513</v>
      </c>
      <c r="F967" t="s">
        <v>515</v>
      </c>
    </row>
    <row r="968" spans="1:6" x14ac:dyDescent="0.35">
      <c r="A968" s="2" t="s">
        <v>3388</v>
      </c>
      <c r="B968" s="37" t="str">
        <f>INDEX(CONTROL[ENGLISH],MATCH(PROPERTIES[[#This Row],[VEHIDCODE]],CONTROL[VEHIDCODE],0))</f>
        <v>Ganz-MAVAG VM7 'V40'</v>
      </c>
      <c r="C968">
        <v>0</v>
      </c>
      <c r="D968" t="s">
        <v>523</v>
      </c>
      <c r="E968" t="s">
        <v>506</v>
      </c>
      <c r="F968" t="s">
        <v>515</v>
      </c>
    </row>
    <row r="969" spans="1:6" x14ac:dyDescent="0.35">
      <c r="A969" s="2" t="s">
        <v>3389</v>
      </c>
      <c r="B969" s="37" t="str">
        <f>INDEX(CONTROL[ENGLISH],MATCH(PROPERTIES[[#This Row],[VEHIDCODE]],CONTROL[VEHIDCODE],0))</f>
        <v>PESA 111D</v>
      </c>
      <c r="C969">
        <v>0</v>
      </c>
      <c r="D969" t="s">
        <v>523</v>
      </c>
      <c r="E969" t="s">
        <v>506</v>
      </c>
      <c r="F969" t="s">
        <v>515</v>
      </c>
    </row>
    <row r="970" spans="1:6" x14ac:dyDescent="0.35">
      <c r="A970" s="2" t="s">
        <v>3390</v>
      </c>
      <c r="B970" s="37" t="str">
        <f>INDEX(CONTROL[ENGLISH],MATCH(PROPERTIES[[#This Row],[VEHIDCODE]],CONTROL[VEHIDCODE],0))</f>
        <v>Stephenson/BP 2-2-2 LVCI Class 1</v>
      </c>
      <c r="C970">
        <v>0</v>
      </c>
      <c r="D970" t="s">
        <v>523</v>
      </c>
      <c r="E970" t="s">
        <v>513</v>
      </c>
      <c r="F970" t="s">
        <v>515</v>
      </c>
    </row>
    <row r="971" spans="1:6" x14ac:dyDescent="0.35">
      <c r="A971" t="s">
        <v>3391</v>
      </c>
      <c r="B971" s="37" t="str">
        <f>INDEX(CONTROL[ENGLISH],MATCH(PROPERTIES[[#This Row],[VEHIDCODE]],CONTROL[VEHIDCODE],0))</f>
        <v>Babcock 4-6-2+2-6-4T '462'</v>
      </c>
      <c r="C971">
        <v>0</v>
      </c>
      <c r="D971" t="s">
        <v>523</v>
      </c>
      <c r="E971" t="s">
        <v>507</v>
      </c>
      <c r="F971" t="s">
        <v>517</v>
      </c>
    </row>
    <row r="972" spans="1:6" x14ac:dyDescent="0.35">
      <c r="A972" s="2" t="s">
        <v>3392</v>
      </c>
      <c r="B972" s="37" t="str">
        <f>INDEX(CONTROL[ENGLISH],MATCH(PROPERTIES[[#This Row],[VEHIDCODE]],CONTROL[VEHIDCODE],0))</f>
        <v>Koechlin 0-6-0 '030'</v>
      </c>
      <c r="C972">
        <v>0</v>
      </c>
      <c r="D972" t="s">
        <v>523</v>
      </c>
      <c r="E972" t="s">
        <v>513</v>
      </c>
      <c r="F972" t="s">
        <v>517</v>
      </c>
    </row>
    <row r="973" spans="1:6" x14ac:dyDescent="0.35">
      <c r="A973" s="2" t="s">
        <v>3393</v>
      </c>
      <c r="B973" s="37" t="str">
        <f>INDEX(CONTROL[ENGLISH],MATCH(PROPERTIES[[#This Row],[VEHIDCODE]],CONTROL[VEHIDCODE],0))</f>
        <v>Hanomag/ALCO 4-8-0 '240'</v>
      </c>
      <c r="C973">
        <v>0</v>
      </c>
      <c r="D973" t="s">
        <v>523</v>
      </c>
      <c r="E973" t="s">
        <v>513</v>
      </c>
      <c r="F973" t="s">
        <v>517</v>
      </c>
    </row>
    <row r="974" spans="1:6" x14ac:dyDescent="0.35">
      <c r="A974" s="2" t="s">
        <v>3394</v>
      </c>
      <c r="B974" s="37" t="str">
        <f>INDEX(CONTROL[ENGLISH],MATCH(PROPERTIES[[#This Row],[VEHIDCODE]],CONTROL[VEHIDCODE],0))</f>
        <v>CRRC Sifang SFB-500</v>
      </c>
      <c r="C974">
        <v>0</v>
      </c>
      <c r="D974" t="s">
        <v>523</v>
      </c>
      <c r="E974" t="s">
        <v>510</v>
      </c>
      <c r="F974" t="s">
        <v>515</v>
      </c>
    </row>
    <row r="975" spans="1:6" x14ac:dyDescent="0.35">
      <c r="A975" s="2" t="s">
        <v>3395</v>
      </c>
      <c r="B975" s="37" t="str">
        <f>INDEX(CONTROL[ENGLISH],MATCH(PROPERTIES[[#This Row],[VEHIDCODE]],CONTROL[VEHIDCODE],0))</f>
        <v>EMC E3</v>
      </c>
      <c r="C975">
        <v>0</v>
      </c>
      <c r="D975" t="s">
        <v>523</v>
      </c>
      <c r="E975" t="s">
        <v>513</v>
      </c>
      <c r="F975" t="s">
        <v>520</v>
      </c>
    </row>
    <row r="976" spans="1:6" x14ac:dyDescent="0.35">
      <c r="A976" s="2" t="s">
        <v>3396</v>
      </c>
      <c r="B976" s="37" t="str">
        <f>INDEX(CONTROL[ENGLISH],MATCH(PROPERTIES[[#This Row],[VEHIDCODE]],CONTROL[VEHIDCODE],0))</f>
        <v>EMD FT</v>
      </c>
      <c r="C976">
        <v>0</v>
      </c>
      <c r="D976" t="s">
        <v>523</v>
      </c>
      <c r="E976" t="s">
        <v>513</v>
      </c>
      <c r="F976" t="s">
        <v>520</v>
      </c>
    </row>
    <row r="977" spans="1:6" x14ac:dyDescent="0.35">
      <c r="A977" s="2" t="s">
        <v>3397</v>
      </c>
      <c r="B977" s="37" t="str">
        <f>INDEX(CONTROL[ENGLISH],MATCH(PROPERTIES[[#This Row],[VEHIDCODE]],CONTROL[VEHIDCODE],0))</f>
        <v>LTZ TE109</v>
      </c>
      <c r="C977">
        <v>0</v>
      </c>
      <c r="D977" t="s">
        <v>523</v>
      </c>
      <c r="E977" t="s">
        <v>506</v>
      </c>
      <c r="F977" t="s">
        <v>515</v>
      </c>
    </row>
    <row r="978" spans="1:6" x14ac:dyDescent="0.35">
      <c r="A978" s="2" t="s">
        <v>3398</v>
      </c>
      <c r="B978" s="37" t="str">
        <f>INDEX(CONTROL[ENGLISH],MATCH(PROPERTIES[[#This Row],[VEHIDCODE]],CONTROL[VEHIDCODE],0))</f>
        <v>Hitachi/Kawasaki Shinkansen Series 100</v>
      </c>
      <c r="C978">
        <v>0</v>
      </c>
      <c r="D978" t="s">
        <v>525</v>
      </c>
      <c r="E978" t="s">
        <v>510</v>
      </c>
      <c r="F978" t="s">
        <v>519</v>
      </c>
    </row>
    <row r="979" spans="1:6" x14ac:dyDescent="0.35">
      <c r="A979" s="2" t="s">
        <v>3399</v>
      </c>
      <c r="B979" s="37" t="str">
        <f>INDEX(CONTROL[ENGLISH],MATCH(PROPERTIES[[#This Row],[VEHIDCODE]],CONTROL[VEHIDCODE],0))</f>
        <v>Krauss-Maffei ML 2200</v>
      </c>
      <c r="C979">
        <v>0</v>
      </c>
      <c r="D979" t="s">
        <v>523</v>
      </c>
      <c r="E979" t="s">
        <v>506</v>
      </c>
      <c r="F979" t="s">
        <v>515</v>
      </c>
    </row>
    <row r="980" spans="1:6" x14ac:dyDescent="0.35">
      <c r="A980" s="2" t="s">
        <v>3400</v>
      </c>
      <c r="B980" s="37" t="str">
        <f>INDEX(CONTROL[ENGLISH],MATCH(PROPERTIES[[#This Row],[VEHIDCODE]],CONTROL[VEHIDCODE],0))</f>
        <v>Ganz 'Hargita' M440</v>
      </c>
      <c r="C980">
        <v>0</v>
      </c>
      <c r="D980" t="s">
        <v>523</v>
      </c>
      <c r="E980" t="s">
        <v>510</v>
      </c>
      <c r="F980" t="s">
        <v>515</v>
      </c>
    </row>
    <row r="981" spans="1:6" x14ac:dyDescent="0.35">
      <c r="A981" s="2" t="s">
        <v>3401</v>
      </c>
      <c r="B981" s="37" t="str">
        <f>INDEX(CONTROL[ENGLISH],MATCH(PROPERTIES[[#This Row],[VEHIDCODE]],CONTROL[VEHIDCODE],0))</f>
        <v>SSW/Krauss E44</v>
      </c>
      <c r="C981">
        <v>0</v>
      </c>
      <c r="D981" t="s">
        <v>523</v>
      </c>
      <c r="E981" t="s">
        <v>506</v>
      </c>
      <c r="F981" t="s">
        <v>515</v>
      </c>
    </row>
    <row r="982" spans="1:6" x14ac:dyDescent="0.35">
      <c r="A982" s="2" t="s">
        <v>3402</v>
      </c>
      <c r="B982" s="37" t="str">
        <f>INDEX(CONTROL[ENGLISH],MATCH(PROPERTIES[[#This Row],[VEHIDCODE]],CONTROL[VEHIDCODE],0))</f>
        <v>PESA 111MS</v>
      </c>
      <c r="C982">
        <v>0</v>
      </c>
      <c r="D982" t="s">
        <v>523</v>
      </c>
      <c r="E982" t="s">
        <v>506</v>
      </c>
      <c r="F982" t="s">
        <v>515</v>
      </c>
    </row>
    <row r="983" spans="1:6" x14ac:dyDescent="0.35">
      <c r="A983" s="2" t="s">
        <v>3403</v>
      </c>
      <c r="B983" s="37" t="str">
        <f>INDEX(CONTROL[ENGLISH],MATCH(PROPERTIES[[#This Row],[VEHIDCODE]],CONTROL[VEHIDCODE],0))</f>
        <v>Kolomna VL19</v>
      </c>
      <c r="C983">
        <v>0</v>
      </c>
      <c r="D983" t="s">
        <v>523</v>
      </c>
      <c r="E983" t="s">
        <v>506</v>
      </c>
      <c r="F983" t="s">
        <v>515</v>
      </c>
    </row>
    <row r="984" spans="1:6" x14ac:dyDescent="0.35">
      <c r="A984" s="2" t="s">
        <v>3404</v>
      </c>
      <c r="B984" s="37" t="str">
        <f>INDEX(CONTROL[ENGLISH],MATCH(PROPERTIES[[#This Row],[VEHIDCODE]],CONTROL[VEHIDCODE],0))</f>
        <v>AEG/Krupp E18</v>
      </c>
      <c r="C984">
        <v>0</v>
      </c>
      <c r="D984" t="s">
        <v>523</v>
      </c>
      <c r="E984" t="s">
        <v>506</v>
      </c>
      <c r="F984" t="s">
        <v>515</v>
      </c>
    </row>
    <row r="985" spans="1:6" x14ac:dyDescent="0.35">
      <c r="A985" s="2" t="s">
        <v>3405</v>
      </c>
      <c r="B985" s="37" t="str">
        <f>INDEX(CONTROL[ENGLISH],MATCH(PROPERTIES[[#This Row],[VEHIDCODE]],CONTROL[VEHIDCODE],0))</f>
        <v>Hitachi-Alstom Zefiro Class 895 'HS2'</v>
      </c>
      <c r="C985">
        <v>0</v>
      </c>
      <c r="D985" t="s">
        <v>523</v>
      </c>
      <c r="E985" t="s">
        <v>510</v>
      </c>
      <c r="F985" t="s">
        <v>519</v>
      </c>
    </row>
    <row r="986" spans="1:6" x14ac:dyDescent="0.35">
      <c r="A986" s="2" t="s">
        <v>3406</v>
      </c>
      <c r="B986" s="37" t="str">
        <f>INDEX(CONTROL[ENGLISH],MATCH(PROPERTIES[[#This Row],[VEHIDCODE]],CONTROL[VEHIDCODE],0))</f>
        <v>EMD JT22CW</v>
      </c>
      <c r="C986">
        <v>0</v>
      </c>
      <c r="D986" t="s">
        <v>523</v>
      </c>
      <c r="E986" t="s">
        <v>506</v>
      </c>
      <c r="F986" t="s">
        <v>515</v>
      </c>
    </row>
    <row r="987" spans="1:6" x14ac:dyDescent="0.35">
      <c r="A987" s="2" t="s">
        <v>3407</v>
      </c>
      <c r="B987" s="37" t="str">
        <f>INDEX(CONTROL[ENGLISH],MATCH(PROPERTIES[[#This Row],[VEHIDCODE]],CONTROL[VEHIDCODE],0))</f>
        <v>RVR DR1A</v>
      </c>
      <c r="C987">
        <v>0</v>
      </c>
      <c r="D987" t="s">
        <v>523</v>
      </c>
      <c r="E987" t="s">
        <v>510</v>
      </c>
      <c r="F987" t="s">
        <v>519</v>
      </c>
    </row>
    <row r="988" spans="1:6" x14ac:dyDescent="0.35">
      <c r="A988" s="2" t="s">
        <v>3408</v>
      </c>
      <c r="B988" s="37" t="str">
        <f>INDEX(CONTROL[ENGLISH],MATCH(PROPERTIES[[#This Row],[VEHIDCODE]],CONTROL[VEHIDCODE],0))</f>
        <v>ACME Corp. HS001</v>
      </c>
      <c r="C988">
        <v>0</v>
      </c>
      <c r="D988" t="s">
        <v>523</v>
      </c>
      <c r="E988" t="s">
        <v>506</v>
      </c>
      <c r="F988" t="s">
        <v>515</v>
      </c>
    </row>
    <row r="989" spans="1:6" x14ac:dyDescent="0.35">
      <c r="A989" s="2" t="s">
        <v>3409</v>
      </c>
      <c r="B989" s="37" t="str">
        <f>INDEX(CONTROL[ENGLISH],MATCH(PROPERTIES[[#This Row],[VEHIDCODE]],CONTROL[VEHIDCODE],0))</f>
        <v>ACME Corp. HS002</v>
      </c>
      <c r="C989">
        <v>0</v>
      </c>
      <c r="D989" t="s">
        <v>523</v>
      </c>
      <c r="E989" t="s">
        <v>513</v>
      </c>
      <c r="F989" t="s">
        <v>519</v>
      </c>
    </row>
    <row r="990" spans="1:6" x14ac:dyDescent="0.35">
      <c r="A990" s="2" t="s">
        <v>3410</v>
      </c>
      <c r="B990" s="37" t="str">
        <f>INDEX(CONTROL[ENGLISH],MATCH(PROPERTIES[[#This Row],[VEHIDCODE]],CONTROL[VEHIDCODE],0))</f>
        <v>ACME Corp. V200D DMU</v>
      </c>
      <c r="C990">
        <v>0</v>
      </c>
      <c r="D990" t="s">
        <v>523</v>
      </c>
      <c r="E990" t="s">
        <v>510</v>
      </c>
      <c r="F990" t="s">
        <v>521</v>
      </c>
    </row>
    <row r="991" spans="1:6" x14ac:dyDescent="0.35">
      <c r="A991" s="2" t="s">
        <v>3411</v>
      </c>
      <c r="B991" s="37" t="str">
        <f>INDEX(CONTROL[ENGLISH],MATCH(PROPERTIES[[#This Row],[VEHIDCODE]],CONTROL[VEHIDCODE],0))</f>
        <v>ACME Corp. V200E EMU</v>
      </c>
      <c r="C991">
        <v>0</v>
      </c>
      <c r="D991" t="s">
        <v>523</v>
      </c>
      <c r="E991" t="s">
        <v>510</v>
      </c>
      <c r="F991" t="s">
        <v>521</v>
      </c>
    </row>
    <row r="992" spans="1:6" x14ac:dyDescent="0.35">
      <c r="A992" s="2" t="s">
        <v>3412</v>
      </c>
      <c r="B992" s="37" t="str">
        <f>INDEX(CONTROL[ENGLISH],MATCH(PROPERTIES[[#This Row],[VEHIDCODE]],CONTROL[VEHIDCODE],0))</f>
        <v>ACME Corp. DD CargoEMU</v>
      </c>
      <c r="C992">
        <v>0</v>
      </c>
      <c r="D992" t="s">
        <v>523</v>
      </c>
      <c r="E992" t="s">
        <v>505</v>
      </c>
      <c r="F992" t="s">
        <v>517</v>
      </c>
    </row>
    <row r="993" spans="1:6" x14ac:dyDescent="0.35">
      <c r="A993" s="2" t="s">
        <v>3413</v>
      </c>
      <c r="B993" s="37" t="str">
        <f>INDEX(CONTROL[ENGLISH],MATCH(PROPERTIES[[#This Row],[VEHIDCODE]],CONTROL[VEHIDCODE],0))</f>
        <v>VEB LKM V180 B'B'</v>
      </c>
      <c r="C993">
        <v>0</v>
      </c>
      <c r="D993" t="s">
        <v>523</v>
      </c>
      <c r="E993" t="s">
        <v>506</v>
      </c>
      <c r="F993" t="s">
        <v>515</v>
      </c>
    </row>
    <row r="994" spans="1:6" x14ac:dyDescent="0.35">
      <c r="A994" s="2" t="s">
        <v>3414</v>
      </c>
      <c r="B994" s="37" t="str">
        <f>INDEX(CONTROL[ENGLISH],MATCH(PROPERTIES[[#This Row],[VEHIDCODE]],CONTROL[VEHIDCODE],0))</f>
        <v>PESA 43WE 'DART'</v>
      </c>
      <c r="C994">
        <v>0</v>
      </c>
      <c r="D994" t="s">
        <v>523</v>
      </c>
      <c r="E994" t="s">
        <v>510</v>
      </c>
      <c r="F994" t="s">
        <v>518</v>
      </c>
    </row>
    <row r="995" spans="1:6" x14ac:dyDescent="0.35">
      <c r="A995" t="s">
        <v>3415</v>
      </c>
      <c r="B995" s="37" t="str">
        <f>INDEX(CONTROL[ENGLISH],MATCH(PROPERTIES[[#This Row],[VEHIDCODE]],CONTROL[VEHIDCODE],0))</f>
        <v>LEW EL2</v>
      </c>
      <c r="C995">
        <v>0</v>
      </c>
      <c r="D995" t="s">
        <v>523</v>
      </c>
      <c r="E995" t="s">
        <v>506</v>
      </c>
      <c r="F995" t="s">
        <v>515</v>
      </c>
    </row>
    <row r="996" spans="1:6" x14ac:dyDescent="0.35">
      <c r="A996" s="2" t="s">
        <v>3416</v>
      </c>
      <c r="B996" s="37" t="str">
        <f>INDEX(CONTROL[ENGLISH],MATCH(PROPERTIES[[#This Row],[VEHIDCODE]],CONTROL[VEHIDCODE],0))</f>
        <v>Pafawag 201E</v>
      </c>
      <c r="C996">
        <v>0</v>
      </c>
      <c r="D996" t="s">
        <v>523</v>
      </c>
      <c r="E996" t="s">
        <v>506</v>
      </c>
      <c r="F996" t="s">
        <v>515</v>
      </c>
    </row>
    <row r="997" spans="1:6" x14ac:dyDescent="0.35">
      <c r="A997" s="2" t="s">
        <v>3417</v>
      </c>
      <c r="B997" s="37" t="str">
        <f>INDEX(CONTROL[ENGLISH],MATCH(PROPERTIES[[#This Row],[VEHIDCODE]],CONTROL[VEHIDCODE],0))</f>
        <v>NOHAB AA16</v>
      </c>
      <c r="C997">
        <v>0</v>
      </c>
      <c r="D997" t="s">
        <v>523</v>
      </c>
      <c r="E997" t="s">
        <v>506</v>
      </c>
      <c r="F997" t="s">
        <v>515</v>
      </c>
    </row>
    <row r="998" spans="1:6" x14ac:dyDescent="0.35">
      <c r="A998" s="2" t="s">
        <v>3418</v>
      </c>
      <c r="B998" s="37" t="str">
        <f>INDEX(CONTROL[ENGLISH],MATCH(PROPERTIES[[#This Row],[VEHIDCODE]],CONTROL[VEHIDCODE],0))</f>
        <v>LEW V100</v>
      </c>
      <c r="C998">
        <v>0</v>
      </c>
      <c r="D998" t="s">
        <v>523</v>
      </c>
      <c r="E998" t="s">
        <v>506</v>
      </c>
      <c r="F998" t="s">
        <v>515</v>
      </c>
    </row>
    <row r="999" spans="1:6" x14ac:dyDescent="0.35">
      <c r="A999" s="2" t="s">
        <v>3419</v>
      </c>
      <c r="B999" s="37" t="str">
        <f>INDEX(CONTROL[ENGLISH],MATCH(PROPERTIES[[#This Row],[VEHIDCODE]],CONTROL[VEHIDCODE],0))</f>
        <v>Fablok 6D</v>
      </c>
      <c r="C999">
        <v>0</v>
      </c>
      <c r="D999" t="s">
        <v>523</v>
      </c>
      <c r="E999" t="s">
        <v>506</v>
      </c>
      <c r="F999" t="s">
        <v>515</v>
      </c>
    </row>
    <row r="1000" spans="1:6" x14ac:dyDescent="0.35">
      <c r="A1000" s="2" t="s">
        <v>3420</v>
      </c>
      <c r="B1000" s="37" t="str">
        <f>INDEX(CONTROL[ENGLISH],MATCH(PROPERTIES[[#This Row],[VEHIDCODE]],CONTROL[VEHIDCODE],0))</f>
        <v>HCP 301D</v>
      </c>
      <c r="C1000">
        <v>0</v>
      </c>
      <c r="D1000" t="s">
        <v>523</v>
      </c>
      <c r="E1000" t="s">
        <v>506</v>
      </c>
      <c r="F1000" t="s">
        <v>515</v>
      </c>
    </row>
    <row r="1001" spans="1:6" x14ac:dyDescent="0.35">
      <c r="A1001" s="2" t="s">
        <v>3421</v>
      </c>
      <c r="B1001" s="37" t="str">
        <f>INDEX(CONTROL[ENGLISH],MATCH(PROPERTIES[[#This Row],[VEHIDCODE]],CONTROL[VEHIDCODE],0))</f>
        <v>Stadler 'Flirt' PowerPack DMU</v>
      </c>
      <c r="C1001">
        <v>0</v>
      </c>
      <c r="D1001" t="s">
        <v>523</v>
      </c>
      <c r="E1001" t="s">
        <v>510</v>
      </c>
      <c r="F1001" t="s">
        <v>518</v>
      </c>
    </row>
    <row r="1002" spans="1:6" x14ac:dyDescent="0.35">
      <c r="A1002" s="2" t="s">
        <v>3422</v>
      </c>
      <c r="B1002" s="37" t="str">
        <f>INDEX(CONTROL[ENGLISH],MATCH(PROPERTIES[[#This Row],[VEHIDCODE]],CONTROL[VEHIDCODE],0))</f>
        <v>JNR Container Bullet Train Concept</v>
      </c>
      <c r="C1002">
        <v>0</v>
      </c>
      <c r="D1002" t="s">
        <v>524</v>
      </c>
      <c r="E1002" t="s">
        <v>505</v>
      </c>
      <c r="F1002" t="s">
        <v>516</v>
      </c>
    </row>
    <row r="1003" spans="1:6" x14ac:dyDescent="0.35">
      <c r="A1003" s="2" t="s">
        <v>3423</v>
      </c>
      <c r="B1003" s="37" t="str">
        <f>INDEX(CONTROL[ENGLISH],MATCH(PROPERTIES[[#This Row],[VEHIDCODE]],CONTROL[VEHIDCODE],0))</f>
        <v>Hitachi WAG-6B/C</v>
      </c>
      <c r="C1003">
        <v>0</v>
      </c>
      <c r="D1003" t="s">
        <v>523</v>
      </c>
      <c r="E1003" t="s">
        <v>506</v>
      </c>
      <c r="F1003" t="s">
        <v>515</v>
      </c>
    </row>
    <row r="1004" spans="1:6" x14ac:dyDescent="0.35">
      <c r="A1004" s="2" t="s">
        <v>3424</v>
      </c>
      <c r="B1004" s="37" t="str">
        <f>INDEX(CONTROL[ENGLISH],MATCH(PROPERTIES[[#This Row],[VEHIDCODE]],CONTROL[VEHIDCODE],0))</f>
        <v>Toshiba 10E</v>
      </c>
      <c r="C1004">
        <v>0</v>
      </c>
      <c r="D1004" t="s">
        <v>523</v>
      </c>
      <c r="E1004" t="s">
        <v>506</v>
      </c>
      <c r="F1004" t="s">
        <v>515</v>
      </c>
    </row>
    <row r="1005" spans="1:6" x14ac:dyDescent="0.35">
      <c r="A1005" s="2" t="s">
        <v>3425</v>
      </c>
      <c r="B1005" s="37" t="str">
        <f>INDEX(CONTROL[ENGLISH],MATCH(PROPERTIES[[#This Row],[VEHIDCODE]],CONTROL[VEHIDCODE],0))</f>
        <v>GEC 9E</v>
      </c>
      <c r="C1005">
        <v>0</v>
      </c>
      <c r="D1005" t="s">
        <v>523</v>
      </c>
      <c r="E1005" t="s">
        <v>506</v>
      </c>
      <c r="F1005" t="s">
        <v>515</v>
      </c>
    </row>
    <row r="1006" spans="1:6" x14ac:dyDescent="0.35">
      <c r="A1006" s="2" t="s">
        <v>3426</v>
      </c>
      <c r="B1006" s="37" t="str">
        <f>INDEX(CONTROL[ENGLISH],MATCH(PROPERTIES[[#This Row],[VEHIDCODE]],CONTROL[VEHIDCODE],0))</f>
        <v>Hitachi E1100</v>
      </c>
      <c r="C1006">
        <v>0</v>
      </c>
      <c r="D1006" t="s">
        <v>523</v>
      </c>
      <c r="E1006" t="s">
        <v>506</v>
      </c>
      <c r="F1006" t="s">
        <v>515</v>
      </c>
    </row>
    <row r="1007" spans="1:6" x14ac:dyDescent="0.35">
      <c r="A1007" s="2" t="s">
        <v>3427</v>
      </c>
      <c r="B1007" s="37" t="str">
        <f>INDEX(CONTROL[ENGLISH],MATCH(PROPERTIES[[#This Row],[VEHIDCODE]],CONTROL[VEHIDCODE],0))</f>
        <v>RDSO/CLW WAM-4</v>
      </c>
      <c r="C1007">
        <v>0</v>
      </c>
      <c r="D1007" t="s">
        <v>523</v>
      </c>
      <c r="E1007" t="s">
        <v>506</v>
      </c>
      <c r="F1007" t="s">
        <v>515</v>
      </c>
    </row>
    <row r="1008" spans="1:6" x14ac:dyDescent="0.35">
      <c r="A1008" s="2" t="s">
        <v>3428</v>
      </c>
      <c r="B1008" s="37" t="str">
        <f>INDEX(CONTROL[ENGLISH],MATCH(PROPERTIES[[#This Row],[VEHIDCODE]],CONTROL[VEHIDCODE],0))</f>
        <v>Groupement 50 Hz WAM 1</v>
      </c>
      <c r="C1008">
        <v>0</v>
      </c>
      <c r="D1008" t="s">
        <v>523</v>
      </c>
      <c r="E1008" t="s">
        <v>506</v>
      </c>
      <c r="F1008" t="s">
        <v>515</v>
      </c>
    </row>
    <row r="1009" spans="1:6" x14ac:dyDescent="0.35">
      <c r="A1009" s="2" t="s">
        <v>3429</v>
      </c>
      <c r="B1009" s="37" t="str">
        <f>INDEX(CONTROL[ENGLISH],MATCH(PROPERTIES[[#This Row],[VEHIDCODE]],CONTROL[VEHIDCODE],0))</f>
        <v>Baldwin-Lima-Hamilton RF-615-E</v>
      </c>
      <c r="C1009">
        <v>0</v>
      </c>
      <c r="D1009" t="s">
        <v>523</v>
      </c>
      <c r="E1009" t="s">
        <v>506</v>
      </c>
      <c r="F1009" t="s">
        <v>515</v>
      </c>
    </row>
    <row r="1010" spans="1:6" x14ac:dyDescent="0.35">
      <c r="A1010" s="2" t="s">
        <v>3430</v>
      </c>
      <c r="B1010" s="37" t="str">
        <f>INDEX(CONTROL[ENGLISH],MATCH(PROPERTIES[[#This Row],[VEHIDCODE]],CONTROL[VEHIDCODE],0))</f>
        <v>EE/Dick, Kerr &amp; Co/Vulcan Foundry DE2</v>
      </c>
      <c r="C1010">
        <v>0</v>
      </c>
      <c r="D1010" t="s">
        <v>523</v>
      </c>
      <c r="E1010" t="s">
        <v>506</v>
      </c>
      <c r="F1010" t="s">
        <v>515</v>
      </c>
    </row>
    <row r="1011" spans="1:6" x14ac:dyDescent="0.35">
      <c r="A1011" t="s">
        <v>3479</v>
      </c>
      <c r="B1011" s="37" t="str">
        <f>INDEX(CONTROL[ENGLISH],MATCH(PROPERTIES[[#This Row],[VEHIDCODE]],CONTROL[VEHIDCODE],0))</f>
        <v>Ingeteam TD2000 series</v>
      </c>
      <c r="C1011">
        <v>0</v>
      </c>
      <c r="D1011" t="s">
        <v>523</v>
      </c>
      <c r="E1011" t="s">
        <v>506</v>
      </c>
      <c r="F1011" t="s">
        <v>515</v>
      </c>
    </row>
    <row r="1012" spans="1:6" x14ac:dyDescent="0.35">
      <c r="A1012" s="2" t="s">
        <v>3471</v>
      </c>
      <c r="B1012" s="37" t="str">
        <f>INDEX(CONTROL[ENGLISH],MATCH(PROPERTIES[[#This Row],[VEHIDCODE]],CONTROL[VEHIDCODE],0))</f>
        <v>Tulloch 0-6-0DM 'W' Class</v>
      </c>
      <c r="C1012">
        <v>0</v>
      </c>
      <c r="D1012" t="s">
        <v>523</v>
      </c>
      <c r="E1012" t="s">
        <v>506</v>
      </c>
      <c r="F1012" t="s">
        <v>515</v>
      </c>
    </row>
    <row r="1013" spans="1:6" x14ac:dyDescent="0.35">
      <c r="A1013" s="2" t="s">
        <v>3483</v>
      </c>
      <c r="B1013" s="37" t="str">
        <f>INDEX(CONTROL[ENGLISH],MATCH(PROPERTIES[[#This Row],[VEHIDCODE]],CONTROL[VEHIDCODE],0))</f>
        <v>GE 289A Boxcab</v>
      </c>
      <c r="C1013">
        <v>0</v>
      </c>
      <c r="D1013" t="s">
        <v>523</v>
      </c>
      <c r="E1013" t="s">
        <v>506</v>
      </c>
      <c r="F1013" t="s">
        <v>515</v>
      </c>
    </row>
    <row r="1014" spans="1:6" x14ac:dyDescent="0.35">
      <c r="A1014" s="2" t="s">
        <v>3486</v>
      </c>
      <c r="B1014" s="37" t="str">
        <f>INDEX(CONTROL[ENGLISH],MATCH(PROPERTIES[[#This Row],[VEHIDCODE]],CONTROL[VEHIDCODE],0))</f>
        <v>Alsthom EC 386</v>
      </c>
      <c r="C1014">
        <v>0</v>
      </c>
      <c r="D1014" t="s">
        <v>523</v>
      </c>
      <c r="E1014" t="s">
        <v>506</v>
      </c>
      <c r="F1014" t="s">
        <v>515</v>
      </c>
    </row>
    <row r="1015" spans="1:6" x14ac:dyDescent="0.35">
      <c r="A1015" t="s">
        <v>3491</v>
      </c>
      <c r="B1015" s="37" t="str">
        <f>INDEX(CONTROL[ENGLISH],MATCH(PROPERTIES[[#This Row],[VEHIDCODE]],CONTROL[VEHIDCODE],0))</f>
        <v>Chesta Casagrande E650</v>
      </c>
      <c r="C1015">
        <v>0</v>
      </c>
      <c r="D1015" t="s">
        <v>523</v>
      </c>
      <c r="E1015" t="s">
        <v>506</v>
      </c>
      <c r="F1015" t="s">
        <v>515</v>
      </c>
    </row>
    <row r="1016" spans="1:6" x14ac:dyDescent="0.35">
      <c r="A1016" s="2" t="s">
        <v>3484</v>
      </c>
      <c r="B1016" s="37" t="str">
        <f>INDEX(CONTROL[ENGLISH],MATCH(PROPERTIES[[#This Row],[VEHIDCODE]],CONTROL[VEHIDCODE],0))</f>
        <v>Breda Marelli E32</v>
      </c>
      <c r="C1016">
        <v>0</v>
      </c>
      <c r="D1016" t="s">
        <v>523</v>
      </c>
      <c r="E1016" t="s">
        <v>506</v>
      </c>
      <c r="F1016" t="s">
        <v>515</v>
      </c>
    </row>
    <row r="1017" spans="1:6" x14ac:dyDescent="0.35">
      <c r="A1017" s="2" t="s">
        <v>3494</v>
      </c>
      <c r="B1017" s="37" t="str">
        <f>INDEX(CONTROL[ENGLISH],MATCH(PROPERTIES[[#This Row],[VEHIDCODE]],CONTROL[VEHIDCODE],0))</f>
        <v>GE ES58ACi</v>
      </c>
      <c r="C1017">
        <v>0</v>
      </c>
      <c r="D1017" t="s">
        <v>523</v>
      </c>
      <c r="E1017" t="s">
        <v>506</v>
      </c>
      <c r="F1017" t="s">
        <v>515</v>
      </c>
    </row>
    <row r="1018" spans="1:6" x14ac:dyDescent="0.35">
      <c r="A1018" s="2" t="s">
        <v>3694</v>
      </c>
      <c r="B1018" s="37" t="str">
        <f>INDEX(CONTROL[ENGLISH],MATCH(PROPERTIES[[#This Row],[VEHIDCODE]],CONTROL[VEHIDCODE],0))</f>
        <v>Ganz-MAVAG Ikarus 725.00</v>
      </c>
      <c r="C1018">
        <v>0</v>
      </c>
      <c r="D1018" t="s">
        <v>523</v>
      </c>
      <c r="E1018" t="s">
        <v>513</v>
      </c>
      <c r="F1018" t="s">
        <v>518</v>
      </c>
    </row>
    <row r="1019" spans="1:6" x14ac:dyDescent="0.35">
      <c r="A1019" s="2" t="s">
        <v>3550</v>
      </c>
      <c r="B1019" s="37" t="str">
        <f>INDEX(CONTROL[ENGLISH],MATCH(PROPERTIES[[#This Row],[VEHIDCODE]],CONTROL[VEHIDCODE],0))</f>
        <v>Alstom Metropolis</v>
      </c>
      <c r="C1019">
        <v>0</v>
      </c>
      <c r="D1019" t="s">
        <v>523</v>
      </c>
      <c r="E1019" t="s">
        <v>510</v>
      </c>
      <c r="F1019" t="s">
        <v>517</v>
      </c>
    </row>
    <row r="1020" spans="1:6" x14ac:dyDescent="0.35">
      <c r="A1020" s="2" t="s">
        <v>3553</v>
      </c>
      <c r="B1020" s="37" t="str">
        <f>INDEX(CONTROL[ENGLISH],MATCH(PROPERTIES[[#This Row],[VEHIDCODE]],CONTROL[VEHIDCODE],0))</f>
        <v>Sharp Brothers 2-2-2 'Patriot'</v>
      </c>
      <c r="C1020">
        <v>0</v>
      </c>
      <c r="D1020" t="s">
        <v>523</v>
      </c>
      <c r="E1020" t="s">
        <v>513</v>
      </c>
      <c r="F1020" t="s">
        <v>517</v>
      </c>
    </row>
    <row r="1021" spans="1:6" x14ac:dyDescent="0.35">
      <c r="A1021" s="2" t="s">
        <v>3562</v>
      </c>
      <c r="B1021" s="37" t="str">
        <f>INDEX(CONTROL[ENGLISH],MATCH(PROPERTIES[[#This Row],[VEHIDCODE]],CONTROL[VEHIDCODE],0))</f>
        <v>Heavyweight Regional Coach</v>
      </c>
      <c r="C1021">
        <v>0</v>
      </c>
      <c r="D1021" t="s">
        <v>523</v>
      </c>
      <c r="E1021" t="s">
        <v>512</v>
      </c>
      <c r="F1021" t="s">
        <v>515</v>
      </c>
    </row>
    <row r="1022" spans="1:6" x14ac:dyDescent="0.35">
      <c r="A1022" s="2" t="s">
        <v>3567</v>
      </c>
      <c r="B1022" s="37" t="str">
        <f>INDEX(CONTROL[ENGLISH],MATCH(PROPERTIES[[#This Row],[VEHIDCODE]],CONTROL[VEHIDCODE],0))</f>
        <v>Early American End-Platform Coach [Larger]</v>
      </c>
      <c r="C1022">
        <v>0</v>
      </c>
      <c r="D1022" t="s">
        <v>523</v>
      </c>
      <c r="E1022" t="s">
        <v>512</v>
      </c>
      <c r="F1022" t="s">
        <v>515</v>
      </c>
    </row>
    <row r="1023" spans="1:6" x14ac:dyDescent="0.35">
      <c r="A1023" s="2" t="s">
        <v>3566</v>
      </c>
      <c r="B1023" s="37" t="str">
        <f>INDEX(CONTROL[ENGLISH],MATCH(PROPERTIES[[#This Row],[VEHIDCODE]],CONTROL[VEHIDCODE],0))</f>
        <v>Early American End-Platform Mail Coach [Larger]</v>
      </c>
      <c r="C1023">
        <v>0</v>
      </c>
      <c r="D1023" t="s">
        <v>523</v>
      </c>
      <c r="E1023" t="s">
        <v>512</v>
      </c>
      <c r="F1023" t="s">
        <v>515</v>
      </c>
    </row>
    <row r="1024" spans="1:6" x14ac:dyDescent="0.35">
      <c r="A1024" s="2" t="s">
        <v>3573</v>
      </c>
      <c r="B1024" s="37" t="str">
        <f>INDEX(CONTROL[ENGLISH],MATCH(PROPERTIES[[#This Row],[VEHIDCODE]],CONTROL[VEHIDCODE],0))</f>
        <v>Lightweight Commuter Coach</v>
      </c>
      <c r="C1024">
        <v>0</v>
      </c>
      <c r="D1024" t="s">
        <v>523</v>
      </c>
      <c r="E1024" t="s">
        <v>512</v>
      </c>
      <c r="F1024" t="s">
        <v>515</v>
      </c>
    </row>
    <row r="1025" spans="1:6" x14ac:dyDescent="0.35">
      <c r="A1025" s="2" t="s">
        <v>3575</v>
      </c>
      <c r="B1025" s="37" t="str">
        <f>INDEX(CONTROL[ENGLISH],MATCH(PROPERTIES[[#This Row],[VEHIDCODE]],CONTROL[VEHIDCODE],0))</f>
        <v>ALCO-GE T-Motor</v>
      </c>
      <c r="C1025">
        <v>0</v>
      </c>
      <c r="D1025" t="s">
        <v>523</v>
      </c>
      <c r="E1025" t="s">
        <v>506</v>
      </c>
      <c r="F1025" t="s">
        <v>515</v>
      </c>
    </row>
    <row r="1026" spans="1:6" x14ac:dyDescent="0.35">
      <c r="A1026" s="2" t="s">
        <v>3578</v>
      </c>
      <c r="B1026" s="37" t="str">
        <f>INDEX(CONTROL[ENGLISH],MATCH(PROPERTIES[[#This Row],[VEHIDCODE]],CONTROL[VEHIDCODE],0))</f>
        <v>Altoona Works Pennsylvania Railroad DD1</v>
      </c>
      <c r="C1026">
        <v>0</v>
      </c>
      <c r="D1026" t="s">
        <v>523</v>
      </c>
      <c r="E1026" t="s">
        <v>507</v>
      </c>
      <c r="F1026" t="s">
        <v>518</v>
      </c>
    </row>
    <row r="1027" spans="1:6" x14ac:dyDescent="0.35">
      <c r="A1027" s="2" t="s">
        <v>3583</v>
      </c>
      <c r="B1027" s="37" t="str">
        <f>INDEX(CONTROL[ENGLISH],MATCH(PROPERTIES[[#This Row],[VEHIDCODE]],CONTROL[VEHIDCODE],0))</f>
        <v>PRR MP70</v>
      </c>
      <c r="C1027">
        <v>0</v>
      </c>
      <c r="D1027" t="s">
        <v>523</v>
      </c>
      <c r="E1027" t="s">
        <v>510</v>
      </c>
      <c r="F1027" t="s">
        <v>515</v>
      </c>
    </row>
    <row r="1028" spans="1:6" x14ac:dyDescent="0.35">
      <c r="A1028" s="2" t="s">
        <v>3584</v>
      </c>
      <c r="B1028" s="37" t="str">
        <f>INDEX(CONTROL[ENGLISH],MATCH(PROPERTIES[[#This Row],[VEHIDCODE]],CONTROL[VEHIDCODE],0))</f>
        <v>Pullman Standard LIRR MP75 ACMU</v>
      </c>
      <c r="C1028">
        <v>0</v>
      </c>
      <c r="D1028" t="s">
        <v>523</v>
      </c>
      <c r="E1028" t="s">
        <v>510</v>
      </c>
      <c r="F1028" t="s">
        <v>515</v>
      </c>
    </row>
    <row r="1029" spans="1:6" x14ac:dyDescent="0.35">
      <c r="A1029" s="2" t="s">
        <v>3588</v>
      </c>
      <c r="B1029" s="37" t="str">
        <f>INDEX(CONTROL[ENGLISH],MATCH(PROPERTIES[[#This Row],[VEHIDCODE]],CONTROL[VEHIDCODE],0))</f>
        <v>ACF New York Central Heavyweight MU</v>
      </c>
      <c r="C1029">
        <v>0</v>
      </c>
      <c r="D1029" t="s">
        <v>523</v>
      </c>
      <c r="E1029" t="s">
        <v>506</v>
      </c>
      <c r="F1029" t="s">
        <v>515</v>
      </c>
    </row>
    <row r="1030" spans="1:6" x14ac:dyDescent="0.35">
      <c r="A1030" s="2" t="s">
        <v>3590</v>
      </c>
      <c r="B1030" s="37" t="str">
        <f>INDEX(CONTROL[ENGLISH],MATCH(PROPERTIES[[#This Row],[VEHIDCODE]],CONTROL[VEHIDCODE],0))</f>
        <v>Goerlitz Articulated Double Decker Coach</v>
      </c>
      <c r="C1030">
        <v>0</v>
      </c>
      <c r="D1030" t="s">
        <v>523</v>
      </c>
      <c r="E1030" t="s">
        <v>512</v>
      </c>
      <c r="F1030" t="s">
        <v>3558</v>
      </c>
    </row>
    <row r="1031" spans="1:6" x14ac:dyDescent="0.35">
      <c r="A1031" s="2" t="s">
        <v>3595</v>
      </c>
      <c r="B1031" s="37" t="str">
        <f>INDEX(CONTROL[ENGLISH],MATCH(PROPERTIES[[#This Row],[VEHIDCODE]],CONTROL[VEHIDCODE],0))</f>
        <v>PRR MP54</v>
      </c>
      <c r="C1031">
        <v>0</v>
      </c>
      <c r="D1031" t="s">
        <v>523</v>
      </c>
      <c r="E1031" t="s">
        <v>510</v>
      </c>
      <c r="F1031" t="s">
        <v>515</v>
      </c>
    </row>
    <row r="1032" spans="1:6" x14ac:dyDescent="0.35">
      <c r="A1032" s="2" t="s">
        <v>3596</v>
      </c>
      <c r="B1032" s="37" t="str">
        <f>INDEX(CONTROL[ENGLISH],MATCH(PROPERTIES[[#This Row],[VEHIDCODE]],CONTROL[VEHIDCODE],0))</f>
        <v>PRR MP54</v>
      </c>
      <c r="C1032">
        <v>0</v>
      </c>
      <c r="D1032" t="s">
        <v>523</v>
      </c>
      <c r="E1032" t="s">
        <v>510</v>
      </c>
      <c r="F1032" t="s">
        <v>515</v>
      </c>
    </row>
    <row r="1033" spans="1:6" x14ac:dyDescent="0.35">
      <c r="A1033" s="2" t="s">
        <v>3598</v>
      </c>
      <c r="B1033" s="37" t="str">
        <f>INDEX(CONTROL[ENGLISH],MATCH(PROPERTIES[[#This Row],[VEHIDCODE]],CONTROL[VEHIDCODE],0))</f>
        <v>PRR P54 Commuter Coach</v>
      </c>
      <c r="C1033">
        <v>0</v>
      </c>
      <c r="D1033" t="s">
        <v>523</v>
      </c>
      <c r="E1033" t="s">
        <v>512</v>
      </c>
      <c r="F1033" t="s">
        <v>515</v>
      </c>
    </row>
    <row r="1034" spans="1:6" x14ac:dyDescent="0.35">
      <c r="A1034" s="2" t="s">
        <v>3597</v>
      </c>
      <c r="B1034" s="37" t="str">
        <f>INDEX(CONTROL[ENGLISH],MATCH(PROPERTIES[[#This Row],[VEHIDCODE]],CONTROL[VEHIDCODE],0))</f>
        <v>PRR P54 Mail Coach</v>
      </c>
      <c r="C1034">
        <v>0</v>
      </c>
      <c r="D1034" t="s">
        <v>523</v>
      </c>
      <c r="E1034" t="s">
        <v>512</v>
      </c>
      <c r="F1034" t="s">
        <v>515</v>
      </c>
    </row>
    <row r="1035" spans="1:6" x14ac:dyDescent="0.35">
      <c r="A1035" s="2" t="s">
        <v>3604</v>
      </c>
      <c r="B1035" s="37" t="str">
        <f>INDEX(CONTROL[ENGLISH],MATCH(PROPERTIES[[#This Row],[VEHIDCODE]],CONTROL[VEHIDCODE],0))</f>
        <v>PRR P70 Bilevel Coach</v>
      </c>
      <c r="C1035">
        <v>0</v>
      </c>
      <c r="D1035" t="s">
        <v>523</v>
      </c>
      <c r="E1035" t="s">
        <v>512</v>
      </c>
      <c r="F1035" t="s">
        <v>515</v>
      </c>
    </row>
    <row r="1036" spans="1:6" x14ac:dyDescent="0.35">
      <c r="A1036" s="2" t="s">
        <v>3606</v>
      </c>
      <c r="B1036" s="37" t="str">
        <f>INDEX(CONTROL[ENGLISH],MATCH(PROPERTIES[[#This Row],[VEHIDCODE]],CONTROL[VEHIDCODE],0))</f>
        <v>LTZ 2TE10M</v>
      </c>
      <c r="C1036">
        <v>0</v>
      </c>
      <c r="D1036" t="s">
        <v>523</v>
      </c>
      <c r="E1036" t="s">
        <v>513</v>
      </c>
      <c r="F1036" t="s">
        <v>520</v>
      </c>
    </row>
    <row r="1037" spans="1:6" x14ac:dyDescent="0.35">
      <c r="A1037" s="2" t="s">
        <v>3607</v>
      </c>
      <c r="B1037" s="37" t="str">
        <f>INDEX(CONTROL[ENGLISH],MATCH(PROPERTIES[[#This Row],[VEHIDCODE]],CONTROL[VEHIDCODE],0))</f>
        <v>LTZ 2TE126</v>
      </c>
      <c r="C1037">
        <v>0</v>
      </c>
      <c r="D1037" t="s">
        <v>523</v>
      </c>
      <c r="E1037" t="s">
        <v>508</v>
      </c>
      <c r="F1037" t="s">
        <v>519</v>
      </c>
    </row>
    <row r="1038" spans="1:6" x14ac:dyDescent="0.35">
      <c r="A1038" s="2" t="s">
        <v>3608</v>
      </c>
      <c r="B1038" s="37" t="str">
        <f>INDEX(CONTROL[ENGLISH],MATCH(PROPERTIES[[#This Row],[VEHIDCODE]],CONTROL[VEHIDCODE],0))</f>
        <v>LTZ 2TE10Ut</v>
      </c>
      <c r="C1038">
        <v>0</v>
      </c>
      <c r="D1038" t="s">
        <v>523</v>
      </c>
      <c r="E1038" t="s">
        <v>513</v>
      </c>
      <c r="F1038" t="s">
        <v>520</v>
      </c>
    </row>
    <row r="1039" spans="1:6" x14ac:dyDescent="0.35">
      <c r="A1039" t="s">
        <v>3648</v>
      </c>
      <c r="B1039" s="37" t="str">
        <f>INDEX(CONTROL[ENGLISH],MATCH(PROPERTIES[[#This Row],[VEHIDCODE]],CONTROL[VEHIDCODE],0))</f>
        <v>Faur A20D-P</v>
      </c>
      <c r="C1039">
        <v>0</v>
      </c>
      <c r="D1039" t="s">
        <v>523</v>
      </c>
      <c r="E1039" t="s">
        <v>506</v>
      </c>
      <c r="F1039" t="s">
        <v>515</v>
      </c>
    </row>
    <row r="1040" spans="1:6" x14ac:dyDescent="0.35">
      <c r="A1040" s="2" t="s">
        <v>3611</v>
      </c>
      <c r="B1040" s="37" t="str">
        <f>INDEX(CONTROL[ENGLISH],MATCH(PROPERTIES[[#This Row],[VEHIDCODE]],CONTROL[VEHIDCODE],0))</f>
        <v>Faur A20D-P Trailer</v>
      </c>
      <c r="C1040">
        <v>0</v>
      </c>
      <c r="D1040" t="s">
        <v>523</v>
      </c>
      <c r="E1040" t="s">
        <v>512</v>
      </c>
      <c r="F1040" t="s">
        <v>1827</v>
      </c>
    </row>
    <row r="1041" spans="1:6" x14ac:dyDescent="0.35">
      <c r="A1041" s="2" t="s">
        <v>3613</v>
      </c>
      <c r="B1041" s="37" t="str">
        <f>INDEX(CONTROL[ENGLISH],MATCH(PROPERTIES[[#This Row],[VEHIDCODE]],CONTROL[VEHIDCODE],0))</f>
        <v>Faur L45H</v>
      </c>
      <c r="C1041">
        <v>0</v>
      </c>
      <c r="D1041" t="s">
        <v>523</v>
      </c>
      <c r="E1041" t="s">
        <v>506</v>
      </c>
      <c r="F1041" t="s">
        <v>515</v>
      </c>
    </row>
    <row r="1042" spans="1:6" x14ac:dyDescent="0.35">
      <c r="A1042" s="2" t="s">
        <v>3617</v>
      </c>
      <c r="B1042" s="37" t="str">
        <f>INDEX(CONTROL[ENGLISH],MATCH(PROPERTIES[[#This Row],[VEHIDCODE]],CONTROL[VEHIDCODE],0))</f>
        <v>Pafawag 3Aw</v>
      </c>
      <c r="C1042">
        <v>0</v>
      </c>
      <c r="D1042" t="s">
        <v>523</v>
      </c>
      <c r="E1042" t="s">
        <v>512</v>
      </c>
      <c r="F1042" t="s">
        <v>1827</v>
      </c>
    </row>
    <row r="1043" spans="1:6" x14ac:dyDescent="0.35">
      <c r="A1043" s="2" t="s">
        <v>3619</v>
      </c>
      <c r="B1043" s="37" t="str">
        <f>INDEX(CONTROL[ENGLISH],MATCH(PROPERTIES[[#This Row],[VEHIDCODE]],CONTROL[VEHIDCODE],0))</f>
        <v>KMZ TU7/TGM40</v>
      </c>
      <c r="C1043">
        <v>0</v>
      </c>
      <c r="D1043" t="s">
        <v>523</v>
      </c>
      <c r="E1043" t="s">
        <v>506</v>
      </c>
      <c r="F1043" t="s">
        <v>515</v>
      </c>
    </row>
    <row r="1044" spans="1:6" x14ac:dyDescent="0.35">
      <c r="A1044" t="s">
        <v>3624</v>
      </c>
      <c r="B1044" s="37" t="str">
        <f>INDEX(CONTROL[ENGLISH],MATCH(PROPERTIES[[#This Row],[VEHIDCODE]],CONTROL[VEHIDCODE],0))</f>
        <v>Alsthom CC 7100</v>
      </c>
      <c r="C1044">
        <v>0</v>
      </c>
      <c r="D1044" t="s">
        <v>523</v>
      </c>
      <c r="E1044" t="s">
        <v>506</v>
      </c>
      <c r="F1044" t="s">
        <v>515</v>
      </c>
    </row>
    <row r="1045" spans="1:6" x14ac:dyDescent="0.35">
      <c r="A1045" t="s">
        <v>3622</v>
      </c>
      <c r="B1045" s="37" t="str">
        <f>INDEX(CONTROL[ENGLISH],MATCH(PROPERTIES[[#This Row],[VEHIDCODE]],CONTROL[VEHIDCODE],0))</f>
        <v>Alsthom F Series</v>
      </c>
      <c r="C1045">
        <v>0</v>
      </c>
      <c r="D1045" t="s">
        <v>523</v>
      </c>
      <c r="E1045" t="s">
        <v>506</v>
      </c>
      <c r="F1045" t="s">
        <v>515</v>
      </c>
    </row>
    <row r="1046" spans="1:6" x14ac:dyDescent="0.35">
      <c r="A1046" s="2" t="s">
        <v>3668</v>
      </c>
      <c r="B1046" s="37" t="str">
        <f>INDEX(CONTROL[ENGLISH],MATCH(PROPERTIES[[#This Row],[VEHIDCODE]],CONTROL[VEHIDCODE],0))</f>
        <v>Siemens Vectron MS</v>
      </c>
      <c r="C1046">
        <v>0</v>
      </c>
      <c r="D1046" t="s">
        <v>523</v>
      </c>
      <c r="E1046" t="s">
        <v>506</v>
      </c>
      <c r="F1046" t="s">
        <v>515</v>
      </c>
    </row>
    <row r="1047" spans="1:6" x14ac:dyDescent="0.35">
      <c r="A1047" s="2" t="s">
        <v>3633</v>
      </c>
      <c r="B1047" s="37" t="str">
        <f>INDEX(CONTROL[ENGLISH],MATCH(PROPERTIES[[#This Row],[VEHIDCODE]],CONTROL[VEHIDCODE],0))</f>
        <v>Siemens Vectron DE</v>
      </c>
      <c r="C1047">
        <v>0</v>
      </c>
      <c r="D1047" t="s">
        <v>523</v>
      </c>
      <c r="E1047" t="s">
        <v>506</v>
      </c>
      <c r="F1047" t="s">
        <v>515</v>
      </c>
    </row>
    <row r="1048" spans="1:6" x14ac:dyDescent="0.35">
      <c r="A1048" s="2" t="s">
        <v>3630</v>
      </c>
      <c r="B1048" s="37" t="str">
        <f>INDEX(CONTROL[ENGLISH],MATCH(PROPERTIES[[#This Row],[VEHIDCODE]],CONTROL[VEHIDCODE],0))</f>
        <v>Siemens Vectron Dual Mode</v>
      </c>
      <c r="C1048">
        <v>0</v>
      </c>
      <c r="D1048" t="s">
        <v>523</v>
      </c>
      <c r="E1048" t="s">
        <v>506</v>
      </c>
      <c r="F1048" t="s">
        <v>515</v>
      </c>
    </row>
    <row r="1049" spans="1:6" x14ac:dyDescent="0.35">
      <c r="A1049" s="2" t="s">
        <v>3651</v>
      </c>
      <c r="B1049" s="37" t="str">
        <f>INDEX(CONTROL[ENGLISH],MATCH(PROPERTIES[[#This Row],[VEHIDCODE]],CONTROL[VEHIDCODE],0))</f>
        <v>Tours/Chapelon 2-12-0 SNCF 160A</v>
      </c>
      <c r="C1049">
        <v>0</v>
      </c>
      <c r="D1049" t="s">
        <v>523</v>
      </c>
      <c r="E1049" t="s">
        <v>513</v>
      </c>
      <c r="F1049" t="s">
        <v>521</v>
      </c>
    </row>
    <row r="1050" spans="1:6" x14ac:dyDescent="0.35">
      <c r="A1050" s="2" t="s">
        <v>3666</v>
      </c>
      <c r="B1050" s="37" t="str">
        <f>INDEX(CONTROL[ENGLISH],MATCH(PROPERTIES[[#This Row],[VEHIDCODE]],CONTROL[VEHIDCODE],0))</f>
        <v>LTZ 2TE116</v>
      </c>
      <c r="C1050">
        <v>0</v>
      </c>
      <c r="D1050" t="s">
        <v>523</v>
      </c>
      <c r="E1050" t="s">
        <v>513</v>
      </c>
      <c r="F1050" t="s">
        <v>520</v>
      </c>
    </row>
    <row r="1051" spans="1:6" x14ac:dyDescent="0.35">
      <c r="A1051" s="2" t="s">
        <v>3691</v>
      </c>
      <c r="B1051" s="37" t="str">
        <f>INDEX(CONTROL[ENGLISH],MATCH(PROPERTIES[[#This Row],[VEHIDCODE]],CONTROL[VEHIDCODE],0))</f>
        <v>Ganz-MAVAG SN61</v>
      </c>
      <c r="C1051">
        <v>0</v>
      </c>
      <c r="D1051" t="s">
        <v>523</v>
      </c>
      <c r="E1051" t="s">
        <v>506</v>
      </c>
      <c r="F1051" t="s">
        <v>3695</v>
      </c>
    </row>
    <row r="1052" spans="1:6" x14ac:dyDescent="0.35">
      <c r="A1052" s="2"/>
      <c r="C1052">
        <v>0</v>
      </c>
      <c r="D1052" t="s">
        <v>523</v>
      </c>
      <c r="E1052" t="s">
        <v>506</v>
      </c>
      <c r="F1052" t="s">
        <v>515</v>
      </c>
    </row>
    <row r="1053" spans="1:6" x14ac:dyDescent="0.35">
      <c r="A1053" s="2"/>
      <c r="C1053">
        <v>0</v>
      </c>
      <c r="D1053" t="s">
        <v>523</v>
      </c>
      <c r="E1053" t="s">
        <v>506</v>
      </c>
      <c r="F1053" t="s">
        <v>515</v>
      </c>
    </row>
    <row r="1054" spans="1:6" x14ac:dyDescent="0.35">
      <c r="A1054" s="2"/>
      <c r="C1054">
        <v>0</v>
      </c>
      <c r="D1054" t="s">
        <v>523</v>
      </c>
      <c r="E1054" t="s">
        <v>506</v>
      </c>
      <c r="F1054" t="s">
        <v>515</v>
      </c>
    </row>
    <row r="1055" spans="1:6" x14ac:dyDescent="0.35">
      <c r="A1055" s="2"/>
      <c r="C1055">
        <v>0</v>
      </c>
      <c r="D1055" t="s">
        <v>523</v>
      </c>
      <c r="E1055" t="s">
        <v>506</v>
      </c>
      <c r="F1055" t="s">
        <v>515</v>
      </c>
    </row>
    <row r="1056" spans="1:6" x14ac:dyDescent="0.35">
      <c r="A1056" s="2"/>
      <c r="C1056">
        <v>0</v>
      </c>
      <c r="D1056" t="s">
        <v>523</v>
      </c>
      <c r="E1056" t="s">
        <v>506</v>
      </c>
      <c r="F1056" t="s">
        <v>515</v>
      </c>
    </row>
    <row r="1057" spans="1:6" x14ac:dyDescent="0.35">
      <c r="A1057" s="2"/>
      <c r="C1057">
        <v>0</v>
      </c>
      <c r="D1057" t="s">
        <v>523</v>
      </c>
      <c r="E1057" t="s">
        <v>506</v>
      </c>
      <c r="F1057" t="s">
        <v>515</v>
      </c>
    </row>
    <row r="1058" spans="1:6" x14ac:dyDescent="0.35">
      <c r="A1058" s="2"/>
      <c r="C1058">
        <v>0</v>
      </c>
      <c r="D1058" t="s">
        <v>523</v>
      </c>
      <c r="E1058" t="s">
        <v>506</v>
      </c>
      <c r="F1058" t="s">
        <v>515</v>
      </c>
    </row>
    <row r="1059" spans="1:6" x14ac:dyDescent="0.35">
      <c r="C1059">
        <v>0</v>
      </c>
      <c r="D1059" t="s">
        <v>523</v>
      </c>
      <c r="E1059" t="s">
        <v>506</v>
      </c>
      <c r="F1059" t="s">
        <v>515</v>
      </c>
    </row>
    <row r="1060" spans="1:6" x14ac:dyDescent="0.35">
      <c r="C1060">
        <v>0</v>
      </c>
      <c r="D1060" t="s">
        <v>523</v>
      </c>
      <c r="E1060" t="s">
        <v>506</v>
      </c>
      <c r="F1060" t="s">
        <v>515</v>
      </c>
    </row>
    <row r="1061" spans="1:6" x14ac:dyDescent="0.35">
      <c r="C1061">
        <v>0</v>
      </c>
      <c r="D1061" t="s">
        <v>523</v>
      </c>
      <c r="E1061" t="s">
        <v>506</v>
      </c>
      <c r="F1061" t="s">
        <v>515</v>
      </c>
    </row>
    <row r="1062" spans="1:6" x14ac:dyDescent="0.35">
      <c r="C1062">
        <v>0</v>
      </c>
      <c r="D1062" t="s">
        <v>523</v>
      </c>
      <c r="E1062" t="s">
        <v>506</v>
      </c>
      <c r="F1062" t="s">
        <v>515</v>
      </c>
    </row>
    <row r="1063" spans="1:6" x14ac:dyDescent="0.35">
      <c r="C1063">
        <v>0</v>
      </c>
      <c r="D1063" t="s">
        <v>523</v>
      </c>
      <c r="E1063" t="s">
        <v>506</v>
      </c>
      <c r="F1063" t="s">
        <v>515</v>
      </c>
    </row>
    <row r="1064" spans="1:6" x14ac:dyDescent="0.35">
      <c r="C1064">
        <v>0</v>
      </c>
      <c r="D1064" t="s">
        <v>523</v>
      </c>
      <c r="E1064" t="s">
        <v>506</v>
      </c>
      <c r="F1064" t="s">
        <v>515</v>
      </c>
    </row>
    <row r="1065" spans="1:6" x14ac:dyDescent="0.35">
      <c r="C1065">
        <v>0</v>
      </c>
      <c r="D1065" t="s">
        <v>523</v>
      </c>
      <c r="E1065" t="s">
        <v>506</v>
      </c>
      <c r="F1065" t="s">
        <v>515</v>
      </c>
    </row>
    <row r="1066" spans="1:6" x14ac:dyDescent="0.35">
      <c r="C1066">
        <v>0</v>
      </c>
      <c r="D1066" t="s">
        <v>523</v>
      </c>
      <c r="E1066" t="s">
        <v>506</v>
      </c>
      <c r="F1066" t="s">
        <v>515</v>
      </c>
    </row>
    <row r="1067" spans="1:6" x14ac:dyDescent="0.35">
      <c r="C1067">
        <v>0</v>
      </c>
      <c r="D1067" t="s">
        <v>523</v>
      </c>
      <c r="E1067" t="s">
        <v>506</v>
      </c>
      <c r="F1067" t="s">
        <v>515</v>
      </c>
    </row>
    <row r="1068" spans="1:6" x14ac:dyDescent="0.35">
      <c r="C1068">
        <v>0</v>
      </c>
      <c r="D1068" t="s">
        <v>523</v>
      </c>
      <c r="E1068" t="s">
        <v>506</v>
      </c>
      <c r="F1068" t="s">
        <v>515</v>
      </c>
    </row>
    <row r="1069" spans="1:6" x14ac:dyDescent="0.35">
      <c r="C1069">
        <v>0</v>
      </c>
      <c r="D1069" t="s">
        <v>523</v>
      </c>
      <c r="E1069" t="s">
        <v>506</v>
      </c>
      <c r="F1069" t="s">
        <v>515</v>
      </c>
    </row>
    <row r="1070" spans="1:6" x14ac:dyDescent="0.35">
      <c r="C1070">
        <v>0</v>
      </c>
      <c r="D1070" t="s">
        <v>523</v>
      </c>
      <c r="E1070" t="s">
        <v>506</v>
      </c>
      <c r="F1070" t="s">
        <v>515</v>
      </c>
    </row>
    <row r="1071" spans="1:6" x14ac:dyDescent="0.35">
      <c r="C1071">
        <v>0</v>
      </c>
      <c r="D1071" t="s">
        <v>523</v>
      </c>
      <c r="E1071" t="s">
        <v>506</v>
      </c>
      <c r="F1071" t="s">
        <v>515</v>
      </c>
    </row>
    <row r="1072" spans="1:6" x14ac:dyDescent="0.35">
      <c r="C1072">
        <v>0</v>
      </c>
      <c r="D1072" t="s">
        <v>523</v>
      </c>
      <c r="E1072" t="s">
        <v>506</v>
      </c>
      <c r="F1072" t="s">
        <v>515</v>
      </c>
    </row>
    <row r="1073" spans="3:6" x14ac:dyDescent="0.35">
      <c r="C1073">
        <v>0</v>
      </c>
      <c r="D1073" t="s">
        <v>523</v>
      </c>
      <c r="E1073" t="s">
        <v>506</v>
      </c>
      <c r="F1073" t="s">
        <v>515</v>
      </c>
    </row>
    <row r="1074" spans="3:6" x14ac:dyDescent="0.35">
      <c r="C1074">
        <v>0</v>
      </c>
      <c r="D1074" t="s">
        <v>523</v>
      </c>
      <c r="E1074" t="s">
        <v>506</v>
      </c>
      <c r="F1074" t="s">
        <v>515</v>
      </c>
    </row>
    <row r="1075" spans="3:6" x14ac:dyDescent="0.35">
      <c r="C1075">
        <v>0</v>
      </c>
      <c r="D1075" t="s">
        <v>523</v>
      </c>
      <c r="E1075" t="s">
        <v>506</v>
      </c>
      <c r="F1075" t="s">
        <v>515</v>
      </c>
    </row>
    <row r="1076" spans="3:6" x14ac:dyDescent="0.35">
      <c r="C1076">
        <v>0</v>
      </c>
      <c r="D1076" t="s">
        <v>523</v>
      </c>
      <c r="E1076" t="s">
        <v>506</v>
      </c>
      <c r="F1076" t="s">
        <v>515</v>
      </c>
    </row>
    <row r="1077" spans="3:6" x14ac:dyDescent="0.35">
      <c r="C1077">
        <v>0</v>
      </c>
      <c r="D1077" t="s">
        <v>523</v>
      </c>
      <c r="E1077" t="s">
        <v>506</v>
      </c>
      <c r="F1077" t="s">
        <v>515</v>
      </c>
    </row>
    <row r="1078" spans="3:6" x14ac:dyDescent="0.35">
      <c r="C1078">
        <v>0</v>
      </c>
      <c r="D1078" t="s">
        <v>523</v>
      </c>
      <c r="E1078" t="s">
        <v>506</v>
      </c>
      <c r="F1078" t="s">
        <v>515</v>
      </c>
    </row>
    <row r="1079" spans="3:6" x14ac:dyDescent="0.35">
      <c r="C1079">
        <v>0</v>
      </c>
      <c r="D1079" t="s">
        <v>523</v>
      </c>
      <c r="E1079" t="s">
        <v>506</v>
      </c>
      <c r="F1079" t="s">
        <v>515</v>
      </c>
    </row>
    <row r="1080" spans="3:6" x14ac:dyDescent="0.35">
      <c r="C1080">
        <v>0</v>
      </c>
      <c r="D1080" t="s">
        <v>523</v>
      </c>
      <c r="E1080" t="s">
        <v>506</v>
      </c>
      <c r="F1080" t="s">
        <v>515</v>
      </c>
    </row>
    <row r="1081" spans="3:6" x14ac:dyDescent="0.35">
      <c r="C1081">
        <v>0</v>
      </c>
      <c r="D1081" t="s">
        <v>523</v>
      </c>
      <c r="E1081" t="s">
        <v>506</v>
      </c>
      <c r="F1081" t="s">
        <v>515</v>
      </c>
    </row>
    <row r="1082" spans="3:6" x14ac:dyDescent="0.35">
      <c r="C1082">
        <v>0</v>
      </c>
      <c r="D1082" t="s">
        <v>523</v>
      </c>
      <c r="E1082" t="s">
        <v>506</v>
      </c>
      <c r="F1082" t="s">
        <v>515</v>
      </c>
    </row>
    <row r="1083" spans="3:6" x14ac:dyDescent="0.35">
      <c r="C1083">
        <v>0</v>
      </c>
      <c r="D1083" t="s">
        <v>523</v>
      </c>
      <c r="E1083" t="s">
        <v>506</v>
      </c>
      <c r="F1083" t="s">
        <v>515</v>
      </c>
    </row>
    <row r="1084" spans="3:6" x14ac:dyDescent="0.35">
      <c r="C1084">
        <v>0</v>
      </c>
      <c r="D1084" t="s">
        <v>523</v>
      </c>
      <c r="E1084" t="s">
        <v>506</v>
      </c>
      <c r="F1084" t="s">
        <v>515</v>
      </c>
    </row>
    <row r="1085" spans="3:6" x14ac:dyDescent="0.35">
      <c r="C1085">
        <v>0</v>
      </c>
      <c r="D1085" t="s">
        <v>523</v>
      </c>
      <c r="E1085" t="s">
        <v>506</v>
      </c>
      <c r="F1085" t="s">
        <v>515</v>
      </c>
    </row>
    <row r="1086" spans="3:6" x14ac:dyDescent="0.35">
      <c r="C1086">
        <v>0</v>
      </c>
      <c r="D1086" t="s">
        <v>523</v>
      </c>
      <c r="E1086" t="s">
        <v>506</v>
      </c>
      <c r="F1086" t="s">
        <v>515</v>
      </c>
    </row>
    <row r="1087" spans="3:6" x14ac:dyDescent="0.35">
      <c r="C1087">
        <v>0</v>
      </c>
      <c r="D1087" t="s">
        <v>523</v>
      </c>
      <c r="E1087" t="s">
        <v>506</v>
      </c>
      <c r="F1087" t="s">
        <v>515</v>
      </c>
    </row>
    <row r="1088" spans="3:6" x14ac:dyDescent="0.35">
      <c r="C1088">
        <v>0</v>
      </c>
      <c r="D1088" t="s">
        <v>523</v>
      </c>
      <c r="E1088" t="s">
        <v>506</v>
      </c>
      <c r="F1088" t="s">
        <v>515</v>
      </c>
    </row>
    <row r="1089" spans="3:6" x14ac:dyDescent="0.35">
      <c r="C1089">
        <v>0</v>
      </c>
      <c r="D1089" t="s">
        <v>523</v>
      </c>
      <c r="E1089" t="s">
        <v>506</v>
      </c>
      <c r="F1089" t="s">
        <v>515</v>
      </c>
    </row>
    <row r="1090" spans="3:6" x14ac:dyDescent="0.35">
      <c r="C1090">
        <v>0</v>
      </c>
      <c r="D1090" t="s">
        <v>523</v>
      </c>
      <c r="E1090" t="s">
        <v>506</v>
      </c>
      <c r="F1090" t="s">
        <v>515</v>
      </c>
    </row>
    <row r="1091" spans="3:6" x14ac:dyDescent="0.35">
      <c r="C1091">
        <v>0</v>
      </c>
      <c r="D1091" t="s">
        <v>523</v>
      </c>
      <c r="E1091" t="s">
        <v>506</v>
      </c>
      <c r="F1091" t="s">
        <v>515</v>
      </c>
    </row>
    <row r="1092" spans="3:6" x14ac:dyDescent="0.35">
      <c r="C1092">
        <v>0</v>
      </c>
      <c r="D1092" t="s">
        <v>523</v>
      </c>
      <c r="E1092" t="s">
        <v>506</v>
      </c>
      <c r="F1092" t="s">
        <v>515</v>
      </c>
    </row>
    <row r="1093" spans="3:6" x14ac:dyDescent="0.35">
      <c r="C1093">
        <v>0</v>
      </c>
      <c r="D1093" t="s">
        <v>523</v>
      </c>
      <c r="E1093" t="s">
        <v>506</v>
      </c>
      <c r="F1093" t="s">
        <v>515</v>
      </c>
    </row>
    <row r="1094" spans="3:6" x14ac:dyDescent="0.35">
      <c r="C1094">
        <v>0</v>
      </c>
      <c r="D1094" t="s">
        <v>523</v>
      </c>
      <c r="E1094" t="s">
        <v>506</v>
      </c>
      <c r="F1094" t="s">
        <v>515</v>
      </c>
    </row>
    <row r="1095" spans="3:6" x14ac:dyDescent="0.35">
      <c r="C1095">
        <v>0</v>
      </c>
      <c r="D1095" t="s">
        <v>523</v>
      </c>
      <c r="E1095" t="s">
        <v>506</v>
      </c>
      <c r="F1095" t="s">
        <v>515</v>
      </c>
    </row>
    <row r="1096" spans="3:6" x14ac:dyDescent="0.35">
      <c r="C1096">
        <v>0</v>
      </c>
      <c r="D1096" t="s">
        <v>523</v>
      </c>
      <c r="E1096" t="s">
        <v>506</v>
      </c>
      <c r="F1096" t="s">
        <v>515</v>
      </c>
    </row>
    <row r="1097" spans="3:6" x14ac:dyDescent="0.35">
      <c r="C1097">
        <v>0</v>
      </c>
      <c r="D1097" t="s">
        <v>523</v>
      </c>
      <c r="E1097" t="s">
        <v>506</v>
      </c>
      <c r="F1097" t="s">
        <v>515</v>
      </c>
    </row>
    <row r="1098" spans="3:6" x14ac:dyDescent="0.35">
      <c r="C1098">
        <v>0</v>
      </c>
      <c r="D1098" t="s">
        <v>523</v>
      </c>
      <c r="E1098" t="s">
        <v>506</v>
      </c>
      <c r="F1098" t="s">
        <v>515</v>
      </c>
    </row>
    <row r="1099" spans="3:6" x14ac:dyDescent="0.35">
      <c r="C1099">
        <v>0</v>
      </c>
      <c r="D1099" t="s">
        <v>523</v>
      </c>
      <c r="E1099" t="s">
        <v>506</v>
      </c>
      <c r="F1099" t="s">
        <v>515</v>
      </c>
    </row>
    <row r="1100" spans="3:6" x14ac:dyDescent="0.35">
      <c r="C1100">
        <v>0</v>
      </c>
      <c r="D1100" t="s">
        <v>523</v>
      </c>
      <c r="E1100" t="s">
        <v>506</v>
      </c>
      <c r="F1100" t="s">
        <v>515</v>
      </c>
    </row>
    <row r="1101" spans="3:6" x14ac:dyDescent="0.35">
      <c r="C1101">
        <v>0</v>
      </c>
      <c r="D1101" t="s">
        <v>523</v>
      </c>
      <c r="E1101" t="s">
        <v>506</v>
      </c>
      <c r="F1101" t="s">
        <v>515</v>
      </c>
    </row>
    <row r="1102" spans="3:6" x14ac:dyDescent="0.35">
      <c r="C1102">
        <v>0</v>
      </c>
      <c r="D1102" t="s">
        <v>523</v>
      </c>
      <c r="E1102" t="s">
        <v>506</v>
      </c>
      <c r="F1102" t="s">
        <v>515</v>
      </c>
    </row>
    <row r="1103" spans="3:6" x14ac:dyDescent="0.35">
      <c r="C1103">
        <v>0</v>
      </c>
      <c r="D1103" t="s">
        <v>523</v>
      </c>
      <c r="E1103" t="s">
        <v>506</v>
      </c>
      <c r="F1103" t="s">
        <v>515</v>
      </c>
    </row>
    <row r="1104" spans="3:6" x14ac:dyDescent="0.35">
      <c r="C1104">
        <v>0</v>
      </c>
      <c r="D1104" t="s">
        <v>523</v>
      </c>
      <c r="E1104" t="s">
        <v>506</v>
      </c>
      <c r="F1104" t="s">
        <v>515</v>
      </c>
    </row>
    <row r="1105" spans="3:6" x14ac:dyDescent="0.35">
      <c r="C1105">
        <v>0</v>
      </c>
      <c r="D1105" t="s">
        <v>523</v>
      </c>
      <c r="E1105" t="s">
        <v>506</v>
      </c>
      <c r="F1105" t="s">
        <v>515</v>
      </c>
    </row>
    <row r="1106" spans="3:6" x14ac:dyDescent="0.35">
      <c r="C1106">
        <v>0</v>
      </c>
      <c r="D1106" t="s">
        <v>523</v>
      </c>
      <c r="E1106" t="s">
        <v>506</v>
      </c>
      <c r="F1106" t="s">
        <v>515</v>
      </c>
    </row>
    <row r="1107" spans="3:6" x14ac:dyDescent="0.35">
      <c r="C1107">
        <v>0</v>
      </c>
      <c r="D1107" t="s">
        <v>523</v>
      </c>
      <c r="E1107" t="s">
        <v>506</v>
      </c>
      <c r="F1107" t="s">
        <v>515</v>
      </c>
    </row>
    <row r="1108" spans="3:6" x14ac:dyDescent="0.35">
      <c r="C1108">
        <v>0</v>
      </c>
      <c r="D1108" t="s">
        <v>523</v>
      </c>
      <c r="E1108" t="s">
        <v>506</v>
      </c>
      <c r="F1108" t="s">
        <v>515</v>
      </c>
    </row>
    <row r="1109" spans="3:6" x14ac:dyDescent="0.35">
      <c r="C1109">
        <v>0</v>
      </c>
      <c r="D1109" t="s">
        <v>523</v>
      </c>
      <c r="E1109" t="s">
        <v>506</v>
      </c>
      <c r="F1109" t="s">
        <v>515</v>
      </c>
    </row>
    <row r="1110" spans="3:6" x14ac:dyDescent="0.35">
      <c r="C1110">
        <v>0</v>
      </c>
      <c r="D1110" t="s">
        <v>523</v>
      </c>
      <c r="E1110" t="s">
        <v>506</v>
      </c>
      <c r="F1110" t="s">
        <v>515</v>
      </c>
    </row>
    <row r="1111" spans="3:6" x14ac:dyDescent="0.35">
      <c r="C1111">
        <v>0</v>
      </c>
      <c r="D1111" t="s">
        <v>523</v>
      </c>
      <c r="E1111" t="s">
        <v>506</v>
      </c>
      <c r="F1111" t="s">
        <v>515</v>
      </c>
    </row>
    <row r="1112" spans="3:6" x14ac:dyDescent="0.35">
      <c r="C1112">
        <v>0</v>
      </c>
      <c r="D1112" t="s">
        <v>523</v>
      </c>
      <c r="E1112" t="s">
        <v>506</v>
      </c>
      <c r="F1112" t="s">
        <v>515</v>
      </c>
    </row>
    <row r="1113" spans="3:6" x14ac:dyDescent="0.35">
      <c r="C1113">
        <v>0</v>
      </c>
      <c r="D1113" t="s">
        <v>523</v>
      </c>
      <c r="E1113" t="s">
        <v>506</v>
      </c>
      <c r="F1113" t="s">
        <v>515</v>
      </c>
    </row>
    <row r="1114" spans="3:6" x14ac:dyDescent="0.35">
      <c r="C1114">
        <v>0</v>
      </c>
      <c r="D1114" t="s">
        <v>523</v>
      </c>
      <c r="E1114" t="s">
        <v>506</v>
      </c>
      <c r="F1114" t="s">
        <v>515</v>
      </c>
    </row>
    <row r="1115" spans="3:6" x14ac:dyDescent="0.35">
      <c r="C1115">
        <v>0</v>
      </c>
      <c r="D1115" t="s">
        <v>523</v>
      </c>
      <c r="E1115" t="s">
        <v>506</v>
      </c>
      <c r="F1115" t="s">
        <v>515</v>
      </c>
    </row>
    <row r="1116" spans="3:6" x14ac:dyDescent="0.35">
      <c r="C1116">
        <v>0</v>
      </c>
      <c r="D1116" t="s">
        <v>523</v>
      </c>
      <c r="E1116" t="s">
        <v>506</v>
      </c>
      <c r="F1116" t="s">
        <v>515</v>
      </c>
    </row>
    <row r="1117" spans="3:6" x14ac:dyDescent="0.35">
      <c r="C1117">
        <v>0</v>
      </c>
      <c r="D1117" t="s">
        <v>523</v>
      </c>
      <c r="E1117" t="s">
        <v>506</v>
      </c>
      <c r="F1117" t="s">
        <v>515</v>
      </c>
    </row>
    <row r="1118" spans="3:6" x14ac:dyDescent="0.35">
      <c r="C1118">
        <v>0</v>
      </c>
      <c r="D1118" t="s">
        <v>523</v>
      </c>
      <c r="E1118" t="s">
        <v>506</v>
      </c>
      <c r="F1118" t="s">
        <v>515</v>
      </c>
    </row>
    <row r="1119" spans="3:6" x14ac:dyDescent="0.35">
      <c r="C1119">
        <v>0</v>
      </c>
      <c r="D1119" t="s">
        <v>523</v>
      </c>
      <c r="E1119" t="s">
        <v>506</v>
      </c>
      <c r="F1119" t="s">
        <v>515</v>
      </c>
    </row>
    <row r="1120" spans="3:6" x14ac:dyDescent="0.35">
      <c r="C1120">
        <v>0</v>
      </c>
      <c r="D1120" t="s">
        <v>523</v>
      </c>
      <c r="E1120" t="s">
        <v>506</v>
      </c>
      <c r="F1120" t="s">
        <v>515</v>
      </c>
    </row>
    <row r="1121" spans="3:6" x14ac:dyDescent="0.35">
      <c r="C1121">
        <v>0</v>
      </c>
      <c r="D1121" t="s">
        <v>523</v>
      </c>
      <c r="E1121" t="s">
        <v>506</v>
      </c>
      <c r="F1121" t="s">
        <v>515</v>
      </c>
    </row>
    <row r="1122" spans="3:6" x14ac:dyDescent="0.35">
      <c r="C1122">
        <v>0</v>
      </c>
      <c r="D1122" t="s">
        <v>523</v>
      </c>
      <c r="E1122" t="s">
        <v>506</v>
      </c>
      <c r="F1122" t="s">
        <v>515</v>
      </c>
    </row>
    <row r="1123" spans="3:6" x14ac:dyDescent="0.35">
      <c r="C1123">
        <v>0</v>
      </c>
      <c r="D1123" t="s">
        <v>523</v>
      </c>
      <c r="E1123" t="s">
        <v>506</v>
      </c>
      <c r="F1123" t="s">
        <v>515</v>
      </c>
    </row>
    <row r="1124" spans="3:6" x14ac:dyDescent="0.35">
      <c r="C1124">
        <v>0</v>
      </c>
      <c r="D1124" t="s">
        <v>523</v>
      </c>
      <c r="E1124" t="s">
        <v>506</v>
      </c>
      <c r="F1124" t="s">
        <v>515</v>
      </c>
    </row>
    <row r="1125" spans="3:6" x14ac:dyDescent="0.35">
      <c r="C1125">
        <v>0</v>
      </c>
      <c r="D1125" t="s">
        <v>523</v>
      </c>
      <c r="E1125" t="s">
        <v>506</v>
      </c>
      <c r="F1125" t="s">
        <v>515</v>
      </c>
    </row>
    <row r="1126" spans="3:6" x14ac:dyDescent="0.35">
      <c r="C1126">
        <v>0</v>
      </c>
      <c r="D1126" t="s">
        <v>523</v>
      </c>
      <c r="E1126" t="s">
        <v>506</v>
      </c>
      <c r="F1126" t="s">
        <v>515</v>
      </c>
    </row>
    <row r="1127" spans="3:6" x14ac:dyDescent="0.35">
      <c r="C1127">
        <v>0</v>
      </c>
      <c r="D1127" t="s">
        <v>523</v>
      </c>
      <c r="E1127" t="s">
        <v>506</v>
      </c>
      <c r="F1127" t="s">
        <v>515</v>
      </c>
    </row>
    <row r="1128" spans="3:6" x14ac:dyDescent="0.35">
      <c r="C1128">
        <v>0</v>
      </c>
      <c r="D1128" t="s">
        <v>523</v>
      </c>
      <c r="E1128" t="s">
        <v>506</v>
      </c>
      <c r="F1128" t="s">
        <v>515</v>
      </c>
    </row>
    <row r="1129" spans="3:6" x14ac:dyDescent="0.35">
      <c r="C1129">
        <v>0</v>
      </c>
      <c r="D1129" t="s">
        <v>523</v>
      </c>
      <c r="E1129" t="s">
        <v>506</v>
      </c>
      <c r="F1129" t="s">
        <v>515</v>
      </c>
    </row>
    <row r="1130" spans="3:6" x14ac:dyDescent="0.35">
      <c r="C1130">
        <v>0</v>
      </c>
      <c r="D1130" t="s">
        <v>523</v>
      </c>
      <c r="E1130" t="s">
        <v>506</v>
      </c>
      <c r="F1130" t="s">
        <v>515</v>
      </c>
    </row>
    <row r="1131" spans="3:6" x14ac:dyDescent="0.35">
      <c r="C1131">
        <v>0</v>
      </c>
      <c r="D1131" t="s">
        <v>523</v>
      </c>
      <c r="E1131" t="s">
        <v>506</v>
      </c>
      <c r="F1131" t="s">
        <v>515</v>
      </c>
    </row>
    <row r="1132" spans="3:6" x14ac:dyDescent="0.35">
      <c r="C1132">
        <v>0</v>
      </c>
      <c r="D1132" t="s">
        <v>523</v>
      </c>
      <c r="E1132" t="s">
        <v>506</v>
      </c>
      <c r="F1132" t="s">
        <v>515</v>
      </c>
    </row>
    <row r="1133" spans="3:6" x14ac:dyDescent="0.35">
      <c r="C1133">
        <v>0</v>
      </c>
      <c r="D1133" t="s">
        <v>523</v>
      </c>
      <c r="E1133" t="s">
        <v>506</v>
      </c>
      <c r="F1133" t="s">
        <v>515</v>
      </c>
    </row>
    <row r="1134" spans="3:6" x14ac:dyDescent="0.35">
      <c r="C1134">
        <v>0</v>
      </c>
      <c r="D1134" t="s">
        <v>523</v>
      </c>
      <c r="E1134" t="s">
        <v>506</v>
      </c>
      <c r="F1134" t="s">
        <v>515</v>
      </c>
    </row>
    <row r="1135" spans="3:6" x14ac:dyDescent="0.35">
      <c r="C1135">
        <v>0</v>
      </c>
      <c r="D1135" t="s">
        <v>523</v>
      </c>
      <c r="E1135" t="s">
        <v>506</v>
      </c>
      <c r="F1135" t="s">
        <v>515</v>
      </c>
    </row>
    <row r="1136" spans="3:6" x14ac:dyDescent="0.35">
      <c r="C1136">
        <v>0</v>
      </c>
      <c r="D1136" t="s">
        <v>523</v>
      </c>
      <c r="E1136" t="s">
        <v>506</v>
      </c>
      <c r="F1136" t="s">
        <v>515</v>
      </c>
    </row>
    <row r="1137" spans="3:6" x14ac:dyDescent="0.35">
      <c r="C1137">
        <v>0</v>
      </c>
      <c r="D1137" t="s">
        <v>523</v>
      </c>
      <c r="E1137" t="s">
        <v>506</v>
      </c>
      <c r="F1137" t="s">
        <v>515</v>
      </c>
    </row>
    <row r="1138" spans="3:6" x14ac:dyDescent="0.35">
      <c r="C1138">
        <v>0</v>
      </c>
      <c r="D1138" t="s">
        <v>523</v>
      </c>
      <c r="E1138" t="s">
        <v>506</v>
      </c>
      <c r="F1138" t="s">
        <v>515</v>
      </c>
    </row>
    <row r="1139" spans="3:6" x14ac:dyDescent="0.35">
      <c r="C1139">
        <v>0</v>
      </c>
      <c r="D1139" t="s">
        <v>523</v>
      </c>
      <c r="E1139" t="s">
        <v>506</v>
      </c>
      <c r="F1139" t="s">
        <v>515</v>
      </c>
    </row>
    <row r="1140" spans="3:6" x14ac:dyDescent="0.35">
      <c r="C1140">
        <v>0</v>
      </c>
      <c r="D1140" t="s">
        <v>523</v>
      </c>
      <c r="E1140" t="s">
        <v>506</v>
      </c>
      <c r="F1140" t="s">
        <v>515</v>
      </c>
    </row>
    <row r="1141" spans="3:6" x14ac:dyDescent="0.35">
      <c r="C1141">
        <v>0</v>
      </c>
      <c r="D1141" t="s">
        <v>523</v>
      </c>
      <c r="E1141" t="s">
        <v>506</v>
      </c>
      <c r="F1141" t="s">
        <v>515</v>
      </c>
    </row>
    <row r="1142" spans="3:6" x14ac:dyDescent="0.35">
      <c r="C1142">
        <v>0</v>
      </c>
      <c r="D1142" t="s">
        <v>523</v>
      </c>
      <c r="E1142" t="s">
        <v>506</v>
      </c>
      <c r="F1142" t="s">
        <v>515</v>
      </c>
    </row>
    <row r="1143" spans="3:6" x14ac:dyDescent="0.35">
      <c r="C1143">
        <v>0</v>
      </c>
      <c r="D1143" t="s">
        <v>523</v>
      </c>
      <c r="E1143" t="s">
        <v>506</v>
      </c>
      <c r="F1143" t="s">
        <v>515</v>
      </c>
    </row>
    <row r="1144" spans="3:6" x14ac:dyDescent="0.35">
      <c r="C1144">
        <v>0</v>
      </c>
      <c r="D1144" t="s">
        <v>523</v>
      </c>
      <c r="E1144" t="s">
        <v>506</v>
      </c>
      <c r="F1144" t="s">
        <v>515</v>
      </c>
    </row>
    <row r="1145" spans="3:6" x14ac:dyDescent="0.35">
      <c r="C1145">
        <v>0</v>
      </c>
      <c r="D1145" t="s">
        <v>523</v>
      </c>
      <c r="E1145" t="s">
        <v>506</v>
      </c>
      <c r="F1145" t="s">
        <v>515</v>
      </c>
    </row>
    <row r="1146" spans="3:6" x14ac:dyDescent="0.35">
      <c r="C1146">
        <v>0</v>
      </c>
      <c r="D1146" t="s">
        <v>523</v>
      </c>
      <c r="E1146" t="s">
        <v>506</v>
      </c>
      <c r="F1146" t="s">
        <v>515</v>
      </c>
    </row>
    <row r="1147" spans="3:6" x14ac:dyDescent="0.35">
      <c r="C1147">
        <v>0</v>
      </c>
      <c r="D1147" t="s">
        <v>523</v>
      </c>
      <c r="E1147" t="s">
        <v>506</v>
      </c>
      <c r="F1147" t="s">
        <v>515</v>
      </c>
    </row>
    <row r="1148" spans="3:6" x14ac:dyDescent="0.35">
      <c r="C1148">
        <v>0</v>
      </c>
      <c r="D1148" t="s">
        <v>523</v>
      </c>
      <c r="E1148" t="s">
        <v>506</v>
      </c>
      <c r="F1148" t="s">
        <v>515</v>
      </c>
    </row>
    <row r="1149" spans="3:6" x14ac:dyDescent="0.35">
      <c r="C1149">
        <v>0</v>
      </c>
      <c r="D1149" t="s">
        <v>523</v>
      </c>
      <c r="E1149" t="s">
        <v>506</v>
      </c>
      <c r="F1149" t="s">
        <v>515</v>
      </c>
    </row>
    <row r="1150" spans="3:6" x14ac:dyDescent="0.35">
      <c r="C1150">
        <v>0</v>
      </c>
      <c r="D1150" t="s">
        <v>523</v>
      </c>
      <c r="E1150" t="s">
        <v>506</v>
      </c>
      <c r="F1150" t="s">
        <v>515</v>
      </c>
    </row>
    <row r="1151" spans="3:6" x14ac:dyDescent="0.35">
      <c r="C1151">
        <v>0</v>
      </c>
      <c r="D1151" t="s">
        <v>523</v>
      </c>
      <c r="E1151" t="s">
        <v>506</v>
      </c>
      <c r="F1151" t="s">
        <v>515</v>
      </c>
    </row>
    <row r="1152" spans="3:6" x14ac:dyDescent="0.35">
      <c r="C1152">
        <v>0</v>
      </c>
      <c r="D1152" t="s">
        <v>523</v>
      </c>
      <c r="E1152" t="s">
        <v>506</v>
      </c>
      <c r="F1152" t="s">
        <v>515</v>
      </c>
    </row>
    <row r="1153" spans="3:6" x14ac:dyDescent="0.35">
      <c r="C1153">
        <v>0</v>
      </c>
      <c r="D1153" t="s">
        <v>523</v>
      </c>
      <c r="E1153" t="s">
        <v>506</v>
      </c>
      <c r="F1153" t="s">
        <v>515</v>
      </c>
    </row>
    <row r="1154" spans="3:6" x14ac:dyDescent="0.35">
      <c r="C1154">
        <v>0</v>
      </c>
      <c r="D1154" t="s">
        <v>523</v>
      </c>
      <c r="E1154" t="s">
        <v>506</v>
      </c>
      <c r="F1154" t="s">
        <v>515</v>
      </c>
    </row>
    <row r="1155" spans="3:6" x14ac:dyDescent="0.35">
      <c r="C1155">
        <v>0</v>
      </c>
      <c r="D1155" t="s">
        <v>523</v>
      </c>
      <c r="E1155" t="s">
        <v>506</v>
      </c>
      <c r="F1155" t="s">
        <v>515</v>
      </c>
    </row>
    <row r="1156" spans="3:6" x14ac:dyDescent="0.35">
      <c r="C1156">
        <v>0</v>
      </c>
      <c r="D1156" t="s">
        <v>523</v>
      </c>
      <c r="E1156" t="s">
        <v>506</v>
      </c>
      <c r="F1156" t="s">
        <v>515</v>
      </c>
    </row>
    <row r="1157" spans="3:6" x14ac:dyDescent="0.35">
      <c r="C1157">
        <v>0</v>
      </c>
      <c r="D1157" t="s">
        <v>523</v>
      </c>
      <c r="E1157" t="s">
        <v>506</v>
      </c>
      <c r="F1157" t="s">
        <v>515</v>
      </c>
    </row>
    <row r="1158" spans="3:6" x14ac:dyDescent="0.35">
      <c r="C1158">
        <v>0</v>
      </c>
      <c r="D1158" t="s">
        <v>523</v>
      </c>
      <c r="E1158" t="s">
        <v>506</v>
      </c>
      <c r="F1158" t="s">
        <v>515</v>
      </c>
    </row>
    <row r="1159" spans="3:6" x14ac:dyDescent="0.35">
      <c r="C1159">
        <v>0</v>
      </c>
      <c r="D1159" t="s">
        <v>523</v>
      </c>
      <c r="E1159" t="s">
        <v>506</v>
      </c>
      <c r="F1159" t="s">
        <v>515</v>
      </c>
    </row>
    <row r="1160" spans="3:6" x14ac:dyDescent="0.35">
      <c r="C1160">
        <v>0</v>
      </c>
      <c r="D1160" t="s">
        <v>523</v>
      </c>
      <c r="E1160" t="s">
        <v>506</v>
      </c>
      <c r="F1160" t="s">
        <v>515</v>
      </c>
    </row>
    <row r="1161" spans="3:6" x14ac:dyDescent="0.35">
      <c r="C1161">
        <v>0</v>
      </c>
      <c r="D1161" t="s">
        <v>523</v>
      </c>
      <c r="E1161" t="s">
        <v>506</v>
      </c>
      <c r="F1161" t="s">
        <v>515</v>
      </c>
    </row>
    <row r="1162" spans="3:6" x14ac:dyDescent="0.35">
      <c r="C1162">
        <v>0</v>
      </c>
      <c r="D1162" t="s">
        <v>523</v>
      </c>
      <c r="E1162" t="s">
        <v>506</v>
      </c>
      <c r="F1162" t="s">
        <v>515</v>
      </c>
    </row>
    <row r="1163" spans="3:6" x14ac:dyDescent="0.35">
      <c r="C1163">
        <v>0</v>
      </c>
      <c r="D1163" t="s">
        <v>523</v>
      </c>
      <c r="E1163" t="s">
        <v>506</v>
      </c>
      <c r="F1163" t="s">
        <v>515</v>
      </c>
    </row>
    <row r="1164" spans="3:6" x14ac:dyDescent="0.35">
      <c r="C1164">
        <v>0</v>
      </c>
      <c r="D1164" t="s">
        <v>523</v>
      </c>
      <c r="E1164" t="s">
        <v>506</v>
      </c>
      <c r="F1164" t="s">
        <v>515</v>
      </c>
    </row>
    <row r="1165" spans="3:6" x14ac:dyDescent="0.35">
      <c r="C1165">
        <v>0</v>
      </c>
      <c r="D1165" t="s">
        <v>523</v>
      </c>
      <c r="E1165" t="s">
        <v>506</v>
      </c>
      <c r="F1165" t="s">
        <v>515</v>
      </c>
    </row>
    <row r="1166" spans="3:6" x14ac:dyDescent="0.35">
      <c r="C1166">
        <v>0</v>
      </c>
      <c r="D1166" t="s">
        <v>523</v>
      </c>
      <c r="E1166" t="s">
        <v>506</v>
      </c>
      <c r="F1166" t="s">
        <v>515</v>
      </c>
    </row>
    <row r="1167" spans="3:6" x14ac:dyDescent="0.35">
      <c r="C1167">
        <v>0</v>
      </c>
      <c r="D1167" t="s">
        <v>523</v>
      </c>
      <c r="E1167" t="s">
        <v>506</v>
      </c>
      <c r="F1167" t="s">
        <v>515</v>
      </c>
    </row>
    <row r="1168" spans="3:6" x14ac:dyDescent="0.35">
      <c r="C1168">
        <v>0</v>
      </c>
      <c r="D1168" t="s">
        <v>523</v>
      </c>
      <c r="E1168" t="s">
        <v>506</v>
      </c>
      <c r="F1168" t="s">
        <v>515</v>
      </c>
    </row>
    <row r="1169" spans="3:6" x14ac:dyDescent="0.35">
      <c r="C1169">
        <v>0</v>
      </c>
      <c r="D1169" t="s">
        <v>523</v>
      </c>
      <c r="E1169" t="s">
        <v>506</v>
      </c>
      <c r="F1169" t="s">
        <v>515</v>
      </c>
    </row>
    <row r="1170" spans="3:6" x14ac:dyDescent="0.35">
      <c r="C1170">
        <v>0</v>
      </c>
      <c r="D1170" t="s">
        <v>523</v>
      </c>
      <c r="E1170" t="s">
        <v>506</v>
      </c>
      <c r="F1170" t="s">
        <v>515</v>
      </c>
    </row>
    <row r="1171" spans="3:6" x14ac:dyDescent="0.35">
      <c r="C1171">
        <v>0</v>
      </c>
      <c r="D1171" t="s">
        <v>523</v>
      </c>
      <c r="E1171" t="s">
        <v>506</v>
      </c>
      <c r="F1171" t="s">
        <v>515</v>
      </c>
    </row>
    <row r="1172" spans="3:6" x14ac:dyDescent="0.35">
      <c r="C1172">
        <v>0</v>
      </c>
      <c r="D1172" t="s">
        <v>523</v>
      </c>
      <c r="E1172" t="s">
        <v>506</v>
      </c>
      <c r="F1172" t="s">
        <v>515</v>
      </c>
    </row>
    <row r="1173" spans="3:6" x14ac:dyDescent="0.35">
      <c r="C1173">
        <v>0</v>
      </c>
      <c r="D1173" t="s">
        <v>523</v>
      </c>
      <c r="E1173" t="s">
        <v>506</v>
      </c>
      <c r="F1173" t="s">
        <v>515</v>
      </c>
    </row>
    <row r="1174" spans="3:6" x14ac:dyDescent="0.35">
      <c r="C1174">
        <v>0</v>
      </c>
      <c r="D1174" t="s">
        <v>523</v>
      </c>
      <c r="E1174" t="s">
        <v>506</v>
      </c>
      <c r="F1174" t="s">
        <v>515</v>
      </c>
    </row>
    <row r="1175" spans="3:6" x14ac:dyDescent="0.35">
      <c r="C1175">
        <v>0</v>
      </c>
      <c r="D1175" t="s">
        <v>523</v>
      </c>
      <c r="E1175" t="s">
        <v>506</v>
      </c>
      <c r="F1175" t="s">
        <v>515</v>
      </c>
    </row>
    <row r="1176" spans="3:6" x14ac:dyDescent="0.35">
      <c r="C1176">
        <v>0</v>
      </c>
      <c r="D1176" t="s">
        <v>523</v>
      </c>
      <c r="E1176" t="s">
        <v>506</v>
      </c>
      <c r="F1176" t="s">
        <v>515</v>
      </c>
    </row>
    <row r="1177" spans="3:6" x14ac:dyDescent="0.35">
      <c r="C1177">
        <v>0</v>
      </c>
      <c r="D1177" t="s">
        <v>523</v>
      </c>
      <c r="E1177" t="s">
        <v>506</v>
      </c>
      <c r="F1177" t="s">
        <v>515</v>
      </c>
    </row>
    <row r="1178" spans="3:6" x14ac:dyDescent="0.35">
      <c r="C1178">
        <v>0</v>
      </c>
      <c r="D1178" t="s">
        <v>523</v>
      </c>
      <c r="E1178" t="s">
        <v>506</v>
      </c>
      <c r="F1178" t="s">
        <v>515</v>
      </c>
    </row>
    <row r="1179" spans="3:6" x14ac:dyDescent="0.35">
      <c r="C1179">
        <v>0</v>
      </c>
      <c r="D1179" t="s">
        <v>523</v>
      </c>
      <c r="E1179" t="s">
        <v>506</v>
      </c>
      <c r="F1179" t="s">
        <v>515</v>
      </c>
    </row>
    <row r="1180" spans="3:6" x14ac:dyDescent="0.35">
      <c r="C1180">
        <v>0</v>
      </c>
      <c r="D1180" t="s">
        <v>523</v>
      </c>
      <c r="E1180" t="s">
        <v>506</v>
      </c>
      <c r="F1180" t="s">
        <v>515</v>
      </c>
    </row>
    <row r="1181" spans="3:6" x14ac:dyDescent="0.35">
      <c r="C1181">
        <v>0</v>
      </c>
      <c r="D1181" t="s">
        <v>523</v>
      </c>
      <c r="E1181" t="s">
        <v>506</v>
      </c>
      <c r="F1181" t="s">
        <v>515</v>
      </c>
    </row>
    <row r="1182" spans="3:6" x14ac:dyDescent="0.35">
      <c r="C1182">
        <v>0</v>
      </c>
      <c r="D1182" t="s">
        <v>523</v>
      </c>
      <c r="E1182" t="s">
        <v>506</v>
      </c>
      <c r="F1182" t="s">
        <v>515</v>
      </c>
    </row>
    <row r="1183" spans="3:6" x14ac:dyDescent="0.35">
      <c r="C1183">
        <v>0</v>
      </c>
      <c r="D1183" t="s">
        <v>523</v>
      </c>
      <c r="E1183" t="s">
        <v>506</v>
      </c>
      <c r="F1183" t="s">
        <v>515</v>
      </c>
    </row>
    <row r="1184" spans="3:6" x14ac:dyDescent="0.35">
      <c r="C1184">
        <v>0</v>
      </c>
      <c r="D1184" t="s">
        <v>523</v>
      </c>
      <c r="E1184" t="s">
        <v>506</v>
      </c>
      <c r="F1184" t="s">
        <v>515</v>
      </c>
    </row>
    <row r="1185" spans="3:6" x14ac:dyDescent="0.35">
      <c r="C1185">
        <v>0</v>
      </c>
      <c r="D1185" t="s">
        <v>523</v>
      </c>
      <c r="E1185" t="s">
        <v>506</v>
      </c>
      <c r="F1185" t="s">
        <v>515</v>
      </c>
    </row>
    <row r="1186" spans="3:6" x14ac:dyDescent="0.35">
      <c r="C1186">
        <v>0</v>
      </c>
      <c r="D1186" t="s">
        <v>523</v>
      </c>
      <c r="E1186" t="s">
        <v>506</v>
      </c>
      <c r="F1186" t="s">
        <v>515</v>
      </c>
    </row>
    <row r="1187" spans="3:6" x14ac:dyDescent="0.35">
      <c r="C1187">
        <v>0</v>
      </c>
      <c r="D1187" t="s">
        <v>523</v>
      </c>
      <c r="E1187" t="s">
        <v>506</v>
      </c>
      <c r="F1187" t="s">
        <v>515</v>
      </c>
    </row>
    <row r="1188" spans="3:6" x14ac:dyDescent="0.35">
      <c r="C1188">
        <v>0</v>
      </c>
      <c r="D1188" t="s">
        <v>523</v>
      </c>
      <c r="E1188" t="s">
        <v>506</v>
      </c>
      <c r="F1188" t="s">
        <v>515</v>
      </c>
    </row>
    <row r="1189" spans="3:6" x14ac:dyDescent="0.35">
      <c r="C1189">
        <v>0</v>
      </c>
      <c r="D1189" t="s">
        <v>523</v>
      </c>
      <c r="E1189" t="s">
        <v>506</v>
      </c>
      <c r="F1189" t="s">
        <v>515</v>
      </c>
    </row>
    <row r="1190" spans="3:6" x14ac:dyDescent="0.35">
      <c r="C1190">
        <v>0</v>
      </c>
      <c r="D1190" t="s">
        <v>523</v>
      </c>
      <c r="E1190" t="s">
        <v>506</v>
      </c>
      <c r="F1190" t="s">
        <v>515</v>
      </c>
    </row>
    <row r="1191" spans="3:6" x14ac:dyDescent="0.35">
      <c r="C1191">
        <v>0</v>
      </c>
      <c r="D1191" t="s">
        <v>523</v>
      </c>
      <c r="E1191" t="s">
        <v>506</v>
      </c>
      <c r="F1191" t="s">
        <v>515</v>
      </c>
    </row>
    <row r="1192" spans="3:6" x14ac:dyDescent="0.35">
      <c r="C1192">
        <v>0</v>
      </c>
      <c r="D1192" t="s">
        <v>523</v>
      </c>
      <c r="E1192" t="s">
        <v>506</v>
      </c>
      <c r="F1192" t="s">
        <v>515</v>
      </c>
    </row>
    <row r="1193" spans="3:6" x14ac:dyDescent="0.35">
      <c r="C1193">
        <v>0</v>
      </c>
      <c r="D1193" t="s">
        <v>523</v>
      </c>
      <c r="E1193" t="s">
        <v>506</v>
      </c>
      <c r="F1193" t="s">
        <v>515</v>
      </c>
    </row>
    <row r="1194" spans="3:6" x14ac:dyDescent="0.35">
      <c r="C1194">
        <v>0</v>
      </c>
      <c r="D1194" t="s">
        <v>523</v>
      </c>
      <c r="E1194" t="s">
        <v>506</v>
      </c>
      <c r="F1194" t="s">
        <v>515</v>
      </c>
    </row>
    <row r="1195" spans="3:6" x14ac:dyDescent="0.35">
      <c r="C1195">
        <v>0</v>
      </c>
      <c r="D1195" t="s">
        <v>523</v>
      </c>
      <c r="E1195" t="s">
        <v>506</v>
      </c>
      <c r="F1195" t="s">
        <v>515</v>
      </c>
    </row>
    <row r="1196" spans="3:6" x14ac:dyDescent="0.35">
      <c r="C1196">
        <v>0</v>
      </c>
      <c r="D1196" t="s">
        <v>523</v>
      </c>
      <c r="E1196" t="s">
        <v>506</v>
      </c>
      <c r="F1196" t="s">
        <v>515</v>
      </c>
    </row>
    <row r="1197" spans="3:6" x14ac:dyDescent="0.35">
      <c r="C1197">
        <v>0</v>
      </c>
      <c r="D1197" t="s">
        <v>523</v>
      </c>
      <c r="E1197" t="s">
        <v>506</v>
      </c>
      <c r="F1197" t="s">
        <v>515</v>
      </c>
    </row>
    <row r="1198" spans="3:6" x14ac:dyDescent="0.35">
      <c r="C1198">
        <v>0</v>
      </c>
      <c r="D1198" t="s">
        <v>523</v>
      </c>
      <c r="E1198" t="s">
        <v>506</v>
      </c>
      <c r="F1198" t="s">
        <v>515</v>
      </c>
    </row>
    <row r="1199" spans="3:6" x14ac:dyDescent="0.35">
      <c r="C1199">
        <v>0</v>
      </c>
      <c r="D1199" t="s">
        <v>523</v>
      </c>
      <c r="E1199" t="s">
        <v>506</v>
      </c>
      <c r="F1199" t="s">
        <v>515</v>
      </c>
    </row>
    <row r="1200" spans="3:6" x14ac:dyDescent="0.35">
      <c r="C1200">
        <v>0</v>
      </c>
      <c r="D1200" t="s">
        <v>523</v>
      </c>
      <c r="E1200" t="s">
        <v>506</v>
      </c>
      <c r="F1200" t="s">
        <v>515</v>
      </c>
    </row>
    <row r="1201" spans="3:6" x14ac:dyDescent="0.35">
      <c r="C1201">
        <v>0</v>
      </c>
      <c r="D1201" t="s">
        <v>523</v>
      </c>
      <c r="E1201" t="s">
        <v>506</v>
      </c>
      <c r="F1201" t="s">
        <v>515</v>
      </c>
    </row>
    <row r="1202" spans="3:6" x14ac:dyDescent="0.35">
      <c r="C1202">
        <v>0</v>
      </c>
      <c r="D1202" t="s">
        <v>523</v>
      </c>
      <c r="E1202" t="s">
        <v>506</v>
      </c>
      <c r="F1202" t="s">
        <v>515</v>
      </c>
    </row>
    <row r="1203" spans="3:6" x14ac:dyDescent="0.35">
      <c r="C1203">
        <v>0</v>
      </c>
      <c r="D1203" t="s">
        <v>523</v>
      </c>
      <c r="E1203" t="s">
        <v>506</v>
      </c>
      <c r="F1203" t="s">
        <v>515</v>
      </c>
    </row>
    <row r="1204" spans="3:6" x14ac:dyDescent="0.35">
      <c r="C1204">
        <v>0</v>
      </c>
      <c r="D1204" t="s">
        <v>523</v>
      </c>
      <c r="E1204" t="s">
        <v>506</v>
      </c>
      <c r="F1204" t="s">
        <v>515</v>
      </c>
    </row>
    <row r="1205" spans="3:6" x14ac:dyDescent="0.35">
      <c r="C1205">
        <v>0</v>
      </c>
      <c r="D1205" t="s">
        <v>523</v>
      </c>
      <c r="E1205" t="s">
        <v>506</v>
      </c>
      <c r="F1205" t="s">
        <v>515</v>
      </c>
    </row>
    <row r="1206" spans="3:6" x14ac:dyDescent="0.35">
      <c r="C1206">
        <v>0</v>
      </c>
      <c r="D1206" t="s">
        <v>523</v>
      </c>
      <c r="E1206" t="s">
        <v>506</v>
      </c>
      <c r="F1206" t="s">
        <v>515</v>
      </c>
    </row>
    <row r="1207" spans="3:6" x14ac:dyDescent="0.35">
      <c r="C1207">
        <v>0</v>
      </c>
      <c r="D1207" t="s">
        <v>523</v>
      </c>
      <c r="E1207" t="s">
        <v>506</v>
      </c>
      <c r="F1207" t="s">
        <v>515</v>
      </c>
    </row>
    <row r="1208" spans="3:6" x14ac:dyDescent="0.35">
      <c r="C1208">
        <v>0</v>
      </c>
      <c r="D1208" t="s">
        <v>523</v>
      </c>
      <c r="E1208" t="s">
        <v>506</v>
      </c>
      <c r="F1208" t="s">
        <v>515</v>
      </c>
    </row>
    <row r="1209" spans="3:6" x14ac:dyDescent="0.35">
      <c r="C1209">
        <v>0</v>
      </c>
      <c r="D1209" t="s">
        <v>523</v>
      </c>
      <c r="E1209" t="s">
        <v>506</v>
      </c>
      <c r="F1209" t="s">
        <v>515</v>
      </c>
    </row>
    <row r="1210" spans="3:6" x14ac:dyDescent="0.35">
      <c r="C1210">
        <v>0</v>
      </c>
      <c r="D1210" t="s">
        <v>523</v>
      </c>
      <c r="E1210" t="s">
        <v>506</v>
      </c>
      <c r="F1210" t="s">
        <v>515</v>
      </c>
    </row>
    <row r="1211" spans="3:6" x14ac:dyDescent="0.35">
      <c r="C1211">
        <v>0</v>
      </c>
      <c r="D1211" t="s">
        <v>523</v>
      </c>
      <c r="E1211" t="s">
        <v>506</v>
      </c>
      <c r="F1211" t="s">
        <v>515</v>
      </c>
    </row>
    <row r="1212" spans="3:6" x14ac:dyDescent="0.35">
      <c r="C1212">
        <v>0</v>
      </c>
      <c r="D1212" t="s">
        <v>523</v>
      </c>
      <c r="E1212" t="s">
        <v>506</v>
      </c>
      <c r="F1212" t="s">
        <v>515</v>
      </c>
    </row>
    <row r="1213" spans="3:6" x14ac:dyDescent="0.35">
      <c r="C1213">
        <v>0</v>
      </c>
      <c r="D1213" t="s">
        <v>523</v>
      </c>
      <c r="E1213" t="s">
        <v>506</v>
      </c>
      <c r="F1213" t="s">
        <v>515</v>
      </c>
    </row>
    <row r="1214" spans="3:6" x14ac:dyDescent="0.35">
      <c r="C1214">
        <v>0</v>
      </c>
      <c r="D1214" t="s">
        <v>523</v>
      </c>
      <c r="E1214" t="s">
        <v>506</v>
      </c>
      <c r="F1214" t="s">
        <v>515</v>
      </c>
    </row>
    <row r="1215" spans="3:6" x14ac:dyDescent="0.35">
      <c r="C1215">
        <v>0</v>
      </c>
      <c r="D1215" t="s">
        <v>523</v>
      </c>
      <c r="E1215" t="s">
        <v>506</v>
      </c>
      <c r="F1215" t="s">
        <v>515</v>
      </c>
    </row>
    <row r="1216" spans="3:6" x14ac:dyDescent="0.35">
      <c r="C1216">
        <v>0</v>
      </c>
      <c r="D1216" t="s">
        <v>523</v>
      </c>
      <c r="E1216" t="s">
        <v>506</v>
      </c>
      <c r="F1216" t="s">
        <v>515</v>
      </c>
    </row>
    <row r="1217" spans="3:6" x14ac:dyDescent="0.35">
      <c r="C1217">
        <v>0</v>
      </c>
      <c r="D1217" t="s">
        <v>523</v>
      </c>
      <c r="E1217" t="s">
        <v>506</v>
      </c>
      <c r="F1217" t="s">
        <v>515</v>
      </c>
    </row>
    <row r="1218" spans="3:6" x14ac:dyDescent="0.35">
      <c r="C1218">
        <v>0</v>
      </c>
      <c r="D1218" t="s">
        <v>523</v>
      </c>
      <c r="E1218" t="s">
        <v>506</v>
      </c>
      <c r="F1218" t="s">
        <v>515</v>
      </c>
    </row>
    <row r="1219" spans="3:6" x14ac:dyDescent="0.35">
      <c r="C1219">
        <v>0</v>
      </c>
      <c r="D1219" t="s">
        <v>523</v>
      </c>
      <c r="E1219" t="s">
        <v>506</v>
      </c>
      <c r="F1219" t="s">
        <v>515</v>
      </c>
    </row>
    <row r="1220" spans="3:6" x14ac:dyDescent="0.35">
      <c r="C1220">
        <v>0</v>
      </c>
      <c r="D1220" t="s">
        <v>523</v>
      </c>
      <c r="E1220" t="s">
        <v>506</v>
      </c>
      <c r="F1220" t="s">
        <v>515</v>
      </c>
    </row>
    <row r="1221" spans="3:6" x14ac:dyDescent="0.35">
      <c r="C1221">
        <v>0</v>
      </c>
      <c r="D1221" t="s">
        <v>523</v>
      </c>
      <c r="E1221" t="s">
        <v>506</v>
      </c>
      <c r="F1221" t="s">
        <v>515</v>
      </c>
    </row>
    <row r="1222" spans="3:6" x14ac:dyDescent="0.35">
      <c r="C1222">
        <v>0</v>
      </c>
      <c r="D1222" t="s">
        <v>523</v>
      </c>
      <c r="E1222" t="s">
        <v>506</v>
      </c>
      <c r="F1222" t="s">
        <v>515</v>
      </c>
    </row>
    <row r="1223" spans="3:6" x14ac:dyDescent="0.35">
      <c r="C1223">
        <v>0</v>
      </c>
      <c r="D1223" t="s">
        <v>523</v>
      </c>
      <c r="E1223" t="s">
        <v>506</v>
      </c>
      <c r="F1223" t="s">
        <v>515</v>
      </c>
    </row>
    <row r="1224" spans="3:6" x14ac:dyDescent="0.35">
      <c r="C1224">
        <v>0</v>
      </c>
      <c r="D1224" t="s">
        <v>523</v>
      </c>
      <c r="E1224" t="s">
        <v>506</v>
      </c>
      <c r="F1224" t="s">
        <v>515</v>
      </c>
    </row>
    <row r="1225" spans="3:6" x14ac:dyDescent="0.35">
      <c r="C1225">
        <v>0</v>
      </c>
      <c r="D1225" t="s">
        <v>523</v>
      </c>
      <c r="E1225" t="s">
        <v>506</v>
      </c>
      <c r="F1225" t="s">
        <v>515</v>
      </c>
    </row>
    <row r="1226" spans="3:6" x14ac:dyDescent="0.35">
      <c r="C1226">
        <v>0</v>
      </c>
      <c r="D1226" t="s">
        <v>523</v>
      </c>
      <c r="E1226" t="s">
        <v>506</v>
      </c>
      <c r="F1226" t="s">
        <v>515</v>
      </c>
    </row>
    <row r="1227" spans="3:6" x14ac:dyDescent="0.35">
      <c r="C1227">
        <v>0</v>
      </c>
      <c r="D1227" t="s">
        <v>523</v>
      </c>
      <c r="E1227" t="s">
        <v>506</v>
      </c>
      <c r="F1227" t="s">
        <v>515</v>
      </c>
    </row>
    <row r="1228" spans="3:6" x14ac:dyDescent="0.35">
      <c r="C1228">
        <v>0</v>
      </c>
      <c r="D1228" t="s">
        <v>523</v>
      </c>
      <c r="E1228" t="s">
        <v>506</v>
      </c>
      <c r="F1228" t="s">
        <v>515</v>
      </c>
    </row>
    <row r="1229" spans="3:6" x14ac:dyDescent="0.35">
      <c r="C1229">
        <v>0</v>
      </c>
      <c r="D1229" t="s">
        <v>523</v>
      </c>
      <c r="E1229" t="s">
        <v>506</v>
      </c>
      <c r="F1229" t="s">
        <v>515</v>
      </c>
    </row>
    <row r="1230" spans="3:6" x14ac:dyDescent="0.35">
      <c r="C1230">
        <v>0</v>
      </c>
      <c r="D1230" t="s">
        <v>523</v>
      </c>
      <c r="E1230" t="s">
        <v>506</v>
      </c>
      <c r="F1230" t="s">
        <v>515</v>
      </c>
    </row>
    <row r="1231" spans="3:6" x14ac:dyDescent="0.35">
      <c r="C1231">
        <v>0</v>
      </c>
      <c r="D1231" t="s">
        <v>523</v>
      </c>
      <c r="E1231" t="s">
        <v>506</v>
      </c>
      <c r="F1231" t="s">
        <v>515</v>
      </c>
    </row>
    <row r="1232" spans="3:6" x14ac:dyDescent="0.35">
      <c r="C1232">
        <v>0</v>
      </c>
      <c r="D1232" t="s">
        <v>523</v>
      </c>
      <c r="E1232" t="s">
        <v>506</v>
      </c>
      <c r="F1232" t="s">
        <v>515</v>
      </c>
    </row>
    <row r="1233" spans="3:6" x14ac:dyDescent="0.35">
      <c r="C1233">
        <v>0</v>
      </c>
      <c r="D1233" t="s">
        <v>523</v>
      </c>
      <c r="E1233" t="s">
        <v>506</v>
      </c>
      <c r="F1233" t="s">
        <v>515</v>
      </c>
    </row>
    <row r="1234" spans="3:6" x14ac:dyDescent="0.35">
      <c r="C1234">
        <v>0</v>
      </c>
      <c r="D1234" t="s">
        <v>523</v>
      </c>
      <c r="E1234" t="s">
        <v>506</v>
      </c>
      <c r="F1234" t="s">
        <v>515</v>
      </c>
    </row>
    <row r="1235" spans="3:6" x14ac:dyDescent="0.35">
      <c r="C1235">
        <v>0</v>
      </c>
      <c r="D1235" t="s">
        <v>523</v>
      </c>
      <c r="E1235" t="s">
        <v>506</v>
      </c>
      <c r="F1235" t="s">
        <v>515</v>
      </c>
    </row>
    <row r="1236" spans="3:6" x14ac:dyDescent="0.35">
      <c r="C1236">
        <v>0</v>
      </c>
      <c r="D1236" t="s">
        <v>523</v>
      </c>
      <c r="E1236" t="s">
        <v>506</v>
      </c>
      <c r="F1236" t="s">
        <v>515</v>
      </c>
    </row>
    <row r="1237" spans="3:6" x14ac:dyDescent="0.35">
      <c r="C1237">
        <v>0</v>
      </c>
      <c r="D1237" t="s">
        <v>523</v>
      </c>
      <c r="E1237" t="s">
        <v>506</v>
      </c>
      <c r="F1237" t="s">
        <v>515</v>
      </c>
    </row>
    <row r="1238" spans="3:6" x14ac:dyDescent="0.35">
      <c r="C1238">
        <v>0</v>
      </c>
      <c r="D1238" t="s">
        <v>523</v>
      </c>
      <c r="E1238" t="s">
        <v>506</v>
      </c>
      <c r="F1238" t="s">
        <v>515</v>
      </c>
    </row>
    <row r="1239" spans="3:6" x14ac:dyDescent="0.35">
      <c r="C1239">
        <v>0</v>
      </c>
      <c r="D1239" t="s">
        <v>523</v>
      </c>
      <c r="E1239" t="s">
        <v>506</v>
      </c>
      <c r="F1239" t="s">
        <v>515</v>
      </c>
    </row>
    <row r="1240" spans="3:6" x14ac:dyDescent="0.35">
      <c r="C1240">
        <v>0</v>
      </c>
      <c r="D1240" t="s">
        <v>523</v>
      </c>
      <c r="E1240" t="s">
        <v>506</v>
      </c>
      <c r="F1240" t="s">
        <v>515</v>
      </c>
    </row>
    <row r="1241" spans="3:6" x14ac:dyDescent="0.35">
      <c r="C1241">
        <v>0</v>
      </c>
      <c r="D1241" t="s">
        <v>523</v>
      </c>
      <c r="E1241" t="s">
        <v>506</v>
      </c>
      <c r="F1241" t="s">
        <v>515</v>
      </c>
    </row>
    <row r="1242" spans="3:6" x14ac:dyDescent="0.35">
      <c r="C1242">
        <v>0</v>
      </c>
      <c r="D1242" t="s">
        <v>523</v>
      </c>
      <c r="E1242" t="s">
        <v>506</v>
      </c>
      <c r="F1242" t="s">
        <v>515</v>
      </c>
    </row>
    <row r="1243" spans="3:6" x14ac:dyDescent="0.35">
      <c r="C1243">
        <v>0</v>
      </c>
      <c r="D1243" t="s">
        <v>523</v>
      </c>
      <c r="E1243" t="s">
        <v>506</v>
      </c>
      <c r="F1243" t="s">
        <v>515</v>
      </c>
    </row>
    <row r="1244" spans="3:6" x14ac:dyDescent="0.35">
      <c r="C1244">
        <v>0</v>
      </c>
      <c r="D1244" t="s">
        <v>523</v>
      </c>
      <c r="E1244" t="s">
        <v>506</v>
      </c>
      <c r="F1244" t="s">
        <v>515</v>
      </c>
    </row>
  </sheetData>
  <conditionalFormatting sqref="A892:A894">
    <cfRule type="expression" dxfId="17" priority="9">
      <formula>$R892=TRUE</formula>
    </cfRule>
  </conditionalFormatting>
  <conditionalFormatting sqref="A892:A940">
    <cfRule type="containsText" dxfId="16" priority="10" operator="containsText" text=" ">
      <formula>NOT(ISERROR(SEARCH(" ",A892)))</formula>
    </cfRule>
  </conditionalFormatting>
  <conditionalFormatting sqref="A942:A943 C942:C943">
    <cfRule type="containsText" dxfId="15" priority="113" operator="containsText" text=" ">
      <formula>NOT(ISERROR(SEARCH(" ",A942)))</formula>
    </cfRule>
  </conditionalFormatting>
  <conditionalFormatting sqref="A946:A950 C946:C950">
    <cfRule type="containsText" dxfId="14" priority="110" operator="containsText" text=" ">
      <formula>NOT(ISERROR(SEARCH(" ",A946)))</formula>
    </cfRule>
  </conditionalFormatting>
  <conditionalFormatting sqref="A952:A953 C952:C953">
    <cfRule type="containsText" dxfId="13" priority="108" operator="containsText" text=" ">
      <formula>NOT(ISERROR(SEARCH(" ",A952)))</formula>
    </cfRule>
  </conditionalFormatting>
  <conditionalFormatting sqref="A956:A971 C956:C971">
    <cfRule type="containsText" dxfId="12" priority="91" operator="containsText" text=" ">
      <formula>NOT(ISERROR(SEARCH(" ",A956)))</formula>
    </cfRule>
  </conditionalFormatting>
  <conditionalFormatting sqref="A974:A977 C974:C977">
    <cfRule type="containsText" dxfId="11" priority="87" operator="containsText" text=" ">
      <formula>NOT(ISERROR(SEARCH(" ",A974)))</formula>
    </cfRule>
  </conditionalFormatting>
  <conditionalFormatting sqref="A979:A982 C979:C982">
    <cfRule type="containsText" dxfId="10" priority="83" operator="containsText" text=" ">
      <formula>NOT(ISERROR(SEARCH(" ",A979)))</formula>
    </cfRule>
  </conditionalFormatting>
  <conditionalFormatting sqref="A985:A986 C985:C986">
    <cfRule type="containsText" dxfId="9" priority="81" operator="containsText" text=" ">
      <formula>NOT(ISERROR(SEARCH(" ",A985)))</formula>
    </cfRule>
  </conditionalFormatting>
  <conditionalFormatting sqref="A988:A991 C988:C991">
    <cfRule type="containsText" dxfId="8" priority="77" operator="containsText" text=" ">
      <formula>NOT(ISERROR(SEARCH(" ",A988)))</formula>
    </cfRule>
  </conditionalFormatting>
  <conditionalFormatting sqref="A994:A1029 C994:C1029">
    <cfRule type="containsText" dxfId="7" priority="42" operator="containsText" text=" ">
      <formula>NOT(ISERROR(SEARCH(" ",A994)))</formula>
    </cfRule>
  </conditionalFormatting>
  <conditionalFormatting sqref="A1031:A1058">
    <cfRule type="containsText" dxfId="6" priority="2" operator="containsText" text=" ">
      <formula>NOT(ISERROR(SEARCH(" ",A1031)))</formula>
    </cfRule>
  </conditionalFormatting>
  <conditionalFormatting sqref="A1050">
    <cfRule type="expression" dxfId="5" priority="29">
      <formula>$AU1050=TRUE</formula>
    </cfRule>
  </conditionalFormatting>
  <conditionalFormatting sqref="A1050:A1058">
    <cfRule type="expression" dxfId="4" priority="1">
      <formula>$R1050=TRUE</formula>
    </cfRule>
  </conditionalFormatting>
  <conditionalFormatting sqref="A1052:A1053">
    <cfRule type="expression" dxfId="3" priority="21">
      <formula>$AV1052=TRUE</formula>
    </cfRule>
  </conditionalFormatting>
  <conditionalFormatting sqref="C893:C940">
    <cfRule type="containsText" dxfId="2" priority="115" operator="containsText" text=" ">
      <formula>NOT(ISERROR(SEARCH(" ",C893)))</formula>
    </cfRule>
  </conditionalFormatting>
  <conditionalFormatting sqref="C1031:C1048">
    <cfRule type="containsText" dxfId="1" priority="32" operator="containsText" text=" ">
      <formula>NOT(ISERROR(SEARCH(" ",C1031)))</formula>
    </cfRule>
  </conditionalFormatting>
  <conditionalFormatting sqref="D1:E1048576">
    <cfRule type="containsText" dxfId="0" priority="164" operator="containsText" text="FALSE">
      <formula>NOT(ISERROR(SEARCH("FALSE",D1)))</formula>
    </cfRule>
  </conditionalFormatting>
  <dataValidations count="1">
    <dataValidation type="list" allowBlank="1" showInputMessage="1" showErrorMessage="1" sqref="J790:M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1664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3664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3663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1939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1940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1941</v>
      </c>
      <c r="E9" t="s">
        <v>1818</v>
      </c>
      <c r="G9" t="s">
        <v>1819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1699</v>
      </c>
      <c r="G11" t="s">
        <v>1700</v>
      </c>
      <c r="K11" s="13" t="s">
        <v>1821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1938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1942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3659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3660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1717</v>
      </c>
    </row>
    <row r="17" spans="1:17" x14ac:dyDescent="0.35">
      <c r="A17" t="s">
        <v>1937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1943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3657</v>
      </c>
    </row>
    <row r="20" spans="1:17" x14ac:dyDescent="0.35">
      <c r="A20" t="s">
        <v>231</v>
      </c>
      <c r="K20" s="13" t="s">
        <v>1702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3658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1521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3661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3662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3440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3441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1940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1794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3539</v>
      </c>
      <c r="C3" s="6">
        <v>2000</v>
      </c>
      <c r="D3" s="6">
        <v>2499</v>
      </c>
      <c r="E3" t="s">
        <v>328</v>
      </c>
    </row>
    <row r="4" spans="1:5" x14ac:dyDescent="0.35">
      <c r="A4" t="s">
        <v>1806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1821</v>
      </c>
      <c r="B11" t="s">
        <v>271</v>
      </c>
      <c r="C11" s="6">
        <v>10000</v>
      </c>
      <c r="D11" s="6">
        <v>10499</v>
      </c>
      <c r="E11" t="s">
        <v>1820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1820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1909</v>
      </c>
      <c r="B19" t="s">
        <v>1910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1521</v>
      </c>
      <c r="B21" t="s">
        <v>1522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1702</v>
      </c>
      <c r="B22" t="s">
        <v>1703</v>
      </c>
      <c r="C22" s="6">
        <v>15000</v>
      </c>
      <c r="D22" s="6">
        <v>15499</v>
      </c>
      <c r="E22" t="s">
        <v>1701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21" sqref="A821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60</v>
      </c>
      <c r="C3" t="s">
        <v>336</v>
      </c>
    </row>
    <row r="4" spans="1:3" x14ac:dyDescent="0.35">
      <c r="A4" t="s">
        <v>341</v>
      </c>
      <c r="B4">
        <v>20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control</vt:lpstr>
      <vt:lpstr>properties</vt:lpstr>
      <vt:lpstr>track_types</vt:lpstr>
      <vt:lpstr>graphics_properties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2026-10-28T08:03:03Z</dcterms:modified>
</cp:coreProperties>
</file>