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CE8A287D-5177-4D17-8F7B-95F25B79A375}" xr6:coauthVersionLast="47" xr6:coauthVersionMax="47" xr10:uidLastSave="{00000000-0000-0000-0000-000000000000}"/>
  <bookViews>
    <workbookView xWindow="-103" yWindow="-103" windowWidth="22149" windowHeight="13320" xr2:uid="{CD617D9B-F36C-46EF-BCBA-53A7DDA5DBDF}"/>
  </bookViews>
  <sheets>
    <sheet name="properties" sheetId="1" r:id="rId1"/>
    <sheet name="copyright_text" sheetId="6" r:id="rId2"/>
    <sheet name="item_validation" sheetId="7" r:id="rId3"/>
  </sheets>
  <definedNames>
    <definedName name="VALID_REGIONS">Table3[VALID_REGIONS]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" i="1" l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2" i="1"/>
  <c r="D2" i="1" s="1"/>
  <c r="BG2" i="1" s="1"/>
  <c r="B3" i="1"/>
  <c r="D3" i="1" s="1"/>
  <c r="BG3" i="1" s="1"/>
  <c r="B4" i="1"/>
  <c r="D4" i="1" s="1"/>
  <c r="BG4" i="1" s="1"/>
  <c r="B5" i="1"/>
  <c r="D5" i="1" s="1"/>
  <c r="BG5" i="1" s="1"/>
  <c r="B6" i="1"/>
  <c r="D6" i="1" s="1"/>
  <c r="BG6" i="1" s="1"/>
  <c r="B7" i="1"/>
  <c r="D7" i="1" s="1"/>
  <c r="BG7" i="1" s="1"/>
  <c r="B8" i="1"/>
  <c r="D8" i="1" s="1"/>
  <c r="BG8" i="1" s="1"/>
  <c r="B9" i="1"/>
  <c r="D9" i="1" s="1"/>
  <c r="BG9" i="1" s="1"/>
  <c r="B10" i="1"/>
  <c r="D10" i="1" s="1"/>
  <c r="BG10" i="1" s="1"/>
  <c r="B11" i="1"/>
  <c r="D11" i="1" s="1"/>
  <c r="BG11" i="1" s="1"/>
  <c r="B12" i="1"/>
  <c r="D12" i="1" s="1"/>
  <c r="BG12" i="1" s="1"/>
  <c r="B13" i="1"/>
  <c r="D13" i="1" s="1"/>
  <c r="BG13" i="1" s="1"/>
  <c r="B14" i="1"/>
  <c r="D14" i="1" s="1"/>
  <c r="BG14" i="1" s="1"/>
  <c r="B15" i="1"/>
  <c r="D15" i="1" s="1"/>
  <c r="BG15" i="1" s="1"/>
  <c r="B16" i="1"/>
  <c r="D16" i="1" s="1"/>
  <c r="BG16" i="1" s="1"/>
  <c r="B17" i="1"/>
  <c r="D17" i="1" s="1"/>
  <c r="BG17" i="1" s="1"/>
  <c r="B18" i="1"/>
  <c r="D18" i="1" s="1"/>
  <c r="BG18" i="1" s="1"/>
  <c r="B19" i="1"/>
  <c r="D19" i="1" s="1"/>
  <c r="BG19" i="1" s="1"/>
  <c r="B20" i="1"/>
  <c r="D20" i="1" s="1"/>
  <c r="BG20" i="1" s="1"/>
  <c r="B21" i="1"/>
  <c r="D21" i="1" s="1"/>
  <c r="BG21" i="1" s="1"/>
  <c r="B22" i="1"/>
  <c r="D22" i="1" s="1"/>
  <c r="BG22" i="1" s="1"/>
  <c r="B23" i="1"/>
  <c r="D23" i="1" s="1"/>
  <c r="BG23" i="1" s="1"/>
  <c r="B24" i="1"/>
  <c r="D24" i="1" s="1"/>
  <c r="BG24" i="1" s="1"/>
  <c r="B25" i="1"/>
  <c r="D25" i="1" s="1"/>
  <c r="BG25" i="1" s="1"/>
  <c r="B26" i="1"/>
  <c r="D26" i="1" s="1"/>
  <c r="BG26" i="1" s="1"/>
  <c r="B27" i="1"/>
  <c r="D27" i="1" s="1"/>
  <c r="BG27" i="1" s="1"/>
  <c r="B28" i="1"/>
  <c r="D28" i="1" s="1"/>
  <c r="BG28" i="1" s="1"/>
  <c r="B29" i="1"/>
  <c r="D29" i="1" s="1"/>
  <c r="BG29" i="1" s="1"/>
  <c r="B30" i="1"/>
  <c r="D30" i="1" s="1"/>
  <c r="BG30" i="1" s="1"/>
  <c r="B31" i="1"/>
  <c r="D31" i="1" s="1"/>
  <c r="BG31" i="1" s="1"/>
  <c r="B32" i="1"/>
  <c r="D32" i="1" s="1"/>
  <c r="BG32" i="1" s="1"/>
  <c r="B33" i="1"/>
  <c r="D33" i="1" s="1"/>
  <c r="BG33" i="1" s="1"/>
  <c r="B34" i="1"/>
  <c r="D34" i="1" s="1"/>
  <c r="BG34" i="1" s="1"/>
  <c r="B35" i="1"/>
  <c r="D35" i="1" s="1"/>
  <c r="BG35" i="1" s="1"/>
  <c r="B36" i="1"/>
  <c r="D36" i="1" s="1"/>
  <c r="BG36" i="1" s="1"/>
  <c r="B37" i="1"/>
  <c r="D37" i="1" s="1"/>
  <c r="BG37" i="1" s="1"/>
  <c r="B38" i="1"/>
  <c r="D38" i="1" s="1"/>
  <c r="BG38" i="1" s="1"/>
  <c r="B39" i="1"/>
  <c r="D39" i="1" s="1"/>
  <c r="BG39" i="1" s="1"/>
  <c r="B40" i="1"/>
  <c r="D40" i="1" s="1"/>
  <c r="BG40" i="1" s="1"/>
  <c r="B41" i="1"/>
  <c r="D41" i="1" s="1"/>
  <c r="BG41" i="1" s="1"/>
  <c r="B42" i="1"/>
  <c r="D42" i="1" s="1"/>
  <c r="BG42" i="1" s="1"/>
  <c r="B43" i="1"/>
  <c r="D43" i="1" s="1"/>
  <c r="BG43" i="1" s="1"/>
  <c r="B44" i="1"/>
  <c r="D44" i="1" s="1"/>
  <c r="BG44" i="1" s="1"/>
  <c r="B45" i="1"/>
  <c r="D45" i="1" s="1"/>
  <c r="BG45" i="1" s="1"/>
  <c r="B46" i="1"/>
  <c r="D46" i="1" s="1"/>
  <c r="BG46" i="1" s="1"/>
  <c r="B47" i="1"/>
  <c r="D47" i="1" s="1"/>
  <c r="BG47" i="1" s="1"/>
  <c r="B48" i="1"/>
  <c r="D48" i="1" s="1"/>
  <c r="BG48" i="1" s="1"/>
  <c r="B49" i="1"/>
  <c r="D49" i="1" s="1"/>
  <c r="BG49" i="1" s="1"/>
  <c r="B50" i="1"/>
  <c r="D50" i="1" s="1"/>
  <c r="BG50" i="1" s="1"/>
  <c r="B51" i="1"/>
  <c r="D51" i="1" s="1"/>
  <c r="BG51" i="1" s="1"/>
  <c r="B52" i="1"/>
  <c r="D52" i="1" s="1"/>
  <c r="BG52" i="1" s="1"/>
  <c r="B53" i="1"/>
  <c r="D53" i="1" s="1"/>
  <c r="BG53" i="1" s="1"/>
  <c r="B54" i="1"/>
  <c r="D54" i="1" s="1"/>
  <c r="BG54" i="1" s="1"/>
  <c r="B55" i="1"/>
  <c r="D55" i="1" s="1"/>
  <c r="BG55" i="1" s="1"/>
  <c r="B56" i="1"/>
  <c r="D56" i="1" s="1"/>
  <c r="BG56" i="1" s="1"/>
  <c r="B57" i="1"/>
  <c r="D57" i="1" s="1"/>
  <c r="BG57" i="1" s="1"/>
  <c r="B58" i="1"/>
  <c r="D58" i="1" s="1"/>
  <c r="BG58" i="1" s="1"/>
  <c r="B59" i="1"/>
  <c r="D59" i="1" s="1"/>
  <c r="BG59" i="1" s="1"/>
  <c r="B60" i="1"/>
  <c r="D60" i="1" s="1"/>
  <c r="BG60" i="1" s="1"/>
  <c r="B61" i="1"/>
  <c r="D61" i="1" s="1"/>
  <c r="BG61" i="1" s="1"/>
  <c r="B62" i="1"/>
  <c r="D62" i="1" s="1"/>
  <c r="BG62" i="1" s="1"/>
  <c r="B63" i="1"/>
  <c r="D63" i="1" s="1"/>
  <c r="BG63" i="1" s="1"/>
  <c r="B64" i="1"/>
  <c r="D64" i="1" s="1"/>
  <c r="BG64" i="1" s="1"/>
  <c r="B65" i="1"/>
  <c r="D65" i="1" s="1"/>
  <c r="BG65" i="1" s="1"/>
  <c r="B66" i="1"/>
  <c r="D66" i="1" s="1"/>
  <c r="BG66" i="1" s="1"/>
  <c r="B67" i="1"/>
  <c r="D67" i="1" s="1"/>
  <c r="BG67" i="1" s="1"/>
  <c r="B68" i="1"/>
  <c r="D68" i="1" s="1"/>
  <c r="BG68" i="1" s="1"/>
  <c r="B69" i="1"/>
  <c r="D69" i="1" s="1"/>
  <c r="BG69" i="1" s="1"/>
  <c r="B70" i="1"/>
  <c r="D70" i="1" s="1"/>
  <c r="BG70" i="1" s="1"/>
  <c r="B71" i="1"/>
  <c r="D71" i="1" s="1"/>
  <c r="BG71" i="1" s="1"/>
  <c r="B72" i="1"/>
  <c r="D72" i="1" s="1"/>
  <c r="BG72" i="1" s="1"/>
  <c r="B73" i="1"/>
  <c r="D73" i="1" s="1"/>
  <c r="BG73" i="1" s="1"/>
  <c r="B74" i="1"/>
  <c r="D74" i="1" s="1"/>
  <c r="BG74" i="1" s="1"/>
  <c r="B75" i="1"/>
  <c r="D75" i="1" s="1"/>
  <c r="BG75" i="1" s="1"/>
  <c r="B76" i="1"/>
  <c r="D76" i="1" s="1"/>
  <c r="BG76" i="1" s="1"/>
  <c r="B77" i="1"/>
  <c r="D77" i="1" s="1"/>
  <c r="BG77" i="1" s="1"/>
  <c r="B78" i="1"/>
  <c r="D78" i="1" s="1"/>
  <c r="BG78" i="1" s="1"/>
  <c r="B79" i="1"/>
  <c r="D79" i="1" s="1"/>
  <c r="BG79" i="1" s="1"/>
  <c r="B80" i="1"/>
  <c r="D80" i="1" s="1"/>
  <c r="BG80" i="1" s="1"/>
  <c r="B81" i="1"/>
  <c r="D81" i="1" s="1"/>
  <c r="BG81" i="1" s="1"/>
  <c r="B82" i="1"/>
  <c r="D82" i="1" s="1"/>
  <c r="BG82" i="1" s="1"/>
  <c r="B83" i="1"/>
  <c r="D83" i="1" s="1"/>
  <c r="BG83" i="1" s="1"/>
  <c r="B84" i="1"/>
  <c r="D84" i="1" s="1"/>
  <c r="BG84" i="1" s="1"/>
  <c r="B85" i="1"/>
  <c r="D85" i="1" s="1"/>
  <c r="BG85" i="1" s="1"/>
  <c r="B86" i="1"/>
  <c r="D86" i="1" s="1"/>
  <c r="BG86" i="1" s="1"/>
  <c r="B87" i="1"/>
  <c r="D87" i="1" s="1"/>
  <c r="BG87" i="1" s="1"/>
  <c r="B88" i="1"/>
  <c r="D88" i="1" s="1"/>
  <c r="BG88" i="1" s="1"/>
  <c r="B89" i="1"/>
  <c r="D89" i="1" s="1"/>
  <c r="BG89" i="1" s="1"/>
  <c r="B90" i="1"/>
  <c r="D90" i="1" s="1"/>
  <c r="BG90" i="1" s="1"/>
  <c r="B91" i="1"/>
  <c r="D91" i="1" s="1"/>
  <c r="BG91" i="1" s="1"/>
  <c r="B92" i="1"/>
  <c r="D92" i="1" s="1"/>
  <c r="BG92" i="1" s="1"/>
  <c r="B93" i="1"/>
  <c r="D93" i="1" s="1"/>
  <c r="BG93" i="1" s="1"/>
  <c r="B94" i="1"/>
  <c r="D94" i="1" s="1"/>
  <c r="BG94" i="1" s="1"/>
  <c r="B95" i="1"/>
  <c r="D95" i="1" s="1"/>
  <c r="BG95" i="1" s="1"/>
  <c r="B96" i="1"/>
  <c r="D96" i="1" s="1"/>
  <c r="BG96" i="1" s="1"/>
  <c r="B97" i="1"/>
  <c r="D97" i="1" s="1"/>
  <c r="BG97" i="1" s="1"/>
  <c r="B98" i="1"/>
  <c r="D98" i="1" s="1"/>
  <c r="BG98" i="1" s="1"/>
  <c r="B99" i="1"/>
  <c r="D99" i="1" s="1"/>
  <c r="BG99" i="1" s="1"/>
  <c r="B100" i="1"/>
  <c r="D100" i="1" s="1"/>
  <c r="BG100" i="1" s="1"/>
  <c r="B101" i="1"/>
  <c r="D101" i="1" s="1"/>
  <c r="BG101" i="1" s="1"/>
  <c r="B102" i="1"/>
  <c r="D102" i="1" s="1"/>
  <c r="BG102" i="1" s="1"/>
  <c r="B103" i="1"/>
  <c r="D103" i="1" s="1"/>
  <c r="BG103" i="1" s="1"/>
  <c r="B104" i="1"/>
  <c r="D104" i="1" s="1"/>
  <c r="BG104" i="1" s="1"/>
  <c r="B105" i="1"/>
  <c r="D105" i="1" s="1"/>
  <c r="BG105" i="1" s="1"/>
  <c r="B106" i="1"/>
  <c r="D106" i="1" s="1"/>
  <c r="BG106" i="1" s="1"/>
  <c r="B107" i="1"/>
  <c r="D107" i="1" s="1"/>
  <c r="BG107" i="1" s="1"/>
  <c r="B108" i="1"/>
  <c r="D108" i="1" s="1"/>
  <c r="BG108" i="1" s="1"/>
  <c r="B109" i="1"/>
  <c r="D109" i="1" s="1"/>
  <c r="BG109" i="1" s="1"/>
  <c r="B110" i="1"/>
  <c r="D110" i="1" s="1"/>
  <c r="BG110" i="1" s="1"/>
  <c r="B111" i="1"/>
  <c r="D111" i="1" s="1"/>
  <c r="BG111" i="1" s="1"/>
  <c r="B112" i="1"/>
  <c r="D112" i="1" s="1"/>
  <c r="BG112" i="1" s="1"/>
  <c r="B113" i="1"/>
  <c r="D113" i="1" s="1"/>
  <c r="BG113" i="1" s="1"/>
  <c r="B114" i="1"/>
  <c r="D114" i="1" s="1"/>
  <c r="BG114" i="1" s="1"/>
  <c r="B115" i="1"/>
  <c r="D115" i="1" s="1"/>
  <c r="BG115" i="1" s="1"/>
  <c r="B116" i="1"/>
  <c r="D116" i="1" s="1"/>
  <c r="BG116" i="1" s="1"/>
  <c r="B117" i="1"/>
  <c r="D117" i="1" s="1"/>
  <c r="BG117" i="1" s="1"/>
  <c r="B118" i="1"/>
  <c r="D118" i="1" s="1"/>
  <c r="BG118" i="1" s="1"/>
  <c r="B119" i="1"/>
  <c r="D119" i="1" s="1"/>
  <c r="BG119" i="1" s="1"/>
  <c r="B120" i="1"/>
  <c r="D120" i="1" s="1"/>
  <c r="BG120" i="1" s="1"/>
  <c r="B121" i="1"/>
  <c r="D121" i="1" s="1"/>
  <c r="BG121" i="1" s="1"/>
  <c r="B122" i="1"/>
  <c r="D122" i="1" s="1"/>
  <c r="BG122" i="1" s="1"/>
  <c r="B123" i="1"/>
  <c r="D123" i="1" s="1"/>
  <c r="BG123" i="1" s="1"/>
  <c r="B124" i="1"/>
  <c r="D124" i="1" s="1"/>
  <c r="BG124" i="1" s="1"/>
  <c r="B125" i="1"/>
  <c r="D125" i="1" s="1"/>
  <c r="BG125" i="1" s="1"/>
  <c r="B126" i="1"/>
  <c r="D126" i="1" s="1"/>
  <c r="BG126" i="1" s="1"/>
  <c r="B127" i="1"/>
  <c r="D127" i="1" s="1"/>
  <c r="BG127" i="1" s="1"/>
  <c r="B128" i="1"/>
  <c r="D128" i="1" s="1"/>
  <c r="BG128" i="1" s="1"/>
  <c r="B129" i="1"/>
  <c r="D129" i="1" s="1"/>
  <c r="BG129" i="1" s="1"/>
  <c r="B130" i="1"/>
  <c r="D130" i="1" s="1"/>
  <c r="BG130" i="1" s="1"/>
  <c r="B131" i="1"/>
  <c r="D131" i="1" s="1"/>
  <c r="BG131" i="1" s="1"/>
  <c r="B132" i="1"/>
  <c r="D132" i="1" s="1"/>
  <c r="BG132" i="1" s="1"/>
  <c r="B133" i="1"/>
  <c r="D133" i="1" s="1"/>
  <c r="BG133" i="1" s="1"/>
  <c r="B134" i="1"/>
  <c r="D134" i="1" s="1"/>
  <c r="BG134" i="1" s="1"/>
  <c r="B135" i="1"/>
  <c r="D135" i="1" s="1"/>
  <c r="BG135" i="1" s="1"/>
  <c r="B136" i="1"/>
  <c r="D136" i="1" s="1"/>
  <c r="BG136" i="1" s="1"/>
  <c r="B137" i="1"/>
  <c r="D137" i="1" s="1"/>
  <c r="BG137" i="1" s="1"/>
  <c r="B138" i="1"/>
  <c r="D138" i="1" s="1"/>
  <c r="BG138" i="1" s="1"/>
  <c r="B139" i="1"/>
  <c r="D139" i="1" s="1"/>
  <c r="BG139" i="1" s="1"/>
  <c r="B140" i="1"/>
  <c r="D140" i="1" s="1"/>
  <c r="BG140" i="1" s="1"/>
  <c r="B141" i="1"/>
  <c r="D141" i="1" s="1"/>
  <c r="BG141" i="1" s="1"/>
  <c r="B142" i="1"/>
  <c r="D142" i="1" s="1"/>
  <c r="BG142" i="1" s="1"/>
  <c r="B143" i="1"/>
  <c r="D143" i="1" s="1"/>
  <c r="BG143" i="1" s="1"/>
  <c r="B144" i="1"/>
  <c r="D144" i="1" s="1"/>
  <c r="BG144" i="1" s="1"/>
  <c r="B145" i="1"/>
  <c r="D145" i="1" s="1"/>
  <c r="BG145" i="1" s="1"/>
  <c r="B146" i="1"/>
  <c r="D146" i="1" s="1"/>
  <c r="BG146" i="1" s="1"/>
  <c r="B147" i="1"/>
  <c r="D147" i="1" s="1"/>
  <c r="BG147" i="1" s="1"/>
  <c r="B148" i="1"/>
  <c r="D148" i="1" s="1"/>
  <c r="BG148" i="1" s="1"/>
  <c r="B149" i="1"/>
  <c r="D149" i="1" s="1"/>
  <c r="BG149" i="1" s="1"/>
  <c r="B150" i="1"/>
  <c r="D150" i="1" s="1"/>
  <c r="BG150" i="1" s="1"/>
  <c r="B151" i="1"/>
  <c r="D151" i="1" s="1"/>
  <c r="BG151" i="1" s="1"/>
  <c r="B152" i="1"/>
  <c r="D152" i="1" s="1"/>
  <c r="BG152" i="1" s="1"/>
  <c r="B153" i="1"/>
  <c r="D153" i="1" s="1"/>
  <c r="BG153" i="1" s="1"/>
  <c r="B154" i="1"/>
  <c r="D154" i="1" s="1"/>
  <c r="BG154" i="1" s="1"/>
  <c r="B155" i="1"/>
  <c r="D155" i="1" s="1"/>
  <c r="BG155" i="1" s="1"/>
  <c r="B156" i="1"/>
  <c r="D156" i="1" s="1"/>
  <c r="BG156" i="1" s="1"/>
  <c r="B157" i="1"/>
  <c r="D157" i="1" s="1"/>
  <c r="BG157" i="1" s="1"/>
  <c r="B158" i="1"/>
  <c r="D158" i="1" s="1"/>
  <c r="BG158" i="1" s="1"/>
  <c r="B159" i="1"/>
  <c r="D159" i="1" s="1"/>
  <c r="BG159" i="1" s="1"/>
  <c r="B160" i="1"/>
  <c r="D160" i="1" s="1"/>
  <c r="BG160" i="1" s="1"/>
  <c r="B161" i="1"/>
  <c r="D161" i="1" s="1"/>
  <c r="BG161" i="1" s="1"/>
  <c r="B162" i="1"/>
  <c r="D162" i="1" s="1"/>
  <c r="BG162" i="1" s="1"/>
  <c r="B163" i="1"/>
  <c r="D163" i="1" s="1"/>
  <c r="BG163" i="1" s="1"/>
  <c r="B164" i="1"/>
  <c r="D164" i="1" s="1"/>
  <c r="BG164" i="1" s="1"/>
  <c r="B165" i="1"/>
  <c r="D165" i="1" s="1"/>
  <c r="BG165" i="1" s="1"/>
  <c r="B166" i="1"/>
  <c r="D166" i="1" s="1"/>
  <c r="BG166" i="1" s="1"/>
  <c r="B167" i="1"/>
  <c r="D167" i="1" s="1"/>
  <c r="BG167" i="1" s="1"/>
  <c r="B168" i="1"/>
  <c r="D168" i="1" s="1"/>
  <c r="BG168" i="1" s="1"/>
  <c r="B169" i="1"/>
  <c r="D169" i="1" s="1"/>
  <c r="BG169" i="1" s="1"/>
  <c r="B170" i="1"/>
  <c r="D170" i="1" s="1"/>
  <c r="BG170" i="1" s="1"/>
  <c r="B171" i="1"/>
  <c r="D171" i="1" s="1"/>
  <c r="BG171" i="1" s="1"/>
  <c r="B172" i="1"/>
  <c r="D172" i="1" s="1"/>
  <c r="BG172" i="1" s="1"/>
  <c r="B173" i="1"/>
  <c r="D173" i="1" s="1"/>
  <c r="BG173" i="1" s="1"/>
  <c r="B174" i="1"/>
  <c r="D174" i="1" s="1"/>
  <c r="BG174" i="1" s="1"/>
  <c r="B175" i="1"/>
  <c r="D175" i="1" s="1"/>
  <c r="BG175" i="1" s="1"/>
  <c r="B176" i="1"/>
  <c r="D176" i="1" s="1"/>
  <c r="BG176" i="1" s="1"/>
  <c r="B177" i="1"/>
  <c r="D177" i="1" s="1"/>
  <c r="BG177" i="1" s="1"/>
  <c r="B178" i="1"/>
  <c r="D178" i="1" s="1"/>
  <c r="BG178" i="1" s="1"/>
  <c r="B179" i="1"/>
  <c r="D179" i="1" s="1"/>
  <c r="BG179" i="1" s="1"/>
  <c r="B180" i="1"/>
  <c r="D180" i="1" s="1"/>
  <c r="BG180" i="1" s="1"/>
  <c r="B181" i="1"/>
  <c r="D181" i="1" s="1"/>
  <c r="BG181" i="1" s="1"/>
  <c r="B182" i="1"/>
  <c r="D182" i="1" s="1"/>
  <c r="BG182" i="1" s="1"/>
  <c r="B183" i="1"/>
  <c r="D183" i="1" s="1"/>
  <c r="BG183" i="1" s="1"/>
  <c r="B184" i="1"/>
  <c r="D184" i="1" s="1"/>
  <c r="BG184" i="1" s="1"/>
  <c r="B185" i="1"/>
  <c r="D185" i="1" s="1"/>
  <c r="BG185" i="1" s="1"/>
  <c r="B186" i="1"/>
  <c r="D186" i="1" s="1"/>
  <c r="BG186" i="1" s="1"/>
  <c r="B187" i="1"/>
  <c r="D187" i="1" s="1"/>
  <c r="BG187" i="1" s="1"/>
  <c r="B188" i="1"/>
  <c r="D188" i="1" s="1"/>
  <c r="BG188" i="1" s="1"/>
  <c r="B189" i="1"/>
  <c r="D189" i="1" s="1"/>
  <c r="BG189" i="1" s="1"/>
  <c r="B190" i="1"/>
  <c r="D190" i="1" s="1"/>
  <c r="BG190" i="1" s="1"/>
  <c r="B191" i="1"/>
  <c r="D191" i="1" s="1"/>
  <c r="BG191" i="1" s="1"/>
  <c r="B192" i="1"/>
  <c r="D192" i="1" s="1"/>
  <c r="BG192" i="1" s="1"/>
  <c r="B193" i="1"/>
  <c r="D193" i="1" s="1"/>
  <c r="BG193" i="1" s="1"/>
  <c r="B194" i="1"/>
  <c r="D194" i="1" s="1"/>
  <c r="BG194" i="1" s="1"/>
  <c r="B195" i="1"/>
  <c r="D195" i="1" s="1"/>
  <c r="BG195" i="1" s="1"/>
  <c r="B196" i="1"/>
  <c r="D196" i="1" s="1"/>
  <c r="BG196" i="1" s="1"/>
  <c r="B197" i="1"/>
  <c r="D197" i="1" s="1"/>
  <c r="BG197" i="1" s="1"/>
  <c r="B198" i="1"/>
  <c r="D198" i="1" s="1"/>
  <c r="BG198" i="1" s="1"/>
  <c r="B199" i="1"/>
  <c r="D199" i="1" s="1"/>
  <c r="BG199" i="1" s="1"/>
  <c r="B200" i="1"/>
  <c r="D200" i="1" s="1"/>
  <c r="BG200" i="1" s="1"/>
  <c r="B201" i="1"/>
  <c r="D201" i="1" s="1"/>
  <c r="BG201" i="1" s="1"/>
  <c r="B202" i="1"/>
  <c r="D202" i="1" s="1"/>
  <c r="BG202" i="1" s="1"/>
  <c r="B203" i="1"/>
  <c r="D203" i="1" s="1"/>
  <c r="BG203" i="1" s="1"/>
  <c r="B204" i="1"/>
  <c r="D204" i="1" s="1"/>
  <c r="BG204" i="1" s="1"/>
  <c r="B205" i="1"/>
  <c r="D205" i="1" s="1"/>
  <c r="BG205" i="1" s="1"/>
  <c r="B206" i="1"/>
  <c r="D206" i="1" s="1"/>
  <c r="BG206" i="1" s="1"/>
  <c r="B207" i="1"/>
  <c r="D207" i="1" s="1"/>
  <c r="BG207" i="1" s="1"/>
  <c r="B208" i="1"/>
  <c r="D208" i="1" s="1"/>
  <c r="BG208" i="1" s="1"/>
  <c r="B209" i="1"/>
  <c r="D209" i="1" s="1"/>
  <c r="BG209" i="1" s="1"/>
  <c r="B210" i="1"/>
  <c r="D210" i="1" s="1"/>
  <c r="BG210" i="1" s="1"/>
  <c r="B211" i="1"/>
  <c r="D211" i="1" s="1"/>
  <c r="BG211" i="1" s="1"/>
  <c r="B212" i="1"/>
  <c r="D212" i="1" s="1"/>
  <c r="BG212" i="1" s="1"/>
  <c r="B213" i="1"/>
  <c r="D213" i="1" s="1"/>
  <c r="BG213" i="1" s="1"/>
  <c r="B214" i="1"/>
  <c r="D214" i="1" s="1"/>
  <c r="BG214" i="1" s="1"/>
  <c r="B215" i="1"/>
  <c r="D215" i="1" s="1"/>
  <c r="BG215" i="1" s="1"/>
  <c r="B216" i="1"/>
  <c r="D216" i="1" s="1"/>
  <c r="BG216" i="1" s="1"/>
  <c r="B217" i="1"/>
  <c r="D217" i="1" s="1"/>
  <c r="BG217" i="1" s="1"/>
  <c r="B218" i="1"/>
  <c r="D218" i="1" s="1"/>
  <c r="BG218" i="1" s="1"/>
  <c r="B219" i="1"/>
  <c r="D219" i="1" s="1"/>
  <c r="BG219" i="1" s="1"/>
  <c r="B220" i="1"/>
  <c r="D220" i="1" s="1"/>
  <c r="BG220" i="1" s="1"/>
  <c r="B221" i="1"/>
  <c r="D221" i="1" s="1"/>
  <c r="BG221" i="1" s="1"/>
  <c r="B222" i="1"/>
  <c r="D222" i="1" s="1"/>
  <c r="BG222" i="1" s="1"/>
  <c r="B223" i="1"/>
  <c r="D223" i="1" s="1"/>
  <c r="BG223" i="1" s="1"/>
  <c r="B224" i="1"/>
  <c r="D224" i="1" s="1"/>
  <c r="BG224" i="1" s="1"/>
  <c r="B225" i="1"/>
  <c r="D225" i="1" s="1"/>
  <c r="BG225" i="1" s="1"/>
  <c r="B226" i="1"/>
  <c r="D226" i="1" s="1"/>
  <c r="BG226" i="1" s="1"/>
  <c r="B227" i="1"/>
  <c r="D227" i="1" s="1"/>
  <c r="BG227" i="1" s="1"/>
  <c r="B228" i="1"/>
  <c r="D228" i="1" s="1"/>
  <c r="BG228" i="1" s="1"/>
  <c r="B229" i="1"/>
  <c r="D229" i="1" s="1"/>
  <c r="BG229" i="1" s="1"/>
  <c r="B230" i="1"/>
  <c r="D230" i="1" s="1"/>
  <c r="BG230" i="1" s="1"/>
  <c r="B231" i="1"/>
  <c r="D231" i="1" s="1"/>
  <c r="BG231" i="1" s="1"/>
  <c r="B232" i="1"/>
  <c r="D232" i="1" s="1"/>
  <c r="BG232" i="1" s="1"/>
  <c r="B233" i="1"/>
  <c r="D233" i="1" s="1"/>
  <c r="BG233" i="1" s="1"/>
  <c r="B234" i="1"/>
  <c r="D234" i="1" s="1"/>
  <c r="BG234" i="1" s="1"/>
  <c r="B235" i="1"/>
  <c r="D235" i="1" s="1"/>
  <c r="BG235" i="1" s="1"/>
  <c r="B236" i="1"/>
  <c r="D236" i="1" s="1"/>
  <c r="BG236" i="1" s="1"/>
  <c r="B237" i="1"/>
  <c r="D237" i="1" s="1"/>
  <c r="BG237" i="1" s="1"/>
  <c r="B238" i="1"/>
  <c r="D238" i="1" s="1"/>
  <c r="BG238" i="1" s="1"/>
  <c r="B239" i="1"/>
  <c r="D239" i="1" s="1"/>
  <c r="BG239" i="1" s="1"/>
  <c r="B240" i="1"/>
  <c r="D240" i="1" s="1"/>
  <c r="BG240" i="1" s="1"/>
  <c r="B241" i="1"/>
  <c r="D241" i="1" s="1"/>
  <c r="BG241" i="1" s="1"/>
  <c r="B242" i="1"/>
  <c r="D242" i="1" s="1"/>
  <c r="BG242" i="1" s="1"/>
  <c r="B243" i="1"/>
  <c r="D243" i="1" s="1"/>
  <c r="BG243" i="1" s="1"/>
  <c r="B244" i="1"/>
  <c r="D244" i="1" s="1"/>
  <c r="BG244" i="1" s="1"/>
  <c r="B245" i="1"/>
  <c r="D245" i="1" s="1"/>
  <c r="BG245" i="1" s="1"/>
  <c r="B246" i="1"/>
  <c r="D246" i="1" s="1"/>
  <c r="BG246" i="1" s="1"/>
  <c r="B247" i="1"/>
  <c r="D247" i="1" s="1"/>
  <c r="BG247" i="1" s="1"/>
  <c r="B248" i="1"/>
  <c r="D248" i="1" s="1"/>
  <c r="BG248" i="1" s="1"/>
  <c r="B249" i="1"/>
  <c r="D249" i="1" s="1"/>
  <c r="BG249" i="1" s="1"/>
  <c r="B250" i="1"/>
  <c r="D250" i="1" s="1"/>
  <c r="BG250" i="1" s="1"/>
  <c r="B251" i="1"/>
  <c r="D251" i="1" s="1"/>
  <c r="BG251" i="1" s="1"/>
  <c r="B252" i="1"/>
  <c r="D252" i="1" s="1"/>
  <c r="BG252" i="1" s="1"/>
  <c r="B253" i="1"/>
  <c r="D253" i="1" s="1"/>
  <c r="BG253" i="1" s="1"/>
  <c r="B254" i="1"/>
  <c r="D254" i="1" s="1"/>
  <c r="BG254" i="1" s="1"/>
  <c r="B255" i="1"/>
  <c r="D255" i="1" s="1"/>
  <c r="BG255" i="1" s="1"/>
  <c r="B256" i="1"/>
  <c r="D256" i="1" s="1"/>
  <c r="BG256" i="1" s="1"/>
  <c r="B257" i="1"/>
  <c r="D257" i="1" s="1"/>
  <c r="BG257" i="1" s="1"/>
  <c r="B258" i="1"/>
  <c r="D258" i="1" s="1"/>
  <c r="BG258" i="1" s="1"/>
  <c r="B259" i="1"/>
  <c r="D259" i="1" s="1"/>
  <c r="BG259" i="1" s="1"/>
  <c r="B260" i="1"/>
  <c r="D260" i="1" s="1"/>
  <c r="BG260" i="1" s="1"/>
  <c r="B261" i="1"/>
  <c r="D261" i="1" s="1"/>
  <c r="BG261" i="1" s="1"/>
  <c r="B262" i="1"/>
  <c r="D262" i="1" s="1"/>
  <c r="BG262" i="1" s="1"/>
  <c r="B263" i="1"/>
  <c r="D263" i="1" s="1"/>
  <c r="BG263" i="1" s="1"/>
  <c r="B264" i="1"/>
  <c r="D264" i="1" s="1"/>
  <c r="BG264" i="1" s="1"/>
  <c r="B265" i="1"/>
  <c r="D265" i="1" s="1"/>
  <c r="BG265" i="1" s="1"/>
  <c r="B266" i="1"/>
  <c r="D266" i="1" s="1"/>
  <c r="BG266" i="1" s="1"/>
  <c r="B267" i="1"/>
  <c r="D267" i="1" s="1"/>
  <c r="BG267" i="1" s="1"/>
  <c r="B268" i="1"/>
  <c r="D268" i="1" s="1"/>
  <c r="BG268" i="1" s="1"/>
  <c r="B269" i="1"/>
  <c r="D269" i="1" s="1"/>
  <c r="BG269" i="1" s="1"/>
  <c r="B270" i="1"/>
  <c r="D270" i="1" s="1"/>
  <c r="BG270" i="1" s="1"/>
  <c r="B271" i="1"/>
  <c r="D271" i="1" s="1"/>
  <c r="BG271" i="1" s="1"/>
  <c r="B272" i="1"/>
  <c r="D272" i="1" s="1"/>
  <c r="BG272" i="1" s="1"/>
  <c r="B273" i="1"/>
  <c r="D273" i="1" s="1"/>
  <c r="BG273" i="1" s="1"/>
  <c r="B274" i="1"/>
  <c r="D274" i="1" s="1"/>
  <c r="BG274" i="1" s="1"/>
  <c r="B275" i="1"/>
  <c r="D275" i="1" s="1"/>
  <c r="BG275" i="1" s="1"/>
  <c r="B276" i="1"/>
  <c r="D276" i="1" s="1"/>
  <c r="BG276" i="1" s="1"/>
  <c r="B277" i="1"/>
  <c r="D277" i="1" s="1"/>
  <c r="BG277" i="1" s="1"/>
  <c r="B278" i="1"/>
  <c r="D278" i="1" s="1"/>
  <c r="BG278" i="1" s="1"/>
  <c r="B279" i="1"/>
  <c r="D279" i="1" s="1"/>
  <c r="BG279" i="1" s="1"/>
  <c r="B280" i="1"/>
  <c r="D280" i="1" s="1"/>
  <c r="BG280" i="1" s="1"/>
  <c r="B281" i="1"/>
  <c r="D281" i="1" s="1"/>
  <c r="BG281" i="1" s="1"/>
  <c r="B282" i="1"/>
  <c r="D282" i="1" s="1"/>
  <c r="BG282" i="1" s="1"/>
  <c r="B283" i="1"/>
  <c r="D283" i="1" s="1"/>
  <c r="BG283" i="1" s="1"/>
  <c r="B284" i="1"/>
  <c r="D284" i="1" s="1"/>
  <c r="BG284" i="1" s="1"/>
  <c r="B285" i="1"/>
  <c r="D285" i="1" s="1"/>
  <c r="BG285" i="1" s="1"/>
  <c r="B286" i="1"/>
  <c r="D286" i="1" s="1"/>
  <c r="BG286" i="1" s="1"/>
  <c r="B287" i="1"/>
  <c r="D287" i="1" s="1"/>
  <c r="BG287" i="1" s="1"/>
  <c r="B288" i="1"/>
  <c r="D288" i="1" s="1"/>
  <c r="BG288" i="1" s="1"/>
  <c r="B289" i="1"/>
  <c r="D289" i="1" s="1"/>
  <c r="BG289" i="1" s="1"/>
  <c r="B290" i="1"/>
  <c r="D290" i="1" s="1"/>
  <c r="BG290" i="1" s="1"/>
  <c r="B291" i="1"/>
  <c r="D291" i="1" s="1"/>
  <c r="BG291" i="1" s="1"/>
  <c r="B292" i="1"/>
  <c r="D292" i="1" s="1"/>
  <c r="BG292" i="1" s="1"/>
  <c r="B293" i="1"/>
  <c r="D293" i="1" s="1"/>
  <c r="BG293" i="1" s="1"/>
  <c r="B294" i="1"/>
  <c r="D294" i="1" s="1"/>
  <c r="BG294" i="1" s="1"/>
  <c r="B295" i="1"/>
  <c r="D295" i="1" s="1"/>
  <c r="BG295" i="1" s="1"/>
  <c r="B296" i="1"/>
  <c r="D296" i="1" s="1"/>
  <c r="BG296" i="1" s="1"/>
  <c r="B297" i="1"/>
  <c r="D297" i="1" s="1"/>
  <c r="BG297" i="1" s="1"/>
  <c r="B298" i="1"/>
  <c r="D298" i="1" s="1"/>
  <c r="BG298" i="1" s="1"/>
  <c r="B299" i="1"/>
  <c r="D299" i="1" s="1"/>
  <c r="BG299" i="1" s="1"/>
  <c r="B300" i="1"/>
  <c r="D300" i="1" s="1"/>
  <c r="BG300" i="1" s="1"/>
  <c r="B301" i="1"/>
  <c r="D301" i="1" s="1"/>
  <c r="BG301" i="1" s="1"/>
  <c r="B302" i="1"/>
  <c r="D302" i="1" s="1"/>
  <c r="BG302" i="1" s="1"/>
  <c r="B303" i="1"/>
  <c r="D303" i="1" s="1"/>
  <c r="BG303" i="1" s="1"/>
  <c r="B304" i="1"/>
  <c r="D304" i="1" s="1"/>
  <c r="BG304" i="1" s="1"/>
  <c r="B305" i="1"/>
  <c r="D305" i="1" s="1"/>
  <c r="BG305" i="1" s="1"/>
  <c r="B306" i="1"/>
  <c r="D306" i="1" s="1"/>
  <c r="BG306" i="1" s="1"/>
  <c r="B307" i="1"/>
  <c r="D307" i="1" s="1"/>
  <c r="BG307" i="1" s="1"/>
  <c r="B308" i="1"/>
  <c r="D308" i="1" s="1"/>
  <c r="BG308" i="1" s="1"/>
  <c r="B309" i="1"/>
  <c r="D309" i="1" s="1"/>
  <c r="BG309" i="1" s="1"/>
  <c r="B310" i="1"/>
  <c r="D310" i="1" s="1"/>
  <c r="BG310" i="1" s="1"/>
  <c r="B311" i="1"/>
  <c r="D311" i="1" s="1"/>
  <c r="BG311" i="1" s="1"/>
  <c r="B312" i="1"/>
  <c r="D312" i="1" s="1"/>
  <c r="BG312" i="1" s="1"/>
  <c r="B313" i="1"/>
  <c r="D313" i="1" s="1"/>
  <c r="BG313" i="1" s="1"/>
  <c r="B314" i="1"/>
  <c r="D314" i="1" s="1"/>
  <c r="BG314" i="1" s="1"/>
  <c r="B315" i="1"/>
  <c r="D315" i="1" s="1"/>
  <c r="BG315" i="1" s="1"/>
  <c r="B316" i="1"/>
  <c r="D316" i="1" s="1"/>
  <c r="BG316" i="1" s="1"/>
  <c r="B317" i="1"/>
  <c r="D317" i="1" s="1"/>
  <c r="BG317" i="1" s="1"/>
  <c r="B318" i="1"/>
  <c r="D318" i="1" s="1"/>
  <c r="BG318" i="1" s="1"/>
  <c r="B319" i="1"/>
  <c r="D319" i="1" s="1"/>
  <c r="BG319" i="1" s="1"/>
  <c r="B320" i="1"/>
  <c r="D320" i="1" s="1"/>
  <c r="BG320" i="1" s="1"/>
  <c r="B321" i="1"/>
  <c r="D321" i="1" s="1"/>
  <c r="BG321" i="1" s="1"/>
  <c r="B322" i="1"/>
  <c r="D322" i="1" s="1"/>
  <c r="BG322" i="1" s="1"/>
  <c r="B323" i="1"/>
  <c r="D323" i="1" s="1"/>
  <c r="BG323" i="1" s="1"/>
  <c r="B324" i="1"/>
  <c r="D324" i="1" s="1"/>
  <c r="BG324" i="1" s="1"/>
  <c r="B325" i="1"/>
  <c r="D325" i="1" s="1"/>
  <c r="BG325" i="1" s="1"/>
  <c r="B326" i="1"/>
  <c r="D326" i="1" s="1"/>
  <c r="BG326" i="1" s="1"/>
  <c r="B327" i="1"/>
  <c r="D327" i="1" s="1"/>
  <c r="BG327" i="1" s="1"/>
  <c r="B328" i="1"/>
  <c r="D328" i="1" s="1"/>
  <c r="BG328" i="1" s="1"/>
  <c r="B329" i="1"/>
  <c r="D329" i="1" s="1"/>
  <c r="BG329" i="1" s="1"/>
  <c r="B330" i="1"/>
  <c r="D330" i="1" s="1"/>
  <c r="BG330" i="1" s="1"/>
  <c r="B331" i="1"/>
  <c r="D331" i="1" s="1"/>
  <c r="BG331" i="1" s="1"/>
  <c r="B332" i="1"/>
  <c r="D332" i="1" s="1"/>
  <c r="BG332" i="1" s="1"/>
  <c r="B333" i="1"/>
  <c r="D333" i="1" s="1"/>
  <c r="BG333" i="1" s="1"/>
  <c r="B334" i="1"/>
  <c r="D334" i="1" s="1"/>
  <c r="BG334" i="1" s="1"/>
  <c r="B335" i="1"/>
  <c r="D335" i="1" s="1"/>
  <c r="BG335" i="1" s="1"/>
  <c r="B336" i="1"/>
  <c r="D336" i="1" s="1"/>
  <c r="BG336" i="1" s="1"/>
  <c r="B337" i="1"/>
  <c r="D337" i="1" s="1"/>
  <c r="BG337" i="1" s="1"/>
  <c r="B338" i="1"/>
  <c r="D338" i="1" s="1"/>
  <c r="BG338" i="1" s="1"/>
  <c r="B339" i="1"/>
  <c r="D339" i="1" s="1"/>
  <c r="BG339" i="1" s="1"/>
  <c r="B340" i="1"/>
  <c r="D340" i="1" s="1"/>
  <c r="BG340" i="1" s="1"/>
  <c r="B341" i="1"/>
  <c r="D341" i="1" s="1"/>
  <c r="BG341" i="1" s="1"/>
  <c r="B342" i="1"/>
  <c r="D342" i="1" s="1"/>
  <c r="BG342" i="1" s="1"/>
  <c r="B343" i="1"/>
  <c r="D343" i="1" s="1"/>
  <c r="BG343" i="1" s="1"/>
  <c r="B344" i="1"/>
  <c r="D344" i="1" s="1"/>
  <c r="BG344" i="1" s="1"/>
  <c r="B345" i="1"/>
  <c r="D345" i="1" s="1"/>
  <c r="BG345" i="1" s="1"/>
  <c r="B346" i="1"/>
  <c r="D346" i="1" s="1"/>
  <c r="BG346" i="1" s="1"/>
  <c r="B347" i="1"/>
  <c r="D347" i="1" s="1"/>
  <c r="BG347" i="1" s="1"/>
  <c r="B348" i="1"/>
  <c r="D348" i="1" s="1"/>
  <c r="BG348" i="1" s="1"/>
  <c r="B349" i="1"/>
  <c r="D349" i="1" s="1"/>
  <c r="BG349" i="1" s="1"/>
  <c r="B350" i="1"/>
  <c r="D350" i="1" s="1"/>
  <c r="BG350" i="1" s="1"/>
  <c r="B351" i="1"/>
  <c r="D351" i="1" s="1"/>
  <c r="BG351" i="1" s="1"/>
  <c r="B352" i="1"/>
  <c r="D352" i="1" s="1"/>
  <c r="BG352" i="1" s="1"/>
  <c r="B353" i="1"/>
  <c r="D353" i="1" s="1"/>
  <c r="BG353" i="1" s="1"/>
  <c r="B354" i="1"/>
  <c r="D354" i="1" s="1"/>
  <c r="BG354" i="1" s="1"/>
  <c r="B355" i="1"/>
  <c r="D355" i="1" s="1"/>
  <c r="BG355" i="1" s="1"/>
  <c r="B356" i="1"/>
  <c r="D356" i="1" s="1"/>
  <c r="BG356" i="1" s="1"/>
  <c r="B357" i="1"/>
  <c r="D357" i="1" s="1"/>
  <c r="BG357" i="1" s="1"/>
  <c r="B358" i="1"/>
  <c r="D358" i="1" s="1"/>
  <c r="BG358" i="1" s="1"/>
  <c r="B359" i="1"/>
  <c r="D359" i="1" s="1"/>
  <c r="BG359" i="1" s="1"/>
  <c r="B360" i="1"/>
  <c r="D360" i="1" s="1"/>
  <c r="BG360" i="1" s="1"/>
  <c r="B361" i="1"/>
  <c r="D361" i="1" s="1"/>
  <c r="BG361" i="1" s="1"/>
  <c r="B362" i="1"/>
  <c r="D362" i="1" s="1"/>
  <c r="BG362" i="1" s="1"/>
  <c r="B363" i="1"/>
  <c r="D363" i="1" s="1"/>
  <c r="BG363" i="1" s="1"/>
  <c r="B364" i="1"/>
  <c r="D364" i="1" s="1"/>
  <c r="BG364" i="1" s="1"/>
  <c r="B365" i="1"/>
  <c r="D365" i="1" s="1"/>
  <c r="BG365" i="1" s="1"/>
  <c r="B366" i="1"/>
  <c r="D366" i="1" s="1"/>
  <c r="BG366" i="1" s="1"/>
  <c r="B367" i="1"/>
  <c r="D367" i="1" s="1"/>
  <c r="BG367" i="1" s="1"/>
  <c r="B368" i="1"/>
  <c r="D368" i="1" s="1"/>
  <c r="BG368" i="1" s="1"/>
  <c r="B369" i="1"/>
  <c r="D369" i="1" s="1"/>
  <c r="BG369" i="1" s="1"/>
  <c r="B370" i="1"/>
  <c r="D370" i="1" s="1"/>
  <c r="BG370" i="1" s="1"/>
  <c r="B371" i="1"/>
  <c r="D371" i="1" s="1"/>
  <c r="BG371" i="1" s="1"/>
  <c r="B372" i="1"/>
  <c r="D372" i="1" s="1"/>
  <c r="BG372" i="1" s="1"/>
  <c r="B373" i="1"/>
  <c r="D373" i="1" s="1"/>
  <c r="BG373" i="1" s="1"/>
  <c r="B374" i="1"/>
  <c r="D374" i="1" s="1"/>
  <c r="BG374" i="1" s="1"/>
  <c r="B375" i="1"/>
  <c r="D375" i="1" s="1"/>
  <c r="BG375" i="1" s="1"/>
  <c r="B376" i="1"/>
  <c r="D376" i="1" s="1"/>
  <c r="BG376" i="1" s="1"/>
  <c r="B377" i="1"/>
  <c r="D377" i="1" s="1"/>
  <c r="BG377" i="1" s="1"/>
  <c r="B378" i="1"/>
  <c r="D378" i="1" s="1"/>
  <c r="BG378" i="1" s="1"/>
  <c r="B379" i="1"/>
  <c r="D379" i="1" s="1"/>
  <c r="BG379" i="1" s="1"/>
  <c r="B380" i="1"/>
  <c r="D380" i="1" s="1"/>
  <c r="BG380" i="1" s="1"/>
  <c r="B381" i="1"/>
  <c r="D381" i="1" s="1"/>
  <c r="BG381" i="1" s="1"/>
  <c r="B382" i="1"/>
  <c r="D382" i="1" s="1"/>
  <c r="BG382" i="1" s="1"/>
  <c r="B383" i="1"/>
  <c r="D383" i="1" s="1"/>
  <c r="BG383" i="1" s="1"/>
  <c r="B384" i="1"/>
  <c r="D384" i="1" s="1"/>
  <c r="BG384" i="1" s="1"/>
  <c r="B385" i="1"/>
  <c r="D385" i="1" s="1"/>
  <c r="BG385" i="1" s="1"/>
  <c r="B386" i="1"/>
  <c r="D386" i="1" s="1"/>
  <c r="BG386" i="1" s="1"/>
  <c r="B387" i="1"/>
  <c r="D387" i="1" s="1"/>
  <c r="BG387" i="1" s="1"/>
  <c r="B388" i="1"/>
  <c r="D388" i="1" s="1"/>
  <c r="BG388" i="1" s="1"/>
  <c r="B389" i="1"/>
  <c r="D389" i="1" s="1"/>
  <c r="BG389" i="1" s="1"/>
  <c r="B390" i="1"/>
  <c r="D390" i="1" s="1"/>
  <c r="BG390" i="1" s="1"/>
  <c r="B391" i="1"/>
  <c r="D391" i="1" s="1"/>
  <c r="BG391" i="1" s="1"/>
  <c r="B392" i="1"/>
  <c r="D392" i="1" s="1"/>
  <c r="BG392" i="1" s="1"/>
  <c r="B393" i="1"/>
  <c r="D393" i="1" s="1"/>
  <c r="BG393" i="1" s="1"/>
  <c r="B394" i="1"/>
  <c r="D394" i="1" s="1"/>
  <c r="BG394" i="1" s="1"/>
  <c r="B395" i="1"/>
  <c r="D395" i="1" s="1"/>
  <c r="BG395" i="1" s="1"/>
  <c r="B396" i="1"/>
  <c r="D396" i="1" s="1"/>
  <c r="BG396" i="1" s="1"/>
  <c r="B397" i="1"/>
  <c r="D397" i="1" s="1"/>
  <c r="BG397" i="1" s="1"/>
  <c r="B398" i="1"/>
  <c r="D398" i="1" s="1"/>
  <c r="BG398" i="1" s="1"/>
  <c r="B399" i="1"/>
  <c r="D399" i="1" s="1"/>
  <c r="BG399" i="1" s="1"/>
  <c r="B400" i="1"/>
  <c r="D400" i="1" s="1"/>
  <c r="BG400" i="1" s="1"/>
  <c r="B401" i="1"/>
  <c r="D401" i="1" s="1"/>
  <c r="BG401" i="1" s="1"/>
  <c r="B402" i="1"/>
  <c r="D402" i="1" s="1"/>
  <c r="BG402" i="1" s="1"/>
  <c r="B403" i="1"/>
  <c r="D403" i="1" s="1"/>
  <c r="BG403" i="1" s="1"/>
  <c r="B404" i="1"/>
  <c r="D404" i="1" s="1"/>
  <c r="BG404" i="1" s="1"/>
  <c r="B405" i="1"/>
  <c r="D405" i="1" s="1"/>
  <c r="BG405" i="1" s="1"/>
  <c r="B406" i="1"/>
  <c r="D406" i="1" s="1"/>
  <c r="BG406" i="1" s="1"/>
  <c r="B407" i="1"/>
  <c r="D407" i="1" s="1"/>
  <c r="BG407" i="1" s="1"/>
  <c r="B408" i="1"/>
  <c r="D408" i="1" s="1"/>
  <c r="BG408" i="1" s="1"/>
  <c r="B409" i="1"/>
  <c r="D409" i="1" s="1"/>
  <c r="BG409" i="1" s="1"/>
  <c r="B410" i="1"/>
  <c r="D410" i="1" s="1"/>
  <c r="BG410" i="1" s="1"/>
  <c r="B411" i="1"/>
  <c r="D411" i="1" s="1"/>
  <c r="BG411" i="1" s="1"/>
  <c r="B412" i="1"/>
  <c r="D412" i="1" s="1"/>
  <c r="BG412" i="1" s="1"/>
  <c r="B413" i="1"/>
  <c r="D413" i="1" s="1"/>
  <c r="BG413" i="1" s="1"/>
  <c r="B414" i="1"/>
  <c r="D414" i="1" s="1"/>
  <c r="BG414" i="1" s="1"/>
  <c r="B415" i="1"/>
  <c r="D415" i="1" s="1"/>
  <c r="BG415" i="1" s="1"/>
  <c r="B416" i="1"/>
  <c r="D416" i="1" s="1"/>
  <c r="BG416" i="1" s="1"/>
  <c r="B417" i="1"/>
  <c r="D417" i="1" s="1"/>
  <c r="BG417" i="1" s="1"/>
  <c r="B418" i="1"/>
  <c r="D418" i="1" s="1"/>
  <c r="BG418" i="1" s="1"/>
  <c r="B419" i="1"/>
  <c r="D419" i="1" s="1"/>
  <c r="BG419" i="1" s="1"/>
  <c r="B420" i="1"/>
  <c r="D420" i="1" s="1"/>
  <c r="BG420" i="1" s="1"/>
  <c r="B421" i="1"/>
  <c r="D421" i="1" s="1"/>
  <c r="BG421" i="1" s="1"/>
  <c r="B422" i="1"/>
  <c r="D422" i="1" s="1"/>
  <c r="BG422" i="1" s="1"/>
  <c r="B423" i="1"/>
  <c r="D423" i="1" s="1"/>
  <c r="BG423" i="1" s="1"/>
  <c r="B424" i="1"/>
  <c r="D424" i="1" s="1"/>
  <c r="BG424" i="1" s="1"/>
  <c r="B425" i="1"/>
  <c r="D425" i="1" s="1"/>
  <c r="BG425" i="1" s="1"/>
  <c r="B426" i="1"/>
  <c r="D426" i="1" s="1"/>
  <c r="BG426" i="1" s="1"/>
  <c r="B427" i="1"/>
  <c r="D427" i="1" s="1"/>
  <c r="BG427" i="1" s="1"/>
  <c r="B428" i="1"/>
  <c r="D428" i="1" s="1"/>
  <c r="BG428" i="1" s="1"/>
  <c r="B429" i="1"/>
  <c r="D429" i="1" s="1"/>
  <c r="BG429" i="1" s="1"/>
  <c r="B430" i="1"/>
  <c r="D430" i="1" s="1"/>
  <c r="BG430" i="1" s="1"/>
  <c r="B431" i="1"/>
  <c r="D431" i="1" s="1"/>
  <c r="BG431" i="1" s="1"/>
  <c r="B432" i="1"/>
  <c r="D432" i="1" s="1"/>
  <c r="BG432" i="1" s="1"/>
  <c r="B433" i="1"/>
  <c r="D433" i="1" s="1"/>
  <c r="BG433" i="1" s="1"/>
  <c r="B434" i="1"/>
  <c r="D434" i="1" s="1"/>
  <c r="BG434" i="1" s="1"/>
  <c r="B435" i="1"/>
  <c r="D435" i="1" s="1"/>
  <c r="BG435" i="1" s="1"/>
  <c r="B436" i="1"/>
  <c r="D436" i="1" s="1"/>
  <c r="BG436" i="1" s="1"/>
  <c r="B437" i="1"/>
  <c r="D437" i="1" s="1"/>
  <c r="BG437" i="1" s="1"/>
  <c r="B438" i="1"/>
  <c r="D438" i="1" s="1"/>
  <c r="BG438" i="1" s="1"/>
  <c r="B439" i="1"/>
  <c r="D439" i="1" s="1"/>
  <c r="BG439" i="1" s="1"/>
  <c r="B440" i="1"/>
  <c r="D440" i="1" s="1"/>
  <c r="BG440" i="1" s="1"/>
  <c r="B441" i="1"/>
  <c r="D441" i="1" s="1"/>
  <c r="BG441" i="1" s="1"/>
  <c r="B442" i="1"/>
  <c r="D442" i="1" s="1"/>
  <c r="BG442" i="1" s="1"/>
  <c r="B443" i="1"/>
  <c r="D443" i="1" s="1"/>
  <c r="BG443" i="1" s="1"/>
  <c r="B444" i="1"/>
  <c r="D444" i="1" s="1"/>
  <c r="BG444" i="1" s="1"/>
  <c r="B445" i="1"/>
  <c r="D445" i="1" s="1"/>
  <c r="BG445" i="1" s="1"/>
  <c r="B446" i="1"/>
  <c r="D446" i="1" s="1"/>
  <c r="BG446" i="1" s="1"/>
  <c r="B447" i="1"/>
  <c r="D447" i="1" s="1"/>
  <c r="BG447" i="1" s="1"/>
  <c r="B448" i="1"/>
  <c r="D448" i="1" s="1"/>
  <c r="BG448" i="1" s="1"/>
  <c r="B449" i="1"/>
  <c r="D449" i="1" s="1"/>
  <c r="BG449" i="1" s="1"/>
  <c r="B450" i="1"/>
  <c r="D450" i="1" s="1"/>
  <c r="BG450" i="1" s="1"/>
  <c r="B451" i="1"/>
  <c r="D451" i="1" s="1"/>
  <c r="BG451" i="1" s="1"/>
  <c r="B452" i="1"/>
  <c r="D452" i="1" s="1"/>
  <c r="BG452" i="1" s="1"/>
  <c r="B453" i="1"/>
  <c r="D453" i="1" s="1"/>
  <c r="BG453" i="1" s="1"/>
  <c r="B454" i="1"/>
  <c r="D454" i="1" s="1"/>
  <c r="BG454" i="1" s="1"/>
  <c r="B455" i="1"/>
  <c r="D455" i="1" s="1"/>
  <c r="BG455" i="1" s="1"/>
  <c r="B456" i="1"/>
  <c r="D456" i="1" s="1"/>
  <c r="BG456" i="1" s="1"/>
  <c r="B457" i="1"/>
  <c r="D457" i="1" s="1"/>
  <c r="BG457" i="1" s="1"/>
  <c r="B458" i="1"/>
  <c r="D458" i="1" s="1"/>
  <c r="BG458" i="1" s="1"/>
  <c r="B459" i="1"/>
  <c r="D459" i="1" s="1"/>
  <c r="BG459" i="1" s="1"/>
  <c r="B460" i="1"/>
  <c r="D460" i="1" s="1"/>
  <c r="BG460" i="1" s="1"/>
  <c r="B461" i="1"/>
  <c r="D461" i="1" s="1"/>
  <c r="BG461" i="1" s="1"/>
  <c r="B462" i="1"/>
  <c r="D462" i="1" s="1"/>
  <c r="BG462" i="1" s="1"/>
  <c r="B463" i="1"/>
  <c r="D463" i="1" s="1"/>
  <c r="BG463" i="1" s="1"/>
  <c r="B464" i="1"/>
  <c r="D464" i="1" s="1"/>
  <c r="BG464" i="1" s="1"/>
  <c r="B465" i="1"/>
  <c r="D465" i="1" s="1"/>
  <c r="BG465" i="1" s="1"/>
  <c r="B466" i="1"/>
  <c r="D466" i="1" s="1"/>
  <c r="BG466" i="1" s="1"/>
  <c r="B467" i="1"/>
  <c r="D467" i="1" s="1"/>
  <c r="BG467" i="1" s="1"/>
  <c r="B468" i="1"/>
  <c r="D468" i="1" s="1"/>
  <c r="BG468" i="1" s="1"/>
  <c r="B469" i="1"/>
  <c r="D469" i="1" s="1"/>
  <c r="BG469" i="1" s="1"/>
  <c r="B470" i="1"/>
  <c r="D470" i="1" s="1"/>
  <c r="BG470" i="1" s="1"/>
  <c r="B471" i="1"/>
  <c r="D471" i="1" s="1"/>
  <c r="BG471" i="1" s="1"/>
  <c r="B472" i="1"/>
  <c r="D472" i="1" s="1"/>
  <c r="BG472" i="1" s="1"/>
  <c r="B473" i="1"/>
  <c r="D473" i="1" s="1"/>
  <c r="BG473" i="1" s="1"/>
  <c r="B474" i="1"/>
  <c r="D474" i="1" s="1"/>
  <c r="BG474" i="1" s="1"/>
  <c r="B475" i="1"/>
  <c r="D475" i="1" s="1"/>
  <c r="BG475" i="1" s="1"/>
  <c r="B476" i="1"/>
  <c r="D476" i="1" s="1"/>
  <c r="BG476" i="1" s="1"/>
  <c r="B477" i="1"/>
  <c r="D477" i="1" s="1"/>
  <c r="BG477" i="1" s="1"/>
  <c r="B478" i="1"/>
  <c r="D478" i="1" s="1"/>
  <c r="BG478" i="1" s="1"/>
  <c r="B479" i="1"/>
  <c r="D479" i="1" s="1"/>
  <c r="BG479" i="1" s="1"/>
  <c r="B480" i="1"/>
  <c r="D480" i="1" s="1"/>
  <c r="BG480" i="1" s="1"/>
  <c r="B481" i="1"/>
  <c r="D481" i="1" s="1"/>
  <c r="BG481" i="1" s="1"/>
  <c r="B482" i="1"/>
  <c r="D482" i="1" s="1"/>
  <c r="BG482" i="1" s="1"/>
  <c r="B483" i="1"/>
  <c r="D483" i="1" s="1"/>
  <c r="BG483" i="1" s="1"/>
  <c r="B484" i="1"/>
  <c r="D484" i="1" s="1"/>
  <c r="BG484" i="1" s="1"/>
  <c r="B485" i="1"/>
  <c r="D485" i="1" s="1"/>
  <c r="BG485" i="1" s="1"/>
  <c r="B486" i="1"/>
  <c r="D486" i="1" s="1"/>
  <c r="BG486" i="1" s="1"/>
  <c r="B487" i="1"/>
  <c r="D487" i="1" s="1"/>
  <c r="BG487" i="1" s="1"/>
  <c r="B488" i="1"/>
  <c r="D488" i="1" s="1"/>
  <c r="BG488" i="1" s="1"/>
  <c r="B489" i="1"/>
  <c r="D489" i="1" s="1"/>
  <c r="BG489" i="1" s="1"/>
  <c r="B490" i="1"/>
  <c r="D490" i="1" s="1"/>
  <c r="BG490" i="1" s="1"/>
  <c r="B491" i="1"/>
  <c r="D491" i="1" s="1"/>
  <c r="BG491" i="1" s="1"/>
  <c r="B492" i="1"/>
  <c r="D492" i="1" s="1"/>
  <c r="BG492" i="1" s="1"/>
  <c r="B493" i="1"/>
  <c r="D493" i="1" s="1"/>
  <c r="BG493" i="1" s="1"/>
  <c r="B494" i="1"/>
  <c r="D494" i="1" s="1"/>
  <c r="BG494" i="1" s="1"/>
  <c r="B495" i="1"/>
  <c r="D495" i="1" s="1"/>
  <c r="BG495" i="1" s="1"/>
  <c r="B496" i="1"/>
  <c r="D496" i="1" s="1"/>
  <c r="BG496" i="1" s="1"/>
  <c r="B497" i="1"/>
  <c r="D497" i="1" s="1"/>
  <c r="BG497" i="1" s="1"/>
  <c r="B498" i="1"/>
  <c r="D498" i="1" s="1"/>
  <c r="BG498" i="1" s="1"/>
  <c r="B499" i="1"/>
  <c r="D499" i="1" s="1"/>
  <c r="BG499" i="1" s="1"/>
  <c r="B500" i="1"/>
  <c r="D500" i="1" s="1"/>
  <c r="BG500" i="1" s="1"/>
  <c r="B501" i="1"/>
  <c r="D501" i="1" s="1"/>
  <c r="BG501" i="1" s="1"/>
  <c r="B502" i="1"/>
  <c r="D502" i="1" s="1"/>
  <c r="BG502" i="1" s="1"/>
  <c r="B503" i="1"/>
  <c r="D503" i="1" s="1"/>
  <c r="BG503" i="1" s="1"/>
  <c r="B504" i="1"/>
  <c r="D504" i="1" s="1"/>
  <c r="BG504" i="1" s="1"/>
  <c r="B505" i="1"/>
  <c r="D505" i="1" s="1"/>
  <c r="BG505" i="1" s="1"/>
  <c r="B506" i="1"/>
  <c r="D506" i="1" s="1"/>
  <c r="BG506" i="1" s="1"/>
  <c r="B507" i="1"/>
  <c r="D507" i="1" s="1"/>
  <c r="BG507" i="1" s="1"/>
  <c r="B508" i="1"/>
  <c r="D508" i="1" s="1"/>
  <c r="BG508" i="1" s="1"/>
  <c r="B509" i="1"/>
  <c r="D509" i="1" s="1"/>
  <c r="BG509" i="1" s="1"/>
  <c r="B510" i="1"/>
  <c r="D510" i="1" s="1"/>
  <c r="BG510" i="1" s="1"/>
  <c r="B511" i="1"/>
  <c r="D511" i="1" s="1"/>
  <c r="BG511" i="1" s="1"/>
  <c r="B512" i="1"/>
  <c r="D512" i="1" s="1"/>
  <c r="BG512" i="1" s="1"/>
  <c r="B513" i="1"/>
  <c r="D513" i="1" s="1"/>
  <c r="BG513" i="1" s="1"/>
  <c r="B514" i="1"/>
  <c r="D514" i="1" s="1"/>
  <c r="BG514" i="1" s="1"/>
  <c r="B515" i="1"/>
  <c r="D515" i="1" s="1"/>
  <c r="BG515" i="1" s="1"/>
  <c r="B516" i="1"/>
  <c r="D516" i="1" s="1"/>
  <c r="BG516" i="1" s="1"/>
  <c r="B517" i="1"/>
  <c r="D517" i="1" s="1"/>
  <c r="BG517" i="1" s="1"/>
  <c r="B518" i="1"/>
  <c r="D518" i="1" s="1"/>
  <c r="BG518" i="1" s="1"/>
  <c r="B519" i="1"/>
  <c r="D519" i="1" s="1"/>
  <c r="BG519" i="1" s="1"/>
  <c r="B520" i="1"/>
  <c r="D520" i="1" s="1"/>
  <c r="BG520" i="1" s="1"/>
  <c r="B521" i="1"/>
  <c r="D521" i="1" s="1"/>
  <c r="BG521" i="1" s="1"/>
  <c r="B522" i="1"/>
  <c r="D522" i="1" s="1"/>
  <c r="BG522" i="1" s="1"/>
  <c r="B523" i="1"/>
  <c r="D523" i="1" s="1"/>
  <c r="BG523" i="1" s="1"/>
  <c r="B524" i="1"/>
  <c r="D524" i="1" s="1"/>
  <c r="BG524" i="1" s="1"/>
  <c r="B525" i="1"/>
  <c r="D525" i="1" s="1"/>
  <c r="BG525" i="1" s="1"/>
  <c r="B526" i="1"/>
  <c r="D526" i="1" s="1"/>
  <c r="BG526" i="1" s="1"/>
  <c r="B527" i="1"/>
  <c r="D527" i="1" s="1"/>
  <c r="BG527" i="1" s="1"/>
  <c r="B528" i="1"/>
  <c r="D528" i="1" s="1"/>
  <c r="BG528" i="1" s="1"/>
  <c r="B529" i="1"/>
  <c r="D529" i="1" s="1"/>
  <c r="BG529" i="1" s="1"/>
  <c r="B530" i="1"/>
  <c r="D530" i="1" s="1"/>
  <c r="BG530" i="1" s="1"/>
  <c r="B531" i="1"/>
  <c r="D531" i="1" s="1"/>
  <c r="BG531" i="1" s="1"/>
  <c r="B532" i="1"/>
  <c r="D532" i="1" s="1"/>
  <c r="BG532" i="1" s="1"/>
  <c r="B533" i="1"/>
  <c r="D533" i="1" s="1"/>
  <c r="BG533" i="1" s="1"/>
  <c r="B534" i="1"/>
  <c r="D534" i="1" s="1"/>
  <c r="BG534" i="1" s="1"/>
  <c r="B535" i="1"/>
  <c r="D535" i="1" s="1"/>
  <c r="BG535" i="1" s="1"/>
  <c r="B536" i="1"/>
  <c r="D536" i="1" s="1"/>
  <c r="BG536" i="1" s="1"/>
  <c r="B537" i="1"/>
  <c r="D537" i="1" s="1"/>
  <c r="BG537" i="1" s="1"/>
  <c r="B538" i="1"/>
  <c r="D538" i="1" s="1"/>
  <c r="BG538" i="1" s="1"/>
  <c r="B539" i="1"/>
  <c r="D539" i="1" s="1"/>
  <c r="BG539" i="1" s="1"/>
  <c r="B540" i="1"/>
  <c r="D540" i="1" s="1"/>
  <c r="BG540" i="1" s="1"/>
  <c r="B541" i="1"/>
  <c r="D541" i="1" s="1"/>
  <c r="BG541" i="1" s="1"/>
  <c r="B542" i="1"/>
  <c r="D542" i="1" s="1"/>
  <c r="BG542" i="1" s="1"/>
  <c r="B543" i="1"/>
  <c r="D543" i="1" s="1"/>
  <c r="BG543" i="1" s="1"/>
  <c r="B544" i="1"/>
  <c r="D544" i="1" s="1"/>
  <c r="BG544" i="1" s="1"/>
  <c r="B545" i="1"/>
  <c r="D545" i="1" s="1"/>
  <c r="BG545" i="1" s="1"/>
  <c r="B546" i="1"/>
  <c r="D546" i="1" s="1"/>
  <c r="BG546" i="1" s="1"/>
  <c r="B547" i="1"/>
  <c r="D547" i="1" s="1"/>
  <c r="BG547" i="1" s="1"/>
  <c r="B548" i="1"/>
  <c r="D548" i="1" s="1"/>
  <c r="BG548" i="1" s="1"/>
  <c r="B549" i="1"/>
  <c r="D549" i="1" s="1"/>
  <c r="BG549" i="1" s="1"/>
  <c r="B550" i="1"/>
  <c r="D550" i="1" s="1"/>
  <c r="BG550" i="1" s="1"/>
  <c r="B551" i="1"/>
  <c r="D551" i="1" s="1"/>
  <c r="BG551" i="1" s="1"/>
  <c r="B552" i="1"/>
  <c r="D552" i="1" s="1"/>
  <c r="BG552" i="1" s="1"/>
  <c r="B553" i="1"/>
  <c r="D553" i="1" s="1"/>
  <c r="BG553" i="1" s="1"/>
  <c r="B554" i="1"/>
  <c r="D554" i="1" s="1"/>
  <c r="BG554" i="1" s="1"/>
  <c r="B555" i="1"/>
  <c r="D555" i="1" s="1"/>
  <c r="BG555" i="1" s="1"/>
  <c r="B556" i="1"/>
  <c r="D556" i="1" s="1"/>
  <c r="BG556" i="1" s="1"/>
  <c r="B557" i="1"/>
  <c r="D557" i="1" s="1"/>
  <c r="BG557" i="1" s="1"/>
  <c r="B558" i="1"/>
  <c r="D558" i="1" s="1"/>
  <c r="BG558" i="1" s="1"/>
  <c r="B559" i="1"/>
  <c r="D559" i="1" s="1"/>
  <c r="BG559" i="1" s="1"/>
  <c r="B560" i="1"/>
  <c r="D560" i="1" s="1"/>
  <c r="BG560" i="1" s="1"/>
  <c r="B561" i="1"/>
  <c r="D561" i="1" s="1"/>
  <c r="BG561" i="1" s="1"/>
  <c r="B562" i="1"/>
  <c r="D562" i="1" s="1"/>
  <c r="BG562" i="1" s="1"/>
  <c r="B563" i="1"/>
  <c r="D563" i="1" s="1"/>
  <c r="BG563" i="1" s="1"/>
  <c r="B564" i="1"/>
  <c r="D564" i="1" s="1"/>
  <c r="BG564" i="1" s="1"/>
  <c r="B565" i="1"/>
  <c r="D565" i="1" s="1"/>
  <c r="BG565" i="1" s="1"/>
  <c r="B566" i="1"/>
  <c r="D566" i="1" s="1"/>
  <c r="BG566" i="1" s="1"/>
  <c r="B567" i="1"/>
  <c r="D567" i="1" s="1"/>
  <c r="BG567" i="1" s="1"/>
  <c r="B568" i="1"/>
  <c r="D568" i="1" s="1"/>
  <c r="BG568" i="1" s="1"/>
  <c r="B569" i="1"/>
  <c r="D569" i="1" s="1"/>
  <c r="BG569" i="1" s="1"/>
  <c r="B570" i="1"/>
  <c r="D570" i="1" s="1"/>
  <c r="BG570" i="1" s="1"/>
  <c r="B571" i="1"/>
  <c r="D571" i="1" s="1"/>
  <c r="BG571" i="1" s="1"/>
  <c r="B572" i="1"/>
  <c r="D572" i="1" s="1"/>
  <c r="BG572" i="1" s="1"/>
  <c r="B573" i="1"/>
  <c r="D573" i="1" s="1"/>
  <c r="BG573" i="1" s="1"/>
  <c r="B574" i="1"/>
  <c r="D574" i="1" s="1"/>
  <c r="BG574" i="1" s="1"/>
  <c r="B575" i="1"/>
  <c r="D575" i="1" s="1"/>
  <c r="BG575" i="1" s="1"/>
  <c r="B576" i="1"/>
  <c r="D576" i="1" s="1"/>
  <c r="BG576" i="1" s="1"/>
  <c r="B577" i="1"/>
  <c r="D577" i="1" s="1"/>
  <c r="BG577" i="1" s="1"/>
  <c r="B578" i="1"/>
  <c r="D578" i="1" s="1"/>
  <c r="BG578" i="1" s="1"/>
  <c r="B579" i="1"/>
  <c r="D579" i="1" s="1"/>
  <c r="BG579" i="1" s="1"/>
  <c r="B580" i="1"/>
  <c r="D580" i="1" s="1"/>
  <c r="BG580" i="1" s="1"/>
  <c r="B581" i="1"/>
  <c r="D581" i="1" s="1"/>
  <c r="BG581" i="1" s="1"/>
  <c r="B582" i="1"/>
  <c r="D582" i="1" s="1"/>
  <c r="BG582" i="1" s="1"/>
  <c r="B583" i="1"/>
  <c r="D583" i="1" s="1"/>
  <c r="BG583" i="1" s="1"/>
  <c r="B584" i="1"/>
  <c r="D584" i="1" s="1"/>
  <c r="BG584" i="1" s="1"/>
  <c r="B585" i="1"/>
  <c r="D585" i="1" s="1"/>
  <c r="BG585" i="1" s="1"/>
  <c r="B586" i="1"/>
  <c r="D586" i="1" s="1"/>
  <c r="BG586" i="1" s="1"/>
  <c r="B587" i="1"/>
  <c r="D587" i="1" s="1"/>
  <c r="BG587" i="1" s="1"/>
  <c r="B588" i="1"/>
  <c r="D588" i="1" s="1"/>
  <c r="BG588" i="1" s="1"/>
  <c r="B589" i="1"/>
  <c r="D589" i="1" s="1"/>
  <c r="BG589" i="1" s="1"/>
  <c r="B590" i="1"/>
  <c r="D590" i="1" s="1"/>
  <c r="BG590" i="1" s="1"/>
  <c r="B591" i="1"/>
  <c r="D591" i="1" s="1"/>
  <c r="BG591" i="1" s="1"/>
  <c r="B592" i="1"/>
  <c r="D592" i="1" s="1"/>
  <c r="BG592" i="1" s="1"/>
  <c r="B593" i="1"/>
  <c r="D593" i="1" s="1"/>
  <c r="BG593" i="1" s="1"/>
  <c r="B594" i="1"/>
  <c r="D594" i="1" s="1"/>
  <c r="BG594" i="1" s="1"/>
  <c r="B595" i="1"/>
  <c r="D595" i="1" s="1"/>
  <c r="BG595" i="1" s="1"/>
  <c r="B596" i="1"/>
  <c r="D596" i="1" s="1"/>
  <c r="BG596" i="1" s="1"/>
  <c r="B597" i="1"/>
  <c r="D597" i="1" s="1"/>
  <c r="BG597" i="1" s="1"/>
  <c r="B598" i="1"/>
  <c r="D598" i="1" s="1"/>
  <c r="BG598" i="1" s="1"/>
  <c r="B599" i="1"/>
  <c r="D599" i="1" s="1"/>
  <c r="BG599" i="1" s="1"/>
  <c r="B600" i="1"/>
  <c r="D600" i="1" s="1"/>
  <c r="BG600" i="1" s="1"/>
  <c r="B601" i="1"/>
  <c r="D601" i="1" s="1"/>
  <c r="BG601" i="1" s="1"/>
  <c r="B602" i="1"/>
  <c r="D602" i="1" s="1"/>
  <c r="BG602" i="1" s="1"/>
  <c r="B603" i="1"/>
  <c r="D603" i="1" s="1"/>
  <c r="BG603" i="1" s="1"/>
  <c r="B604" i="1"/>
  <c r="D604" i="1" s="1"/>
  <c r="BG604" i="1" s="1"/>
  <c r="B605" i="1"/>
  <c r="D605" i="1" s="1"/>
  <c r="BG605" i="1" s="1"/>
  <c r="B606" i="1"/>
  <c r="D606" i="1" s="1"/>
  <c r="BG606" i="1" s="1"/>
  <c r="B607" i="1"/>
  <c r="D607" i="1" s="1"/>
  <c r="BG607" i="1" s="1"/>
  <c r="B608" i="1"/>
  <c r="D608" i="1" s="1"/>
  <c r="BG608" i="1" s="1"/>
  <c r="B609" i="1"/>
  <c r="D609" i="1" s="1"/>
  <c r="BG609" i="1" s="1"/>
  <c r="B610" i="1"/>
  <c r="D610" i="1" s="1"/>
  <c r="BG610" i="1" s="1"/>
  <c r="B611" i="1"/>
  <c r="D611" i="1" s="1"/>
  <c r="BG611" i="1" s="1"/>
  <c r="B612" i="1"/>
  <c r="D612" i="1" s="1"/>
  <c r="BG612" i="1" s="1"/>
  <c r="B613" i="1"/>
  <c r="D613" i="1" s="1"/>
  <c r="BG613" i="1" s="1"/>
  <c r="B614" i="1"/>
  <c r="D614" i="1" s="1"/>
  <c r="BG614" i="1" s="1"/>
  <c r="B615" i="1"/>
  <c r="D615" i="1" s="1"/>
  <c r="BG615" i="1" s="1"/>
  <c r="B616" i="1"/>
  <c r="D616" i="1" s="1"/>
  <c r="BG616" i="1" s="1"/>
  <c r="B617" i="1"/>
  <c r="D617" i="1" s="1"/>
  <c r="BG617" i="1" s="1"/>
  <c r="B618" i="1"/>
  <c r="D618" i="1" s="1"/>
  <c r="BG618" i="1" s="1"/>
  <c r="B619" i="1"/>
  <c r="D619" i="1" s="1"/>
  <c r="BG619" i="1" s="1"/>
  <c r="B620" i="1"/>
  <c r="D620" i="1" s="1"/>
  <c r="BG620" i="1" s="1"/>
  <c r="B621" i="1"/>
  <c r="D621" i="1" s="1"/>
  <c r="BG621" i="1" s="1"/>
  <c r="B622" i="1"/>
  <c r="D622" i="1" s="1"/>
  <c r="BG622" i="1" s="1"/>
  <c r="B623" i="1"/>
  <c r="D623" i="1" s="1"/>
  <c r="BG623" i="1" s="1"/>
  <c r="B624" i="1"/>
  <c r="D624" i="1" s="1"/>
  <c r="BG624" i="1" s="1"/>
  <c r="B625" i="1"/>
  <c r="D625" i="1" s="1"/>
  <c r="BG625" i="1" s="1"/>
  <c r="B626" i="1"/>
  <c r="D626" i="1" s="1"/>
  <c r="BG626" i="1" s="1"/>
  <c r="B627" i="1"/>
  <c r="D627" i="1" s="1"/>
  <c r="BG627" i="1" s="1"/>
  <c r="B628" i="1"/>
  <c r="D628" i="1" s="1"/>
  <c r="BG628" i="1" s="1"/>
  <c r="B629" i="1"/>
  <c r="D629" i="1" s="1"/>
  <c r="BG629" i="1" s="1"/>
  <c r="B630" i="1"/>
  <c r="D630" i="1" s="1"/>
  <c r="BG630" i="1" s="1"/>
  <c r="B631" i="1"/>
  <c r="D631" i="1" s="1"/>
  <c r="BG631" i="1" s="1"/>
  <c r="B632" i="1"/>
  <c r="D632" i="1" s="1"/>
  <c r="BG632" i="1" s="1"/>
  <c r="B633" i="1"/>
  <c r="D633" i="1" s="1"/>
  <c r="BG633" i="1" s="1"/>
  <c r="B634" i="1"/>
  <c r="D634" i="1" s="1"/>
  <c r="BG634" i="1" s="1"/>
  <c r="B635" i="1"/>
  <c r="D635" i="1" s="1"/>
  <c r="BG635" i="1" s="1"/>
  <c r="B636" i="1"/>
  <c r="D636" i="1" s="1"/>
  <c r="BG636" i="1" s="1"/>
  <c r="B637" i="1"/>
  <c r="D637" i="1" s="1"/>
  <c r="BG637" i="1" s="1"/>
  <c r="B638" i="1"/>
  <c r="D638" i="1" s="1"/>
  <c r="BG638" i="1" s="1"/>
  <c r="B639" i="1"/>
  <c r="D639" i="1" s="1"/>
  <c r="BG639" i="1" s="1"/>
  <c r="B640" i="1"/>
  <c r="D640" i="1" s="1"/>
  <c r="BG640" i="1" s="1"/>
  <c r="B641" i="1"/>
  <c r="D641" i="1" s="1"/>
  <c r="BG641" i="1" s="1"/>
  <c r="B642" i="1"/>
  <c r="D642" i="1" s="1"/>
  <c r="BG642" i="1" s="1"/>
  <c r="B643" i="1"/>
  <c r="D643" i="1" s="1"/>
  <c r="BG643" i="1" s="1"/>
  <c r="B644" i="1"/>
  <c r="D644" i="1" s="1"/>
  <c r="BG644" i="1" s="1"/>
  <c r="B645" i="1"/>
  <c r="D645" i="1" s="1"/>
  <c r="BG645" i="1" s="1"/>
  <c r="B646" i="1"/>
  <c r="D646" i="1" s="1"/>
  <c r="BG646" i="1" s="1"/>
  <c r="B647" i="1"/>
  <c r="D647" i="1" s="1"/>
  <c r="BG647" i="1" s="1"/>
  <c r="B648" i="1"/>
  <c r="D648" i="1" s="1"/>
  <c r="BG648" i="1" s="1"/>
  <c r="B649" i="1"/>
  <c r="D649" i="1" s="1"/>
  <c r="BG649" i="1" s="1"/>
  <c r="B650" i="1"/>
  <c r="D650" i="1" s="1"/>
  <c r="BG650" i="1" s="1"/>
  <c r="B651" i="1"/>
  <c r="D651" i="1" s="1"/>
  <c r="BG651" i="1" s="1"/>
  <c r="B652" i="1"/>
  <c r="D652" i="1" s="1"/>
  <c r="BG652" i="1" s="1"/>
  <c r="B653" i="1"/>
  <c r="D653" i="1" s="1"/>
  <c r="BG653" i="1" s="1"/>
  <c r="B654" i="1"/>
  <c r="D654" i="1" s="1"/>
  <c r="BG654" i="1" s="1"/>
  <c r="B655" i="1"/>
  <c r="D655" i="1" s="1"/>
  <c r="BG655" i="1" s="1"/>
  <c r="B656" i="1"/>
  <c r="D656" i="1" s="1"/>
  <c r="BG656" i="1" s="1"/>
  <c r="B657" i="1"/>
  <c r="D657" i="1" s="1"/>
  <c r="BG657" i="1" s="1"/>
  <c r="B658" i="1"/>
  <c r="D658" i="1" s="1"/>
  <c r="BG658" i="1" s="1"/>
  <c r="B659" i="1"/>
  <c r="D659" i="1" s="1"/>
  <c r="BG659" i="1" s="1"/>
  <c r="B660" i="1"/>
  <c r="D660" i="1" s="1"/>
  <c r="BG660" i="1" s="1"/>
  <c r="B661" i="1"/>
  <c r="D661" i="1" s="1"/>
  <c r="BG661" i="1" s="1"/>
  <c r="B662" i="1"/>
  <c r="D662" i="1" s="1"/>
  <c r="BG662" i="1" s="1"/>
  <c r="B663" i="1"/>
  <c r="D663" i="1" s="1"/>
  <c r="BG663" i="1" s="1"/>
  <c r="B664" i="1"/>
  <c r="D664" i="1" s="1"/>
  <c r="BG664" i="1" s="1"/>
  <c r="B665" i="1"/>
  <c r="D665" i="1" s="1"/>
  <c r="BG665" i="1" s="1"/>
  <c r="B666" i="1"/>
  <c r="D666" i="1" s="1"/>
  <c r="BG666" i="1" s="1"/>
  <c r="B667" i="1"/>
  <c r="D667" i="1" s="1"/>
  <c r="BG667" i="1" s="1"/>
  <c r="B668" i="1"/>
  <c r="D668" i="1" s="1"/>
  <c r="BG668" i="1" s="1"/>
  <c r="B669" i="1"/>
  <c r="D669" i="1" s="1"/>
  <c r="BG669" i="1" s="1"/>
  <c r="B670" i="1"/>
  <c r="D670" i="1" s="1"/>
  <c r="BG670" i="1" s="1"/>
  <c r="B671" i="1"/>
  <c r="D671" i="1" s="1"/>
  <c r="BG671" i="1" s="1"/>
  <c r="B672" i="1"/>
  <c r="D672" i="1" s="1"/>
  <c r="BG672" i="1" s="1"/>
  <c r="B673" i="1"/>
  <c r="D673" i="1" s="1"/>
  <c r="BG673" i="1" s="1"/>
  <c r="B674" i="1"/>
  <c r="D674" i="1" s="1"/>
  <c r="BG674" i="1" s="1"/>
  <c r="B675" i="1"/>
  <c r="D675" i="1" s="1"/>
  <c r="BG675" i="1" s="1"/>
  <c r="B676" i="1"/>
  <c r="D676" i="1" s="1"/>
  <c r="BG676" i="1" s="1"/>
  <c r="B677" i="1"/>
  <c r="D677" i="1" s="1"/>
  <c r="BG677" i="1" s="1"/>
  <c r="B678" i="1"/>
  <c r="D678" i="1" s="1"/>
  <c r="BG678" i="1" s="1"/>
  <c r="B679" i="1"/>
  <c r="D679" i="1" s="1"/>
  <c r="BG679" i="1" s="1"/>
  <c r="B680" i="1"/>
  <c r="D680" i="1" s="1"/>
  <c r="BG680" i="1" s="1"/>
  <c r="B681" i="1"/>
  <c r="D681" i="1" s="1"/>
  <c r="BG681" i="1" s="1"/>
  <c r="B682" i="1"/>
  <c r="D682" i="1" s="1"/>
  <c r="BG682" i="1" s="1"/>
  <c r="B683" i="1"/>
  <c r="D683" i="1" s="1"/>
  <c r="BG683" i="1" s="1"/>
  <c r="B684" i="1"/>
  <c r="D684" i="1" s="1"/>
  <c r="BG684" i="1" s="1"/>
  <c r="B685" i="1"/>
  <c r="D685" i="1" s="1"/>
  <c r="BG685" i="1" s="1"/>
  <c r="B686" i="1"/>
  <c r="D686" i="1" s="1"/>
  <c r="BG686" i="1" s="1"/>
  <c r="B687" i="1"/>
  <c r="D687" i="1" s="1"/>
  <c r="BG687" i="1" s="1"/>
  <c r="B688" i="1"/>
  <c r="D688" i="1" s="1"/>
  <c r="BG688" i="1" s="1"/>
  <c r="B689" i="1"/>
  <c r="D689" i="1" s="1"/>
  <c r="BG689" i="1" s="1"/>
  <c r="B690" i="1"/>
  <c r="D690" i="1" s="1"/>
  <c r="BG690" i="1" s="1"/>
  <c r="B691" i="1"/>
  <c r="D691" i="1" s="1"/>
  <c r="BG691" i="1" s="1"/>
  <c r="B692" i="1"/>
  <c r="D692" i="1" s="1"/>
  <c r="BG692" i="1" s="1"/>
  <c r="B693" i="1"/>
  <c r="D693" i="1" s="1"/>
  <c r="BG693" i="1" s="1"/>
  <c r="B694" i="1"/>
  <c r="D694" i="1" s="1"/>
  <c r="BG694" i="1" s="1"/>
  <c r="B695" i="1"/>
  <c r="D695" i="1" s="1"/>
  <c r="BG695" i="1" s="1"/>
  <c r="B696" i="1"/>
  <c r="D696" i="1" s="1"/>
  <c r="BG696" i="1" s="1"/>
  <c r="B697" i="1"/>
  <c r="D697" i="1" s="1"/>
  <c r="BG697" i="1" s="1"/>
  <c r="B698" i="1"/>
  <c r="D698" i="1" s="1"/>
  <c r="BG698" i="1" s="1"/>
  <c r="B699" i="1"/>
  <c r="D699" i="1" s="1"/>
  <c r="BG699" i="1" s="1"/>
  <c r="B700" i="1"/>
  <c r="D700" i="1" s="1"/>
  <c r="BG700" i="1" s="1"/>
  <c r="B701" i="1"/>
  <c r="D701" i="1" s="1"/>
  <c r="BG701" i="1" s="1"/>
  <c r="B702" i="1"/>
  <c r="D702" i="1" s="1"/>
  <c r="BG702" i="1" s="1"/>
  <c r="B703" i="1"/>
  <c r="D703" i="1" s="1"/>
  <c r="BG703" i="1" s="1"/>
  <c r="B704" i="1"/>
  <c r="D704" i="1" s="1"/>
  <c r="BG704" i="1" s="1"/>
  <c r="B705" i="1"/>
  <c r="D705" i="1" s="1"/>
  <c r="BG705" i="1" s="1"/>
  <c r="B706" i="1"/>
  <c r="D706" i="1" s="1"/>
  <c r="BG706" i="1" s="1"/>
  <c r="B707" i="1"/>
  <c r="D707" i="1" s="1"/>
  <c r="BG707" i="1" s="1"/>
  <c r="B708" i="1"/>
  <c r="D708" i="1" s="1"/>
  <c r="BG708" i="1" s="1"/>
  <c r="B709" i="1"/>
  <c r="D709" i="1" s="1"/>
  <c r="BG709" i="1" s="1"/>
  <c r="B710" i="1"/>
  <c r="D710" i="1" s="1"/>
  <c r="BG710" i="1" s="1"/>
  <c r="B711" i="1"/>
  <c r="D711" i="1" s="1"/>
  <c r="BG711" i="1" s="1"/>
  <c r="B712" i="1"/>
  <c r="D712" i="1" s="1"/>
  <c r="BG712" i="1" s="1"/>
  <c r="B713" i="1"/>
  <c r="D713" i="1" s="1"/>
  <c r="BG713" i="1" s="1"/>
  <c r="B714" i="1"/>
  <c r="D714" i="1" s="1"/>
  <c r="BG714" i="1" s="1"/>
  <c r="B715" i="1"/>
  <c r="D715" i="1" s="1"/>
  <c r="BG715" i="1" s="1"/>
  <c r="B716" i="1"/>
  <c r="D716" i="1" s="1"/>
  <c r="BG716" i="1" s="1"/>
  <c r="B717" i="1"/>
  <c r="D717" i="1" s="1"/>
  <c r="BG717" i="1" s="1"/>
  <c r="B718" i="1"/>
  <c r="D718" i="1" s="1"/>
  <c r="BG718" i="1" s="1"/>
  <c r="B719" i="1"/>
  <c r="D719" i="1" s="1"/>
  <c r="BG719" i="1" s="1"/>
  <c r="B720" i="1"/>
  <c r="D720" i="1" s="1"/>
  <c r="BG720" i="1" s="1"/>
  <c r="B721" i="1"/>
  <c r="D721" i="1" s="1"/>
  <c r="BG721" i="1" s="1"/>
  <c r="B722" i="1"/>
  <c r="D722" i="1" s="1"/>
  <c r="BG722" i="1" s="1"/>
  <c r="B723" i="1"/>
  <c r="D723" i="1" s="1"/>
  <c r="BG723" i="1" s="1"/>
  <c r="B724" i="1"/>
  <c r="D724" i="1" s="1"/>
  <c r="BG724" i="1" s="1"/>
  <c r="B725" i="1"/>
  <c r="D725" i="1" s="1"/>
  <c r="BG725" i="1" s="1"/>
  <c r="B726" i="1"/>
  <c r="D726" i="1" s="1"/>
  <c r="BG726" i="1" s="1"/>
  <c r="B727" i="1"/>
  <c r="D727" i="1" s="1"/>
  <c r="BG727" i="1" s="1"/>
  <c r="B728" i="1"/>
  <c r="D728" i="1" s="1"/>
  <c r="BG728" i="1" s="1"/>
  <c r="B729" i="1"/>
  <c r="D729" i="1" s="1"/>
  <c r="BG729" i="1" s="1"/>
  <c r="B730" i="1"/>
  <c r="D730" i="1" s="1"/>
  <c r="BG730" i="1" s="1"/>
  <c r="B731" i="1"/>
  <c r="D731" i="1" s="1"/>
  <c r="BG731" i="1" s="1"/>
  <c r="B732" i="1"/>
  <c r="D732" i="1" s="1"/>
  <c r="BG732" i="1" s="1"/>
  <c r="B733" i="1"/>
  <c r="D733" i="1" s="1"/>
  <c r="BG733" i="1" s="1"/>
  <c r="B734" i="1"/>
  <c r="D734" i="1" s="1"/>
  <c r="BG734" i="1" s="1"/>
  <c r="B735" i="1"/>
  <c r="D735" i="1" s="1"/>
  <c r="BG735" i="1" s="1"/>
  <c r="B736" i="1"/>
  <c r="D736" i="1" s="1"/>
  <c r="BG736" i="1" s="1"/>
  <c r="B737" i="1"/>
  <c r="D737" i="1" s="1"/>
  <c r="BG737" i="1" s="1"/>
  <c r="B738" i="1"/>
  <c r="D738" i="1" s="1"/>
  <c r="BG738" i="1" s="1"/>
  <c r="B739" i="1"/>
  <c r="D739" i="1" s="1"/>
  <c r="BG739" i="1" s="1"/>
  <c r="B740" i="1"/>
  <c r="D740" i="1" s="1"/>
  <c r="BG740" i="1" s="1"/>
  <c r="B741" i="1"/>
  <c r="D741" i="1" s="1"/>
  <c r="BG741" i="1" s="1"/>
  <c r="B742" i="1"/>
  <c r="D742" i="1" s="1"/>
  <c r="BG742" i="1" s="1"/>
  <c r="B743" i="1"/>
  <c r="D743" i="1" s="1"/>
  <c r="BG743" i="1" s="1"/>
  <c r="B744" i="1"/>
  <c r="D744" i="1" s="1"/>
  <c r="BG744" i="1" s="1"/>
  <c r="B745" i="1"/>
  <c r="D745" i="1" s="1"/>
  <c r="BG745" i="1" s="1"/>
  <c r="B746" i="1"/>
  <c r="D746" i="1" s="1"/>
  <c r="BG746" i="1" s="1"/>
  <c r="B747" i="1"/>
  <c r="D747" i="1" s="1"/>
  <c r="BG747" i="1" s="1"/>
  <c r="B748" i="1"/>
  <c r="D748" i="1" s="1"/>
  <c r="BG748" i="1" s="1"/>
  <c r="B749" i="1"/>
  <c r="D749" i="1" s="1"/>
  <c r="BG749" i="1" s="1"/>
  <c r="B750" i="1"/>
  <c r="D750" i="1" s="1"/>
  <c r="BG750" i="1" s="1"/>
  <c r="B751" i="1"/>
  <c r="D751" i="1" s="1"/>
  <c r="BG751" i="1" s="1"/>
  <c r="B752" i="1"/>
  <c r="D752" i="1" s="1"/>
  <c r="BG752" i="1" s="1"/>
  <c r="B753" i="1"/>
  <c r="D753" i="1" s="1"/>
  <c r="BG753" i="1" s="1"/>
  <c r="B754" i="1"/>
  <c r="D754" i="1" s="1"/>
  <c r="BG754" i="1" s="1"/>
  <c r="B755" i="1"/>
  <c r="D755" i="1" s="1"/>
  <c r="BG755" i="1" s="1"/>
  <c r="B756" i="1"/>
  <c r="D756" i="1" s="1"/>
  <c r="BG756" i="1" s="1"/>
  <c r="B757" i="1"/>
  <c r="D757" i="1" s="1"/>
  <c r="BG757" i="1" s="1"/>
  <c r="B758" i="1"/>
  <c r="D758" i="1" s="1"/>
  <c r="BG758" i="1" s="1"/>
  <c r="B759" i="1"/>
  <c r="D759" i="1" s="1"/>
  <c r="BG759" i="1" s="1"/>
  <c r="B760" i="1"/>
  <c r="D760" i="1" s="1"/>
  <c r="BG760" i="1" s="1"/>
  <c r="B761" i="1"/>
  <c r="D761" i="1" s="1"/>
  <c r="BG761" i="1" s="1"/>
  <c r="B762" i="1"/>
  <c r="D762" i="1" s="1"/>
  <c r="BG762" i="1" s="1"/>
  <c r="B763" i="1"/>
  <c r="D763" i="1" s="1"/>
  <c r="BG763" i="1" s="1"/>
  <c r="B764" i="1"/>
  <c r="D764" i="1" s="1"/>
  <c r="BG764" i="1" s="1"/>
  <c r="B765" i="1"/>
  <c r="D765" i="1" s="1"/>
  <c r="BG765" i="1" s="1"/>
  <c r="B766" i="1"/>
  <c r="D766" i="1" s="1"/>
  <c r="BG766" i="1" s="1"/>
  <c r="B767" i="1"/>
  <c r="D767" i="1" s="1"/>
  <c r="BG767" i="1" s="1"/>
  <c r="B768" i="1"/>
  <c r="D768" i="1" s="1"/>
  <c r="BG768" i="1" s="1"/>
  <c r="B769" i="1"/>
  <c r="D769" i="1" s="1"/>
  <c r="BG769" i="1" s="1"/>
  <c r="B770" i="1"/>
  <c r="D770" i="1" s="1"/>
  <c r="BG770" i="1" s="1"/>
  <c r="B771" i="1"/>
  <c r="D771" i="1" s="1"/>
  <c r="BG771" i="1" s="1"/>
  <c r="B772" i="1"/>
  <c r="D772" i="1" s="1"/>
  <c r="BG772" i="1" s="1"/>
  <c r="B773" i="1"/>
  <c r="D773" i="1" s="1"/>
  <c r="BG773" i="1" s="1"/>
  <c r="B774" i="1"/>
  <c r="D774" i="1" s="1"/>
  <c r="BG774" i="1" s="1"/>
  <c r="B775" i="1"/>
  <c r="D775" i="1" s="1"/>
  <c r="BG775" i="1" s="1"/>
  <c r="B776" i="1"/>
  <c r="D776" i="1" s="1"/>
  <c r="BG776" i="1" s="1"/>
  <c r="B777" i="1"/>
  <c r="D777" i="1" s="1"/>
  <c r="BG777" i="1" s="1"/>
  <c r="B778" i="1"/>
  <c r="D778" i="1" s="1"/>
  <c r="BG778" i="1" s="1"/>
  <c r="B779" i="1"/>
  <c r="D779" i="1" s="1"/>
  <c r="BG779" i="1" s="1"/>
  <c r="B780" i="1"/>
  <c r="D780" i="1" s="1"/>
  <c r="BG780" i="1" s="1"/>
  <c r="B781" i="1"/>
  <c r="D781" i="1" s="1"/>
  <c r="BG781" i="1" s="1"/>
  <c r="B782" i="1"/>
  <c r="D782" i="1" s="1"/>
  <c r="BG782" i="1" s="1"/>
  <c r="B783" i="1"/>
  <c r="D783" i="1" s="1"/>
  <c r="BG783" i="1" s="1"/>
  <c r="B784" i="1"/>
  <c r="D784" i="1" s="1"/>
  <c r="BG784" i="1" s="1"/>
  <c r="B785" i="1"/>
  <c r="D785" i="1" s="1"/>
  <c r="BG785" i="1" s="1"/>
  <c r="B786" i="1"/>
  <c r="D786" i="1" s="1"/>
  <c r="BG786" i="1" s="1"/>
  <c r="B787" i="1"/>
  <c r="D787" i="1" s="1"/>
  <c r="BG787" i="1" s="1"/>
  <c r="B788" i="1"/>
  <c r="D788" i="1" s="1"/>
  <c r="BG788" i="1" s="1"/>
  <c r="B789" i="1"/>
  <c r="D789" i="1" s="1"/>
  <c r="BG789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G1" authorId="0" shapeId="0" xr:uid="{8785470B-FD28-4E66-B6F1-A3B34BC5FF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BH1" authorId="0" shapeId="0" xr:uid="{FECE53BE-C316-422F-9608-E274093235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BI1" authorId="0" shapeId="0" xr:uid="{7A411C55-683B-4655-9D36-4D7822702C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  <comment ref="BM1" authorId="0" shapeId="0" xr:uid="{A81E49DC-98FD-45FE-A373-9F9CD730E0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N1" authorId="0" shapeId="0" xr:uid="{3A9AC68E-B201-4D93-A054-C63DD692E7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DEFAULT_BITMASK</t>
        </r>
      </text>
    </comment>
    <comment ref="BO1" authorId="0" shapeId="0" xr:uid="{573171C9-8E04-4D0D-8CDC-728B361D78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DEFAULT_CARGO_AGE_PERIOD</t>
        </r>
      </text>
    </comment>
    <comment ref="BP1" authorId="0" shapeId="0" xr:uid="{89F39150-9204-4FF1-A31B-DB7B70750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DEFAULT_POWER_PER_WAGON</t>
        </r>
      </text>
    </comment>
    <comment ref="BQ1" authorId="0" shapeId="0" xr:uid="{32AF02B4-9DBC-4BEF-A065-3320EFC5DE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DEFAULT_REFIT_COST</t>
        </r>
      </text>
    </comment>
    <comment ref="BR1" authorId="0" shapeId="0" xr:uid="{5FF6C129-29ED-45B9-87AE-85B70E2621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DEFAULT_RELIABILITY_DECAY</t>
        </r>
      </text>
    </comment>
    <comment ref="BS1" authorId="0" shapeId="0" xr:uid="{C1BE089A-DB3E-4B36-8AD3-944B04E594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DEFAULT_RETIRE_EARLY</t>
        </r>
      </text>
    </comment>
  </commentList>
</comments>
</file>

<file path=xl/sharedStrings.xml><?xml version="1.0" encoding="utf-8"?>
<sst xmlns="http://schemas.openxmlformats.org/spreadsheetml/2006/main" count="12888" uniqueCount="945">
  <si>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</si>
  <si>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</si>
  <si>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</si>
  <si>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</si>
  <si>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</si>
  <si>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</si>
  <si>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</si>
  <si>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</si>
  <si>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</si>
  <si>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</si>
  <si>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</si>
  <si>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</si>
  <si>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</si>
  <si>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</si>
  <si>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</si>
  <si>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</si>
  <si>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</si>
  <si>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</si>
  <si>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</si>
  <si>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</si>
  <si>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</si>
  <si>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</si>
  <si>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</si>
  <si>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</si>
  <si>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</si>
  <si>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</si>
  <si>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</si>
  <si>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</si>
  <si>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</si>
  <si>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</si>
  <si>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</si>
  <si>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</si>
  <si>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</si>
  <si>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</si>
  <si>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</si>
  <si>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</si>
  <si>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</si>
  <si>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</si>
  <si>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</si>
  <si>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</si>
  <si>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</si>
  <si>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</si>
  <si>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</si>
  <si>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</si>
  <si>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</si>
  <si>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</si>
  <si>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</si>
  <si>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</si>
  <si>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</si>
  <si>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</si>
  <si>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</si>
  <si>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</si>
  <si>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</si>
  <si>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</si>
  <si>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</si>
  <si>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</si>
  <si>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</si>
  <si>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</si>
  <si>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</si>
  <si>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</si>
  <si>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</si>
  <si>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</si>
  <si>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</si>
  <si>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</si>
  <si>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</si>
  <si>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</si>
  <si>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</si>
  <si>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</si>
  <si>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</si>
  <si>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</si>
  <si>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</si>
  <si>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</si>
  <si>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</si>
  <si>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</si>
  <si>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</si>
  <si>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</si>
  <si>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</si>
  <si>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</si>
  <si>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</si>
  <si>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</si>
  <si>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</si>
  <si>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</si>
  <si>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</si>
  <si>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</si>
  <si>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</si>
  <si>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</si>
  <si>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</si>
  <si>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</si>
  <si>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</si>
  <si>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</si>
  <si>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</si>
  <si>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</si>
  <si>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</si>
  <si>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</si>
  <si>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</si>
  <si>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</si>
  <si>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</si>
  <si>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</si>
  <si>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</si>
  <si>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</si>
  <si>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</si>
  <si>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</si>
  <si>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</si>
  <si>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</si>
  <si>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</si>
  <si>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</si>
  <si>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</si>
  <si>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</si>
  <si>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</si>
  <si>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</si>
  <si>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</si>
  <si>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</si>
  <si>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</si>
  <si>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</si>
  <si>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</si>
  <si>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</si>
  <si>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</si>
  <si>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</si>
  <si>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</si>
  <si>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</si>
  <si>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</si>
  <si>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</si>
  <si>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</si>
  <si>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</si>
  <si>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</si>
  <si>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</si>
  <si>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</si>
  <si>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</si>
  <si>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</si>
  <si>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</si>
  <si>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</si>
  <si>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</si>
  <si>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</si>
  <si>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</si>
  <si>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</si>
  <si>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</si>
  <si>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</si>
  <si>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</si>
  <si>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</si>
  <si>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</si>
  <si>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</si>
  <si>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</si>
  <si>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</si>
  <si>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</si>
  <si>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</si>
  <si>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</si>
  <si>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</si>
  <si>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</si>
  <si>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</si>
  <si>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</si>
  <si>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</si>
  <si>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</si>
  <si>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</si>
  <si>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</si>
  <si>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</si>
  <si>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</si>
  <si>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</si>
  <si>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</si>
  <si>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</si>
  <si>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</si>
  <si>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</si>
  <si>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</si>
  <si>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</si>
  <si>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</si>
  <si>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</si>
  <si>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</si>
  <si>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</si>
  <si>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</si>
  <si>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</si>
  <si>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</si>
  <si>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</si>
  <si>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</si>
  <si>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</si>
  <si>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</si>
  <si>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</si>
  <si>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</si>
  <si>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</si>
  <si>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</si>
  <si>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</si>
  <si>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</si>
  <si>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</si>
  <si>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</si>
  <si>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</si>
  <si>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</si>
  <si>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</si>
  <si>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</si>
  <si>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</si>
  <si>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</si>
  <si>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</si>
  <si>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</si>
  <si>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</si>
  <si>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</si>
  <si>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</si>
  <si>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</si>
  <si>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</si>
  <si>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</si>
  <si>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</si>
  <si>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</si>
  <si>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</si>
  <si>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</si>
  <si>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</si>
  <si>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</si>
  <si>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</si>
  <si>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</si>
  <si>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</si>
  <si>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</si>
  <si>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</si>
  <si>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</si>
  <si>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</si>
  <si>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</si>
  <si>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</si>
  <si>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</si>
  <si>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</si>
  <si>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</si>
  <si>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</si>
  <si>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</si>
  <si>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</si>
  <si>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</si>
  <si>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</si>
  <si>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</si>
  <si>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</si>
  <si>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</si>
  <si>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</si>
  <si>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</si>
  <si>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</si>
  <si>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</si>
  <si>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</si>
  <si>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</si>
  <si>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</si>
  <si>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</si>
  <si>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</si>
  <si>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</si>
  <si>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</si>
  <si>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</si>
  <si>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</si>
  <si>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</si>
  <si>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</si>
  <si>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</si>
  <si>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</si>
  <si>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diesel_USA_Amtrack_SDP_40F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</si>
  <si>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</si>
  <si>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</si>
  <si>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</si>
  <si>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</si>
  <si>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</si>
  <si>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</si>
  <si>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</si>
  <si>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</si>
  <si>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</si>
  <si>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</si>
  <si>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</si>
  <si>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</si>
  <si>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</si>
  <si>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</si>
  <si>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</si>
  <si>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</si>
  <si>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</si>
  <si>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</si>
  <si>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</si>
  <si>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</si>
  <si>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</si>
  <si>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</si>
  <si>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</si>
  <si>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</si>
  <si>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</si>
  <si>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</si>
  <si>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</si>
  <si>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</si>
  <si>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</si>
  <si>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</si>
  <si>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</si>
  <si>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</si>
  <si>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</si>
  <si>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</si>
  <si>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</si>
  <si>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</si>
  <si>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</si>
  <si>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</si>
  <si>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</si>
  <si>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</si>
  <si>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</si>
  <si>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</si>
  <si>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</si>
  <si>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</si>
  <si>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</si>
  <si>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</si>
  <si>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</si>
  <si>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</si>
  <si>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</si>
  <si>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</si>
  <si>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</si>
  <si>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</si>
  <si>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</si>
  <si>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</si>
  <si>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</si>
  <si>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</si>
  <si>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</si>
  <si>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</si>
  <si>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</si>
  <si>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</si>
  <si>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</si>
  <si>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</si>
  <si>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</si>
  <si>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</si>
  <si>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</si>
  <si>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</si>
  <si>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</si>
  <si>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</si>
  <si>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</si>
  <si>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</si>
  <si>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</si>
  <si>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</si>
  <si>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</si>
  <si>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</si>
  <si>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</si>
  <si>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</si>
  <si>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</si>
  <si>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</si>
  <si>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</si>
  <si>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</si>
  <si>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</si>
  <si>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</si>
  <si>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</si>
  <si>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</si>
  <si>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</si>
  <si>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</si>
  <si>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</si>
  <si>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</si>
  <si>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</si>
  <si>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</si>
  <si>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</si>
  <si>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</si>
  <si>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</si>
  <si>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</si>
  <si>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</si>
  <si>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</si>
  <si>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</si>
  <si>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</si>
  <si>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</si>
  <si>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</si>
  <si>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</si>
  <si>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</si>
  <si>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</si>
  <si>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</si>
  <si>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</si>
  <si>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</si>
  <si>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</si>
  <si>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</si>
  <si>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</si>
  <si>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</si>
  <si>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</si>
  <si>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</si>
  <si>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</si>
  <si>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</si>
  <si>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</si>
  <si>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</si>
  <si>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</si>
  <si>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</si>
  <si>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</si>
  <si>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</si>
  <si>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</si>
  <si>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</si>
  <si>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</si>
  <si>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</si>
  <si>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</si>
  <si>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</si>
  <si>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</si>
  <si>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</si>
  <si>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</si>
  <si>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</si>
  <si>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</si>
  <si>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</si>
  <si>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</si>
  <si>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</si>
  <si>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</si>
  <si>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</si>
  <si>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</si>
  <si>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</si>
  <si>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</si>
  <si>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</si>
  <si>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</si>
  <si>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</si>
  <si>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</si>
  <si>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</si>
  <si>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</si>
  <si>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</si>
  <si>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</si>
  <si>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</si>
  <si>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</si>
  <si>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</si>
  <si>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</si>
  <si>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</si>
  <si>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</si>
  <si>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</si>
  <si>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</si>
  <si>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</si>
  <si>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</si>
  <si>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</si>
  <si>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</si>
  <si>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</si>
  <si>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</si>
  <si>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</si>
  <si>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</si>
  <si>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</si>
  <si>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</si>
  <si>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</si>
  <si>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</si>
  <si>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</si>
  <si>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</si>
  <si>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</si>
  <si>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</si>
  <si>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</si>
  <si>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</si>
  <si>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</si>
  <si>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</si>
  <si>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</si>
  <si>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</si>
  <si>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</si>
  <si>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</si>
  <si>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</si>
  <si>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</si>
  <si>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</si>
  <si>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</si>
  <si>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</si>
  <si>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</si>
  <si>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</si>
  <si>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</si>
  <si>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</si>
  <si>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</si>
  <si>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</si>
  <si>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</si>
  <si>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</si>
  <si>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</si>
  <si>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</si>
  <si>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</si>
  <si>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</si>
  <si>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</si>
  <si>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</si>
  <si>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</si>
  <si>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</si>
  <si>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</si>
  <si>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</si>
  <si>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</si>
  <si>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</si>
  <si>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</si>
  <si>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</si>
  <si>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</si>
  <si>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</si>
  <si>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</si>
  <si>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</si>
  <si>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</si>
  <si>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</si>
  <si>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</si>
  <si>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</si>
  <si>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</si>
  <si>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</si>
  <si>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</si>
  <si>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</si>
  <si>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</si>
  <si>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</si>
  <si>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</si>
  <si>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</si>
  <si>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</si>
  <si>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</si>
  <si>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</si>
  <si>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</si>
  <si>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</si>
  <si>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</si>
  <si>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</si>
  <si>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</si>
  <si>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</si>
  <si>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</si>
  <si>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</si>
  <si>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</si>
  <si>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</si>
  <si>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</si>
  <si>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</si>
  <si>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</si>
  <si>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</si>
  <si>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</si>
  <si>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</si>
  <si>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</si>
  <si>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</si>
  <si>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</si>
  <si>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</si>
  <si>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</si>
  <si>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</si>
  <si>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</si>
  <si>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</si>
  <si>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</si>
  <si>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</si>
  <si>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</si>
  <si>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</si>
  <si>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</si>
  <si>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</si>
  <si>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</si>
  <si>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</si>
  <si>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</si>
  <si>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</si>
  <si>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</si>
  <si>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</si>
  <si>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</si>
  <si>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</si>
  <si>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</si>
  <si>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</si>
  <si>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</si>
  <si>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</si>
  <si>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</si>
  <si>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</si>
  <si>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</si>
  <si>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</si>
  <si>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</si>
  <si>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</si>
  <si>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</si>
  <si>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</si>
  <si>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</si>
  <si>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</si>
  <si>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</si>
  <si>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</si>
  <si>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</si>
  <si>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</si>
  <si>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</si>
  <si>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</si>
  <si>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</si>
  <si>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</si>
  <si>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</si>
  <si>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</si>
  <si>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</si>
  <si>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</si>
  <si>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</si>
  <si>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</si>
  <si>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</si>
  <si>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</si>
  <si>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</si>
  <si>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</si>
  <si>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</si>
  <si>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</si>
  <si>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</si>
  <si>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</si>
  <si>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</si>
  <si>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</si>
  <si>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</si>
  <si>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</si>
  <si>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</si>
  <si>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</si>
  <si>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</si>
  <si>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</si>
  <si>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</si>
  <si>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</si>
  <si>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</si>
  <si>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</si>
  <si>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</si>
  <si>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</si>
  <si>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</si>
  <si>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</si>
  <si>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</si>
  <si>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</si>
  <si>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</si>
  <si>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</si>
  <si>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</si>
  <si>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</si>
  <si>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</si>
  <si>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</si>
  <si>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</si>
  <si>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</si>
  <si>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</si>
  <si>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</si>
  <si>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</si>
  <si>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</si>
  <si>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</si>
  <si>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</si>
  <si>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</si>
  <si>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</si>
  <si>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</si>
  <si>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</si>
  <si>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</si>
  <si>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</si>
  <si>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</si>
  <si>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</si>
  <si>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</si>
  <si>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</si>
  <si>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</si>
  <si>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</si>
  <si>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</si>
  <si>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</si>
  <si>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</si>
  <si>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</si>
  <si>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</si>
  <si>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</si>
  <si>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</si>
  <si>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</si>
  <si>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</si>
  <si>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</si>
  <si>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</si>
  <si>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</si>
  <si>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</si>
  <si>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</si>
  <si>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</si>
  <si>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</si>
  <si>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</si>
  <si>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</si>
  <si>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</si>
  <si>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</si>
  <si>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</si>
  <si>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</si>
  <si>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</si>
  <si>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</si>
  <si>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</si>
  <si>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</si>
  <si>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</si>
  <si>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</si>
  <si>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</si>
  <si>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</si>
  <si>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</si>
  <si>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</si>
  <si>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</si>
  <si>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</si>
  <si>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</si>
  <si>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</si>
  <si>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</si>
  <si>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</si>
  <si>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</si>
  <si>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</si>
  <si>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</si>
  <si>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</si>
  <si>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</si>
  <si>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</si>
  <si>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</si>
  <si>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</si>
  <si>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</si>
  <si>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</si>
  <si>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</si>
  <si>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</si>
  <si>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</si>
  <si>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</si>
  <si>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</si>
  <si>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</si>
  <si>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</si>
  <si>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</si>
  <si>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</si>
  <si>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</si>
  <si>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</si>
  <si>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</si>
  <si>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</si>
  <si>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</si>
  <si>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</si>
  <si>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</si>
  <si>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</si>
  <si>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</si>
  <si>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</si>
  <si>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</si>
  <si>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</si>
  <si>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</si>
  <si>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</si>
  <si>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</si>
  <si>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</si>
  <si>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</si>
  <si>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</si>
  <si>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</si>
  <si>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</si>
  <si>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</si>
  <si>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</si>
  <si>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</si>
  <si>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</si>
  <si>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</si>
  <si>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</si>
  <si>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</si>
  <si>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</si>
  <si>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</si>
  <si>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</si>
  <si>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</si>
  <si>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</si>
  <si>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</si>
  <si>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</si>
  <si>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</si>
  <si>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</si>
  <si>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</si>
  <si>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</si>
  <si>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</si>
  <si>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</si>
  <si>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</si>
  <si>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</si>
  <si>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</si>
  <si>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</si>
  <si>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</si>
  <si>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</si>
  <si>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</si>
  <si>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</si>
  <si>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</si>
  <si>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</si>
  <si>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</si>
  <si>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</si>
  <si>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DEFAULT_BITMASK</t>
  </si>
  <si>
    <t>CARGO_AGE_PERIOD</t>
  </si>
  <si>
    <t>DEFAULT_CARGO_AGE_PERIOD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</si>
  <si>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</si>
  <si>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</si>
  <si>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</si>
  <si>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</si>
  <si>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</si>
  <si>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</si>
  <si>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DEFAULT_POWER_PER_WAGON</t>
  </si>
  <si>
    <t>REFIT_COST</t>
  </si>
  <si>
    <t>RELIABILITY_DECAY</t>
  </si>
  <si>
    <t>RETIRE_EARLY</t>
  </si>
  <si>
    <t>DEFAULT_REFIT_COST</t>
  </si>
  <si>
    <t>DEFAULT_RELIABILITY_DECAY</t>
  </si>
  <si>
    <t>DEFAULT_RETIRE_EARLY</t>
  </si>
  <si>
    <t>RUNNING_COST_BASE</t>
  </si>
  <si>
    <t>RUNNING_COST_ELECTRIC</t>
  </si>
  <si>
    <t>RUNNING_COST_STEAM</t>
  </si>
  <si>
    <t>RUNNING_COST_DIESEL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</si>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</sst>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3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3"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able1" displayName="Table1" ref="A1:BS789" totalsRowShown="0" headerRowDxfId="52">
  <autoFilter ref="A1:BS789" xr:uid="{6DCCB998-B5D1-4B0D-8701-BC0E171A94CA}">
    <filterColumn colId="3">
      <filters>
        <filter val="TRUE"/>
      </filters>
    </filterColumn>
  </autoFilter>
  <tableColumns count="71">
    <tableColumn id="1" xr3:uid="{CDEAF13A-A986-4600-A992-A08C1CA6142C}" name="VEHIDCODE" dataDxfId="51"/>
    <tableColumn id="112" xr3:uid="{049A88D8-80A1-4C10-8581-DF629C4922C4}" name="FILENAMES_EXPECTED" dataDxfId="50">
      <calculatedColumnFormula>_xlfn.TEXTAFTER(Table1[[#This Row],[VEHIDCODE]],"_")</calculatedColumnFormula>
    </tableColumn>
    <tableColumn id="92" xr3:uid="{B4A804C3-2F90-463F-AFEA-7EBC01C87129}" name="SAVE_TO" dataDxfId="49"/>
    <tableColumn id="15" xr3:uid="{09CA1D5C-18B9-45AB-94E0-5AFCC2BC0A87}" name="IS_WAGON_OR_COACH">
      <calculatedColumnFormula>OR(ISNUMBER(SEARCH("wagon_",Table1[[#This Row],[FILENAMES_EXPECTED]])),ISNUMBER(SEARCH("coach_",Table1[[#This Row],[FILENAMES_EXPECTED]])))</calculatedColumnFormula>
    </tableColumn>
    <tableColumn id="98" xr3:uid="{04AA3EC9-5215-4C40-A8DE-679A8D5B0EAF}" name="ITEM" dataDxfId="48">
      <calculatedColumnFormula>"item_"&amp;Table1[[#This Row],[VEHIDCODE]]</calculatedColumnFormula>
    </tableColumn>
    <tableColumn id="97" xr3:uid="{EB95F6E8-1329-4809-90E6-94CB9915C79B}" name="NAME" dataDxfId="47">
      <calculatedColumnFormula>"str_"&amp;Table1[[#This Row],[VEHIDCODE]]</calculatedColumnFormula>
    </tableColumn>
    <tableColumn id="2" xr3:uid="{3A01A7AB-09DD-4D65-8893-1ACE9810CDB7}" name="ACTUAL_LENGTH"/>
    <tableColumn id="3" xr3:uid="{5BBF796C-A6C3-46CD-9877-08A3B37D9263}" name="CARGODEF"/>
    <tableColumn id="4" xr3:uid="{FCDAC31F-DC88-437B-B8DF-0440E9E9053F}" name="DUAL_HEADED"/>
    <tableColumn id="5" xr3:uid="{38AF64EB-F7BC-4818-9892-6415335F9FD3}" name="ENGINE_CLASS"/>
    <tableColumn id="6" xr3:uid="{A3E4457A-E003-42F3-8A75-91252C2658FB}" name="HEAD_CAPACITY"/>
    <tableColumn id="7" xr3:uid="{E5E7166A-FC1D-4D79-AF72-DEED9B69654D}" name="INTRODUCTION_YEAR"/>
    <tableColumn id="8" xr3:uid="{173C09CB-6ABB-4443-A5D3-2998FCBD4A99}" name="LENGTH"/>
    <tableColumn id="9" xr3:uid="{86E17647-A9E5-4E3B-8924-25C508832269}" name="LOADINGSPEED" dataDxfId="46"/>
    <tableColumn id="101" xr3:uid="{6FAA9DDE-5F72-41E5-B16F-921F4B9C09E2}" name="MISC_FLAGS_TRAIN_FLAG_2CC" dataDxfId="45"/>
    <tableColumn id="100" xr3:uid="{3CCF1CA2-4D6E-4A71-878A-CEF5EF6919CB}" name="MISC_FLAGS_TRAIN_FLAG_MU" dataDxfId="44"/>
    <tableColumn id="99" xr3:uid="{9002C8EF-B1BC-4B2D-BB78-6A36329A581D}" name="MISC_FLAGS_TRAIN_FLAG_AUTOREFIT" dataDxfId="43"/>
    <tableColumn id="10" xr3:uid="{89A8EF9A-A44B-4348-8B75-5CEF5739F11D}" name="MODEL_LIFE"/>
    <tableColumn id="11" xr3:uid="{99F6E46F-87FB-4781-BC79-631728520667}" name="PASSENGER"/>
    <tableColumn id="12" xr3:uid="{776DDA15-7CA4-4083-BF1A-C7AFDBA0E92E}" name="POWER"/>
    <tableColumn id="107" xr3:uid="{A933A65B-2E6A-407F-9FF7-D9CA17652C9D}" name="RUNNING_COST_BASE" dataDxfId="42"/>
    <tableColumn id="13" xr3:uid="{BAAB638D-1636-4161-AE20-8AC5BFA72FF1}" name="SPEED"/>
    <tableColumn id="14" xr3:uid="{1CE0FE0E-6140-41CB-8C7B-F65AFADE6392}" name="TE_COEFFICIENT" dataDxfId="41"/>
    <tableColumn id="55" xr3:uid="{839D134C-3027-42F4-BA04-3BA8BFF71A3B}" name="TRACK_TYPE_STANDARD_GAUGE_RAILTYPE_OHLE" dataDxfId="40"/>
    <tableColumn id="54" xr3:uid="{5D83FD10-ABCB-4FE7-A7DB-4A857A58D719}" name="TRACK_TYPE_STANDARD_GAUGE_RAILTYPE_25KV" dataDxfId="39"/>
    <tableColumn id="53" xr3:uid="{56183170-0B7F-45FB-91B4-356C62C246AD}" name="TRACK_TYPE_STANDARD_GAUGE_RAILTYPE_15KV" dataDxfId="38"/>
    <tableColumn id="52" xr3:uid="{5B71BE07-0EB9-4DEB-A8E8-252C9D979AC2}" name="TRACK_TYPE_STANDARD_GAUGE_RAILTYPE_3KV" dataDxfId="37"/>
    <tableColumn id="51" xr3:uid="{5A6435EB-111E-4AED-A8E1-AEFF82C34393}" name="TRACK_TYPE_STANDARD_GAUGE_RAILTYPE_1500V" dataDxfId="36"/>
    <tableColumn id="50" xr3:uid="{14CA70EA-0EE7-44BA-9D77-FC902C0596DD}" name="TRACK_TYPE_STANDARD_GAUGE_RAILTYPE_3RD" dataDxfId="35"/>
    <tableColumn id="49" xr3:uid="{3A15447A-9663-43FB-8EFF-8F8034548FB0}" name="TRACK_TYPE_STANDARD_GAUGE_RAILTYPE_4TH" dataDxfId="34"/>
    <tableColumn id="48" xr3:uid="{E44E324A-492F-4566-8DC9-0A6F58F40EA9}" name="TRACK_TYPE_STANDARD_GAUGE_RAILTYPE_DUAL" dataDxfId="33"/>
    <tableColumn id="47" xr3:uid="{FE3223C6-E685-4456-91E9-10AEB3B699E7}" name="TRACK_TYPE_STANDARD_GAUGE_RAILTYPE_NONE" dataDxfId="32"/>
    <tableColumn id="46" xr3:uid="{D39969E8-C0CA-4A59-A556-D29019991069}" name="TRACK_TYPE_NARROW_GAUGE_RAILTYPE_OHLE" dataDxfId="31"/>
    <tableColumn id="45" xr3:uid="{5266A9E9-D840-4460-AB81-A081897372F3}" name="TRACK_TYPE_NARROW_GAUGE_RAILTYPE_25KV" dataDxfId="30"/>
    <tableColumn id="44" xr3:uid="{7B4C44D1-C745-4291-86A0-777579742A84}" name="TRACK_TYPE_NARROW_GAUGE_RAILTYPE_15KV" dataDxfId="29"/>
    <tableColumn id="43" xr3:uid="{8736D285-A163-4DBE-84E1-870118B47F14}" name="TRACK_TYPE_NARROW_GAUGE_RAILTYPE_3KV" dataDxfId="28"/>
    <tableColumn id="42" xr3:uid="{6FBBA2FB-4743-4072-B4E0-C42BBDA1CC47}" name="TRACK_TYPE_NARROW_GAUGE_RAILTYPE_1500V" dataDxfId="27"/>
    <tableColumn id="41" xr3:uid="{D3ED2E70-19BF-4D92-A76B-0F0F03D31947}" name="TRACK_TYPE_NARROW_GAUGE_RAILTYPE_3RD" dataDxfId="26"/>
    <tableColumn id="40" xr3:uid="{F38AE7AF-B798-40A5-992A-13685296E710}" name="TRACK_TYPE_NARROW_GAUGE_RAILTYPE_4TH" dataDxfId="25"/>
    <tableColumn id="39" xr3:uid="{16463F64-2239-4E7F-8257-47F324BF8959}" name="TRACK_TYPE_NARROW_GAUGE_RAILTYPE_DUAL" dataDxfId="24"/>
    <tableColumn id="38" xr3:uid="{97037A15-9172-4057-863E-582804353817}" name="TRACK_TYPE_NARROW_GAUGE_RAILTYPE_NONE" dataDxfId="23"/>
    <tableColumn id="37" xr3:uid="{24999D59-5A4F-4A21-B8B4-EBDBF9F8BF1E}" name="TRACK_TYPE_BROAD_GAUGE_RAILTYPE_OHLE" dataDxfId="22"/>
    <tableColumn id="36" xr3:uid="{31AB3927-D18B-49AD-8EF5-C7E9FF4CEDF3}" name="TRACK_TYPE_BROAD_GAUGE_RAILTYPE_25KV" dataDxfId="21"/>
    <tableColumn id="35" xr3:uid="{CB3432E7-4DAE-4807-9CE5-4CB1ACECD395}" name="TRACK_TYPE_BROAD_GAUGE_RAILTYPE_15KV" dataDxfId="20"/>
    <tableColumn id="34" xr3:uid="{E3936FE4-2B46-4DC0-84C0-44C7892A0927}" name="TRACK_TYPE_BROAD_GAUGE_RAILTYPE_3KV" dataDxfId="19"/>
    <tableColumn id="33" xr3:uid="{A5FAA105-CF81-4A75-8967-5721104454E8}" name="TRACK_TYPE_BROAD_GAUGE_RAILTYPE_1500V" dataDxfId="18"/>
    <tableColumn id="32" xr3:uid="{439CDFDE-6BFC-446C-87CF-28C8FF65FCE0}" name="TRACK_TYPE_BROAD_GAUGE_RAILTYPE_3RD" dataDxfId="17"/>
    <tableColumn id="31" xr3:uid="{219AB5E3-CDFF-41B3-BD58-F7427606D15F}" name="TRACK_TYPE_BROAD_GAUGE_RAILTYPE_4TH" dataDxfId="16"/>
    <tableColumn id="30" xr3:uid="{01529768-EA0D-4662-B835-74641896CE3F}" name="TRACK_TYPE_BROAD_GAUGE_RAILTYPE_DUAL" dataDxfId="15"/>
    <tableColumn id="29" xr3:uid="{32C384AB-18DB-4161-B29B-A363A2547BB2}" name="TRACK_TYPE_BROAD_GAUGE_RAILTYPE_NONE" dataDxfId="14"/>
    <tableColumn id="26" xr3:uid="{1CFC6F26-22A8-42EE-972B-0F7ED6623B5A}" name="TRACK_TYPE_MONO" dataDxfId="13"/>
    <tableColumn id="25" xr3:uid="{62939270-15C1-494E-9C53-6EA9E8209C3B}" name="TRACK_TYPE_MGLV" dataDxfId="12"/>
    <tableColumn id="24" xr3:uid="{9DA86EDA-F2AB-4C2D-918E-5260313FD8B3}" name="TRACK_TYPE_MTRO" dataDxfId="11"/>
    <tableColumn id="21" xr3:uid="{E6F11214-E912-4D1C-980D-A111C93B0BED}" name="CHECK_ANY_TT" dataDxfId="10">
      <calculatedColumnFormula>LEN(_xlfn.CONCAT(Table1[[#This Row],[TRACK_TYPE_STANDARD_GAUGE_RAILTYPE_OHLE]:[TRACK_TYPE_MTRO]]))&gt;0</calculatedColumnFormula>
    </tableColumn>
    <tableColumn id="16" xr3:uid="{180F0B47-AFC4-4978-B838-4826DAD0C0F6}" name="VEHICLE_LIFE" dataDxfId="9"/>
    <tableColumn id="90" xr3:uid="{4F4ADD01-5968-4AFC-AEE2-AE952C73B03E}" name="REGION1" dataDxfId="8"/>
    <tableColumn id="91" xr3:uid="{40CEC63B-BEDA-4207-AF4D-270580C5B346}" name="REGION2" dataDxfId="7"/>
    <tableColumn id="17" xr3:uid="{C980AD63-3FDB-4A60-A121-0C502BDDC0C4}" name="REGION3" dataDxfId="6"/>
    <tableColumn id="108" xr3:uid="{1A859885-66E4-4CC5-AD48-43DDD28E88B8}" name="VISUAL_EFFECT_1" dataDxfId="5">
      <calculatedColumnFormula>IF(Table1[[#This Row],[IS_WAGON_OR_COACH]]=TRUE,"DISABLE",IF(OR(Table1[[#This Row],[ENGINE_CLASS]]="STEAM",Table1[[#This Row],[ENGINE_CLASS]]="ELECTRIC",Table1[[#This Row],[ENGINE_CLASS]]="DIESEL"),Table1[[#This Row],[ENGINE_CLASS]],"DISABLE"))</calculatedColumnFormula>
    </tableColumn>
    <tableColumn id="109" xr3:uid="{15AE2C58-3C66-4A43-A1F6-13C2958241EE}" name="VISUAL_EFFECT_2" dataDxfId="4"/>
    <tableColumn id="110" xr3:uid="{E67A20AF-BD42-42A3-8D5B-09B0E2B0137C}" name="VISUAL_EFFECT_3"/>
    <tableColumn id="18" xr3:uid="{995C9564-B37D-46D0-AB3F-7BC78CF4DA7F}" name="WAGON_CAPACITY" dataDxfId="3"/>
    <tableColumn id="19" xr3:uid="{6EE658C7-FC65-4A02-882A-925DA6FC785D}" name="WAGON_LENGTH" dataDxfId="2"/>
    <tableColumn id="20" xr3:uid="{06C795AC-0E95-4D8C-8333-5CDB8B75589F}" name="WEIGHT" dataDxfId="1"/>
    <tableColumn id="93" xr3:uid="{A8DAFACB-B2AD-49BF-870F-B2C526296F5B}" name="AIR_DRAG_COEFFICIENT"/>
    <tableColumn id="94" xr3:uid="{DC5351D7-B1B9-4638-A658-3BCECB91F747}" name="BITMASK_VEHICLE_INFO"/>
    <tableColumn id="95" xr3:uid="{512DCD58-79D7-4D27-964F-51E00737D1D7}" name="CARGO_AGE_PERIOD"/>
    <tableColumn id="103" xr3:uid="{7250ECD2-4BFD-44C1-A204-C84B5BB79BAB}" name="POWER_PER_WAGON"/>
    <tableColumn id="106" xr3:uid="{BAF10CFF-58D7-42E4-9463-8D9EC8AB90FA}" name="REFIT_COST"/>
    <tableColumn id="105" xr3:uid="{EDC596DF-8B7A-4CAB-95C7-936F7E8F8349}" name="RELIABILITY_DECAY"/>
    <tableColumn id="104" xr3:uid="{8277BC82-FBAD-497D-BE0E-039744AF51CA}" name="RETIRE_EAR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2F482C9-2676-4F66-AEBC-B0E4CB3F0CDA}" name="Table3" displayName="Table3" ref="A1:A17" totalsRowShown="0">
  <autoFilter ref="A1:A17" xr:uid="{42F482C9-2676-4F66-AEBC-B0E4CB3F0CDA}"/>
  <tableColumns count="1">
    <tableColumn id="1" xr3:uid="{08CCAA74-4E74-4E66-A1F0-510147D6B1D4}" name="VALID_REG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Table6" displayName="Table6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BS789"/>
  <sheetViews>
    <sheetView tabSelected="1" zoomScale="85" zoomScaleNormal="85" workbookViewId="0">
      <pane xSplit="1" ySplit="1" topLeftCell="AT651" activePane="bottomRight" state="frozen"/>
      <selection pane="topRight" activeCell="B1" sqref="B1"/>
      <selection pane="bottomLeft" activeCell="A2" sqref="A2"/>
      <selection pane="bottomRight" activeCell="AX651" sqref="AX651:AX789"/>
    </sheetView>
  </sheetViews>
  <sheetFormatPr defaultRowHeight="14.6" x14ac:dyDescent="0.4"/>
  <cols>
    <col min="1" max="1" width="50.765625" bestFit="1" customWidth="1"/>
    <col min="2" max="2" width="45" bestFit="1" customWidth="1"/>
    <col min="3" max="3" width="23.61328125" bestFit="1" customWidth="1"/>
    <col min="4" max="4" width="22.765625" bestFit="1" customWidth="1"/>
    <col min="5" max="5" width="55.3046875" bestFit="1" customWidth="1"/>
    <col min="6" max="6" width="53.84375" bestFit="1" customWidth="1"/>
    <col min="7" max="7" width="17.4609375" bestFit="1" customWidth="1"/>
    <col min="8" max="8" width="17.53515625" bestFit="1" customWidth="1"/>
    <col min="9" max="9" width="13.3828125" bestFit="1" customWidth="1"/>
    <col min="10" max="10" width="13.84375" bestFit="1" customWidth="1"/>
    <col min="11" max="11" width="13.3828125" bestFit="1" customWidth="1"/>
    <col min="12" max="12" width="21.69140625" bestFit="1" customWidth="1"/>
    <col min="13" max="13" width="10" bestFit="1" customWidth="1"/>
    <col min="14" max="14" width="16.53515625" bestFit="1" customWidth="1"/>
    <col min="15" max="15" width="21.69140625" bestFit="1" customWidth="1"/>
    <col min="16" max="16" width="22.61328125" bestFit="1" customWidth="1"/>
    <col min="17" max="17" width="26.921875" bestFit="1" customWidth="1"/>
    <col min="18" max="18" width="21.921875" bestFit="1" customWidth="1"/>
    <col min="19" max="19" width="13.4609375" style="2" bestFit="1" customWidth="1"/>
    <col min="20" max="20" width="9.61328125" bestFit="1" customWidth="1"/>
    <col min="21" max="21" width="23" bestFit="1" customWidth="1"/>
    <col min="22" max="22" width="8.84375" style="2" bestFit="1" customWidth="1"/>
    <col min="23" max="23" width="17.3046875" bestFit="1" customWidth="1"/>
    <col min="24" max="31" width="26.15234375" bestFit="1" customWidth="1"/>
    <col min="32" max="32" width="27.23046875" style="2" bestFit="1" customWidth="1"/>
    <col min="33" max="35" width="25.69140625" bestFit="1" customWidth="1"/>
    <col min="36" max="36" width="24.61328125" bestFit="1" customWidth="1"/>
    <col min="37" max="38" width="25.69140625" bestFit="1" customWidth="1"/>
    <col min="39" max="39" width="24.61328125" bestFit="1" customWidth="1"/>
    <col min="40" max="40" width="25.69140625" bestFit="1" customWidth="1"/>
    <col min="41" max="41" width="25.69140625" style="2" bestFit="1" customWidth="1"/>
    <col min="42" max="44" width="25.23046875" bestFit="1" customWidth="1"/>
    <col min="45" max="45" width="24" bestFit="1" customWidth="1"/>
    <col min="46" max="46" width="25.23046875" bestFit="1" customWidth="1"/>
    <col min="47" max="48" width="24" bestFit="1" customWidth="1"/>
    <col min="49" max="49" width="25.23046875" bestFit="1" customWidth="1"/>
    <col min="50" max="50" width="25.23046875" style="2" bestFit="1" customWidth="1"/>
    <col min="51" max="51" width="20.07421875" bestFit="1" customWidth="1"/>
    <col min="52" max="52" width="19.53515625" bestFit="1" customWidth="1"/>
    <col min="53" max="53" width="19.61328125" bestFit="1" customWidth="1"/>
    <col min="54" max="54" width="16.3046875" bestFit="1" customWidth="1"/>
    <col min="55" max="55" width="14.765625" bestFit="1" customWidth="1"/>
    <col min="56" max="56" width="17.84375" bestFit="1" customWidth="1"/>
    <col min="57" max="57" width="12" bestFit="1" customWidth="1"/>
    <col min="58" max="58" width="12.3828125" bestFit="1" customWidth="1"/>
    <col min="59" max="60" width="18.23046875" bestFit="1" customWidth="1"/>
    <col min="61" max="61" width="22.3046875" bestFit="1" customWidth="1"/>
    <col min="62" max="62" width="19.15234375" style="11" bestFit="1" customWidth="1"/>
    <col min="63" max="63" width="17.4609375" style="12" bestFit="1" customWidth="1"/>
    <col min="64" max="64" width="10" style="13" bestFit="1" customWidth="1"/>
    <col min="65" max="65" width="24" bestFit="1" customWidth="1"/>
    <col min="66" max="66" width="23.69140625" bestFit="1" customWidth="1"/>
    <col min="67" max="67" width="26.69140625" bestFit="1" customWidth="1"/>
    <col min="68" max="68" width="26.921875" bestFit="1" customWidth="1"/>
    <col min="69" max="69" width="19" bestFit="1" customWidth="1"/>
    <col min="70" max="70" width="25.15234375" bestFit="1" customWidth="1"/>
    <col min="71" max="71" width="20.61328125" bestFit="1" customWidth="1"/>
    <col min="72" max="72" width="11.15234375" customWidth="1"/>
    <col min="73" max="74" width="21.3828125" customWidth="1"/>
    <col min="75" max="75" width="20.921875" bestFit="1" customWidth="1"/>
    <col min="76" max="76" width="18.921875" bestFit="1" customWidth="1"/>
    <col min="78" max="80" width="11.15234375" customWidth="1"/>
    <col min="81" max="81" width="11.53515625" bestFit="1" customWidth="1"/>
  </cols>
  <sheetData>
    <row r="1" spans="1:71" s="1" customFormat="1" ht="30" customHeight="1" x14ac:dyDescent="0.4">
      <c r="A1" s="1" t="s">
        <v>0</v>
      </c>
      <c r="B1" s="8" t="s">
        <v>921</v>
      </c>
      <c r="C1" s="8" t="s">
        <v>689</v>
      </c>
      <c r="D1" s="8" t="s">
        <v>942</v>
      </c>
      <c r="E1" s="9" t="s">
        <v>695</v>
      </c>
      <c r="F1" s="9" t="s">
        <v>696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3" t="s">
        <v>8</v>
      </c>
      <c r="O1" s="4" t="s">
        <v>697</v>
      </c>
      <c r="P1" s="4" t="s">
        <v>698</v>
      </c>
      <c r="Q1" s="4" t="s">
        <v>699</v>
      </c>
      <c r="R1" s="1" t="s">
        <v>9</v>
      </c>
      <c r="S1" s="1" t="s">
        <v>10</v>
      </c>
      <c r="T1" s="1" t="s">
        <v>11</v>
      </c>
      <c r="U1" t="s">
        <v>708</v>
      </c>
      <c r="V1" s="1" t="s">
        <v>12</v>
      </c>
      <c r="W1" s="3" t="s">
        <v>13</v>
      </c>
      <c r="X1" s="4" t="s">
        <v>676</v>
      </c>
      <c r="Y1" s="4" t="s">
        <v>677</v>
      </c>
      <c r="Z1" s="4" t="s">
        <v>678</v>
      </c>
      <c r="AA1" s="4" t="s">
        <v>713</v>
      </c>
      <c r="AB1" s="4" t="s">
        <v>944</v>
      </c>
      <c r="AC1" s="4" t="s">
        <v>714</v>
      </c>
      <c r="AD1" s="4" t="s">
        <v>715</v>
      </c>
      <c r="AE1" s="4" t="s">
        <v>679</v>
      </c>
      <c r="AF1" s="5" t="s">
        <v>680</v>
      </c>
      <c r="AG1" s="4" t="s">
        <v>716</v>
      </c>
      <c r="AH1" s="4" t="s">
        <v>717</v>
      </c>
      <c r="AI1" s="4" t="s">
        <v>718</v>
      </c>
      <c r="AJ1" s="4" t="s">
        <v>719</v>
      </c>
      <c r="AK1" s="4" t="s">
        <v>681</v>
      </c>
      <c r="AL1" s="4" t="s">
        <v>720</v>
      </c>
      <c r="AM1" s="4" t="s">
        <v>721</v>
      </c>
      <c r="AN1" s="4" t="s">
        <v>722</v>
      </c>
      <c r="AO1" s="5" t="s">
        <v>723</v>
      </c>
      <c r="AP1" s="4" t="s">
        <v>724</v>
      </c>
      <c r="AQ1" s="4" t="s">
        <v>725</v>
      </c>
      <c r="AR1" s="4" t="s">
        <v>726</v>
      </c>
      <c r="AS1" s="4" t="s">
        <v>727</v>
      </c>
      <c r="AT1" s="4" t="s">
        <v>682</v>
      </c>
      <c r="AU1" s="4" t="s">
        <v>728</v>
      </c>
      <c r="AV1" s="4" t="s">
        <v>729</v>
      </c>
      <c r="AW1" s="4" t="s">
        <v>730</v>
      </c>
      <c r="AX1" s="5" t="s">
        <v>731</v>
      </c>
      <c r="AY1" s="4" t="s">
        <v>683</v>
      </c>
      <c r="AZ1" s="4" t="s">
        <v>684</v>
      </c>
      <c r="BA1" s="5" t="s">
        <v>685</v>
      </c>
      <c r="BB1" s="5" t="s">
        <v>943</v>
      </c>
      <c r="BC1" s="6" t="s">
        <v>14</v>
      </c>
      <c r="BD1" s="1" t="s">
        <v>686</v>
      </c>
      <c r="BE1" s="1" t="s">
        <v>687</v>
      </c>
      <c r="BF1" s="1" t="s">
        <v>688</v>
      </c>
      <c r="BG1" s="1" t="s">
        <v>712</v>
      </c>
      <c r="BH1" s="1" t="s">
        <v>732</v>
      </c>
      <c r="BI1" s="9" t="s">
        <v>733</v>
      </c>
      <c r="BJ1" s="10" t="s">
        <v>15</v>
      </c>
      <c r="BK1" s="10" t="s">
        <v>16</v>
      </c>
      <c r="BL1" s="10" t="s">
        <v>17</v>
      </c>
      <c r="BM1" s="9" t="s">
        <v>690</v>
      </c>
      <c r="BN1" s="9" t="s">
        <v>691</v>
      </c>
      <c r="BO1" s="9" t="s">
        <v>693</v>
      </c>
      <c r="BP1" s="9" t="s">
        <v>700</v>
      </c>
      <c r="BQ1" s="9" t="s">
        <v>702</v>
      </c>
      <c r="BR1" s="9" t="s">
        <v>703</v>
      </c>
      <c r="BS1" s="9" t="s">
        <v>704</v>
      </c>
    </row>
    <row r="2" spans="1:71" x14ac:dyDescent="0.4">
      <c r="A2" s="2" t="s">
        <v>761</v>
      </c>
      <c r="B2" t="str">
        <f>_xlfn.TEXTAFTER(Table1[[#This Row],[VEHIDCODE]],"_")</f>
        <v>Maglev_Wagon_Powered</v>
      </c>
      <c r="C2" t="s">
        <v>919</v>
      </c>
      <c r="D2" t="b">
        <f>OR(ISNUMBER(SEARCH("wagon_",Table1[[#This Row],[FILENAMES_EXPECTED]])),ISNUMBER(SEARCH("coach_",Table1[[#This Row],[FILENAMES_EXPECTED]])))</f>
        <v>1</v>
      </c>
      <c r="E2" t="str">
        <f>"item_"&amp;Table1[[#This Row],[VEHIDCODE]]</f>
        <v>item_mglv_Maglev_Wagon_Powered</v>
      </c>
      <c r="F2" t="str">
        <f>"str_"&amp;Table1[[#This Row],[VEHIDCODE]]</f>
        <v>str_mglv_Maglev_Wagon_Powered</v>
      </c>
      <c r="G2">
        <v>8</v>
      </c>
      <c r="H2" t="s">
        <v>18</v>
      </c>
      <c r="I2">
        <v>0</v>
      </c>
      <c r="J2" t="s">
        <v>19</v>
      </c>
      <c r="K2">
        <v>1</v>
      </c>
      <c r="L2">
        <v>2000</v>
      </c>
      <c r="M2">
        <v>8</v>
      </c>
      <c r="N2" s="2" t="s">
        <v>20</v>
      </c>
      <c r="O2" t="b">
        <v>1</v>
      </c>
      <c r="Q2" s="2"/>
      <c r="R2" t="s">
        <v>21</v>
      </c>
      <c r="S2">
        <v>1</v>
      </c>
      <c r="T2">
        <v>0</v>
      </c>
      <c r="U2" t="s">
        <v>709</v>
      </c>
      <c r="V2">
        <v>0</v>
      </c>
      <c r="W2" s="2">
        <v>0.3</v>
      </c>
      <c r="AZ2" t="b">
        <v>1</v>
      </c>
      <c r="BA2" s="2"/>
      <c r="BB2" s="2" t="b">
        <f>LEN(_xlfn.CONCAT(Table1[[#This Row],[TRACK_TYPE_STANDARD_GAUGE_RAILTYPE_OHLE]:[TRACK_TYPE_MTRO]]))&gt;0</f>
        <v>1</v>
      </c>
      <c r="BC2" s="7">
        <v>25</v>
      </c>
      <c r="BD2" t="s">
        <v>936</v>
      </c>
      <c r="BE2" t="s">
        <v>922</v>
      </c>
      <c r="BF2" t="s">
        <v>940</v>
      </c>
      <c r="BG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2">
        <v>0</v>
      </c>
      <c r="BI2" t="s">
        <v>734</v>
      </c>
      <c r="BK2" s="11"/>
      <c r="BL2" s="11">
        <v>0</v>
      </c>
      <c r="BM2">
        <v>0</v>
      </c>
      <c r="BN2" t="s">
        <v>692</v>
      </c>
      <c r="BO2" t="s">
        <v>694</v>
      </c>
      <c r="BP2" t="s">
        <v>701</v>
      </c>
      <c r="BQ2" t="s">
        <v>705</v>
      </c>
      <c r="BR2" t="s">
        <v>706</v>
      </c>
      <c r="BS2" t="s">
        <v>707</v>
      </c>
    </row>
    <row r="3" spans="1:71" x14ac:dyDescent="0.4">
      <c r="A3" s="2" t="s">
        <v>762</v>
      </c>
      <c r="B3" t="str">
        <f>_xlfn.TEXTAFTER(Table1[[#This Row],[VEHIDCODE]],"_")</f>
        <v>Maglev_Wagon_Unpowered</v>
      </c>
      <c r="C3" t="s">
        <v>919</v>
      </c>
      <c r="D3" t="b">
        <f>OR(ISNUMBER(SEARCH("wagon_",Table1[[#This Row],[FILENAMES_EXPECTED]])),ISNUMBER(SEARCH("coach_",Table1[[#This Row],[FILENAMES_EXPECTED]])))</f>
        <v>1</v>
      </c>
      <c r="E3" t="str">
        <f>"item_"&amp;Table1[[#This Row],[VEHIDCODE]]</f>
        <v>item_mglv_Maglev_Wagon_Unpowered</v>
      </c>
      <c r="F3" t="str">
        <f>"str_"&amp;Table1[[#This Row],[VEHIDCODE]]</f>
        <v>str_mglv_Maglev_Wagon_Unpowered</v>
      </c>
      <c r="G3">
        <v>8</v>
      </c>
      <c r="H3" t="s">
        <v>18</v>
      </c>
      <c r="I3">
        <v>0</v>
      </c>
      <c r="J3" t="s">
        <v>19</v>
      </c>
      <c r="K3">
        <v>1</v>
      </c>
      <c r="L3">
        <v>2000</v>
      </c>
      <c r="M3">
        <v>8</v>
      </c>
      <c r="N3" s="2" t="s">
        <v>20</v>
      </c>
      <c r="O3" t="b">
        <v>1</v>
      </c>
      <c r="Q3" s="2"/>
      <c r="R3" t="s">
        <v>21</v>
      </c>
      <c r="S3">
        <v>1</v>
      </c>
      <c r="T3">
        <v>0</v>
      </c>
      <c r="U3" t="s">
        <v>709</v>
      </c>
      <c r="V3">
        <v>0</v>
      </c>
      <c r="W3" s="2">
        <v>0.3</v>
      </c>
      <c r="AZ3" t="b">
        <v>1</v>
      </c>
      <c r="BA3" s="2"/>
      <c r="BB3" s="2" t="b">
        <f>LEN(_xlfn.CONCAT(Table1[[#This Row],[TRACK_TYPE_STANDARD_GAUGE_RAILTYPE_OHLE]:[TRACK_TYPE_MTRO]]))&gt;0</f>
        <v>1</v>
      </c>
      <c r="BC3" s="7">
        <v>25</v>
      </c>
      <c r="BD3" t="s">
        <v>936</v>
      </c>
      <c r="BE3" t="s">
        <v>922</v>
      </c>
      <c r="BF3" t="s">
        <v>940</v>
      </c>
      <c r="BG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">
        <v>0</v>
      </c>
      <c r="BI3" t="s">
        <v>734</v>
      </c>
      <c r="BK3" s="11"/>
      <c r="BL3" s="11">
        <v>0</v>
      </c>
      <c r="BM3">
        <v>0</v>
      </c>
      <c r="BN3" t="s">
        <v>692</v>
      </c>
      <c r="BO3" t="s">
        <v>694</v>
      </c>
      <c r="BP3" t="s">
        <v>701</v>
      </c>
      <c r="BQ3" t="s">
        <v>705</v>
      </c>
      <c r="BR3" t="s">
        <v>706</v>
      </c>
      <c r="BS3" t="s">
        <v>707</v>
      </c>
    </row>
    <row r="4" spans="1:71" hidden="1" x14ac:dyDescent="0.4">
      <c r="A4" s="2" t="s">
        <v>22</v>
      </c>
      <c r="B4" t="str">
        <f>_xlfn.TEXTAFTER(Table1[[#This Row],[VEHIDCODE]],"_")</f>
        <v>Austria_NOLB_1</v>
      </c>
      <c r="C4" t="s">
        <v>736</v>
      </c>
      <c r="D4" t="b">
        <f>OR(ISNUMBER(SEARCH("wagon_",Table1[[#This Row],[FILENAMES_EXPECTED]])),ISNUMBER(SEARCH("coach_",Table1[[#This Row],[FILENAMES_EXPECTED]])))</f>
        <v>0</v>
      </c>
      <c r="E4" t="str">
        <f>"item_"&amp;Table1[[#This Row],[VEHIDCODE]]</f>
        <v>item_rbs_Austria_NOLB_1</v>
      </c>
      <c r="F4" t="str">
        <f>"str_"&amp;Table1[[#This Row],[VEHIDCODE]]</f>
        <v>str_rbs_Austria_NOLB_1</v>
      </c>
      <c r="G4">
        <v>5</v>
      </c>
      <c r="H4" t="s">
        <v>18</v>
      </c>
      <c r="I4">
        <v>0</v>
      </c>
      <c r="J4" t="s">
        <v>23</v>
      </c>
      <c r="K4">
        <v>22</v>
      </c>
      <c r="L4">
        <v>1903</v>
      </c>
      <c r="M4">
        <v>5</v>
      </c>
      <c r="N4" s="2" t="s">
        <v>24</v>
      </c>
      <c r="O4" t="b">
        <v>1</v>
      </c>
      <c r="Q4" s="2"/>
      <c r="R4">
        <v>45</v>
      </c>
      <c r="S4">
        <v>1</v>
      </c>
      <c r="T4">
        <v>39</v>
      </c>
      <c r="U4" t="s">
        <v>710</v>
      </c>
      <c r="V4">
        <v>35</v>
      </c>
      <c r="W4" s="2">
        <v>0.18</v>
      </c>
      <c r="AF4" s="2" t="b">
        <v>1</v>
      </c>
      <c r="AX4"/>
      <c r="BA4" s="2"/>
      <c r="BB4" s="2" t="b">
        <f>LEN(_xlfn.CONCAT(Table1[[#This Row],[TRACK_TYPE_STANDARD_GAUGE_RAILTYPE_OHLE]:[TRACK_TYPE_MTRO]]))&gt;0</f>
        <v>1</v>
      </c>
      <c r="BC4" s="7">
        <v>15</v>
      </c>
      <c r="BD4" t="s">
        <v>923</v>
      </c>
      <c r="BE4" t="s">
        <v>922</v>
      </c>
      <c r="BF4" t="s">
        <v>940</v>
      </c>
      <c r="BG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4">
        <v>-3</v>
      </c>
      <c r="BI4" t="s">
        <v>734</v>
      </c>
      <c r="BK4" s="11"/>
      <c r="BL4" s="11">
        <v>8</v>
      </c>
      <c r="BM4">
        <v>0</v>
      </c>
      <c r="BN4" t="s">
        <v>692</v>
      </c>
      <c r="BO4" t="s">
        <v>694</v>
      </c>
      <c r="BP4" t="s">
        <v>701</v>
      </c>
      <c r="BQ4" t="s">
        <v>705</v>
      </c>
      <c r="BR4" t="s">
        <v>706</v>
      </c>
      <c r="BS4" t="s">
        <v>707</v>
      </c>
    </row>
    <row r="5" spans="1:71" hidden="1" x14ac:dyDescent="0.4">
      <c r="A5" s="2" t="s">
        <v>25</v>
      </c>
      <c r="B5" t="str">
        <f>_xlfn.TEXTAFTER(Table1[[#This Row],[VEHIDCODE]],"_")</f>
        <v>Italy_FS_86</v>
      </c>
      <c r="C5" t="s">
        <v>736</v>
      </c>
      <c r="D5" t="b">
        <f>OR(ISNUMBER(SEARCH("wagon_",Table1[[#This Row],[FILENAMES_EXPECTED]])),ISNUMBER(SEARCH("coach_",Table1[[#This Row],[FILENAMES_EXPECTED]])))</f>
        <v>0</v>
      </c>
      <c r="E5" t="str">
        <f>"item_"&amp;Table1[[#This Row],[VEHIDCODE]]</f>
        <v>item_rbs_Italy_FS_86</v>
      </c>
      <c r="F5" t="str">
        <f>"str_"&amp;Table1[[#This Row],[VEHIDCODE]]</f>
        <v>str_rbs_Italy_FS_86</v>
      </c>
      <c r="G5">
        <v>8</v>
      </c>
      <c r="H5" t="s">
        <v>18</v>
      </c>
      <c r="I5">
        <v>0</v>
      </c>
      <c r="J5" t="s">
        <v>23</v>
      </c>
      <c r="K5">
        <v>86</v>
      </c>
      <c r="L5">
        <v>1906</v>
      </c>
      <c r="M5">
        <v>8</v>
      </c>
      <c r="N5" s="2" t="s">
        <v>24</v>
      </c>
      <c r="O5" t="b">
        <v>1</v>
      </c>
      <c r="Q5" s="2"/>
      <c r="R5">
        <v>45</v>
      </c>
      <c r="S5">
        <v>1</v>
      </c>
      <c r="T5">
        <v>132</v>
      </c>
      <c r="U5" t="s">
        <v>710</v>
      </c>
      <c r="V5">
        <v>60</v>
      </c>
      <c r="W5" s="2">
        <v>0.08</v>
      </c>
      <c r="AF5" s="2" t="b">
        <v>1</v>
      </c>
      <c r="AX5"/>
      <c r="BA5" s="2"/>
      <c r="BB5" s="2" t="b">
        <f>LEN(_xlfn.CONCAT(Table1[[#This Row],[TRACK_TYPE_STANDARD_GAUGE_RAILTYPE_OHLE]:[TRACK_TYPE_MTRO]]))&gt;0</f>
        <v>1</v>
      </c>
      <c r="BC5" s="7">
        <v>15</v>
      </c>
      <c r="BD5" t="s">
        <v>924</v>
      </c>
      <c r="BE5" t="s">
        <v>922</v>
      </c>
      <c r="BF5" t="s">
        <v>940</v>
      </c>
      <c r="BG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">
        <v>-3</v>
      </c>
      <c r="BI5" t="s">
        <v>734</v>
      </c>
      <c r="BK5" s="11"/>
      <c r="BL5" s="11">
        <v>47</v>
      </c>
      <c r="BM5">
        <v>0</v>
      </c>
      <c r="BN5" t="s">
        <v>692</v>
      </c>
      <c r="BO5" t="s">
        <v>694</v>
      </c>
      <c r="BP5" t="s">
        <v>701</v>
      </c>
      <c r="BQ5" t="s">
        <v>705</v>
      </c>
      <c r="BR5" t="s">
        <v>706</v>
      </c>
      <c r="BS5" t="s">
        <v>707</v>
      </c>
    </row>
    <row r="6" spans="1:71" hidden="1" x14ac:dyDescent="0.4">
      <c r="A6" s="2" t="s">
        <v>26</v>
      </c>
      <c r="B6" t="str">
        <f>_xlfn.TEXTAFTER(Table1[[#This Row],[VEHIDCODE]],"_")</f>
        <v>Australia_Victorian_Railways_Rowan_Railmotor</v>
      </c>
      <c r="C6" t="s">
        <v>736</v>
      </c>
      <c r="D6" t="b">
        <f>OR(ISNUMBER(SEARCH("wagon_",Table1[[#This Row],[FILENAMES_EXPECTED]])),ISNUMBER(SEARCH("coach_",Table1[[#This Row],[FILENAMES_EXPECTED]])))</f>
        <v>0</v>
      </c>
      <c r="E6" t="str">
        <f>"item_"&amp;Table1[[#This Row],[VEHIDCODE]]</f>
        <v>item_rbs_Australia_Victorian_Railways_Rowan_Railmotor</v>
      </c>
      <c r="F6" t="str">
        <f>"str_"&amp;Table1[[#This Row],[VEHIDCODE]]</f>
        <v>str_rbs_Australia_Victorian_Railways_Rowan_Railmotor</v>
      </c>
      <c r="G6">
        <v>6</v>
      </c>
      <c r="H6" t="s">
        <v>18</v>
      </c>
      <c r="I6">
        <v>0</v>
      </c>
      <c r="J6" t="s">
        <v>23</v>
      </c>
      <c r="K6">
        <v>42</v>
      </c>
      <c r="L6">
        <v>1883</v>
      </c>
      <c r="M6">
        <v>6</v>
      </c>
      <c r="N6" s="2" t="s">
        <v>24</v>
      </c>
      <c r="O6" t="b">
        <v>1</v>
      </c>
      <c r="Q6" s="2"/>
      <c r="R6">
        <v>45</v>
      </c>
      <c r="S6">
        <v>1</v>
      </c>
      <c r="T6">
        <v>40</v>
      </c>
      <c r="U6" t="s">
        <v>710</v>
      </c>
      <c r="V6">
        <v>48</v>
      </c>
      <c r="W6" s="2">
        <v>0.34</v>
      </c>
      <c r="AF6" s="2" t="b">
        <v>1</v>
      </c>
      <c r="AX6"/>
      <c r="BA6" s="2"/>
      <c r="BB6" s="2" t="b">
        <f>LEN(_xlfn.CONCAT(Table1[[#This Row],[TRACK_TYPE_STANDARD_GAUGE_RAILTYPE_OHLE]:[TRACK_TYPE_MTRO]]))&gt;0</f>
        <v>1</v>
      </c>
      <c r="BC6" s="7">
        <v>15</v>
      </c>
      <c r="BD6" t="s">
        <v>925</v>
      </c>
      <c r="BE6" t="s">
        <v>922</v>
      </c>
      <c r="BF6" t="s">
        <v>940</v>
      </c>
      <c r="BG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">
        <v>0</v>
      </c>
      <c r="BI6" t="s">
        <v>734</v>
      </c>
      <c r="BK6" s="11"/>
      <c r="BL6" s="11">
        <v>15</v>
      </c>
      <c r="BM6">
        <v>0</v>
      </c>
      <c r="BN6" t="s">
        <v>692</v>
      </c>
      <c r="BO6" t="s">
        <v>694</v>
      </c>
      <c r="BP6" t="s">
        <v>701</v>
      </c>
      <c r="BQ6" t="s">
        <v>705</v>
      </c>
      <c r="BR6" t="s">
        <v>706</v>
      </c>
      <c r="BS6" t="s">
        <v>707</v>
      </c>
    </row>
    <row r="7" spans="1:71" hidden="1" x14ac:dyDescent="0.4">
      <c r="A7" s="2" t="s">
        <v>27</v>
      </c>
      <c r="B7" t="str">
        <f>_xlfn.TEXTAFTER(Table1[[#This Row],[VEHIDCODE]],"_")</f>
        <v>Switzerland_UeBB_Czm_1_2</v>
      </c>
      <c r="C7" t="s">
        <v>736</v>
      </c>
      <c r="D7" t="b">
        <f>OR(ISNUMBER(SEARCH("wagon_",Table1[[#This Row],[FILENAMES_EXPECTED]])),ISNUMBER(SEARCH("coach_",Table1[[#This Row],[FILENAMES_EXPECTED]])))</f>
        <v>0</v>
      </c>
      <c r="E7" t="str">
        <f>"item_"&amp;Table1[[#This Row],[VEHIDCODE]]</f>
        <v>item_rbs_Switzerland_UeBB_Czm_1_2</v>
      </c>
      <c r="F7" t="str">
        <f>"str_"&amp;Table1[[#This Row],[VEHIDCODE]]</f>
        <v>str_rbs_Switzerland_UeBB_Czm_1_2</v>
      </c>
      <c r="G7">
        <v>5</v>
      </c>
      <c r="H7" t="s">
        <v>18</v>
      </c>
      <c r="I7">
        <v>0</v>
      </c>
      <c r="J7" t="s">
        <v>23</v>
      </c>
      <c r="K7">
        <v>30</v>
      </c>
      <c r="L7">
        <v>1902</v>
      </c>
      <c r="M7">
        <v>5</v>
      </c>
      <c r="N7" s="2" t="s">
        <v>24</v>
      </c>
      <c r="O7" t="b">
        <v>1</v>
      </c>
      <c r="Q7" s="2"/>
      <c r="R7">
        <v>45</v>
      </c>
      <c r="S7">
        <v>1</v>
      </c>
      <c r="T7">
        <v>99</v>
      </c>
      <c r="U7" t="s">
        <v>710</v>
      </c>
      <c r="V7">
        <v>45</v>
      </c>
      <c r="W7" s="2">
        <v>0.34</v>
      </c>
      <c r="AF7" s="2" t="b">
        <v>1</v>
      </c>
      <c r="AX7"/>
      <c r="BA7" s="2"/>
      <c r="BB7" s="2" t="b">
        <f>LEN(_xlfn.CONCAT(Table1[[#This Row],[TRACK_TYPE_STANDARD_GAUGE_RAILTYPE_OHLE]:[TRACK_TYPE_MTRO]]))&gt;0</f>
        <v>1</v>
      </c>
      <c r="BC7" s="7">
        <v>15</v>
      </c>
      <c r="BD7" t="s">
        <v>923</v>
      </c>
      <c r="BE7" t="s">
        <v>922</v>
      </c>
      <c r="BF7" t="s">
        <v>940</v>
      </c>
      <c r="BG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">
        <v>0</v>
      </c>
      <c r="BI7" t="s">
        <v>734</v>
      </c>
      <c r="BK7" s="11"/>
      <c r="BL7" s="11">
        <v>21</v>
      </c>
      <c r="BM7">
        <v>0</v>
      </c>
      <c r="BN7" t="s">
        <v>692</v>
      </c>
      <c r="BO7" t="s">
        <v>694</v>
      </c>
      <c r="BP7" t="s">
        <v>701</v>
      </c>
      <c r="BQ7" t="s">
        <v>705</v>
      </c>
      <c r="BR7" t="s">
        <v>706</v>
      </c>
      <c r="BS7" t="s">
        <v>707</v>
      </c>
    </row>
    <row r="8" spans="1:71" hidden="1" x14ac:dyDescent="0.4">
      <c r="A8" s="2" t="s">
        <v>28</v>
      </c>
      <c r="B8" t="str">
        <f>_xlfn.TEXTAFTER(Table1[[#This Row],[VEHIDCODE]],"_")</f>
        <v>Germany_Bavarian_MCCi</v>
      </c>
      <c r="C8" t="s">
        <v>736</v>
      </c>
      <c r="D8" t="b">
        <f>OR(ISNUMBER(SEARCH("wagon_",Table1[[#This Row],[FILENAMES_EXPECTED]])),ISNUMBER(SEARCH("coach_",Table1[[#This Row],[FILENAMES_EXPECTED]])))</f>
        <v>0</v>
      </c>
      <c r="E8" t="str">
        <f>"item_"&amp;Table1[[#This Row],[VEHIDCODE]]</f>
        <v>item_rbs_Germany_Bavarian_MCCi</v>
      </c>
      <c r="F8" t="str">
        <f>"str_"&amp;Table1[[#This Row],[VEHIDCODE]]</f>
        <v>str_rbs_Germany_Bavarian_MCCi</v>
      </c>
      <c r="G8">
        <v>8</v>
      </c>
      <c r="H8" t="s">
        <v>18</v>
      </c>
      <c r="I8">
        <v>0</v>
      </c>
      <c r="J8" t="s">
        <v>23</v>
      </c>
      <c r="K8">
        <v>52</v>
      </c>
      <c r="L8">
        <v>1906</v>
      </c>
      <c r="M8">
        <v>8</v>
      </c>
      <c r="N8" s="2" t="s">
        <v>24</v>
      </c>
      <c r="O8" t="b">
        <v>1</v>
      </c>
      <c r="Q8" s="2"/>
      <c r="R8">
        <v>45</v>
      </c>
      <c r="S8">
        <v>1</v>
      </c>
      <c r="T8">
        <v>195</v>
      </c>
      <c r="U8" t="s">
        <v>710</v>
      </c>
      <c r="V8">
        <v>50</v>
      </c>
      <c r="W8" s="2">
        <v>0.34</v>
      </c>
      <c r="AF8" s="2" t="b">
        <v>1</v>
      </c>
      <c r="AX8"/>
      <c r="BA8" s="2"/>
      <c r="BB8" s="2" t="b">
        <f>LEN(_xlfn.CONCAT(Table1[[#This Row],[TRACK_TYPE_STANDARD_GAUGE_RAILTYPE_OHLE]:[TRACK_TYPE_MTRO]]))&gt;0</f>
        <v>1</v>
      </c>
      <c r="BC8" s="7">
        <v>15</v>
      </c>
      <c r="BD8" t="s">
        <v>923</v>
      </c>
      <c r="BE8" t="s">
        <v>922</v>
      </c>
      <c r="BF8" t="s">
        <v>940</v>
      </c>
      <c r="BG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">
        <v>0</v>
      </c>
      <c r="BI8" t="s">
        <v>734</v>
      </c>
      <c r="BK8" s="11"/>
      <c r="BL8" s="11">
        <v>32</v>
      </c>
      <c r="BM8">
        <v>0</v>
      </c>
      <c r="BN8" t="s">
        <v>692</v>
      </c>
      <c r="BO8" t="s">
        <v>694</v>
      </c>
      <c r="BP8" t="s">
        <v>701</v>
      </c>
      <c r="BQ8" t="s">
        <v>705</v>
      </c>
      <c r="BR8" t="s">
        <v>706</v>
      </c>
      <c r="BS8" t="s">
        <v>707</v>
      </c>
    </row>
    <row r="9" spans="1:71" hidden="1" x14ac:dyDescent="0.4">
      <c r="A9" s="2" t="s">
        <v>29</v>
      </c>
      <c r="B9" t="str">
        <f>_xlfn.TEXTAFTER(Table1[[#This Row],[VEHIDCODE]],"_")</f>
        <v>South_Africa_CSAR_Railmotor</v>
      </c>
      <c r="C9" t="s">
        <v>736</v>
      </c>
      <c r="D9" t="b">
        <f>OR(ISNUMBER(SEARCH("wagon_",Table1[[#This Row],[FILENAMES_EXPECTED]])),ISNUMBER(SEARCH("coach_",Table1[[#This Row],[FILENAMES_EXPECTED]])))</f>
        <v>0</v>
      </c>
      <c r="E9" t="str">
        <f>"item_"&amp;Table1[[#This Row],[VEHIDCODE]]</f>
        <v>item_rbs_South_Africa_CSAR_Railmotor</v>
      </c>
      <c r="F9" t="str">
        <f>"str_"&amp;Table1[[#This Row],[VEHIDCODE]]</f>
        <v>str_rbs_South_Africa_CSAR_Railmotor</v>
      </c>
      <c r="G9">
        <v>4</v>
      </c>
      <c r="H9" t="s">
        <v>18</v>
      </c>
      <c r="I9">
        <v>0</v>
      </c>
      <c r="J9" t="s">
        <v>23</v>
      </c>
      <c r="K9">
        <v>50</v>
      </c>
      <c r="L9">
        <v>1906</v>
      </c>
      <c r="M9">
        <v>8</v>
      </c>
      <c r="N9" s="2" t="s">
        <v>24</v>
      </c>
      <c r="O9" t="b">
        <v>1</v>
      </c>
      <c r="Q9" s="2"/>
      <c r="R9">
        <v>45</v>
      </c>
      <c r="S9">
        <v>1</v>
      </c>
      <c r="T9">
        <v>86</v>
      </c>
      <c r="U9" t="s">
        <v>710</v>
      </c>
      <c r="V9">
        <v>60</v>
      </c>
      <c r="W9" s="2">
        <v>0.33</v>
      </c>
      <c r="AF9" s="2" t="b">
        <v>1</v>
      </c>
      <c r="AX9"/>
      <c r="BA9" s="2"/>
      <c r="BB9" s="2" t="b">
        <f>LEN(_xlfn.CONCAT(Table1[[#This Row],[TRACK_TYPE_STANDARD_GAUGE_RAILTYPE_OHLE]:[TRACK_TYPE_MTRO]]))&gt;0</f>
        <v>1</v>
      </c>
      <c r="BC9" s="7">
        <v>15</v>
      </c>
      <c r="BD9" t="s">
        <v>926</v>
      </c>
      <c r="BE9" t="s">
        <v>922</v>
      </c>
      <c r="BF9" t="s">
        <v>940</v>
      </c>
      <c r="BG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">
        <v>0</v>
      </c>
      <c r="BI9" t="s">
        <v>734</v>
      </c>
      <c r="BK9" s="11"/>
      <c r="BL9" s="11">
        <v>35</v>
      </c>
      <c r="BM9">
        <v>0</v>
      </c>
      <c r="BN9" t="s">
        <v>692</v>
      </c>
      <c r="BO9" t="s">
        <v>694</v>
      </c>
      <c r="BP9" t="s">
        <v>701</v>
      </c>
      <c r="BQ9" t="s">
        <v>705</v>
      </c>
      <c r="BR9" t="s">
        <v>706</v>
      </c>
      <c r="BS9" t="s">
        <v>707</v>
      </c>
    </row>
    <row r="10" spans="1:71" hidden="1" x14ac:dyDescent="0.4">
      <c r="A10" s="2" t="s">
        <v>30</v>
      </c>
      <c r="B10" t="str">
        <f>_xlfn.TEXTAFTER(Table1[[#This Row],[VEHIDCODE]],"_")</f>
        <v>Australia_Victorian_Railways_Motor_Car_3</v>
      </c>
      <c r="C10" t="s">
        <v>736</v>
      </c>
      <c r="D10" t="b">
        <f>OR(ISNUMBER(SEARCH("wagon_",Table1[[#This Row],[FILENAMES_EXPECTED]])),ISNUMBER(SEARCH("coach_",Table1[[#This Row],[FILENAMES_EXPECTED]])))</f>
        <v>0</v>
      </c>
      <c r="E10" t="str">
        <f>"item_"&amp;Table1[[#This Row],[VEHIDCODE]]</f>
        <v>item_rbs_Australia_Victorian_Railways_Motor_Car_3</v>
      </c>
      <c r="F10" t="str">
        <f>"str_"&amp;Table1[[#This Row],[VEHIDCODE]]</f>
        <v>str_rbs_Australia_Victorian_Railways_Motor_Car_3</v>
      </c>
      <c r="G10">
        <v>6</v>
      </c>
      <c r="H10" t="s">
        <v>18</v>
      </c>
      <c r="I10">
        <v>0</v>
      </c>
      <c r="J10" t="s">
        <v>23</v>
      </c>
      <c r="K10">
        <v>32</v>
      </c>
      <c r="L10">
        <v>1912</v>
      </c>
      <c r="M10">
        <v>6</v>
      </c>
      <c r="N10" s="2" t="s">
        <v>24</v>
      </c>
      <c r="O10" t="b">
        <v>1</v>
      </c>
      <c r="Q10" s="2"/>
      <c r="R10">
        <v>45</v>
      </c>
      <c r="S10">
        <v>1</v>
      </c>
      <c r="T10">
        <v>91</v>
      </c>
      <c r="U10" t="s">
        <v>710</v>
      </c>
      <c r="V10">
        <v>55</v>
      </c>
      <c r="W10" s="2">
        <v>0.34</v>
      </c>
      <c r="AF10" s="2" t="b">
        <v>1</v>
      </c>
      <c r="AX10"/>
      <c r="BA10" s="2"/>
      <c r="BB10" s="2" t="b">
        <f>LEN(_xlfn.CONCAT(Table1[[#This Row],[TRACK_TYPE_STANDARD_GAUGE_RAILTYPE_OHLE]:[TRACK_TYPE_MTRO]]))&gt;0</f>
        <v>1</v>
      </c>
      <c r="BC10" s="7">
        <v>15</v>
      </c>
      <c r="BD10" t="s">
        <v>925</v>
      </c>
      <c r="BE10" t="s">
        <v>922</v>
      </c>
      <c r="BF10" t="s">
        <v>940</v>
      </c>
      <c r="BG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">
        <v>0</v>
      </c>
      <c r="BI10" t="s">
        <v>734</v>
      </c>
      <c r="BK10" s="11"/>
      <c r="BL10" s="11">
        <v>42</v>
      </c>
      <c r="BM10">
        <v>0</v>
      </c>
      <c r="BN10" t="s">
        <v>692</v>
      </c>
      <c r="BO10" t="s">
        <v>694</v>
      </c>
      <c r="BP10" t="s">
        <v>701</v>
      </c>
      <c r="BQ10" t="s">
        <v>705</v>
      </c>
      <c r="BR10" t="s">
        <v>706</v>
      </c>
      <c r="BS10" t="s">
        <v>707</v>
      </c>
    </row>
    <row r="11" spans="1:71" hidden="1" x14ac:dyDescent="0.4">
      <c r="A11" s="2" t="s">
        <v>31</v>
      </c>
      <c r="B11" t="str">
        <f>_xlfn.TEXTAFTER(Table1[[#This Row],[VEHIDCODE]],"_")</f>
        <v>Austria_kkStB_4_0</v>
      </c>
      <c r="C11" t="s">
        <v>736</v>
      </c>
      <c r="D11" t="b">
        <f>OR(ISNUMBER(SEARCH("wagon_",Table1[[#This Row],[FILENAMES_EXPECTED]])),ISNUMBER(SEARCH("coach_",Table1[[#This Row],[FILENAMES_EXPECTED]])))</f>
        <v>0</v>
      </c>
      <c r="E11" t="str">
        <f>"item_"&amp;Table1[[#This Row],[VEHIDCODE]]</f>
        <v>item_rbs_Austria_kkStB_4_0</v>
      </c>
      <c r="F11" t="str">
        <f>"str_"&amp;Table1[[#This Row],[VEHIDCODE]]</f>
        <v>str_rbs_Austria_kkStB_4_0</v>
      </c>
      <c r="G11">
        <v>5</v>
      </c>
      <c r="H11" t="s">
        <v>32</v>
      </c>
      <c r="I11">
        <v>0</v>
      </c>
      <c r="J11" t="s">
        <v>23</v>
      </c>
      <c r="K11">
        <v>14</v>
      </c>
      <c r="L11">
        <v>1880</v>
      </c>
      <c r="M11">
        <v>5</v>
      </c>
      <c r="N11" s="2" t="s">
        <v>33</v>
      </c>
      <c r="O11" t="b">
        <v>1</v>
      </c>
      <c r="Q11" s="2"/>
      <c r="R11">
        <v>45</v>
      </c>
      <c r="S11">
        <v>0</v>
      </c>
      <c r="T11">
        <v>28</v>
      </c>
      <c r="U11" t="s">
        <v>710</v>
      </c>
      <c r="V11">
        <v>45</v>
      </c>
      <c r="W11" s="2">
        <v>0.34</v>
      </c>
      <c r="AF11" s="2" t="b">
        <v>1</v>
      </c>
      <c r="AX11"/>
      <c r="BA11" s="2"/>
      <c r="BB11" s="2" t="b">
        <f>LEN(_xlfn.CONCAT(Table1[[#This Row],[TRACK_TYPE_STANDARD_GAUGE_RAILTYPE_OHLE]:[TRACK_TYPE_MTRO]]))&gt;0</f>
        <v>1</v>
      </c>
      <c r="BC11" s="7">
        <v>15</v>
      </c>
      <c r="BD11" t="s">
        <v>923</v>
      </c>
      <c r="BE11" t="s">
        <v>922</v>
      </c>
      <c r="BF11" t="s">
        <v>940</v>
      </c>
      <c r="BG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">
        <v>-3</v>
      </c>
      <c r="BI11" t="s">
        <v>734</v>
      </c>
      <c r="BK11" s="11"/>
      <c r="BL11" s="11">
        <v>20</v>
      </c>
      <c r="BM11">
        <v>0</v>
      </c>
      <c r="BN11" t="s">
        <v>692</v>
      </c>
      <c r="BO11" t="s">
        <v>694</v>
      </c>
      <c r="BP11" t="s">
        <v>701</v>
      </c>
      <c r="BQ11" t="s">
        <v>705</v>
      </c>
      <c r="BR11" t="s">
        <v>706</v>
      </c>
      <c r="BS11" t="s">
        <v>707</v>
      </c>
    </row>
    <row r="12" spans="1:71" hidden="1" x14ac:dyDescent="0.4">
      <c r="A12" s="2" t="s">
        <v>34</v>
      </c>
      <c r="B12" t="str">
        <f>_xlfn.TEXTAFTER(Table1[[#This Row],[VEHIDCODE]],"_")</f>
        <v>Australia_Victorian_Railways_AEC_RM1</v>
      </c>
      <c r="C12" t="s">
        <v>737</v>
      </c>
      <c r="D12" t="b">
        <f>OR(ISNUMBER(SEARCH("wagon_",Table1[[#This Row],[FILENAMES_EXPECTED]])),ISNUMBER(SEARCH("coach_",Table1[[#This Row],[FILENAMES_EXPECTED]])))</f>
        <v>0</v>
      </c>
      <c r="E12" t="str">
        <f>"item_"&amp;Table1[[#This Row],[VEHIDCODE]]</f>
        <v>item_rbd_Australia_Victorian_Railways_AEC_RM1</v>
      </c>
      <c r="F12" t="str">
        <f>"str_"&amp;Table1[[#This Row],[VEHIDCODE]]</f>
        <v>str_rbd_Australia_Victorian_Railways_AEC_RM1</v>
      </c>
      <c r="G12">
        <v>5</v>
      </c>
      <c r="H12" t="s">
        <v>18</v>
      </c>
      <c r="I12">
        <v>0</v>
      </c>
      <c r="J12" t="s">
        <v>35</v>
      </c>
      <c r="K12">
        <v>33</v>
      </c>
      <c r="L12">
        <v>1922</v>
      </c>
      <c r="M12">
        <v>5</v>
      </c>
      <c r="N12" s="2" t="s">
        <v>24</v>
      </c>
      <c r="O12" t="b">
        <v>1</v>
      </c>
      <c r="Q12" s="2"/>
      <c r="R12">
        <v>45</v>
      </c>
      <c r="S12">
        <v>1</v>
      </c>
      <c r="T12">
        <v>45</v>
      </c>
      <c r="U12" t="s">
        <v>711</v>
      </c>
      <c r="V12">
        <v>50</v>
      </c>
      <c r="W12" s="2">
        <v>0.1</v>
      </c>
      <c r="AF12" s="2" t="b">
        <v>1</v>
      </c>
      <c r="AX12"/>
      <c r="BA12" s="2"/>
      <c r="BB12" s="2" t="b">
        <f>LEN(_xlfn.CONCAT(Table1[[#This Row],[TRACK_TYPE_STANDARD_GAUGE_RAILTYPE_OHLE]:[TRACK_TYPE_MTRO]]))&gt;0</f>
        <v>1</v>
      </c>
      <c r="BC12" s="7">
        <v>15</v>
      </c>
      <c r="BD12" t="s">
        <v>925</v>
      </c>
      <c r="BE12" t="s">
        <v>922</v>
      </c>
      <c r="BF12" t="s">
        <v>940</v>
      </c>
      <c r="BG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2">
        <v>-3</v>
      </c>
      <c r="BI12" t="s">
        <v>734</v>
      </c>
      <c r="BK12" s="11"/>
      <c r="BL12" s="11">
        <v>24</v>
      </c>
      <c r="BM12">
        <v>0</v>
      </c>
      <c r="BN12" t="s">
        <v>692</v>
      </c>
      <c r="BO12" t="s">
        <v>694</v>
      </c>
      <c r="BP12" t="s">
        <v>701</v>
      </c>
      <c r="BQ12" t="s">
        <v>705</v>
      </c>
      <c r="BR12" t="s">
        <v>706</v>
      </c>
      <c r="BS12" t="s">
        <v>707</v>
      </c>
    </row>
    <row r="13" spans="1:71" hidden="1" x14ac:dyDescent="0.4">
      <c r="A13" s="2" t="s">
        <v>36</v>
      </c>
      <c r="B13" t="str">
        <f>_xlfn.TEXTAFTER(Table1[[#This Row],[VEHIDCODE]],"_")</f>
        <v>Germany_DB_VT_133</v>
      </c>
      <c r="C13" t="s">
        <v>737</v>
      </c>
      <c r="D13" t="b">
        <f>OR(ISNUMBER(SEARCH("wagon_",Table1[[#This Row],[FILENAMES_EXPECTED]])),ISNUMBER(SEARCH("coach_",Table1[[#This Row],[FILENAMES_EXPECTED]])))</f>
        <v>0</v>
      </c>
      <c r="E13" t="str">
        <f>"item_"&amp;Table1[[#This Row],[VEHIDCODE]]</f>
        <v>item_rbd_Germany_DB_VT_133</v>
      </c>
      <c r="F13" t="str">
        <f>"str_"&amp;Table1[[#This Row],[VEHIDCODE]]</f>
        <v>str_rbd_Germany_DB_VT_133</v>
      </c>
      <c r="G13">
        <v>6</v>
      </c>
      <c r="H13" t="s">
        <v>18</v>
      </c>
      <c r="I13">
        <v>0</v>
      </c>
      <c r="J13" t="s">
        <v>35</v>
      </c>
      <c r="K13">
        <v>24</v>
      </c>
      <c r="L13">
        <v>1932</v>
      </c>
      <c r="M13">
        <v>6</v>
      </c>
      <c r="N13" s="2" t="s">
        <v>24</v>
      </c>
      <c r="O13" t="b">
        <v>1</v>
      </c>
      <c r="Q13" s="2"/>
      <c r="R13">
        <v>45</v>
      </c>
      <c r="S13">
        <v>1</v>
      </c>
      <c r="T13">
        <v>38</v>
      </c>
      <c r="U13" t="s">
        <v>711</v>
      </c>
      <c r="V13">
        <v>56</v>
      </c>
      <c r="W13" s="2">
        <v>0.5</v>
      </c>
      <c r="AF13" s="2" t="b">
        <v>1</v>
      </c>
      <c r="AX13"/>
      <c r="BA13" s="2"/>
      <c r="BB13" s="2" t="b">
        <f>LEN(_xlfn.CONCAT(Table1[[#This Row],[TRACK_TYPE_STANDARD_GAUGE_RAILTYPE_OHLE]:[TRACK_TYPE_MTRO]]))&gt;0</f>
        <v>1</v>
      </c>
      <c r="BC13" s="7">
        <v>15</v>
      </c>
      <c r="BD13" t="s">
        <v>923</v>
      </c>
      <c r="BE13" t="s">
        <v>922</v>
      </c>
      <c r="BF13" t="s">
        <v>940</v>
      </c>
      <c r="BG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3">
        <v>-3</v>
      </c>
      <c r="BI13" t="s">
        <v>734</v>
      </c>
      <c r="BK13" s="11"/>
      <c r="BL13" s="11">
        <v>6</v>
      </c>
      <c r="BM13">
        <v>0</v>
      </c>
      <c r="BN13" t="s">
        <v>692</v>
      </c>
      <c r="BO13" t="s">
        <v>694</v>
      </c>
      <c r="BP13" t="s">
        <v>701</v>
      </c>
      <c r="BQ13" t="s">
        <v>705</v>
      </c>
      <c r="BR13" t="s">
        <v>706</v>
      </c>
      <c r="BS13" t="s">
        <v>707</v>
      </c>
    </row>
    <row r="14" spans="1:71" hidden="1" x14ac:dyDescent="0.4">
      <c r="A14" s="2" t="s">
        <v>37</v>
      </c>
      <c r="B14" t="str">
        <f>_xlfn.TEXTAFTER(Table1[[#This Row],[VEHIDCODE]],"_")</f>
        <v>United_Kingdom_GWR_AEC_Railcar</v>
      </c>
      <c r="C14" t="s">
        <v>737</v>
      </c>
      <c r="D14" t="b">
        <f>OR(ISNUMBER(SEARCH("wagon_",Table1[[#This Row],[FILENAMES_EXPECTED]])),ISNUMBER(SEARCH("coach_",Table1[[#This Row],[FILENAMES_EXPECTED]])))</f>
        <v>0</v>
      </c>
      <c r="E14" t="str">
        <f>"item_"&amp;Table1[[#This Row],[VEHIDCODE]]</f>
        <v>item_rbd_United_Kingdom_GWR_AEC_Railcar</v>
      </c>
      <c r="F14" t="str">
        <f>"str_"&amp;Table1[[#This Row],[VEHIDCODE]]</f>
        <v>str_rbd_United_Kingdom_GWR_AEC_Railcar</v>
      </c>
      <c r="G14">
        <v>6</v>
      </c>
      <c r="H14" t="s">
        <v>18</v>
      </c>
      <c r="I14">
        <v>0</v>
      </c>
      <c r="J14" t="s">
        <v>35</v>
      </c>
      <c r="K14">
        <v>70</v>
      </c>
      <c r="L14">
        <v>1933</v>
      </c>
      <c r="M14">
        <v>6</v>
      </c>
      <c r="N14" s="2" t="s">
        <v>24</v>
      </c>
      <c r="O14" t="b">
        <v>1</v>
      </c>
      <c r="Q14" s="2"/>
      <c r="R14">
        <v>45</v>
      </c>
      <c r="S14">
        <v>1</v>
      </c>
      <c r="T14">
        <v>175</v>
      </c>
      <c r="U14" t="s">
        <v>711</v>
      </c>
      <c r="V14">
        <v>80</v>
      </c>
      <c r="W14" s="2">
        <v>0.27</v>
      </c>
      <c r="AF14" s="2" t="b">
        <v>1</v>
      </c>
      <c r="AX14"/>
      <c r="BA14" s="2"/>
      <c r="BB14" s="2" t="b">
        <f>LEN(_xlfn.CONCAT(Table1[[#This Row],[TRACK_TYPE_STANDARD_GAUGE_RAILTYPE_OHLE]:[TRACK_TYPE_MTRO]]))&gt;0</f>
        <v>1</v>
      </c>
      <c r="BC14" s="7">
        <v>15</v>
      </c>
      <c r="BD14" t="s">
        <v>927</v>
      </c>
      <c r="BE14" t="s">
        <v>922</v>
      </c>
      <c r="BF14" t="s">
        <v>940</v>
      </c>
      <c r="BG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4">
        <v>-3</v>
      </c>
      <c r="BI14" t="s">
        <v>734</v>
      </c>
      <c r="BK14" s="11"/>
      <c r="BL14" s="11">
        <v>25</v>
      </c>
      <c r="BM14">
        <v>0</v>
      </c>
      <c r="BN14" t="s">
        <v>692</v>
      </c>
      <c r="BO14" t="s">
        <v>694</v>
      </c>
      <c r="BP14" t="s">
        <v>701</v>
      </c>
      <c r="BQ14" t="s">
        <v>705</v>
      </c>
      <c r="BR14" t="s">
        <v>706</v>
      </c>
      <c r="BS14" t="s">
        <v>707</v>
      </c>
    </row>
    <row r="15" spans="1:71" hidden="1" x14ac:dyDescent="0.4">
      <c r="A15" s="2" t="s">
        <v>38</v>
      </c>
      <c r="B15" t="str">
        <f>_xlfn.TEXTAFTER(Table1[[#This Row],[VEHIDCODE]],"_")</f>
        <v>Austria_OBB_5042</v>
      </c>
      <c r="C15" t="s">
        <v>737</v>
      </c>
      <c r="D15" t="b">
        <f>OR(ISNUMBER(SEARCH("wagon_",Table1[[#This Row],[FILENAMES_EXPECTED]])),ISNUMBER(SEARCH("coach_",Table1[[#This Row],[FILENAMES_EXPECTED]])))</f>
        <v>0</v>
      </c>
      <c r="E15" t="str">
        <f>"item_"&amp;Table1[[#This Row],[VEHIDCODE]]</f>
        <v>item_rbd_Austria_OBB_5042</v>
      </c>
      <c r="F15" t="str">
        <f>"str_"&amp;Table1[[#This Row],[VEHIDCODE]]</f>
        <v>str_rbd_Austria_OBB_5042</v>
      </c>
      <c r="G15">
        <v>8</v>
      </c>
      <c r="H15" t="s">
        <v>18</v>
      </c>
      <c r="I15">
        <v>0</v>
      </c>
      <c r="J15" t="s">
        <v>35</v>
      </c>
      <c r="K15">
        <v>78</v>
      </c>
      <c r="L15">
        <v>1935</v>
      </c>
      <c r="M15">
        <v>8</v>
      </c>
      <c r="N15" s="2" t="s">
        <v>24</v>
      </c>
      <c r="O15" t="b">
        <v>1</v>
      </c>
      <c r="Q15" s="2"/>
      <c r="R15">
        <v>45</v>
      </c>
      <c r="S15">
        <v>1</v>
      </c>
      <c r="T15">
        <v>410</v>
      </c>
      <c r="U15" t="s">
        <v>711</v>
      </c>
      <c r="V15">
        <v>110</v>
      </c>
      <c r="W15" s="2">
        <v>0.08</v>
      </c>
      <c r="AF15" s="2" t="b">
        <v>1</v>
      </c>
      <c r="AX15"/>
      <c r="BA15" s="2"/>
      <c r="BB15" s="2" t="b">
        <f>LEN(_xlfn.CONCAT(Table1[[#This Row],[TRACK_TYPE_STANDARD_GAUGE_RAILTYPE_OHLE]:[TRACK_TYPE_MTRO]]))&gt;0</f>
        <v>1</v>
      </c>
      <c r="BC15" s="7">
        <v>15</v>
      </c>
      <c r="BD15" t="s">
        <v>923</v>
      </c>
      <c r="BE15" t="s">
        <v>922</v>
      </c>
      <c r="BF15" t="s">
        <v>940</v>
      </c>
      <c r="BG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5">
        <v>-3</v>
      </c>
      <c r="BI15" t="s">
        <v>734</v>
      </c>
      <c r="BK15" s="11"/>
      <c r="BL15" s="11">
        <v>59</v>
      </c>
      <c r="BM15">
        <v>0</v>
      </c>
      <c r="BN15" t="s">
        <v>692</v>
      </c>
      <c r="BO15" t="s">
        <v>694</v>
      </c>
      <c r="BP15" t="s">
        <v>701</v>
      </c>
      <c r="BQ15" t="s">
        <v>705</v>
      </c>
      <c r="BR15" t="s">
        <v>706</v>
      </c>
      <c r="BS15" t="s">
        <v>707</v>
      </c>
    </row>
    <row r="16" spans="1:71" hidden="1" x14ac:dyDescent="0.4">
      <c r="A16" s="2" t="s">
        <v>39</v>
      </c>
      <c r="B16" t="str">
        <f>_xlfn.TEXTAFTER(Table1[[#This Row],[VEHIDCODE]],"_")</f>
        <v>New_Zealand_NZR_RM31</v>
      </c>
      <c r="C16" t="s">
        <v>737</v>
      </c>
      <c r="D16" t="b">
        <f>OR(ISNUMBER(SEARCH("wagon_",Table1[[#This Row],[FILENAMES_EXPECTED]])),ISNUMBER(SEARCH("coach_",Table1[[#This Row],[FILENAMES_EXPECTED]])))</f>
        <v>0</v>
      </c>
      <c r="E16" t="str">
        <f>"item_"&amp;Table1[[#This Row],[VEHIDCODE]]</f>
        <v>item_rbd_New_Zealand_NZR_RM31</v>
      </c>
      <c r="F16" t="str">
        <f>"str_"&amp;Table1[[#This Row],[VEHIDCODE]]</f>
        <v>str_rbd_New_Zealand_NZR_RM31</v>
      </c>
      <c r="G16">
        <v>8</v>
      </c>
      <c r="H16" t="s">
        <v>18</v>
      </c>
      <c r="I16">
        <v>0</v>
      </c>
      <c r="J16" t="s">
        <v>35</v>
      </c>
      <c r="K16">
        <v>50</v>
      </c>
      <c r="L16">
        <v>1940</v>
      </c>
      <c r="M16">
        <v>8</v>
      </c>
      <c r="N16" s="2" t="s">
        <v>24</v>
      </c>
      <c r="O16" t="b">
        <v>1</v>
      </c>
      <c r="Q16" s="2"/>
      <c r="R16">
        <v>45</v>
      </c>
      <c r="S16">
        <v>1</v>
      </c>
      <c r="T16">
        <v>250</v>
      </c>
      <c r="U16" t="s">
        <v>711</v>
      </c>
      <c r="V16">
        <v>120</v>
      </c>
      <c r="W16" s="2">
        <v>0.2</v>
      </c>
      <c r="AF16" s="2" t="b">
        <v>1</v>
      </c>
      <c r="AX16"/>
      <c r="BA16" s="2"/>
      <c r="BB16" s="2" t="b">
        <f>LEN(_xlfn.CONCAT(Table1[[#This Row],[TRACK_TYPE_STANDARD_GAUGE_RAILTYPE_OHLE]:[TRACK_TYPE_MTRO]]))&gt;0</f>
        <v>1</v>
      </c>
      <c r="BC16" s="7">
        <v>15</v>
      </c>
      <c r="BD16" t="s">
        <v>925</v>
      </c>
      <c r="BE16" t="s">
        <v>922</v>
      </c>
      <c r="BF16" t="s">
        <v>940</v>
      </c>
      <c r="BG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6">
        <v>-3</v>
      </c>
      <c r="BI16" t="s">
        <v>734</v>
      </c>
      <c r="BK16" s="11"/>
      <c r="BL16" s="11">
        <v>37</v>
      </c>
      <c r="BM16">
        <v>0</v>
      </c>
      <c r="BN16" t="s">
        <v>692</v>
      </c>
      <c r="BO16" t="s">
        <v>694</v>
      </c>
      <c r="BP16" t="s">
        <v>701</v>
      </c>
      <c r="BQ16" t="s">
        <v>705</v>
      </c>
      <c r="BR16" t="s">
        <v>706</v>
      </c>
      <c r="BS16" t="s">
        <v>707</v>
      </c>
    </row>
    <row r="17" spans="1:71" hidden="1" x14ac:dyDescent="0.4">
      <c r="A17" s="2" t="s">
        <v>40</v>
      </c>
      <c r="B17" t="str">
        <f>_xlfn.TEXTAFTER(Table1[[#This Row],[VEHIDCODE]],"_")</f>
        <v>Portugal_CP_0100</v>
      </c>
      <c r="C17" t="s">
        <v>737</v>
      </c>
      <c r="D17" t="b">
        <f>OR(ISNUMBER(SEARCH("wagon_",Table1[[#This Row],[FILENAMES_EXPECTED]])),ISNUMBER(SEARCH("coach_",Table1[[#This Row],[FILENAMES_EXPECTED]])))</f>
        <v>0</v>
      </c>
      <c r="E17" t="str">
        <f>"item_"&amp;Table1[[#This Row],[VEHIDCODE]]</f>
        <v>item_rbd_Portugal_CP_0100</v>
      </c>
      <c r="F17" t="str">
        <f>"str_"&amp;Table1[[#This Row],[VEHIDCODE]]</f>
        <v>str_rbd_Portugal_CP_0100</v>
      </c>
      <c r="G17">
        <v>8</v>
      </c>
      <c r="H17" t="s">
        <v>18</v>
      </c>
      <c r="I17">
        <v>0</v>
      </c>
      <c r="J17" t="s">
        <v>35</v>
      </c>
      <c r="K17">
        <v>70</v>
      </c>
      <c r="L17">
        <v>1948</v>
      </c>
      <c r="M17">
        <v>8</v>
      </c>
      <c r="N17" s="2" t="s">
        <v>24</v>
      </c>
      <c r="O17" t="b">
        <v>1</v>
      </c>
      <c r="Q17" s="2"/>
      <c r="R17">
        <v>45</v>
      </c>
      <c r="S17">
        <v>1</v>
      </c>
      <c r="T17">
        <v>250</v>
      </c>
      <c r="U17" t="s">
        <v>711</v>
      </c>
      <c r="V17">
        <v>112</v>
      </c>
      <c r="W17" s="2">
        <v>0.26</v>
      </c>
      <c r="AF17" s="2" t="b">
        <v>1</v>
      </c>
      <c r="AX17"/>
      <c r="BA17" s="2"/>
      <c r="BB17" s="2" t="b">
        <f>LEN(_xlfn.CONCAT(Table1[[#This Row],[TRACK_TYPE_STANDARD_GAUGE_RAILTYPE_OHLE]:[TRACK_TYPE_MTRO]]))&gt;0</f>
        <v>1</v>
      </c>
      <c r="BC17" s="7">
        <v>15</v>
      </c>
      <c r="BD17" t="s">
        <v>924</v>
      </c>
      <c r="BE17" t="s">
        <v>922</v>
      </c>
      <c r="BF17" t="s">
        <v>940</v>
      </c>
      <c r="BG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">
        <v>-3</v>
      </c>
      <c r="BI17" t="s">
        <v>734</v>
      </c>
      <c r="BK17" s="11"/>
      <c r="BL17" s="11">
        <v>32</v>
      </c>
      <c r="BM17">
        <v>0</v>
      </c>
      <c r="BN17" t="s">
        <v>692</v>
      </c>
      <c r="BO17" t="s">
        <v>694</v>
      </c>
      <c r="BP17" t="s">
        <v>701</v>
      </c>
      <c r="BQ17" t="s">
        <v>705</v>
      </c>
      <c r="BR17" t="s">
        <v>706</v>
      </c>
      <c r="BS17" t="s">
        <v>707</v>
      </c>
    </row>
    <row r="18" spans="1:71" hidden="1" x14ac:dyDescent="0.4">
      <c r="A18" s="2" t="s">
        <v>41</v>
      </c>
      <c r="B18" t="str">
        <f>_xlfn.TEXTAFTER(Table1[[#This Row],[VEHIDCODE]],"_")</f>
        <v>USA_Amtrak_Budd_RDC</v>
      </c>
      <c r="C18" t="s">
        <v>737</v>
      </c>
      <c r="D18" t="b">
        <f>OR(ISNUMBER(SEARCH("wagon_",Table1[[#This Row],[FILENAMES_EXPECTED]])),ISNUMBER(SEARCH("coach_",Table1[[#This Row],[FILENAMES_EXPECTED]])))</f>
        <v>0</v>
      </c>
      <c r="E18" t="str">
        <f>"item_"&amp;Table1[[#This Row],[VEHIDCODE]]</f>
        <v>item_rbd_USA_Amtrak_Budd_RDC</v>
      </c>
      <c r="F18" t="str">
        <f>"str_"&amp;Table1[[#This Row],[VEHIDCODE]]</f>
        <v>str_rbd_USA_Amtrak_Budd_RDC</v>
      </c>
      <c r="G18">
        <v>8</v>
      </c>
      <c r="H18" t="s">
        <v>18</v>
      </c>
      <c r="I18">
        <v>0</v>
      </c>
      <c r="J18" t="s">
        <v>35</v>
      </c>
      <c r="K18">
        <v>90</v>
      </c>
      <c r="L18">
        <v>1949</v>
      </c>
      <c r="M18">
        <v>8</v>
      </c>
      <c r="N18" s="2" t="s">
        <v>24</v>
      </c>
      <c r="O18" t="b">
        <v>1</v>
      </c>
      <c r="Q18" s="2"/>
      <c r="R18">
        <v>45</v>
      </c>
      <c r="S18">
        <v>1</v>
      </c>
      <c r="T18">
        <v>550</v>
      </c>
      <c r="U18" t="s">
        <v>711</v>
      </c>
      <c r="V18">
        <v>136</v>
      </c>
      <c r="W18" s="2">
        <v>0.1</v>
      </c>
      <c r="AF18" s="2" t="b">
        <v>1</v>
      </c>
      <c r="AX18"/>
      <c r="BA18" s="2"/>
      <c r="BB18" s="2" t="b">
        <f>LEN(_xlfn.CONCAT(Table1[[#This Row],[TRACK_TYPE_STANDARD_GAUGE_RAILTYPE_OHLE]:[TRACK_TYPE_MTRO]]))&gt;0</f>
        <v>1</v>
      </c>
      <c r="BC18" s="7">
        <v>15</v>
      </c>
      <c r="BD18" t="s">
        <v>928</v>
      </c>
      <c r="BE18" t="s">
        <v>922</v>
      </c>
      <c r="BF18" t="s">
        <v>940</v>
      </c>
      <c r="BG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">
        <v>-3</v>
      </c>
      <c r="BI18" t="s">
        <v>734</v>
      </c>
      <c r="BK18" s="11"/>
      <c r="BL18" s="11">
        <v>49</v>
      </c>
      <c r="BM18">
        <v>0</v>
      </c>
      <c r="BN18" t="s">
        <v>692</v>
      </c>
      <c r="BO18" t="s">
        <v>694</v>
      </c>
      <c r="BP18" t="s">
        <v>701</v>
      </c>
      <c r="BQ18" t="s">
        <v>705</v>
      </c>
      <c r="BR18" t="s">
        <v>706</v>
      </c>
      <c r="BS18" t="s">
        <v>707</v>
      </c>
    </row>
    <row r="19" spans="1:71" hidden="1" x14ac:dyDescent="0.4">
      <c r="A19" s="2" t="s">
        <v>42</v>
      </c>
      <c r="B19" t="str">
        <f>_xlfn.TEXTAFTER(Table1[[#This Row],[VEHIDCODE]],"_")</f>
        <v>Germany_DB_VT_989</v>
      </c>
      <c r="C19" t="s">
        <v>737</v>
      </c>
      <c r="D19" t="b">
        <f>OR(ISNUMBER(SEARCH("wagon_",Table1[[#This Row],[FILENAMES_EXPECTED]])),ISNUMBER(SEARCH("coach_",Table1[[#This Row],[FILENAMES_EXPECTED]])))</f>
        <v>0</v>
      </c>
      <c r="E19" t="str">
        <f>"item_"&amp;Table1[[#This Row],[VEHIDCODE]]</f>
        <v>item_rbd_Germany_DB_VT_989</v>
      </c>
      <c r="F19" t="str">
        <f>"str_"&amp;Table1[[#This Row],[VEHIDCODE]]</f>
        <v>str_rbd_Germany_DB_VT_989</v>
      </c>
      <c r="G19">
        <v>6</v>
      </c>
      <c r="H19" t="s">
        <v>18</v>
      </c>
      <c r="I19">
        <v>0</v>
      </c>
      <c r="J19" t="s">
        <v>35</v>
      </c>
      <c r="K19">
        <v>56</v>
      </c>
      <c r="L19">
        <v>1953</v>
      </c>
      <c r="M19">
        <v>6</v>
      </c>
      <c r="N19" s="2" t="s">
        <v>24</v>
      </c>
      <c r="O19" t="b">
        <v>1</v>
      </c>
      <c r="Q19" s="2"/>
      <c r="R19">
        <v>45</v>
      </c>
      <c r="S19">
        <v>1</v>
      </c>
      <c r="T19">
        <v>290</v>
      </c>
      <c r="U19" t="s">
        <v>711</v>
      </c>
      <c r="V19">
        <v>90</v>
      </c>
      <c r="W19" s="2">
        <v>0.2</v>
      </c>
      <c r="AF19" s="2" t="b">
        <v>1</v>
      </c>
      <c r="AX19"/>
      <c r="BA19" s="2"/>
      <c r="BB19" s="2" t="b">
        <f>LEN(_xlfn.CONCAT(Table1[[#This Row],[TRACK_TYPE_STANDARD_GAUGE_RAILTYPE_OHLE]:[TRACK_TYPE_MTRO]]))&gt;0</f>
        <v>1</v>
      </c>
      <c r="BC19" s="7">
        <v>15</v>
      </c>
      <c r="BD19" t="s">
        <v>923</v>
      </c>
      <c r="BE19" t="s">
        <v>922</v>
      </c>
      <c r="BF19" t="s">
        <v>940</v>
      </c>
      <c r="BG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">
        <v>-3</v>
      </c>
      <c r="BI19" t="s">
        <v>734</v>
      </c>
      <c r="BK19" s="11"/>
      <c r="BL19" s="11">
        <v>21</v>
      </c>
      <c r="BM19">
        <v>0</v>
      </c>
      <c r="BN19" t="s">
        <v>692</v>
      </c>
      <c r="BO19" t="s">
        <v>694</v>
      </c>
      <c r="BP19" t="s">
        <v>701</v>
      </c>
      <c r="BQ19" t="s">
        <v>705</v>
      </c>
      <c r="BR19" t="s">
        <v>706</v>
      </c>
      <c r="BS19" t="s">
        <v>707</v>
      </c>
    </row>
    <row r="20" spans="1:71" hidden="1" x14ac:dyDescent="0.4">
      <c r="A20" s="2" t="s">
        <v>43</v>
      </c>
      <c r="B20" t="str">
        <f>_xlfn.TEXTAFTER(Table1[[#This Row],[VEHIDCODE]],"_")</f>
        <v>Germany_OHE_520_GDT</v>
      </c>
      <c r="C20" t="s">
        <v>737</v>
      </c>
      <c r="D20" t="b">
        <f>OR(ISNUMBER(SEARCH("wagon_",Table1[[#This Row],[FILENAMES_EXPECTED]])),ISNUMBER(SEARCH("coach_",Table1[[#This Row],[FILENAMES_EXPECTED]])))</f>
        <v>0</v>
      </c>
      <c r="E20" t="str">
        <f>"item_"&amp;Table1[[#This Row],[VEHIDCODE]]</f>
        <v>item_rbd_Germany_OHE_520_GDT</v>
      </c>
      <c r="F20" t="str">
        <f>"str_"&amp;Table1[[#This Row],[VEHIDCODE]]</f>
        <v>str_rbd_Germany_OHE_520_GDT</v>
      </c>
      <c r="G20">
        <v>8</v>
      </c>
      <c r="H20" t="s">
        <v>18</v>
      </c>
      <c r="I20">
        <v>0</v>
      </c>
      <c r="J20" t="s">
        <v>35</v>
      </c>
      <c r="K20">
        <v>108</v>
      </c>
      <c r="L20">
        <v>1953</v>
      </c>
      <c r="M20">
        <v>8</v>
      </c>
      <c r="N20" s="2" t="s">
        <v>24</v>
      </c>
      <c r="O20" t="b">
        <v>1</v>
      </c>
      <c r="Q20" s="2"/>
      <c r="R20">
        <v>45</v>
      </c>
      <c r="S20">
        <v>1</v>
      </c>
      <c r="T20">
        <v>600</v>
      </c>
      <c r="U20" t="s">
        <v>711</v>
      </c>
      <c r="V20">
        <v>75</v>
      </c>
      <c r="W20" s="2">
        <v>0.25</v>
      </c>
      <c r="AF20" s="2" t="b">
        <v>1</v>
      </c>
      <c r="AX20"/>
      <c r="BA20" s="2"/>
      <c r="BB20" s="2" t="b">
        <f>LEN(_xlfn.CONCAT(Table1[[#This Row],[TRACK_TYPE_STANDARD_GAUGE_RAILTYPE_OHLE]:[TRACK_TYPE_MTRO]]))&gt;0</f>
        <v>1</v>
      </c>
      <c r="BC20" s="7">
        <v>15</v>
      </c>
      <c r="BD20" t="s">
        <v>923</v>
      </c>
      <c r="BE20" t="s">
        <v>922</v>
      </c>
      <c r="BF20" t="s">
        <v>940</v>
      </c>
      <c r="BG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">
        <v>-3</v>
      </c>
      <c r="BI20" t="s">
        <v>734</v>
      </c>
      <c r="BK20" s="11"/>
      <c r="BL20" s="11">
        <v>41</v>
      </c>
      <c r="BM20">
        <v>0</v>
      </c>
      <c r="BN20" t="s">
        <v>692</v>
      </c>
      <c r="BO20" t="s">
        <v>694</v>
      </c>
      <c r="BP20" t="s">
        <v>701</v>
      </c>
      <c r="BQ20" t="s">
        <v>705</v>
      </c>
      <c r="BR20" t="s">
        <v>706</v>
      </c>
      <c r="BS20" t="s">
        <v>707</v>
      </c>
    </row>
    <row r="21" spans="1:71" hidden="1" x14ac:dyDescent="0.4">
      <c r="A21" s="2" t="s">
        <v>44</v>
      </c>
      <c r="B21" t="str">
        <f>_xlfn.TEXTAFTER(Table1[[#This Row],[VEHIDCODE]],"_")</f>
        <v>Netherlands_NS_20_Kameel</v>
      </c>
      <c r="C21" t="s">
        <v>737</v>
      </c>
      <c r="D21" t="b">
        <f>OR(ISNUMBER(SEARCH("wagon_",Table1[[#This Row],[FILENAMES_EXPECTED]])),ISNUMBER(SEARCH("coach_",Table1[[#This Row],[FILENAMES_EXPECTED]])))</f>
        <v>0</v>
      </c>
      <c r="E21" t="str">
        <f>"item_"&amp;Table1[[#This Row],[VEHIDCODE]]</f>
        <v>item_rbd_Netherlands_NS_20_Kameel</v>
      </c>
      <c r="F21" t="str">
        <f>"str_"&amp;Table1[[#This Row],[VEHIDCODE]]</f>
        <v>str_rbd_Netherlands_NS_20_Kameel</v>
      </c>
      <c r="G21">
        <v>8</v>
      </c>
      <c r="H21" t="s">
        <v>18</v>
      </c>
      <c r="I21">
        <v>0</v>
      </c>
      <c r="J21" t="s">
        <v>35</v>
      </c>
      <c r="K21">
        <v>28</v>
      </c>
      <c r="L21">
        <v>1954</v>
      </c>
      <c r="M21">
        <v>8</v>
      </c>
      <c r="N21" s="2" t="s">
        <v>24</v>
      </c>
      <c r="O21" t="b">
        <v>1</v>
      </c>
      <c r="Q21" s="2"/>
      <c r="R21">
        <v>45</v>
      </c>
      <c r="S21">
        <v>1</v>
      </c>
      <c r="T21">
        <v>285</v>
      </c>
      <c r="U21" t="s">
        <v>711</v>
      </c>
      <c r="V21">
        <v>125</v>
      </c>
      <c r="W21" s="2">
        <v>0.12</v>
      </c>
      <c r="AF21" s="2" t="b">
        <v>1</v>
      </c>
      <c r="AX21"/>
      <c r="BA21" s="2"/>
      <c r="BB21" s="2" t="b">
        <f>LEN(_xlfn.CONCAT(Table1[[#This Row],[TRACK_TYPE_STANDARD_GAUGE_RAILTYPE_OHLE]:[TRACK_TYPE_MTRO]]))&gt;0</f>
        <v>1</v>
      </c>
      <c r="BC21" s="7">
        <v>15</v>
      </c>
      <c r="BD21" t="s">
        <v>923</v>
      </c>
      <c r="BE21" t="s">
        <v>922</v>
      </c>
      <c r="BF21" t="s">
        <v>940</v>
      </c>
      <c r="BG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">
        <v>-3</v>
      </c>
      <c r="BI21" t="s">
        <v>734</v>
      </c>
      <c r="BK21" s="11"/>
      <c r="BL21" s="11">
        <v>58</v>
      </c>
      <c r="BM21">
        <v>0</v>
      </c>
      <c r="BN21" t="s">
        <v>692</v>
      </c>
      <c r="BO21" t="s">
        <v>694</v>
      </c>
      <c r="BP21" t="s">
        <v>701</v>
      </c>
      <c r="BQ21" t="s">
        <v>705</v>
      </c>
      <c r="BR21" t="s">
        <v>706</v>
      </c>
      <c r="BS21" t="s">
        <v>707</v>
      </c>
    </row>
    <row r="22" spans="1:71" hidden="1" x14ac:dyDescent="0.4">
      <c r="A22" s="2" t="s">
        <v>45</v>
      </c>
      <c r="B22" t="str">
        <f>_xlfn.TEXTAFTER(Table1[[#This Row],[VEHIDCODE]],"_")</f>
        <v>Netherlands_NS_DH1</v>
      </c>
      <c r="C22" t="s">
        <v>737</v>
      </c>
      <c r="D22" t="b">
        <f>OR(ISNUMBER(SEARCH("wagon_",Table1[[#This Row],[FILENAMES_EXPECTED]])),ISNUMBER(SEARCH("coach_",Table1[[#This Row],[FILENAMES_EXPECTED]])))</f>
        <v>0</v>
      </c>
      <c r="E22" t="str">
        <f>"item_"&amp;Table1[[#This Row],[VEHIDCODE]]</f>
        <v>item_rbd_Netherlands_NS_DH1</v>
      </c>
      <c r="F22" t="str">
        <f>"str_"&amp;Table1[[#This Row],[VEHIDCODE]]</f>
        <v>str_rbd_Netherlands_NS_DH1</v>
      </c>
      <c r="G22">
        <v>8</v>
      </c>
      <c r="H22" t="s">
        <v>18</v>
      </c>
      <c r="I22">
        <v>0</v>
      </c>
      <c r="J22" t="s">
        <v>35</v>
      </c>
      <c r="K22">
        <v>56</v>
      </c>
      <c r="L22">
        <v>1984</v>
      </c>
      <c r="M22">
        <v>8</v>
      </c>
      <c r="N22" s="2" t="s">
        <v>24</v>
      </c>
      <c r="O22" t="b">
        <v>1</v>
      </c>
      <c r="Q22" s="2"/>
      <c r="R22">
        <v>45</v>
      </c>
      <c r="S22">
        <v>1</v>
      </c>
      <c r="T22">
        <v>285</v>
      </c>
      <c r="U22" t="s">
        <v>711</v>
      </c>
      <c r="V22">
        <v>100</v>
      </c>
      <c r="W22" s="2">
        <v>0.23</v>
      </c>
      <c r="AF22" s="2" t="b">
        <v>1</v>
      </c>
      <c r="AX22"/>
      <c r="BA22" s="2"/>
      <c r="BB22" s="2" t="b">
        <f>LEN(_xlfn.CONCAT(Table1[[#This Row],[TRACK_TYPE_STANDARD_GAUGE_RAILTYPE_OHLE]:[TRACK_TYPE_MTRO]]))&gt;0</f>
        <v>1</v>
      </c>
      <c r="BC22" s="7">
        <v>15</v>
      </c>
      <c r="BD22" t="s">
        <v>923</v>
      </c>
      <c r="BE22" t="s">
        <v>922</v>
      </c>
      <c r="BF22" t="s">
        <v>940</v>
      </c>
      <c r="BG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">
        <v>-3</v>
      </c>
      <c r="BI22" t="s">
        <v>734</v>
      </c>
      <c r="BK22" s="11"/>
      <c r="BL22" s="11">
        <v>37</v>
      </c>
      <c r="BM22">
        <v>0</v>
      </c>
      <c r="BN22" t="s">
        <v>692</v>
      </c>
      <c r="BO22" t="s">
        <v>694</v>
      </c>
      <c r="BP22" t="s">
        <v>701</v>
      </c>
      <c r="BQ22" t="s">
        <v>705</v>
      </c>
      <c r="BR22" t="s">
        <v>706</v>
      </c>
      <c r="BS22" t="s">
        <v>707</v>
      </c>
    </row>
    <row r="23" spans="1:71" hidden="1" x14ac:dyDescent="0.4">
      <c r="A23" s="2" t="s">
        <v>46</v>
      </c>
      <c r="B23" t="str">
        <f>_xlfn.TEXTAFTER(Table1[[#This Row],[VEHIDCODE]],"_")</f>
        <v>Austria_OBB_5047</v>
      </c>
      <c r="C23" t="s">
        <v>737</v>
      </c>
      <c r="D23" t="b">
        <f>OR(ISNUMBER(SEARCH("wagon_",Table1[[#This Row],[FILENAMES_EXPECTED]])),ISNUMBER(SEARCH("coach_",Table1[[#This Row],[FILENAMES_EXPECTED]])))</f>
        <v>0</v>
      </c>
      <c r="E23" t="str">
        <f>"item_"&amp;Table1[[#This Row],[VEHIDCODE]]</f>
        <v>item_rbd_Austria_OBB_5047</v>
      </c>
      <c r="F23" t="str">
        <f>"str_"&amp;Table1[[#This Row],[VEHIDCODE]]</f>
        <v>str_rbd_Austria_OBB_5047</v>
      </c>
      <c r="G23">
        <v>8</v>
      </c>
      <c r="H23" t="s">
        <v>18</v>
      </c>
      <c r="I23">
        <v>0</v>
      </c>
      <c r="J23" t="s">
        <v>35</v>
      </c>
      <c r="K23">
        <v>62</v>
      </c>
      <c r="L23">
        <v>1987</v>
      </c>
      <c r="M23">
        <v>8</v>
      </c>
      <c r="N23" s="2" t="s">
        <v>24</v>
      </c>
      <c r="O23" t="b">
        <v>1</v>
      </c>
      <c r="Q23" s="2"/>
      <c r="R23">
        <v>45</v>
      </c>
      <c r="S23">
        <v>1</v>
      </c>
      <c r="T23">
        <v>562</v>
      </c>
      <c r="U23" t="s">
        <v>711</v>
      </c>
      <c r="V23">
        <v>120</v>
      </c>
      <c r="W23" s="2">
        <v>0.11</v>
      </c>
      <c r="AF23" s="2" t="b">
        <v>1</v>
      </c>
      <c r="AX23"/>
      <c r="BA23" s="2"/>
      <c r="BB23" s="2" t="b">
        <f>LEN(_xlfn.CONCAT(Table1[[#This Row],[TRACK_TYPE_STANDARD_GAUGE_RAILTYPE_OHLE]:[TRACK_TYPE_MTRO]]))&gt;0</f>
        <v>1</v>
      </c>
      <c r="BC23" s="7">
        <v>15</v>
      </c>
      <c r="BD23" t="s">
        <v>923</v>
      </c>
      <c r="BE23" t="s">
        <v>922</v>
      </c>
      <c r="BF23" t="s">
        <v>940</v>
      </c>
      <c r="BG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">
        <v>-3</v>
      </c>
      <c r="BI23" t="s">
        <v>734</v>
      </c>
      <c r="BK23" s="11"/>
      <c r="BL23" s="11">
        <v>44</v>
      </c>
      <c r="BM23">
        <v>0</v>
      </c>
      <c r="BN23" t="s">
        <v>692</v>
      </c>
      <c r="BO23" t="s">
        <v>694</v>
      </c>
      <c r="BP23" t="s">
        <v>701</v>
      </c>
      <c r="BQ23" t="s">
        <v>705</v>
      </c>
      <c r="BR23" t="s">
        <v>706</v>
      </c>
      <c r="BS23" t="s">
        <v>707</v>
      </c>
    </row>
    <row r="24" spans="1:71" hidden="1" x14ac:dyDescent="0.4">
      <c r="A24" s="2" t="s">
        <v>47</v>
      </c>
      <c r="B24" t="str">
        <f>_xlfn.TEXTAFTER(Table1[[#This Row],[VEHIDCODE]],"_")</f>
        <v>United_Kingdom_BR_153_Super_Sprinter</v>
      </c>
      <c r="C24" t="s">
        <v>737</v>
      </c>
      <c r="D24" t="b">
        <f>OR(ISNUMBER(SEARCH("wagon_",Table1[[#This Row],[FILENAMES_EXPECTED]])),ISNUMBER(SEARCH("coach_",Table1[[#This Row],[FILENAMES_EXPECTED]])))</f>
        <v>0</v>
      </c>
      <c r="E24" t="str">
        <f>"item_"&amp;Table1[[#This Row],[VEHIDCODE]]</f>
        <v>item_rbd_United_Kingdom_BR_153_Super_Sprinter</v>
      </c>
      <c r="F24" t="str">
        <f>"str_"&amp;Table1[[#This Row],[VEHIDCODE]]</f>
        <v>str_rbd_United_Kingdom_BR_153_Super_Sprinter</v>
      </c>
      <c r="G24">
        <v>8</v>
      </c>
      <c r="H24" t="s">
        <v>18</v>
      </c>
      <c r="I24">
        <v>0</v>
      </c>
      <c r="J24" t="s">
        <v>35</v>
      </c>
      <c r="K24">
        <v>75</v>
      </c>
      <c r="L24">
        <v>1991</v>
      </c>
      <c r="M24">
        <v>8</v>
      </c>
      <c r="N24" s="2" t="s">
        <v>24</v>
      </c>
      <c r="O24" t="b">
        <v>1</v>
      </c>
      <c r="Q24" s="2"/>
      <c r="R24">
        <v>45</v>
      </c>
      <c r="S24">
        <v>1</v>
      </c>
      <c r="T24">
        <v>285</v>
      </c>
      <c r="U24" t="s">
        <v>711</v>
      </c>
      <c r="V24">
        <v>144</v>
      </c>
      <c r="W24" s="2">
        <v>0.1</v>
      </c>
      <c r="AF24" s="2" t="b">
        <v>1</v>
      </c>
      <c r="AX24"/>
      <c r="BA24" s="2"/>
      <c r="BB24" s="2" t="b">
        <f>LEN(_xlfn.CONCAT(Table1[[#This Row],[TRACK_TYPE_STANDARD_GAUGE_RAILTYPE_OHLE]:[TRACK_TYPE_MTRO]]))&gt;0</f>
        <v>1</v>
      </c>
      <c r="BC24" s="7">
        <v>15</v>
      </c>
      <c r="BD24" t="s">
        <v>927</v>
      </c>
      <c r="BE24" t="s">
        <v>922</v>
      </c>
      <c r="BF24" t="s">
        <v>940</v>
      </c>
      <c r="BG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">
        <v>-3</v>
      </c>
      <c r="BI24" t="s">
        <v>734</v>
      </c>
      <c r="BK24" s="11"/>
      <c r="BL24" s="11">
        <v>42</v>
      </c>
      <c r="BM24">
        <v>0</v>
      </c>
      <c r="BN24" t="s">
        <v>692</v>
      </c>
      <c r="BO24" t="s">
        <v>694</v>
      </c>
      <c r="BP24" t="s">
        <v>701</v>
      </c>
      <c r="BQ24" t="s">
        <v>705</v>
      </c>
      <c r="BR24" t="s">
        <v>706</v>
      </c>
      <c r="BS24" t="s">
        <v>707</v>
      </c>
    </row>
    <row r="25" spans="1:71" hidden="1" x14ac:dyDescent="0.4">
      <c r="A25" s="2" t="s">
        <v>48</v>
      </c>
      <c r="B25" t="str">
        <f>_xlfn.TEXTAFTER(Table1[[#This Row],[VEHIDCODE]],"_")</f>
        <v>Czech_Republic_CD_809</v>
      </c>
      <c r="C25" t="s">
        <v>737</v>
      </c>
      <c r="D25" t="b">
        <f>OR(ISNUMBER(SEARCH("wagon_",Table1[[#This Row],[FILENAMES_EXPECTED]])),ISNUMBER(SEARCH("coach_",Table1[[#This Row],[FILENAMES_EXPECTED]])))</f>
        <v>0</v>
      </c>
      <c r="E25" t="str">
        <f>"item_"&amp;Table1[[#This Row],[VEHIDCODE]]</f>
        <v>item_rbd_Czech_Republic_CD_809</v>
      </c>
      <c r="F25" t="str">
        <f>"str_"&amp;Table1[[#This Row],[VEHIDCODE]]</f>
        <v>str_rbd_Czech_Republic_CD_809</v>
      </c>
      <c r="G25">
        <v>7</v>
      </c>
      <c r="H25" t="s">
        <v>18</v>
      </c>
      <c r="I25">
        <v>0</v>
      </c>
      <c r="J25" t="s">
        <v>35</v>
      </c>
      <c r="K25">
        <v>55</v>
      </c>
      <c r="L25">
        <v>1996</v>
      </c>
      <c r="M25">
        <v>7</v>
      </c>
      <c r="N25" s="2" t="s">
        <v>24</v>
      </c>
      <c r="O25" t="b">
        <v>1</v>
      </c>
      <c r="Q25" s="2"/>
      <c r="R25" t="s">
        <v>21</v>
      </c>
      <c r="S25">
        <v>1</v>
      </c>
      <c r="T25">
        <v>210</v>
      </c>
      <c r="U25" t="s">
        <v>711</v>
      </c>
      <c r="V25">
        <v>80</v>
      </c>
      <c r="W25" s="2">
        <v>0.15</v>
      </c>
      <c r="AF25" s="2" t="b">
        <v>1</v>
      </c>
      <c r="AX25"/>
      <c r="BA25" s="2"/>
      <c r="BB25" s="2" t="b">
        <f>LEN(_xlfn.CONCAT(Table1[[#This Row],[TRACK_TYPE_STANDARD_GAUGE_RAILTYPE_OHLE]:[TRACK_TYPE_MTRO]]))&gt;0</f>
        <v>1</v>
      </c>
      <c r="BC25" s="7">
        <v>15</v>
      </c>
      <c r="BD25" t="s">
        <v>929</v>
      </c>
      <c r="BE25" t="s">
        <v>922</v>
      </c>
      <c r="BF25" t="s">
        <v>940</v>
      </c>
      <c r="BG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">
        <v>-3</v>
      </c>
      <c r="BI25" t="s">
        <v>734</v>
      </c>
      <c r="BK25" s="11"/>
      <c r="BL25" s="11">
        <v>20</v>
      </c>
      <c r="BM25">
        <v>0</v>
      </c>
      <c r="BN25" t="s">
        <v>692</v>
      </c>
      <c r="BO25" t="s">
        <v>694</v>
      </c>
      <c r="BP25" t="s">
        <v>701</v>
      </c>
      <c r="BQ25" t="s">
        <v>705</v>
      </c>
      <c r="BR25" t="s">
        <v>706</v>
      </c>
      <c r="BS25" t="s">
        <v>707</v>
      </c>
    </row>
    <row r="26" spans="1:71" hidden="1" x14ac:dyDescent="0.4">
      <c r="A26" s="2" t="s">
        <v>49</v>
      </c>
      <c r="B26" t="str">
        <f>_xlfn.TEXTAFTER(Table1[[#This Row],[VEHIDCODE]],"_")</f>
        <v>Germany_DB_670</v>
      </c>
      <c r="C26" t="s">
        <v>737</v>
      </c>
      <c r="D26" t="b">
        <f>OR(ISNUMBER(SEARCH("wagon_",Table1[[#This Row],[FILENAMES_EXPECTED]])),ISNUMBER(SEARCH("coach_",Table1[[#This Row],[FILENAMES_EXPECTED]])))</f>
        <v>0</v>
      </c>
      <c r="E26" t="str">
        <f>"item_"&amp;Table1[[#This Row],[VEHIDCODE]]</f>
        <v>item_rbd_Germany_DB_670</v>
      </c>
      <c r="F26" t="str">
        <f>"str_"&amp;Table1[[#This Row],[VEHIDCODE]]</f>
        <v>str_rbd_Germany_DB_670</v>
      </c>
      <c r="G26">
        <v>7</v>
      </c>
      <c r="H26" t="s">
        <v>18</v>
      </c>
      <c r="I26">
        <v>0</v>
      </c>
      <c r="J26" t="s">
        <v>35</v>
      </c>
      <c r="K26">
        <v>110</v>
      </c>
      <c r="L26">
        <v>1996</v>
      </c>
      <c r="M26">
        <v>7</v>
      </c>
      <c r="N26" s="2" t="s">
        <v>24</v>
      </c>
      <c r="O26" t="b">
        <v>1</v>
      </c>
      <c r="Q26" s="2"/>
      <c r="R26" t="s">
        <v>21</v>
      </c>
      <c r="S26">
        <v>1</v>
      </c>
      <c r="T26">
        <v>335</v>
      </c>
      <c r="U26" t="s">
        <v>711</v>
      </c>
      <c r="V26">
        <v>100</v>
      </c>
      <c r="W26" s="2">
        <v>0.21</v>
      </c>
      <c r="AF26" s="2" t="b">
        <v>1</v>
      </c>
      <c r="AX26"/>
      <c r="BA26" s="2"/>
      <c r="BB26" s="2" t="b">
        <f>LEN(_xlfn.CONCAT(Table1[[#This Row],[TRACK_TYPE_STANDARD_GAUGE_RAILTYPE_OHLE]:[TRACK_TYPE_MTRO]]))&gt;0</f>
        <v>1</v>
      </c>
      <c r="BC26" s="7">
        <v>15</v>
      </c>
      <c r="BD26" t="s">
        <v>923</v>
      </c>
      <c r="BE26" t="s">
        <v>922</v>
      </c>
      <c r="BF26" t="s">
        <v>940</v>
      </c>
      <c r="BG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">
        <v>-3</v>
      </c>
      <c r="BI26" t="s">
        <v>734</v>
      </c>
      <c r="BK26" s="11"/>
      <c r="BL26" s="11">
        <v>34</v>
      </c>
      <c r="BM26">
        <v>0</v>
      </c>
      <c r="BN26" t="s">
        <v>692</v>
      </c>
      <c r="BO26" t="s">
        <v>694</v>
      </c>
      <c r="BP26" t="s">
        <v>701</v>
      </c>
      <c r="BQ26" t="s">
        <v>705</v>
      </c>
      <c r="BR26" t="s">
        <v>706</v>
      </c>
      <c r="BS26" t="s">
        <v>707</v>
      </c>
    </row>
    <row r="27" spans="1:71" hidden="1" x14ac:dyDescent="0.4">
      <c r="A27" s="2" t="s">
        <v>50</v>
      </c>
      <c r="B27" t="str">
        <f>_xlfn.TEXTAFTER(Table1[[#This Row],[VEHIDCODE]],"_")</f>
        <v>Lithuania_Lithuanian_Railways_AR2</v>
      </c>
      <c r="C27" t="s">
        <v>737</v>
      </c>
      <c r="D27" t="b">
        <f>OR(ISNUMBER(SEARCH("wagon_",Table1[[#This Row],[FILENAMES_EXPECTED]])),ISNUMBER(SEARCH("coach_",Table1[[#This Row],[FILENAMES_EXPECTED]])))</f>
        <v>0</v>
      </c>
      <c r="E27" t="str">
        <f>"item_"&amp;Table1[[#This Row],[VEHIDCODE]]</f>
        <v>item_rbd_Lithuania_Lithuanian_Railways_AR2</v>
      </c>
      <c r="F27" t="str">
        <f>"str_"&amp;Table1[[#This Row],[VEHIDCODE]]</f>
        <v>str_rbd_Lithuania_Lithuanian_Railways_AR2</v>
      </c>
      <c r="G27">
        <v>8</v>
      </c>
      <c r="H27" t="s">
        <v>18</v>
      </c>
      <c r="I27">
        <v>0</v>
      </c>
      <c r="J27" t="s">
        <v>35</v>
      </c>
      <c r="K27">
        <v>73</v>
      </c>
      <c r="L27">
        <v>1997</v>
      </c>
      <c r="M27">
        <v>8</v>
      </c>
      <c r="N27" s="2" t="s">
        <v>24</v>
      </c>
      <c r="O27" t="b">
        <v>1</v>
      </c>
      <c r="Q27" s="2"/>
      <c r="R27" t="s">
        <v>21</v>
      </c>
      <c r="S27">
        <v>1</v>
      </c>
      <c r="T27">
        <v>400</v>
      </c>
      <c r="U27" t="s">
        <v>711</v>
      </c>
      <c r="V27">
        <v>120</v>
      </c>
      <c r="W27" s="2">
        <v>0.12</v>
      </c>
      <c r="AF27" s="2" t="b">
        <v>1</v>
      </c>
      <c r="AX27"/>
      <c r="BA27" s="2"/>
      <c r="BB27" s="2" t="b">
        <f>LEN(_xlfn.CONCAT(Table1[[#This Row],[TRACK_TYPE_STANDARD_GAUGE_RAILTYPE_OHLE]:[TRACK_TYPE_MTRO]]))&gt;0</f>
        <v>1</v>
      </c>
      <c r="BC27" s="7">
        <v>15</v>
      </c>
      <c r="BD27" t="s">
        <v>927</v>
      </c>
      <c r="BE27" t="s">
        <v>922</v>
      </c>
      <c r="BF27" t="s">
        <v>940</v>
      </c>
      <c r="BG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">
        <v>-3</v>
      </c>
      <c r="BI27" t="s">
        <v>734</v>
      </c>
      <c r="BK27" s="11"/>
      <c r="BL27" s="11">
        <v>32</v>
      </c>
      <c r="BM27">
        <v>0</v>
      </c>
      <c r="BN27" t="s">
        <v>692</v>
      </c>
      <c r="BO27" t="s">
        <v>694</v>
      </c>
      <c r="BP27" t="s">
        <v>701</v>
      </c>
      <c r="BQ27" t="s">
        <v>705</v>
      </c>
      <c r="BR27" t="s">
        <v>706</v>
      </c>
      <c r="BS27" t="s">
        <v>707</v>
      </c>
    </row>
    <row r="28" spans="1:71" hidden="1" x14ac:dyDescent="0.4">
      <c r="A28" s="2" t="s">
        <v>51</v>
      </c>
      <c r="B28" t="str">
        <f>_xlfn.TEXTAFTER(Table1[[#This Row],[VEHIDCODE]],"_")</f>
        <v>Austria_kkStB_19</v>
      </c>
      <c r="C28" t="s">
        <v>737</v>
      </c>
      <c r="D28" t="b">
        <f>OR(ISNUMBER(SEARCH("wagon_",Table1[[#This Row],[FILENAMES_EXPECTED]])),ISNUMBER(SEARCH("coach_",Table1[[#This Row],[FILENAMES_EXPECTED]])))</f>
        <v>0</v>
      </c>
      <c r="E28" t="str">
        <f>"item_"&amp;Table1[[#This Row],[VEHIDCODE]]</f>
        <v>item_rbd_Austria_kkStB_19</v>
      </c>
      <c r="F28" t="str">
        <f>"str_"&amp;Table1[[#This Row],[VEHIDCODE]]</f>
        <v>str_rbd_Austria_kkStB_19</v>
      </c>
      <c r="G28">
        <v>4</v>
      </c>
      <c r="H28" t="s">
        <v>18</v>
      </c>
      <c r="I28">
        <v>0</v>
      </c>
      <c r="J28" t="s">
        <v>35</v>
      </c>
      <c r="K28">
        <v>16</v>
      </c>
      <c r="L28">
        <v>1902</v>
      </c>
      <c r="M28">
        <v>4</v>
      </c>
      <c r="N28" s="2" t="s">
        <v>24</v>
      </c>
      <c r="O28" t="b">
        <v>1</v>
      </c>
      <c r="Q28" s="2"/>
      <c r="R28">
        <v>45</v>
      </c>
      <c r="S28">
        <v>1</v>
      </c>
      <c r="T28">
        <v>55</v>
      </c>
      <c r="U28" t="s">
        <v>711</v>
      </c>
      <c r="V28">
        <v>35</v>
      </c>
      <c r="W28" s="2">
        <v>0.34</v>
      </c>
      <c r="AF28" s="2" t="b">
        <v>1</v>
      </c>
      <c r="AX28"/>
      <c r="BA28" s="2"/>
      <c r="BB28" s="2" t="b">
        <f>LEN(_xlfn.CONCAT(Table1[[#This Row],[TRACK_TYPE_STANDARD_GAUGE_RAILTYPE_OHLE]:[TRACK_TYPE_MTRO]]))&gt;0</f>
        <v>1</v>
      </c>
      <c r="BC28" s="7">
        <v>15</v>
      </c>
      <c r="BD28" t="s">
        <v>923</v>
      </c>
      <c r="BE28" t="s">
        <v>922</v>
      </c>
      <c r="BF28" t="s">
        <v>940</v>
      </c>
      <c r="BG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">
        <v>0</v>
      </c>
      <c r="BI28" t="s">
        <v>734</v>
      </c>
      <c r="BK28" s="11"/>
      <c r="BL28" s="11">
        <v>13</v>
      </c>
      <c r="BM28">
        <v>0</v>
      </c>
      <c r="BN28" t="s">
        <v>692</v>
      </c>
      <c r="BO28" t="s">
        <v>694</v>
      </c>
      <c r="BP28" t="s">
        <v>701</v>
      </c>
      <c r="BQ28" t="s">
        <v>705</v>
      </c>
      <c r="BR28" t="s">
        <v>706</v>
      </c>
      <c r="BS28" t="s">
        <v>707</v>
      </c>
    </row>
    <row r="29" spans="1:71" hidden="1" x14ac:dyDescent="0.4">
      <c r="A29" s="2" t="s">
        <v>52</v>
      </c>
      <c r="B29" t="str">
        <f>_xlfn.TEXTAFTER(Table1[[#This Row],[VEHIDCODE]],"_")</f>
        <v>USA_Virginia_Truckee_Motor_Car_22</v>
      </c>
      <c r="C29" t="s">
        <v>737</v>
      </c>
      <c r="D29" t="b">
        <f>OR(ISNUMBER(SEARCH("wagon_",Table1[[#This Row],[FILENAMES_EXPECTED]])),ISNUMBER(SEARCH("coach_",Table1[[#This Row],[FILENAMES_EXPECTED]])))</f>
        <v>0</v>
      </c>
      <c r="E29" t="str">
        <f>"item_"&amp;Table1[[#This Row],[VEHIDCODE]]</f>
        <v>item_rbd_USA_Virginia_Truckee_Motor_Car_22</v>
      </c>
      <c r="F29" t="str">
        <f>"str_"&amp;Table1[[#This Row],[VEHIDCODE]]</f>
        <v>str_rbd_USA_Virginia_Truckee_Motor_Car_22</v>
      </c>
      <c r="G29">
        <v>8</v>
      </c>
      <c r="H29" t="s">
        <v>18</v>
      </c>
      <c r="I29">
        <v>0</v>
      </c>
      <c r="J29" t="s">
        <v>35</v>
      </c>
      <c r="K29">
        <v>84</v>
      </c>
      <c r="L29">
        <v>1909</v>
      </c>
      <c r="M29">
        <v>8</v>
      </c>
      <c r="N29" s="2" t="s">
        <v>24</v>
      </c>
      <c r="O29" t="b">
        <v>1</v>
      </c>
      <c r="Q29" s="2"/>
      <c r="R29">
        <v>45</v>
      </c>
      <c r="S29">
        <v>1</v>
      </c>
      <c r="T29">
        <v>200</v>
      </c>
      <c r="U29" t="s">
        <v>711</v>
      </c>
      <c r="V29">
        <v>52</v>
      </c>
      <c r="W29" s="2">
        <v>0.34</v>
      </c>
      <c r="AF29" s="2" t="b">
        <v>1</v>
      </c>
      <c r="AX29"/>
      <c r="BA29" s="2"/>
      <c r="BB29" s="2" t="b">
        <f>LEN(_xlfn.CONCAT(Table1[[#This Row],[TRACK_TYPE_STANDARD_GAUGE_RAILTYPE_OHLE]:[TRACK_TYPE_MTRO]]))&gt;0</f>
        <v>1</v>
      </c>
      <c r="BC29" s="7">
        <v>15</v>
      </c>
      <c r="BD29" t="s">
        <v>928</v>
      </c>
      <c r="BE29" t="s">
        <v>922</v>
      </c>
      <c r="BF29" t="s">
        <v>940</v>
      </c>
      <c r="BG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">
        <v>0</v>
      </c>
      <c r="BI29" t="s">
        <v>734</v>
      </c>
      <c r="BK29" s="11"/>
      <c r="BL29" s="11">
        <v>30</v>
      </c>
      <c r="BM29">
        <v>0</v>
      </c>
      <c r="BN29" t="s">
        <v>692</v>
      </c>
      <c r="BO29" t="s">
        <v>694</v>
      </c>
      <c r="BP29" t="s">
        <v>701</v>
      </c>
      <c r="BQ29" t="s">
        <v>705</v>
      </c>
      <c r="BR29" t="s">
        <v>706</v>
      </c>
      <c r="BS29" t="s">
        <v>707</v>
      </c>
    </row>
    <row r="30" spans="1:71" hidden="1" x14ac:dyDescent="0.4">
      <c r="A30" s="2" t="s">
        <v>53</v>
      </c>
      <c r="B30" t="str">
        <f>_xlfn.TEXTAFTER(Table1[[#This Row],[VEHIDCODE]],"_")</f>
        <v>Germany_Saxon_DET_1_2</v>
      </c>
      <c r="C30" t="s">
        <v>737</v>
      </c>
      <c r="D30" t="b">
        <f>OR(ISNUMBER(SEARCH("wagon_",Table1[[#This Row],[FILENAMES_EXPECTED]])),ISNUMBER(SEARCH("coach_",Table1[[#This Row],[FILENAMES_EXPECTED]])))</f>
        <v>0</v>
      </c>
      <c r="E30" t="str">
        <f>"item_"&amp;Table1[[#This Row],[VEHIDCODE]]</f>
        <v>item_rbd_Germany_Saxon_DET_1_2</v>
      </c>
      <c r="F30" t="str">
        <f>"str_"&amp;Table1[[#This Row],[VEHIDCODE]]</f>
        <v>str_rbd_Germany_Saxon_DET_1_2</v>
      </c>
      <c r="G30">
        <v>4</v>
      </c>
      <c r="H30" t="s">
        <v>18</v>
      </c>
      <c r="I30">
        <v>0</v>
      </c>
      <c r="J30" t="s">
        <v>35</v>
      </c>
      <c r="K30">
        <v>69</v>
      </c>
      <c r="L30">
        <v>1914</v>
      </c>
      <c r="M30">
        <v>8</v>
      </c>
      <c r="N30" s="2" t="s">
        <v>24</v>
      </c>
      <c r="O30" t="b">
        <v>1</v>
      </c>
      <c r="Q30" s="2"/>
      <c r="R30">
        <v>45</v>
      </c>
      <c r="S30">
        <v>1</v>
      </c>
      <c r="T30">
        <v>200</v>
      </c>
      <c r="U30" t="s">
        <v>711</v>
      </c>
      <c r="V30">
        <v>70</v>
      </c>
      <c r="W30" s="2">
        <v>0.34</v>
      </c>
      <c r="AF30" s="2" t="b">
        <v>1</v>
      </c>
      <c r="AX30"/>
      <c r="BA30" s="2"/>
      <c r="BB30" s="2" t="b">
        <f>LEN(_xlfn.CONCAT(Table1[[#This Row],[TRACK_TYPE_STANDARD_GAUGE_RAILTYPE_OHLE]:[TRACK_TYPE_MTRO]]))&gt;0</f>
        <v>1</v>
      </c>
      <c r="BC30" s="7">
        <v>15</v>
      </c>
      <c r="BD30" t="s">
        <v>923</v>
      </c>
      <c r="BE30" t="s">
        <v>922</v>
      </c>
      <c r="BF30" t="s">
        <v>940</v>
      </c>
      <c r="BG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0">
        <v>0</v>
      </c>
      <c r="BI30" t="s">
        <v>734</v>
      </c>
      <c r="BK30" s="11"/>
      <c r="BL30" s="11">
        <v>64</v>
      </c>
      <c r="BM30">
        <v>0</v>
      </c>
      <c r="BN30" t="s">
        <v>692</v>
      </c>
      <c r="BO30" t="s">
        <v>694</v>
      </c>
      <c r="BP30" t="s">
        <v>701</v>
      </c>
      <c r="BQ30" t="s">
        <v>705</v>
      </c>
      <c r="BR30" t="s">
        <v>706</v>
      </c>
      <c r="BS30" t="s">
        <v>707</v>
      </c>
    </row>
    <row r="31" spans="1:71" hidden="1" x14ac:dyDescent="0.4">
      <c r="A31" s="2" t="s">
        <v>54</v>
      </c>
      <c r="B31" t="str">
        <f>_xlfn.TEXTAFTER(Table1[[#This Row],[VEHIDCODE]],"_")</f>
        <v>UK_WC_PR_Drewry_Railcar</v>
      </c>
      <c r="C31" t="s">
        <v>737</v>
      </c>
      <c r="D31" t="b">
        <f>OR(ISNUMBER(SEARCH("wagon_",Table1[[#This Row],[FILENAMES_EXPECTED]])),ISNUMBER(SEARCH("coach_",Table1[[#This Row],[FILENAMES_EXPECTED]])))</f>
        <v>0</v>
      </c>
      <c r="E31" t="str">
        <f>"item_"&amp;Table1[[#This Row],[VEHIDCODE]]</f>
        <v>item_rbd_UK_WC_PR_Drewry_Railcar</v>
      </c>
      <c r="F31" t="str">
        <f>"str_"&amp;Table1[[#This Row],[VEHIDCODE]]</f>
        <v>str_rbd_UK_WC_PR_Drewry_Railcar</v>
      </c>
      <c r="G31">
        <v>4</v>
      </c>
      <c r="H31" t="s">
        <v>18</v>
      </c>
      <c r="I31">
        <v>0</v>
      </c>
      <c r="J31" t="s">
        <v>35</v>
      </c>
      <c r="K31">
        <v>30</v>
      </c>
      <c r="L31">
        <v>1921</v>
      </c>
      <c r="M31">
        <v>4</v>
      </c>
      <c r="N31" s="2" t="s">
        <v>24</v>
      </c>
      <c r="O31" t="b">
        <v>1</v>
      </c>
      <c r="Q31" s="2"/>
      <c r="R31">
        <v>45</v>
      </c>
      <c r="S31">
        <v>1</v>
      </c>
      <c r="T31">
        <v>35</v>
      </c>
      <c r="U31" t="s">
        <v>711</v>
      </c>
      <c r="V31">
        <v>40</v>
      </c>
      <c r="W31" s="2">
        <v>0.21</v>
      </c>
      <c r="AF31" s="2" t="b">
        <v>1</v>
      </c>
      <c r="AX31"/>
      <c r="BA31" s="2"/>
      <c r="BB31" s="2" t="b">
        <f>LEN(_xlfn.CONCAT(Table1[[#This Row],[TRACK_TYPE_STANDARD_GAUGE_RAILTYPE_OHLE]:[TRACK_TYPE_MTRO]]))&gt;0</f>
        <v>1</v>
      </c>
      <c r="BC31" s="7">
        <v>15</v>
      </c>
      <c r="BD31" t="s">
        <v>927</v>
      </c>
      <c r="BE31" t="s">
        <v>922</v>
      </c>
      <c r="BF31" t="s">
        <v>940</v>
      </c>
      <c r="BG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1">
        <v>0</v>
      </c>
      <c r="BI31" t="s">
        <v>734</v>
      </c>
      <c r="BK31" s="11"/>
      <c r="BL31" s="11">
        <v>10</v>
      </c>
      <c r="BM31">
        <v>0</v>
      </c>
      <c r="BN31" t="s">
        <v>692</v>
      </c>
      <c r="BO31" t="s">
        <v>694</v>
      </c>
      <c r="BP31" t="s">
        <v>701</v>
      </c>
      <c r="BQ31" t="s">
        <v>705</v>
      </c>
      <c r="BR31" t="s">
        <v>706</v>
      </c>
      <c r="BS31" t="s">
        <v>707</v>
      </c>
    </row>
    <row r="32" spans="1:71" hidden="1" x14ac:dyDescent="0.4">
      <c r="A32" s="2" t="s">
        <v>55</v>
      </c>
      <c r="B32" t="str">
        <f>_xlfn.TEXTAFTER(Table1[[#This Row],[VEHIDCODE]],"_")</f>
        <v>Germany_BSt_6001</v>
      </c>
      <c r="C32" t="s">
        <v>737</v>
      </c>
      <c r="D32" t="b">
        <f>OR(ISNUMBER(SEARCH("wagon_",Table1[[#This Row],[FILENAMES_EXPECTED]])),ISNUMBER(SEARCH("coach_",Table1[[#This Row],[FILENAMES_EXPECTED]])))</f>
        <v>0</v>
      </c>
      <c r="E32" t="str">
        <f>"item_"&amp;Table1[[#This Row],[VEHIDCODE]]</f>
        <v>item_rbd_Germany_BSt_6001</v>
      </c>
      <c r="F32" t="str">
        <f>"str_"&amp;Table1[[#This Row],[VEHIDCODE]]</f>
        <v>str_rbd_Germany_BSt_6001</v>
      </c>
      <c r="G32">
        <v>5</v>
      </c>
      <c r="H32" t="s">
        <v>18</v>
      </c>
      <c r="I32">
        <v>0</v>
      </c>
      <c r="J32" t="s">
        <v>35</v>
      </c>
      <c r="K32">
        <v>18</v>
      </c>
      <c r="L32">
        <v>1922</v>
      </c>
      <c r="M32">
        <v>5</v>
      </c>
      <c r="N32" s="2" t="s">
        <v>24</v>
      </c>
      <c r="O32" t="b">
        <v>1</v>
      </c>
      <c r="Q32" s="2"/>
      <c r="R32">
        <v>45</v>
      </c>
      <c r="S32">
        <v>1</v>
      </c>
      <c r="T32">
        <v>75</v>
      </c>
      <c r="U32" t="s">
        <v>711</v>
      </c>
      <c r="V32">
        <v>40</v>
      </c>
      <c r="W32" s="2">
        <v>0.34</v>
      </c>
      <c r="AF32" s="2" t="b">
        <v>1</v>
      </c>
      <c r="AX32"/>
      <c r="BA32" s="2"/>
      <c r="BB32" s="2" t="b">
        <f>LEN(_xlfn.CONCAT(Table1[[#This Row],[TRACK_TYPE_STANDARD_GAUGE_RAILTYPE_OHLE]:[TRACK_TYPE_MTRO]]))&gt;0</f>
        <v>1</v>
      </c>
      <c r="BC32" s="7">
        <v>15</v>
      </c>
      <c r="BD32" t="s">
        <v>923</v>
      </c>
      <c r="BE32" t="s">
        <v>922</v>
      </c>
      <c r="BF32" t="s">
        <v>940</v>
      </c>
      <c r="BG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2">
        <v>0</v>
      </c>
      <c r="BI32" t="s">
        <v>734</v>
      </c>
      <c r="BK32" s="11"/>
      <c r="BL32" s="11">
        <v>11</v>
      </c>
      <c r="BM32">
        <v>0</v>
      </c>
      <c r="BN32" t="s">
        <v>692</v>
      </c>
      <c r="BO32" t="s">
        <v>694</v>
      </c>
      <c r="BP32" t="s">
        <v>701</v>
      </c>
      <c r="BQ32" t="s">
        <v>705</v>
      </c>
      <c r="BR32" t="s">
        <v>706</v>
      </c>
      <c r="BS32" t="s">
        <v>707</v>
      </c>
    </row>
    <row r="33" spans="1:71" hidden="1" x14ac:dyDescent="0.4">
      <c r="A33" s="2" t="s">
        <v>56</v>
      </c>
      <c r="B33" t="str">
        <f>_xlfn.TEXTAFTER(Table1[[#This Row],[VEHIDCODE]],"_")</f>
        <v>Australia_Victorian_Railways_DERM</v>
      </c>
      <c r="C33" t="s">
        <v>737</v>
      </c>
      <c r="D33" t="b">
        <f>OR(ISNUMBER(SEARCH("wagon_",Table1[[#This Row],[FILENAMES_EXPECTED]])),ISNUMBER(SEARCH("coach_",Table1[[#This Row],[FILENAMES_EXPECTED]])))</f>
        <v>0</v>
      </c>
      <c r="E33" t="str">
        <f>"item_"&amp;Table1[[#This Row],[VEHIDCODE]]</f>
        <v>item_rbd_Australia_Victorian_Railways_DERM</v>
      </c>
      <c r="F33" t="str">
        <f>"str_"&amp;Table1[[#This Row],[VEHIDCODE]]</f>
        <v>str_rbd_Australia_Victorian_Railways_DERM</v>
      </c>
      <c r="G33">
        <v>7</v>
      </c>
      <c r="H33" t="s">
        <v>18</v>
      </c>
      <c r="I33">
        <v>0</v>
      </c>
      <c r="J33" t="s">
        <v>35</v>
      </c>
      <c r="K33">
        <v>40</v>
      </c>
      <c r="L33">
        <v>1928</v>
      </c>
      <c r="M33">
        <v>7</v>
      </c>
      <c r="N33" s="2" t="s">
        <v>24</v>
      </c>
      <c r="O33" t="b">
        <v>1</v>
      </c>
      <c r="Q33" s="2"/>
      <c r="R33">
        <v>45</v>
      </c>
      <c r="S33">
        <v>1</v>
      </c>
      <c r="T33">
        <v>255</v>
      </c>
      <c r="U33" t="s">
        <v>711</v>
      </c>
      <c r="V33">
        <v>60</v>
      </c>
      <c r="W33" s="2">
        <v>0.34</v>
      </c>
      <c r="AF33" s="2" t="b">
        <v>1</v>
      </c>
      <c r="AX33"/>
      <c r="BA33" s="2"/>
      <c r="BB33" s="2" t="b">
        <f>LEN(_xlfn.CONCAT(Table1[[#This Row],[TRACK_TYPE_STANDARD_GAUGE_RAILTYPE_OHLE]:[TRACK_TYPE_MTRO]]))&gt;0</f>
        <v>1</v>
      </c>
      <c r="BC33" s="7">
        <v>15</v>
      </c>
      <c r="BD33" t="s">
        <v>925</v>
      </c>
      <c r="BE33" t="s">
        <v>922</v>
      </c>
      <c r="BF33" t="s">
        <v>940</v>
      </c>
      <c r="BG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3">
        <v>0</v>
      </c>
      <c r="BI33" t="s">
        <v>734</v>
      </c>
      <c r="BK33" s="11"/>
      <c r="BL33" s="11">
        <v>34</v>
      </c>
      <c r="BM33">
        <v>0</v>
      </c>
      <c r="BN33" t="s">
        <v>692</v>
      </c>
      <c r="BO33" t="s">
        <v>694</v>
      </c>
      <c r="BP33" t="s">
        <v>701</v>
      </c>
      <c r="BQ33" t="s">
        <v>705</v>
      </c>
      <c r="BR33" t="s">
        <v>706</v>
      </c>
      <c r="BS33" t="s">
        <v>707</v>
      </c>
    </row>
    <row r="34" spans="1:71" hidden="1" x14ac:dyDescent="0.4">
      <c r="A34" s="2" t="s">
        <v>57</v>
      </c>
      <c r="B34" t="str">
        <f>_xlfn.TEXTAFTER(Table1[[#This Row],[VEHIDCODE]],"_")</f>
        <v>Czech_Republic_CD_M120</v>
      </c>
      <c r="C34" t="s">
        <v>737</v>
      </c>
      <c r="D34" t="b">
        <f>OR(ISNUMBER(SEARCH("wagon_",Table1[[#This Row],[FILENAMES_EXPECTED]])),ISNUMBER(SEARCH("coach_",Table1[[#This Row],[FILENAMES_EXPECTED]])))</f>
        <v>0</v>
      </c>
      <c r="E34" t="str">
        <f>"item_"&amp;Table1[[#This Row],[VEHIDCODE]]</f>
        <v>item_rbd_Czech_Republic_CD_M120</v>
      </c>
      <c r="F34" t="str">
        <f>"str_"&amp;Table1[[#This Row],[VEHIDCODE]]</f>
        <v>str_rbd_Czech_Republic_CD_M120</v>
      </c>
      <c r="G34">
        <v>5</v>
      </c>
      <c r="H34" t="s">
        <v>18</v>
      </c>
      <c r="I34">
        <v>0</v>
      </c>
      <c r="J34" t="s">
        <v>35</v>
      </c>
      <c r="K34">
        <v>38</v>
      </c>
      <c r="L34">
        <v>1930</v>
      </c>
      <c r="M34">
        <v>5</v>
      </c>
      <c r="N34" s="2" t="s">
        <v>24</v>
      </c>
      <c r="O34" t="b">
        <v>1</v>
      </c>
      <c r="Q34" s="2"/>
      <c r="R34">
        <v>45</v>
      </c>
      <c r="S34">
        <v>1</v>
      </c>
      <c r="T34">
        <v>120</v>
      </c>
      <c r="U34" t="s">
        <v>711</v>
      </c>
      <c r="V34">
        <v>60</v>
      </c>
      <c r="W34" s="2">
        <v>0.35</v>
      </c>
      <c r="AF34" s="2" t="b">
        <v>1</v>
      </c>
      <c r="AX34"/>
      <c r="BA34" s="2"/>
      <c r="BB34" s="2" t="b">
        <f>LEN(_xlfn.CONCAT(Table1[[#This Row],[TRACK_TYPE_STANDARD_GAUGE_RAILTYPE_OHLE]:[TRACK_TYPE_MTRO]]))&gt;0</f>
        <v>1</v>
      </c>
      <c r="BC34" s="7">
        <v>15</v>
      </c>
      <c r="BD34" t="s">
        <v>929</v>
      </c>
      <c r="BE34" t="s">
        <v>922</v>
      </c>
      <c r="BF34" t="s">
        <v>940</v>
      </c>
      <c r="BG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4">
        <v>0</v>
      </c>
      <c r="BI34" t="s">
        <v>734</v>
      </c>
      <c r="BK34" s="11"/>
      <c r="BL34" s="11">
        <v>13</v>
      </c>
      <c r="BM34">
        <v>0</v>
      </c>
      <c r="BN34" t="s">
        <v>692</v>
      </c>
      <c r="BO34" t="s">
        <v>694</v>
      </c>
      <c r="BP34" t="s">
        <v>701</v>
      </c>
      <c r="BQ34" t="s">
        <v>705</v>
      </c>
      <c r="BR34" t="s">
        <v>706</v>
      </c>
      <c r="BS34" t="s">
        <v>707</v>
      </c>
    </row>
    <row r="35" spans="1:71" hidden="1" x14ac:dyDescent="0.4">
      <c r="A35" s="2" t="s">
        <v>58</v>
      </c>
      <c r="B35" t="str">
        <f>_xlfn.TEXTAFTER(Table1[[#This Row],[VEHIDCODE]],"_")</f>
        <v>Germany_Schienenzeppelin</v>
      </c>
      <c r="C35" t="s">
        <v>737</v>
      </c>
      <c r="D35" t="b">
        <f>OR(ISNUMBER(SEARCH("wagon_",Table1[[#This Row],[FILENAMES_EXPECTED]])),ISNUMBER(SEARCH("coach_",Table1[[#This Row],[FILENAMES_EXPECTED]])))</f>
        <v>0</v>
      </c>
      <c r="E35" t="str">
        <f>"item_"&amp;Table1[[#This Row],[VEHIDCODE]]</f>
        <v>item_rbd_Germany_Schienenzeppelin</v>
      </c>
      <c r="F35" t="str">
        <f>"str_"&amp;Table1[[#This Row],[VEHIDCODE]]</f>
        <v>str_rbd_Germany_Schienenzeppelin</v>
      </c>
      <c r="G35">
        <v>8</v>
      </c>
      <c r="H35" t="s">
        <v>18</v>
      </c>
      <c r="I35">
        <v>0</v>
      </c>
      <c r="J35" t="s">
        <v>35</v>
      </c>
      <c r="K35">
        <v>40</v>
      </c>
      <c r="L35">
        <v>1930</v>
      </c>
      <c r="M35">
        <v>8</v>
      </c>
      <c r="N35" s="2" t="s">
        <v>24</v>
      </c>
      <c r="O35" t="b">
        <v>1</v>
      </c>
      <c r="Q35" s="2"/>
      <c r="R35">
        <v>45</v>
      </c>
      <c r="S35">
        <v>1</v>
      </c>
      <c r="T35">
        <v>600</v>
      </c>
      <c r="U35" t="s">
        <v>711</v>
      </c>
      <c r="V35">
        <v>230</v>
      </c>
      <c r="W35" s="2">
        <v>0.39</v>
      </c>
      <c r="AF35" s="2" t="b">
        <v>1</v>
      </c>
      <c r="AX35"/>
      <c r="BA35" s="2"/>
      <c r="BB35" s="2" t="b">
        <f>LEN(_xlfn.CONCAT(Table1[[#This Row],[TRACK_TYPE_STANDARD_GAUGE_RAILTYPE_OHLE]:[TRACK_TYPE_MTRO]]))&gt;0</f>
        <v>1</v>
      </c>
      <c r="BC35" s="7">
        <v>15</v>
      </c>
      <c r="BD35" t="s">
        <v>923</v>
      </c>
      <c r="BE35" t="s">
        <v>922</v>
      </c>
      <c r="BF35" t="s">
        <v>940</v>
      </c>
      <c r="BG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5">
        <v>0</v>
      </c>
      <c r="BI35" t="s">
        <v>734</v>
      </c>
      <c r="BK35" s="11"/>
      <c r="BL35" s="11">
        <v>20</v>
      </c>
      <c r="BM35">
        <v>0</v>
      </c>
      <c r="BN35" t="s">
        <v>692</v>
      </c>
      <c r="BO35" t="s">
        <v>694</v>
      </c>
      <c r="BP35" t="s">
        <v>701</v>
      </c>
      <c r="BQ35" t="s">
        <v>705</v>
      </c>
      <c r="BR35" t="s">
        <v>706</v>
      </c>
      <c r="BS35" t="s">
        <v>707</v>
      </c>
    </row>
    <row r="36" spans="1:71" hidden="1" x14ac:dyDescent="0.4">
      <c r="A36" s="2" t="s">
        <v>59</v>
      </c>
      <c r="B36" t="str">
        <f>_xlfn.TEXTAFTER(Table1[[#This Row],[VEHIDCODE]],"_")</f>
        <v>Denmark_DSB_MO</v>
      </c>
      <c r="C36" t="s">
        <v>737</v>
      </c>
      <c r="D36" t="b">
        <f>OR(ISNUMBER(SEARCH("wagon_",Table1[[#This Row],[FILENAMES_EXPECTED]])),ISNUMBER(SEARCH("coach_",Table1[[#This Row],[FILENAMES_EXPECTED]])))</f>
        <v>0</v>
      </c>
      <c r="E36" t="str">
        <f>"item_"&amp;Table1[[#This Row],[VEHIDCODE]]</f>
        <v>item_rbd_Denmark_DSB_MO</v>
      </c>
      <c r="F36" t="str">
        <f>"str_"&amp;Table1[[#This Row],[VEHIDCODE]]</f>
        <v>str_rbd_Denmark_DSB_MO</v>
      </c>
      <c r="G36">
        <v>8</v>
      </c>
      <c r="H36" t="s">
        <v>18</v>
      </c>
      <c r="I36">
        <v>0</v>
      </c>
      <c r="J36" t="s">
        <v>35</v>
      </c>
      <c r="K36">
        <v>52</v>
      </c>
      <c r="L36">
        <v>1935</v>
      </c>
      <c r="M36">
        <v>8</v>
      </c>
      <c r="N36" s="2" t="s">
        <v>24</v>
      </c>
      <c r="O36" t="b">
        <v>1</v>
      </c>
      <c r="Q36" s="2"/>
      <c r="R36">
        <v>45</v>
      </c>
      <c r="S36">
        <v>1</v>
      </c>
      <c r="T36">
        <v>500</v>
      </c>
      <c r="U36" t="s">
        <v>711</v>
      </c>
      <c r="V36">
        <v>120</v>
      </c>
      <c r="W36" s="2">
        <v>0.31</v>
      </c>
      <c r="AF36" s="2" t="b">
        <v>1</v>
      </c>
      <c r="AX36"/>
      <c r="BA36" s="2"/>
      <c r="BB36" s="2" t="b">
        <f>LEN(_xlfn.CONCAT(Table1[[#This Row],[TRACK_TYPE_STANDARD_GAUGE_RAILTYPE_OHLE]:[TRACK_TYPE_MTRO]]))&gt;0</f>
        <v>1</v>
      </c>
      <c r="BC36" s="7">
        <v>15</v>
      </c>
      <c r="BD36" t="s">
        <v>927</v>
      </c>
      <c r="BE36" t="s">
        <v>922</v>
      </c>
      <c r="BF36" t="s">
        <v>940</v>
      </c>
      <c r="BG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6">
        <v>0</v>
      </c>
      <c r="BI36" t="s">
        <v>734</v>
      </c>
      <c r="BK36" s="11"/>
      <c r="BL36" s="11">
        <v>58</v>
      </c>
      <c r="BM36">
        <v>0</v>
      </c>
      <c r="BN36" t="s">
        <v>692</v>
      </c>
      <c r="BO36" t="s">
        <v>694</v>
      </c>
      <c r="BP36" t="s">
        <v>701</v>
      </c>
      <c r="BQ36" t="s">
        <v>705</v>
      </c>
      <c r="BR36" t="s">
        <v>706</v>
      </c>
      <c r="BS36" t="s">
        <v>707</v>
      </c>
    </row>
    <row r="37" spans="1:71" hidden="1" x14ac:dyDescent="0.4">
      <c r="A37" s="2" t="s">
        <v>60</v>
      </c>
      <c r="B37" t="str">
        <f>_xlfn.TEXTAFTER(Table1[[#This Row],[VEHIDCODE]],"_")</f>
        <v>Norway_NSB_Cmb_17</v>
      </c>
      <c r="C37" t="s">
        <v>737</v>
      </c>
      <c r="D37" t="b">
        <f>OR(ISNUMBER(SEARCH("wagon_",Table1[[#This Row],[FILENAMES_EXPECTED]])),ISNUMBER(SEARCH("coach_",Table1[[#This Row],[FILENAMES_EXPECTED]])))</f>
        <v>0</v>
      </c>
      <c r="E37" t="str">
        <f>"item_"&amp;Table1[[#This Row],[VEHIDCODE]]</f>
        <v>item_rbd_Norway_NSB_Cmb_17</v>
      </c>
      <c r="F37" t="str">
        <f>"str_"&amp;Table1[[#This Row],[VEHIDCODE]]</f>
        <v>str_rbd_Norway_NSB_Cmb_17</v>
      </c>
      <c r="G37">
        <v>6</v>
      </c>
      <c r="H37" t="s">
        <v>18</v>
      </c>
      <c r="I37">
        <v>0</v>
      </c>
      <c r="J37" t="s">
        <v>35</v>
      </c>
      <c r="K37">
        <v>45</v>
      </c>
      <c r="L37">
        <v>1935</v>
      </c>
      <c r="M37">
        <v>6</v>
      </c>
      <c r="N37" s="2" t="s">
        <v>24</v>
      </c>
      <c r="O37" t="b">
        <v>1</v>
      </c>
      <c r="Q37" s="2"/>
      <c r="R37">
        <v>45</v>
      </c>
      <c r="S37">
        <v>1</v>
      </c>
      <c r="T37">
        <v>120</v>
      </c>
      <c r="U37" t="s">
        <v>711</v>
      </c>
      <c r="V37">
        <v>100</v>
      </c>
      <c r="W37" s="2">
        <v>0.41</v>
      </c>
      <c r="AF37" s="2" t="b">
        <v>1</v>
      </c>
      <c r="AX37"/>
      <c r="BA37" s="2"/>
      <c r="BB37" s="2" t="b">
        <f>LEN(_xlfn.CONCAT(Table1[[#This Row],[TRACK_TYPE_STANDARD_GAUGE_RAILTYPE_OHLE]:[TRACK_TYPE_MTRO]]))&gt;0</f>
        <v>1</v>
      </c>
      <c r="BC37" s="7">
        <v>15</v>
      </c>
      <c r="BD37" t="s">
        <v>927</v>
      </c>
      <c r="BE37" t="s">
        <v>922</v>
      </c>
      <c r="BF37" t="s">
        <v>940</v>
      </c>
      <c r="BG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7">
        <v>0</v>
      </c>
      <c r="BI37" t="s">
        <v>734</v>
      </c>
      <c r="BK37" s="11"/>
      <c r="BL37" s="11">
        <v>10</v>
      </c>
      <c r="BM37">
        <v>0</v>
      </c>
      <c r="BN37" t="s">
        <v>692</v>
      </c>
      <c r="BO37" t="s">
        <v>694</v>
      </c>
      <c r="BP37" t="s">
        <v>701</v>
      </c>
      <c r="BQ37" t="s">
        <v>705</v>
      </c>
      <c r="BR37" t="s">
        <v>706</v>
      </c>
      <c r="BS37" t="s">
        <v>707</v>
      </c>
    </row>
    <row r="38" spans="1:71" hidden="1" x14ac:dyDescent="0.4">
      <c r="A38" s="2" t="s">
        <v>61</v>
      </c>
      <c r="B38" t="str">
        <f>_xlfn.TEXTAFTER(Table1[[#This Row],[VEHIDCODE]],"_")</f>
        <v>Czech_Republic_CD_M290</v>
      </c>
      <c r="C38" t="s">
        <v>737</v>
      </c>
      <c r="D38" t="b">
        <f>OR(ISNUMBER(SEARCH("wagon_",Table1[[#This Row],[FILENAMES_EXPECTED]])),ISNUMBER(SEARCH("coach_",Table1[[#This Row],[FILENAMES_EXPECTED]])))</f>
        <v>0</v>
      </c>
      <c r="E38" t="str">
        <f>"item_"&amp;Table1[[#This Row],[VEHIDCODE]]</f>
        <v>item_rbd_Czech_Republic_CD_M290</v>
      </c>
      <c r="F38" t="str">
        <f>"str_"&amp;Table1[[#This Row],[VEHIDCODE]]</f>
        <v>str_rbd_Czech_Republic_CD_M290</v>
      </c>
      <c r="G38">
        <v>7</v>
      </c>
      <c r="H38" t="s">
        <v>18</v>
      </c>
      <c r="I38">
        <v>0</v>
      </c>
      <c r="J38" t="s">
        <v>35</v>
      </c>
      <c r="K38">
        <v>72</v>
      </c>
      <c r="L38">
        <v>1936</v>
      </c>
      <c r="M38">
        <v>7</v>
      </c>
      <c r="N38" s="2" t="s">
        <v>24</v>
      </c>
      <c r="O38" t="b">
        <v>1</v>
      </c>
      <c r="Q38" s="2"/>
      <c r="R38">
        <v>45</v>
      </c>
      <c r="S38">
        <v>1</v>
      </c>
      <c r="T38">
        <v>330</v>
      </c>
      <c r="U38" t="s">
        <v>711</v>
      </c>
      <c r="V38">
        <v>148</v>
      </c>
      <c r="W38" s="2">
        <v>0.33</v>
      </c>
      <c r="AF38" s="2" t="b">
        <v>1</v>
      </c>
      <c r="AX38"/>
      <c r="BA38" s="2"/>
      <c r="BB38" s="2" t="b">
        <f>LEN(_xlfn.CONCAT(Table1[[#This Row],[TRACK_TYPE_STANDARD_GAUGE_RAILTYPE_OHLE]:[TRACK_TYPE_MTRO]]))&gt;0</f>
        <v>1</v>
      </c>
      <c r="BC38" s="7">
        <v>15</v>
      </c>
      <c r="BD38" t="s">
        <v>929</v>
      </c>
      <c r="BE38" t="s">
        <v>922</v>
      </c>
      <c r="BF38" t="s">
        <v>940</v>
      </c>
      <c r="BG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8">
        <v>0</v>
      </c>
      <c r="BI38" t="s">
        <v>734</v>
      </c>
      <c r="BK38" s="11"/>
      <c r="BL38" s="11">
        <v>36</v>
      </c>
      <c r="BM38">
        <v>0</v>
      </c>
      <c r="BN38" t="s">
        <v>692</v>
      </c>
      <c r="BO38" t="s">
        <v>694</v>
      </c>
      <c r="BP38" t="s">
        <v>701</v>
      </c>
      <c r="BQ38" t="s">
        <v>705</v>
      </c>
      <c r="BR38" t="s">
        <v>706</v>
      </c>
      <c r="BS38" t="s">
        <v>707</v>
      </c>
    </row>
    <row r="39" spans="1:71" hidden="1" x14ac:dyDescent="0.4">
      <c r="A39" s="2" t="s">
        <v>62</v>
      </c>
      <c r="B39" t="str">
        <f>_xlfn.TEXTAFTER(Table1[[#This Row],[VEHIDCODE]],"_")</f>
        <v>Netherlands_NS_omBC</v>
      </c>
      <c r="C39" t="s">
        <v>737</v>
      </c>
      <c r="D39" t="b">
        <f>OR(ISNUMBER(SEARCH("wagon_",Table1[[#This Row],[FILENAMES_EXPECTED]])),ISNUMBER(SEARCH("coach_",Table1[[#This Row],[FILENAMES_EXPECTED]])))</f>
        <v>0</v>
      </c>
      <c r="E39" t="str">
        <f>"item_"&amp;Table1[[#This Row],[VEHIDCODE]]</f>
        <v>item_rbd_Netherlands_NS_omBC</v>
      </c>
      <c r="F39" t="str">
        <f>"str_"&amp;Table1[[#This Row],[VEHIDCODE]]</f>
        <v>str_rbd_Netherlands_NS_omBC</v>
      </c>
      <c r="G39">
        <v>8</v>
      </c>
      <c r="H39" t="s">
        <v>18</v>
      </c>
      <c r="I39">
        <v>0</v>
      </c>
      <c r="J39" t="s">
        <v>35</v>
      </c>
      <c r="K39">
        <v>63</v>
      </c>
      <c r="L39">
        <v>1937</v>
      </c>
      <c r="M39">
        <v>8</v>
      </c>
      <c r="N39" s="2" t="s">
        <v>24</v>
      </c>
      <c r="O39" t="b">
        <v>1</v>
      </c>
      <c r="Q39" s="2"/>
      <c r="R39">
        <v>45</v>
      </c>
      <c r="S39">
        <v>1</v>
      </c>
      <c r="T39">
        <v>294</v>
      </c>
      <c r="U39" t="s">
        <v>711</v>
      </c>
      <c r="V39">
        <v>105</v>
      </c>
      <c r="W39" s="2">
        <v>0.34</v>
      </c>
      <c r="AF39" s="2" t="b">
        <v>1</v>
      </c>
      <c r="AX39"/>
      <c r="BA39" s="2"/>
      <c r="BB39" s="2" t="b">
        <f>LEN(_xlfn.CONCAT(Table1[[#This Row],[TRACK_TYPE_STANDARD_GAUGE_RAILTYPE_OHLE]:[TRACK_TYPE_MTRO]]))&gt;0</f>
        <v>1</v>
      </c>
      <c r="BC39" s="7">
        <v>15</v>
      </c>
      <c r="BD39" t="s">
        <v>923</v>
      </c>
      <c r="BE39" t="s">
        <v>922</v>
      </c>
      <c r="BF39" t="s">
        <v>940</v>
      </c>
      <c r="BG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9">
        <v>0</v>
      </c>
      <c r="BI39" t="s">
        <v>734</v>
      </c>
      <c r="BK39" s="11"/>
      <c r="BL39" s="11">
        <v>53</v>
      </c>
      <c r="BM39">
        <v>0</v>
      </c>
      <c r="BN39" t="s">
        <v>692</v>
      </c>
      <c r="BO39" t="s">
        <v>694</v>
      </c>
      <c r="BP39" t="s">
        <v>701</v>
      </c>
      <c r="BQ39" t="s">
        <v>705</v>
      </c>
      <c r="BR39" t="s">
        <v>706</v>
      </c>
      <c r="BS39" t="s">
        <v>707</v>
      </c>
    </row>
    <row r="40" spans="1:71" hidden="1" x14ac:dyDescent="0.4">
      <c r="A40" s="2" t="s">
        <v>63</v>
      </c>
      <c r="B40" t="str">
        <f>_xlfn.TEXTAFTER(Table1[[#This Row],[VEHIDCODE]],"_")</f>
        <v>Australia_NSWGR_Class_400</v>
      </c>
      <c r="C40" t="s">
        <v>737</v>
      </c>
      <c r="D40" t="b">
        <f>OR(ISNUMBER(SEARCH("wagon_",Table1[[#This Row],[FILENAMES_EXPECTED]])),ISNUMBER(SEARCH("coach_",Table1[[#This Row],[FILENAMES_EXPECTED]])))</f>
        <v>0</v>
      </c>
      <c r="E40" t="str">
        <f>"item_"&amp;Table1[[#This Row],[VEHIDCODE]]</f>
        <v>item_rbd_Australia_NSWGR_Class_400</v>
      </c>
      <c r="F40" t="str">
        <f>"str_"&amp;Table1[[#This Row],[VEHIDCODE]]</f>
        <v>str_rbd_Australia_NSWGR_Class_400</v>
      </c>
      <c r="G40">
        <v>7</v>
      </c>
      <c r="H40" t="s">
        <v>18</v>
      </c>
      <c r="I40">
        <v>0</v>
      </c>
      <c r="J40" t="s">
        <v>35</v>
      </c>
      <c r="K40">
        <v>56</v>
      </c>
      <c r="L40">
        <v>1938</v>
      </c>
      <c r="M40">
        <v>7</v>
      </c>
      <c r="N40" s="2" t="s">
        <v>24</v>
      </c>
      <c r="O40" t="b">
        <v>1</v>
      </c>
      <c r="Q40" s="2"/>
      <c r="R40">
        <v>45</v>
      </c>
      <c r="S40">
        <v>1</v>
      </c>
      <c r="T40">
        <v>300</v>
      </c>
      <c r="U40" t="s">
        <v>711</v>
      </c>
      <c r="V40">
        <v>100</v>
      </c>
      <c r="W40" s="2">
        <v>0.34</v>
      </c>
      <c r="AF40" s="2" t="b">
        <v>1</v>
      </c>
      <c r="AX40"/>
      <c r="BA40" s="2"/>
      <c r="BB40" s="2" t="b">
        <f>LEN(_xlfn.CONCAT(Table1[[#This Row],[TRACK_TYPE_STANDARD_GAUGE_RAILTYPE_OHLE]:[TRACK_TYPE_MTRO]]))&gt;0</f>
        <v>1</v>
      </c>
      <c r="BC40" s="7">
        <v>15</v>
      </c>
      <c r="BD40" t="s">
        <v>925</v>
      </c>
      <c r="BE40" t="s">
        <v>922</v>
      </c>
      <c r="BF40" t="s">
        <v>940</v>
      </c>
      <c r="BG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0">
        <v>0</v>
      </c>
      <c r="BI40" t="s">
        <v>734</v>
      </c>
      <c r="BK40" s="11"/>
      <c r="BL40" s="11">
        <v>48</v>
      </c>
      <c r="BM40">
        <v>0</v>
      </c>
      <c r="BN40" t="s">
        <v>692</v>
      </c>
      <c r="BO40" t="s">
        <v>694</v>
      </c>
      <c r="BP40" t="s">
        <v>701</v>
      </c>
      <c r="BQ40" t="s">
        <v>705</v>
      </c>
      <c r="BR40" t="s">
        <v>706</v>
      </c>
      <c r="BS40" t="s">
        <v>707</v>
      </c>
    </row>
    <row r="41" spans="1:71" hidden="1" x14ac:dyDescent="0.4">
      <c r="A41" s="2" t="s">
        <v>64</v>
      </c>
      <c r="B41" t="str">
        <f>_xlfn.TEXTAFTER(Table1[[#This Row],[VEHIDCODE]],"_")</f>
        <v>Portugal_CP_USD_9050</v>
      </c>
      <c r="C41" t="s">
        <v>737</v>
      </c>
      <c r="D41" t="b">
        <f>OR(ISNUMBER(SEARCH("wagon_",Table1[[#This Row],[FILENAMES_EXPECTED]])),ISNUMBER(SEARCH("coach_",Table1[[#This Row],[FILENAMES_EXPECTED]])))</f>
        <v>0</v>
      </c>
      <c r="E41" t="str">
        <f>"item_"&amp;Table1[[#This Row],[VEHIDCODE]]</f>
        <v>item_rbd_Portugal_CP_USD_9050</v>
      </c>
      <c r="F41" t="str">
        <f>"str_"&amp;Table1[[#This Row],[VEHIDCODE]]</f>
        <v>str_rbd_Portugal_CP_USD_9050</v>
      </c>
      <c r="G41">
        <v>5</v>
      </c>
      <c r="H41" t="s">
        <v>18</v>
      </c>
      <c r="I41">
        <v>0</v>
      </c>
      <c r="J41" t="s">
        <v>35</v>
      </c>
      <c r="K41">
        <v>25</v>
      </c>
      <c r="L41">
        <v>1941</v>
      </c>
      <c r="M41">
        <v>5</v>
      </c>
      <c r="N41" s="2" t="s">
        <v>24</v>
      </c>
      <c r="O41" t="b">
        <v>1</v>
      </c>
      <c r="Q41" s="2"/>
      <c r="R41">
        <v>45</v>
      </c>
      <c r="S41">
        <v>1</v>
      </c>
      <c r="T41">
        <v>90</v>
      </c>
      <c r="U41" t="s">
        <v>711</v>
      </c>
      <c r="V41">
        <v>89</v>
      </c>
      <c r="W41" s="2">
        <v>0.2</v>
      </c>
      <c r="AF41" s="2" t="b">
        <v>1</v>
      </c>
      <c r="AX41"/>
      <c r="BA41" s="2"/>
      <c r="BB41" s="2" t="b">
        <f>LEN(_xlfn.CONCAT(Table1[[#This Row],[TRACK_TYPE_STANDARD_GAUGE_RAILTYPE_OHLE]:[TRACK_TYPE_MTRO]]))&gt;0</f>
        <v>1</v>
      </c>
      <c r="BC41" s="7">
        <v>15</v>
      </c>
      <c r="BD41" t="s">
        <v>924</v>
      </c>
      <c r="BE41" t="s">
        <v>922</v>
      </c>
      <c r="BF41" t="s">
        <v>940</v>
      </c>
      <c r="BG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1">
        <v>0</v>
      </c>
      <c r="BI41" t="s">
        <v>734</v>
      </c>
      <c r="BK41" s="11"/>
      <c r="BL41" s="11">
        <v>8</v>
      </c>
      <c r="BM41">
        <v>0</v>
      </c>
      <c r="BN41" t="s">
        <v>692</v>
      </c>
      <c r="BO41" t="s">
        <v>694</v>
      </c>
      <c r="BP41" t="s">
        <v>701</v>
      </c>
      <c r="BQ41" t="s">
        <v>705</v>
      </c>
      <c r="BR41" t="s">
        <v>706</v>
      </c>
      <c r="BS41" t="s">
        <v>707</v>
      </c>
    </row>
    <row r="42" spans="1:71" hidden="1" x14ac:dyDescent="0.4">
      <c r="A42" s="2" t="s">
        <v>65</v>
      </c>
      <c r="B42" t="str">
        <f>_xlfn.TEXTAFTER(Table1[[#This Row],[VEHIDCODE]],"_")</f>
        <v>Belgium_SNCB_Class_42</v>
      </c>
      <c r="C42" t="s">
        <v>737</v>
      </c>
      <c r="D42" t="b">
        <f>OR(ISNUMBER(SEARCH("wagon_",Table1[[#This Row],[FILENAMES_EXPECTED]])),ISNUMBER(SEARCH("coach_",Table1[[#This Row],[FILENAMES_EXPECTED]])))</f>
        <v>0</v>
      </c>
      <c r="E42" t="str">
        <f>"item_"&amp;Table1[[#This Row],[VEHIDCODE]]</f>
        <v>item_rbd_Belgium_SNCB_Class_42</v>
      </c>
      <c r="F42" t="str">
        <f>"str_"&amp;Table1[[#This Row],[VEHIDCODE]]</f>
        <v>str_rbd_Belgium_SNCB_Class_42</v>
      </c>
      <c r="G42">
        <v>7</v>
      </c>
      <c r="H42" t="s">
        <v>18</v>
      </c>
      <c r="I42">
        <v>0</v>
      </c>
      <c r="J42" t="s">
        <v>35</v>
      </c>
      <c r="K42">
        <v>99</v>
      </c>
      <c r="L42">
        <v>1954</v>
      </c>
      <c r="M42">
        <v>7</v>
      </c>
      <c r="N42" s="2" t="s">
        <v>24</v>
      </c>
      <c r="O42" t="b">
        <v>1</v>
      </c>
      <c r="Q42" s="2"/>
      <c r="R42">
        <v>45</v>
      </c>
      <c r="S42">
        <v>1</v>
      </c>
      <c r="T42">
        <v>400</v>
      </c>
      <c r="U42" t="s">
        <v>711</v>
      </c>
      <c r="V42">
        <v>90</v>
      </c>
      <c r="W42" s="2">
        <v>0.34</v>
      </c>
      <c r="AF42" s="2" t="b">
        <v>1</v>
      </c>
      <c r="AX42"/>
      <c r="BA42" s="2"/>
      <c r="BB42" s="2" t="b">
        <f>LEN(_xlfn.CONCAT(Table1[[#This Row],[TRACK_TYPE_STANDARD_GAUGE_RAILTYPE_OHLE]:[TRACK_TYPE_MTRO]]))&gt;0</f>
        <v>1</v>
      </c>
      <c r="BC42" s="7">
        <v>15</v>
      </c>
      <c r="BD42" t="s">
        <v>923</v>
      </c>
      <c r="BE42" t="s">
        <v>922</v>
      </c>
      <c r="BF42" t="s">
        <v>940</v>
      </c>
      <c r="BG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2">
        <v>0</v>
      </c>
      <c r="BI42" t="s">
        <v>734</v>
      </c>
      <c r="BK42" s="11"/>
      <c r="BL42" s="11">
        <v>54</v>
      </c>
      <c r="BM42">
        <v>0</v>
      </c>
      <c r="BN42" t="s">
        <v>692</v>
      </c>
      <c r="BO42" t="s">
        <v>694</v>
      </c>
      <c r="BP42" t="s">
        <v>701</v>
      </c>
      <c r="BQ42" t="s">
        <v>705</v>
      </c>
      <c r="BR42" t="s">
        <v>706</v>
      </c>
      <c r="BS42" t="s">
        <v>707</v>
      </c>
    </row>
    <row r="43" spans="1:71" hidden="1" x14ac:dyDescent="0.4">
      <c r="A43" s="2" t="s">
        <v>66</v>
      </c>
      <c r="B43" t="str">
        <f>_xlfn.TEXTAFTER(Table1[[#This Row],[VEHIDCODE]],"_")</f>
        <v>Bulgaria_BDZ_19</v>
      </c>
      <c r="C43" t="s">
        <v>737</v>
      </c>
      <c r="D43" t="b">
        <f>OR(ISNUMBER(SEARCH("wagon_",Table1[[#This Row],[FILENAMES_EXPECTED]])),ISNUMBER(SEARCH("coach_",Table1[[#This Row],[FILENAMES_EXPECTED]])))</f>
        <v>0</v>
      </c>
      <c r="E43" t="str">
        <f>"item_"&amp;Table1[[#This Row],[VEHIDCODE]]</f>
        <v>item_rbd_Bulgaria_BDZ_19</v>
      </c>
      <c r="F43" t="str">
        <f>"str_"&amp;Table1[[#This Row],[VEHIDCODE]]</f>
        <v>str_rbd_Bulgaria_BDZ_19</v>
      </c>
      <c r="G43">
        <v>8</v>
      </c>
      <c r="H43" t="s">
        <v>18</v>
      </c>
      <c r="I43">
        <v>0</v>
      </c>
      <c r="J43" t="s">
        <v>35</v>
      </c>
      <c r="K43">
        <v>37</v>
      </c>
      <c r="L43">
        <v>1960</v>
      </c>
      <c r="M43">
        <v>8</v>
      </c>
      <c r="N43" s="2" t="s">
        <v>24</v>
      </c>
      <c r="O43" t="b">
        <v>1</v>
      </c>
      <c r="Q43" s="2"/>
      <c r="R43">
        <v>45</v>
      </c>
      <c r="S43">
        <v>1</v>
      </c>
      <c r="T43">
        <v>550</v>
      </c>
      <c r="U43" t="s">
        <v>711</v>
      </c>
      <c r="V43">
        <v>125</v>
      </c>
      <c r="W43" s="2">
        <v>0.2</v>
      </c>
      <c r="AF43" s="2" t="b">
        <v>1</v>
      </c>
      <c r="AX43"/>
      <c r="BA43" s="2"/>
      <c r="BB43" s="2" t="b">
        <f>LEN(_xlfn.CONCAT(Table1[[#This Row],[TRACK_TYPE_STANDARD_GAUGE_RAILTYPE_OHLE]:[TRACK_TYPE_MTRO]]))&gt;0</f>
        <v>1</v>
      </c>
      <c r="BC43" s="7">
        <v>15</v>
      </c>
      <c r="BD43" t="s">
        <v>929</v>
      </c>
      <c r="BE43" t="s">
        <v>922</v>
      </c>
      <c r="BF43" t="s">
        <v>940</v>
      </c>
      <c r="BG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3">
        <v>0</v>
      </c>
      <c r="BI43" t="s">
        <v>734</v>
      </c>
      <c r="BK43" s="11"/>
      <c r="BL43" s="11">
        <v>52</v>
      </c>
      <c r="BM43">
        <v>0</v>
      </c>
      <c r="BN43" t="s">
        <v>692</v>
      </c>
      <c r="BO43" t="s">
        <v>694</v>
      </c>
      <c r="BP43" t="s">
        <v>701</v>
      </c>
      <c r="BQ43" t="s">
        <v>705</v>
      </c>
      <c r="BR43" t="s">
        <v>706</v>
      </c>
      <c r="BS43" t="s">
        <v>707</v>
      </c>
    </row>
    <row r="44" spans="1:71" hidden="1" x14ac:dyDescent="0.4">
      <c r="A44" s="2" t="s">
        <v>67</v>
      </c>
      <c r="B44" t="str">
        <f>_xlfn.TEXTAFTER(Table1[[#This Row],[VEHIDCODE]],"_")</f>
        <v>Greece_OSE_AA71</v>
      </c>
      <c r="C44" t="s">
        <v>737</v>
      </c>
      <c r="D44" t="b">
        <f>OR(ISNUMBER(SEARCH("wagon_",Table1[[#This Row],[FILENAMES_EXPECTED]])),ISNUMBER(SEARCH("coach_",Table1[[#This Row],[FILENAMES_EXPECTED]])))</f>
        <v>0</v>
      </c>
      <c r="E44" t="str">
        <f>"item_"&amp;Table1[[#This Row],[VEHIDCODE]]</f>
        <v>item_rbd_Greece_OSE_AA71</v>
      </c>
      <c r="F44" t="str">
        <f>"str_"&amp;Table1[[#This Row],[VEHIDCODE]]</f>
        <v>str_rbd_Greece_OSE_AA71</v>
      </c>
      <c r="G44">
        <v>8</v>
      </c>
      <c r="H44" t="s">
        <v>18</v>
      </c>
      <c r="I44">
        <v>0</v>
      </c>
      <c r="J44" t="s">
        <v>35</v>
      </c>
      <c r="K44">
        <v>68</v>
      </c>
      <c r="L44">
        <v>1962</v>
      </c>
      <c r="M44">
        <v>8</v>
      </c>
      <c r="N44" s="2" t="s">
        <v>24</v>
      </c>
      <c r="O44" t="b">
        <v>1</v>
      </c>
      <c r="Q44" s="2"/>
      <c r="R44">
        <v>45</v>
      </c>
      <c r="S44">
        <v>1</v>
      </c>
      <c r="T44">
        <v>790</v>
      </c>
      <c r="U44" t="s">
        <v>711</v>
      </c>
      <c r="V44">
        <v>105</v>
      </c>
      <c r="W44" s="2">
        <v>0.19</v>
      </c>
      <c r="AF44" s="2" t="b">
        <v>1</v>
      </c>
      <c r="AX44"/>
      <c r="BA44" s="2"/>
      <c r="BB44" s="2" t="b">
        <f>LEN(_xlfn.CONCAT(Table1[[#This Row],[TRACK_TYPE_STANDARD_GAUGE_RAILTYPE_OHLE]:[TRACK_TYPE_MTRO]]))&gt;0</f>
        <v>1</v>
      </c>
      <c r="BC44" s="7">
        <v>15</v>
      </c>
      <c r="BD44" t="s">
        <v>924</v>
      </c>
      <c r="BE44" t="s">
        <v>922</v>
      </c>
      <c r="BF44" t="s">
        <v>940</v>
      </c>
      <c r="BG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4">
        <v>0</v>
      </c>
      <c r="BI44" t="s">
        <v>734</v>
      </c>
      <c r="BK44" s="11"/>
      <c r="BL44" s="11">
        <v>48</v>
      </c>
      <c r="BM44">
        <v>0</v>
      </c>
      <c r="BN44" t="s">
        <v>692</v>
      </c>
      <c r="BO44" t="s">
        <v>694</v>
      </c>
      <c r="BP44" t="s">
        <v>701</v>
      </c>
      <c r="BQ44" t="s">
        <v>705</v>
      </c>
      <c r="BR44" t="s">
        <v>706</v>
      </c>
      <c r="BS44" t="s">
        <v>707</v>
      </c>
    </row>
    <row r="45" spans="1:71" hidden="1" x14ac:dyDescent="0.4">
      <c r="A45" s="2" t="s">
        <v>68</v>
      </c>
      <c r="B45" t="str">
        <f>_xlfn.TEXTAFTER(Table1[[#This Row],[VEHIDCODE]],"_")</f>
        <v>Tunisia_SNCFT_Z431</v>
      </c>
      <c r="C45" t="s">
        <v>737</v>
      </c>
      <c r="D45" t="b">
        <f>OR(ISNUMBER(SEARCH("wagon_",Table1[[#This Row],[FILENAMES_EXPECTED]])),ISNUMBER(SEARCH("coach_",Table1[[#This Row],[FILENAMES_EXPECTED]])))</f>
        <v>0</v>
      </c>
      <c r="E45" t="str">
        <f>"item_"&amp;Table1[[#This Row],[VEHIDCODE]]</f>
        <v>item_rbd_Tunisia_SNCFT_Z431</v>
      </c>
      <c r="F45" t="str">
        <f>"str_"&amp;Table1[[#This Row],[VEHIDCODE]]</f>
        <v>str_rbd_Tunisia_SNCFT_Z431</v>
      </c>
      <c r="G45">
        <v>8</v>
      </c>
      <c r="H45" t="s">
        <v>18</v>
      </c>
      <c r="I45">
        <v>0</v>
      </c>
      <c r="J45" t="s">
        <v>35</v>
      </c>
      <c r="K45">
        <v>54</v>
      </c>
      <c r="L45">
        <v>1975</v>
      </c>
      <c r="M45">
        <v>8</v>
      </c>
      <c r="N45" s="2" t="s">
        <v>24</v>
      </c>
      <c r="O45" t="b">
        <v>1</v>
      </c>
      <c r="Q45" s="2"/>
      <c r="R45">
        <v>45</v>
      </c>
      <c r="S45">
        <v>1</v>
      </c>
      <c r="T45">
        <v>1045</v>
      </c>
      <c r="U45" t="s">
        <v>711</v>
      </c>
      <c r="V45">
        <v>130</v>
      </c>
      <c r="W45" s="2">
        <v>0.38</v>
      </c>
      <c r="AF45" s="2" t="b">
        <v>1</v>
      </c>
      <c r="AX45"/>
      <c r="BA45" s="2"/>
      <c r="BB45" s="2" t="b">
        <f>LEN(_xlfn.CONCAT(Table1[[#This Row],[TRACK_TYPE_STANDARD_GAUGE_RAILTYPE_OHLE]:[TRACK_TYPE_MTRO]]))&gt;0</f>
        <v>1</v>
      </c>
      <c r="BC45" s="7">
        <v>15</v>
      </c>
      <c r="BD45" t="s">
        <v>926</v>
      </c>
      <c r="BE45" t="s">
        <v>922</v>
      </c>
      <c r="BF45" t="s">
        <v>940</v>
      </c>
      <c r="BG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">
        <v>0</v>
      </c>
      <c r="BI45" t="s">
        <v>734</v>
      </c>
      <c r="BK45" s="11"/>
      <c r="BL45" s="11">
        <v>60</v>
      </c>
      <c r="BM45">
        <v>0</v>
      </c>
      <c r="BN45" t="s">
        <v>692</v>
      </c>
      <c r="BO45" t="s">
        <v>694</v>
      </c>
      <c r="BP45" t="s">
        <v>701</v>
      </c>
      <c r="BQ45" t="s">
        <v>705</v>
      </c>
      <c r="BR45" t="s">
        <v>706</v>
      </c>
      <c r="BS45" t="s">
        <v>707</v>
      </c>
    </row>
    <row r="46" spans="1:71" hidden="1" x14ac:dyDescent="0.4">
      <c r="A46" s="2" t="s">
        <v>69</v>
      </c>
      <c r="B46" t="str">
        <f>_xlfn.TEXTAFTER(Table1[[#This Row],[VEHIDCODE]],"_")</f>
        <v>USA_Amtrak_SPV_200</v>
      </c>
      <c r="C46" t="s">
        <v>737</v>
      </c>
      <c r="D46" t="b">
        <f>OR(ISNUMBER(SEARCH("wagon_",Table1[[#This Row],[FILENAMES_EXPECTED]])),ISNUMBER(SEARCH("coach_",Table1[[#This Row],[FILENAMES_EXPECTED]])))</f>
        <v>0</v>
      </c>
      <c r="E46" t="str">
        <f>"item_"&amp;Table1[[#This Row],[VEHIDCODE]]</f>
        <v>item_rbd_USA_Amtrak_SPV_200</v>
      </c>
      <c r="F46" t="str">
        <f>"str_"&amp;Table1[[#This Row],[VEHIDCODE]]</f>
        <v>str_rbd_USA_Amtrak_SPV_200</v>
      </c>
      <c r="G46">
        <v>8</v>
      </c>
      <c r="H46" t="s">
        <v>18</v>
      </c>
      <c r="I46">
        <v>0</v>
      </c>
      <c r="J46" t="s">
        <v>35</v>
      </c>
      <c r="K46">
        <v>86</v>
      </c>
      <c r="L46">
        <v>1979</v>
      </c>
      <c r="M46">
        <v>8</v>
      </c>
      <c r="N46" s="2" t="s">
        <v>24</v>
      </c>
      <c r="O46" t="b">
        <v>1</v>
      </c>
      <c r="Q46" s="2"/>
      <c r="R46">
        <v>45</v>
      </c>
      <c r="S46">
        <v>1</v>
      </c>
      <c r="T46">
        <v>360</v>
      </c>
      <c r="U46" t="s">
        <v>711</v>
      </c>
      <c r="V46">
        <v>130</v>
      </c>
      <c r="W46" s="2">
        <v>0.26</v>
      </c>
      <c r="AF46" s="2" t="b">
        <v>1</v>
      </c>
      <c r="AX46"/>
      <c r="BA46" s="2"/>
      <c r="BB46" s="2" t="b">
        <f>LEN(_xlfn.CONCAT(Table1[[#This Row],[TRACK_TYPE_STANDARD_GAUGE_RAILTYPE_OHLE]:[TRACK_TYPE_MTRO]]))&gt;0</f>
        <v>1</v>
      </c>
      <c r="BC46" s="7">
        <v>15</v>
      </c>
      <c r="BD46" t="s">
        <v>928</v>
      </c>
      <c r="BE46" t="s">
        <v>922</v>
      </c>
      <c r="BF46" t="s">
        <v>940</v>
      </c>
      <c r="BG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">
        <v>0</v>
      </c>
      <c r="BI46" t="s">
        <v>734</v>
      </c>
      <c r="BK46" s="11"/>
      <c r="BL46" s="11">
        <v>58</v>
      </c>
      <c r="BM46">
        <v>0</v>
      </c>
      <c r="BN46" t="s">
        <v>692</v>
      </c>
      <c r="BO46" t="s">
        <v>694</v>
      </c>
      <c r="BP46" t="s">
        <v>701</v>
      </c>
      <c r="BQ46" t="s">
        <v>705</v>
      </c>
      <c r="BR46" t="s">
        <v>706</v>
      </c>
      <c r="BS46" t="s">
        <v>707</v>
      </c>
    </row>
    <row r="47" spans="1:71" hidden="1" x14ac:dyDescent="0.4">
      <c r="A47" s="2" t="s">
        <v>70</v>
      </c>
      <c r="B47" t="str">
        <f>_xlfn.TEXTAFTER(Table1[[#This Row],[VEHIDCODE]],"_")</f>
        <v>Finland_VR_Dm12</v>
      </c>
      <c r="C47" t="s">
        <v>737</v>
      </c>
      <c r="D47" t="b">
        <f>OR(ISNUMBER(SEARCH("wagon_",Table1[[#This Row],[FILENAMES_EXPECTED]])),ISNUMBER(SEARCH("coach_",Table1[[#This Row],[FILENAMES_EXPECTED]])))</f>
        <v>0</v>
      </c>
      <c r="E47" t="str">
        <f>"item_"&amp;Table1[[#This Row],[VEHIDCODE]]</f>
        <v>item_rbd_Finland_VR_Dm12</v>
      </c>
      <c r="F47" t="str">
        <f>"str_"&amp;Table1[[#This Row],[VEHIDCODE]]</f>
        <v>str_rbd_Finland_VR_Dm12</v>
      </c>
      <c r="G47">
        <v>8</v>
      </c>
      <c r="H47" t="s">
        <v>18</v>
      </c>
      <c r="I47">
        <v>0</v>
      </c>
      <c r="J47" t="s">
        <v>35</v>
      </c>
      <c r="K47">
        <v>63</v>
      </c>
      <c r="L47">
        <v>2005</v>
      </c>
      <c r="M47">
        <v>8</v>
      </c>
      <c r="N47" s="2" t="s">
        <v>24</v>
      </c>
      <c r="O47" t="b">
        <v>1</v>
      </c>
      <c r="Q47" s="2"/>
      <c r="R47" t="s">
        <v>21</v>
      </c>
      <c r="S47">
        <v>1</v>
      </c>
      <c r="T47">
        <v>710</v>
      </c>
      <c r="U47" t="s">
        <v>711</v>
      </c>
      <c r="V47">
        <v>120</v>
      </c>
      <c r="W47" s="2">
        <v>0.35</v>
      </c>
      <c r="AF47" s="2" t="b">
        <v>1</v>
      </c>
      <c r="AX47"/>
      <c r="BA47" s="2"/>
      <c r="BB47" s="2" t="b">
        <f>LEN(_xlfn.CONCAT(Table1[[#This Row],[TRACK_TYPE_STANDARD_GAUGE_RAILTYPE_OHLE]:[TRACK_TYPE_MTRO]]))&gt;0</f>
        <v>1</v>
      </c>
      <c r="BC47" s="7">
        <v>15</v>
      </c>
      <c r="BD47" t="s">
        <v>927</v>
      </c>
      <c r="BE47" t="s">
        <v>922</v>
      </c>
      <c r="BF47" t="s">
        <v>940</v>
      </c>
      <c r="BG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">
        <v>0</v>
      </c>
      <c r="BI47" t="s">
        <v>734</v>
      </c>
      <c r="BK47" s="11"/>
      <c r="BL47" s="11">
        <v>48</v>
      </c>
      <c r="BM47">
        <v>0</v>
      </c>
      <c r="BN47" t="s">
        <v>692</v>
      </c>
      <c r="BO47" t="s">
        <v>694</v>
      </c>
      <c r="BP47" t="s">
        <v>701</v>
      </c>
      <c r="BQ47" t="s">
        <v>705</v>
      </c>
      <c r="BR47" t="s">
        <v>706</v>
      </c>
      <c r="BS47" t="s">
        <v>707</v>
      </c>
    </row>
    <row r="48" spans="1:71" hidden="1" x14ac:dyDescent="0.4">
      <c r="A48" s="2" t="s">
        <v>71</v>
      </c>
      <c r="B48" t="str">
        <f>_xlfn.TEXTAFTER(Table1[[#This Row],[VEHIDCODE]],"_")</f>
        <v>Czech_Republic_CD_840</v>
      </c>
      <c r="C48" t="s">
        <v>737</v>
      </c>
      <c r="D48" t="b">
        <f>OR(ISNUMBER(SEARCH("wagon_",Table1[[#This Row],[FILENAMES_EXPECTED]])),ISNUMBER(SEARCH("coach_",Table1[[#This Row],[FILENAMES_EXPECTED]])))</f>
        <v>0</v>
      </c>
      <c r="E48" t="str">
        <f>"item_"&amp;Table1[[#This Row],[VEHIDCODE]]</f>
        <v>item_rbd_Czech_Republic_CD_840</v>
      </c>
      <c r="F48" t="str">
        <f>"str_"&amp;Table1[[#This Row],[VEHIDCODE]]</f>
        <v>str_rbd_Czech_Republic_CD_840</v>
      </c>
      <c r="G48">
        <v>8</v>
      </c>
      <c r="H48" t="s">
        <v>18</v>
      </c>
      <c r="I48">
        <v>0</v>
      </c>
      <c r="J48" t="s">
        <v>35</v>
      </c>
      <c r="K48">
        <v>71</v>
      </c>
      <c r="L48">
        <v>2011</v>
      </c>
      <c r="M48">
        <v>8</v>
      </c>
      <c r="N48" s="2" t="s">
        <v>24</v>
      </c>
      <c r="O48" t="b">
        <v>1</v>
      </c>
      <c r="Q48" s="2"/>
      <c r="R48" t="s">
        <v>21</v>
      </c>
      <c r="S48">
        <v>1</v>
      </c>
      <c r="T48">
        <v>710</v>
      </c>
      <c r="U48" t="s">
        <v>711</v>
      </c>
      <c r="V48">
        <v>120</v>
      </c>
      <c r="W48" s="2">
        <v>0.37</v>
      </c>
      <c r="AF48" s="2" t="b">
        <v>1</v>
      </c>
      <c r="AX48"/>
      <c r="BA48" s="2"/>
      <c r="BB48" s="2" t="b">
        <f>LEN(_xlfn.CONCAT(Table1[[#This Row],[TRACK_TYPE_STANDARD_GAUGE_RAILTYPE_OHLE]:[TRACK_TYPE_MTRO]]))&gt;0</f>
        <v>1</v>
      </c>
      <c r="BC48" s="7">
        <v>15</v>
      </c>
      <c r="BD48" t="s">
        <v>929</v>
      </c>
      <c r="BE48" t="s">
        <v>922</v>
      </c>
      <c r="BF48" t="s">
        <v>940</v>
      </c>
      <c r="BG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">
        <v>0</v>
      </c>
      <c r="BI48" t="s">
        <v>734</v>
      </c>
      <c r="BK48" s="11"/>
      <c r="BL48" s="11">
        <v>43</v>
      </c>
      <c r="BM48">
        <v>0</v>
      </c>
      <c r="BN48" t="s">
        <v>692</v>
      </c>
      <c r="BO48" t="s">
        <v>694</v>
      </c>
      <c r="BP48" t="s">
        <v>701</v>
      </c>
      <c r="BQ48" t="s">
        <v>705</v>
      </c>
      <c r="BR48" t="s">
        <v>706</v>
      </c>
      <c r="BS48" t="s">
        <v>707</v>
      </c>
    </row>
    <row r="49" spans="1:71" hidden="1" x14ac:dyDescent="0.4">
      <c r="A49" s="2" t="s">
        <v>72</v>
      </c>
      <c r="B49" t="str">
        <f>_xlfn.TEXTAFTER(Table1[[#This Row],[VEHIDCODE]],"_")</f>
        <v>Italy_FS_ALn_668</v>
      </c>
      <c r="C49" t="s">
        <v>737</v>
      </c>
      <c r="D49" t="b">
        <f>OR(ISNUMBER(SEARCH("wagon_",Table1[[#This Row],[FILENAMES_EXPECTED]])),ISNUMBER(SEARCH("coach_",Table1[[#This Row],[FILENAMES_EXPECTED]])))</f>
        <v>0</v>
      </c>
      <c r="E49" t="str">
        <f>"item_"&amp;Table1[[#This Row],[VEHIDCODE]]</f>
        <v>item_rbd_Italy_FS_ALn_668</v>
      </c>
      <c r="F49" t="str">
        <f>"str_"&amp;Table1[[#This Row],[VEHIDCODE]]</f>
        <v>str_rbd_Italy_FS_ALn_668</v>
      </c>
      <c r="G49">
        <v>8</v>
      </c>
      <c r="H49" t="s">
        <v>18</v>
      </c>
      <c r="I49">
        <v>0</v>
      </c>
      <c r="J49" t="s">
        <v>35</v>
      </c>
      <c r="K49">
        <v>68</v>
      </c>
      <c r="L49">
        <v>1956</v>
      </c>
      <c r="M49">
        <v>8</v>
      </c>
      <c r="N49" s="2" t="s">
        <v>24</v>
      </c>
      <c r="O49" t="b">
        <v>1</v>
      </c>
      <c r="Q49" s="2"/>
      <c r="R49">
        <v>45</v>
      </c>
      <c r="S49">
        <v>1</v>
      </c>
      <c r="T49">
        <v>335</v>
      </c>
      <c r="U49" t="s">
        <v>711</v>
      </c>
      <c r="V49">
        <v>110</v>
      </c>
      <c r="W49" s="2">
        <v>0.23</v>
      </c>
      <c r="AF49" s="2" t="b">
        <v>1</v>
      </c>
      <c r="AX49"/>
      <c r="BA49" s="2"/>
      <c r="BB49" s="2" t="b">
        <f>LEN(_xlfn.CONCAT(Table1[[#This Row],[TRACK_TYPE_STANDARD_GAUGE_RAILTYPE_OHLE]:[TRACK_TYPE_MTRO]]))&gt;0</f>
        <v>1</v>
      </c>
      <c r="BC49" s="7">
        <v>25</v>
      </c>
      <c r="BD49" t="s">
        <v>924</v>
      </c>
      <c r="BE49" t="s">
        <v>922</v>
      </c>
      <c r="BF49" t="s">
        <v>940</v>
      </c>
      <c r="BG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">
        <v>0</v>
      </c>
      <c r="BI49" t="s">
        <v>734</v>
      </c>
      <c r="BK49" s="11"/>
      <c r="BL49" s="11">
        <v>32</v>
      </c>
      <c r="BM49">
        <v>0</v>
      </c>
      <c r="BN49" t="s">
        <v>692</v>
      </c>
      <c r="BO49" t="s">
        <v>694</v>
      </c>
      <c r="BP49" t="s">
        <v>701</v>
      </c>
      <c r="BQ49" t="s">
        <v>705</v>
      </c>
      <c r="BR49" t="s">
        <v>706</v>
      </c>
      <c r="BS49" t="s">
        <v>707</v>
      </c>
    </row>
    <row r="50" spans="1:71" hidden="1" x14ac:dyDescent="0.4">
      <c r="A50" s="2" t="s">
        <v>73</v>
      </c>
      <c r="B50" t="str">
        <f>_xlfn.TEXTAFTER(Table1[[#This Row],[VEHIDCODE]],"_")</f>
        <v>Czech_Republic_CD_M400</v>
      </c>
      <c r="C50" t="s">
        <v>738</v>
      </c>
      <c r="D50" t="b">
        <f>OR(ISNUMBER(SEARCH("wagon_",Table1[[#This Row],[FILENAMES_EXPECTED]])),ISNUMBER(SEARCH("coach_",Table1[[#This Row],[FILENAMES_EXPECTED]])))</f>
        <v>0</v>
      </c>
      <c r="E50" t="str">
        <f>"item_"&amp;Table1[[#This Row],[VEHIDCODE]]</f>
        <v>item_rbe_Czech_Republic_CD_M400</v>
      </c>
      <c r="F50" t="str">
        <f>"str_"&amp;Table1[[#This Row],[VEHIDCODE]]</f>
        <v>str_rbe_Czech_Republic_CD_M400</v>
      </c>
      <c r="G50">
        <v>7</v>
      </c>
      <c r="H50" t="s">
        <v>18</v>
      </c>
      <c r="I50">
        <v>0</v>
      </c>
      <c r="J50" t="s">
        <v>74</v>
      </c>
      <c r="K50">
        <v>40</v>
      </c>
      <c r="L50">
        <v>1903</v>
      </c>
      <c r="M50">
        <v>7</v>
      </c>
      <c r="N50" s="2" t="s">
        <v>24</v>
      </c>
      <c r="O50" t="b">
        <v>1</v>
      </c>
      <c r="Q50" s="2"/>
      <c r="R50">
        <v>45</v>
      </c>
      <c r="S50">
        <v>1</v>
      </c>
      <c r="T50">
        <v>150</v>
      </c>
      <c r="U50" t="s">
        <v>709</v>
      </c>
      <c r="V50">
        <v>35</v>
      </c>
      <c r="W50" s="2">
        <v>0.33</v>
      </c>
      <c r="AB50" t="b">
        <v>1</v>
      </c>
      <c r="AX50"/>
      <c r="BA50" s="2"/>
      <c r="BB50" s="2" t="b">
        <f>LEN(_xlfn.CONCAT(Table1[[#This Row],[TRACK_TYPE_STANDARD_GAUGE_RAILTYPE_OHLE]:[TRACK_TYPE_MTRO]]))&gt;0</f>
        <v>1</v>
      </c>
      <c r="BC50" s="7">
        <v>15</v>
      </c>
      <c r="BD50" t="s">
        <v>929</v>
      </c>
      <c r="BE50" t="s">
        <v>922</v>
      </c>
      <c r="BF50" t="s">
        <v>940</v>
      </c>
      <c r="BG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">
        <v>0</v>
      </c>
      <c r="BI50" t="s">
        <v>734</v>
      </c>
      <c r="BK50" s="11"/>
      <c r="BL50" s="11">
        <v>23</v>
      </c>
      <c r="BM50">
        <v>0</v>
      </c>
      <c r="BN50" t="s">
        <v>692</v>
      </c>
      <c r="BO50" t="s">
        <v>694</v>
      </c>
      <c r="BP50" t="s">
        <v>701</v>
      </c>
      <c r="BQ50" t="s">
        <v>705</v>
      </c>
      <c r="BR50" t="s">
        <v>706</v>
      </c>
      <c r="BS50" t="s">
        <v>707</v>
      </c>
    </row>
    <row r="51" spans="1:71" hidden="1" x14ac:dyDescent="0.4">
      <c r="A51" s="2" t="s">
        <v>75</v>
      </c>
      <c r="B51" t="str">
        <f>_xlfn.TEXTAFTER(Table1[[#This Row],[VEHIDCODE]],"_")</f>
        <v>France_SNCF_Z_7100</v>
      </c>
      <c r="C51" t="s">
        <v>738</v>
      </c>
      <c r="D51" t="b">
        <f>OR(ISNUMBER(SEARCH("wagon_",Table1[[#This Row],[FILENAMES_EXPECTED]])),ISNUMBER(SEARCH("coach_",Table1[[#This Row],[FILENAMES_EXPECTED]])))</f>
        <v>0</v>
      </c>
      <c r="E51" t="str">
        <f>"item_"&amp;Table1[[#This Row],[VEHIDCODE]]</f>
        <v>item_rbe_France_SNCF_Z_7100</v>
      </c>
      <c r="F51" t="str">
        <f>"str_"&amp;Table1[[#This Row],[VEHIDCODE]]</f>
        <v>str_rbe_France_SNCF_Z_7100</v>
      </c>
      <c r="G51">
        <v>8</v>
      </c>
      <c r="H51" t="s">
        <v>18</v>
      </c>
      <c r="I51">
        <v>0</v>
      </c>
      <c r="J51" t="s">
        <v>74</v>
      </c>
      <c r="K51">
        <v>70</v>
      </c>
      <c r="L51">
        <v>1960</v>
      </c>
      <c r="M51">
        <v>8</v>
      </c>
      <c r="N51" s="2" t="s">
        <v>24</v>
      </c>
      <c r="O51" t="b">
        <v>1</v>
      </c>
      <c r="Q51" s="2"/>
      <c r="R51">
        <v>45</v>
      </c>
      <c r="S51">
        <v>1</v>
      </c>
      <c r="T51">
        <v>1260</v>
      </c>
      <c r="U51" t="s">
        <v>709</v>
      </c>
      <c r="V51">
        <v>130</v>
      </c>
      <c r="W51" s="2">
        <v>0.21</v>
      </c>
      <c r="AB51" t="b">
        <v>1</v>
      </c>
      <c r="AX51"/>
      <c r="BA51" s="2"/>
      <c r="BB51" s="2" t="b">
        <f>LEN(_xlfn.CONCAT(Table1[[#This Row],[TRACK_TYPE_STANDARD_GAUGE_RAILTYPE_OHLE]:[TRACK_TYPE_MTRO]]))&gt;0</f>
        <v>1</v>
      </c>
      <c r="BC51" s="7">
        <v>15</v>
      </c>
      <c r="BD51" t="s">
        <v>923</v>
      </c>
      <c r="BE51" t="s">
        <v>922</v>
      </c>
      <c r="BF51" t="s">
        <v>940</v>
      </c>
      <c r="BG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">
        <v>0</v>
      </c>
      <c r="BI51" t="s">
        <v>734</v>
      </c>
      <c r="BK51" s="11"/>
      <c r="BL51" s="11">
        <v>58</v>
      </c>
      <c r="BM51">
        <v>0</v>
      </c>
      <c r="BN51" t="s">
        <v>692</v>
      </c>
      <c r="BO51" t="s">
        <v>694</v>
      </c>
      <c r="BP51" t="s">
        <v>701</v>
      </c>
      <c r="BQ51" t="s">
        <v>705</v>
      </c>
      <c r="BR51" t="s">
        <v>706</v>
      </c>
      <c r="BS51" t="s">
        <v>707</v>
      </c>
    </row>
    <row r="52" spans="1:71" hidden="1" x14ac:dyDescent="0.4">
      <c r="A52" s="2" t="s">
        <v>76</v>
      </c>
      <c r="B52" t="str">
        <f>_xlfn.TEXTAFTER(Table1[[#This Row],[VEHIDCODE]],"_")</f>
        <v>Germany_Buckower_Kleinbahn_Nr_1_3</v>
      </c>
      <c r="C52" t="s">
        <v>738</v>
      </c>
      <c r="D52" t="b">
        <f>OR(ISNUMBER(SEARCH("wagon_",Table1[[#This Row],[FILENAMES_EXPECTED]])),ISNUMBER(SEARCH("coach_",Table1[[#This Row],[FILENAMES_EXPECTED]])))</f>
        <v>0</v>
      </c>
      <c r="E52" t="str">
        <f>"item_"&amp;Table1[[#This Row],[VEHIDCODE]]</f>
        <v>item_rbe_Germany_Buckower_Kleinbahn_Nr_1_3</v>
      </c>
      <c r="F52" t="str">
        <f>"str_"&amp;Table1[[#This Row],[VEHIDCODE]]</f>
        <v>str_rbe_Germany_Buckower_Kleinbahn_Nr_1_3</v>
      </c>
      <c r="G52">
        <v>4</v>
      </c>
      <c r="H52" t="s">
        <v>18</v>
      </c>
      <c r="I52">
        <v>0</v>
      </c>
      <c r="J52" t="s">
        <v>74</v>
      </c>
      <c r="K52">
        <v>50</v>
      </c>
      <c r="L52">
        <v>1930</v>
      </c>
      <c r="M52">
        <v>4</v>
      </c>
      <c r="N52" s="2" t="s">
        <v>24</v>
      </c>
      <c r="O52" t="b">
        <v>1</v>
      </c>
      <c r="Q52" s="2"/>
      <c r="R52">
        <v>45</v>
      </c>
      <c r="S52">
        <v>1</v>
      </c>
      <c r="T52">
        <v>175</v>
      </c>
      <c r="U52" t="s">
        <v>709</v>
      </c>
      <c r="V52">
        <v>50</v>
      </c>
      <c r="W52" s="2">
        <v>0.08</v>
      </c>
      <c r="AB52" t="b">
        <v>1</v>
      </c>
      <c r="AX52"/>
      <c r="BA52" s="2"/>
      <c r="BB52" s="2" t="b">
        <f>LEN(_xlfn.CONCAT(Table1[[#This Row],[TRACK_TYPE_STANDARD_GAUGE_RAILTYPE_OHLE]:[TRACK_TYPE_MTRO]]))&gt;0</f>
        <v>1</v>
      </c>
      <c r="BC52" s="7">
        <v>15</v>
      </c>
      <c r="BD52" t="s">
        <v>923</v>
      </c>
      <c r="BE52" t="s">
        <v>922</v>
      </c>
      <c r="BF52" t="s">
        <v>940</v>
      </c>
      <c r="BG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">
        <v>-3</v>
      </c>
      <c r="BI52" t="s">
        <v>734</v>
      </c>
      <c r="BK52" s="11"/>
      <c r="BL52" s="11">
        <v>23</v>
      </c>
      <c r="BM52">
        <v>0</v>
      </c>
      <c r="BN52" t="s">
        <v>692</v>
      </c>
      <c r="BO52" t="s">
        <v>694</v>
      </c>
      <c r="BP52" t="s">
        <v>701</v>
      </c>
      <c r="BQ52" t="s">
        <v>705</v>
      </c>
      <c r="BR52" t="s">
        <v>706</v>
      </c>
      <c r="BS52" t="s">
        <v>707</v>
      </c>
    </row>
    <row r="53" spans="1:71" hidden="1" x14ac:dyDescent="0.4">
      <c r="A53" s="2" t="s">
        <v>77</v>
      </c>
      <c r="B53" t="str">
        <f>_xlfn.TEXTAFTER(Table1[[#This Row],[VEHIDCODE]],"_")</f>
        <v>Germany_DB_4792</v>
      </c>
      <c r="C53" t="s">
        <v>738</v>
      </c>
      <c r="D53" t="b">
        <f>OR(ISNUMBER(SEARCH("wagon_",Table1[[#This Row],[FILENAMES_EXPECTED]])),ISNUMBER(SEARCH("coach_",Table1[[#This Row],[FILENAMES_EXPECTED]])))</f>
        <v>0</v>
      </c>
      <c r="E53" t="str">
        <f>"item_"&amp;Table1[[#This Row],[VEHIDCODE]]</f>
        <v>item_rbe_Germany_DB_4792</v>
      </c>
      <c r="F53" t="str">
        <f>"str_"&amp;Table1[[#This Row],[VEHIDCODE]]</f>
        <v>str_rbe_Germany_DB_4792</v>
      </c>
      <c r="G53">
        <v>5</v>
      </c>
      <c r="H53" t="s">
        <v>18</v>
      </c>
      <c r="I53">
        <v>0</v>
      </c>
      <c r="J53" t="s">
        <v>74</v>
      </c>
      <c r="K53">
        <v>24</v>
      </c>
      <c r="L53">
        <v>1982</v>
      </c>
      <c r="M53">
        <v>5</v>
      </c>
      <c r="N53" s="2" t="s">
        <v>24</v>
      </c>
      <c r="O53" t="b">
        <v>1</v>
      </c>
      <c r="Q53" s="2"/>
      <c r="R53">
        <v>45</v>
      </c>
      <c r="S53">
        <v>1</v>
      </c>
      <c r="T53">
        <v>160</v>
      </c>
      <c r="U53" t="s">
        <v>709</v>
      </c>
      <c r="V53">
        <v>50</v>
      </c>
      <c r="W53" s="2">
        <v>0.13</v>
      </c>
      <c r="AB53" t="b">
        <v>1</v>
      </c>
      <c r="AX53"/>
      <c r="BA53" s="2"/>
      <c r="BB53" s="2" t="b">
        <f>LEN(_xlfn.CONCAT(Table1[[#This Row],[TRACK_TYPE_STANDARD_GAUGE_RAILTYPE_OHLE]:[TRACK_TYPE_MTRO]]))&gt;0</f>
        <v>1</v>
      </c>
      <c r="BC53" s="7">
        <v>15</v>
      </c>
      <c r="BD53" t="s">
        <v>923</v>
      </c>
      <c r="BE53" t="s">
        <v>922</v>
      </c>
      <c r="BF53" t="s">
        <v>940</v>
      </c>
      <c r="BG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">
        <v>-3</v>
      </c>
      <c r="BI53" t="s">
        <v>734</v>
      </c>
      <c r="BK53" s="11"/>
      <c r="BL53" s="11">
        <v>20</v>
      </c>
      <c r="BM53">
        <v>0</v>
      </c>
      <c r="BN53" t="s">
        <v>692</v>
      </c>
      <c r="BO53" t="s">
        <v>694</v>
      </c>
      <c r="BP53" t="s">
        <v>701</v>
      </c>
      <c r="BQ53" t="s">
        <v>705</v>
      </c>
      <c r="BR53" t="s">
        <v>706</v>
      </c>
      <c r="BS53" t="s">
        <v>707</v>
      </c>
    </row>
    <row r="54" spans="1:71" hidden="1" x14ac:dyDescent="0.4">
      <c r="A54" s="2" t="s">
        <v>78</v>
      </c>
      <c r="B54" t="str">
        <f>_xlfn.TEXTAFTER(Table1[[#This Row],[VEHIDCODE]],"_")</f>
        <v>Slovakia_ZSSK_490</v>
      </c>
      <c r="C54" t="s">
        <v>738</v>
      </c>
      <c r="D54" t="b">
        <f>OR(ISNUMBER(SEARCH("wagon_",Table1[[#This Row],[FILENAMES_EXPECTED]])),ISNUMBER(SEARCH("coach_",Table1[[#This Row],[FILENAMES_EXPECTED]])))</f>
        <v>0</v>
      </c>
      <c r="E54" t="str">
        <f>"item_"&amp;Table1[[#This Row],[VEHIDCODE]]</f>
        <v>item_rbe_Slovakia_ZSSK_490</v>
      </c>
      <c r="F54" t="str">
        <f>"str_"&amp;Table1[[#This Row],[VEHIDCODE]]</f>
        <v>str_rbe_Slovakia_ZSSK_490</v>
      </c>
      <c r="G54">
        <v>7</v>
      </c>
      <c r="H54" t="s">
        <v>18</v>
      </c>
      <c r="I54">
        <v>0</v>
      </c>
      <c r="J54" t="s">
        <v>74</v>
      </c>
      <c r="K54">
        <v>48</v>
      </c>
      <c r="L54">
        <v>1930</v>
      </c>
      <c r="M54">
        <v>7</v>
      </c>
      <c r="N54" s="2" t="s">
        <v>24</v>
      </c>
      <c r="O54" t="b">
        <v>1</v>
      </c>
      <c r="Q54" s="2"/>
      <c r="R54">
        <v>45</v>
      </c>
      <c r="S54">
        <v>1</v>
      </c>
      <c r="T54">
        <v>270</v>
      </c>
      <c r="U54" t="s">
        <v>709</v>
      </c>
      <c r="V54">
        <v>40</v>
      </c>
      <c r="W54" s="2">
        <v>0.08</v>
      </c>
      <c r="AB54" t="b">
        <v>1</v>
      </c>
      <c r="AX54"/>
      <c r="BA54" s="2"/>
      <c r="BB54" s="2" t="b">
        <f>LEN(_xlfn.CONCAT(Table1[[#This Row],[TRACK_TYPE_STANDARD_GAUGE_RAILTYPE_OHLE]:[TRACK_TYPE_MTRO]]))&gt;0</f>
        <v>1</v>
      </c>
      <c r="BC54" s="7">
        <v>15</v>
      </c>
      <c r="BD54" t="s">
        <v>929</v>
      </c>
      <c r="BE54" t="s">
        <v>922</v>
      </c>
      <c r="BF54" t="s">
        <v>940</v>
      </c>
      <c r="BG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">
        <v>0</v>
      </c>
      <c r="BI54" t="s">
        <v>734</v>
      </c>
      <c r="BK54" s="11"/>
      <c r="BL54" s="11">
        <v>45</v>
      </c>
      <c r="BM54">
        <v>0</v>
      </c>
      <c r="BN54" t="s">
        <v>692</v>
      </c>
      <c r="BO54" t="s">
        <v>694</v>
      </c>
      <c r="BP54" t="s">
        <v>701</v>
      </c>
      <c r="BQ54" t="s">
        <v>705</v>
      </c>
      <c r="BR54" t="s">
        <v>706</v>
      </c>
      <c r="BS54" t="s">
        <v>707</v>
      </c>
    </row>
    <row r="55" spans="1:71" hidden="1" x14ac:dyDescent="0.4">
      <c r="A55" s="2" t="s">
        <v>79</v>
      </c>
      <c r="B55" t="str">
        <f>_xlfn.TEXTAFTER(Table1[[#This Row],[VEHIDCODE]],"_")</f>
        <v>Italy_FS_ALe_840</v>
      </c>
      <c r="C55" t="s">
        <v>738</v>
      </c>
      <c r="D55" t="b">
        <f>OR(ISNUMBER(SEARCH("wagon_",Table1[[#This Row],[FILENAMES_EXPECTED]])),ISNUMBER(SEARCH("coach_",Table1[[#This Row],[FILENAMES_EXPECTED]])))</f>
        <v>0</v>
      </c>
      <c r="E55" t="str">
        <f>"item_"&amp;Table1[[#This Row],[VEHIDCODE]]</f>
        <v>item_rbe_Italy_FS_ALe_840</v>
      </c>
      <c r="F55" t="str">
        <f>"str_"&amp;Table1[[#This Row],[VEHIDCODE]]</f>
        <v>str_rbe_Italy_FS_ALe_840</v>
      </c>
      <c r="G55">
        <v>8</v>
      </c>
      <c r="H55" t="s">
        <v>18</v>
      </c>
      <c r="I55">
        <v>0</v>
      </c>
      <c r="J55" t="s">
        <v>74</v>
      </c>
      <c r="K55">
        <v>84</v>
      </c>
      <c r="L55">
        <v>1949</v>
      </c>
      <c r="M55">
        <v>8</v>
      </c>
      <c r="N55" s="2" t="s">
        <v>24</v>
      </c>
      <c r="O55" t="b">
        <v>1</v>
      </c>
      <c r="Q55" s="2"/>
      <c r="R55">
        <v>45</v>
      </c>
      <c r="S55">
        <v>1</v>
      </c>
      <c r="T55">
        <v>800</v>
      </c>
      <c r="U55" t="s">
        <v>709</v>
      </c>
      <c r="V55">
        <v>150</v>
      </c>
      <c r="W55" s="2">
        <v>0.21</v>
      </c>
      <c r="X55" t="b">
        <v>1</v>
      </c>
      <c r="AX55"/>
      <c r="BA55" s="2"/>
      <c r="BB55" s="2" t="b">
        <f>LEN(_xlfn.CONCAT(Table1[[#This Row],[TRACK_TYPE_STANDARD_GAUGE_RAILTYPE_OHLE]:[TRACK_TYPE_MTRO]]))&gt;0</f>
        <v>1</v>
      </c>
      <c r="BC55" s="7">
        <v>15</v>
      </c>
      <c r="BD55" t="s">
        <v>924</v>
      </c>
      <c r="BE55" t="s">
        <v>922</v>
      </c>
      <c r="BF55" t="s">
        <v>940</v>
      </c>
      <c r="BG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">
        <v>-3</v>
      </c>
      <c r="BI55" t="s">
        <v>734</v>
      </c>
      <c r="BK55" s="11"/>
      <c r="BL55" s="11">
        <v>58</v>
      </c>
      <c r="BM55">
        <v>0</v>
      </c>
      <c r="BN55" t="s">
        <v>692</v>
      </c>
      <c r="BO55" t="s">
        <v>694</v>
      </c>
      <c r="BP55" t="s">
        <v>701</v>
      </c>
      <c r="BQ55" t="s">
        <v>705</v>
      </c>
      <c r="BR55" t="s">
        <v>706</v>
      </c>
      <c r="BS55" t="s">
        <v>707</v>
      </c>
    </row>
    <row r="56" spans="1:71" hidden="1" x14ac:dyDescent="0.4">
      <c r="A56" s="2" t="s">
        <v>80</v>
      </c>
      <c r="B56" t="str">
        <f>_xlfn.TEXTAFTER(Table1[[#This Row],[VEHIDCODE]],"_")</f>
        <v>Italy_FG_ALe_80</v>
      </c>
      <c r="C56" t="s">
        <v>738</v>
      </c>
      <c r="D56" t="b">
        <f>OR(ISNUMBER(SEARCH("wagon_",Table1[[#This Row],[FILENAMES_EXPECTED]])),ISNUMBER(SEARCH("coach_",Table1[[#This Row],[FILENAMES_EXPECTED]])))</f>
        <v>0</v>
      </c>
      <c r="E56" t="str">
        <f>"item_"&amp;Table1[[#This Row],[VEHIDCODE]]</f>
        <v>item_rbe_Italy_FG_ALe_80</v>
      </c>
      <c r="F56" t="str">
        <f>"str_"&amp;Table1[[#This Row],[VEHIDCODE]]</f>
        <v>str_rbe_Italy_FG_ALe_80</v>
      </c>
      <c r="G56">
        <v>7</v>
      </c>
      <c r="H56" t="s">
        <v>18</v>
      </c>
      <c r="I56">
        <v>0</v>
      </c>
      <c r="J56" t="s">
        <v>74</v>
      </c>
      <c r="K56">
        <v>80</v>
      </c>
      <c r="L56">
        <v>1981</v>
      </c>
      <c r="M56">
        <v>7</v>
      </c>
      <c r="N56" s="2" t="s">
        <v>24</v>
      </c>
      <c r="O56" t="b">
        <v>1</v>
      </c>
      <c r="Q56" s="2"/>
      <c r="R56">
        <v>45</v>
      </c>
      <c r="S56">
        <v>1</v>
      </c>
      <c r="T56">
        <v>720</v>
      </c>
      <c r="U56" t="s">
        <v>709</v>
      </c>
      <c r="V56">
        <v>120</v>
      </c>
      <c r="W56" s="2">
        <v>0.17</v>
      </c>
      <c r="X56" t="b">
        <v>1</v>
      </c>
      <c r="AX56"/>
      <c r="BA56" s="2"/>
      <c r="BB56" s="2" t="b">
        <f>LEN(_xlfn.CONCAT(Table1[[#This Row],[TRACK_TYPE_STANDARD_GAUGE_RAILTYPE_OHLE]:[TRACK_TYPE_MTRO]]))&gt;0</f>
        <v>1</v>
      </c>
      <c r="BC56" s="7">
        <v>15</v>
      </c>
      <c r="BD56" t="s">
        <v>924</v>
      </c>
      <c r="BE56" t="s">
        <v>922</v>
      </c>
      <c r="BF56" t="s">
        <v>940</v>
      </c>
      <c r="BG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">
        <v>0</v>
      </c>
      <c r="BI56" t="s">
        <v>734</v>
      </c>
      <c r="BK56" s="11"/>
      <c r="BL56" s="11">
        <v>49</v>
      </c>
      <c r="BM56">
        <v>0</v>
      </c>
      <c r="BN56" t="s">
        <v>692</v>
      </c>
      <c r="BO56" t="s">
        <v>694</v>
      </c>
      <c r="BP56" t="s">
        <v>701</v>
      </c>
      <c r="BQ56" t="s">
        <v>705</v>
      </c>
      <c r="BR56" t="s">
        <v>706</v>
      </c>
      <c r="BS56" t="s">
        <v>707</v>
      </c>
    </row>
    <row r="57" spans="1:71" hidden="1" x14ac:dyDescent="0.4">
      <c r="A57" s="2" t="s">
        <v>81</v>
      </c>
      <c r="B57" t="str">
        <f>_xlfn.TEXTAFTER(Table1[[#This Row],[VEHIDCODE]],"_")</f>
        <v>Italy_FS_E623</v>
      </c>
      <c r="C57" t="s">
        <v>738</v>
      </c>
      <c r="D57" t="b">
        <f>OR(ISNUMBER(SEARCH("wagon_",Table1[[#This Row],[FILENAMES_EXPECTED]])),ISNUMBER(SEARCH("coach_",Table1[[#This Row],[FILENAMES_EXPECTED]])))</f>
        <v>0</v>
      </c>
      <c r="E57" t="str">
        <f>"item_"&amp;Table1[[#This Row],[VEHIDCODE]]</f>
        <v>item_rbe_Italy_FS_E623</v>
      </c>
      <c r="F57" t="str">
        <f>"str_"&amp;Table1[[#This Row],[VEHIDCODE]]</f>
        <v>str_rbe_Italy_FS_E623</v>
      </c>
      <c r="G57">
        <v>8</v>
      </c>
      <c r="H57" t="s">
        <v>18</v>
      </c>
      <c r="I57">
        <v>0</v>
      </c>
      <c r="J57" t="s">
        <v>74</v>
      </c>
      <c r="K57">
        <v>54</v>
      </c>
      <c r="L57">
        <v>1950</v>
      </c>
      <c r="M57">
        <v>8</v>
      </c>
      <c r="N57" s="2" t="s">
        <v>24</v>
      </c>
      <c r="O57" t="b">
        <v>1</v>
      </c>
      <c r="Q57" s="2"/>
      <c r="R57">
        <v>45</v>
      </c>
      <c r="S57">
        <v>1</v>
      </c>
      <c r="T57">
        <v>965</v>
      </c>
      <c r="U57" t="s">
        <v>709</v>
      </c>
      <c r="V57">
        <v>110</v>
      </c>
      <c r="W57" s="2">
        <v>0.08</v>
      </c>
      <c r="X57" t="b">
        <v>1</v>
      </c>
      <c r="AX57"/>
      <c r="BA57" s="2"/>
      <c r="BB57" s="2" t="b">
        <f>LEN(_xlfn.CONCAT(Table1[[#This Row],[TRACK_TYPE_STANDARD_GAUGE_RAILTYPE_OHLE]:[TRACK_TYPE_MTRO]]))&gt;0</f>
        <v>1</v>
      </c>
      <c r="BC57" s="7">
        <v>15</v>
      </c>
      <c r="BD57" t="s">
        <v>924</v>
      </c>
      <c r="BE57" t="s">
        <v>922</v>
      </c>
      <c r="BF57" t="s">
        <v>940</v>
      </c>
      <c r="BG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7">
        <v>0</v>
      </c>
      <c r="BI57" t="s">
        <v>734</v>
      </c>
      <c r="BK57" s="11"/>
      <c r="BL57" s="11">
        <v>66</v>
      </c>
      <c r="BM57">
        <v>0</v>
      </c>
      <c r="BN57" t="s">
        <v>692</v>
      </c>
      <c r="BO57" t="s">
        <v>694</v>
      </c>
      <c r="BP57" t="s">
        <v>701</v>
      </c>
      <c r="BQ57" t="s">
        <v>705</v>
      </c>
      <c r="BR57" t="s">
        <v>706</v>
      </c>
      <c r="BS57" t="s">
        <v>707</v>
      </c>
    </row>
    <row r="58" spans="1:71" hidden="1" x14ac:dyDescent="0.4">
      <c r="A58" s="2" t="s">
        <v>82</v>
      </c>
      <c r="B58" t="str">
        <f>_xlfn.TEXTAFTER(Table1[[#This Row],[VEHIDCODE]],"_")</f>
        <v>Morocco_ONCFM_ZAB1000</v>
      </c>
      <c r="C58" t="s">
        <v>738</v>
      </c>
      <c r="D58" t="b">
        <f>OR(ISNUMBER(SEARCH("wagon_",Table1[[#This Row],[FILENAMES_EXPECTED]])),ISNUMBER(SEARCH("coach_",Table1[[#This Row],[FILENAMES_EXPECTED]])))</f>
        <v>0</v>
      </c>
      <c r="E58" t="str">
        <f>"item_"&amp;Table1[[#This Row],[VEHIDCODE]]</f>
        <v>item_rbe_Morocco_ONCFM_ZAB1000</v>
      </c>
      <c r="F58" t="str">
        <f>"str_"&amp;Table1[[#This Row],[VEHIDCODE]]</f>
        <v>str_rbe_Morocco_ONCFM_ZAB1000</v>
      </c>
      <c r="G58">
        <v>8</v>
      </c>
      <c r="H58" t="s">
        <v>18</v>
      </c>
      <c r="I58">
        <v>0</v>
      </c>
      <c r="J58" t="s">
        <v>74</v>
      </c>
      <c r="K58">
        <v>44</v>
      </c>
      <c r="L58">
        <v>1925</v>
      </c>
      <c r="M58">
        <v>8</v>
      </c>
      <c r="N58" s="2" t="s">
        <v>24</v>
      </c>
      <c r="O58" t="b">
        <v>1</v>
      </c>
      <c r="Q58" s="2"/>
      <c r="R58">
        <v>45</v>
      </c>
      <c r="S58">
        <v>1</v>
      </c>
      <c r="T58">
        <v>480</v>
      </c>
      <c r="U58" t="s">
        <v>709</v>
      </c>
      <c r="V58">
        <v>85</v>
      </c>
      <c r="W58" s="2">
        <v>0.13</v>
      </c>
      <c r="X58" t="b">
        <v>1</v>
      </c>
      <c r="AX58"/>
      <c r="BA58" s="2"/>
      <c r="BB58" s="2" t="b">
        <f>LEN(_xlfn.CONCAT(Table1[[#This Row],[TRACK_TYPE_STANDARD_GAUGE_RAILTYPE_OHLE]:[TRACK_TYPE_MTRO]]))&gt;0</f>
        <v>1</v>
      </c>
      <c r="BC58" s="7">
        <v>15</v>
      </c>
      <c r="BD58" t="s">
        <v>926</v>
      </c>
      <c r="BE58" t="s">
        <v>922</v>
      </c>
      <c r="BF58" t="s">
        <v>940</v>
      </c>
      <c r="BG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8">
        <v>-3</v>
      </c>
      <c r="BI58" t="s">
        <v>734</v>
      </c>
      <c r="BK58" s="11"/>
      <c r="BL58" s="11">
        <v>40</v>
      </c>
      <c r="BM58">
        <v>0</v>
      </c>
      <c r="BN58" t="s">
        <v>692</v>
      </c>
      <c r="BO58" t="s">
        <v>694</v>
      </c>
      <c r="BP58" t="s">
        <v>701</v>
      </c>
      <c r="BQ58" t="s">
        <v>705</v>
      </c>
      <c r="BR58" t="s">
        <v>706</v>
      </c>
      <c r="BS58" t="s">
        <v>707</v>
      </c>
    </row>
    <row r="59" spans="1:71" hidden="1" x14ac:dyDescent="0.4">
      <c r="A59" s="2" t="s">
        <v>83</v>
      </c>
      <c r="B59" t="str">
        <f>_xlfn.TEXTAFTER(Table1[[#This Row],[VEHIDCODE]],"_")</f>
        <v>Poland_PKP_EN81</v>
      </c>
      <c r="C59" t="s">
        <v>738</v>
      </c>
      <c r="D59" t="b">
        <f>OR(ISNUMBER(SEARCH("wagon_",Table1[[#This Row],[FILENAMES_EXPECTED]])),ISNUMBER(SEARCH("coach_",Table1[[#This Row],[FILENAMES_EXPECTED]])))</f>
        <v>0</v>
      </c>
      <c r="E59" t="str">
        <f>"item_"&amp;Table1[[#This Row],[VEHIDCODE]]</f>
        <v>item_rbe_Poland_PKP_EN81</v>
      </c>
      <c r="F59" t="str">
        <f>"str_"&amp;Table1[[#This Row],[VEHIDCODE]]</f>
        <v>str_rbe_Poland_PKP_EN81</v>
      </c>
      <c r="G59">
        <v>8</v>
      </c>
      <c r="H59" t="s">
        <v>18</v>
      </c>
      <c r="I59">
        <v>0</v>
      </c>
      <c r="J59" t="s">
        <v>74</v>
      </c>
      <c r="K59">
        <v>60</v>
      </c>
      <c r="L59">
        <v>2005</v>
      </c>
      <c r="M59">
        <v>8</v>
      </c>
      <c r="N59" s="2" t="s">
        <v>24</v>
      </c>
      <c r="O59" t="b">
        <v>1</v>
      </c>
      <c r="Q59" s="2"/>
      <c r="R59" t="s">
        <v>21</v>
      </c>
      <c r="S59">
        <v>1</v>
      </c>
      <c r="T59">
        <v>750</v>
      </c>
      <c r="U59" t="s">
        <v>709</v>
      </c>
      <c r="V59">
        <v>120</v>
      </c>
      <c r="W59" s="2">
        <v>0.08</v>
      </c>
      <c r="X59" t="b">
        <v>1</v>
      </c>
      <c r="AX59"/>
      <c r="BA59" s="2"/>
      <c r="BB59" s="2" t="b">
        <f>LEN(_xlfn.CONCAT(Table1[[#This Row],[TRACK_TYPE_STANDARD_GAUGE_RAILTYPE_OHLE]:[TRACK_TYPE_MTRO]]))&gt;0</f>
        <v>1</v>
      </c>
      <c r="BC59" s="7">
        <v>15</v>
      </c>
      <c r="BD59" t="s">
        <v>929</v>
      </c>
      <c r="BE59" t="s">
        <v>922</v>
      </c>
      <c r="BF59" t="s">
        <v>940</v>
      </c>
      <c r="BG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">
        <v>0</v>
      </c>
      <c r="BI59" t="s">
        <v>734</v>
      </c>
      <c r="BK59" s="11"/>
      <c r="BL59" s="11">
        <v>53</v>
      </c>
      <c r="BM59">
        <v>0</v>
      </c>
      <c r="BN59" t="s">
        <v>692</v>
      </c>
      <c r="BO59" t="s">
        <v>694</v>
      </c>
      <c r="BP59" t="s">
        <v>701</v>
      </c>
      <c r="BQ59" t="s">
        <v>705</v>
      </c>
      <c r="BR59" t="s">
        <v>706</v>
      </c>
      <c r="BS59" t="s">
        <v>707</v>
      </c>
    </row>
    <row r="60" spans="1:71" hidden="1" x14ac:dyDescent="0.4">
      <c r="A60" s="2" t="s">
        <v>84</v>
      </c>
      <c r="B60" t="str">
        <f>_xlfn.TEXTAFTER(Table1[[#This Row],[VEHIDCODE]],"_")</f>
        <v>Austria_OBB_4855</v>
      </c>
      <c r="C60" t="s">
        <v>738</v>
      </c>
      <c r="D60" t="b">
        <f>OR(ISNUMBER(SEARCH("wagon_",Table1[[#This Row],[FILENAMES_EXPECTED]])),ISNUMBER(SEARCH("coach_",Table1[[#This Row],[FILENAMES_EXPECTED]])))</f>
        <v>0</v>
      </c>
      <c r="E60" t="str">
        <f>"item_"&amp;Table1[[#This Row],[VEHIDCODE]]</f>
        <v>item_rbe_Austria_OBB_4855</v>
      </c>
      <c r="F60" t="str">
        <f>"str_"&amp;Table1[[#This Row],[VEHIDCODE]]</f>
        <v>str_rbe_Austria_OBB_4855</v>
      </c>
      <c r="G60">
        <v>8</v>
      </c>
      <c r="H60" t="s">
        <v>18</v>
      </c>
      <c r="I60">
        <v>0</v>
      </c>
      <c r="J60" t="s">
        <v>74</v>
      </c>
      <c r="K60">
        <v>64</v>
      </c>
      <c r="L60">
        <v>1989</v>
      </c>
      <c r="M60">
        <v>8</v>
      </c>
      <c r="N60" s="2" t="s">
        <v>24</v>
      </c>
      <c r="O60" t="b">
        <v>1</v>
      </c>
      <c r="Q60" s="2"/>
      <c r="R60">
        <v>45</v>
      </c>
      <c r="S60">
        <v>1</v>
      </c>
      <c r="T60">
        <v>643</v>
      </c>
      <c r="U60" t="s">
        <v>709</v>
      </c>
      <c r="V60">
        <v>120</v>
      </c>
      <c r="W60" s="2">
        <v>0.21</v>
      </c>
      <c r="Z60" t="b">
        <v>1</v>
      </c>
      <c r="AX60"/>
      <c r="BA60" s="2"/>
      <c r="BB60" s="2" t="b">
        <f>LEN(_xlfn.CONCAT(Table1[[#This Row],[TRACK_TYPE_STANDARD_GAUGE_RAILTYPE_OHLE]:[TRACK_TYPE_MTRO]]))&gt;0</f>
        <v>1</v>
      </c>
      <c r="BC60" s="7">
        <v>15</v>
      </c>
      <c r="BD60" t="s">
        <v>923</v>
      </c>
      <c r="BE60" t="s">
        <v>922</v>
      </c>
      <c r="BF60" t="s">
        <v>940</v>
      </c>
      <c r="BG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">
        <v>0</v>
      </c>
      <c r="BI60" t="s">
        <v>734</v>
      </c>
      <c r="BK60" s="11"/>
      <c r="BL60" s="11">
        <v>42</v>
      </c>
      <c r="BM60">
        <v>0</v>
      </c>
      <c r="BN60" t="s">
        <v>692</v>
      </c>
      <c r="BO60" t="s">
        <v>694</v>
      </c>
      <c r="BP60" t="s">
        <v>701</v>
      </c>
      <c r="BQ60" t="s">
        <v>705</v>
      </c>
      <c r="BR60" t="s">
        <v>706</v>
      </c>
      <c r="BS60" t="s">
        <v>707</v>
      </c>
    </row>
    <row r="61" spans="1:71" hidden="1" x14ac:dyDescent="0.4">
      <c r="A61" s="2" t="s">
        <v>85</v>
      </c>
      <c r="B61" t="str">
        <f>_xlfn.TEXTAFTER(Table1[[#This Row],[VEHIDCODE]],"_")</f>
        <v>Austria_MBS_ET_10109</v>
      </c>
      <c r="C61" t="s">
        <v>738</v>
      </c>
      <c r="D61" t="b">
        <f>OR(ISNUMBER(SEARCH("wagon_",Table1[[#This Row],[FILENAMES_EXPECTED]])),ISNUMBER(SEARCH("coach_",Table1[[#This Row],[FILENAMES_EXPECTED]])))</f>
        <v>0</v>
      </c>
      <c r="E61" t="str">
        <f>"item_"&amp;Table1[[#This Row],[VEHIDCODE]]</f>
        <v>item_rbe_Austria_MBS_ET_10109</v>
      </c>
      <c r="F61" t="str">
        <f>"str_"&amp;Table1[[#This Row],[VEHIDCODE]]</f>
        <v>str_rbe_Austria_MBS_ET_10109</v>
      </c>
      <c r="G61">
        <v>8</v>
      </c>
      <c r="H61" t="s">
        <v>18</v>
      </c>
      <c r="I61">
        <v>0</v>
      </c>
      <c r="J61" t="s">
        <v>74</v>
      </c>
      <c r="K61">
        <v>56</v>
      </c>
      <c r="L61">
        <v>2001</v>
      </c>
      <c r="M61">
        <v>8</v>
      </c>
      <c r="N61" s="2" t="s">
        <v>24</v>
      </c>
      <c r="O61" t="b">
        <v>1</v>
      </c>
      <c r="Q61" s="2"/>
      <c r="R61" t="s">
        <v>21</v>
      </c>
      <c r="S61">
        <v>1</v>
      </c>
      <c r="T61">
        <v>1180</v>
      </c>
      <c r="U61" t="s">
        <v>709</v>
      </c>
      <c r="V61">
        <v>140</v>
      </c>
      <c r="W61" s="2">
        <v>0.28999999999999998</v>
      </c>
      <c r="Z61" t="b">
        <v>1</v>
      </c>
      <c r="AX61"/>
      <c r="BA61" s="2"/>
      <c r="BB61" s="2" t="b">
        <f>LEN(_xlfn.CONCAT(Table1[[#This Row],[TRACK_TYPE_STANDARD_GAUGE_RAILTYPE_OHLE]:[TRACK_TYPE_MTRO]]))&gt;0</f>
        <v>1</v>
      </c>
      <c r="BC61" s="7">
        <v>15</v>
      </c>
      <c r="BD61" t="s">
        <v>923</v>
      </c>
      <c r="BE61" t="s">
        <v>922</v>
      </c>
      <c r="BF61" t="s">
        <v>940</v>
      </c>
      <c r="BG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">
        <v>0</v>
      </c>
      <c r="BI61" t="s">
        <v>734</v>
      </c>
      <c r="BK61" s="11"/>
      <c r="BL61" s="11">
        <v>25</v>
      </c>
      <c r="BM61">
        <v>0</v>
      </c>
      <c r="BN61" t="s">
        <v>692</v>
      </c>
      <c r="BO61" t="s">
        <v>694</v>
      </c>
      <c r="BP61" t="s">
        <v>701</v>
      </c>
      <c r="BQ61" t="s">
        <v>705</v>
      </c>
      <c r="BR61" t="s">
        <v>706</v>
      </c>
      <c r="BS61" t="s">
        <v>707</v>
      </c>
    </row>
    <row r="62" spans="1:71" hidden="1" x14ac:dyDescent="0.4">
      <c r="A62" s="2" t="s">
        <v>86</v>
      </c>
      <c r="B62" t="str">
        <f>_xlfn.TEXTAFTER(Table1[[#This Row],[VEHIDCODE]],"_")</f>
        <v>Germany_DB_ET_85</v>
      </c>
      <c r="C62" t="s">
        <v>738</v>
      </c>
      <c r="D62" t="b">
        <f>OR(ISNUMBER(SEARCH("wagon_",Table1[[#This Row],[FILENAMES_EXPECTED]])),ISNUMBER(SEARCH("coach_",Table1[[#This Row],[FILENAMES_EXPECTED]])))</f>
        <v>0</v>
      </c>
      <c r="E62" t="str">
        <f>"item_"&amp;Table1[[#This Row],[VEHIDCODE]]</f>
        <v>item_rbe_Germany_DB_ET_85</v>
      </c>
      <c r="F62" t="str">
        <f>"str_"&amp;Table1[[#This Row],[VEHIDCODE]]</f>
        <v>str_rbe_Germany_DB_ET_85</v>
      </c>
      <c r="G62">
        <v>8</v>
      </c>
      <c r="H62" t="s">
        <v>18</v>
      </c>
      <c r="I62">
        <v>0</v>
      </c>
      <c r="J62" t="s">
        <v>74</v>
      </c>
      <c r="K62">
        <v>75</v>
      </c>
      <c r="L62">
        <v>1927</v>
      </c>
      <c r="M62">
        <v>8</v>
      </c>
      <c r="N62" s="2" t="s">
        <v>24</v>
      </c>
      <c r="O62" t="b">
        <v>1</v>
      </c>
      <c r="Q62" s="2"/>
      <c r="R62">
        <v>45</v>
      </c>
      <c r="S62">
        <v>1</v>
      </c>
      <c r="T62">
        <v>740</v>
      </c>
      <c r="U62" t="s">
        <v>709</v>
      </c>
      <c r="V62">
        <v>75</v>
      </c>
      <c r="W62" s="2">
        <v>0.16</v>
      </c>
      <c r="Z62" t="b">
        <v>1</v>
      </c>
      <c r="AX62"/>
      <c r="BA62" s="2"/>
      <c r="BB62" s="2" t="b">
        <f>LEN(_xlfn.CONCAT(Table1[[#This Row],[TRACK_TYPE_STANDARD_GAUGE_RAILTYPE_OHLE]:[TRACK_TYPE_MTRO]]))&gt;0</f>
        <v>1</v>
      </c>
      <c r="BC62" s="7">
        <v>15</v>
      </c>
      <c r="BD62" t="s">
        <v>923</v>
      </c>
      <c r="BE62" t="s">
        <v>922</v>
      </c>
      <c r="BF62" t="s">
        <v>940</v>
      </c>
      <c r="BG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">
        <v>-3</v>
      </c>
      <c r="BI62" t="s">
        <v>734</v>
      </c>
      <c r="BK62" s="11"/>
      <c r="BL62" s="11">
        <v>61</v>
      </c>
      <c r="BM62">
        <v>0</v>
      </c>
      <c r="BN62" t="s">
        <v>692</v>
      </c>
      <c r="BO62" t="s">
        <v>694</v>
      </c>
      <c r="BP62" t="s">
        <v>701</v>
      </c>
      <c r="BQ62" t="s">
        <v>705</v>
      </c>
      <c r="BR62" t="s">
        <v>706</v>
      </c>
      <c r="BS62" t="s">
        <v>707</v>
      </c>
    </row>
    <row r="63" spans="1:71" hidden="1" x14ac:dyDescent="0.4">
      <c r="A63" s="2" t="s">
        <v>87</v>
      </c>
      <c r="B63" t="str">
        <f>_xlfn.TEXTAFTER(Table1[[#This Row],[VEHIDCODE]],"_")</f>
        <v>Sweden_SJ_X16</v>
      </c>
      <c r="C63" t="s">
        <v>738</v>
      </c>
      <c r="D63" t="b">
        <f>OR(ISNUMBER(SEARCH("wagon_",Table1[[#This Row],[FILENAMES_EXPECTED]])),ISNUMBER(SEARCH("coach_",Table1[[#This Row],[FILENAMES_EXPECTED]])))</f>
        <v>0</v>
      </c>
      <c r="E63" t="str">
        <f>"item_"&amp;Table1[[#This Row],[VEHIDCODE]]</f>
        <v>item_rbe_Sweden_SJ_X16</v>
      </c>
      <c r="F63" t="str">
        <f>"str_"&amp;Table1[[#This Row],[VEHIDCODE]]</f>
        <v>str_rbe_Sweden_SJ_X16</v>
      </c>
      <c r="G63">
        <v>6</v>
      </c>
      <c r="H63" t="s">
        <v>18</v>
      </c>
      <c r="I63">
        <v>0</v>
      </c>
      <c r="J63" t="s">
        <v>74</v>
      </c>
      <c r="K63">
        <v>55</v>
      </c>
      <c r="L63">
        <v>1955</v>
      </c>
      <c r="M63">
        <v>6</v>
      </c>
      <c r="N63" s="2" t="s">
        <v>24</v>
      </c>
      <c r="O63" t="b">
        <v>1</v>
      </c>
      <c r="Q63" s="2"/>
      <c r="R63">
        <v>45</v>
      </c>
      <c r="S63">
        <v>1</v>
      </c>
      <c r="T63">
        <v>230</v>
      </c>
      <c r="U63" t="s">
        <v>709</v>
      </c>
      <c r="V63">
        <v>110</v>
      </c>
      <c r="W63" s="2">
        <v>0.34</v>
      </c>
      <c r="Z63" t="b">
        <v>1</v>
      </c>
      <c r="AX63"/>
      <c r="BA63" s="2"/>
      <c r="BB63" s="2" t="b">
        <f>LEN(_xlfn.CONCAT(Table1[[#This Row],[TRACK_TYPE_STANDARD_GAUGE_RAILTYPE_OHLE]:[TRACK_TYPE_MTRO]]))&gt;0</f>
        <v>1</v>
      </c>
      <c r="BC63" s="7">
        <v>15</v>
      </c>
      <c r="BD63" t="s">
        <v>927</v>
      </c>
      <c r="BE63" t="s">
        <v>922</v>
      </c>
      <c r="BF63" t="s">
        <v>940</v>
      </c>
      <c r="BG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">
        <v>0</v>
      </c>
      <c r="BI63" t="s">
        <v>734</v>
      </c>
      <c r="BK63" s="11"/>
      <c r="BL63" s="11">
        <v>21</v>
      </c>
      <c r="BM63">
        <v>0</v>
      </c>
      <c r="BN63" t="s">
        <v>692</v>
      </c>
      <c r="BO63" t="s">
        <v>694</v>
      </c>
      <c r="BP63" t="s">
        <v>701</v>
      </c>
      <c r="BQ63" t="s">
        <v>705</v>
      </c>
      <c r="BR63" t="s">
        <v>706</v>
      </c>
      <c r="BS63" t="s">
        <v>707</v>
      </c>
    </row>
    <row r="64" spans="1:71" hidden="1" x14ac:dyDescent="0.4">
      <c r="A64" s="2" t="s">
        <v>88</v>
      </c>
      <c r="B64" t="str">
        <f>_xlfn.TEXTAFTER(Table1[[#This Row],[VEHIDCODE]],"_")</f>
        <v>USA_Pennsylvania_Railroad_Silverliner_II</v>
      </c>
      <c r="C64" t="s">
        <v>738</v>
      </c>
      <c r="D64" t="b">
        <f>OR(ISNUMBER(SEARCH("wagon_",Table1[[#This Row],[FILENAMES_EXPECTED]])),ISNUMBER(SEARCH("coach_",Table1[[#This Row],[FILENAMES_EXPECTED]])))</f>
        <v>0</v>
      </c>
      <c r="E64" t="str">
        <f>"item_"&amp;Table1[[#This Row],[VEHIDCODE]]</f>
        <v>item_rbe_USA_Pennsylvania_Railroad_Silverliner_II</v>
      </c>
      <c r="F64" t="str">
        <f>"str_"&amp;Table1[[#This Row],[VEHIDCODE]]</f>
        <v>str_rbe_USA_Pennsylvania_Railroad_Silverliner_II</v>
      </c>
      <c r="G64">
        <v>8</v>
      </c>
      <c r="H64" t="s">
        <v>18</v>
      </c>
      <c r="I64">
        <v>0</v>
      </c>
      <c r="J64" t="s">
        <v>74</v>
      </c>
      <c r="K64">
        <v>124</v>
      </c>
      <c r="L64">
        <v>1963</v>
      </c>
      <c r="M64">
        <v>8</v>
      </c>
      <c r="N64" s="2" t="s">
        <v>24</v>
      </c>
      <c r="O64" t="b">
        <v>1</v>
      </c>
      <c r="Q64" s="2"/>
      <c r="R64">
        <v>45</v>
      </c>
      <c r="S64">
        <v>1</v>
      </c>
      <c r="T64">
        <v>550</v>
      </c>
      <c r="U64" t="s">
        <v>709</v>
      </c>
      <c r="V64">
        <v>160</v>
      </c>
      <c r="W64" s="2">
        <v>0.18</v>
      </c>
      <c r="Z64" t="b">
        <v>1</v>
      </c>
      <c r="AX64"/>
      <c r="BA64" s="2"/>
      <c r="BB64" s="2" t="b">
        <f>LEN(_xlfn.CONCAT(Table1[[#This Row],[TRACK_TYPE_STANDARD_GAUGE_RAILTYPE_OHLE]:[TRACK_TYPE_MTRO]]))&gt;0</f>
        <v>1</v>
      </c>
      <c r="BC64" s="7">
        <v>15</v>
      </c>
      <c r="BD64" t="s">
        <v>928</v>
      </c>
      <c r="BE64" t="s">
        <v>922</v>
      </c>
      <c r="BF64" t="s">
        <v>940</v>
      </c>
      <c r="BG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">
        <v>0</v>
      </c>
      <c r="BI64" t="s">
        <v>734</v>
      </c>
      <c r="BK64" s="11"/>
      <c r="BL64" s="11">
        <v>46</v>
      </c>
      <c r="BM64">
        <v>0</v>
      </c>
      <c r="BN64" t="s">
        <v>692</v>
      </c>
      <c r="BO64" t="s">
        <v>694</v>
      </c>
      <c r="BP64" t="s">
        <v>701</v>
      </c>
      <c r="BQ64" t="s">
        <v>705</v>
      </c>
      <c r="BR64" t="s">
        <v>706</v>
      </c>
      <c r="BS64" t="s">
        <v>707</v>
      </c>
    </row>
    <row r="65" spans="1:71" hidden="1" x14ac:dyDescent="0.4">
      <c r="A65" s="2" t="s">
        <v>89</v>
      </c>
      <c r="B65" t="str">
        <f>_xlfn.TEXTAFTER(Table1[[#This Row],[VEHIDCODE]],"_")</f>
        <v>USA_SEPTA_Silverliner_V</v>
      </c>
      <c r="C65" t="s">
        <v>738</v>
      </c>
      <c r="D65" t="b">
        <f>OR(ISNUMBER(SEARCH("wagon_",Table1[[#This Row],[FILENAMES_EXPECTED]])),ISNUMBER(SEARCH("coach_",Table1[[#This Row],[FILENAMES_EXPECTED]])))</f>
        <v>0</v>
      </c>
      <c r="E65" t="str">
        <f>"item_"&amp;Table1[[#This Row],[VEHIDCODE]]</f>
        <v>item_rbe_USA_SEPTA_Silverliner_V</v>
      </c>
      <c r="F65" t="str">
        <f>"str_"&amp;Table1[[#This Row],[VEHIDCODE]]</f>
        <v>str_rbe_USA_SEPTA_Silverliner_V</v>
      </c>
      <c r="G65">
        <v>8</v>
      </c>
      <c r="H65" t="s">
        <v>18</v>
      </c>
      <c r="I65">
        <v>0</v>
      </c>
      <c r="J65" t="s">
        <v>74</v>
      </c>
      <c r="K65">
        <v>110</v>
      </c>
      <c r="L65">
        <v>2010</v>
      </c>
      <c r="M65">
        <v>8</v>
      </c>
      <c r="N65" s="2" t="s">
        <v>24</v>
      </c>
      <c r="O65" t="b">
        <v>1</v>
      </c>
      <c r="Q65" s="2"/>
      <c r="R65" t="s">
        <v>21</v>
      </c>
      <c r="S65">
        <v>1</v>
      </c>
      <c r="T65">
        <v>680</v>
      </c>
      <c r="U65" t="s">
        <v>709</v>
      </c>
      <c r="V65">
        <v>180</v>
      </c>
      <c r="W65" s="2">
        <v>0.17</v>
      </c>
      <c r="X65" t="b">
        <v>1</v>
      </c>
      <c r="AX65"/>
      <c r="BA65" s="2"/>
      <c r="BB65" s="2" t="b">
        <f>LEN(_xlfn.CONCAT(Table1[[#This Row],[TRACK_TYPE_STANDARD_GAUGE_RAILTYPE_OHLE]:[TRACK_TYPE_MTRO]]))&gt;0</f>
        <v>1</v>
      </c>
      <c r="BC65" s="7">
        <v>15</v>
      </c>
      <c r="BD65" t="s">
        <v>928</v>
      </c>
      <c r="BE65" t="s">
        <v>922</v>
      </c>
      <c r="BF65" t="s">
        <v>940</v>
      </c>
      <c r="BG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5">
        <v>0</v>
      </c>
      <c r="BI65" t="s">
        <v>734</v>
      </c>
      <c r="BK65" s="11"/>
      <c r="BL65" s="11">
        <v>66</v>
      </c>
      <c r="BM65">
        <v>0</v>
      </c>
      <c r="BN65" t="s">
        <v>692</v>
      </c>
      <c r="BO65" t="s">
        <v>694</v>
      </c>
      <c r="BP65" t="s">
        <v>701</v>
      </c>
      <c r="BQ65" t="s">
        <v>705</v>
      </c>
      <c r="BR65" t="s">
        <v>706</v>
      </c>
      <c r="BS65" t="s">
        <v>707</v>
      </c>
    </row>
    <row r="66" spans="1:71" hidden="1" x14ac:dyDescent="0.4">
      <c r="A66" s="2" t="s">
        <v>90</v>
      </c>
      <c r="B66" t="str">
        <f>_xlfn.TEXTAFTER(Table1[[#This Row],[VEHIDCODE]],"_")</f>
        <v>Belgium_Le_Belge</v>
      </c>
      <c r="C66" t="s">
        <v>739</v>
      </c>
      <c r="D66" t="b">
        <f>OR(ISNUMBER(SEARCH("wagon_",Table1[[#This Row],[FILENAMES_EXPECTED]])),ISNUMBER(SEARCH("coach_",Table1[[#This Row],[FILENAMES_EXPECTED]])))</f>
        <v>0</v>
      </c>
      <c r="E66" t="str">
        <f>"item_"&amp;Table1[[#This Row],[VEHIDCODE]]</f>
        <v>item_steam_Belgium_Le_Belge</v>
      </c>
      <c r="F66" t="str">
        <f>"str_"&amp;Table1[[#This Row],[VEHIDCODE]]</f>
        <v>str_steam_Belgium_Le_Belge</v>
      </c>
      <c r="G66">
        <v>7</v>
      </c>
      <c r="H66" t="s">
        <v>20</v>
      </c>
      <c r="I66">
        <v>0</v>
      </c>
      <c r="J66" t="s">
        <v>23</v>
      </c>
      <c r="K66">
        <v>0</v>
      </c>
      <c r="L66">
        <v>1835</v>
      </c>
      <c r="M66">
        <v>7</v>
      </c>
      <c r="N66" s="2" t="s">
        <v>20</v>
      </c>
      <c r="O66" t="b">
        <v>1</v>
      </c>
      <c r="Q66" s="2"/>
      <c r="R66">
        <v>45</v>
      </c>
      <c r="S66">
        <v>1</v>
      </c>
      <c r="T66">
        <v>50</v>
      </c>
      <c r="U66" t="s">
        <v>710</v>
      </c>
      <c r="V66">
        <v>35</v>
      </c>
      <c r="W66" s="2">
        <v>0.09</v>
      </c>
      <c r="AF66" s="2" t="b">
        <v>1</v>
      </c>
      <c r="AX66"/>
      <c r="BA66" s="2"/>
      <c r="BB66" s="2" t="b">
        <f>LEN(_xlfn.CONCAT(Table1[[#This Row],[TRACK_TYPE_STANDARD_GAUGE_RAILTYPE_OHLE]:[TRACK_TYPE_MTRO]]))&gt;0</f>
        <v>1</v>
      </c>
      <c r="BC66" s="7">
        <v>40</v>
      </c>
      <c r="BD66" t="s">
        <v>923</v>
      </c>
      <c r="BE66" t="s">
        <v>922</v>
      </c>
      <c r="BF66" t="s">
        <v>940</v>
      </c>
      <c r="BG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6">
        <v>-3</v>
      </c>
      <c r="BI66" t="s">
        <v>734</v>
      </c>
      <c r="BK66" s="11"/>
      <c r="BL66" s="11">
        <v>16</v>
      </c>
      <c r="BM66">
        <v>0</v>
      </c>
      <c r="BN66" t="s">
        <v>692</v>
      </c>
      <c r="BO66" t="s">
        <v>694</v>
      </c>
      <c r="BP66" t="s">
        <v>701</v>
      </c>
      <c r="BQ66" t="s">
        <v>705</v>
      </c>
      <c r="BR66" t="s">
        <v>706</v>
      </c>
      <c r="BS66" t="s">
        <v>707</v>
      </c>
    </row>
    <row r="67" spans="1:71" hidden="1" x14ac:dyDescent="0.4">
      <c r="A67" s="2" t="s">
        <v>91</v>
      </c>
      <c r="B67" t="str">
        <f>_xlfn.TEXTAFTER(Table1[[#This Row],[VEHIDCODE]],"_")</f>
        <v>USA_4_4_0_American</v>
      </c>
      <c r="C67" t="s">
        <v>739</v>
      </c>
      <c r="D67" t="b">
        <f>OR(ISNUMBER(SEARCH("wagon_",Table1[[#This Row],[FILENAMES_EXPECTED]])),ISNUMBER(SEARCH("coach_",Table1[[#This Row],[FILENAMES_EXPECTED]])))</f>
        <v>0</v>
      </c>
      <c r="E67" t="str">
        <f>"item_"&amp;Table1[[#This Row],[VEHIDCODE]]</f>
        <v>item_steam_USA_4_4_0_American</v>
      </c>
      <c r="F67" t="str">
        <f>"str_"&amp;Table1[[#This Row],[VEHIDCODE]]</f>
        <v>str_steam_USA_4_4_0_American</v>
      </c>
      <c r="G67">
        <v>8</v>
      </c>
      <c r="H67" t="s">
        <v>20</v>
      </c>
      <c r="I67">
        <v>0</v>
      </c>
      <c r="J67" t="s">
        <v>23</v>
      </c>
      <c r="K67">
        <v>0</v>
      </c>
      <c r="L67">
        <v>1848</v>
      </c>
      <c r="M67">
        <v>6</v>
      </c>
      <c r="N67" s="2" t="s">
        <v>20</v>
      </c>
      <c r="O67" t="b">
        <v>1</v>
      </c>
      <c r="Q67" s="2"/>
      <c r="R67">
        <v>45</v>
      </c>
      <c r="S67">
        <v>1</v>
      </c>
      <c r="T67">
        <v>650</v>
      </c>
      <c r="U67" t="s">
        <v>710</v>
      </c>
      <c r="V67">
        <v>96</v>
      </c>
      <c r="W67" s="2">
        <v>7.0000000000000007E-2</v>
      </c>
      <c r="AF67" s="2" t="b">
        <v>1</v>
      </c>
      <c r="AX67"/>
      <c r="BA67" s="2"/>
      <c r="BB67" s="2" t="b">
        <f>LEN(_xlfn.CONCAT(Table1[[#This Row],[TRACK_TYPE_STANDARD_GAUGE_RAILTYPE_OHLE]:[TRACK_TYPE_MTRO]]))&gt;0</f>
        <v>1</v>
      </c>
      <c r="BC67" s="7">
        <v>40</v>
      </c>
      <c r="BD67" t="s">
        <v>928</v>
      </c>
      <c r="BE67" t="s">
        <v>922</v>
      </c>
      <c r="BF67" t="s">
        <v>940</v>
      </c>
      <c r="BG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7">
        <v>0</v>
      </c>
      <c r="BI67" t="s">
        <v>734</v>
      </c>
      <c r="BK67" s="11"/>
      <c r="BL67" s="11">
        <v>60</v>
      </c>
      <c r="BM67">
        <v>0</v>
      </c>
      <c r="BN67" t="s">
        <v>692</v>
      </c>
      <c r="BO67" t="s">
        <v>694</v>
      </c>
      <c r="BP67" t="s">
        <v>701</v>
      </c>
      <c r="BQ67" t="s">
        <v>705</v>
      </c>
      <c r="BR67" t="s">
        <v>706</v>
      </c>
      <c r="BS67" t="s">
        <v>707</v>
      </c>
    </row>
    <row r="68" spans="1:71" hidden="1" x14ac:dyDescent="0.4">
      <c r="A68" s="2" t="s">
        <v>92</v>
      </c>
      <c r="B68" t="str">
        <f>_xlfn.TEXTAFTER(Table1[[#This Row],[VEHIDCODE]],"_")</f>
        <v>Switzerland_SBB_Ec_2_5</v>
      </c>
      <c r="C68" t="s">
        <v>739</v>
      </c>
      <c r="D68" t="b">
        <f>OR(ISNUMBER(SEARCH("wagon_",Table1[[#This Row],[FILENAMES_EXPECTED]])),ISNUMBER(SEARCH("coach_",Table1[[#This Row],[FILENAMES_EXPECTED]])))</f>
        <v>0</v>
      </c>
      <c r="E68" t="str">
        <f>"item_"&amp;Table1[[#This Row],[VEHIDCODE]]</f>
        <v>item_steam_Switzerland_SBB_Ec_2_5</v>
      </c>
      <c r="F68" t="str">
        <f>"str_"&amp;Table1[[#This Row],[VEHIDCODE]]</f>
        <v>str_steam_Switzerland_SBB_Ec_2_5</v>
      </c>
      <c r="G68">
        <v>5</v>
      </c>
      <c r="H68" t="s">
        <v>20</v>
      </c>
      <c r="I68">
        <v>0</v>
      </c>
      <c r="J68" t="s">
        <v>23</v>
      </c>
      <c r="K68">
        <v>0</v>
      </c>
      <c r="L68">
        <v>1854</v>
      </c>
      <c r="M68">
        <v>5</v>
      </c>
      <c r="N68" s="2" t="s">
        <v>20</v>
      </c>
      <c r="O68" t="b">
        <v>1</v>
      </c>
      <c r="Q68" s="2"/>
      <c r="R68">
        <v>45</v>
      </c>
      <c r="S68">
        <v>1</v>
      </c>
      <c r="T68">
        <v>400</v>
      </c>
      <c r="U68" t="s">
        <v>710</v>
      </c>
      <c r="V68">
        <v>60</v>
      </c>
      <c r="W68" s="2">
        <v>0.1</v>
      </c>
      <c r="AF68" s="2" t="b">
        <v>1</v>
      </c>
      <c r="AX68"/>
      <c r="BA68" s="2"/>
      <c r="BB68" s="2" t="b">
        <f>LEN(_xlfn.CONCAT(Table1[[#This Row],[TRACK_TYPE_STANDARD_GAUGE_RAILTYPE_OHLE]:[TRACK_TYPE_MTRO]]))&gt;0</f>
        <v>1</v>
      </c>
      <c r="BC68" s="7">
        <v>40</v>
      </c>
      <c r="BD68" t="s">
        <v>923</v>
      </c>
      <c r="BE68" t="s">
        <v>922</v>
      </c>
      <c r="BF68" t="s">
        <v>940</v>
      </c>
      <c r="BG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8">
        <v>-3</v>
      </c>
      <c r="BI68" t="s">
        <v>734</v>
      </c>
      <c r="BK68" s="11"/>
      <c r="BL68" s="11">
        <v>46</v>
      </c>
      <c r="BM68">
        <v>0</v>
      </c>
      <c r="BN68" t="s">
        <v>692</v>
      </c>
      <c r="BO68" t="s">
        <v>694</v>
      </c>
      <c r="BP68" t="s">
        <v>701</v>
      </c>
      <c r="BQ68" t="s">
        <v>705</v>
      </c>
      <c r="BR68" t="s">
        <v>706</v>
      </c>
      <c r="BS68" t="s">
        <v>707</v>
      </c>
    </row>
    <row r="69" spans="1:71" hidden="1" x14ac:dyDescent="0.4">
      <c r="A69" s="2" t="s">
        <v>93</v>
      </c>
      <c r="B69" t="str">
        <f>_xlfn.TEXTAFTER(Table1[[#This Row],[VEHIDCODE]],"_")</f>
        <v>USA_4_6_0_Ten_wheeler</v>
      </c>
      <c r="C69" t="s">
        <v>739</v>
      </c>
      <c r="D69" t="b">
        <f>OR(ISNUMBER(SEARCH("wagon_",Table1[[#This Row],[FILENAMES_EXPECTED]])),ISNUMBER(SEARCH("coach_",Table1[[#This Row],[FILENAMES_EXPECTED]])))</f>
        <v>0</v>
      </c>
      <c r="E69" t="str">
        <f>"item_"&amp;Table1[[#This Row],[VEHIDCODE]]</f>
        <v>item_steam_USA_4_6_0_Ten_wheeler</v>
      </c>
      <c r="F69" t="str">
        <f>"str_"&amp;Table1[[#This Row],[VEHIDCODE]]</f>
        <v>str_steam_USA_4_6_0_Ten_wheeler</v>
      </c>
      <c r="G69">
        <v>8</v>
      </c>
      <c r="H69" t="s">
        <v>20</v>
      </c>
      <c r="I69">
        <v>0</v>
      </c>
      <c r="J69" t="s">
        <v>23</v>
      </c>
      <c r="K69">
        <v>0</v>
      </c>
      <c r="L69">
        <v>1869</v>
      </c>
      <c r="M69">
        <v>7</v>
      </c>
      <c r="N69" s="2" t="s">
        <v>20</v>
      </c>
      <c r="O69" t="b">
        <v>1</v>
      </c>
      <c r="Q69" s="2"/>
      <c r="R69">
        <v>45</v>
      </c>
      <c r="S69">
        <v>1</v>
      </c>
      <c r="T69">
        <v>700</v>
      </c>
      <c r="U69" t="s">
        <v>710</v>
      </c>
      <c r="V69">
        <v>96</v>
      </c>
      <c r="W69" s="2">
        <v>0.08</v>
      </c>
      <c r="AF69" s="2" t="b">
        <v>1</v>
      </c>
      <c r="AX69"/>
      <c r="BA69" s="2"/>
      <c r="BB69" s="2" t="b">
        <f>LEN(_xlfn.CONCAT(Table1[[#This Row],[TRACK_TYPE_STANDARD_GAUGE_RAILTYPE_OHLE]:[TRACK_TYPE_MTRO]]))&gt;0</f>
        <v>1</v>
      </c>
      <c r="BC69" s="7">
        <v>40</v>
      </c>
      <c r="BD69" t="s">
        <v>928</v>
      </c>
      <c r="BE69" t="s">
        <v>922</v>
      </c>
      <c r="BF69" t="s">
        <v>940</v>
      </c>
      <c r="BG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9">
        <v>0</v>
      </c>
      <c r="BI69" t="s">
        <v>734</v>
      </c>
      <c r="BK69" s="11"/>
      <c r="BL69" s="11">
        <v>69</v>
      </c>
      <c r="BM69">
        <v>0</v>
      </c>
      <c r="BN69" t="s">
        <v>692</v>
      </c>
      <c r="BO69" t="s">
        <v>694</v>
      </c>
      <c r="BP69" t="s">
        <v>701</v>
      </c>
      <c r="BQ69" t="s">
        <v>705</v>
      </c>
      <c r="BR69" t="s">
        <v>706</v>
      </c>
      <c r="BS69" t="s">
        <v>707</v>
      </c>
    </row>
    <row r="70" spans="1:71" hidden="1" x14ac:dyDescent="0.4">
      <c r="A70" s="2" t="s">
        <v>94</v>
      </c>
      <c r="B70" t="str">
        <f>_xlfn.TEXTAFTER(Table1[[#This Row],[VEHIDCODE]],"_")</f>
        <v>USA_2_8_0_Consolidation</v>
      </c>
      <c r="C70" t="s">
        <v>739</v>
      </c>
      <c r="D70" t="b">
        <f>OR(ISNUMBER(SEARCH("wagon_",Table1[[#This Row],[FILENAMES_EXPECTED]])),ISNUMBER(SEARCH("coach_",Table1[[#This Row],[FILENAMES_EXPECTED]])))</f>
        <v>0</v>
      </c>
      <c r="E70" t="str">
        <f>"item_"&amp;Table1[[#This Row],[VEHIDCODE]]</f>
        <v>item_steam_USA_2_8_0_Consolidation</v>
      </c>
      <c r="F70" t="str">
        <f>"str_"&amp;Table1[[#This Row],[VEHIDCODE]]</f>
        <v>str_steam_USA_2_8_0_Consolidation</v>
      </c>
      <c r="G70">
        <v>10</v>
      </c>
      <c r="H70" t="s">
        <v>20</v>
      </c>
      <c r="I70">
        <v>0</v>
      </c>
      <c r="J70" t="s">
        <v>23</v>
      </c>
      <c r="K70">
        <v>0</v>
      </c>
      <c r="L70">
        <v>1875</v>
      </c>
      <c r="M70">
        <v>8</v>
      </c>
      <c r="N70" s="2" t="s">
        <v>20</v>
      </c>
      <c r="O70" t="b">
        <v>1</v>
      </c>
      <c r="Q70" s="2"/>
      <c r="R70">
        <v>45</v>
      </c>
      <c r="S70">
        <v>1</v>
      </c>
      <c r="T70">
        <v>1000</v>
      </c>
      <c r="U70" t="s">
        <v>710</v>
      </c>
      <c r="V70">
        <v>80</v>
      </c>
      <c r="W70" s="2">
        <v>0.13</v>
      </c>
      <c r="AF70" s="2" t="b">
        <v>1</v>
      </c>
      <c r="AX70"/>
      <c r="BA70" s="2"/>
      <c r="BB70" s="2" t="b">
        <f>LEN(_xlfn.CONCAT(Table1[[#This Row],[TRACK_TYPE_STANDARD_GAUGE_RAILTYPE_OHLE]:[TRACK_TYPE_MTRO]]))&gt;0</f>
        <v>1</v>
      </c>
      <c r="BC70" s="7">
        <v>40</v>
      </c>
      <c r="BD70" t="s">
        <v>928</v>
      </c>
      <c r="BE70" t="s">
        <v>922</v>
      </c>
      <c r="BF70" t="s">
        <v>940</v>
      </c>
      <c r="BG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0">
        <v>0</v>
      </c>
      <c r="BI70" t="s">
        <v>734</v>
      </c>
      <c r="BK70" s="11"/>
      <c r="BL70" s="11">
        <v>126</v>
      </c>
      <c r="BM70">
        <v>0</v>
      </c>
      <c r="BN70" t="s">
        <v>692</v>
      </c>
      <c r="BO70" t="s">
        <v>694</v>
      </c>
      <c r="BP70" t="s">
        <v>701</v>
      </c>
      <c r="BQ70" t="s">
        <v>705</v>
      </c>
      <c r="BR70" t="s">
        <v>706</v>
      </c>
      <c r="BS70" t="s">
        <v>707</v>
      </c>
    </row>
    <row r="71" spans="1:71" hidden="1" x14ac:dyDescent="0.4">
      <c r="A71" s="2" t="s">
        <v>95</v>
      </c>
      <c r="B71" t="str">
        <f>_xlfn.TEXTAFTER(Table1[[#This Row],[VEHIDCODE]],"_")</f>
        <v>Hungary_MAV_377</v>
      </c>
      <c r="C71" t="s">
        <v>739</v>
      </c>
      <c r="D71" t="b">
        <f>OR(ISNUMBER(SEARCH("wagon_",Table1[[#This Row],[FILENAMES_EXPECTED]])),ISNUMBER(SEARCH("coach_",Table1[[#This Row],[FILENAMES_EXPECTED]])))</f>
        <v>0</v>
      </c>
      <c r="E71" t="str">
        <f>"item_"&amp;Table1[[#This Row],[VEHIDCODE]]</f>
        <v>item_steam_Hungary_MAV_377</v>
      </c>
      <c r="F71" t="str">
        <f>"str_"&amp;Table1[[#This Row],[VEHIDCODE]]</f>
        <v>str_steam_Hungary_MAV_377</v>
      </c>
      <c r="G71">
        <v>6</v>
      </c>
      <c r="H71" t="s">
        <v>20</v>
      </c>
      <c r="I71">
        <v>0</v>
      </c>
      <c r="J71" t="s">
        <v>23</v>
      </c>
      <c r="K71">
        <v>0</v>
      </c>
      <c r="L71">
        <v>1885</v>
      </c>
      <c r="M71">
        <v>6</v>
      </c>
      <c r="N71" s="2" t="s">
        <v>20</v>
      </c>
      <c r="O71" t="b">
        <v>1</v>
      </c>
      <c r="Q71" s="2"/>
      <c r="R71">
        <v>45</v>
      </c>
      <c r="S71">
        <v>0</v>
      </c>
      <c r="T71">
        <v>300</v>
      </c>
      <c r="U71" t="s">
        <v>710</v>
      </c>
      <c r="V71">
        <v>45</v>
      </c>
      <c r="W71" s="2">
        <v>0.21</v>
      </c>
      <c r="AF71" s="2" t="b">
        <v>1</v>
      </c>
      <c r="AX71"/>
      <c r="BA71" s="2"/>
      <c r="BB71" s="2" t="b">
        <f>LEN(_xlfn.CONCAT(Table1[[#This Row],[TRACK_TYPE_STANDARD_GAUGE_RAILTYPE_OHLE]:[TRACK_TYPE_MTRO]]))&gt;0</f>
        <v>1</v>
      </c>
      <c r="BC71" s="7">
        <v>40</v>
      </c>
      <c r="BD71" t="s">
        <v>929</v>
      </c>
      <c r="BE71" t="s">
        <v>922</v>
      </c>
      <c r="BF71" t="s">
        <v>940</v>
      </c>
      <c r="BG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1">
        <v>-3</v>
      </c>
      <c r="BI71" t="s">
        <v>734</v>
      </c>
      <c r="BK71" s="11"/>
      <c r="BL71" s="11">
        <v>27</v>
      </c>
      <c r="BM71">
        <v>0</v>
      </c>
      <c r="BN71" t="s">
        <v>692</v>
      </c>
      <c r="BO71" t="s">
        <v>694</v>
      </c>
      <c r="BP71" t="s">
        <v>701</v>
      </c>
      <c r="BQ71" t="s">
        <v>705</v>
      </c>
      <c r="BR71" t="s">
        <v>706</v>
      </c>
      <c r="BS71" t="s">
        <v>707</v>
      </c>
    </row>
    <row r="72" spans="1:71" hidden="1" x14ac:dyDescent="0.4">
      <c r="A72" s="2" t="s">
        <v>96</v>
      </c>
      <c r="B72" t="str">
        <f>_xlfn.TEXTAFTER(Table1[[#This Row],[VEHIDCODE]],"_")</f>
        <v>Austria_KkStB_99</v>
      </c>
      <c r="C72" t="s">
        <v>739</v>
      </c>
      <c r="D72" t="b">
        <f>OR(ISNUMBER(SEARCH("wagon_",Table1[[#This Row],[FILENAMES_EXPECTED]])),ISNUMBER(SEARCH("coach_",Table1[[#This Row],[FILENAMES_EXPECTED]])))</f>
        <v>0</v>
      </c>
      <c r="E72" t="str">
        <f>"item_"&amp;Table1[[#This Row],[VEHIDCODE]]</f>
        <v>item_steam_Austria_KkStB_99</v>
      </c>
      <c r="F72" t="str">
        <f>"str_"&amp;Table1[[#This Row],[VEHIDCODE]]</f>
        <v>str_steam_Austria_KkStB_99</v>
      </c>
      <c r="G72">
        <v>6</v>
      </c>
      <c r="H72" t="s">
        <v>20</v>
      </c>
      <c r="I72">
        <v>0</v>
      </c>
      <c r="J72" t="s">
        <v>23</v>
      </c>
      <c r="K72">
        <v>0</v>
      </c>
      <c r="L72">
        <v>1897</v>
      </c>
      <c r="M72">
        <v>6</v>
      </c>
      <c r="N72" s="2" t="s">
        <v>20</v>
      </c>
      <c r="O72" t="b">
        <v>1</v>
      </c>
      <c r="Q72" s="2"/>
      <c r="R72">
        <v>45</v>
      </c>
      <c r="S72">
        <v>1</v>
      </c>
      <c r="T72">
        <v>575</v>
      </c>
      <c r="U72" t="s">
        <v>710</v>
      </c>
      <c r="V72">
        <v>50</v>
      </c>
      <c r="W72" s="2">
        <v>0.23</v>
      </c>
      <c r="AF72" s="2" t="b">
        <v>1</v>
      </c>
      <c r="AX72"/>
      <c r="BA72" s="2"/>
      <c r="BB72" s="2" t="b">
        <f>LEN(_xlfn.CONCAT(Table1[[#This Row],[TRACK_TYPE_STANDARD_GAUGE_RAILTYPE_OHLE]:[TRACK_TYPE_MTRO]]))&gt;0</f>
        <v>1</v>
      </c>
      <c r="BC72" s="7">
        <v>40</v>
      </c>
      <c r="BD72" t="s">
        <v>923</v>
      </c>
      <c r="BE72" t="s">
        <v>922</v>
      </c>
      <c r="BF72" t="s">
        <v>940</v>
      </c>
      <c r="BG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2">
        <v>-3</v>
      </c>
      <c r="BI72" t="s">
        <v>734</v>
      </c>
      <c r="BK72" s="11"/>
      <c r="BL72" s="11">
        <v>52</v>
      </c>
      <c r="BM72">
        <v>0</v>
      </c>
      <c r="BN72" t="s">
        <v>692</v>
      </c>
      <c r="BO72" t="s">
        <v>694</v>
      </c>
      <c r="BP72" t="s">
        <v>701</v>
      </c>
      <c r="BQ72" t="s">
        <v>705</v>
      </c>
      <c r="BR72" t="s">
        <v>706</v>
      </c>
      <c r="BS72" t="s">
        <v>707</v>
      </c>
    </row>
    <row r="73" spans="1:71" hidden="1" x14ac:dyDescent="0.4">
      <c r="A73" s="2" t="s">
        <v>97</v>
      </c>
      <c r="B73" t="str">
        <f>_xlfn.TEXTAFTER(Table1[[#This Row],[VEHIDCODE]],"_")</f>
        <v>UK_Caledonian_Railway_439</v>
      </c>
      <c r="C73" t="s">
        <v>739</v>
      </c>
      <c r="D73" t="b">
        <f>OR(ISNUMBER(SEARCH("wagon_",Table1[[#This Row],[FILENAMES_EXPECTED]])),ISNUMBER(SEARCH("coach_",Table1[[#This Row],[FILENAMES_EXPECTED]])))</f>
        <v>0</v>
      </c>
      <c r="E73" t="str">
        <f>"item_"&amp;Table1[[#This Row],[VEHIDCODE]]</f>
        <v>item_steam_UK_Caledonian_Railway_439</v>
      </c>
      <c r="F73" t="str">
        <f>"str_"&amp;Table1[[#This Row],[VEHIDCODE]]</f>
        <v>str_steam_UK_Caledonian_Railway_439</v>
      </c>
      <c r="G73">
        <v>7</v>
      </c>
      <c r="H73" t="s">
        <v>20</v>
      </c>
      <c r="I73">
        <v>0</v>
      </c>
      <c r="J73" t="s">
        <v>23</v>
      </c>
      <c r="K73">
        <v>0</v>
      </c>
      <c r="L73">
        <v>1899</v>
      </c>
      <c r="M73">
        <v>7</v>
      </c>
      <c r="N73" s="2" t="s">
        <v>20</v>
      </c>
      <c r="O73" t="b">
        <v>1</v>
      </c>
      <c r="Q73" s="2"/>
      <c r="R73">
        <v>45</v>
      </c>
      <c r="S73">
        <v>0</v>
      </c>
      <c r="T73">
        <v>540</v>
      </c>
      <c r="U73" t="s">
        <v>710</v>
      </c>
      <c r="V73">
        <v>80</v>
      </c>
      <c r="W73" s="2">
        <v>0.16</v>
      </c>
      <c r="AF73" s="2" t="b">
        <v>1</v>
      </c>
      <c r="AX73"/>
      <c r="BA73" s="2"/>
      <c r="BB73" s="2" t="b">
        <f>LEN(_xlfn.CONCAT(Table1[[#This Row],[TRACK_TYPE_STANDARD_GAUGE_RAILTYPE_OHLE]:[TRACK_TYPE_MTRO]]))&gt;0</f>
        <v>1</v>
      </c>
      <c r="BC73" s="7">
        <v>40</v>
      </c>
      <c r="BD73" t="s">
        <v>927</v>
      </c>
      <c r="BE73" t="s">
        <v>922</v>
      </c>
      <c r="BF73" t="s">
        <v>940</v>
      </c>
      <c r="BG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3">
        <v>-3</v>
      </c>
      <c r="BI73" t="s">
        <v>734</v>
      </c>
      <c r="BK73" s="11"/>
      <c r="BL73" s="11">
        <v>53</v>
      </c>
      <c r="BM73">
        <v>0</v>
      </c>
      <c r="BN73" t="s">
        <v>692</v>
      </c>
      <c r="BO73" t="s">
        <v>694</v>
      </c>
      <c r="BP73" t="s">
        <v>701</v>
      </c>
      <c r="BQ73" t="s">
        <v>705</v>
      </c>
      <c r="BR73" t="s">
        <v>706</v>
      </c>
      <c r="BS73" t="s">
        <v>707</v>
      </c>
    </row>
    <row r="74" spans="1:71" hidden="1" x14ac:dyDescent="0.4">
      <c r="A74" s="2" t="s">
        <v>98</v>
      </c>
      <c r="B74" t="str">
        <f>_xlfn.TEXTAFTER(Table1[[#This Row],[VEHIDCODE]],"_")</f>
        <v>Switzerland_SBB_A_3_5</v>
      </c>
      <c r="C74" t="s">
        <v>739</v>
      </c>
      <c r="D74" t="b">
        <f>OR(ISNUMBER(SEARCH("wagon_",Table1[[#This Row],[FILENAMES_EXPECTED]])),ISNUMBER(SEARCH("coach_",Table1[[#This Row],[FILENAMES_EXPECTED]])))</f>
        <v>0</v>
      </c>
      <c r="E74" t="str">
        <f>"item_"&amp;Table1[[#This Row],[VEHIDCODE]]</f>
        <v>item_steam_Switzerland_SBB_A_3_5</v>
      </c>
      <c r="F74" t="str">
        <f>"str_"&amp;Table1[[#This Row],[VEHIDCODE]]</f>
        <v>str_steam_Switzerland_SBB_A_3_5</v>
      </c>
      <c r="G74">
        <v>8</v>
      </c>
      <c r="H74" t="s">
        <v>20</v>
      </c>
      <c r="I74">
        <v>0</v>
      </c>
      <c r="J74" t="s">
        <v>23</v>
      </c>
      <c r="K74">
        <v>0</v>
      </c>
      <c r="L74">
        <v>1902</v>
      </c>
      <c r="M74">
        <v>8</v>
      </c>
      <c r="N74" s="2" t="s">
        <v>20</v>
      </c>
      <c r="O74" t="b">
        <v>1</v>
      </c>
      <c r="Q74" s="2"/>
      <c r="R74">
        <v>45</v>
      </c>
      <c r="S74">
        <v>1</v>
      </c>
      <c r="T74">
        <v>1340</v>
      </c>
      <c r="U74" t="s">
        <v>710</v>
      </c>
      <c r="V74">
        <v>100</v>
      </c>
      <c r="W74" s="2">
        <v>0.12</v>
      </c>
      <c r="AF74" s="2" t="b">
        <v>1</v>
      </c>
      <c r="AX74"/>
      <c r="BA74" s="2"/>
      <c r="BB74" s="2" t="b">
        <f>LEN(_xlfn.CONCAT(Table1[[#This Row],[TRACK_TYPE_STANDARD_GAUGE_RAILTYPE_OHLE]:[TRACK_TYPE_MTRO]]))&gt;0</f>
        <v>1</v>
      </c>
      <c r="BC74" s="7">
        <v>40</v>
      </c>
      <c r="BD74" t="s">
        <v>923</v>
      </c>
      <c r="BE74" t="s">
        <v>922</v>
      </c>
      <c r="BF74" t="s">
        <v>940</v>
      </c>
      <c r="BG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4">
        <v>0</v>
      </c>
      <c r="BI74" t="s">
        <v>734</v>
      </c>
      <c r="BK74" s="11"/>
      <c r="BL74" s="11">
        <v>106</v>
      </c>
      <c r="BM74">
        <v>0</v>
      </c>
      <c r="BN74" t="s">
        <v>692</v>
      </c>
      <c r="BO74" t="s">
        <v>694</v>
      </c>
      <c r="BP74" t="s">
        <v>701</v>
      </c>
      <c r="BQ74" t="s">
        <v>705</v>
      </c>
      <c r="BR74" t="s">
        <v>706</v>
      </c>
      <c r="BS74" t="s">
        <v>707</v>
      </c>
    </row>
    <row r="75" spans="1:71" hidden="1" x14ac:dyDescent="0.4">
      <c r="A75" s="2" t="s">
        <v>99</v>
      </c>
      <c r="B75" t="str">
        <f>_xlfn.TEXTAFTER(Table1[[#This Row],[VEHIDCODE]],"_")</f>
        <v>Switzerland_SBB_E_3_3</v>
      </c>
      <c r="C75" t="s">
        <v>739</v>
      </c>
      <c r="D75" t="b">
        <f>OR(ISNUMBER(SEARCH("wagon_",Table1[[#This Row],[FILENAMES_EXPECTED]])),ISNUMBER(SEARCH("coach_",Table1[[#This Row],[FILENAMES_EXPECTED]])))</f>
        <v>0</v>
      </c>
      <c r="E75" t="str">
        <f>"item_"&amp;Table1[[#This Row],[VEHIDCODE]]</f>
        <v>item_steam_Switzerland_SBB_E_3_3</v>
      </c>
      <c r="F75" t="str">
        <f>"str_"&amp;Table1[[#This Row],[VEHIDCODE]]</f>
        <v>str_steam_Switzerland_SBB_E_3_3</v>
      </c>
      <c r="G75">
        <v>6</v>
      </c>
      <c r="H75" t="s">
        <v>20</v>
      </c>
      <c r="I75">
        <v>0</v>
      </c>
      <c r="J75" t="s">
        <v>23</v>
      </c>
      <c r="K75">
        <v>0</v>
      </c>
      <c r="L75">
        <v>1902</v>
      </c>
      <c r="M75">
        <v>6</v>
      </c>
      <c r="N75" s="2" t="s">
        <v>20</v>
      </c>
      <c r="O75" t="b">
        <v>1</v>
      </c>
      <c r="Q75" s="2"/>
      <c r="R75">
        <v>45</v>
      </c>
      <c r="S75">
        <v>1</v>
      </c>
      <c r="T75">
        <v>350</v>
      </c>
      <c r="U75" t="s">
        <v>710</v>
      </c>
      <c r="V75">
        <v>45</v>
      </c>
      <c r="W75" s="2">
        <v>0.19</v>
      </c>
      <c r="AF75" s="2" t="b">
        <v>1</v>
      </c>
      <c r="AX75"/>
      <c r="BA75" s="2"/>
      <c r="BB75" s="2" t="b">
        <f>LEN(_xlfn.CONCAT(Table1[[#This Row],[TRACK_TYPE_STANDARD_GAUGE_RAILTYPE_OHLE]:[TRACK_TYPE_MTRO]]))&gt;0</f>
        <v>1</v>
      </c>
      <c r="BC75" s="7">
        <v>40</v>
      </c>
      <c r="BD75" t="s">
        <v>923</v>
      </c>
      <c r="BE75" t="s">
        <v>922</v>
      </c>
      <c r="BF75" t="s">
        <v>940</v>
      </c>
      <c r="BG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5">
        <v>0</v>
      </c>
      <c r="BI75" t="s">
        <v>734</v>
      </c>
      <c r="BK75" s="11"/>
      <c r="BL75" s="11">
        <v>35</v>
      </c>
      <c r="BM75">
        <v>0</v>
      </c>
      <c r="BN75" t="s">
        <v>692</v>
      </c>
      <c r="BO75" t="s">
        <v>694</v>
      </c>
      <c r="BP75" t="s">
        <v>701</v>
      </c>
      <c r="BQ75" t="s">
        <v>705</v>
      </c>
      <c r="BR75" t="s">
        <v>706</v>
      </c>
      <c r="BS75" t="s">
        <v>707</v>
      </c>
    </row>
    <row r="76" spans="1:71" hidden="1" x14ac:dyDescent="0.4">
      <c r="A76" s="2" t="s">
        <v>100</v>
      </c>
      <c r="B76" t="str">
        <f>_xlfn.TEXTAFTER(Table1[[#This Row],[VEHIDCODE]],"_")</f>
        <v>Austria_KkStB_299</v>
      </c>
      <c r="C76" t="s">
        <v>739</v>
      </c>
      <c r="D76" t="b">
        <f>OR(ISNUMBER(SEARCH("wagon_",Table1[[#This Row],[FILENAMES_EXPECTED]])),ISNUMBER(SEARCH("coach_",Table1[[#This Row],[FILENAMES_EXPECTED]])))</f>
        <v>0</v>
      </c>
      <c r="E76" t="str">
        <f>"item_"&amp;Table1[[#This Row],[VEHIDCODE]]</f>
        <v>item_steam_Austria_KkStB_299</v>
      </c>
      <c r="F76" t="str">
        <f>"str_"&amp;Table1[[#This Row],[VEHIDCODE]]</f>
        <v>str_steam_Austria_KkStB_299</v>
      </c>
      <c r="G76">
        <v>7</v>
      </c>
      <c r="H76" t="s">
        <v>20</v>
      </c>
      <c r="I76">
        <v>0</v>
      </c>
      <c r="J76" t="s">
        <v>23</v>
      </c>
      <c r="K76">
        <v>0</v>
      </c>
      <c r="L76">
        <v>1904</v>
      </c>
      <c r="M76">
        <v>7</v>
      </c>
      <c r="N76" s="2" t="s">
        <v>20</v>
      </c>
      <c r="O76" t="b">
        <v>1</v>
      </c>
      <c r="Q76" s="2"/>
      <c r="R76">
        <v>45</v>
      </c>
      <c r="S76">
        <v>1</v>
      </c>
      <c r="T76">
        <v>820</v>
      </c>
      <c r="U76" t="s">
        <v>710</v>
      </c>
      <c r="V76">
        <v>80</v>
      </c>
      <c r="W76" s="2">
        <v>0.14000000000000001</v>
      </c>
      <c r="AF76" s="2" t="b">
        <v>1</v>
      </c>
      <c r="AX76"/>
      <c r="BA76" s="2"/>
      <c r="BB76" s="2" t="b">
        <f>LEN(_xlfn.CONCAT(Table1[[#This Row],[TRACK_TYPE_STANDARD_GAUGE_RAILTYPE_OHLE]:[TRACK_TYPE_MTRO]]))&gt;0</f>
        <v>1</v>
      </c>
      <c r="BC76" s="7">
        <v>40</v>
      </c>
      <c r="BD76" t="s">
        <v>923</v>
      </c>
      <c r="BE76" t="s">
        <v>922</v>
      </c>
      <c r="BF76" t="s">
        <v>940</v>
      </c>
      <c r="BG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6">
        <v>0</v>
      </c>
      <c r="BI76" t="s">
        <v>734</v>
      </c>
      <c r="BK76" s="11"/>
      <c r="BL76" s="11">
        <v>67</v>
      </c>
      <c r="BM76">
        <v>0</v>
      </c>
      <c r="BN76" t="s">
        <v>692</v>
      </c>
      <c r="BO76" t="s">
        <v>694</v>
      </c>
      <c r="BP76" t="s">
        <v>701</v>
      </c>
      <c r="BQ76" t="s">
        <v>705</v>
      </c>
      <c r="BR76" t="s">
        <v>706</v>
      </c>
      <c r="BS76" t="s">
        <v>707</v>
      </c>
    </row>
    <row r="77" spans="1:71" hidden="1" x14ac:dyDescent="0.4">
      <c r="A77" s="2" t="s">
        <v>101</v>
      </c>
      <c r="B77" t="str">
        <f>_xlfn.TEXTAFTER(Table1[[#This Row],[VEHIDCODE]],"_")</f>
        <v>New_Zealand_NZR_X_Class</v>
      </c>
      <c r="C77" t="s">
        <v>739</v>
      </c>
      <c r="D77" t="b">
        <f>OR(ISNUMBER(SEARCH("wagon_",Table1[[#This Row],[FILENAMES_EXPECTED]])),ISNUMBER(SEARCH("coach_",Table1[[#This Row],[FILENAMES_EXPECTED]])))</f>
        <v>0</v>
      </c>
      <c r="E77" t="str">
        <f>"item_"&amp;Table1[[#This Row],[VEHIDCODE]]</f>
        <v>item_steam_New_Zealand_NZR_X_Class</v>
      </c>
      <c r="F77" t="str">
        <f>"str_"&amp;Table1[[#This Row],[VEHIDCODE]]</f>
        <v>str_steam_New_Zealand_NZR_X_Class</v>
      </c>
      <c r="G77">
        <v>12</v>
      </c>
      <c r="H77" t="s">
        <v>20</v>
      </c>
      <c r="I77">
        <v>0</v>
      </c>
      <c r="J77" t="s">
        <v>23</v>
      </c>
      <c r="K77">
        <v>0</v>
      </c>
      <c r="L77">
        <v>1908</v>
      </c>
      <c r="M77">
        <v>8</v>
      </c>
      <c r="N77" s="2" t="s">
        <v>20</v>
      </c>
      <c r="O77" t="b">
        <v>1</v>
      </c>
      <c r="Q77" s="2"/>
      <c r="R77">
        <v>45</v>
      </c>
      <c r="S77">
        <v>1</v>
      </c>
      <c r="T77">
        <v>1500</v>
      </c>
      <c r="U77" t="s">
        <v>710</v>
      </c>
      <c r="V77">
        <v>50</v>
      </c>
      <c r="W77" s="2">
        <v>0.15</v>
      </c>
      <c r="AF77" s="2" t="b">
        <v>1</v>
      </c>
      <c r="AX77"/>
      <c r="BA77" s="2"/>
      <c r="BB77" s="2" t="b">
        <f>LEN(_xlfn.CONCAT(Table1[[#This Row],[TRACK_TYPE_STANDARD_GAUGE_RAILTYPE_OHLE]:[TRACK_TYPE_MTRO]]))&gt;0</f>
        <v>1</v>
      </c>
      <c r="BC77" s="7">
        <v>40</v>
      </c>
      <c r="BD77" t="s">
        <v>925</v>
      </c>
      <c r="BE77" t="s">
        <v>922</v>
      </c>
      <c r="BF77" t="s">
        <v>940</v>
      </c>
      <c r="BG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7">
        <v>0</v>
      </c>
      <c r="BI77" t="s">
        <v>734</v>
      </c>
      <c r="BK77" s="11"/>
      <c r="BL77" s="11">
        <v>94</v>
      </c>
      <c r="BM77">
        <v>0</v>
      </c>
      <c r="BN77" t="s">
        <v>692</v>
      </c>
      <c r="BO77" t="s">
        <v>694</v>
      </c>
      <c r="BP77" t="s">
        <v>701</v>
      </c>
      <c r="BQ77" t="s">
        <v>705</v>
      </c>
      <c r="BR77" t="s">
        <v>706</v>
      </c>
      <c r="BS77" t="s">
        <v>707</v>
      </c>
    </row>
    <row r="78" spans="1:71" hidden="1" x14ac:dyDescent="0.4">
      <c r="A78" s="2" t="s">
        <v>102</v>
      </c>
      <c r="B78" t="str">
        <f>_xlfn.TEXTAFTER(Table1[[#This Row],[VEHIDCODE]],"_")</f>
        <v>Croatia_HZ_51</v>
      </c>
      <c r="C78" t="s">
        <v>739</v>
      </c>
      <c r="D78" t="b">
        <f>OR(ISNUMBER(SEARCH("wagon_",Table1[[#This Row],[FILENAMES_EXPECTED]])),ISNUMBER(SEARCH("coach_",Table1[[#This Row],[FILENAMES_EXPECTED]])))</f>
        <v>0</v>
      </c>
      <c r="E78" t="str">
        <f>"item_"&amp;Table1[[#This Row],[VEHIDCODE]]</f>
        <v>item_steam_Croatia_HZ_51</v>
      </c>
      <c r="F78" t="str">
        <f>"str_"&amp;Table1[[#This Row],[VEHIDCODE]]</f>
        <v>str_steam_Croatia_HZ_51</v>
      </c>
      <c r="G78">
        <v>6</v>
      </c>
      <c r="H78" t="s">
        <v>20</v>
      </c>
      <c r="I78">
        <v>0</v>
      </c>
      <c r="J78" t="s">
        <v>23</v>
      </c>
      <c r="K78">
        <v>0</v>
      </c>
      <c r="L78">
        <v>1914</v>
      </c>
      <c r="M78">
        <v>6</v>
      </c>
      <c r="N78" s="2" t="s">
        <v>20</v>
      </c>
      <c r="O78" t="b">
        <v>1</v>
      </c>
      <c r="Q78" s="2"/>
      <c r="R78">
        <v>45</v>
      </c>
      <c r="S78">
        <v>0</v>
      </c>
      <c r="T78">
        <v>570</v>
      </c>
      <c r="U78" t="s">
        <v>710</v>
      </c>
      <c r="V78">
        <v>60</v>
      </c>
      <c r="W78" s="2">
        <v>0.11</v>
      </c>
      <c r="AF78" s="2" t="b">
        <v>1</v>
      </c>
      <c r="AX78"/>
      <c r="BA78" s="2"/>
      <c r="BB78" s="2" t="b">
        <f>LEN(_xlfn.CONCAT(Table1[[#This Row],[TRACK_TYPE_STANDARD_GAUGE_RAILTYPE_OHLE]:[TRACK_TYPE_MTRO]]))&gt;0</f>
        <v>1</v>
      </c>
      <c r="BC78" s="7">
        <v>40</v>
      </c>
      <c r="BD78" t="s">
        <v>929</v>
      </c>
      <c r="BE78" t="s">
        <v>922</v>
      </c>
      <c r="BF78" t="s">
        <v>940</v>
      </c>
      <c r="BG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8">
        <v>-3</v>
      </c>
      <c r="BI78" t="s">
        <v>734</v>
      </c>
      <c r="BK78" s="11"/>
      <c r="BL78" s="11">
        <v>52</v>
      </c>
      <c r="BM78">
        <v>0</v>
      </c>
      <c r="BN78" t="s">
        <v>692</v>
      </c>
      <c r="BO78" t="s">
        <v>694</v>
      </c>
      <c r="BP78" t="s">
        <v>701</v>
      </c>
      <c r="BQ78" t="s">
        <v>705</v>
      </c>
      <c r="BR78" t="s">
        <v>706</v>
      </c>
      <c r="BS78" t="s">
        <v>707</v>
      </c>
    </row>
    <row r="79" spans="1:71" hidden="1" x14ac:dyDescent="0.4">
      <c r="A79" s="2" t="s">
        <v>103</v>
      </c>
      <c r="B79" t="str">
        <f>_xlfn.TEXTAFTER(Table1[[#This Row],[VEHIDCODE]],"_")</f>
        <v>Italy_FS_880</v>
      </c>
      <c r="C79" t="s">
        <v>739</v>
      </c>
      <c r="D79" t="b">
        <f>OR(ISNUMBER(SEARCH("wagon_",Table1[[#This Row],[FILENAMES_EXPECTED]])),ISNUMBER(SEARCH("coach_",Table1[[#This Row],[FILENAMES_EXPECTED]])))</f>
        <v>0</v>
      </c>
      <c r="E79" t="str">
        <f>"item_"&amp;Table1[[#This Row],[VEHIDCODE]]</f>
        <v>item_steam_Italy_FS_880</v>
      </c>
      <c r="F79" t="str">
        <f>"str_"&amp;Table1[[#This Row],[VEHIDCODE]]</f>
        <v>str_steam_Italy_FS_880</v>
      </c>
      <c r="G79">
        <v>6</v>
      </c>
      <c r="H79" t="s">
        <v>20</v>
      </c>
      <c r="I79">
        <v>0</v>
      </c>
      <c r="J79" t="s">
        <v>23</v>
      </c>
      <c r="K79">
        <v>0</v>
      </c>
      <c r="L79">
        <v>1916</v>
      </c>
      <c r="M79">
        <v>6</v>
      </c>
      <c r="N79" s="2" t="s">
        <v>20</v>
      </c>
      <c r="O79" t="b">
        <v>1</v>
      </c>
      <c r="Q79" s="2"/>
      <c r="R79">
        <v>45</v>
      </c>
      <c r="S79">
        <v>1</v>
      </c>
      <c r="T79">
        <v>500</v>
      </c>
      <c r="U79" t="s">
        <v>710</v>
      </c>
      <c r="V79">
        <v>75</v>
      </c>
      <c r="W79" s="2">
        <v>0.1</v>
      </c>
      <c r="AF79" s="2" t="b">
        <v>1</v>
      </c>
      <c r="AX79"/>
      <c r="BA79" s="2"/>
      <c r="BB79" s="2" t="b">
        <f>LEN(_xlfn.CONCAT(Table1[[#This Row],[TRACK_TYPE_STANDARD_GAUGE_RAILTYPE_OHLE]:[TRACK_TYPE_MTRO]]))&gt;0</f>
        <v>1</v>
      </c>
      <c r="BC79" s="7">
        <v>40</v>
      </c>
      <c r="BD79" t="s">
        <v>924</v>
      </c>
      <c r="BE79" t="s">
        <v>922</v>
      </c>
      <c r="BF79" t="s">
        <v>940</v>
      </c>
      <c r="BG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9">
        <v>-3</v>
      </c>
      <c r="BI79" t="s">
        <v>734</v>
      </c>
      <c r="BK79" s="11"/>
      <c r="BL79" s="11">
        <v>144</v>
      </c>
      <c r="BM79">
        <v>0</v>
      </c>
      <c r="BN79" t="s">
        <v>692</v>
      </c>
      <c r="BO79" t="s">
        <v>694</v>
      </c>
      <c r="BP79" t="s">
        <v>701</v>
      </c>
      <c r="BQ79" t="s">
        <v>705</v>
      </c>
      <c r="BR79" t="s">
        <v>706</v>
      </c>
      <c r="BS79" t="s">
        <v>707</v>
      </c>
    </row>
    <row r="80" spans="1:71" hidden="1" x14ac:dyDescent="0.4">
      <c r="A80" s="2" t="s">
        <v>104</v>
      </c>
      <c r="B80" t="str">
        <f>_xlfn.TEXTAFTER(Table1[[#This Row],[VEHIDCODE]],"_")</f>
        <v>Argentina_FCNEA_11B_2_8_0</v>
      </c>
      <c r="C80" t="s">
        <v>739</v>
      </c>
      <c r="D80" t="b">
        <f>OR(ISNUMBER(SEARCH("wagon_",Table1[[#This Row],[FILENAMES_EXPECTED]])),ISNUMBER(SEARCH("coach_",Table1[[#This Row],[FILENAMES_EXPECTED]])))</f>
        <v>0</v>
      </c>
      <c r="E80" t="str">
        <f>"item_"&amp;Table1[[#This Row],[VEHIDCODE]]</f>
        <v>item_steam_Argentina_FCNEA_11B_2_8_0</v>
      </c>
      <c r="F80" t="str">
        <f>"str_"&amp;Table1[[#This Row],[VEHIDCODE]]</f>
        <v>str_steam_Argentina_FCNEA_11B_2_8_0</v>
      </c>
      <c r="G80">
        <v>8</v>
      </c>
      <c r="H80" t="s">
        <v>20</v>
      </c>
      <c r="I80">
        <v>0</v>
      </c>
      <c r="J80" t="s">
        <v>23</v>
      </c>
      <c r="K80">
        <v>0</v>
      </c>
      <c r="L80">
        <v>1920</v>
      </c>
      <c r="M80">
        <v>7</v>
      </c>
      <c r="N80" s="2" t="s">
        <v>20</v>
      </c>
      <c r="O80" t="b">
        <v>1</v>
      </c>
      <c r="Q80" s="2"/>
      <c r="R80">
        <v>45</v>
      </c>
      <c r="S80">
        <v>1</v>
      </c>
      <c r="T80">
        <v>930</v>
      </c>
      <c r="U80" t="s">
        <v>710</v>
      </c>
      <c r="V80">
        <v>64</v>
      </c>
      <c r="W80" s="2">
        <v>0.11</v>
      </c>
      <c r="AF80" s="2" t="b">
        <v>1</v>
      </c>
      <c r="AX80"/>
      <c r="BA80" s="2"/>
      <c r="BB80" s="2" t="b">
        <f>LEN(_xlfn.CONCAT(Table1[[#This Row],[TRACK_TYPE_STANDARD_GAUGE_RAILTYPE_OHLE]:[TRACK_TYPE_MTRO]]))&gt;0</f>
        <v>1</v>
      </c>
      <c r="BC80" s="7">
        <v>40</v>
      </c>
      <c r="BD80" t="s">
        <v>930</v>
      </c>
      <c r="BE80" t="s">
        <v>922</v>
      </c>
      <c r="BF80" t="s">
        <v>940</v>
      </c>
      <c r="BG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0">
        <v>0</v>
      </c>
      <c r="BI80" t="s">
        <v>734</v>
      </c>
      <c r="BK80" s="11"/>
      <c r="BL80" s="11">
        <v>97</v>
      </c>
      <c r="BM80">
        <v>0</v>
      </c>
      <c r="BN80" t="s">
        <v>692</v>
      </c>
      <c r="BO80" t="s">
        <v>694</v>
      </c>
      <c r="BP80" t="s">
        <v>701</v>
      </c>
      <c r="BQ80" t="s">
        <v>705</v>
      </c>
      <c r="BR80" t="s">
        <v>706</v>
      </c>
      <c r="BS80" t="s">
        <v>707</v>
      </c>
    </row>
    <row r="81" spans="1:71" hidden="1" x14ac:dyDescent="0.4">
      <c r="A81" s="2" t="s">
        <v>105</v>
      </c>
      <c r="B81" t="str">
        <f>_xlfn.TEXTAFTER(Table1[[#This Row],[VEHIDCODE]],"_")</f>
        <v>France_SNCF_140C</v>
      </c>
      <c r="C81" t="s">
        <v>739</v>
      </c>
      <c r="D81" t="b">
        <f>OR(ISNUMBER(SEARCH("wagon_",Table1[[#This Row],[FILENAMES_EXPECTED]])),ISNUMBER(SEARCH("coach_",Table1[[#This Row],[FILENAMES_EXPECTED]])))</f>
        <v>0</v>
      </c>
      <c r="E81" t="str">
        <f>"item_"&amp;Table1[[#This Row],[VEHIDCODE]]</f>
        <v>item_steam_France_SNCF_140C</v>
      </c>
      <c r="F81" t="str">
        <f>"str_"&amp;Table1[[#This Row],[VEHIDCODE]]</f>
        <v>str_steam_France_SNCF_140C</v>
      </c>
      <c r="G81">
        <v>8</v>
      </c>
      <c r="H81" t="s">
        <v>20</v>
      </c>
      <c r="I81">
        <v>0</v>
      </c>
      <c r="J81" t="s">
        <v>23</v>
      </c>
      <c r="K81">
        <v>0</v>
      </c>
      <c r="L81">
        <v>1920</v>
      </c>
      <c r="M81">
        <v>6</v>
      </c>
      <c r="N81" s="2" t="s">
        <v>20</v>
      </c>
      <c r="O81" t="b">
        <v>1</v>
      </c>
      <c r="Q81" s="2"/>
      <c r="R81">
        <v>45</v>
      </c>
      <c r="S81">
        <v>1</v>
      </c>
      <c r="T81">
        <v>1500</v>
      </c>
      <c r="U81" t="s">
        <v>710</v>
      </c>
      <c r="V81">
        <v>80</v>
      </c>
      <c r="W81" s="2">
        <v>0.16</v>
      </c>
      <c r="AF81" s="2" t="b">
        <v>1</v>
      </c>
      <c r="AX81"/>
      <c r="BA81" s="2"/>
      <c r="BB81" s="2" t="b">
        <f>LEN(_xlfn.CONCAT(Table1[[#This Row],[TRACK_TYPE_STANDARD_GAUGE_RAILTYPE_OHLE]:[TRACK_TYPE_MTRO]]))&gt;0</f>
        <v>1</v>
      </c>
      <c r="BC81" s="7">
        <v>40</v>
      </c>
      <c r="BD81" t="s">
        <v>923</v>
      </c>
      <c r="BE81" t="s">
        <v>922</v>
      </c>
      <c r="BF81" t="s">
        <v>940</v>
      </c>
      <c r="BG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1">
        <v>0</v>
      </c>
      <c r="BI81" t="s">
        <v>734</v>
      </c>
      <c r="BK81" s="11"/>
      <c r="BL81" s="11">
        <v>126</v>
      </c>
      <c r="BM81">
        <v>0</v>
      </c>
      <c r="BN81" t="s">
        <v>692</v>
      </c>
      <c r="BO81" t="s">
        <v>694</v>
      </c>
      <c r="BP81" t="s">
        <v>701</v>
      </c>
      <c r="BQ81" t="s">
        <v>705</v>
      </c>
      <c r="BR81" t="s">
        <v>706</v>
      </c>
      <c r="BS81" t="s">
        <v>707</v>
      </c>
    </row>
    <row r="82" spans="1:71" hidden="1" x14ac:dyDescent="0.4">
      <c r="A82" s="2" t="s">
        <v>106</v>
      </c>
      <c r="B82" t="str">
        <f>_xlfn.TEXTAFTER(Table1[[#This Row],[VEHIDCODE]],"_")</f>
        <v>France_SNCF_141TA</v>
      </c>
      <c r="C82" t="s">
        <v>739</v>
      </c>
      <c r="D82" t="b">
        <f>OR(ISNUMBER(SEARCH("wagon_",Table1[[#This Row],[FILENAMES_EXPECTED]])),ISNUMBER(SEARCH("coach_",Table1[[#This Row],[FILENAMES_EXPECTED]])))</f>
        <v>0</v>
      </c>
      <c r="E82" t="str">
        <f>"item_"&amp;Table1[[#This Row],[VEHIDCODE]]</f>
        <v>item_steam_France_SNCF_141TA</v>
      </c>
      <c r="F82" t="str">
        <f>"str_"&amp;Table1[[#This Row],[VEHIDCODE]]</f>
        <v>str_steam_France_SNCF_141TA</v>
      </c>
      <c r="G82">
        <v>6</v>
      </c>
      <c r="H82" t="s">
        <v>20</v>
      </c>
      <c r="I82">
        <v>0</v>
      </c>
      <c r="J82" t="s">
        <v>23</v>
      </c>
      <c r="K82">
        <v>0</v>
      </c>
      <c r="L82">
        <v>1922</v>
      </c>
      <c r="M82">
        <v>6</v>
      </c>
      <c r="N82" s="2" t="s">
        <v>20</v>
      </c>
      <c r="O82" t="b">
        <v>1</v>
      </c>
      <c r="Q82" s="2"/>
      <c r="R82">
        <v>45</v>
      </c>
      <c r="S82">
        <v>1</v>
      </c>
      <c r="T82">
        <v>1360</v>
      </c>
      <c r="U82" t="s">
        <v>710</v>
      </c>
      <c r="V82">
        <v>70</v>
      </c>
      <c r="W82" s="2">
        <v>0.25</v>
      </c>
      <c r="AF82" s="2" t="b">
        <v>1</v>
      </c>
      <c r="AX82"/>
      <c r="BA82" s="2"/>
      <c r="BB82" s="2" t="b">
        <f>LEN(_xlfn.CONCAT(Table1[[#This Row],[TRACK_TYPE_STANDARD_GAUGE_RAILTYPE_OHLE]:[TRACK_TYPE_MTRO]]))&gt;0</f>
        <v>1</v>
      </c>
      <c r="BC82" s="7">
        <v>40</v>
      </c>
      <c r="BD82" t="s">
        <v>923</v>
      </c>
      <c r="BE82" t="s">
        <v>922</v>
      </c>
      <c r="BF82" t="s">
        <v>940</v>
      </c>
      <c r="BG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2">
        <v>-3</v>
      </c>
      <c r="BI82" t="s">
        <v>734</v>
      </c>
      <c r="BK82" s="11"/>
      <c r="BL82" s="11">
        <v>94</v>
      </c>
      <c r="BM82">
        <v>0</v>
      </c>
      <c r="BN82" t="s">
        <v>692</v>
      </c>
      <c r="BO82" t="s">
        <v>694</v>
      </c>
      <c r="BP82" t="s">
        <v>701</v>
      </c>
      <c r="BQ82" t="s">
        <v>705</v>
      </c>
      <c r="BR82" t="s">
        <v>706</v>
      </c>
      <c r="BS82" t="s">
        <v>707</v>
      </c>
    </row>
    <row r="83" spans="1:71" hidden="1" x14ac:dyDescent="0.4">
      <c r="A83" s="2" t="s">
        <v>107</v>
      </c>
      <c r="B83" t="str">
        <f>_xlfn.TEXTAFTER(Table1[[#This Row],[VEHIDCODE]],"_")</f>
        <v>UK_GWR_4900</v>
      </c>
      <c r="C83" t="s">
        <v>739</v>
      </c>
      <c r="D83" t="b">
        <f>OR(ISNUMBER(SEARCH("wagon_",Table1[[#This Row],[FILENAMES_EXPECTED]])),ISNUMBER(SEARCH("coach_",Table1[[#This Row],[FILENAMES_EXPECTED]])))</f>
        <v>0</v>
      </c>
      <c r="E83" t="str">
        <f>"item_"&amp;Table1[[#This Row],[VEHIDCODE]]</f>
        <v>item_steam_UK_GWR_4900</v>
      </c>
      <c r="F83" t="str">
        <f>"str_"&amp;Table1[[#This Row],[VEHIDCODE]]</f>
        <v>str_steam_UK_GWR_4900</v>
      </c>
      <c r="G83">
        <v>12</v>
      </c>
      <c r="H83" t="s">
        <v>20</v>
      </c>
      <c r="I83">
        <v>0</v>
      </c>
      <c r="J83" t="s">
        <v>23</v>
      </c>
      <c r="K83">
        <v>0</v>
      </c>
      <c r="L83">
        <v>1924</v>
      </c>
      <c r="M83">
        <v>8</v>
      </c>
      <c r="N83" s="2" t="s">
        <v>20</v>
      </c>
      <c r="O83" t="b">
        <v>1</v>
      </c>
      <c r="Q83" s="2"/>
      <c r="R83">
        <v>45</v>
      </c>
      <c r="S83">
        <v>0</v>
      </c>
      <c r="T83">
        <v>1750</v>
      </c>
      <c r="U83" t="s">
        <v>710</v>
      </c>
      <c r="V83">
        <v>96</v>
      </c>
      <c r="W83" s="2">
        <v>0.1</v>
      </c>
      <c r="AF83" s="2" t="b">
        <v>1</v>
      </c>
      <c r="AX83"/>
      <c r="BA83" s="2"/>
      <c r="BB83" s="2" t="b">
        <f>LEN(_xlfn.CONCAT(Table1[[#This Row],[TRACK_TYPE_STANDARD_GAUGE_RAILTYPE_OHLE]:[TRACK_TYPE_MTRO]]))&gt;0</f>
        <v>1</v>
      </c>
      <c r="BC83" s="7">
        <v>40</v>
      </c>
      <c r="BD83" t="s">
        <v>927</v>
      </c>
      <c r="BE83" t="s">
        <v>922</v>
      </c>
      <c r="BF83" t="s">
        <v>940</v>
      </c>
      <c r="BG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3">
        <v>0</v>
      </c>
      <c r="BI83" t="s">
        <v>734</v>
      </c>
      <c r="BK83" s="11"/>
      <c r="BL83" s="11">
        <v>122</v>
      </c>
      <c r="BM83">
        <v>0</v>
      </c>
      <c r="BN83" t="s">
        <v>692</v>
      </c>
      <c r="BO83" t="s">
        <v>694</v>
      </c>
      <c r="BP83" t="s">
        <v>701</v>
      </c>
      <c r="BQ83" t="s">
        <v>705</v>
      </c>
      <c r="BR83" t="s">
        <v>706</v>
      </c>
      <c r="BS83" t="s">
        <v>707</v>
      </c>
    </row>
    <row r="84" spans="1:71" hidden="1" x14ac:dyDescent="0.4">
      <c r="A84" s="2" t="s">
        <v>108</v>
      </c>
      <c r="B84" t="str">
        <f>_xlfn.TEXTAFTER(Table1[[#This Row],[VEHIDCODE]],"_")</f>
        <v>UK_GWR_5700</v>
      </c>
      <c r="C84" t="s">
        <v>739</v>
      </c>
      <c r="D84" t="b">
        <f>OR(ISNUMBER(SEARCH("wagon_",Table1[[#This Row],[FILENAMES_EXPECTED]])),ISNUMBER(SEARCH("coach_",Table1[[#This Row],[FILENAMES_EXPECTED]])))</f>
        <v>0</v>
      </c>
      <c r="E84" t="str">
        <f>"item_"&amp;Table1[[#This Row],[VEHIDCODE]]</f>
        <v>item_steam_UK_GWR_5700</v>
      </c>
      <c r="F84" t="str">
        <f>"str_"&amp;Table1[[#This Row],[VEHIDCODE]]</f>
        <v>str_steam_UK_GWR_5700</v>
      </c>
      <c r="G84">
        <v>6</v>
      </c>
      <c r="H84" t="s">
        <v>20</v>
      </c>
      <c r="I84">
        <v>0</v>
      </c>
      <c r="J84" t="s">
        <v>23</v>
      </c>
      <c r="K84">
        <v>0</v>
      </c>
      <c r="L84">
        <v>1929</v>
      </c>
      <c r="M84">
        <v>6</v>
      </c>
      <c r="N84" s="2" t="s">
        <v>20</v>
      </c>
      <c r="O84" t="b">
        <v>1</v>
      </c>
      <c r="Q84" s="2"/>
      <c r="R84">
        <v>45</v>
      </c>
      <c r="S84">
        <v>0</v>
      </c>
      <c r="T84">
        <v>700</v>
      </c>
      <c r="U84" t="s">
        <v>710</v>
      </c>
      <c r="V84">
        <v>72</v>
      </c>
      <c r="W84" s="2">
        <v>0.21</v>
      </c>
      <c r="AF84" s="2" t="b">
        <v>1</v>
      </c>
      <c r="AX84"/>
      <c r="BA84" s="2"/>
      <c r="BB84" s="2" t="b">
        <f>LEN(_xlfn.CONCAT(Table1[[#This Row],[TRACK_TYPE_STANDARD_GAUGE_RAILTYPE_OHLE]:[TRACK_TYPE_MTRO]]))&gt;0</f>
        <v>1</v>
      </c>
      <c r="BC84" s="7">
        <v>40</v>
      </c>
      <c r="BD84" t="s">
        <v>927</v>
      </c>
      <c r="BE84" t="s">
        <v>922</v>
      </c>
      <c r="BF84" t="s">
        <v>940</v>
      </c>
      <c r="BG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4">
        <v>-3</v>
      </c>
      <c r="BI84" t="s">
        <v>734</v>
      </c>
      <c r="BK84" s="11"/>
      <c r="BL84" s="11">
        <v>48</v>
      </c>
      <c r="BM84">
        <v>0</v>
      </c>
      <c r="BN84" t="s">
        <v>692</v>
      </c>
      <c r="BO84" t="s">
        <v>694</v>
      </c>
      <c r="BP84" t="s">
        <v>701</v>
      </c>
      <c r="BQ84" t="s">
        <v>705</v>
      </c>
      <c r="BR84" t="s">
        <v>706</v>
      </c>
      <c r="BS84" t="s">
        <v>707</v>
      </c>
    </row>
    <row r="85" spans="1:71" hidden="1" x14ac:dyDescent="0.4">
      <c r="A85" s="2" t="s">
        <v>109</v>
      </c>
      <c r="B85" t="str">
        <f>_xlfn.TEXTAFTER(Table1[[#This Row],[VEHIDCODE]],"_")</f>
        <v>Netherlands_NS_6300</v>
      </c>
      <c r="C85" t="s">
        <v>739</v>
      </c>
      <c r="D85" t="b">
        <f>OR(ISNUMBER(SEARCH("wagon_",Table1[[#This Row],[FILENAMES_EXPECTED]])),ISNUMBER(SEARCH("coach_",Table1[[#This Row],[FILENAMES_EXPECTED]])))</f>
        <v>0</v>
      </c>
      <c r="E85" t="str">
        <f>"item_"&amp;Table1[[#This Row],[VEHIDCODE]]</f>
        <v>item_steam_Netherlands_NS_6300</v>
      </c>
      <c r="F85" t="str">
        <f>"str_"&amp;Table1[[#This Row],[VEHIDCODE]]</f>
        <v>str_steam_Netherlands_NS_6300</v>
      </c>
      <c r="G85">
        <v>8</v>
      </c>
      <c r="H85" t="s">
        <v>20</v>
      </c>
      <c r="I85">
        <v>0</v>
      </c>
      <c r="J85" t="s">
        <v>23</v>
      </c>
      <c r="K85">
        <v>0</v>
      </c>
      <c r="L85">
        <v>1930</v>
      </c>
      <c r="M85">
        <v>8</v>
      </c>
      <c r="N85" s="2" t="s">
        <v>20</v>
      </c>
      <c r="O85" t="b">
        <v>1</v>
      </c>
      <c r="Q85" s="2"/>
      <c r="R85">
        <v>45</v>
      </c>
      <c r="S85">
        <v>1</v>
      </c>
      <c r="T85">
        <v>1609</v>
      </c>
      <c r="U85" t="s">
        <v>710</v>
      </c>
      <c r="V85">
        <v>90</v>
      </c>
      <c r="W85" s="2">
        <v>0.11</v>
      </c>
      <c r="AF85" s="2" t="b">
        <v>1</v>
      </c>
      <c r="AX85"/>
      <c r="BA85" s="2"/>
      <c r="BB85" s="2" t="b">
        <f>LEN(_xlfn.CONCAT(Table1[[#This Row],[TRACK_TYPE_STANDARD_GAUGE_RAILTYPE_OHLE]:[TRACK_TYPE_MTRO]]))&gt;0</f>
        <v>1</v>
      </c>
      <c r="BC85" s="7">
        <v>40</v>
      </c>
      <c r="BD85" t="s">
        <v>923</v>
      </c>
      <c r="BE85" t="s">
        <v>922</v>
      </c>
      <c r="BF85" t="s">
        <v>940</v>
      </c>
      <c r="BG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5">
        <v>0</v>
      </c>
      <c r="BI85" t="s">
        <v>734</v>
      </c>
      <c r="BK85" s="11"/>
      <c r="BL85" s="11">
        <v>127</v>
      </c>
      <c r="BM85">
        <v>0</v>
      </c>
      <c r="BN85" t="s">
        <v>692</v>
      </c>
      <c r="BO85" t="s">
        <v>694</v>
      </c>
      <c r="BP85" t="s">
        <v>701</v>
      </c>
      <c r="BQ85" t="s">
        <v>705</v>
      </c>
      <c r="BR85" t="s">
        <v>706</v>
      </c>
      <c r="BS85" t="s">
        <v>707</v>
      </c>
    </row>
    <row r="86" spans="1:71" hidden="1" x14ac:dyDescent="0.4">
      <c r="A86" s="2" t="s">
        <v>110</v>
      </c>
      <c r="B86" t="str">
        <f>_xlfn.TEXTAFTER(Table1[[#This Row],[VEHIDCODE]],"_")</f>
        <v>USA_AT_SF_5000</v>
      </c>
      <c r="C86" t="s">
        <v>739</v>
      </c>
      <c r="D86" t="b">
        <f>OR(ISNUMBER(SEARCH("wagon_",Table1[[#This Row],[FILENAMES_EXPECTED]])),ISNUMBER(SEARCH("coach_",Table1[[#This Row],[FILENAMES_EXPECTED]])))</f>
        <v>0</v>
      </c>
      <c r="E86" t="str">
        <f>"item_"&amp;Table1[[#This Row],[VEHIDCODE]]</f>
        <v>item_steam_USA_AT_SF_5000</v>
      </c>
      <c r="F86" t="str">
        <f>"str_"&amp;Table1[[#This Row],[VEHIDCODE]]</f>
        <v>str_steam_USA_AT_SF_5000</v>
      </c>
      <c r="G86">
        <v>12</v>
      </c>
      <c r="H86" t="s">
        <v>20</v>
      </c>
      <c r="I86">
        <v>0</v>
      </c>
      <c r="J86" t="s">
        <v>23</v>
      </c>
      <c r="K86">
        <v>0</v>
      </c>
      <c r="L86">
        <v>1930</v>
      </c>
      <c r="M86">
        <v>8</v>
      </c>
      <c r="N86" s="2" t="s">
        <v>20</v>
      </c>
      <c r="O86" t="b">
        <v>1</v>
      </c>
      <c r="Q86" s="2"/>
      <c r="R86">
        <v>45</v>
      </c>
      <c r="S86">
        <v>1</v>
      </c>
      <c r="T86">
        <v>5700</v>
      </c>
      <c r="U86" t="s">
        <v>710</v>
      </c>
      <c r="V86">
        <v>100</v>
      </c>
      <c r="W86" s="2">
        <v>0.12</v>
      </c>
      <c r="AF86" s="2" t="b">
        <v>1</v>
      </c>
      <c r="AX86"/>
      <c r="BA86" s="2"/>
      <c r="BB86" s="2" t="b">
        <f>LEN(_xlfn.CONCAT(Table1[[#This Row],[TRACK_TYPE_STANDARD_GAUGE_RAILTYPE_OHLE]:[TRACK_TYPE_MTRO]]))&gt;0</f>
        <v>1</v>
      </c>
      <c r="BC86" s="7">
        <v>40</v>
      </c>
      <c r="BD86" t="s">
        <v>928</v>
      </c>
      <c r="BE86" t="s">
        <v>922</v>
      </c>
      <c r="BF86" t="s">
        <v>940</v>
      </c>
      <c r="BG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6">
        <v>0</v>
      </c>
      <c r="BI86" t="s">
        <v>734</v>
      </c>
      <c r="BK86" s="11"/>
      <c r="BL86" s="11">
        <v>398</v>
      </c>
      <c r="BM86">
        <v>0</v>
      </c>
      <c r="BN86" t="s">
        <v>692</v>
      </c>
      <c r="BO86" t="s">
        <v>694</v>
      </c>
      <c r="BP86" t="s">
        <v>701</v>
      </c>
      <c r="BQ86" t="s">
        <v>705</v>
      </c>
      <c r="BR86" t="s">
        <v>706</v>
      </c>
      <c r="BS86" t="s">
        <v>707</v>
      </c>
    </row>
    <row r="87" spans="1:71" hidden="1" x14ac:dyDescent="0.4">
      <c r="A87" s="2" t="s">
        <v>111</v>
      </c>
      <c r="B87" t="str">
        <f>_xlfn.TEXTAFTER(Table1[[#This Row],[VEHIDCODE]],"_")</f>
        <v>Germany_Prussian_S10</v>
      </c>
      <c r="C87" t="s">
        <v>739</v>
      </c>
      <c r="D87" t="b">
        <f>OR(ISNUMBER(SEARCH("wagon_",Table1[[#This Row],[FILENAMES_EXPECTED]])),ISNUMBER(SEARCH("coach_",Table1[[#This Row],[FILENAMES_EXPECTED]])))</f>
        <v>0</v>
      </c>
      <c r="E87" t="str">
        <f>"item_"&amp;Table1[[#This Row],[VEHIDCODE]]</f>
        <v>item_steam_Germany_Prussian_S10</v>
      </c>
      <c r="F87" t="str">
        <f>"str_"&amp;Table1[[#This Row],[VEHIDCODE]]</f>
        <v>str_steam_Germany_Prussian_S10</v>
      </c>
      <c r="G87">
        <v>8</v>
      </c>
      <c r="H87" t="s">
        <v>20</v>
      </c>
      <c r="I87">
        <v>0</v>
      </c>
      <c r="J87" t="s">
        <v>23</v>
      </c>
      <c r="K87">
        <v>0</v>
      </c>
      <c r="L87">
        <v>1910</v>
      </c>
      <c r="M87">
        <v>8</v>
      </c>
      <c r="N87" s="2" t="s">
        <v>20</v>
      </c>
      <c r="O87" t="b">
        <v>1</v>
      </c>
      <c r="Q87" s="2"/>
      <c r="R87">
        <v>45</v>
      </c>
      <c r="S87">
        <v>1</v>
      </c>
      <c r="T87">
        <v>1155</v>
      </c>
      <c r="U87" t="s">
        <v>710</v>
      </c>
      <c r="V87">
        <v>110</v>
      </c>
      <c r="W87" s="2">
        <v>0.1</v>
      </c>
      <c r="AF87" s="2" t="b">
        <v>1</v>
      </c>
      <c r="AX87"/>
      <c r="BA87" s="2"/>
      <c r="BB87" s="2" t="b">
        <f>LEN(_xlfn.CONCAT(Table1[[#This Row],[TRACK_TYPE_STANDARD_GAUGE_RAILTYPE_OHLE]:[TRACK_TYPE_MTRO]]))&gt;0</f>
        <v>1</v>
      </c>
      <c r="BC87" s="7">
        <v>40</v>
      </c>
      <c r="BD87" t="s">
        <v>923</v>
      </c>
      <c r="BE87" t="s">
        <v>922</v>
      </c>
      <c r="BF87" t="s">
        <v>940</v>
      </c>
      <c r="BG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7">
        <v>0</v>
      </c>
      <c r="BI87" t="s">
        <v>734</v>
      </c>
      <c r="BK87" s="11"/>
      <c r="BL87" s="11">
        <v>77</v>
      </c>
      <c r="BM87">
        <v>0</v>
      </c>
      <c r="BN87" t="s">
        <v>692</v>
      </c>
      <c r="BO87" t="s">
        <v>694</v>
      </c>
      <c r="BP87" t="s">
        <v>701</v>
      </c>
      <c r="BQ87" t="s">
        <v>705</v>
      </c>
      <c r="BR87" t="s">
        <v>706</v>
      </c>
      <c r="BS87" t="s">
        <v>707</v>
      </c>
    </row>
    <row r="88" spans="1:71" hidden="1" x14ac:dyDescent="0.4">
      <c r="A88" s="2" t="s">
        <v>112</v>
      </c>
      <c r="B88" t="str">
        <f>_xlfn.TEXTAFTER(Table1[[#This Row],[VEHIDCODE]],"_")</f>
        <v>UK_LMS_5MT_Black_Five</v>
      </c>
      <c r="C88" t="s">
        <v>739</v>
      </c>
      <c r="D88" t="b">
        <f>OR(ISNUMBER(SEARCH("wagon_",Table1[[#This Row],[FILENAMES_EXPECTED]])),ISNUMBER(SEARCH("coach_",Table1[[#This Row],[FILENAMES_EXPECTED]])))</f>
        <v>0</v>
      </c>
      <c r="E88" t="str">
        <f>"item_"&amp;Table1[[#This Row],[VEHIDCODE]]</f>
        <v>item_steam_UK_LMS_5MT_Black_Five</v>
      </c>
      <c r="F88" t="str">
        <f>"str_"&amp;Table1[[#This Row],[VEHIDCODE]]</f>
        <v>str_steam_UK_LMS_5MT_Black_Five</v>
      </c>
      <c r="G88">
        <v>10</v>
      </c>
      <c r="H88" t="s">
        <v>20</v>
      </c>
      <c r="I88">
        <v>0</v>
      </c>
      <c r="J88" t="s">
        <v>23</v>
      </c>
      <c r="K88">
        <v>0</v>
      </c>
      <c r="L88">
        <v>1934</v>
      </c>
      <c r="M88">
        <v>8</v>
      </c>
      <c r="N88" s="2" t="s">
        <v>20</v>
      </c>
      <c r="O88" t="b">
        <v>1</v>
      </c>
      <c r="Q88" s="2"/>
      <c r="R88">
        <v>45</v>
      </c>
      <c r="S88">
        <v>1</v>
      </c>
      <c r="T88">
        <v>1600</v>
      </c>
      <c r="U88" t="s">
        <v>710</v>
      </c>
      <c r="V88">
        <v>115</v>
      </c>
      <c r="W88" s="2">
        <v>0.15</v>
      </c>
      <c r="AF88" s="2" t="b">
        <v>1</v>
      </c>
      <c r="AX88"/>
      <c r="BA88" s="2"/>
      <c r="BB88" s="2" t="b">
        <f>LEN(_xlfn.CONCAT(Table1[[#This Row],[TRACK_TYPE_STANDARD_GAUGE_RAILTYPE_OHLE]:[TRACK_TYPE_MTRO]]))&gt;0</f>
        <v>1</v>
      </c>
      <c r="BC88" s="7">
        <v>40</v>
      </c>
      <c r="BD88" t="s">
        <v>927</v>
      </c>
      <c r="BE88" t="s">
        <v>922</v>
      </c>
      <c r="BF88" t="s">
        <v>940</v>
      </c>
      <c r="BG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8">
        <v>0</v>
      </c>
      <c r="BI88" t="s">
        <v>734</v>
      </c>
      <c r="BK88" s="11"/>
      <c r="BL88" s="11">
        <v>75</v>
      </c>
      <c r="BM88">
        <v>0</v>
      </c>
      <c r="BN88" t="s">
        <v>692</v>
      </c>
      <c r="BO88" t="s">
        <v>694</v>
      </c>
      <c r="BP88" t="s">
        <v>701</v>
      </c>
      <c r="BQ88" t="s">
        <v>705</v>
      </c>
      <c r="BR88" t="s">
        <v>706</v>
      </c>
      <c r="BS88" t="s">
        <v>707</v>
      </c>
    </row>
    <row r="89" spans="1:71" hidden="1" x14ac:dyDescent="0.4">
      <c r="A89" s="2" t="s">
        <v>113</v>
      </c>
      <c r="B89" t="str">
        <f>_xlfn.TEXTAFTER(Table1[[#This Row],[VEHIDCODE]],"_")</f>
        <v>Russia_RZD_9P</v>
      </c>
      <c r="C89" t="s">
        <v>739</v>
      </c>
      <c r="D89" t="b">
        <f>OR(ISNUMBER(SEARCH("wagon_",Table1[[#This Row],[FILENAMES_EXPECTED]])),ISNUMBER(SEARCH("coach_",Table1[[#This Row],[FILENAMES_EXPECTED]])))</f>
        <v>0</v>
      </c>
      <c r="E89" t="str">
        <f>"item_"&amp;Table1[[#This Row],[VEHIDCODE]]</f>
        <v>item_steam_Russia_RZD_9P</v>
      </c>
      <c r="F89" t="str">
        <f>"str_"&amp;Table1[[#This Row],[VEHIDCODE]]</f>
        <v>str_steam_Russia_RZD_9P</v>
      </c>
      <c r="G89">
        <v>6</v>
      </c>
      <c r="H89" t="s">
        <v>20</v>
      </c>
      <c r="I89">
        <v>0</v>
      </c>
      <c r="J89" t="s">
        <v>23</v>
      </c>
      <c r="K89">
        <v>0</v>
      </c>
      <c r="L89">
        <v>1934</v>
      </c>
      <c r="M89">
        <v>6</v>
      </c>
      <c r="N89" s="2" t="s">
        <v>20</v>
      </c>
      <c r="O89" t="b">
        <v>1</v>
      </c>
      <c r="Q89" s="2"/>
      <c r="R89">
        <v>45</v>
      </c>
      <c r="S89">
        <v>1</v>
      </c>
      <c r="T89">
        <v>320</v>
      </c>
      <c r="U89" t="s">
        <v>710</v>
      </c>
      <c r="V89">
        <v>35</v>
      </c>
      <c r="W89" s="2">
        <v>0.13</v>
      </c>
      <c r="AF89" s="2" t="b">
        <v>1</v>
      </c>
      <c r="AX89"/>
      <c r="BA89" s="2"/>
      <c r="BB89" s="2" t="b">
        <f>LEN(_xlfn.CONCAT(Table1[[#This Row],[TRACK_TYPE_STANDARD_GAUGE_RAILTYPE_OHLE]:[TRACK_TYPE_MTRO]]))&gt;0</f>
        <v>1</v>
      </c>
      <c r="BC89" s="7">
        <v>40</v>
      </c>
      <c r="BD89" t="s">
        <v>931</v>
      </c>
      <c r="BE89" t="s">
        <v>922</v>
      </c>
      <c r="BF89" t="s">
        <v>940</v>
      </c>
      <c r="BG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9">
        <v>-3</v>
      </c>
      <c r="BI89" t="s">
        <v>734</v>
      </c>
      <c r="BK89" s="11"/>
      <c r="BL89" s="11">
        <v>52</v>
      </c>
      <c r="BM89">
        <v>0</v>
      </c>
      <c r="BN89" t="s">
        <v>692</v>
      </c>
      <c r="BO89" t="s">
        <v>694</v>
      </c>
      <c r="BP89" t="s">
        <v>701</v>
      </c>
      <c r="BQ89" t="s">
        <v>705</v>
      </c>
      <c r="BR89" t="s">
        <v>706</v>
      </c>
      <c r="BS89" t="s">
        <v>707</v>
      </c>
    </row>
    <row r="90" spans="1:71" hidden="1" x14ac:dyDescent="0.4">
      <c r="A90" s="2" t="s">
        <v>114</v>
      </c>
      <c r="B90" t="str">
        <f>_xlfn.TEXTAFTER(Table1[[#This Row],[VEHIDCODE]],"_")</f>
        <v>UK_LNER_A4_Gresley</v>
      </c>
      <c r="C90" t="s">
        <v>739</v>
      </c>
      <c r="D90" t="b">
        <f>OR(ISNUMBER(SEARCH("wagon_",Table1[[#This Row],[FILENAMES_EXPECTED]])),ISNUMBER(SEARCH("coach_",Table1[[#This Row],[FILENAMES_EXPECTED]])))</f>
        <v>0</v>
      </c>
      <c r="E90" t="str">
        <f>"item_"&amp;Table1[[#This Row],[VEHIDCODE]]</f>
        <v>item_steam_UK_LNER_A4_Gresley</v>
      </c>
      <c r="F90" t="str">
        <f>"str_"&amp;Table1[[#This Row],[VEHIDCODE]]</f>
        <v>str_steam_UK_LNER_A4_Gresley</v>
      </c>
      <c r="G90">
        <v>12</v>
      </c>
      <c r="H90" t="s">
        <v>20</v>
      </c>
      <c r="I90">
        <v>0</v>
      </c>
      <c r="J90" t="s">
        <v>23</v>
      </c>
      <c r="K90">
        <v>0</v>
      </c>
      <c r="L90">
        <v>1935</v>
      </c>
      <c r="M90">
        <v>8</v>
      </c>
      <c r="N90" s="2" t="s">
        <v>20</v>
      </c>
      <c r="O90" t="b">
        <v>1</v>
      </c>
      <c r="Q90" s="2"/>
      <c r="R90">
        <v>45</v>
      </c>
      <c r="S90">
        <v>1</v>
      </c>
      <c r="T90">
        <v>2000</v>
      </c>
      <c r="U90" t="s">
        <v>710</v>
      </c>
      <c r="V90">
        <v>160</v>
      </c>
      <c r="W90" s="2">
        <v>0.09</v>
      </c>
      <c r="AF90" s="2" t="b">
        <v>1</v>
      </c>
      <c r="AX90"/>
      <c r="BA90" s="2"/>
      <c r="BB90" s="2" t="b">
        <f>LEN(_xlfn.CONCAT(Table1[[#This Row],[TRACK_TYPE_STANDARD_GAUGE_RAILTYPE_OHLE]:[TRACK_TYPE_MTRO]]))&gt;0</f>
        <v>1</v>
      </c>
      <c r="BC90" s="7">
        <v>40</v>
      </c>
      <c r="BD90" t="s">
        <v>927</v>
      </c>
      <c r="BE90" t="s">
        <v>922</v>
      </c>
      <c r="BF90" t="s">
        <v>940</v>
      </c>
      <c r="BG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0">
        <v>0</v>
      </c>
      <c r="BI90" t="s">
        <v>734</v>
      </c>
      <c r="BK90" s="11"/>
      <c r="BL90" s="11">
        <v>170</v>
      </c>
      <c r="BM90">
        <v>0</v>
      </c>
      <c r="BN90" t="s">
        <v>692</v>
      </c>
      <c r="BO90" t="s">
        <v>694</v>
      </c>
      <c r="BP90" t="s">
        <v>701</v>
      </c>
      <c r="BQ90" t="s">
        <v>705</v>
      </c>
      <c r="BR90" t="s">
        <v>706</v>
      </c>
      <c r="BS90" t="s">
        <v>707</v>
      </c>
    </row>
    <row r="91" spans="1:71" hidden="1" x14ac:dyDescent="0.4">
      <c r="A91" s="2" t="s">
        <v>115</v>
      </c>
      <c r="B91" t="str">
        <f>_xlfn.TEXTAFTER(Table1[[#This Row],[VEHIDCODE]],"_")</f>
        <v>Canada_CPR_Royal_Hudson</v>
      </c>
      <c r="C91" t="s">
        <v>739</v>
      </c>
      <c r="D91" t="b">
        <f>OR(ISNUMBER(SEARCH("wagon_",Table1[[#This Row],[FILENAMES_EXPECTED]])),ISNUMBER(SEARCH("coach_",Table1[[#This Row],[FILENAMES_EXPECTED]])))</f>
        <v>0</v>
      </c>
      <c r="E91" t="str">
        <f>"item_"&amp;Table1[[#This Row],[VEHIDCODE]]</f>
        <v>item_steam_Canada_CPR_Royal_Hudson</v>
      </c>
      <c r="F91" t="str">
        <f>"str_"&amp;Table1[[#This Row],[VEHIDCODE]]</f>
        <v>str_steam_Canada_CPR_Royal_Hudson</v>
      </c>
      <c r="G91">
        <v>12</v>
      </c>
      <c r="H91" t="s">
        <v>20</v>
      </c>
      <c r="I91">
        <v>0</v>
      </c>
      <c r="J91" t="s">
        <v>23</v>
      </c>
      <c r="K91">
        <v>0</v>
      </c>
      <c r="L91">
        <v>1937</v>
      </c>
      <c r="M91">
        <v>8</v>
      </c>
      <c r="N91" s="2" t="s">
        <v>20</v>
      </c>
      <c r="O91" t="b">
        <v>1</v>
      </c>
      <c r="Q91" s="2"/>
      <c r="R91">
        <v>45</v>
      </c>
      <c r="S91">
        <v>1</v>
      </c>
      <c r="T91">
        <v>4500</v>
      </c>
      <c r="U91" t="s">
        <v>710</v>
      </c>
      <c r="V91">
        <v>144</v>
      </c>
      <c r="W91" s="2">
        <v>0.06</v>
      </c>
      <c r="AF91" s="2" t="b">
        <v>1</v>
      </c>
      <c r="AX91"/>
      <c r="BA91" s="2"/>
      <c r="BB91" s="2" t="b">
        <f>LEN(_xlfn.CONCAT(Table1[[#This Row],[TRACK_TYPE_STANDARD_GAUGE_RAILTYPE_OHLE]:[TRACK_TYPE_MTRO]]))&gt;0</f>
        <v>1</v>
      </c>
      <c r="BC91" s="7">
        <v>40</v>
      </c>
      <c r="BD91" t="s">
        <v>928</v>
      </c>
      <c r="BE91" t="s">
        <v>922</v>
      </c>
      <c r="BF91" t="s">
        <v>940</v>
      </c>
      <c r="BG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1">
        <v>0</v>
      </c>
      <c r="BI91" t="s">
        <v>734</v>
      </c>
      <c r="BK91" s="11"/>
      <c r="BL91" s="11">
        <v>294</v>
      </c>
      <c r="BM91">
        <v>0</v>
      </c>
      <c r="BN91" t="s">
        <v>692</v>
      </c>
      <c r="BO91" t="s">
        <v>694</v>
      </c>
      <c r="BP91" t="s">
        <v>701</v>
      </c>
      <c r="BQ91" t="s">
        <v>705</v>
      </c>
      <c r="BR91" t="s">
        <v>706</v>
      </c>
      <c r="BS91" t="s">
        <v>707</v>
      </c>
    </row>
    <row r="92" spans="1:71" hidden="1" x14ac:dyDescent="0.4">
      <c r="A92" s="2" t="s">
        <v>116</v>
      </c>
      <c r="B92" t="str">
        <f>_xlfn.TEXTAFTER(Table1[[#This Row],[VEHIDCODE]],"_")</f>
        <v>Denmark_DSB_E</v>
      </c>
      <c r="C92" t="s">
        <v>739</v>
      </c>
      <c r="D92" t="b">
        <f>OR(ISNUMBER(SEARCH("wagon_",Table1[[#This Row],[FILENAMES_EXPECTED]])),ISNUMBER(SEARCH("coach_",Table1[[#This Row],[FILENAMES_EXPECTED]])))</f>
        <v>0</v>
      </c>
      <c r="E92" t="str">
        <f>"item_"&amp;Table1[[#This Row],[VEHIDCODE]]</f>
        <v>item_steam_Denmark_DSB_E</v>
      </c>
      <c r="F92" t="str">
        <f>"str_"&amp;Table1[[#This Row],[VEHIDCODE]]</f>
        <v>str_steam_Denmark_DSB_E</v>
      </c>
      <c r="G92">
        <v>8</v>
      </c>
      <c r="H92" t="s">
        <v>20</v>
      </c>
      <c r="I92">
        <v>0</v>
      </c>
      <c r="J92" t="s">
        <v>23</v>
      </c>
      <c r="K92">
        <v>0</v>
      </c>
      <c r="L92">
        <v>1937</v>
      </c>
      <c r="M92">
        <v>6</v>
      </c>
      <c r="N92" s="2" t="s">
        <v>20</v>
      </c>
      <c r="O92" t="b">
        <v>1</v>
      </c>
      <c r="Q92" s="2"/>
      <c r="R92">
        <v>45</v>
      </c>
      <c r="S92">
        <v>1</v>
      </c>
      <c r="T92">
        <v>1529</v>
      </c>
      <c r="U92" t="s">
        <v>710</v>
      </c>
      <c r="V92">
        <v>110</v>
      </c>
      <c r="W92" s="2">
        <v>0.06</v>
      </c>
      <c r="AF92" s="2" t="b">
        <v>1</v>
      </c>
      <c r="AX92"/>
      <c r="BA92" s="2"/>
      <c r="BB92" s="2" t="b">
        <f>LEN(_xlfn.CONCAT(Table1[[#This Row],[TRACK_TYPE_STANDARD_GAUGE_RAILTYPE_OHLE]:[TRACK_TYPE_MTRO]]))&gt;0</f>
        <v>1</v>
      </c>
      <c r="BC92" s="7">
        <v>40</v>
      </c>
      <c r="BD92" t="s">
        <v>927</v>
      </c>
      <c r="BE92" t="s">
        <v>922</v>
      </c>
      <c r="BF92" t="s">
        <v>940</v>
      </c>
      <c r="BG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2">
        <v>-3</v>
      </c>
      <c r="BI92" t="s">
        <v>734</v>
      </c>
      <c r="BK92" s="11"/>
      <c r="BL92" s="11">
        <v>137</v>
      </c>
      <c r="BM92">
        <v>0</v>
      </c>
      <c r="BN92" t="s">
        <v>692</v>
      </c>
      <c r="BO92" t="s">
        <v>694</v>
      </c>
      <c r="BP92" t="s">
        <v>701</v>
      </c>
      <c r="BQ92" t="s">
        <v>705</v>
      </c>
      <c r="BR92" t="s">
        <v>706</v>
      </c>
      <c r="BS92" t="s">
        <v>707</v>
      </c>
    </row>
    <row r="93" spans="1:71" hidden="1" x14ac:dyDescent="0.4">
      <c r="A93" s="2" t="s">
        <v>117</v>
      </c>
      <c r="B93" t="str">
        <f>_xlfn.TEXTAFTER(Table1[[#This Row],[VEHIDCODE]],"_")</f>
        <v>Germany_DB_52</v>
      </c>
      <c r="C93" t="s">
        <v>739</v>
      </c>
      <c r="D93" t="b">
        <f>OR(ISNUMBER(SEARCH("wagon_",Table1[[#This Row],[FILENAMES_EXPECTED]])),ISNUMBER(SEARCH("coach_",Table1[[#This Row],[FILENAMES_EXPECTED]])))</f>
        <v>0</v>
      </c>
      <c r="E93" t="str">
        <f>"item_"&amp;Table1[[#This Row],[VEHIDCODE]]</f>
        <v>item_steam_Germany_DB_52</v>
      </c>
      <c r="F93" t="str">
        <f>"str_"&amp;Table1[[#This Row],[VEHIDCODE]]</f>
        <v>str_steam_Germany_DB_52</v>
      </c>
      <c r="G93">
        <v>12</v>
      </c>
      <c r="H93" t="s">
        <v>20</v>
      </c>
      <c r="I93">
        <v>0</v>
      </c>
      <c r="J93" t="s">
        <v>23</v>
      </c>
      <c r="K93">
        <v>0</v>
      </c>
      <c r="L93">
        <v>1937</v>
      </c>
      <c r="M93">
        <v>8</v>
      </c>
      <c r="N93" s="2" t="s">
        <v>20</v>
      </c>
      <c r="O93" t="b">
        <v>1</v>
      </c>
      <c r="Q93" s="2"/>
      <c r="R93">
        <v>45</v>
      </c>
      <c r="S93">
        <v>1</v>
      </c>
      <c r="T93">
        <v>1600</v>
      </c>
      <c r="U93" t="s">
        <v>710</v>
      </c>
      <c r="V93">
        <v>80</v>
      </c>
      <c r="W93" s="2">
        <v>0.16</v>
      </c>
      <c r="AF93" s="2" t="b">
        <v>1</v>
      </c>
      <c r="AX93"/>
      <c r="BA93" s="2"/>
      <c r="BB93" s="2" t="b">
        <f>LEN(_xlfn.CONCAT(Table1[[#This Row],[TRACK_TYPE_STANDARD_GAUGE_RAILTYPE_OHLE]:[TRACK_TYPE_MTRO]]))&gt;0</f>
        <v>1</v>
      </c>
      <c r="BC93" s="7">
        <v>40</v>
      </c>
      <c r="BD93" t="s">
        <v>923</v>
      </c>
      <c r="BE93" t="s">
        <v>922</v>
      </c>
      <c r="BF93" t="s">
        <v>940</v>
      </c>
      <c r="BG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3">
        <v>0</v>
      </c>
      <c r="BI93" t="s">
        <v>734</v>
      </c>
      <c r="BK93" s="11"/>
      <c r="BL93" s="11">
        <v>103</v>
      </c>
      <c r="BM93">
        <v>0</v>
      </c>
      <c r="BN93" t="s">
        <v>692</v>
      </c>
      <c r="BO93" t="s">
        <v>694</v>
      </c>
      <c r="BP93" t="s">
        <v>701</v>
      </c>
      <c r="BQ93" t="s">
        <v>705</v>
      </c>
      <c r="BR93" t="s">
        <v>706</v>
      </c>
      <c r="BS93" t="s">
        <v>707</v>
      </c>
    </row>
    <row r="94" spans="1:71" hidden="1" x14ac:dyDescent="0.4">
      <c r="A94" s="2" t="s">
        <v>118</v>
      </c>
      <c r="B94" t="str">
        <f>_xlfn.TEXTAFTER(Table1[[#This Row],[VEHIDCODE]],"_")</f>
        <v>UK_LNER_A1_Peppercorn</v>
      </c>
      <c r="C94" t="s">
        <v>739</v>
      </c>
      <c r="D94" t="b">
        <f>OR(ISNUMBER(SEARCH("wagon_",Table1[[#This Row],[FILENAMES_EXPECTED]])),ISNUMBER(SEARCH("coach_",Table1[[#This Row],[FILENAMES_EXPECTED]])))</f>
        <v>0</v>
      </c>
      <c r="E94" t="str">
        <f>"item_"&amp;Table1[[#This Row],[VEHIDCODE]]</f>
        <v>item_steam_UK_LNER_A1_Peppercorn</v>
      </c>
      <c r="F94" t="str">
        <f>"str_"&amp;Table1[[#This Row],[VEHIDCODE]]</f>
        <v>str_steam_UK_LNER_A1_Peppercorn</v>
      </c>
      <c r="G94">
        <v>10</v>
      </c>
      <c r="H94" t="s">
        <v>20</v>
      </c>
      <c r="I94">
        <v>0</v>
      </c>
      <c r="J94" t="s">
        <v>23</v>
      </c>
      <c r="K94">
        <v>0</v>
      </c>
      <c r="L94">
        <v>1948</v>
      </c>
      <c r="M94">
        <v>8</v>
      </c>
      <c r="N94" s="2" t="s">
        <v>20</v>
      </c>
      <c r="O94" t="b">
        <v>1</v>
      </c>
      <c r="Q94" s="2"/>
      <c r="R94">
        <v>45</v>
      </c>
      <c r="S94">
        <v>1</v>
      </c>
      <c r="T94">
        <v>2680</v>
      </c>
      <c r="U94" t="s">
        <v>710</v>
      </c>
      <c r="V94">
        <v>160</v>
      </c>
      <c r="W94" s="2">
        <v>0.1</v>
      </c>
      <c r="AF94" s="2" t="b">
        <v>1</v>
      </c>
      <c r="AX94"/>
      <c r="BA94" s="2"/>
      <c r="BB94" s="2" t="b">
        <f>LEN(_xlfn.CONCAT(Table1[[#This Row],[TRACK_TYPE_STANDARD_GAUGE_RAILTYPE_OHLE]:[TRACK_TYPE_MTRO]]))&gt;0</f>
        <v>1</v>
      </c>
      <c r="BC94" s="7">
        <v>40</v>
      </c>
      <c r="BD94" t="s">
        <v>927</v>
      </c>
      <c r="BE94" t="s">
        <v>922</v>
      </c>
      <c r="BF94" t="s">
        <v>940</v>
      </c>
      <c r="BG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4">
        <v>0</v>
      </c>
      <c r="BI94" t="s">
        <v>734</v>
      </c>
      <c r="BK94" s="11"/>
      <c r="BL94" s="11">
        <v>168</v>
      </c>
      <c r="BM94">
        <v>0</v>
      </c>
      <c r="BN94" t="s">
        <v>692</v>
      </c>
      <c r="BO94" t="s">
        <v>694</v>
      </c>
      <c r="BP94" t="s">
        <v>701</v>
      </c>
      <c r="BQ94" t="s">
        <v>705</v>
      </c>
      <c r="BR94" t="s">
        <v>706</v>
      </c>
      <c r="BS94" t="s">
        <v>707</v>
      </c>
    </row>
    <row r="95" spans="1:71" hidden="1" x14ac:dyDescent="0.4">
      <c r="A95" s="2" t="s">
        <v>119</v>
      </c>
      <c r="B95" t="str">
        <f>_xlfn.TEXTAFTER(Table1[[#This Row],[VEHIDCODE]],"_")</f>
        <v>South_Africa_SAR_25</v>
      </c>
      <c r="C95" t="s">
        <v>739</v>
      </c>
      <c r="D95" t="b">
        <f>OR(ISNUMBER(SEARCH("wagon_",Table1[[#This Row],[FILENAMES_EXPECTED]])),ISNUMBER(SEARCH("coach_",Table1[[#This Row],[FILENAMES_EXPECTED]])))</f>
        <v>0</v>
      </c>
      <c r="E95" t="str">
        <f>"item_"&amp;Table1[[#This Row],[VEHIDCODE]]</f>
        <v>item_steam_South_Africa_SAR_25</v>
      </c>
      <c r="F95" t="str">
        <f>"str_"&amp;Table1[[#This Row],[VEHIDCODE]]</f>
        <v>str_steam_South_Africa_SAR_25</v>
      </c>
      <c r="G95">
        <v>10</v>
      </c>
      <c r="H95" t="s">
        <v>20</v>
      </c>
      <c r="I95">
        <v>0</v>
      </c>
      <c r="J95" t="s">
        <v>23</v>
      </c>
      <c r="K95">
        <v>0</v>
      </c>
      <c r="L95">
        <v>1953</v>
      </c>
      <c r="M95">
        <v>8</v>
      </c>
      <c r="N95" s="2" t="s">
        <v>20</v>
      </c>
      <c r="O95" t="b">
        <v>1</v>
      </c>
      <c r="Q95" s="2"/>
      <c r="R95">
        <v>45</v>
      </c>
      <c r="S95">
        <v>1</v>
      </c>
      <c r="T95">
        <v>5100</v>
      </c>
      <c r="U95" t="s">
        <v>710</v>
      </c>
      <c r="V95">
        <v>110</v>
      </c>
      <c r="W95" s="2">
        <v>0.1</v>
      </c>
      <c r="AF95" s="2" t="b">
        <v>1</v>
      </c>
      <c r="AX95"/>
      <c r="BA95" s="2"/>
      <c r="BB95" s="2" t="b">
        <f>LEN(_xlfn.CONCAT(Table1[[#This Row],[TRACK_TYPE_STANDARD_GAUGE_RAILTYPE_OHLE]:[TRACK_TYPE_MTRO]]))&gt;0</f>
        <v>1</v>
      </c>
      <c r="BC95" s="7">
        <v>40</v>
      </c>
      <c r="BD95" t="s">
        <v>926</v>
      </c>
      <c r="BE95" t="s">
        <v>922</v>
      </c>
      <c r="BF95" t="s">
        <v>940</v>
      </c>
      <c r="BG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5">
        <v>0</v>
      </c>
      <c r="BI95" t="s">
        <v>734</v>
      </c>
      <c r="BK95" s="11"/>
      <c r="BL95" s="11">
        <v>236</v>
      </c>
      <c r="BM95">
        <v>0</v>
      </c>
      <c r="BN95" t="s">
        <v>692</v>
      </c>
      <c r="BO95" t="s">
        <v>694</v>
      </c>
      <c r="BP95" t="s">
        <v>701</v>
      </c>
      <c r="BQ95" t="s">
        <v>705</v>
      </c>
      <c r="BR95" t="s">
        <v>706</v>
      </c>
      <c r="BS95" t="s">
        <v>707</v>
      </c>
    </row>
    <row r="96" spans="1:71" hidden="1" x14ac:dyDescent="0.4">
      <c r="A96" s="2" t="s">
        <v>120</v>
      </c>
      <c r="B96" t="str">
        <f>_xlfn.TEXTAFTER(Table1[[#This Row],[VEHIDCODE]],"_")</f>
        <v>Russia_RZD_P36</v>
      </c>
      <c r="C96" t="s">
        <v>739</v>
      </c>
      <c r="D96" t="b">
        <f>OR(ISNUMBER(SEARCH("wagon_",Table1[[#This Row],[FILENAMES_EXPECTED]])),ISNUMBER(SEARCH("coach_",Table1[[#This Row],[FILENAMES_EXPECTED]])))</f>
        <v>0</v>
      </c>
      <c r="E96" t="str">
        <f>"item_"&amp;Table1[[#This Row],[VEHIDCODE]]</f>
        <v>item_steam_Russia_RZD_P36</v>
      </c>
      <c r="F96" t="str">
        <f>"str_"&amp;Table1[[#This Row],[VEHIDCODE]]</f>
        <v>str_steam_Russia_RZD_P36</v>
      </c>
      <c r="G96">
        <v>12</v>
      </c>
      <c r="H96" t="s">
        <v>20</v>
      </c>
      <c r="I96">
        <v>0</v>
      </c>
      <c r="J96" t="s">
        <v>23</v>
      </c>
      <c r="K96">
        <v>0</v>
      </c>
      <c r="L96">
        <v>1953</v>
      </c>
      <c r="M96">
        <v>8</v>
      </c>
      <c r="N96" s="2" t="s">
        <v>20</v>
      </c>
      <c r="O96" t="b">
        <v>1</v>
      </c>
      <c r="Q96" s="2"/>
      <c r="R96">
        <v>45</v>
      </c>
      <c r="S96">
        <v>1</v>
      </c>
      <c r="T96">
        <v>3125</v>
      </c>
      <c r="U96" t="s">
        <v>710</v>
      </c>
      <c r="V96">
        <v>125</v>
      </c>
      <c r="W96" s="2">
        <v>0.06</v>
      </c>
      <c r="AF96" s="2" t="b">
        <v>1</v>
      </c>
      <c r="AX96"/>
      <c r="BA96" s="2"/>
      <c r="BB96" s="2" t="b">
        <f>LEN(_xlfn.CONCAT(Table1[[#This Row],[TRACK_TYPE_STANDARD_GAUGE_RAILTYPE_OHLE]:[TRACK_TYPE_MTRO]]))&gt;0</f>
        <v>1</v>
      </c>
      <c r="BC96" s="7">
        <v>40</v>
      </c>
      <c r="BD96" t="s">
        <v>931</v>
      </c>
      <c r="BE96" t="s">
        <v>922</v>
      </c>
      <c r="BF96" t="s">
        <v>940</v>
      </c>
      <c r="BG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6">
        <v>0</v>
      </c>
      <c r="BI96" t="s">
        <v>734</v>
      </c>
      <c r="BK96" s="11"/>
      <c r="BL96" s="11">
        <v>245</v>
      </c>
      <c r="BM96">
        <v>0</v>
      </c>
      <c r="BN96" t="s">
        <v>692</v>
      </c>
      <c r="BO96" t="s">
        <v>694</v>
      </c>
      <c r="BP96" t="s">
        <v>701</v>
      </c>
      <c r="BQ96" t="s">
        <v>705</v>
      </c>
      <c r="BR96" t="s">
        <v>706</v>
      </c>
      <c r="BS96" t="s">
        <v>707</v>
      </c>
    </row>
    <row r="97" spans="1:71" hidden="1" x14ac:dyDescent="0.4">
      <c r="A97" s="2" t="s">
        <v>121</v>
      </c>
      <c r="B97" t="str">
        <f>_xlfn.TEXTAFTER(Table1[[#This Row],[VEHIDCODE]],"_")</f>
        <v>France_SNCF_150B</v>
      </c>
      <c r="C97" t="s">
        <v>739</v>
      </c>
      <c r="D97" t="b">
        <f>OR(ISNUMBER(SEARCH("wagon_",Table1[[#This Row],[FILENAMES_EXPECTED]])),ISNUMBER(SEARCH("coach_",Table1[[#This Row],[FILENAMES_EXPECTED]])))</f>
        <v>0</v>
      </c>
      <c r="E97" t="str">
        <f>"item_"&amp;Table1[[#This Row],[VEHIDCODE]]</f>
        <v>item_steam_France_SNCF_150B</v>
      </c>
      <c r="F97" t="str">
        <f>"str_"&amp;Table1[[#This Row],[VEHIDCODE]]</f>
        <v>str_steam_France_SNCF_150B</v>
      </c>
      <c r="G97">
        <v>10</v>
      </c>
      <c r="H97" t="s">
        <v>20</v>
      </c>
      <c r="I97">
        <v>0</v>
      </c>
      <c r="J97" t="s">
        <v>23</v>
      </c>
      <c r="K97">
        <v>0</v>
      </c>
      <c r="L97">
        <v>1934</v>
      </c>
      <c r="M97">
        <v>8</v>
      </c>
      <c r="N97" s="2" t="s">
        <v>20</v>
      </c>
      <c r="O97" t="b">
        <v>1</v>
      </c>
      <c r="Q97" s="2"/>
      <c r="R97">
        <v>45</v>
      </c>
      <c r="S97">
        <v>1</v>
      </c>
      <c r="T97">
        <v>2260</v>
      </c>
      <c r="U97" t="s">
        <v>710</v>
      </c>
      <c r="V97">
        <v>105</v>
      </c>
      <c r="W97" s="2">
        <v>0.22</v>
      </c>
      <c r="AF97" s="2" t="b">
        <v>1</v>
      </c>
      <c r="AX97"/>
      <c r="BA97" s="2"/>
      <c r="BB97" s="2" t="b">
        <f>LEN(_xlfn.CONCAT(Table1[[#This Row],[TRACK_TYPE_STANDARD_GAUGE_RAILTYPE_OHLE]:[TRACK_TYPE_MTRO]]))&gt;0</f>
        <v>1</v>
      </c>
      <c r="BC97" s="7">
        <v>40</v>
      </c>
      <c r="BD97" t="s">
        <v>923</v>
      </c>
      <c r="BE97" t="s">
        <v>922</v>
      </c>
      <c r="BF97" t="s">
        <v>940</v>
      </c>
      <c r="BG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7">
        <v>0</v>
      </c>
      <c r="BI97" t="s">
        <v>734</v>
      </c>
      <c r="BK97" s="11"/>
      <c r="BL97" s="11">
        <v>119</v>
      </c>
      <c r="BM97">
        <v>0</v>
      </c>
      <c r="BN97" t="s">
        <v>692</v>
      </c>
      <c r="BO97" t="s">
        <v>694</v>
      </c>
      <c r="BP97" t="s">
        <v>701</v>
      </c>
      <c r="BQ97" t="s">
        <v>705</v>
      </c>
      <c r="BR97" t="s">
        <v>706</v>
      </c>
      <c r="BS97" t="s">
        <v>707</v>
      </c>
    </row>
    <row r="98" spans="1:71" hidden="1" x14ac:dyDescent="0.4">
      <c r="A98" s="2" t="s">
        <v>122</v>
      </c>
      <c r="B98" t="str">
        <f>_xlfn.TEXTAFTER(Table1[[#This Row],[VEHIDCODE]],"_")</f>
        <v>Italy_FS_895</v>
      </c>
      <c r="C98" t="s">
        <v>739</v>
      </c>
      <c r="D98" t="b">
        <f>OR(ISNUMBER(SEARCH("wagon_",Table1[[#This Row],[FILENAMES_EXPECTED]])),ISNUMBER(SEARCH("coach_",Table1[[#This Row],[FILENAMES_EXPECTED]])))</f>
        <v>0</v>
      </c>
      <c r="E98" t="str">
        <f>"item_"&amp;Table1[[#This Row],[VEHIDCODE]]</f>
        <v>item_steam_Italy_FS_895</v>
      </c>
      <c r="F98" t="str">
        <f>"str_"&amp;Table1[[#This Row],[VEHIDCODE]]</f>
        <v>str_steam_Italy_FS_895</v>
      </c>
      <c r="G98">
        <v>5</v>
      </c>
      <c r="H98" t="s">
        <v>20</v>
      </c>
      <c r="I98">
        <v>0</v>
      </c>
      <c r="J98" t="s">
        <v>23</v>
      </c>
      <c r="K98">
        <v>0</v>
      </c>
      <c r="L98">
        <v>1908</v>
      </c>
      <c r="M98">
        <v>5</v>
      </c>
      <c r="N98" s="2" t="s">
        <v>20</v>
      </c>
      <c r="O98" t="b">
        <v>1</v>
      </c>
      <c r="Q98" s="2"/>
      <c r="R98">
        <v>45</v>
      </c>
      <c r="S98">
        <v>1</v>
      </c>
      <c r="T98">
        <v>500</v>
      </c>
      <c r="U98" t="s">
        <v>710</v>
      </c>
      <c r="V98">
        <v>40</v>
      </c>
      <c r="W98" s="2">
        <v>0.21</v>
      </c>
      <c r="AF98" s="2" t="b">
        <v>1</v>
      </c>
      <c r="AX98"/>
      <c r="BA98" s="2"/>
      <c r="BB98" s="2" t="b">
        <f>LEN(_xlfn.CONCAT(Table1[[#This Row],[TRACK_TYPE_STANDARD_GAUGE_RAILTYPE_OHLE]:[TRACK_TYPE_MTRO]]))&gt;0</f>
        <v>1</v>
      </c>
      <c r="BC98" s="7">
        <v>40</v>
      </c>
      <c r="BD98" t="s">
        <v>924</v>
      </c>
      <c r="BE98" t="s">
        <v>922</v>
      </c>
      <c r="BF98" t="s">
        <v>940</v>
      </c>
      <c r="BG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8">
        <v>-3</v>
      </c>
      <c r="BI98" t="s">
        <v>734</v>
      </c>
      <c r="BK98" s="11"/>
      <c r="BL98" s="11">
        <v>59</v>
      </c>
      <c r="BM98">
        <v>0</v>
      </c>
      <c r="BN98" t="s">
        <v>692</v>
      </c>
      <c r="BO98" t="s">
        <v>694</v>
      </c>
      <c r="BP98" t="s">
        <v>701</v>
      </c>
      <c r="BQ98" t="s">
        <v>705</v>
      </c>
      <c r="BR98" t="s">
        <v>706</v>
      </c>
      <c r="BS98" t="s">
        <v>707</v>
      </c>
    </row>
    <row r="99" spans="1:71" hidden="1" x14ac:dyDescent="0.4">
      <c r="A99" s="2" t="s">
        <v>123</v>
      </c>
      <c r="B99" t="str">
        <f>_xlfn.TEXTAFTER(Table1[[#This Row],[VEHIDCODE]],"_")</f>
        <v>Poland_PKP_Okz32</v>
      </c>
      <c r="C99" t="s">
        <v>739</v>
      </c>
      <c r="D99" t="b">
        <f>OR(ISNUMBER(SEARCH("wagon_",Table1[[#This Row],[FILENAMES_EXPECTED]])),ISNUMBER(SEARCH("coach_",Table1[[#This Row],[FILENAMES_EXPECTED]])))</f>
        <v>0</v>
      </c>
      <c r="E99" t="str">
        <f>"item_"&amp;Table1[[#This Row],[VEHIDCODE]]</f>
        <v>item_steam_Poland_PKP_Okz32</v>
      </c>
      <c r="F99" t="str">
        <f>"str_"&amp;Table1[[#This Row],[VEHIDCODE]]</f>
        <v>str_steam_Poland_PKP_Okz32</v>
      </c>
      <c r="G99">
        <v>7</v>
      </c>
      <c r="H99" t="s">
        <v>20</v>
      </c>
      <c r="I99">
        <v>0</v>
      </c>
      <c r="J99" t="s">
        <v>23</v>
      </c>
      <c r="K99">
        <v>0</v>
      </c>
      <c r="L99">
        <v>1934</v>
      </c>
      <c r="M99">
        <v>7</v>
      </c>
      <c r="N99" s="2" t="s">
        <v>20</v>
      </c>
      <c r="O99" t="b">
        <v>1</v>
      </c>
      <c r="Q99" s="2"/>
      <c r="R99">
        <v>45</v>
      </c>
      <c r="S99">
        <v>0</v>
      </c>
      <c r="T99">
        <v>1868</v>
      </c>
      <c r="U99" t="s">
        <v>710</v>
      </c>
      <c r="V99">
        <v>75</v>
      </c>
      <c r="W99" s="2">
        <v>0.11</v>
      </c>
      <c r="AF99" s="2" t="b">
        <v>1</v>
      </c>
      <c r="AX99"/>
      <c r="BA99" s="2"/>
      <c r="BB99" s="2" t="b">
        <f>LEN(_xlfn.CONCAT(Table1[[#This Row],[TRACK_TYPE_STANDARD_GAUGE_RAILTYPE_OHLE]:[TRACK_TYPE_MTRO]]))&gt;0</f>
        <v>1</v>
      </c>
      <c r="BC99" s="7">
        <v>40</v>
      </c>
      <c r="BD99" t="s">
        <v>929</v>
      </c>
      <c r="BE99" t="s">
        <v>922</v>
      </c>
      <c r="BF99" t="s">
        <v>940</v>
      </c>
      <c r="BG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9">
        <v>-3</v>
      </c>
      <c r="BI99" t="s">
        <v>734</v>
      </c>
      <c r="BK99" s="11"/>
      <c r="BL99" s="11">
        <v>111</v>
      </c>
      <c r="BM99">
        <v>0</v>
      </c>
      <c r="BN99" t="s">
        <v>692</v>
      </c>
      <c r="BO99" t="s">
        <v>694</v>
      </c>
      <c r="BP99" t="s">
        <v>701</v>
      </c>
      <c r="BQ99" t="s">
        <v>705</v>
      </c>
      <c r="BR99" t="s">
        <v>706</v>
      </c>
      <c r="BS99" t="s">
        <v>707</v>
      </c>
    </row>
    <row r="100" spans="1:71" hidden="1" x14ac:dyDescent="0.4">
      <c r="A100" s="2" t="s">
        <v>124</v>
      </c>
      <c r="B100" t="str">
        <f>_xlfn.TEXTAFTER(Table1[[#This Row],[VEHIDCODE]],"_")</f>
        <v>Switzerland_SBB_C_5_6</v>
      </c>
      <c r="C100" t="s">
        <v>739</v>
      </c>
      <c r="D100" t="b">
        <f>OR(ISNUMBER(SEARCH("wagon_",Table1[[#This Row],[FILENAMES_EXPECTED]])),ISNUMBER(SEARCH("coach_",Table1[[#This Row],[FILENAMES_EXPECTED]])))</f>
        <v>0</v>
      </c>
      <c r="E100" t="str">
        <f>"item_"&amp;Table1[[#This Row],[VEHIDCODE]]</f>
        <v>item_steam_Switzerland_SBB_C_5_6</v>
      </c>
      <c r="F100" t="str">
        <f>"str_"&amp;Table1[[#This Row],[VEHIDCODE]]</f>
        <v>str_steam_Switzerland_SBB_C_5_6</v>
      </c>
      <c r="G100">
        <v>8</v>
      </c>
      <c r="H100" t="s">
        <v>20</v>
      </c>
      <c r="I100">
        <v>0</v>
      </c>
      <c r="J100" t="s">
        <v>23</v>
      </c>
      <c r="K100">
        <v>0</v>
      </c>
      <c r="L100">
        <v>1913</v>
      </c>
      <c r="M100">
        <v>8</v>
      </c>
      <c r="N100" s="2" t="s">
        <v>20</v>
      </c>
      <c r="O100" t="b">
        <v>1</v>
      </c>
      <c r="Q100" s="2"/>
      <c r="R100">
        <v>45</v>
      </c>
      <c r="S100">
        <v>1</v>
      </c>
      <c r="T100">
        <v>1620</v>
      </c>
      <c r="U100" t="s">
        <v>710</v>
      </c>
      <c r="V100">
        <v>65</v>
      </c>
      <c r="W100" s="2">
        <v>0.17</v>
      </c>
      <c r="AF100" s="2" t="b">
        <v>1</v>
      </c>
      <c r="AX100"/>
      <c r="BA100" s="2"/>
      <c r="BB100" s="2" t="b">
        <f>LEN(_xlfn.CONCAT(Table1[[#This Row],[TRACK_TYPE_STANDARD_GAUGE_RAILTYPE_OHLE]:[TRACK_TYPE_MTRO]]))&gt;0</f>
        <v>1</v>
      </c>
      <c r="BC100" s="7">
        <v>40</v>
      </c>
      <c r="BD100" t="s">
        <v>923</v>
      </c>
      <c r="BE100" t="s">
        <v>922</v>
      </c>
      <c r="BF100" t="s">
        <v>940</v>
      </c>
      <c r="BG1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0">
        <v>0</v>
      </c>
      <c r="BI100" t="s">
        <v>734</v>
      </c>
      <c r="BK100" s="11"/>
      <c r="BL100" s="11">
        <v>128</v>
      </c>
      <c r="BM100">
        <v>0</v>
      </c>
      <c r="BN100" t="s">
        <v>692</v>
      </c>
      <c r="BO100" t="s">
        <v>694</v>
      </c>
      <c r="BP100" t="s">
        <v>701</v>
      </c>
      <c r="BQ100" t="s">
        <v>705</v>
      </c>
      <c r="BR100" t="s">
        <v>706</v>
      </c>
      <c r="BS100" t="s">
        <v>707</v>
      </c>
    </row>
    <row r="101" spans="1:71" hidden="1" x14ac:dyDescent="0.4">
      <c r="A101" s="2" t="s">
        <v>125</v>
      </c>
      <c r="B101" t="str">
        <f>_xlfn.TEXTAFTER(Table1[[#This Row],[VEHIDCODE]],"_")</f>
        <v>USA_UP_4000_Big_Boy</v>
      </c>
      <c r="C101" t="s">
        <v>739</v>
      </c>
      <c r="D101" t="b">
        <f>OR(ISNUMBER(SEARCH("wagon_",Table1[[#This Row],[FILENAMES_EXPECTED]])),ISNUMBER(SEARCH("coach_",Table1[[#This Row],[FILENAMES_EXPECTED]])))</f>
        <v>0</v>
      </c>
      <c r="E101" t="str">
        <f>"item_"&amp;Table1[[#This Row],[VEHIDCODE]]</f>
        <v>item_steam_USA_UP_4000_Big_Boy</v>
      </c>
      <c r="F101" t="str">
        <f>"str_"&amp;Table1[[#This Row],[VEHIDCODE]]</f>
        <v>str_steam_USA_UP_4000_Big_Boy</v>
      </c>
      <c r="G101">
        <v>6</v>
      </c>
      <c r="H101" t="s">
        <v>20</v>
      </c>
      <c r="I101">
        <v>0</v>
      </c>
      <c r="J101" t="s">
        <v>23</v>
      </c>
      <c r="K101">
        <v>0</v>
      </c>
      <c r="L101">
        <v>1941</v>
      </c>
      <c r="M101">
        <v>8</v>
      </c>
      <c r="N101" s="2" t="s">
        <v>20</v>
      </c>
      <c r="O101" t="b">
        <v>1</v>
      </c>
      <c r="Q101" s="2"/>
      <c r="R101">
        <v>45</v>
      </c>
      <c r="S101">
        <v>1</v>
      </c>
      <c r="T101">
        <v>6290</v>
      </c>
      <c r="U101" t="s">
        <v>710</v>
      </c>
      <c r="V101">
        <v>128</v>
      </c>
      <c r="W101" s="2">
        <v>0.1</v>
      </c>
      <c r="AF101" s="2" t="b">
        <v>1</v>
      </c>
      <c r="AX101"/>
      <c r="BA101" s="2"/>
      <c r="BB101" s="2" t="b">
        <f>LEN(_xlfn.CONCAT(Table1[[#This Row],[TRACK_TYPE_STANDARD_GAUGE_RAILTYPE_OHLE]:[TRACK_TYPE_MTRO]]))&gt;0</f>
        <v>1</v>
      </c>
      <c r="BC101" s="7">
        <v>40</v>
      </c>
      <c r="BD101" t="s">
        <v>928</v>
      </c>
      <c r="BE101" t="s">
        <v>922</v>
      </c>
      <c r="BF101" t="s">
        <v>940</v>
      </c>
      <c r="BG1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1">
        <v>0</v>
      </c>
      <c r="BI101" t="s">
        <v>734</v>
      </c>
      <c r="BK101" s="11"/>
      <c r="BL101" s="11">
        <v>603</v>
      </c>
      <c r="BM101">
        <v>0</v>
      </c>
      <c r="BN101" t="s">
        <v>692</v>
      </c>
      <c r="BO101" t="s">
        <v>694</v>
      </c>
      <c r="BP101" t="s">
        <v>701</v>
      </c>
      <c r="BQ101" t="s">
        <v>705</v>
      </c>
      <c r="BR101" t="s">
        <v>706</v>
      </c>
      <c r="BS101" t="s">
        <v>707</v>
      </c>
    </row>
    <row r="102" spans="1:71" hidden="1" x14ac:dyDescent="0.4">
      <c r="A102" s="2" t="s">
        <v>126</v>
      </c>
      <c r="B102" t="str">
        <f>_xlfn.TEXTAFTER(Table1[[#This Row],[VEHIDCODE]],"_")</f>
        <v>Netherlands_NRS_11</v>
      </c>
      <c r="C102" t="s">
        <v>739</v>
      </c>
      <c r="D102" t="b">
        <f>OR(ISNUMBER(SEARCH("wagon_",Table1[[#This Row],[FILENAMES_EXPECTED]])),ISNUMBER(SEARCH("coach_",Table1[[#This Row],[FILENAMES_EXPECTED]])))</f>
        <v>0</v>
      </c>
      <c r="E102" t="str">
        <f>"item_"&amp;Table1[[#This Row],[VEHIDCODE]]</f>
        <v>item_steam_Netherlands_NRS_11</v>
      </c>
      <c r="F102" t="str">
        <f>"str_"&amp;Table1[[#This Row],[VEHIDCODE]]</f>
        <v>str_steam_Netherlands_NRS_11</v>
      </c>
      <c r="G102">
        <v>6</v>
      </c>
      <c r="H102" t="s">
        <v>18</v>
      </c>
      <c r="I102">
        <v>0</v>
      </c>
      <c r="J102" t="s">
        <v>23</v>
      </c>
      <c r="K102">
        <v>0</v>
      </c>
      <c r="L102">
        <v>1844</v>
      </c>
      <c r="M102">
        <v>4</v>
      </c>
      <c r="N102" s="2" t="s">
        <v>20</v>
      </c>
      <c r="O102" t="b">
        <v>1</v>
      </c>
      <c r="Q102" s="2"/>
      <c r="R102">
        <v>45</v>
      </c>
      <c r="S102">
        <v>1</v>
      </c>
      <c r="T102">
        <v>218</v>
      </c>
      <c r="U102" t="s">
        <v>710</v>
      </c>
      <c r="V102">
        <v>40</v>
      </c>
      <c r="W102" s="2">
        <v>0.03</v>
      </c>
      <c r="AF102" s="2" t="b">
        <v>1</v>
      </c>
      <c r="AX102"/>
      <c r="BA102" s="2"/>
      <c r="BB102" s="2" t="b">
        <f>LEN(_xlfn.CONCAT(Table1[[#This Row],[TRACK_TYPE_STANDARD_GAUGE_RAILTYPE_OHLE]:[TRACK_TYPE_MTRO]]))&gt;0</f>
        <v>1</v>
      </c>
      <c r="BC102" s="7">
        <v>40</v>
      </c>
      <c r="BD102" t="s">
        <v>923</v>
      </c>
      <c r="BE102" t="s">
        <v>922</v>
      </c>
      <c r="BF102" t="s">
        <v>940</v>
      </c>
      <c r="BG1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2">
        <v>0</v>
      </c>
      <c r="BI102" t="s">
        <v>734</v>
      </c>
      <c r="BK102" s="11"/>
      <c r="BL102" s="11">
        <v>31</v>
      </c>
      <c r="BM102">
        <v>0</v>
      </c>
      <c r="BN102" t="s">
        <v>692</v>
      </c>
      <c r="BO102" t="s">
        <v>694</v>
      </c>
      <c r="BP102" t="s">
        <v>701</v>
      </c>
      <c r="BQ102" t="s">
        <v>705</v>
      </c>
      <c r="BR102" t="s">
        <v>706</v>
      </c>
      <c r="BS102" t="s">
        <v>707</v>
      </c>
    </row>
    <row r="103" spans="1:71" hidden="1" x14ac:dyDescent="0.4">
      <c r="A103" s="2" t="s">
        <v>127</v>
      </c>
      <c r="B103" t="str">
        <f>_xlfn.TEXTAFTER(Table1[[#This Row],[VEHIDCODE]],"_")</f>
        <v>UK_GWR_Iron_DUKe_Class</v>
      </c>
      <c r="C103" t="s">
        <v>739</v>
      </c>
      <c r="D103" t="b">
        <f>OR(ISNUMBER(SEARCH("wagon_",Table1[[#This Row],[FILENAMES_EXPECTED]])),ISNUMBER(SEARCH("coach_",Table1[[#This Row],[FILENAMES_EXPECTED]])))</f>
        <v>0</v>
      </c>
      <c r="E103" t="str">
        <f>"item_"&amp;Table1[[#This Row],[VEHIDCODE]]</f>
        <v>item_steam_UK_GWR_Iron_DUKe_Class</v>
      </c>
      <c r="F103" t="str">
        <f>"str_"&amp;Table1[[#This Row],[VEHIDCODE]]</f>
        <v>str_steam_UK_GWR_Iron_DUKe_Class</v>
      </c>
      <c r="G103">
        <v>8</v>
      </c>
      <c r="H103" t="s">
        <v>18</v>
      </c>
      <c r="I103">
        <v>0</v>
      </c>
      <c r="J103" t="s">
        <v>23</v>
      </c>
      <c r="K103">
        <v>0</v>
      </c>
      <c r="L103">
        <v>1846</v>
      </c>
      <c r="M103">
        <v>8</v>
      </c>
      <c r="N103" s="2" t="s">
        <v>20</v>
      </c>
      <c r="O103" t="b">
        <v>1</v>
      </c>
      <c r="Q103" s="2"/>
      <c r="R103">
        <v>45</v>
      </c>
      <c r="S103">
        <v>1</v>
      </c>
      <c r="T103">
        <v>507</v>
      </c>
      <c r="U103" t="s">
        <v>710</v>
      </c>
      <c r="V103">
        <v>128</v>
      </c>
      <c r="W103" s="2">
        <v>0.1</v>
      </c>
      <c r="AF103" s="2" t="b">
        <v>1</v>
      </c>
      <c r="AX103"/>
      <c r="BA103" s="2"/>
      <c r="BB103" s="2" t="b">
        <f>LEN(_xlfn.CONCAT(Table1[[#This Row],[TRACK_TYPE_STANDARD_GAUGE_RAILTYPE_OHLE]:[TRACK_TYPE_MTRO]]))&gt;0</f>
        <v>1</v>
      </c>
      <c r="BC103" s="7">
        <v>40</v>
      </c>
      <c r="BD103" t="s">
        <v>927</v>
      </c>
      <c r="BE103" t="s">
        <v>922</v>
      </c>
      <c r="BF103" t="s">
        <v>940</v>
      </c>
      <c r="BG1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3">
        <v>0</v>
      </c>
      <c r="BI103" t="s">
        <v>734</v>
      </c>
      <c r="BK103" s="11"/>
      <c r="BL103" s="11">
        <v>44</v>
      </c>
      <c r="BM103">
        <v>0</v>
      </c>
      <c r="BN103" t="s">
        <v>692</v>
      </c>
      <c r="BO103" t="s">
        <v>694</v>
      </c>
      <c r="BP103" t="s">
        <v>701</v>
      </c>
      <c r="BQ103" t="s">
        <v>705</v>
      </c>
      <c r="BR103" t="s">
        <v>706</v>
      </c>
      <c r="BS103" t="s">
        <v>707</v>
      </c>
    </row>
    <row r="104" spans="1:71" hidden="1" x14ac:dyDescent="0.4">
      <c r="A104" s="2" t="s">
        <v>128</v>
      </c>
      <c r="B104" t="str">
        <f>_xlfn.TEXTAFTER(Table1[[#This Row],[VEHIDCODE]],"_")</f>
        <v>Australia_Sidney_Railway_Locomotive_No1</v>
      </c>
      <c r="C104" t="s">
        <v>739</v>
      </c>
      <c r="D104" t="b">
        <f>OR(ISNUMBER(SEARCH("wagon_",Table1[[#This Row],[FILENAMES_EXPECTED]])),ISNUMBER(SEARCH("coach_",Table1[[#This Row],[FILENAMES_EXPECTED]])))</f>
        <v>0</v>
      </c>
      <c r="E104" t="str">
        <f>"item_"&amp;Table1[[#This Row],[VEHIDCODE]]</f>
        <v>item_steam_Australia_Sidney_Railway_Locomotive_No1</v>
      </c>
      <c r="F104" t="str">
        <f>"str_"&amp;Table1[[#This Row],[VEHIDCODE]]</f>
        <v>str_steam_Australia_Sidney_Railway_Locomotive_No1</v>
      </c>
      <c r="G104">
        <v>8</v>
      </c>
      <c r="H104" t="s">
        <v>18</v>
      </c>
      <c r="I104">
        <v>0</v>
      </c>
      <c r="J104" t="s">
        <v>23</v>
      </c>
      <c r="K104">
        <v>0</v>
      </c>
      <c r="L104">
        <v>1855</v>
      </c>
      <c r="M104">
        <v>5</v>
      </c>
      <c r="N104" s="2" t="s">
        <v>20</v>
      </c>
      <c r="O104" t="b">
        <v>1</v>
      </c>
      <c r="Q104" s="2"/>
      <c r="R104">
        <v>45</v>
      </c>
      <c r="S104">
        <v>1</v>
      </c>
      <c r="T104">
        <v>119</v>
      </c>
      <c r="U104" t="s">
        <v>710</v>
      </c>
      <c r="V104">
        <v>25</v>
      </c>
      <c r="W104" s="2">
        <v>0.1</v>
      </c>
      <c r="AF104" s="2" t="b">
        <v>1</v>
      </c>
      <c r="AX104"/>
      <c r="BA104" s="2"/>
      <c r="BB104" s="2" t="b">
        <f>LEN(_xlfn.CONCAT(Table1[[#This Row],[TRACK_TYPE_STANDARD_GAUGE_RAILTYPE_OHLE]:[TRACK_TYPE_MTRO]]))&gt;0</f>
        <v>1</v>
      </c>
      <c r="BC104" s="7">
        <v>40</v>
      </c>
      <c r="BD104" t="s">
        <v>925</v>
      </c>
      <c r="BE104" t="s">
        <v>922</v>
      </c>
      <c r="BF104" t="s">
        <v>940</v>
      </c>
      <c r="BG1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4">
        <v>0</v>
      </c>
      <c r="BI104" t="s">
        <v>734</v>
      </c>
      <c r="BK104" s="11"/>
      <c r="BL104" s="11">
        <v>38</v>
      </c>
      <c r="BM104">
        <v>0</v>
      </c>
      <c r="BN104" t="s">
        <v>692</v>
      </c>
      <c r="BO104" t="s">
        <v>694</v>
      </c>
      <c r="BP104" t="s">
        <v>701</v>
      </c>
      <c r="BQ104" t="s">
        <v>705</v>
      </c>
      <c r="BR104" t="s">
        <v>706</v>
      </c>
      <c r="BS104" t="s">
        <v>707</v>
      </c>
    </row>
    <row r="105" spans="1:71" hidden="1" x14ac:dyDescent="0.4">
      <c r="A105" s="2" t="s">
        <v>129</v>
      </c>
      <c r="B105" t="str">
        <f>_xlfn.TEXTAFTER(Table1[[#This Row],[VEHIDCODE]],"_")</f>
        <v>USA_Central_Pacific_4_2_2</v>
      </c>
      <c r="C105" t="s">
        <v>739</v>
      </c>
      <c r="D105" t="b">
        <f>OR(ISNUMBER(SEARCH("wagon_",Table1[[#This Row],[FILENAMES_EXPECTED]])),ISNUMBER(SEARCH("coach_",Table1[[#This Row],[FILENAMES_EXPECTED]])))</f>
        <v>0</v>
      </c>
      <c r="E105" t="str">
        <f>"item_"&amp;Table1[[#This Row],[VEHIDCODE]]</f>
        <v>item_steam_USA_Central_Pacific_4_2_2</v>
      </c>
      <c r="F105" t="str">
        <f>"str_"&amp;Table1[[#This Row],[VEHIDCODE]]</f>
        <v>str_steam_USA_Central_Pacific_4_2_2</v>
      </c>
      <c r="G105">
        <v>6</v>
      </c>
      <c r="H105" t="s">
        <v>18</v>
      </c>
      <c r="I105">
        <v>0</v>
      </c>
      <c r="J105" t="s">
        <v>23</v>
      </c>
      <c r="K105">
        <v>0</v>
      </c>
      <c r="L105">
        <v>1863</v>
      </c>
      <c r="M105">
        <v>5</v>
      </c>
      <c r="N105" s="2" t="s">
        <v>20</v>
      </c>
      <c r="O105" t="b">
        <v>1</v>
      </c>
      <c r="Q105" s="2"/>
      <c r="R105">
        <v>45</v>
      </c>
      <c r="S105">
        <v>1</v>
      </c>
      <c r="T105">
        <v>126</v>
      </c>
      <c r="U105" t="s">
        <v>710</v>
      </c>
      <c r="V105">
        <v>80</v>
      </c>
      <c r="W105" s="2">
        <v>0.14000000000000001</v>
      </c>
      <c r="AF105" s="2" t="b">
        <v>1</v>
      </c>
      <c r="AX105"/>
      <c r="BA105" s="2"/>
      <c r="BB105" s="2" t="b">
        <f>LEN(_xlfn.CONCAT(Table1[[#This Row],[TRACK_TYPE_STANDARD_GAUGE_RAILTYPE_OHLE]:[TRACK_TYPE_MTRO]]))&gt;0</f>
        <v>1</v>
      </c>
      <c r="BC105" s="7">
        <v>40</v>
      </c>
      <c r="BD105" t="s">
        <v>928</v>
      </c>
      <c r="BE105" t="s">
        <v>922</v>
      </c>
      <c r="BF105" t="s">
        <v>940</v>
      </c>
      <c r="BG1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5">
        <v>0</v>
      </c>
      <c r="BI105" t="s">
        <v>734</v>
      </c>
      <c r="BK105" s="11"/>
      <c r="BL105" s="11">
        <v>18</v>
      </c>
      <c r="BM105">
        <v>0</v>
      </c>
      <c r="BN105" t="s">
        <v>692</v>
      </c>
      <c r="BO105" t="s">
        <v>694</v>
      </c>
      <c r="BP105" t="s">
        <v>701</v>
      </c>
      <c r="BQ105" t="s">
        <v>705</v>
      </c>
      <c r="BR105" t="s">
        <v>706</v>
      </c>
      <c r="BS105" t="s">
        <v>707</v>
      </c>
    </row>
    <row r="106" spans="1:71" hidden="1" x14ac:dyDescent="0.4">
      <c r="A106" s="2" t="s">
        <v>130</v>
      </c>
      <c r="B106" t="str">
        <f>_xlfn.TEXTAFTER(Table1[[#This Row],[VEHIDCODE]],"_")</f>
        <v>Netherlands_NS_700</v>
      </c>
      <c r="C106" t="s">
        <v>739</v>
      </c>
      <c r="D106" t="b">
        <f>OR(ISNUMBER(SEARCH("wagon_",Table1[[#This Row],[FILENAMES_EXPECTED]])),ISNUMBER(SEARCH("coach_",Table1[[#This Row],[FILENAMES_EXPECTED]])))</f>
        <v>0</v>
      </c>
      <c r="E106" t="str">
        <f>"item_"&amp;Table1[[#This Row],[VEHIDCODE]]</f>
        <v>item_steam_Netherlands_NS_700</v>
      </c>
      <c r="F106" t="str">
        <f>"str_"&amp;Table1[[#This Row],[VEHIDCODE]]</f>
        <v>str_steam_Netherlands_NS_700</v>
      </c>
      <c r="G106">
        <v>6</v>
      </c>
      <c r="H106" t="s">
        <v>18</v>
      </c>
      <c r="I106">
        <v>0</v>
      </c>
      <c r="J106" t="s">
        <v>23</v>
      </c>
      <c r="K106">
        <v>0</v>
      </c>
      <c r="L106">
        <v>1865</v>
      </c>
      <c r="M106">
        <v>5</v>
      </c>
      <c r="N106" s="2" t="s">
        <v>20</v>
      </c>
      <c r="O106" t="b">
        <v>1</v>
      </c>
      <c r="Q106" s="2"/>
      <c r="R106">
        <v>45</v>
      </c>
      <c r="S106">
        <v>1</v>
      </c>
      <c r="T106">
        <v>320</v>
      </c>
      <c r="U106" t="s">
        <v>710</v>
      </c>
      <c r="V106">
        <v>80</v>
      </c>
      <c r="W106" s="2">
        <v>7.0000000000000007E-2</v>
      </c>
      <c r="AF106" s="2" t="b">
        <v>1</v>
      </c>
      <c r="AX106"/>
      <c r="BA106" s="2"/>
      <c r="BB106" s="2" t="b">
        <f>LEN(_xlfn.CONCAT(Table1[[#This Row],[TRACK_TYPE_STANDARD_GAUGE_RAILTYPE_OHLE]:[TRACK_TYPE_MTRO]]))&gt;0</f>
        <v>1</v>
      </c>
      <c r="BC106" s="7">
        <v>40</v>
      </c>
      <c r="BD106" t="s">
        <v>923</v>
      </c>
      <c r="BE106" t="s">
        <v>922</v>
      </c>
      <c r="BF106" t="s">
        <v>940</v>
      </c>
      <c r="BG1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6">
        <v>0</v>
      </c>
      <c r="BI106" t="s">
        <v>734</v>
      </c>
      <c r="BK106" s="11"/>
      <c r="BL106" s="11">
        <v>49</v>
      </c>
      <c r="BM106">
        <v>0</v>
      </c>
      <c r="BN106" t="s">
        <v>692</v>
      </c>
      <c r="BO106" t="s">
        <v>694</v>
      </c>
      <c r="BP106" t="s">
        <v>701</v>
      </c>
      <c r="BQ106" t="s">
        <v>705</v>
      </c>
      <c r="BR106" t="s">
        <v>706</v>
      </c>
      <c r="BS106" t="s">
        <v>707</v>
      </c>
    </row>
    <row r="107" spans="1:71" hidden="1" x14ac:dyDescent="0.4">
      <c r="A107" s="2" t="s">
        <v>131</v>
      </c>
      <c r="B107" t="str">
        <f>_xlfn.TEXTAFTER(Table1[[#This Row],[VEHIDCODE]],"_")</f>
        <v>South_Africa_Natal_Government_Railways_2_6_0T</v>
      </c>
      <c r="C107" t="s">
        <v>739</v>
      </c>
      <c r="D107" t="b">
        <f>OR(ISNUMBER(SEARCH("wagon_",Table1[[#This Row],[FILENAMES_EXPECTED]])),ISNUMBER(SEARCH("coach_",Table1[[#This Row],[FILENAMES_EXPECTED]])))</f>
        <v>0</v>
      </c>
      <c r="E107" t="str">
        <f>"item_"&amp;Table1[[#This Row],[VEHIDCODE]]</f>
        <v>item_steam_South_Africa_Natal_Government_Railways_2_6_0T</v>
      </c>
      <c r="F107" t="str">
        <f>"str_"&amp;Table1[[#This Row],[VEHIDCODE]]</f>
        <v>str_steam_South_Africa_Natal_Government_Railways_2_6_0T</v>
      </c>
      <c r="G107">
        <v>5</v>
      </c>
      <c r="H107" t="s">
        <v>18</v>
      </c>
      <c r="I107">
        <v>0</v>
      </c>
      <c r="J107" t="s">
        <v>23</v>
      </c>
      <c r="K107">
        <v>0</v>
      </c>
      <c r="L107">
        <v>1876</v>
      </c>
      <c r="M107">
        <v>5</v>
      </c>
      <c r="N107" s="2" t="s">
        <v>20</v>
      </c>
      <c r="O107" t="b">
        <v>1</v>
      </c>
      <c r="Q107" s="2"/>
      <c r="R107">
        <v>45</v>
      </c>
      <c r="S107">
        <v>1</v>
      </c>
      <c r="T107">
        <v>96</v>
      </c>
      <c r="U107" t="s">
        <v>710</v>
      </c>
      <c r="V107">
        <v>15</v>
      </c>
      <c r="W107" s="2">
        <v>0.17</v>
      </c>
      <c r="AF107" s="2" t="b">
        <v>1</v>
      </c>
      <c r="AX107"/>
      <c r="BA107" s="2"/>
      <c r="BB107" s="2" t="b">
        <f>LEN(_xlfn.CONCAT(Table1[[#This Row],[TRACK_TYPE_STANDARD_GAUGE_RAILTYPE_OHLE]:[TRACK_TYPE_MTRO]]))&gt;0</f>
        <v>1</v>
      </c>
      <c r="BC107" s="7">
        <v>40</v>
      </c>
      <c r="BD107" t="s">
        <v>926</v>
      </c>
      <c r="BE107" t="s">
        <v>922</v>
      </c>
      <c r="BF107" t="s">
        <v>940</v>
      </c>
      <c r="BG1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7">
        <v>0</v>
      </c>
      <c r="BI107" t="s">
        <v>734</v>
      </c>
      <c r="BK107" s="11"/>
      <c r="BL107" s="11">
        <v>26</v>
      </c>
      <c r="BM107">
        <v>0</v>
      </c>
      <c r="BN107" t="s">
        <v>692</v>
      </c>
      <c r="BO107" t="s">
        <v>694</v>
      </c>
      <c r="BP107" t="s">
        <v>701</v>
      </c>
      <c r="BQ107" t="s">
        <v>705</v>
      </c>
      <c r="BR107" t="s">
        <v>706</v>
      </c>
      <c r="BS107" t="s">
        <v>707</v>
      </c>
    </row>
    <row r="108" spans="1:71" hidden="1" x14ac:dyDescent="0.4">
      <c r="A108" s="2" t="s">
        <v>132</v>
      </c>
      <c r="B108" t="str">
        <f>_xlfn.TEXTAFTER(Table1[[#This Row],[VEHIDCODE]],"_")</f>
        <v>Australia_NSWGR_Z25_Class</v>
      </c>
      <c r="C108" t="s">
        <v>739</v>
      </c>
      <c r="D108" t="b">
        <f>OR(ISNUMBER(SEARCH("wagon_",Table1[[#This Row],[FILENAMES_EXPECTED]])),ISNUMBER(SEARCH("coach_",Table1[[#This Row],[FILENAMES_EXPECTED]])))</f>
        <v>0</v>
      </c>
      <c r="E108" t="str">
        <f>"item_"&amp;Table1[[#This Row],[VEHIDCODE]]</f>
        <v>item_steam_Australia_NSWGR_Z25_Class</v>
      </c>
      <c r="F108" t="str">
        <f>"str_"&amp;Table1[[#This Row],[VEHIDCODE]]</f>
        <v>str_steam_Australia_NSWGR_Z25_Class</v>
      </c>
      <c r="G108">
        <v>8</v>
      </c>
      <c r="H108" t="s">
        <v>18</v>
      </c>
      <c r="I108">
        <v>0</v>
      </c>
      <c r="J108" t="s">
        <v>23</v>
      </c>
      <c r="K108">
        <v>0</v>
      </c>
      <c r="L108">
        <v>1881</v>
      </c>
      <c r="M108">
        <v>7</v>
      </c>
      <c r="N108" s="2" t="s">
        <v>20</v>
      </c>
      <c r="O108" t="b">
        <v>1</v>
      </c>
      <c r="Q108" s="2"/>
      <c r="R108">
        <v>45</v>
      </c>
      <c r="S108">
        <v>1</v>
      </c>
      <c r="T108">
        <v>650</v>
      </c>
      <c r="U108" t="s">
        <v>710</v>
      </c>
      <c r="V108">
        <v>80</v>
      </c>
      <c r="W108" s="2">
        <v>0.23</v>
      </c>
      <c r="AF108" s="2" t="b">
        <v>1</v>
      </c>
      <c r="AX108"/>
      <c r="BA108" s="2"/>
      <c r="BB108" s="2" t="b">
        <f>LEN(_xlfn.CONCAT(Table1[[#This Row],[TRACK_TYPE_STANDARD_GAUGE_RAILTYPE_OHLE]:[TRACK_TYPE_MTRO]]))&gt;0</f>
        <v>1</v>
      </c>
      <c r="BC108" s="7">
        <v>40</v>
      </c>
      <c r="BD108" t="s">
        <v>925</v>
      </c>
      <c r="BE108" t="s">
        <v>922</v>
      </c>
      <c r="BF108" t="s">
        <v>940</v>
      </c>
      <c r="BG1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8">
        <v>0</v>
      </c>
      <c r="BI108" t="s">
        <v>734</v>
      </c>
      <c r="BK108" s="11"/>
      <c r="BL108" s="11">
        <v>43</v>
      </c>
      <c r="BM108">
        <v>0</v>
      </c>
      <c r="BN108" t="s">
        <v>692</v>
      </c>
      <c r="BO108" t="s">
        <v>694</v>
      </c>
      <c r="BP108" t="s">
        <v>701</v>
      </c>
      <c r="BQ108" t="s">
        <v>705</v>
      </c>
      <c r="BR108" t="s">
        <v>706</v>
      </c>
      <c r="BS108" t="s">
        <v>707</v>
      </c>
    </row>
    <row r="109" spans="1:71" hidden="1" x14ac:dyDescent="0.4">
      <c r="A109" s="2" t="s">
        <v>133</v>
      </c>
      <c r="B109" t="str">
        <f>_xlfn.TEXTAFTER(Table1[[#This Row],[VEHIDCODE]],"_")</f>
        <v>Canada_Canadian_Pacific_374</v>
      </c>
      <c r="C109" t="s">
        <v>739</v>
      </c>
      <c r="D109" t="b">
        <f>OR(ISNUMBER(SEARCH("wagon_",Table1[[#This Row],[FILENAMES_EXPECTED]])),ISNUMBER(SEARCH("coach_",Table1[[#This Row],[FILENAMES_EXPECTED]])))</f>
        <v>0</v>
      </c>
      <c r="E109" t="str">
        <f>"item_"&amp;Table1[[#This Row],[VEHIDCODE]]</f>
        <v>item_steam_Canada_Canadian_Pacific_374</v>
      </c>
      <c r="F109" t="str">
        <f>"str_"&amp;Table1[[#This Row],[VEHIDCODE]]</f>
        <v>str_steam_Canada_Canadian_Pacific_374</v>
      </c>
      <c r="G109">
        <v>8</v>
      </c>
      <c r="H109" t="s">
        <v>18</v>
      </c>
      <c r="I109">
        <v>0</v>
      </c>
      <c r="J109" t="s">
        <v>23</v>
      </c>
      <c r="K109">
        <v>0</v>
      </c>
      <c r="L109">
        <v>1886</v>
      </c>
      <c r="M109">
        <v>6</v>
      </c>
      <c r="N109" s="2" t="s">
        <v>20</v>
      </c>
      <c r="O109" t="b">
        <v>1</v>
      </c>
      <c r="Q109" s="2"/>
      <c r="R109">
        <v>45</v>
      </c>
      <c r="S109">
        <v>1</v>
      </c>
      <c r="T109">
        <v>670</v>
      </c>
      <c r="U109" t="s">
        <v>710</v>
      </c>
      <c r="V109">
        <v>104</v>
      </c>
      <c r="W109" s="2">
        <v>0.13</v>
      </c>
      <c r="AF109" s="2" t="b">
        <v>1</v>
      </c>
      <c r="AX109"/>
      <c r="BA109" s="2"/>
      <c r="BB109" s="2" t="b">
        <f>LEN(_xlfn.CONCAT(Table1[[#This Row],[TRACK_TYPE_STANDARD_GAUGE_RAILTYPE_OHLE]:[TRACK_TYPE_MTRO]]))&gt;0</f>
        <v>1</v>
      </c>
      <c r="BC109" s="7">
        <v>40</v>
      </c>
      <c r="BD109" t="s">
        <v>928</v>
      </c>
      <c r="BE109" t="s">
        <v>922</v>
      </c>
      <c r="BF109" t="s">
        <v>940</v>
      </c>
      <c r="BG1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9">
        <v>0</v>
      </c>
      <c r="BI109" t="s">
        <v>734</v>
      </c>
      <c r="BK109" s="11"/>
      <c r="BL109" s="11">
        <v>52</v>
      </c>
      <c r="BM109">
        <v>0</v>
      </c>
      <c r="BN109" t="s">
        <v>692</v>
      </c>
      <c r="BO109" t="s">
        <v>694</v>
      </c>
      <c r="BP109" t="s">
        <v>701</v>
      </c>
      <c r="BQ109" t="s">
        <v>705</v>
      </c>
      <c r="BR109" t="s">
        <v>706</v>
      </c>
      <c r="BS109" t="s">
        <v>707</v>
      </c>
    </row>
    <row r="110" spans="1:71" hidden="1" x14ac:dyDescent="0.4">
      <c r="A110" s="2" t="s">
        <v>134</v>
      </c>
      <c r="B110" t="str">
        <f>_xlfn.TEXTAFTER(Table1[[#This Row],[VEHIDCODE]],"_")</f>
        <v>South_Africa_PPR_35_tonner_4_6_0T</v>
      </c>
      <c r="C110" t="s">
        <v>739</v>
      </c>
      <c r="D110" t="b">
        <f>OR(ISNUMBER(SEARCH("wagon_",Table1[[#This Row],[FILENAMES_EXPECTED]])),ISNUMBER(SEARCH("coach_",Table1[[#This Row],[FILENAMES_EXPECTED]])))</f>
        <v>0</v>
      </c>
      <c r="E110" t="str">
        <f>"item_"&amp;Table1[[#This Row],[VEHIDCODE]]</f>
        <v>item_steam_South_Africa_PPR_35_tonner_4_6_0T</v>
      </c>
      <c r="F110" t="str">
        <f>"str_"&amp;Table1[[#This Row],[VEHIDCODE]]</f>
        <v>str_steam_South_Africa_PPR_35_tonner_4_6_0T</v>
      </c>
      <c r="G110">
        <v>5</v>
      </c>
      <c r="H110" t="s">
        <v>18</v>
      </c>
      <c r="I110">
        <v>0</v>
      </c>
      <c r="J110" t="s">
        <v>23</v>
      </c>
      <c r="K110">
        <v>0</v>
      </c>
      <c r="L110">
        <v>1887</v>
      </c>
      <c r="M110">
        <v>5</v>
      </c>
      <c r="N110" s="2" t="s">
        <v>20</v>
      </c>
      <c r="O110" t="b">
        <v>1</v>
      </c>
      <c r="Q110" s="2"/>
      <c r="R110">
        <v>45</v>
      </c>
      <c r="S110">
        <v>1</v>
      </c>
      <c r="T110">
        <v>88</v>
      </c>
      <c r="U110" t="s">
        <v>710</v>
      </c>
      <c r="V110">
        <v>60</v>
      </c>
      <c r="W110" s="2">
        <v>0.12</v>
      </c>
      <c r="AF110" s="2" t="b">
        <v>1</v>
      </c>
      <c r="AX110"/>
      <c r="BA110" s="2"/>
      <c r="BB110" s="2" t="b">
        <f>LEN(_xlfn.CONCAT(Table1[[#This Row],[TRACK_TYPE_STANDARD_GAUGE_RAILTYPE_OHLE]:[TRACK_TYPE_MTRO]]))&gt;0</f>
        <v>1</v>
      </c>
      <c r="BC110" s="7">
        <v>40</v>
      </c>
      <c r="BD110" t="s">
        <v>926</v>
      </c>
      <c r="BE110" t="s">
        <v>922</v>
      </c>
      <c r="BF110" t="s">
        <v>940</v>
      </c>
      <c r="BG1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0">
        <v>0</v>
      </c>
      <c r="BI110" t="s">
        <v>734</v>
      </c>
      <c r="BK110" s="11"/>
      <c r="BL110" s="11">
        <v>36</v>
      </c>
      <c r="BM110">
        <v>0</v>
      </c>
      <c r="BN110" t="s">
        <v>692</v>
      </c>
      <c r="BO110" t="s">
        <v>694</v>
      </c>
      <c r="BP110" t="s">
        <v>701</v>
      </c>
      <c r="BQ110" t="s">
        <v>705</v>
      </c>
      <c r="BR110" t="s">
        <v>706</v>
      </c>
      <c r="BS110" t="s">
        <v>707</v>
      </c>
    </row>
    <row r="111" spans="1:71" hidden="1" x14ac:dyDescent="0.4">
      <c r="A111" s="2" t="s">
        <v>135</v>
      </c>
      <c r="B111" t="str">
        <f>_xlfn.TEXTAFTER(Table1[[#This Row],[VEHIDCODE]],"_")</f>
        <v>Spain_RENFE_Class_040</v>
      </c>
      <c r="C111" t="s">
        <v>739</v>
      </c>
      <c r="D111" t="b">
        <f>OR(ISNUMBER(SEARCH("wagon_",Table1[[#This Row],[FILENAMES_EXPECTED]])),ISNUMBER(SEARCH("coach_",Table1[[#This Row],[FILENAMES_EXPECTED]])))</f>
        <v>0</v>
      </c>
      <c r="E111" t="str">
        <f>"item_"&amp;Table1[[#This Row],[VEHIDCODE]]</f>
        <v>item_steam_Spain_RENFE_Class_040</v>
      </c>
      <c r="F111" t="str">
        <f>"str_"&amp;Table1[[#This Row],[VEHIDCODE]]</f>
        <v>str_steam_Spain_RENFE_Class_040</v>
      </c>
      <c r="G111">
        <v>6</v>
      </c>
      <c r="H111" t="s">
        <v>18</v>
      </c>
      <c r="I111">
        <v>0</v>
      </c>
      <c r="J111" t="s">
        <v>23</v>
      </c>
      <c r="K111">
        <v>0</v>
      </c>
      <c r="L111">
        <v>1891</v>
      </c>
      <c r="M111">
        <v>6</v>
      </c>
      <c r="N111" s="2" t="s">
        <v>20</v>
      </c>
      <c r="O111" t="b">
        <v>1</v>
      </c>
      <c r="Q111" s="2"/>
      <c r="R111">
        <v>45</v>
      </c>
      <c r="S111">
        <v>1</v>
      </c>
      <c r="T111">
        <v>665</v>
      </c>
      <c r="U111" t="s">
        <v>710</v>
      </c>
      <c r="V111">
        <v>80</v>
      </c>
      <c r="W111" s="2">
        <v>0.1</v>
      </c>
      <c r="AF111" s="2" t="b">
        <v>1</v>
      </c>
      <c r="AX111"/>
      <c r="BA111" s="2"/>
      <c r="BB111" s="2" t="b">
        <f>LEN(_xlfn.CONCAT(Table1[[#This Row],[TRACK_TYPE_STANDARD_GAUGE_RAILTYPE_OHLE]:[TRACK_TYPE_MTRO]]))&gt;0</f>
        <v>1</v>
      </c>
      <c r="BC111" s="7">
        <v>40</v>
      </c>
      <c r="BD111" t="s">
        <v>924</v>
      </c>
      <c r="BE111" t="s">
        <v>922</v>
      </c>
      <c r="BF111" t="s">
        <v>940</v>
      </c>
      <c r="BG1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1">
        <v>0</v>
      </c>
      <c r="BI111" t="s">
        <v>734</v>
      </c>
      <c r="BK111" s="11"/>
      <c r="BL111" s="11">
        <v>73</v>
      </c>
      <c r="BM111">
        <v>0</v>
      </c>
      <c r="BN111" t="s">
        <v>692</v>
      </c>
      <c r="BO111" t="s">
        <v>694</v>
      </c>
      <c r="BP111" t="s">
        <v>701</v>
      </c>
      <c r="BQ111" t="s">
        <v>705</v>
      </c>
      <c r="BR111" t="s">
        <v>706</v>
      </c>
      <c r="BS111" t="s">
        <v>707</v>
      </c>
    </row>
    <row r="112" spans="1:71" hidden="1" x14ac:dyDescent="0.4">
      <c r="A112" s="2" t="s">
        <v>136</v>
      </c>
      <c r="B112" t="str">
        <f>_xlfn.TEXTAFTER(Table1[[#This Row],[VEHIDCODE]],"_")</f>
        <v>Germany_Saxon_IV_K</v>
      </c>
      <c r="C112" t="s">
        <v>739</v>
      </c>
      <c r="D112" t="b">
        <f>OR(ISNUMBER(SEARCH("wagon_",Table1[[#This Row],[FILENAMES_EXPECTED]])),ISNUMBER(SEARCH("coach_",Table1[[#This Row],[FILENAMES_EXPECTED]])))</f>
        <v>0</v>
      </c>
      <c r="E112" t="str">
        <f>"item_"&amp;Table1[[#This Row],[VEHIDCODE]]</f>
        <v>item_steam_Germany_Saxon_IV_K</v>
      </c>
      <c r="F112" t="str">
        <f>"str_"&amp;Table1[[#This Row],[VEHIDCODE]]</f>
        <v>str_steam_Germany_Saxon_IV_K</v>
      </c>
      <c r="G112">
        <v>6</v>
      </c>
      <c r="H112" t="s">
        <v>18</v>
      </c>
      <c r="I112">
        <v>0</v>
      </c>
      <c r="J112" t="s">
        <v>23</v>
      </c>
      <c r="K112">
        <v>0</v>
      </c>
      <c r="L112">
        <v>1892</v>
      </c>
      <c r="M112">
        <v>6</v>
      </c>
      <c r="N112" s="2" t="s">
        <v>20</v>
      </c>
      <c r="O112" t="b">
        <v>1</v>
      </c>
      <c r="Q112" s="2"/>
      <c r="R112">
        <v>45</v>
      </c>
      <c r="S112">
        <v>1</v>
      </c>
      <c r="T112">
        <v>206</v>
      </c>
      <c r="U112" t="s">
        <v>710</v>
      </c>
      <c r="V112">
        <v>30</v>
      </c>
      <c r="W112" s="2">
        <v>0.14000000000000001</v>
      </c>
      <c r="AF112" s="2" t="b">
        <v>1</v>
      </c>
      <c r="AX112"/>
      <c r="BA112" s="2"/>
      <c r="BB112" s="2" t="b">
        <f>LEN(_xlfn.CONCAT(Table1[[#This Row],[TRACK_TYPE_STANDARD_GAUGE_RAILTYPE_OHLE]:[TRACK_TYPE_MTRO]]))&gt;0</f>
        <v>1</v>
      </c>
      <c r="BC112" s="7">
        <v>40</v>
      </c>
      <c r="BD112" t="s">
        <v>923</v>
      </c>
      <c r="BE112" t="s">
        <v>922</v>
      </c>
      <c r="BF112" t="s">
        <v>940</v>
      </c>
      <c r="BG1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2">
        <v>0</v>
      </c>
      <c r="BI112" t="s">
        <v>734</v>
      </c>
      <c r="BK112" s="11"/>
      <c r="BL112" s="11">
        <v>27</v>
      </c>
      <c r="BM112">
        <v>0</v>
      </c>
      <c r="BN112" t="s">
        <v>692</v>
      </c>
      <c r="BO112" t="s">
        <v>694</v>
      </c>
      <c r="BP112" t="s">
        <v>701</v>
      </c>
      <c r="BQ112" t="s">
        <v>705</v>
      </c>
      <c r="BR112" t="s">
        <v>706</v>
      </c>
      <c r="BS112" t="s">
        <v>707</v>
      </c>
    </row>
    <row r="113" spans="1:71" hidden="1" x14ac:dyDescent="0.4">
      <c r="A113" s="2" t="s">
        <v>137</v>
      </c>
      <c r="B113" t="str">
        <f>_xlfn.TEXTAFTER(Table1[[#This Row],[VEHIDCODE]],"_")</f>
        <v>Germany_Prussian_S_3</v>
      </c>
      <c r="C113" t="s">
        <v>739</v>
      </c>
      <c r="D113" t="b">
        <f>OR(ISNUMBER(SEARCH("wagon_",Table1[[#This Row],[FILENAMES_EXPECTED]])),ISNUMBER(SEARCH("coach_",Table1[[#This Row],[FILENAMES_EXPECTED]])))</f>
        <v>0</v>
      </c>
      <c r="E113" t="str">
        <f>"item_"&amp;Table1[[#This Row],[VEHIDCODE]]</f>
        <v>item_steam_Germany_Prussian_S_3</v>
      </c>
      <c r="F113" t="str">
        <f>"str_"&amp;Table1[[#This Row],[VEHIDCODE]]</f>
        <v>str_steam_Germany_Prussian_S_3</v>
      </c>
      <c r="G113">
        <v>8</v>
      </c>
      <c r="H113" t="s">
        <v>18</v>
      </c>
      <c r="I113">
        <v>0</v>
      </c>
      <c r="J113" t="s">
        <v>23</v>
      </c>
      <c r="K113">
        <v>0</v>
      </c>
      <c r="L113">
        <v>1893</v>
      </c>
      <c r="M113">
        <v>7</v>
      </c>
      <c r="N113" s="2" t="s">
        <v>20</v>
      </c>
      <c r="O113" t="b">
        <v>1</v>
      </c>
      <c r="Q113" s="2"/>
      <c r="R113">
        <v>45</v>
      </c>
      <c r="S113">
        <v>1</v>
      </c>
      <c r="T113">
        <v>580</v>
      </c>
      <c r="U113" t="s">
        <v>710</v>
      </c>
      <c r="V113">
        <v>100</v>
      </c>
      <c r="W113" s="2">
        <v>0.13</v>
      </c>
      <c r="AF113" s="2" t="b">
        <v>1</v>
      </c>
      <c r="AX113"/>
      <c r="BA113" s="2"/>
      <c r="BB113" s="2" t="b">
        <f>LEN(_xlfn.CONCAT(Table1[[#This Row],[TRACK_TYPE_STANDARD_GAUGE_RAILTYPE_OHLE]:[TRACK_TYPE_MTRO]]))&gt;0</f>
        <v>1</v>
      </c>
      <c r="BC113" s="7">
        <v>40</v>
      </c>
      <c r="BD113" t="s">
        <v>923</v>
      </c>
      <c r="BE113" t="s">
        <v>922</v>
      </c>
      <c r="BF113" t="s">
        <v>940</v>
      </c>
      <c r="BG1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3">
        <v>0</v>
      </c>
      <c r="BI113" t="s">
        <v>734</v>
      </c>
      <c r="BK113" s="11"/>
      <c r="BL113" s="11">
        <v>50</v>
      </c>
      <c r="BM113">
        <v>0</v>
      </c>
      <c r="BN113" t="s">
        <v>692</v>
      </c>
      <c r="BO113" t="s">
        <v>694</v>
      </c>
      <c r="BP113" t="s">
        <v>701</v>
      </c>
      <c r="BQ113" t="s">
        <v>705</v>
      </c>
      <c r="BR113" t="s">
        <v>706</v>
      </c>
      <c r="BS113" t="s">
        <v>707</v>
      </c>
    </row>
    <row r="114" spans="1:71" hidden="1" x14ac:dyDescent="0.4">
      <c r="A114" s="2" t="s">
        <v>138</v>
      </c>
      <c r="B114" t="str">
        <f>_xlfn.TEXTAFTER(Table1[[#This Row],[VEHIDCODE]],"_")</f>
        <v>Norway_NSB_Class_XXI</v>
      </c>
      <c r="C114" t="s">
        <v>739</v>
      </c>
      <c r="D114" t="b">
        <f>OR(ISNUMBER(SEARCH("wagon_",Table1[[#This Row],[FILENAMES_EXPECTED]])),ISNUMBER(SEARCH("coach_",Table1[[#This Row],[FILENAMES_EXPECTED]])))</f>
        <v>0</v>
      </c>
      <c r="E114" t="str">
        <f>"item_"&amp;Table1[[#This Row],[VEHIDCODE]]</f>
        <v>item_steam_Norway_NSB_Class_XXI</v>
      </c>
      <c r="F114" t="str">
        <f>"str_"&amp;Table1[[#This Row],[VEHIDCODE]]</f>
        <v>str_steam_Norway_NSB_Class_XXI</v>
      </c>
      <c r="G114">
        <v>7</v>
      </c>
      <c r="H114" t="s">
        <v>18</v>
      </c>
      <c r="I114">
        <v>0</v>
      </c>
      <c r="J114" t="s">
        <v>23</v>
      </c>
      <c r="K114">
        <v>0</v>
      </c>
      <c r="L114">
        <v>1894</v>
      </c>
      <c r="M114">
        <v>7</v>
      </c>
      <c r="N114" s="2" t="s">
        <v>20</v>
      </c>
      <c r="O114" t="b">
        <v>1</v>
      </c>
      <c r="Q114" s="2"/>
      <c r="R114">
        <v>45</v>
      </c>
      <c r="S114">
        <v>0</v>
      </c>
      <c r="T114">
        <v>98</v>
      </c>
      <c r="U114" t="s">
        <v>710</v>
      </c>
      <c r="V114">
        <v>40</v>
      </c>
      <c r="W114" s="2">
        <v>0.17</v>
      </c>
      <c r="AF114" s="2" t="b">
        <v>1</v>
      </c>
      <c r="AX114"/>
      <c r="BA114" s="2"/>
      <c r="BB114" s="2" t="b">
        <f>LEN(_xlfn.CONCAT(Table1[[#This Row],[TRACK_TYPE_STANDARD_GAUGE_RAILTYPE_OHLE]:[TRACK_TYPE_MTRO]]))&gt;0</f>
        <v>1</v>
      </c>
      <c r="BC114" s="7">
        <v>40</v>
      </c>
      <c r="BD114" t="s">
        <v>927</v>
      </c>
      <c r="BE114" t="s">
        <v>922</v>
      </c>
      <c r="BF114" t="s">
        <v>940</v>
      </c>
      <c r="BG1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4">
        <v>0</v>
      </c>
      <c r="BI114" t="s">
        <v>734</v>
      </c>
      <c r="BK114" s="11"/>
      <c r="BL114" s="11">
        <v>19</v>
      </c>
      <c r="BM114">
        <v>0</v>
      </c>
      <c r="BN114" t="s">
        <v>692</v>
      </c>
      <c r="BO114" t="s">
        <v>694</v>
      </c>
      <c r="BP114" t="s">
        <v>701</v>
      </c>
      <c r="BQ114" t="s">
        <v>705</v>
      </c>
      <c r="BR114" t="s">
        <v>706</v>
      </c>
      <c r="BS114" t="s">
        <v>707</v>
      </c>
    </row>
    <row r="115" spans="1:71" hidden="1" x14ac:dyDescent="0.4">
      <c r="A115" s="2" t="s">
        <v>139</v>
      </c>
      <c r="B115" t="str">
        <f>_xlfn.TEXTAFTER(Table1[[#This Row],[VEHIDCODE]],"_")</f>
        <v>USA_PRR_D16</v>
      </c>
      <c r="C115" t="s">
        <v>739</v>
      </c>
      <c r="D115" t="b">
        <f>OR(ISNUMBER(SEARCH("wagon_",Table1[[#This Row],[FILENAMES_EXPECTED]])),ISNUMBER(SEARCH("coach_",Table1[[#This Row],[FILENAMES_EXPECTED]])))</f>
        <v>0</v>
      </c>
      <c r="E115" t="str">
        <f>"item_"&amp;Table1[[#This Row],[VEHIDCODE]]</f>
        <v>item_steam_USA_PRR_D16</v>
      </c>
      <c r="F115" t="str">
        <f>"str_"&amp;Table1[[#This Row],[VEHIDCODE]]</f>
        <v>str_steam_USA_PRR_D16</v>
      </c>
      <c r="G115">
        <v>8</v>
      </c>
      <c r="H115" t="s">
        <v>18</v>
      </c>
      <c r="I115">
        <v>0</v>
      </c>
      <c r="J115" t="s">
        <v>23</v>
      </c>
      <c r="K115">
        <v>0</v>
      </c>
      <c r="L115">
        <v>1895</v>
      </c>
      <c r="M115">
        <v>7</v>
      </c>
      <c r="N115" s="2" t="s">
        <v>20</v>
      </c>
      <c r="O115" t="b">
        <v>1</v>
      </c>
      <c r="Q115" s="2"/>
      <c r="R115">
        <v>45</v>
      </c>
      <c r="S115">
        <v>1</v>
      </c>
      <c r="T115">
        <v>1090</v>
      </c>
      <c r="U115" t="s">
        <v>710</v>
      </c>
      <c r="V115">
        <v>128</v>
      </c>
      <c r="W115" s="2">
        <v>0.17</v>
      </c>
      <c r="AF115" s="2" t="b">
        <v>1</v>
      </c>
      <c r="AX115"/>
      <c r="BA115" s="2"/>
      <c r="BB115" s="2" t="b">
        <f>LEN(_xlfn.CONCAT(Table1[[#This Row],[TRACK_TYPE_STANDARD_GAUGE_RAILTYPE_OHLE]:[TRACK_TYPE_MTRO]]))&gt;0</f>
        <v>1</v>
      </c>
      <c r="BC115" s="7">
        <v>40</v>
      </c>
      <c r="BD115" t="s">
        <v>928</v>
      </c>
      <c r="BE115" t="s">
        <v>922</v>
      </c>
      <c r="BF115" t="s">
        <v>940</v>
      </c>
      <c r="BG1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5">
        <v>0</v>
      </c>
      <c r="BI115" t="s">
        <v>734</v>
      </c>
      <c r="BK115" s="11"/>
      <c r="BL115" s="11">
        <v>64</v>
      </c>
      <c r="BM115">
        <v>0</v>
      </c>
      <c r="BN115" t="s">
        <v>692</v>
      </c>
      <c r="BO115" t="s">
        <v>694</v>
      </c>
      <c r="BP115" t="s">
        <v>701</v>
      </c>
      <c r="BQ115" t="s">
        <v>705</v>
      </c>
      <c r="BR115" t="s">
        <v>706</v>
      </c>
      <c r="BS115" t="s">
        <v>707</v>
      </c>
    </row>
    <row r="116" spans="1:71" hidden="1" x14ac:dyDescent="0.4">
      <c r="A116" s="2" t="s">
        <v>140</v>
      </c>
      <c r="B116" t="str">
        <f>_xlfn.TEXTAFTER(Table1[[#This Row],[VEHIDCODE]],"_")</f>
        <v>Netherlands_NS_8100</v>
      </c>
      <c r="C116" t="s">
        <v>739</v>
      </c>
      <c r="D116" t="b">
        <f>OR(ISNUMBER(SEARCH("wagon_",Table1[[#This Row],[FILENAMES_EXPECTED]])),ISNUMBER(SEARCH("coach_",Table1[[#This Row],[FILENAMES_EXPECTED]])))</f>
        <v>0</v>
      </c>
      <c r="E116" t="str">
        <f>"item_"&amp;Table1[[#This Row],[VEHIDCODE]]</f>
        <v>item_steam_Netherlands_NS_8100</v>
      </c>
      <c r="F116" t="str">
        <f>"str_"&amp;Table1[[#This Row],[VEHIDCODE]]</f>
        <v>str_steam_Netherlands_NS_8100</v>
      </c>
      <c r="G116">
        <v>4</v>
      </c>
      <c r="H116" t="s">
        <v>18</v>
      </c>
      <c r="I116">
        <v>0</v>
      </c>
      <c r="J116" t="s">
        <v>23</v>
      </c>
      <c r="K116">
        <v>0</v>
      </c>
      <c r="L116">
        <v>1901</v>
      </c>
      <c r="M116">
        <v>4</v>
      </c>
      <c r="N116" s="2" t="s">
        <v>20</v>
      </c>
      <c r="O116" t="b">
        <v>1</v>
      </c>
      <c r="Q116" s="2"/>
      <c r="R116">
        <v>45</v>
      </c>
      <c r="S116">
        <v>1</v>
      </c>
      <c r="T116">
        <v>290</v>
      </c>
      <c r="U116" t="s">
        <v>710</v>
      </c>
      <c r="V116">
        <v>45</v>
      </c>
      <c r="W116" s="2">
        <v>0.14000000000000001</v>
      </c>
      <c r="AF116" s="2" t="b">
        <v>1</v>
      </c>
      <c r="AX116"/>
      <c r="BA116" s="2"/>
      <c r="BB116" s="2" t="b">
        <f>LEN(_xlfn.CONCAT(Table1[[#This Row],[TRACK_TYPE_STANDARD_GAUGE_RAILTYPE_OHLE]:[TRACK_TYPE_MTRO]]))&gt;0</f>
        <v>1</v>
      </c>
      <c r="BC116" s="7">
        <v>40</v>
      </c>
      <c r="BD116" t="s">
        <v>923</v>
      </c>
      <c r="BE116" t="s">
        <v>922</v>
      </c>
      <c r="BF116" t="s">
        <v>940</v>
      </c>
      <c r="BG1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6">
        <v>0</v>
      </c>
      <c r="BI116" t="s">
        <v>734</v>
      </c>
      <c r="BK116" s="11"/>
      <c r="BL116" s="11">
        <v>33</v>
      </c>
      <c r="BM116">
        <v>0</v>
      </c>
      <c r="BN116" t="s">
        <v>692</v>
      </c>
      <c r="BO116" t="s">
        <v>694</v>
      </c>
      <c r="BP116" t="s">
        <v>701</v>
      </c>
      <c r="BQ116" t="s">
        <v>705</v>
      </c>
      <c r="BR116" t="s">
        <v>706</v>
      </c>
      <c r="BS116" t="s">
        <v>707</v>
      </c>
    </row>
    <row r="117" spans="1:71" hidden="1" x14ac:dyDescent="0.4">
      <c r="A117" s="2" t="s">
        <v>141</v>
      </c>
      <c r="B117" t="str">
        <f>_xlfn.TEXTAFTER(Table1[[#This Row],[VEHIDCODE]],"_")</f>
        <v>South_Africa_SAR_MD_Class</v>
      </c>
      <c r="C117" t="s">
        <v>739</v>
      </c>
      <c r="D117" t="b">
        <f>OR(ISNUMBER(SEARCH("wagon_",Table1[[#This Row],[FILENAMES_EXPECTED]])),ISNUMBER(SEARCH("coach_",Table1[[#This Row],[FILENAMES_EXPECTED]])))</f>
        <v>0</v>
      </c>
      <c r="E117" t="str">
        <f>"item_"&amp;Table1[[#This Row],[VEHIDCODE]]</f>
        <v>item_steam_South_Africa_SAR_MD_Class</v>
      </c>
      <c r="F117" t="str">
        <f>"str_"&amp;Table1[[#This Row],[VEHIDCODE]]</f>
        <v>str_steam_South_Africa_SAR_MD_Class</v>
      </c>
      <c r="G117">
        <v>10</v>
      </c>
      <c r="H117" t="s">
        <v>18</v>
      </c>
      <c r="I117">
        <v>0</v>
      </c>
      <c r="J117" t="s">
        <v>23</v>
      </c>
      <c r="K117">
        <v>0</v>
      </c>
      <c r="L117">
        <v>1910</v>
      </c>
      <c r="M117">
        <v>8</v>
      </c>
      <c r="N117" s="2" t="s">
        <v>20</v>
      </c>
      <c r="O117" t="b">
        <v>1</v>
      </c>
      <c r="Q117" s="2"/>
      <c r="R117">
        <v>45</v>
      </c>
      <c r="S117">
        <v>1</v>
      </c>
      <c r="T117">
        <v>1360</v>
      </c>
      <c r="U117" t="s">
        <v>710</v>
      </c>
      <c r="V117">
        <v>65</v>
      </c>
      <c r="W117" s="2">
        <v>0.2</v>
      </c>
      <c r="AF117" s="2" t="b">
        <v>1</v>
      </c>
      <c r="AX117"/>
      <c r="BA117" s="2"/>
      <c r="BB117" s="2" t="b">
        <f>LEN(_xlfn.CONCAT(Table1[[#This Row],[TRACK_TYPE_STANDARD_GAUGE_RAILTYPE_OHLE]:[TRACK_TYPE_MTRO]]))&gt;0</f>
        <v>1</v>
      </c>
      <c r="BC117" s="7">
        <v>40</v>
      </c>
      <c r="BD117" t="s">
        <v>926</v>
      </c>
      <c r="BE117" t="s">
        <v>922</v>
      </c>
      <c r="BF117" t="s">
        <v>940</v>
      </c>
      <c r="BG1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7">
        <v>0</v>
      </c>
      <c r="BI117" t="s">
        <v>734</v>
      </c>
      <c r="BK117" s="11"/>
      <c r="BL117" s="11">
        <v>102</v>
      </c>
      <c r="BM117">
        <v>0</v>
      </c>
      <c r="BN117" t="s">
        <v>692</v>
      </c>
      <c r="BO117" t="s">
        <v>694</v>
      </c>
      <c r="BP117" t="s">
        <v>701</v>
      </c>
      <c r="BQ117" t="s">
        <v>705</v>
      </c>
      <c r="BR117" t="s">
        <v>706</v>
      </c>
      <c r="BS117" t="s">
        <v>707</v>
      </c>
    </row>
    <row r="118" spans="1:71" hidden="1" x14ac:dyDescent="0.4">
      <c r="A118" s="2" t="s">
        <v>142</v>
      </c>
      <c r="B118" t="str">
        <f>_xlfn.TEXTAFTER(Table1[[#This Row],[VEHIDCODE]],"_")</f>
        <v>Angola_South_West_African_2_8_0</v>
      </c>
      <c r="C118" t="s">
        <v>739</v>
      </c>
      <c r="D118" t="b">
        <f>OR(ISNUMBER(SEARCH("wagon_",Table1[[#This Row],[FILENAMES_EXPECTED]])),ISNUMBER(SEARCH("coach_",Table1[[#This Row],[FILENAMES_EXPECTED]])))</f>
        <v>0</v>
      </c>
      <c r="E118" t="str">
        <f>"item_"&amp;Table1[[#This Row],[VEHIDCODE]]</f>
        <v>item_steam_Angola_South_West_African_2_8_0</v>
      </c>
      <c r="F118" t="str">
        <f>"str_"&amp;Table1[[#This Row],[VEHIDCODE]]</f>
        <v>str_steam_Angola_South_West_African_2_8_0</v>
      </c>
      <c r="G118">
        <v>8</v>
      </c>
      <c r="H118" t="s">
        <v>18</v>
      </c>
      <c r="I118">
        <v>0</v>
      </c>
      <c r="J118" t="s">
        <v>23</v>
      </c>
      <c r="K118">
        <v>0</v>
      </c>
      <c r="L118">
        <v>1911</v>
      </c>
      <c r="M118">
        <v>6</v>
      </c>
      <c r="N118" s="2" t="s">
        <v>20</v>
      </c>
      <c r="O118" t="b">
        <v>1</v>
      </c>
      <c r="Q118" s="2"/>
      <c r="R118">
        <v>45</v>
      </c>
      <c r="S118">
        <v>1</v>
      </c>
      <c r="T118">
        <v>640</v>
      </c>
      <c r="U118" t="s">
        <v>710</v>
      </c>
      <c r="V118">
        <v>60</v>
      </c>
      <c r="W118" s="2">
        <v>0.09</v>
      </c>
      <c r="AF118" s="2" t="b">
        <v>1</v>
      </c>
      <c r="AX118"/>
      <c r="BA118" s="2"/>
      <c r="BB118" s="2" t="b">
        <f>LEN(_xlfn.CONCAT(Table1[[#This Row],[TRACK_TYPE_STANDARD_GAUGE_RAILTYPE_OHLE]:[TRACK_TYPE_MTRO]]))&gt;0</f>
        <v>1</v>
      </c>
      <c r="BC118" s="7">
        <v>40</v>
      </c>
      <c r="BD118" t="s">
        <v>926</v>
      </c>
      <c r="BE118" t="s">
        <v>922</v>
      </c>
      <c r="BF118" t="s">
        <v>940</v>
      </c>
      <c r="BG1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8">
        <v>0</v>
      </c>
      <c r="BI118" t="s">
        <v>734</v>
      </c>
      <c r="BK118" s="11"/>
      <c r="BL118" s="11">
        <v>67</v>
      </c>
      <c r="BM118">
        <v>0</v>
      </c>
      <c r="BN118" t="s">
        <v>692</v>
      </c>
      <c r="BO118" t="s">
        <v>694</v>
      </c>
      <c r="BP118" t="s">
        <v>701</v>
      </c>
      <c r="BQ118" t="s">
        <v>705</v>
      </c>
      <c r="BR118" t="s">
        <v>706</v>
      </c>
      <c r="BS118" t="s">
        <v>707</v>
      </c>
    </row>
    <row r="119" spans="1:71" hidden="1" x14ac:dyDescent="0.4">
      <c r="A119" s="2" t="s">
        <v>143</v>
      </c>
      <c r="B119" t="str">
        <f>_xlfn.TEXTAFTER(Table1[[#This Row],[VEHIDCODE]],"_")</f>
        <v>UK_LNER_N7</v>
      </c>
      <c r="C119" t="s">
        <v>739</v>
      </c>
      <c r="D119" t="b">
        <f>OR(ISNUMBER(SEARCH("wagon_",Table1[[#This Row],[FILENAMES_EXPECTED]])),ISNUMBER(SEARCH("coach_",Table1[[#This Row],[FILENAMES_EXPECTED]])))</f>
        <v>0</v>
      </c>
      <c r="E119" t="str">
        <f>"item_"&amp;Table1[[#This Row],[VEHIDCODE]]</f>
        <v>item_steam_UK_LNER_N7</v>
      </c>
      <c r="F119" t="str">
        <f>"str_"&amp;Table1[[#This Row],[VEHIDCODE]]</f>
        <v>str_steam_UK_LNER_N7</v>
      </c>
      <c r="G119">
        <v>6</v>
      </c>
      <c r="H119" t="s">
        <v>18</v>
      </c>
      <c r="I119">
        <v>0</v>
      </c>
      <c r="J119" t="s">
        <v>23</v>
      </c>
      <c r="K119">
        <v>0</v>
      </c>
      <c r="L119">
        <v>1915</v>
      </c>
      <c r="M119">
        <v>6</v>
      </c>
      <c r="N119" s="2" t="s">
        <v>20</v>
      </c>
      <c r="O119" t="b">
        <v>1</v>
      </c>
      <c r="Q119" s="2"/>
      <c r="R119">
        <v>45</v>
      </c>
      <c r="S119">
        <v>1</v>
      </c>
      <c r="T119">
        <v>680</v>
      </c>
      <c r="U119" t="s">
        <v>710</v>
      </c>
      <c r="V119">
        <v>90</v>
      </c>
      <c r="W119" s="2">
        <v>0.14000000000000001</v>
      </c>
      <c r="AF119" s="2" t="b">
        <v>1</v>
      </c>
      <c r="AX119"/>
      <c r="BA119" s="2"/>
      <c r="BB119" s="2" t="b">
        <f>LEN(_xlfn.CONCAT(Table1[[#This Row],[TRACK_TYPE_STANDARD_GAUGE_RAILTYPE_OHLE]:[TRACK_TYPE_MTRO]]))&gt;0</f>
        <v>1</v>
      </c>
      <c r="BC119" s="7">
        <v>40</v>
      </c>
      <c r="BD119" t="s">
        <v>927</v>
      </c>
      <c r="BE119" t="s">
        <v>922</v>
      </c>
      <c r="BF119" t="s">
        <v>940</v>
      </c>
      <c r="BG1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9">
        <v>0</v>
      </c>
      <c r="BI119" t="s">
        <v>734</v>
      </c>
      <c r="BK119" s="11"/>
      <c r="BL119" s="11">
        <v>63</v>
      </c>
      <c r="BM119">
        <v>0</v>
      </c>
      <c r="BN119" t="s">
        <v>692</v>
      </c>
      <c r="BO119" t="s">
        <v>694</v>
      </c>
      <c r="BP119" t="s">
        <v>701</v>
      </c>
      <c r="BQ119" t="s">
        <v>705</v>
      </c>
      <c r="BR119" t="s">
        <v>706</v>
      </c>
      <c r="BS119" t="s">
        <v>707</v>
      </c>
    </row>
    <row r="120" spans="1:71" hidden="1" x14ac:dyDescent="0.4">
      <c r="A120" s="2" t="s">
        <v>144</v>
      </c>
      <c r="B120" t="str">
        <f>_xlfn.TEXTAFTER(Table1[[#This Row],[VEHIDCODE]],"_")</f>
        <v>Germany_Saxon_XX_HV</v>
      </c>
      <c r="C120" t="s">
        <v>739</v>
      </c>
      <c r="D120" t="b">
        <f>OR(ISNUMBER(SEARCH("wagon_",Table1[[#This Row],[FILENAMES_EXPECTED]])),ISNUMBER(SEARCH("coach_",Table1[[#This Row],[FILENAMES_EXPECTED]])))</f>
        <v>0</v>
      </c>
      <c r="E120" t="str">
        <f>"item_"&amp;Table1[[#This Row],[VEHIDCODE]]</f>
        <v>item_steam_Germany_Saxon_XX_HV</v>
      </c>
      <c r="F120" t="str">
        <f>"str_"&amp;Table1[[#This Row],[VEHIDCODE]]</f>
        <v>str_steam_Germany_Saxon_XX_HV</v>
      </c>
      <c r="G120">
        <v>12</v>
      </c>
      <c r="H120" t="s">
        <v>18</v>
      </c>
      <c r="I120">
        <v>0</v>
      </c>
      <c r="J120" t="s">
        <v>23</v>
      </c>
      <c r="K120">
        <v>0</v>
      </c>
      <c r="L120">
        <v>1918</v>
      </c>
      <c r="M120">
        <v>8</v>
      </c>
      <c r="N120" s="2" t="s">
        <v>20</v>
      </c>
      <c r="O120" t="b">
        <v>1</v>
      </c>
      <c r="Q120" s="2"/>
      <c r="R120">
        <v>45</v>
      </c>
      <c r="S120">
        <v>1</v>
      </c>
      <c r="T120">
        <v>1800</v>
      </c>
      <c r="U120" t="s">
        <v>710</v>
      </c>
      <c r="V120">
        <v>120</v>
      </c>
      <c r="W120" s="2">
        <v>0.23</v>
      </c>
      <c r="AF120" s="2" t="b">
        <v>1</v>
      </c>
      <c r="AX120"/>
      <c r="BA120" s="2"/>
      <c r="BB120" s="2" t="b">
        <f>LEN(_xlfn.CONCAT(Table1[[#This Row],[TRACK_TYPE_STANDARD_GAUGE_RAILTYPE_OHLE]:[TRACK_TYPE_MTRO]]))&gt;0</f>
        <v>1</v>
      </c>
      <c r="BC120" s="7">
        <v>40</v>
      </c>
      <c r="BD120" t="s">
        <v>923</v>
      </c>
      <c r="BE120" t="s">
        <v>922</v>
      </c>
      <c r="BF120" t="s">
        <v>940</v>
      </c>
      <c r="BG1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0">
        <v>0</v>
      </c>
      <c r="BI120" t="s">
        <v>734</v>
      </c>
      <c r="BK120" s="11"/>
      <c r="BL120" s="11">
        <v>91</v>
      </c>
      <c r="BM120">
        <v>0</v>
      </c>
      <c r="BN120" t="s">
        <v>692</v>
      </c>
      <c r="BO120" t="s">
        <v>694</v>
      </c>
      <c r="BP120" t="s">
        <v>701</v>
      </c>
      <c r="BQ120" t="s">
        <v>705</v>
      </c>
      <c r="BR120" t="s">
        <v>706</v>
      </c>
      <c r="BS120" t="s">
        <v>707</v>
      </c>
    </row>
    <row r="121" spans="1:71" hidden="1" x14ac:dyDescent="0.4">
      <c r="A121" s="2" t="s">
        <v>145</v>
      </c>
      <c r="B121" t="str">
        <f>_xlfn.TEXTAFTER(Table1[[#This Row],[VEHIDCODE]],"_")</f>
        <v>Belgium_NMBS_Type_7</v>
      </c>
      <c r="C121" t="s">
        <v>739</v>
      </c>
      <c r="D121" t="b">
        <f>OR(ISNUMBER(SEARCH("wagon_",Table1[[#This Row],[FILENAMES_EXPECTED]])),ISNUMBER(SEARCH("coach_",Table1[[#This Row],[FILENAMES_EXPECTED]])))</f>
        <v>0</v>
      </c>
      <c r="E121" t="str">
        <f>"item_"&amp;Table1[[#This Row],[VEHIDCODE]]</f>
        <v>item_steam_Belgium_NMBS_Type_7</v>
      </c>
      <c r="F121" t="str">
        <f>"str_"&amp;Table1[[#This Row],[VEHIDCODE]]</f>
        <v>str_steam_Belgium_NMBS_Type_7</v>
      </c>
      <c r="G121">
        <v>8</v>
      </c>
      <c r="H121" t="s">
        <v>18</v>
      </c>
      <c r="I121">
        <v>0</v>
      </c>
      <c r="J121" t="s">
        <v>23</v>
      </c>
      <c r="K121">
        <v>0</v>
      </c>
      <c r="L121">
        <v>1921</v>
      </c>
      <c r="M121">
        <v>8</v>
      </c>
      <c r="N121" s="2" t="s">
        <v>20</v>
      </c>
      <c r="O121" t="b">
        <v>1</v>
      </c>
      <c r="Q121" s="2"/>
      <c r="R121">
        <v>45</v>
      </c>
      <c r="S121">
        <v>1</v>
      </c>
      <c r="T121">
        <v>2000</v>
      </c>
      <c r="U121" t="s">
        <v>710</v>
      </c>
      <c r="V121">
        <v>110</v>
      </c>
      <c r="W121" s="2">
        <v>0.12</v>
      </c>
      <c r="AF121" s="2" t="b">
        <v>1</v>
      </c>
      <c r="AX121"/>
      <c r="BA121" s="2"/>
      <c r="BB121" s="2" t="b">
        <f>LEN(_xlfn.CONCAT(Table1[[#This Row],[TRACK_TYPE_STANDARD_GAUGE_RAILTYPE_OHLE]:[TRACK_TYPE_MTRO]]))&gt;0</f>
        <v>1</v>
      </c>
      <c r="BC121" s="7">
        <v>40</v>
      </c>
      <c r="BD121" t="s">
        <v>923</v>
      </c>
      <c r="BE121" t="s">
        <v>922</v>
      </c>
      <c r="BF121" t="s">
        <v>940</v>
      </c>
      <c r="BG1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1">
        <v>0</v>
      </c>
      <c r="BI121" t="s">
        <v>734</v>
      </c>
      <c r="BK121" s="11"/>
      <c r="BL121" s="11">
        <v>133</v>
      </c>
      <c r="BM121">
        <v>0</v>
      </c>
      <c r="BN121" t="s">
        <v>692</v>
      </c>
      <c r="BO121" t="s">
        <v>694</v>
      </c>
      <c r="BP121" t="s">
        <v>701</v>
      </c>
      <c r="BQ121" t="s">
        <v>705</v>
      </c>
      <c r="BR121" t="s">
        <v>706</v>
      </c>
      <c r="BS121" t="s">
        <v>707</v>
      </c>
    </row>
    <row r="122" spans="1:71" hidden="1" x14ac:dyDescent="0.4">
      <c r="A122" s="2" t="s">
        <v>146</v>
      </c>
      <c r="B122" t="str">
        <f>_xlfn.TEXTAFTER(Table1[[#This Row],[VEHIDCODE]],"_")</f>
        <v>Ireland_DSER_15</v>
      </c>
      <c r="C122" t="s">
        <v>739</v>
      </c>
      <c r="D122" t="b">
        <f>OR(ISNUMBER(SEARCH("wagon_",Table1[[#This Row],[FILENAMES_EXPECTED]])),ISNUMBER(SEARCH("coach_",Table1[[#This Row],[FILENAMES_EXPECTED]])))</f>
        <v>0</v>
      </c>
      <c r="E122" t="str">
        <f>"item_"&amp;Table1[[#This Row],[VEHIDCODE]]</f>
        <v>item_steam_Ireland_DSER_15</v>
      </c>
      <c r="F122" t="str">
        <f>"str_"&amp;Table1[[#This Row],[VEHIDCODE]]</f>
        <v>str_steam_Ireland_DSER_15</v>
      </c>
      <c r="G122">
        <v>8</v>
      </c>
      <c r="H122" t="s">
        <v>18</v>
      </c>
      <c r="I122">
        <v>0</v>
      </c>
      <c r="J122" t="s">
        <v>23</v>
      </c>
      <c r="K122">
        <v>0</v>
      </c>
      <c r="L122">
        <v>1922</v>
      </c>
      <c r="M122">
        <v>7</v>
      </c>
      <c r="N122" s="2" t="s">
        <v>20</v>
      </c>
      <c r="O122" t="b">
        <v>1</v>
      </c>
      <c r="Q122" s="2"/>
      <c r="R122">
        <v>45</v>
      </c>
      <c r="S122">
        <v>0</v>
      </c>
      <c r="T122">
        <v>1160</v>
      </c>
      <c r="U122" t="s">
        <v>710</v>
      </c>
      <c r="V122">
        <v>120</v>
      </c>
      <c r="W122" s="2">
        <v>0.12</v>
      </c>
      <c r="AF122" s="2" t="b">
        <v>1</v>
      </c>
      <c r="AX122"/>
      <c r="BA122" s="2"/>
      <c r="BB122" s="2" t="b">
        <f>LEN(_xlfn.CONCAT(Table1[[#This Row],[TRACK_TYPE_STANDARD_GAUGE_RAILTYPE_OHLE]:[TRACK_TYPE_MTRO]]))&gt;0</f>
        <v>1</v>
      </c>
      <c r="BC122" s="7">
        <v>40</v>
      </c>
      <c r="BD122" t="s">
        <v>927</v>
      </c>
      <c r="BE122" t="s">
        <v>922</v>
      </c>
      <c r="BF122" t="s">
        <v>940</v>
      </c>
      <c r="BG1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2">
        <v>0</v>
      </c>
      <c r="BI122" t="s">
        <v>734</v>
      </c>
      <c r="BK122" s="11"/>
      <c r="BL122" s="11">
        <v>84</v>
      </c>
      <c r="BM122">
        <v>0</v>
      </c>
      <c r="BN122" t="s">
        <v>692</v>
      </c>
      <c r="BO122" t="s">
        <v>694</v>
      </c>
      <c r="BP122" t="s">
        <v>701</v>
      </c>
      <c r="BQ122" t="s">
        <v>705</v>
      </c>
      <c r="BR122" t="s">
        <v>706</v>
      </c>
      <c r="BS122" t="s">
        <v>707</v>
      </c>
    </row>
    <row r="123" spans="1:71" hidden="1" x14ac:dyDescent="0.4">
      <c r="A123" s="2" t="s">
        <v>147</v>
      </c>
      <c r="B123" t="str">
        <f>_xlfn.TEXTAFTER(Table1[[#This Row],[VEHIDCODE]],"_")</f>
        <v>USA_Sierra_Railroad_28</v>
      </c>
      <c r="C123" t="s">
        <v>739</v>
      </c>
      <c r="D123" t="b">
        <f>OR(ISNUMBER(SEARCH("wagon_",Table1[[#This Row],[FILENAMES_EXPECTED]])),ISNUMBER(SEARCH("coach_",Table1[[#This Row],[FILENAMES_EXPECTED]])))</f>
        <v>0</v>
      </c>
      <c r="E123" t="str">
        <f>"item_"&amp;Table1[[#This Row],[VEHIDCODE]]</f>
        <v>item_steam_USA_Sierra_Railroad_28</v>
      </c>
      <c r="F123" t="str">
        <f>"str_"&amp;Table1[[#This Row],[VEHIDCODE]]</f>
        <v>str_steam_USA_Sierra_Railroad_28</v>
      </c>
      <c r="G123">
        <v>8</v>
      </c>
      <c r="H123" t="s">
        <v>18</v>
      </c>
      <c r="I123">
        <v>0</v>
      </c>
      <c r="J123" t="s">
        <v>23</v>
      </c>
      <c r="K123">
        <v>0</v>
      </c>
      <c r="L123">
        <v>1922</v>
      </c>
      <c r="M123">
        <v>6</v>
      </c>
      <c r="N123" s="2" t="s">
        <v>20</v>
      </c>
      <c r="O123" t="b">
        <v>1</v>
      </c>
      <c r="Q123" s="2"/>
      <c r="R123">
        <v>45</v>
      </c>
      <c r="S123">
        <v>1</v>
      </c>
      <c r="T123">
        <v>1622</v>
      </c>
      <c r="U123" t="s">
        <v>710</v>
      </c>
      <c r="V123">
        <v>104</v>
      </c>
      <c r="W123" s="2">
        <v>0.21</v>
      </c>
      <c r="AF123" s="2" t="b">
        <v>1</v>
      </c>
      <c r="AX123"/>
      <c r="BA123" s="2"/>
      <c r="BB123" s="2" t="b">
        <f>LEN(_xlfn.CONCAT(Table1[[#This Row],[TRACK_TYPE_STANDARD_GAUGE_RAILTYPE_OHLE]:[TRACK_TYPE_MTRO]]))&gt;0</f>
        <v>1</v>
      </c>
      <c r="BC123" s="7">
        <v>40</v>
      </c>
      <c r="BD123" t="s">
        <v>928</v>
      </c>
      <c r="BE123" t="s">
        <v>922</v>
      </c>
      <c r="BF123" t="s">
        <v>940</v>
      </c>
      <c r="BG1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3">
        <v>0</v>
      </c>
      <c r="BI123" t="s">
        <v>734</v>
      </c>
      <c r="BK123" s="11"/>
      <c r="BL123" s="11">
        <v>64</v>
      </c>
      <c r="BM123">
        <v>0</v>
      </c>
      <c r="BN123" t="s">
        <v>692</v>
      </c>
      <c r="BO123" t="s">
        <v>694</v>
      </c>
      <c r="BP123" t="s">
        <v>701</v>
      </c>
      <c r="BQ123" t="s">
        <v>705</v>
      </c>
      <c r="BR123" t="s">
        <v>706</v>
      </c>
      <c r="BS123" t="s">
        <v>707</v>
      </c>
    </row>
    <row r="124" spans="1:71" hidden="1" x14ac:dyDescent="0.4">
      <c r="A124" s="2" t="s">
        <v>148</v>
      </c>
      <c r="B124" t="str">
        <f>_xlfn.TEXTAFTER(Table1[[#This Row],[VEHIDCODE]],"_")</f>
        <v>Canada_CN_U_1_Class</v>
      </c>
      <c r="C124" t="s">
        <v>739</v>
      </c>
      <c r="D124" t="b">
        <f>OR(ISNUMBER(SEARCH("wagon_",Table1[[#This Row],[FILENAMES_EXPECTED]])),ISNUMBER(SEARCH("coach_",Table1[[#This Row],[FILENAMES_EXPECTED]])))</f>
        <v>0</v>
      </c>
      <c r="E124" t="str">
        <f>"item_"&amp;Table1[[#This Row],[VEHIDCODE]]</f>
        <v>item_steam_Canada_CN_U_1_Class</v>
      </c>
      <c r="F124" t="str">
        <f>"str_"&amp;Table1[[#This Row],[VEHIDCODE]]</f>
        <v>str_steam_Canada_CN_U_1_Class</v>
      </c>
      <c r="G124">
        <v>12</v>
      </c>
      <c r="H124" t="s">
        <v>18</v>
      </c>
      <c r="I124">
        <v>0</v>
      </c>
      <c r="J124" t="s">
        <v>23</v>
      </c>
      <c r="K124">
        <v>0</v>
      </c>
      <c r="L124">
        <v>1923</v>
      </c>
      <c r="M124">
        <v>8</v>
      </c>
      <c r="N124" s="2" t="s">
        <v>20</v>
      </c>
      <c r="O124" t="b">
        <v>1</v>
      </c>
      <c r="Q124" s="2"/>
      <c r="R124">
        <v>45</v>
      </c>
      <c r="S124">
        <v>1</v>
      </c>
      <c r="T124">
        <v>2250</v>
      </c>
      <c r="U124" t="s">
        <v>710</v>
      </c>
      <c r="V124">
        <v>130</v>
      </c>
      <c r="W124" s="2">
        <v>0.08</v>
      </c>
      <c r="AF124" s="2" t="b">
        <v>1</v>
      </c>
      <c r="AX124"/>
      <c r="BA124" s="2"/>
      <c r="BB124" s="2" t="b">
        <f>LEN(_xlfn.CONCAT(Table1[[#This Row],[TRACK_TYPE_STANDARD_GAUGE_RAILTYPE_OHLE]:[TRACK_TYPE_MTRO]]))&gt;0</f>
        <v>1</v>
      </c>
      <c r="BC124" s="7">
        <v>40</v>
      </c>
      <c r="BD124" t="s">
        <v>928</v>
      </c>
      <c r="BE124" t="s">
        <v>922</v>
      </c>
      <c r="BF124" t="s">
        <v>940</v>
      </c>
      <c r="BG1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4">
        <v>0</v>
      </c>
      <c r="BI124" t="s">
        <v>734</v>
      </c>
      <c r="BK124" s="11"/>
      <c r="BL124" s="11">
        <v>273</v>
      </c>
      <c r="BM124">
        <v>0</v>
      </c>
      <c r="BN124" t="s">
        <v>692</v>
      </c>
      <c r="BO124" t="s">
        <v>694</v>
      </c>
      <c r="BP124" t="s">
        <v>701</v>
      </c>
      <c r="BQ124" t="s">
        <v>705</v>
      </c>
      <c r="BR124" t="s">
        <v>706</v>
      </c>
      <c r="BS124" t="s">
        <v>707</v>
      </c>
    </row>
    <row r="125" spans="1:71" hidden="1" x14ac:dyDescent="0.4">
      <c r="A125" s="2" t="s">
        <v>149</v>
      </c>
      <c r="B125" t="str">
        <f>_xlfn.TEXTAFTER(Table1[[#This Row],[VEHIDCODE]],"_")</f>
        <v>India_Indian_Railways_XB_Class</v>
      </c>
      <c r="C125" t="s">
        <v>739</v>
      </c>
      <c r="D125" t="b">
        <f>OR(ISNUMBER(SEARCH("wagon_",Table1[[#This Row],[FILENAMES_EXPECTED]])),ISNUMBER(SEARCH("coach_",Table1[[#This Row],[FILENAMES_EXPECTED]])))</f>
        <v>0</v>
      </c>
      <c r="E125" t="str">
        <f>"item_"&amp;Table1[[#This Row],[VEHIDCODE]]</f>
        <v>item_steam_India_Indian_Railways_XB_Class</v>
      </c>
      <c r="F125" t="str">
        <f>"str_"&amp;Table1[[#This Row],[VEHIDCODE]]</f>
        <v>str_steam_India_Indian_Railways_XB_Class</v>
      </c>
      <c r="G125">
        <v>14</v>
      </c>
      <c r="H125" t="s">
        <v>18</v>
      </c>
      <c r="I125">
        <v>0</v>
      </c>
      <c r="J125" t="s">
        <v>23</v>
      </c>
      <c r="K125">
        <v>0</v>
      </c>
      <c r="L125">
        <v>1927</v>
      </c>
      <c r="M125">
        <v>8</v>
      </c>
      <c r="N125" s="2" t="s">
        <v>20</v>
      </c>
      <c r="O125" t="b">
        <v>1</v>
      </c>
      <c r="Q125" s="2"/>
      <c r="R125">
        <v>45</v>
      </c>
      <c r="S125">
        <v>1</v>
      </c>
      <c r="T125">
        <v>1510</v>
      </c>
      <c r="U125" t="s">
        <v>710</v>
      </c>
      <c r="V125">
        <v>116</v>
      </c>
      <c r="W125" s="2">
        <v>0.08</v>
      </c>
      <c r="AF125" s="2" t="b">
        <v>1</v>
      </c>
      <c r="AX125"/>
      <c r="BA125" s="2"/>
      <c r="BB125" s="2" t="b">
        <f>LEN(_xlfn.CONCAT(Table1[[#This Row],[TRACK_TYPE_STANDARD_GAUGE_RAILTYPE_OHLE]:[TRACK_TYPE_MTRO]]))&gt;0</f>
        <v>1</v>
      </c>
      <c r="BC125" s="7">
        <v>40</v>
      </c>
      <c r="BD125" t="s">
        <v>931</v>
      </c>
      <c r="BE125" t="s">
        <v>922</v>
      </c>
      <c r="BF125" t="s">
        <v>940</v>
      </c>
      <c r="BG1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5">
        <v>0</v>
      </c>
      <c r="BI125" t="s">
        <v>734</v>
      </c>
      <c r="BK125" s="11"/>
      <c r="BL125" s="11">
        <v>142</v>
      </c>
      <c r="BM125">
        <v>0</v>
      </c>
      <c r="BN125" t="s">
        <v>692</v>
      </c>
      <c r="BO125" t="s">
        <v>694</v>
      </c>
      <c r="BP125" t="s">
        <v>701</v>
      </c>
      <c r="BQ125" t="s">
        <v>705</v>
      </c>
      <c r="BR125" t="s">
        <v>706</v>
      </c>
      <c r="BS125" t="s">
        <v>707</v>
      </c>
    </row>
    <row r="126" spans="1:71" hidden="1" x14ac:dyDescent="0.4">
      <c r="A126" s="2" t="s">
        <v>150</v>
      </c>
      <c r="B126" t="str">
        <f>_xlfn.TEXTAFTER(Table1[[#This Row],[VEHIDCODE]],"_")</f>
        <v>Iraq_Iraqi_State_Railways_PC_Class</v>
      </c>
      <c r="C126" t="s">
        <v>739</v>
      </c>
      <c r="D126" t="b">
        <f>OR(ISNUMBER(SEARCH("wagon_",Table1[[#This Row],[FILENAMES_EXPECTED]])),ISNUMBER(SEARCH("coach_",Table1[[#This Row],[FILENAMES_EXPECTED]])))</f>
        <v>0</v>
      </c>
      <c r="E126" t="str">
        <f>"item_"&amp;Table1[[#This Row],[VEHIDCODE]]</f>
        <v>item_steam_Iraq_Iraqi_State_Railways_PC_Class</v>
      </c>
      <c r="F126" t="str">
        <f>"str_"&amp;Table1[[#This Row],[VEHIDCODE]]</f>
        <v>str_steam_Iraq_Iraqi_State_Railways_PC_Class</v>
      </c>
      <c r="G126">
        <v>12</v>
      </c>
      <c r="H126" t="s">
        <v>18</v>
      </c>
      <c r="I126">
        <v>0</v>
      </c>
      <c r="J126" t="s">
        <v>23</v>
      </c>
      <c r="K126">
        <v>0</v>
      </c>
      <c r="L126">
        <v>1940</v>
      </c>
      <c r="M126">
        <v>8</v>
      </c>
      <c r="N126" s="2" t="s">
        <v>20</v>
      </c>
      <c r="O126" t="b">
        <v>1</v>
      </c>
      <c r="Q126" s="2"/>
      <c r="R126">
        <v>45</v>
      </c>
      <c r="S126">
        <v>1</v>
      </c>
      <c r="T126">
        <v>1640</v>
      </c>
      <c r="U126" t="s">
        <v>710</v>
      </c>
      <c r="V126">
        <v>140</v>
      </c>
      <c r="W126" s="2">
        <v>0.14000000000000001</v>
      </c>
      <c r="AF126" s="2" t="b">
        <v>1</v>
      </c>
      <c r="AX126"/>
      <c r="BA126" s="2"/>
      <c r="BB126" s="2" t="b">
        <f>LEN(_xlfn.CONCAT(Table1[[#This Row],[TRACK_TYPE_STANDARD_GAUGE_RAILTYPE_OHLE]:[TRACK_TYPE_MTRO]]))&gt;0</f>
        <v>1</v>
      </c>
      <c r="BC126" s="7">
        <v>40</v>
      </c>
      <c r="BD126" t="s">
        <v>931</v>
      </c>
      <c r="BE126" t="s">
        <v>922</v>
      </c>
      <c r="BF126" t="s">
        <v>940</v>
      </c>
      <c r="BG1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6">
        <v>0</v>
      </c>
      <c r="BI126" t="s">
        <v>734</v>
      </c>
      <c r="BK126" s="11"/>
      <c r="BL126" s="11">
        <v>100</v>
      </c>
      <c r="BM126">
        <v>0</v>
      </c>
      <c r="BN126" t="s">
        <v>692</v>
      </c>
      <c r="BO126" t="s">
        <v>694</v>
      </c>
      <c r="BP126" t="s">
        <v>701</v>
      </c>
      <c r="BQ126" t="s">
        <v>705</v>
      </c>
      <c r="BR126" t="s">
        <v>706</v>
      </c>
      <c r="BS126" t="s">
        <v>707</v>
      </c>
    </row>
    <row r="127" spans="1:71" hidden="1" x14ac:dyDescent="0.4">
      <c r="A127" s="2" t="s">
        <v>151</v>
      </c>
      <c r="B127" t="str">
        <f>_xlfn.TEXTAFTER(Table1[[#This Row],[VEHIDCODE]],"_")</f>
        <v>Egypt_ENR_1100</v>
      </c>
      <c r="C127" t="s">
        <v>739</v>
      </c>
      <c r="D127" t="b">
        <f>OR(ISNUMBER(SEARCH("wagon_",Table1[[#This Row],[FILENAMES_EXPECTED]])),ISNUMBER(SEARCH("coach_",Table1[[#This Row],[FILENAMES_EXPECTED]])))</f>
        <v>0</v>
      </c>
      <c r="E127" t="str">
        <f>"item_"&amp;Table1[[#This Row],[VEHIDCODE]]</f>
        <v>item_steam_Egypt_ENR_1100</v>
      </c>
      <c r="F127" t="str">
        <f>"str_"&amp;Table1[[#This Row],[VEHIDCODE]]</f>
        <v>str_steam_Egypt_ENR_1100</v>
      </c>
      <c r="G127">
        <v>6</v>
      </c>
      <c r="H127" t="s">
        <v>18</v>
      </c>
      <c r="I127">
        <v>0</v>
      </c>
      <c r="J127" t="s">
        <v>23</v>
      </c>
      <c r="K127">
        <v>0</v>
      </c>
      <c r="L127">
        <v>1942</v>
      </c>
      <c r="M127">
        <v>6</v>
      </c>
      <c r="N127" s="2" t="s">
        <v>20</v>
      </c>
      <c r="O127" t="b">
        <v>1</v>
      </c>
      <c r="Q127" s="2"/>
      <c r="R127">
        <v>45</v>
      </c>
      <c r="S127">
        <v>1</v>
      </c>
      <c r="T127">
        <v>560</v>
      </c>
      <c r="U127" t="s">
        <v>710</v>
      </c>
      <c r="V127">
        <v>65</v>
      </c>
      <c r="W127" s="2">
        <v>0.21</v>
      </c>
      <c r="AF127" s="2" t="b">
        <v>1</v>
      </c>
      <c r="AX127"/>
      <c r="BA127" s="2"/>
      <c r="BB127" s="2" t="b">
        <f>LEN(_xlfn.CONCAT(Table1[[#This Row],[TRACK_TYPE_STANDARD_GAUGE_RAILTYPE_OHLE]:[TRACK_TYPE_MTRO]]))&gt;0</f>
        <v>1</v>
      </c>
      <c r="BC127" s="7">
        <v>40</v>
      </c>
      <c r="BD127" t="s">
        <v>926</v>
      </c>
      <c r="BE127" t="s">
        <v>922</v>
      </c>
      <c r="BF127" t="s">
        <v>940</v>
      </c>
      <c r="BG1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7">
        <v>0</v>
      </c>
      <c r="BI127" t="s">
        <v>734</v>
      </c>
      <c r="BK127" s="11"/>
      <c r="BL127" s="11">
        <v>46</v>
      </c>
      <c r="BM127">
        <v>0</v>
      </c>
      <c r="BN127" t="s">
        <v>692</v>
      </c>
      <c r="BO127" t="s">
        <v>694</v>
      </c>
      <c r="BP127" t="s">
        <v>701</v>
      </c>
      <c r="BQ127" t="s">
        <v>705</v>
      </c>
      <c r="BR127" t="s">
        <v>706</v>
      </c>
      <c r="BS127" t="s">
        <v>707</v>
      </c>
    </row>
    <row r="128" spans="1:71" hidden="1" x14ac:dyDescent="0.4">
      <c r="A128" s="2" t="s">
        <v>152</v>
      </c>
      <c r="B128" t="str">
        <f>_xlfn.TEXTAFTER(Table1[[#This Row],[VEHIDCODE]],"_")</f>
        <v>UK_GWR_1600_Class</v>
      </c>
      <c r="C128" t="s">
        <v>739</v>
      </c>
      <c r="D128" t="b">
        <f>OR(ISNUMBER(SEARCH("wagon_",Table1[[#This Row],[FILENAMES_EXPECTED]])),ISNUMBER(SEARCH("coach_",Table1[[#This Row],[FILENAMES_EXPECTED]])))</f>
        <v>0</v>
      </c>
      <c r="E128" t="str">
        <f>"item_"&amp;Table1[[#This Row],[VEHIDCODE]]</f>
        <v>item_steam_UK_GWR_1600_Class</v>
      </c>
      <c r="F128" t="str">
        <f>"str_"&amp;Table1[[#This Row],[VEHIDCODE]]</f>
        <v>str_steam_UK_GWR_1600_Class</v>
      </c>
      <c r="G128">
        <v>6</v>
      </c>
      <c r="H128" t="s">
        <v>18</v>
      </c>
      <c r="I128">
        <v>0</v>
      </c>
      <c r="J128" t="s">
        <v>23</v>
      </c>
      <c r="K128">
        <v>0</v>
      </c>
      <c r="L128">
        <v>1949</v>
      </c>
      <c r="M128">
        <v>6</v>
      </c>
      <c r="N128" s="2" t="s">
        <v>20</v>
      </c>
      <c r="O128" t="b">
        <v>1</v>
      </c>
      <c r="Q128" s="2"/>
      <c r="R128">
        <v>45</v>
      </c>
      <c r="S128">
        <v>0</v>
      </c>
      <c r="T128">
        <v>690</v>
      </c>
      <c r="U128" t="s">
        <v>710</v>
      </c>
      <c r="V128">
        <v>80</v>
      </c>
      <c r="W128" s="2">
        <v>0.2</v>
      </c>
      <c r="AF128" s="2" t="b">
        <v>1</v>
      </c>
      <c r="AX128"/>
      <c r="BA128" s="2"/>
      <c r="BB128" s="2" t="b">
        <f>LEN(_xlfn.CONCAT(Table1[[#This Row],[TRACK_TYPE_STANDARD_GAUGE_RAILTYPE_OHLE]:[TRACK_TYPE_MTRO]]))&gt;0</f>
        <v>1</v>
      </c>
      <c r="BC128" s="7">
        <v>40</v>
      </c>
      <c r="BD128" t="s">
        <v>927</v>
      </c>
      <c r="BE128" t="s">
        <v>922</v>
      </c>
      <c r="BF128" t="s">
        <v>940</v>
      </c>
      <c r="BG1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8">
        <v>0</v>
      </c>
      <c r="BI128" t="s">
        <v>734</v>
      </c>
      <c r="BK128" s="11"/>
      <c r="BL128" s="11">
        <v>42</v>
      </c>
      <c r="BM128">
        <v>0</v>
      </c>
      <c r="BN128" t="s">
        <v>692</v>
      </c>
      <c r="BO128" t="s">
        <v>694</v>
      </c>
      <c r="BP128" t="s">
        <v>701</v>
      </c>
      <c r="BQ128" t="s">
        <v>705</v>
      </c>
      <c r="BR128" t="s">
        <v>706</v>
      </c>
      <c r="BS128" t="s">
        <v>707</v>
      </c>
    </row>
    <row r="129" spans="1:71" hidden="1" x14ac:dyDescent="0.4">
      <c r="A129" s="2" t="s">
        <v>153</v>
      </c>
      <c r="B129" t="str">
        <f>_xlfn.TEXTAFTER(Table1[[#This Row],[VEHIDCODE]],"_")</f>
        <v>Australia_Victorian_Railways_R_Class</v>
      </c>
      <c r="C129" t="s">
        <v>739</v>
      </c>
      <c r="D129" t="b">
        <f>OR(ISNUMBER(SEARCH("wagon_",Table1[[#This Row],[FILENAMES_EXPECTED]])),ISNUMBER(SEARCH("coach_",Table1[[#This Row],[FILENAMES_EXPECTED]])))</f>
        <v>0</v>
      </c>
      <c r="E129" t="str">
        <f>"item_"&amp;Table1[[#This Row],[VEHIDCODE]]</f>
        <v>item_steam_Australia_Victorian_Railways_R_Class</v>
      </c>
      <c r="F129" t="str">
        <f>"str_"&amp;Table1[[#This Row],[VEHIDCODE]]</f>
        <v>str_steam_Australia_Victorian_Railways_R_Class</v>
      </c>
      <c r="G129">
        <v>10</v>
      </c>
      <c r="H129" t="s">
        <v>18</v>
      </c>
      <c r="I129">
        <v>0</v>
      </c>
      <c r="J129" t="s">
        <v>23</v>
      </c>
      <c r="K129">
        <v>0</v>
      </c>
      <c r="L129">
        <v>1951</v>
      </c>
      <c r="M129">
        <v>8</v>
      </c>
      <c r="N129" s="2" t="s">
        <v>20</v>
      </c>
      <c r="O129" t="b">
        <v>1</v>
      </c>
      <c r="Q129" s="2"/>
      <c r="R129">
        <v>45</v>
      </c>
      <c r="S129">
        <v>1</v>
      </c>
      <c r="T129">
        <v>2300</v>
      </c>
      <c r="U129" t="s">
        <v>710</v>
      </c>
      <c r="V129">
        <v>120</v>
      </c>
      <c r="W129" s="2">
        <v>7.0000000000000007E-2</v>
      </c>
      <c r="AF129" s="2" t="b">
        <v>1</v>
      </c>
      <c r="AX129"/>
      <c r="BA129" s="2"/>
      <c r="BB129" s="2" t="b">
        <f>LEN(_xlfn.CONCAT(Table1[[#This Row],[TRACK_TYPE_STANDARD_GAUGE_RAILTYPE_OHLE]:[TRACK_TYPE_MTRO]]))&gt;0</f>
        <v>1</v>
      </c>
      <c r="BC129" s="7">
        <v>40</v>
      </c>
      <c r="BD129" t="s">
        <v>925</v>
      </c>
      <c r="BE129" t="s">
        <v>922</v>
      </c>
      <c r="BF129" t="s">
        <v>940</v>
      </c>
      <c r="BG1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9">
        <v>0</v>
      </c>
      <c r="BI129" t="s">
        <v>734</v>
      </c>
      <c r="BK129" s="11"/>
      <c r="BL129" s="11">
        <v>190</v>
      </c>
      <c r="BM129">
        <v>0</v>
      </c>
      <c r="BN129" t="s">
        <v>692</v>
      </c>
      <c r="BO129" t="s">
        <v>694</v>
      </c>
      <c r="BP129" t="s">
        <v>701</v>
      </c>
      <c r="BQ129" t="s">
        <v>705</v>
      </c>
      <c r="BR129" t="s">
        <v>706</v>
      </c>
      <c r="BS129" t="s">
        <v>707</v>
      </c>
    </row>
    <row r="130" spans="1:71" hidden="1" x14ac:dyDescent="0.4">
      <c r="A130" s="2" t="s">
        <v>154</v>
      </c>
      <c r="B130" t="str">
        <f>_xlfn.TEXTAFTER(Table1[[#This Row],[VEHIDCODE]],"_")</f>
        <v>Germany_DB_9977_79</v>
      </c>
      <c r="C130" t="s">
        <v>739</v>
      </c>
      <c r="D130" t="b">
        <f>OR(ISNUMBER(SEARCH("wagon_",Table1[[#This Row],[FILENAMES_EXPECTED]])),ISNUMBER(SEARCH("coach_",Table1[[#This Row],[FILENAMES_EXPECTED]])))</f>
        <v>0</v>
      </c>
      <c r="E130" t="str">
        <f>"item_"&amp;Table1[[#This Row],[VEHIDCODE]]</f>
        <v>item_steam_Germany_DB_9977_79</v>
      </c>
      <c r="F130" t="str">
        <f>"str_"&amp;Table1[[#This Row],[VEHIDCODE]]</f>
        <v>str_steam_Germany_DB_9977_79</v>
      </c>
      <c r="G130">
        <v>7</v>
      </c>
      <c r="H130" t="s">
        <v>18</v>
      </c>
      <c r="I130">
        <v>0</v>
      </c>
      <c r="J130" t="s">
        <v>23</v>
      </c>
      <c r="K130">
        <v>0</v>
      </c>
      <c r="L130">
        <v>1952</v>
      </c>
      <c r="M130">
        <v>7</v>
      </c>
      <c r="N130" s="2" t="s">
        <v>20</v>
      </c>
      <c r="O130" t="b">
        <v>1</v>
      </c>
      <c r="Q130" s="2"/>
      <c r="R130">
        <v>45</v>
      </c>
      <c r="S130">
        <v>1</v>
      </c>
      <c r="T130">
        <v>600</v>
      </c>
      <c r="U130" t="s">
        <v>710</v>
      </c>
      <c r="V130">
        <v>30</v>
      </c>
      <c r="W130" s="2">
        <v>0.2</v>
      </c>
      <c r="AF130" s="2" t="b">
        <v>1</v>
      </c>
      <c r="AX130"/>
      <c r="BA130" s="2"/>
      <c r="BB130" s="2" t="b">
        <f>LEN(_xlfn.CONCAT(Table1[[#This Row],[TRACK_TYPE_STANDARD_GAUGE_RAILTYPE_OHLE]:[TRACK_TYPE_MTRO]]))&gt;0</f>
        <v>1</v>
      </c>
      <c r="BC130" s="7">
        <v>40</v>
      </c>
      <c r="BD130" t="s">
        <v>923</v>
      </c>
      <c r="BE130" t="s">
        <v>922</v>
      </c>
      <c r="BF130" t="s">
        <v>940</v>
      </c>
      <c r="BG1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0">
        <v>0</v>
      </c>
      <c r="BI130" t="s">
        <v>734</v>
      </c>
      <c r="BK130" s="11"/>
      <c r="BL130" s="11">
        <v>42</v>
      </c>
      <c r="BM130">
        <v>0</v>
      </c>
      <c r="BN130" t="s">
        <v>692</v>
      </c>
      <c r="BO130" t="s">
        <v>694</v>
      </c>
      <c r="BP130" t="s">
        <v>701</v>
      </c>
      <c r="BQ130" t="s">
        <v>705</v>
      </c>
      <c r="BR130" t="s">
        <v>706</v>
      </c>
      <c r="BS130" t="s">
        <v>707</v>
      </c>
    </row>
    <row r="131" spans="1:71" hidden="1" x14ac:dyDescent="0.4">
      <c r="A131" s="2" t="s">
        <v>155</v>
      </c>
      <c r="B131" t="str">
        <f>_xlfn.TEXTAFTER(Table1[[#This Row],[VEHIDCODE]],"_")</f>
        <v>Germany_DB_18_201</v>
      </c>
      <c r="C131" t="s">
        <v>739</v>
      </c>
      <c r="D131" t="b">
        <f>OR(ISNUMBER(SEARCH("wagon_",Table1[[#This Row],[FILENAMES_EXPECTED]])),ISNUMBER(SEARCH("coach_",Table1[[#This Row],[FILENAMES_EXPECTED]])))</f>
        <v>0</v>
      </c>
      <c r="E131" t="str">
        <f>"item_"&amp;Table1[[#This Row],[VEHIDCODE]]</f>
        <v>item_steam_Germany_DB_18_201</v>
      </c>
      <c r="F131" t="str">
        <f>"str_"&amp;Table1[[#This Row],[VEHIDCODE]]</f>
        <v>str_steam_Germany_DB_18_201</v>
      </c>
      <c r="G131">
        <v>12</v>
      </c>
      <c r="H131" t="s">
        <v>18</v>
      </c>
      <c r="I131">
        <v>0</v>
      </c>
      <c r="J131" t="s">
        <v>23</v>
      </c>
      <c r="K131">
        <v>0</v>
      </c>
      <c r="L131">
        <v>1961</v>
      </c>
      <c r="M131">
        <v>8</v>
      </c>
      <c r="N131" s="2" t="s">
        <v>20</v>
      </c>
      <c r="O131" t="b">
        <v>1</v>
      </c>
      <c r="Q131" s="2"/>
      <c r="R131">
        <v>45</v>
      </c>
      <c r="S131">
        <v>1</v>
      </c>
      <c r="T131">
        <v>2120</v>
      </c>
      <c r="U131" t="s">
        <v>710</v>
      </c>
      <c r="V131">
        <v>180</v>
      </c>
      <c r="W131" s="2">
        <v>0.06</v>
      </c>
      <c r="AF131" s="2" t="b">
        <v>1</v>
      </c>
      <c r="AX131"/>
      <c r="BA131" s="2"/>
      <c r="BB131" s="2" t="b">
        <f>LEN(_xlfn.CONCAT(Table1[[#This Row],[TRACK_TYPE_STANDARD_GAUGE_RAILTYPE_OHLE]:[TRACK_TYPE_MTRO]]))&gt;0</f>
        <v>1</v>
      </c>
      <c r="BC131" s="7">
        <v>40</v>
      </c>
      <c r="BD131" t="s">
        <v>923</v>
      </c>
      <c r="BE131" t="s">
        <v>922</v>
      </c>
      <c r="BF131" t="s">
        <v>940</v>
      </c>
      <c r="BG1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1">
        <v>0</v>
      </c>
      <c r="BI131" t="s">
        <v>734</v>
      </c>
      <c r="BK131" s="11"/>
      <c r="BL131" s="11">
        <v>172</v>
      </c>
      <c r="BM131">
        <v>0</v>
      </c>
      <c r="BN131" t="s">
        <v>692</v>
      </c>
      <c r="BO131" t="s">
        <v>694</v>
      </c>
      <c r="BP131" t="s">
        <v>701</v>
      </c>
      <c r="BQ131" t="s">
        <v>705</v>
      </c>
      <c r="BR131" t="s">
        <v>706</v>
      </c>
      <c r="BS131" t="s">
        <v>707</v>
      </c>
    </row>
    <row r="132" spans="1:71" hidden="1" x14ac:dyDescent="0.4">
      <c r="A132" s="2" t="s">
        <v>156</v>
      </c>
      <c r="B132" t="str">
        <f>_xlfn.TEXTAFTER(Table1[[#This Row],[VEHIDCODE]],"_")</f>
        <v>New_Zealand_NZR_WAB</v>
      </c>
      <c r="C132" t="s">
        <v>739</v>
      </c>
      <c r="D132" t="b">
        <f>OR(ISNUMBER(SEARCH("wagon_",Table1[[#This Row],[FILENAMES_EXPECTED]])),ISNUMBER(SEARCH("coach_",Table1[[#This Row],[FILENAMES_EXPECTED]])))</f>
        <v>0</v>
      </c>
      <c r="E132" t="str">
        <f>"item_"&amp;Table1[[#This Row],[VEHIDCODE]]</f>
        <v>item_steam_New_Zealand_NZR_WAB</v>
      </c>
      <c r="F132" t="str">
        <f>"str_"&amp;Table1[[#This Row],[VEHIDCODE]]</f>
        <v>str_steam_New_Zealand_NZR_WAB</v>
      </c>
      <c r="G132">
        <v>6</v>
      </c>
      <c r="H132" t="s">
        <v>20</v>
      </c>
      <c r="I132">
        <v>0</v>
      </c>
      <c r="J132" t="s">
        <v>23</v>
      </c>
      <c r="K132">
        <v>0</v>
      </c>
      <c r="L132">
        <v>1923</v>
      </c>
      <c r="M132">
        <v>6</v>
      </c>
      <c r="N132" s="2" t="s">
        <v>24</v>
      </c>
      <c r="O132" t="b">
        <v>1</v>
      </c>
      <c r="Q132" s="2"/>
      <c r="R132">
        <v>45</v>
      </c>
      <c r="S132">
        <v>1</v>
      </c>
      <c r="T132">
        <v>1000</v>
      </c>
      <c r="U132" t="s">
        <v>710</v>
      </c>
      <c r="V132">
        <v>97</v>
      </c>
      <c r="W132" s="2">
        <v>0.14000000000000001</v>
      </c>
      <c r="AF132" s="2" t="b">
        <v>1</v>
      </c>
      <c r="AX132"/>
      <c r="BA132" s="2"/>
      <c r="BB132" s="2" t="b">
        <f>LEN(_xlfn.CONCAT(Table1[[#This Row],[TRACK_TYPE_STANDARD_GAUGE_RAILTYPE_OHLE]:[TRACK_TYPE_MTRO]]))&gt;0</f>
        <v>1</v>
      </c>
      <c r="BC132" s="7">
        <v>40</v>
      </c>
      <c r="BD132" t="s">
        <v>925</v>
      </c>
      <c r="BE132" t="s">
        <v>922</v>
      </c>
      <c r="BF132" t="s">
        <v>940</v>
      </c>
      <c r="BG1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2">
        <v>0</v>
      </c>
      <c r="BI132" t="s">
        <v>734</v>
      </c>
      <c r="BK132" s="11"/>
      <c r="BL132" s="11">
        <v>73</v>
      </c>
      <c r="BM132">
        <v>0</v>
      </c>
      <c r="BN132" t="s">
        <v>692</v>
      </c>
      <c r="BO132" t="s">
        <v>694</v>
      </c>
      <c r="BP132" t="s">
        <v>701</v>
      </c>
      <c r="BQ132" t="s">
        <v>705</v>
      </c>
      <c r="BR132" t="s">
        <v>706</v>
      </c>
      <c r="BS132" t="s">
        <v>707</v>
      </c>
    </row>
    <row r="133" spans="1:71" hidden="1" x14ac:dyDescent="0.4">
      <c r="A133" s="2" t="s">
        <v>157</v>
      </c>
      <c r="B133" t="str">
        <f>_xlfn.TEXTAFTER(Table1[[#This Row],[VEHIDCODE]],"_")</f>
        <v>Australia_NSWGR_D57</v>
      </c>
      <c r="C133" t="s">
        <v>739</v>
      </c>
      <c r="D133" t="b">
        <f>OR(ISNUMBER(SEARCH("wagon_",Table1[[#This Row],[FILENAMES_EXPECTED]])),ISNUMBER(SEARCH("coach_",Table1[[#This Row],[FILENAMES_EXPECTED]])))</f>
        <v>0</v>
      </c>
      <c r="E133" t="str">
        <f>"item_"&amp;Table1[[#This Row],[VEHIDCODE]]</f>
        <v>item_steam_Australia_NSWGR_D57</v>
      </c>
      <c r="F133" t="str">
        <f>"str_"&amp;Table1[[#This Row],[VEHIDCODE]]</f>
        <v>str_steam_Australia_NSWGR_D57</v>
      </c>
      <c r="G133">
        <v>10</v>
      </c>
      <c r="H133" t="s">
        <v>20</v>
      </c>
      <c r="I133">
        <v>0</v>
      </c>
      <c r="J133" t="s">
        <v>23</v>
      </c>
      <c r="K133">
        <v>0</v>
      </c>
      <c r="L133">
        <v>1929</v>
      </c>
      <c r="M133">
        <v>8</v>
      </c>
      <c r="N133" s="2" t="s">
        <v>24</v>
      </c>
      <c r="O133" t="b">
        <v>1</v>
      </c>
      <c r="Q133" s="2"/>
      <c r="R133">
        <v>45</v>
      </c>
      <c r="S133">
        <v>1</v>
      </c>
      <c r="T133">
        <v>1950</v>
      </c>
      <c r="U133" t="s">
        <v>710</v>
      </c>
      <c r="V133">
        <v>80</v>
      </c>
      <c r="W133" s="2">
        <v>0.12</v>
      </c>
      <c r="AF133" s="2" t="b">
        <v>1</v>
      </c>
      <c r="AX133"/>
      <c r="BA133" s="2"/>
      <c r="BB133" s="2" t="b">
        <f>LEN(_xlfn.CONCAT(Table1[[#This Row],[TRACK_TYPE_STANDARD_GAUGE_RAILTYPE_OHLE]:[TRACK_TYPE_MTRO]]))&gt;0</f>
        <v>1</v>
      </c>
      <c r="BC133" s="7">
        <v>40</v>
      </c>
      <c r="BD133" t="s">
        <v>925</v>
      </c>
      <c r="BE133" t="s">
        <v>922</v>
      </c>
      <c r="BF133" t="s">
        <v>940</v>
      </c>
      <c r="BG1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3">
        <v>0</v>
      </c>
      <c r="BI133" t="s">
        <v>734</v>
      </c>
      <c r="BK133" s="11"/>
      <c r="BL133" s="11">
        <v>231</v>
      </c>
      <c r="BM133">
        <v>0</v>
      </c>
      <c r="BN133" t="s">
        <v>692</v>
      </c>
      <c r="BO133" t="s">
        <v>694</v>
      </c>
      <c r="BP133" t="s">
        <v>701</v>
      </c>
      <c r="BQ133" t="s">
        <v>705</v>
      </c>
      <c r="BR133" t="s">
        <v>706</v>
      </c>
      <c r="BS133" t="s">
        <v>707</v>
      </c>
    </row>
    <row r="134" spans="1:71" hidden="1" x14ac:dyDescent="0.4">
      <c r="A134" s="2" t="s">
        <v>158</v>
      </c>
      <c r="B134" t="str">
        <f>_xlfn.TEXTAFTER(Table1[[#This Row],[VEHIDCODE]],"_")</f>
        <v>Australia_South_Australian_Railways_520</v>
      </c>
      <c r="C134" t="s">
        <v>739</v>
      </c>
      <c r="D134" t="b">
        <f>OR(ISNUMBER(SEARCH("wagon_",Table1[[#This Row],[FILENAMES_EXPECTED]])),ISNUMBER(SEARCH("coach_",Table1[[#This Row],[FILENAMES_EXPECTED]])))</f>
        <v>0</v>
      </c>
      <c r="E134" t="str">
        <f>"item_"&amp;Table1[[#This Row],[VEHIDCODE]]</f>
        <v>item_steam_Australia_South_Australian_Railways_520</v>
      </c>
      <c r="F134" t="str">
        <f>"str_"&amp;Table1[[#This Row],[VEHIDCODE]]</f>
        <v>str_steam_Australia_South_Australian_Railways_520</v>
      </c>
      <c r="G134">
        <v>10</v>
      </c>
      <c r="H134" t="s">
        <v>20</v>
      </c>
      <c r="I134">
        <v>0</v>
      </c>
      <c r="J134" t="s">
        <v>23</v>
      </c>
      <c r="K134">
        <v>0</v>
      </c>
      <c r="L134">
        <v>1943</v>
      </c>
      <c r="M134">
        <v>8</v>
      </c>
      <c r="N134" s="2" t="s">
        <v>24</v>
      </c>
      <c r="O134" t="b">
        <v>1</v>
      </c>
      <c r="Q134" s="2"/>
      <c r="R134">
        <v>45</v>
      </c>
      <c r="S134">
        <v>1</v>
      </c>
      <c r="T134">
        <v>2600</v>
      </c>
      <c r="U134" t="s">
        <v>710</v>
      </c>
      <c r="V134">
        <v>126</v>
      </c>
      <c r="W134" s="2">
        <v>7.0000000000000007E-2</v>
      </c>
      <c r="AF134" s="2" t="b">
        <v>1</v>
      </c>
      <c r="AX134"/>
      <c r="BA134" s="2"/>
      <c r="BB134" s="2" t="b">
        <f>LEN(_xlfn.CONCAT(Table1[[#This Row],[TRACK_TYPE_STANDARD_GAUGE_RAILTYPE_OHLE]:[TRACK_TYPE_MTRO]]))&gt;0</f>
        <v>1</v>
      </c>
      <c r="BC134" s="7">
        <v>40</v>
      </c>
      <c r="BD134" t="s">
        <v>925</v>
      </c>
      <c r="BE134" t="s">
        <v>922</v>
      </c>
      <c r="BF134" t="s">
        <v>940</v>
      </c>
      <c r="BG1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4">
        <v>0</v>
      </c>
      <c r="BI134" t="s">
        <v>734</v>
      </c>
      <c r="BK134" s="11"/>
      <c r="BL134" s="11">
        <v>204</v>
      </c>
      <c r="BM134">
        <v>0</v>
      </c>
      <c r="BN134" t="s">
        <v>692</v>
      </c>
      <c r="BO134" t="s">
        <v>694</v>
      </c>
      <c r="BP134" t="s">
        <v>701</v>
      </c>
      <c r="BQ134" t="s">
        <v>705</v>
      </c>
      <c r="BR134" t="s">
        <v>706</v>
      </c>
      <c r="BS134" t="s">
        <v>707</v>
      </c>
    </row>
    <row r="135" spans="1:71" hidden="1" x14ac:dyDescent="0.4">
      <c r="A135" s="2" t="s">
        <v>159</v>
      </c>
      <c r="B135" t="str">
        <f>_xlfn.TEXTAFTER(Table1[[#This Row],[VEHIDCODE]],"_")</f>
        <v>Australia_NSWGR_AD60</v>
      </c>
      <c r="C135" t="s">
        <v>739</v>
      </c>
      <c r="D135" t="b">
        <f>OR(ISNUMBER(SEARCH("wagon_",Table1[[#This Row],[FILENAMES_EXPECTED]])),ISNUMBER(SEARCH("coach_",Table1[[#This Row],[FILENAMES_EXPECTED]])))</f>
        <v>0</v>
      </c>
      <c r="E135" t="str">
        <f>"item_"&amp;Table1[[#This Row],[VEHIDCODE]]</f>
        <v>item_steam_Australia_NSWGR_AD60</v>
      </c>
      <c r="F135" t="str">
        <f>"str_"&amp;Table1[[#This Row],[VEHIDCODE]]</f>
        <v>str_steam_Australia_NSWGR_AD60</v>
      </c>
      <c r="G135">
        <v>12</v>
      </c>
      <c r="H135" t="s">
        <v>20</v>
      </c>
      <c r="I135">
        <v>0</v>
      </c>
      <c r="J135" t="s">
        <v>23</v>
      </c>
      <c r="K135">
        <v>0</v>
      </c>
      <c r="L135">
        <v>1952</v>
      </c>
      <c r="M135">
        <v>4</v>
      </c>
      <c r="N135" s="2" t="s">
        <v>24</v>
      </c>
      <c r="O135" t="b">
        <v>1</v>
      </c>
      <c r="Q135" s="2"/>
      <c r="R135">
        <v>45</v>
      </c>
      <c r="S135">
        <v>1</v>
      </c>
      <c r="T135">
        <v>2980</v>
      </c>
      <c r="U135" t="s">
        <v>710</v>
      </c>
      <c r="V135">
        <v>95</v>
      </c>
      <c r="W135" s="2">
        <v>0.11</v>
      </c>
      <c r="AF135" s="2" t="b">
        <v>1</v>
      </c>
      <c r="AX135"/>
      <c r="BA135" s="2"/>
      <c r="BB135" s="2" t="b">
        <f>LEN(_xlfn.CONCAT(Table1[[#This Row],[TRACK_TYPE_STANDARD_GAUGE_RAILTYPE_OHLE]:[TRACK_TYPE_MTRO]]))&gt;0</f>
        <v>1</v>
      </c>
      <c r="BC135" s="7">
        <v>40</v>
      </c>
      <c r="BD135" t="s">
        <v>925</v>
      </c>
      <c r="BE135" t="s">
        <v>922</v>
      </c>
      <c r="BF135" t="s">
        <v>940</v>
      </c>
      <c r="BG1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5">
        <v>0</v>
      </c>
      <c r="BI135" t="s">
        <v>734</v>
      </c>
      <c r="BK135" s="11"/>
      <c r="BL135" s="11">
        <v>255</v>
      </c>
      <c r="BM135">
        <v>0</v>
      </c>
      <c r="BN135" t="s">
        <v>692</v>
      </c>
      <c r="BO135" t="s">
        <v>694</v>
      </c>
      <c r="BP135" t="s">
        <v>701</v>
      </c>
      <c r="BQ135" t="s">
        <v>705</v>
      </c>
      <c r="BR135" t="s">
        <v>706</v>
      </c>
      <c r="BS135" t="s">
        <v>707</v>
      </c>
    </row>
    <row r="136" spans="1:71" hidden="1" x14ac:dyDescent="0.4">
      <c r="A136" s="2" t="s">
        <v>160</v>
      </c>
      <c r="B136" t="str">
        <f>_xlfn.TEXTAFTER(Table1[[#This Row],[VEHIDCODE]],"_")</f>
        <v>Uruguay_AFE_N1_2_6_0</v>
      </c>
      <c r="C136" t="s">
        <v>739</v>
      </c>
      <c r="D136" t="b">
        <f>OR(ISNUMBER(SEARCH("wagon_",Table1[[#This Row],[FILENAMES_EXPECTED]])),ISNUMBER(SEARCH("coach_",Table1[[#This Row],[FILENAMES_EXPECTED]])))</f>
        <v>0</v>
      </c>
      <c r="E136" t="str">
        <f>"item_"&amp;Table1[[#This Row],[VEHIDCODE]]</f>
        <v>item_steam_Uruguay_AFE_N1_2_6_0</v>
      </c>
      <c r="F136" t="str">
        <f>"str_"&amp;Table1[[#This Row],[VEHIDCODE]]</f>
        <v>str_steam_Uruguay_AFE_N1_2_6_0</v>
      </c>
      <c r="G136">
        <v>6</v>
      </c>
      <c r="H136" t="s">
        <v>20</v>
      </c>
      <c r="I136">
        <v>0</v>
      </c>
      <c r="J136" t="s">
        <v>23</v>
      </c>
      <c r="K136">
        <v>0</v>
      </c>
      <c r="L136">
        <v>1910</v>
      </c>
      <c r="M136">
        <v>5</v>
      </c>
      <c r="N136" s="2" t="s">
        <v>24</v>
      </c>
      <c r="O136" t="b">
        <v>1</v>
      </c>
      <c r="Q136" s="2"/>
      <c r="R136">
        <v>45</v>
      </c>
      <c r="S136">
        <v>1</v>
      </c>
      <c r="T136">
        <v>700</v>
      </c>
      <c r="U136" t="s">
        <v>710</v>
      </c>
      <c r="V136">
        <v>80</v>
      </c>
      <c r="W136" s="2">
        <v>0.1</v>
      </c>
      <c r="AF136" s="2" t="b">
        <v>1</v>
      </c>
      <c r="AX136"/>
      <c r="BA136" s="2"/>
      <c r="BB136" s="2" t="b">
        <f>LEN(_xlfn.CONCAT(Table1[[#This Row],[TRACK_TYPE_STANDARD_GAUGE_RAILTYPE_OHLE]:[TRACK_TYPE_MTRO]]))&gt;0</f>
        <v>1</v>
      </c>
      <c r="BC136" s="7">
        <v>40</v>
      </c>
      <c r="BD136" t="s">
        <v>930</v>
      </c>
      <c r="BE136" t="s">
        <v>922</v>
      </c>
      <c r="BF136" t="s">
        <v>940</v>
      </c>
      <c r="BG1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6">
        <v>0</v>
      </c>
      <c r="BI136" t="s">
        <v>734</v>
      </c>
      <c r="BK136" s="11"/>
      <c r="BL136" s="11">
        <v>84</v>
      </c>
      <c r="BM136">
        <v>0</v>
      </c>
      <c r="BN136" t="s">
        <v>692</v>
      </c>
      <c r="BO136" t="s">
        <v>694</v>
      </c>
      <c r="BP136" t="s">
        <v>701</v>
      </c>
      <c r="BQ136" t="s">
        <v>705</v>
      </c>
      <c r="BR136" t="s">
        <v>706</v>
      </c>
      <c r="BS136" t="s">
        <v>707</v>
      </c>
    </row>
    <row r="137" spans="1:71" hidden="1" x14ac:dyDescent="0.4">
      <c r="A137" s="2" t="s">
        <v>161</v>
      </c>
      <c r="B137" t="str">
        <f>_xlfn.TEXTAFTER(Table1[[#This Row],[VEHIDCODE]],"_")</f>
        <v>Argentina_FCCA_PS11</v>
      </c>
      <c r="C137" t="s">
        <v>739</v>
      </c>
      <c r="D137" t="b">
        <f>OR(ISNUMBER(SEARCH("wagon_",Table1[[#This Row],[FILENAMES_EXPECTED]])),ISNUMBER(SEARCH("coach_",Table1[[#This Row],[FILENAMES_EXPECTED]])))</f>
        <v>0</v>
      </c>
      <c r="E137" t="str">
        <f>"item_"&amp;Table1[[#This Row],[VEHIDCODE]]</f>
        <v>item_steam_Argentina_FCCA_PS11</v>
      </c>
      <c r="F137" t="str">
        <f>"str_"&amp;Table1[[#This Row],[VEHIDCODE]]</f>
        <v>str_steam_Argentina_FCCA_PS11</v>
      </c>
      <c r="G137">
        <v>10</v>
      </c>
      <c r="H137" t="s">
        <v>20</v>
      </c>
      <c r="I137">
        <v>0</v>
      </c>
      <c r="J137" t="s">
        <v>23</v>
      </c>
      <c r="K137">
        <v>0</v>
      </c>
      <c r="L137">
        <v>1930</v>
      </c>
      <c r="M137">
        <v>8</v>
      </c>
      <c r="N137" s="2" t="s">
        <v>24</v>
      </c>
      <c r="O137" t="b">
        <v>1</v>
      </c>
      <c r="Q137" s="2"/>
      <c r="R137">
        <v>45</v>
      </c>
      <c r="S137">
        <v>1</v>
      </c>
      <c r="T137">
        <v>1500</v>
      </c>
      <c r="U137" t="s">
        <v>710</v>
      </c>
      <c r="V137">
        <v>160</v>
      </c>
      <c r="W137" s="2">
        <v>0.08</v>
      </c>
      <c r="AF137" s="2" t="b">
        <v>1</v>
      </c>
      <c r="AX137"/>
      <c r="BA137" s="2"/>
      <c r="BB137" s="2" t="b">
        <f>LEN(_xlfn.CONCAT(Table1[[#This Row],[TRACK_TYPE_STANDARD_GAUGE_RAILTYPE_OHLE]:[TRACK_TYPE_MTRO]]))&gt;0</f>
        <v>1</v>
      </c>
      <c r="BC137" s="7">
        <v>40</v>
      </c>
      <c r="BD137" t="s">
        <v>930</v>
      </c>
      <c r="BE137" t="s">
        <v>922</v>
      </c>
      <c r="BF137" t="s">
        <v>940</v>
      </c>
      <c r="BG1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7">
        <v>0</v>
      </c>
      <c r="BI137" t="s">
        <v>734</v>
      </c>
      <c r="BK137" s="11"/>
      <c r="BL137" s="11">
        <v>203</v>
      </c>
      <c r="BM137">
        <v>0</v>
      </c>
      <c r="BN137" t="s">
        <v>692</v>
      </c>
      <c r="BO137" t="s">
        <v>694</v>
      </c>
      <c r="BP137" t="s">
        <v>701</v>
      </c>
      <c r="BQ137" t="s">
        <v>705</v>
      </c>
      <c r="BR137" t="s">
        <v>706</v>
      </c>
      <c r="BS137" t="s">
        <v>707</v>
      </c>
    </row>
    <row r="138" spans="1:71" hidden="1" x14ac:dyDescent="0.4">
      <c r="A138" s="2" t="s">
        <v>162</v>
      </c>
      <c r="B138" t="str">
        <f>_xlfn.TEXTAFTER(Table1[[#This Row],[VEHIDCODE]],"_")</f>
        <v>South_Africa_Harbour_Board_EL_0_4_0</v>
      </c>
      <c r="C138" t="s">
        <v>739</v>
      </c>
      <c r="D138" t="b">
        <f>OR(ISNUMBER(SEARCH("wagon_",Table1[[#This Row],[FILENAMES_EXPECTED]])),ISNUMBER(SEARCH("coach_",Table1[[#This Row],[FILENAMES_EXPECTED]])))</f>
        <v>0</v>
      </c>
      <c r="E138" t="str">
        <f>"item_"&amp;Table1[[#This Row],[VEHIDCODE]]</f>
        <v>item_steam_South_Africa_Harbour_Board_EL_0_4_0</v>
      </c>
      <c r="F138" t="str">
        <f>"str_"&amp;Table1[[#This Row],[VEHIDCODE]]</f>
        <v>str_steam_South_Africa_Harbour_Board_EL_0_4_0</v>
      </c>
      <c r="G138">
        <v>3</v>
      </c>
      <c r="H138" t="s">
        <v>20</v>
      </c>
      <c r="I138">
        <v>0</v>
      </c>
      <c r="J138" t="s">
        <v>23</v>
      </c>
      <c r="K138">
        <v>0</v>
      </c>
      <c r="L138">
        <v>1873</v>
      </c>
      <c r="M138">
        <v>3</v>
      </c>
      <c r="N138" s="2" t="s">
        <v>24</v>
      </c>
      <c r="O138" t="b">
        <v>1</v>
      </c>
      <c r="Q138" s="2"/>
      <c r="R138">
        <v>45</v>
      </c>
      <c r="S138">
        <v>1</v>
      </c>
      <c r="T138">
        <v>15</v>
      </c>
      <c r="U138" t="s">
        <v>710</v>
      </c>
      <c r="V138">
        <v>16</v>
      </c>
      <c r="W138" s="2">
        <v>0.06</v>
      </c>
      <c r="AF138" s="2" t="b">
        <v>1</v>
      </c>
      <c r="AX138"/>
      <c r="BA138" s="2"/>
      <c r="BB138" s="2" t="b">
        <f>LEN(_xlfn.CONCAT(Table1[[#This Row],[TRACK_TYPE_STANDARD_GAUGE_RAILTYPE_OHLE]:[TRACK_TYPE_MTRO]]))&gt;0</f>
        <v>1</v>
      </c>
      <c r="BC138" s="7">
        <v>40</v>
      </c>
      <c r="BD138" t="s">
        <v>926</v>
      </c>
      <c r="BE138" t="s">
        <v>922</v>
      </c>
      <c r="BF138" t="s">
        <v>940</v>
      </c>
      <c r="BG1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8">
        <v>0</v>
      </c>
      <c r="BI138" t="s">
        <v>734</v>
      </c>
      <c r="BK138" s="11"/>
      <c r="BL138" s="11">
        <v>7</v>
      </c>
      <c r="BM138">
        <v>0</v>
      </c>
      <c r="BN138" t="s">
        <v>692</v>
      </c>
      <c r="BO138" t="s">
        <v>694</v>
      </c>
      <c r="BP138" t="s">
        <v>701</v>
      </c>
      <c r="BQ138" t="s">
        <v>705</v>
      </c>
      <c r="BR138" t="s">
        <v>706</v>
      </c>
      <c r="BS138" t="s">
        <v>707</v>
      </c>
    </row>
    <row r="139" spans="1:71" hidden="1" x14ac:dyDescent="0.4">
      <c r="A139" s="2" t="s">
        <v>163</v>
      </c>
      <c r="B139" t="str">
        <f>_xlfn.TEXTAFTER(Table1[[#This Row],[VEHIDCODE]],"_")</f>
        <v>Mozambique_Beira_Railway_BR6_F2_Falcon</v>
      </c>
      <c r="C139" t="s">
        <v>739</v>
      </c>
      <c r="D139" t="b">
        <f>OR(ISNUMBER(SEARCH("wagon_",Table1[[#This Row],[FILENAMES_EXPECTED]])),ISNUMBER(SEARCH("coach_",Table1[[#This Row],[FILENAMES_EXPECTED]])))</f>
        <v>0</v>
      </c>
      <c r="E139" t="str">
        <f>"item_"&amp;Table1[[#This Row],[VEHIDCODE]]</f>
        <v>item_steam_Mozambique_Beira_Railway_BR6_F2_Falcon</v>
      </c>
      <c r="F139" t="str">
        <f>"str_"&amp;Table1[[#This Row],[VEHIDCODE]]</f>
        <v>str_steam_Mozambique_Beira_Railway_BR6_F2_Falcon</v>
      </c>
      <c r="G139">
        <v>6</v>
      </c>
      <c r="H139" t="s">
        <v>20</v>
      </c>
      <c r="I139">
        <v>0</v>
      </c>
      <c r="J139" t="s">
        <v>23</v>
      </c>
      <c r="K139">
        <v>0</v>
      </c>
      <c r="L139">
        <v>1895</v>
      </c>
      <c r="M139">
        <v>4</v>
      </c>
      <c r="N139" s="2" t="s">
        <v>24</v>
      </c>
      <c r="O139" t="b">
        <v>1</v>
      </c>
      <c r="Q139" s="2"/>
      <c r="R139">
        <v>45</v>
      </c>
      <c r="S139">
        <v>1</v>
      </c>
      <c r="T139">
        <v>140</v>
      </c>
      <c r="U139" t="s">
        <v>710</v>
      </c>
      <c r="V139">
        <v>40</v>
      </c>
      <c r="W139" s="2">
        <v>0.08</v>
      </c>
      <c r="AF139" s="2" t="b">
        <v>1</v>
      </c>
      <c r="AX139"/>
      <c r="BA139" s="2"/>
      <c r="BB139" s="2" t="b">
        <f>LEN(_xlfn.CONCAT(Table1[[#This Row],[TRACK_TYPE_STANDARD_GAUGE_RAILTYPE_OHLE]:[TRACK_TYPE_MTRO]]))&gt;0</f>
        <v>1</v>
      </c>
      <c r="BC139" s="7">
        <v>40</v>
      </c>
      <c r="BD139" t="s">
        <v>926</v>
      </c>
      <c r="BE139" t="s">
        <v>922</v>
      </c>
      <c r="BF139" t="s">
        <v>940</v>
      </c>
      <c r="BG1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9">
        <v>0</v>
      </c>
      <c r="BI139" t="s">
        <v>734</v>
      </c>
      <c r="BK139" s="11"/>
      <c r="BL139" s="11">
        <v>18</v>
      </c>
      <c r="BM139">
        <v>0</v>
      </c>
      <c r="BN139" t="s">
        <v>692</v>
      </c>
      <c r="BO139" t="s">
        <v>694</v>
      </c>
      <c r="BP139" t="s">
        <v>701</v>
      </c>
      <c r="BQ139" t="s">
        <v>705</v>
      </c>
      <c r="BR139" t="s">
        <v>706</v>
      </c>
      <c r="BS139" t="s">
        <v>707</v>
      </c>
    </row>
    <row r="140" spans="1:71" hidden="1" x14ac:dyDescent="0.4">
      <c r="A140" s="2" t="s">
        <v>164</v>
      </c>
      <c r="B140" t="str">
        <f>_xlfn.TEXTAFTER(Table1[[#This Row],[VEHIDCODE]],"_")</f>
        <v>Eritrea_Eritrean_Railway_R440</v>
      </c>
      <c r="C140" t="s">
        <v>739</v>
      </c>
      <c r="D140" t="b">
        <f>OR(ISNUMBER(SEARCH("wagon_",Table1[[#This Row],[FILENAMES_EXPECTED]])),ISNUMBER(SEARCH("coach_",Table1[[#This Row],[FILENAMES_EXPECTED]])))</f>
        <v>0</v>
      </c>
      <c r="E140" t="str">
        <f>"item_"&amp;Table1[[#This Row],[VEHIDCODE]]</f>
        <v>item_steam_Eritrea_Eritrean_Railway_R440</v>
      </c>
      <c r="F140" t="str">
        <f>"str_"&amp;Table1[[#This Row],[VEHIDCODE]]</f>
        <v>str_steam_Eritrea_Eritrean_Railway_R440</v>
      </c>
      <c r="G140">
        <v>5</v>
      </c>
      <c r="H140" t="s">
        <v>20</v>
      </c>
      <c r="I140">
        <v>0</v>
      </c>
      <c r="J140" t="s">
        <v>23</v>
      </c>
      <c r="K140">
        <v>0</v>
      </c>
      <c r="L140">
        <v>1911</v>
      </c>
      <c r="M140">
        <v>5</v>
      </c>
      <c r="N140" s="2" t="s">
        <v>24</v>
      </c>
      <c r="O140" t="b">
        <v>1</v>
      </c>
      <c r="Q140" s="2"/>
      <c r="R140">
        <v>45</v>
      </c>
      <c r="S140">
        <v>1</v>
      </c>
      <c r="T140">
        <v>250</v>
      </c>
      <c r="U140" t="s">
        <v>710</v>
      </c>
      <c r="V140">
        <v>40</v>
      </c>
      <c r="W140" s="2">
        <v>0.14000000000000001</v>
      </c>
      <c r="AF140" s="2" t="b">
        <v>1</v>
      </c>
      <c r="AX140"/>
      <c r="BA140" s="2"/>
      <c r="BB140" s="2" t="b">
        <f>LEN(_xlfn.CONCAT(Table1[[#This Row],[TRACK_TYPE_STANDARD_GAUGE_RAILTYPE_OHLE]:[TRACK_TYPE_MTRO]]))&gt;0</f>
        <v>1</v>
      </c>
      <c r="BC140" s="7">
        <v>40</v>
      </c>
      <c r="BD140" t="s">
        <v>926</v>
      </c>
      <c r="BE140" t="s">
        <v>922</v>
      </c>
      <c r="BF140" t="s">
        <v>940</v>
      </c>
      <c r="BG1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0">
        <v>0</v>
      </c>
      <c r="BI140" t="s">
        <v>734</v>
      </c>
      <c r="BK140" s="11"/>
      <c r="BL140" s="11">
        <v>35</v>
      </c>
      <c r="BM140">
        <v>0</v>
      </c>
      <c r="BN140" t="s">
        <v>692</v>
      </c>
      <c r="BO140" t="s">
        <v>694</v>
      </c>
      <c r="BP140" t="s">
        <v>701</v>
      </c>
      <c r="BQ140" t="s">
        <v>705</v>
      </c>
      <c r="BR140" t="s">
        <v>706</v>
      </c>
      <c r="BS140" t="s">
        <v>707</v>
      </c>
    </row>
    <row r="141" spans="1:71" hidden="1" x14ac:dyDescent="0.4">
      <c r="A141" s="2" t="s">
        <v>165</v>
      </c>
      <c r="B141" t="str">
        <f>_xlfn.TEXTAFTER(Table1[[#This Row],[VEHIDCODE]],"_")</f>
        <v>Kenya_East_African_Railway_23</v>
      </c>
      <c r="C141" t="s">
        <v>739</v>
      </c>
      <c r="D141" t="b">
        <f>OR(ISNUMBER(SEARCH("wagon_",Table1[[#This Row],[FILENAMES_EXPECTED]])),ISNUMBER(SEARCH("coach_",Table1[[#This Row],[FILENAMES_EXPECTED]])))</f>
        <v>0</v>
      </c>
      <c r="E141" t="str">
        <f>"item_"&amp;Table1[[#This Row],[VEHIDCODE]]</f>
        <v>item_steam_Kenya_East_African_Railway_23</v>
      </c>
      <c r="F141" t="str">
        <f>"str_"&amp;Table1[[#This Row],[VEHIDCODE]]</f>
        <v>str_steam_Kenya_East_African_Railway_23</v>
      </c>
      <c r="G141">
        <v>6</v>
      </c>
      <c r="H141" t="s">
        <v>20</v>
      </c>
      <c r="I141">
        <v>0</v>
      </c>
      <c r="J141" t="s">
        <v>23</v>
      </c>
      <c r="K141">
        <v>0</v>
      </c>
      <c r="L141">
        <v>1923</v>
      </c>
      <c r="M141">
        <v>5</v>
      </c>
      <c r="N141" s="2" t="s">
        <v>24</v>
      </c>
      <c r="O141" t="b">
        <v>1</v>
      </c>
      <c r="Q141" s="2"/>
      <c r="R141">
        <v>45</v>
      </c>
      <c r="S141">
        <v>1</v>
      </c>
      <c r="T141">
        <v>339</v>
      </c>
      <c r="U141" t="s">
        <v>710</v>
      </c>
      <c r="V141">
        <v>70</v>
      </c>
      <c r="W141" s="2">
        <v>0.14000000000000001</v>
      </c>
      <c r="AF141" s="2" t="b">
        <v>1</v>
      </c>
      <c r="AX141"/>
      <c r="BA141" s="2"/>
      <c r="BB141" s="2" t="b">
        <f>LEN(_xlfn.CONCAT(Table1[[#This Row],[TRACK_TYPE_STANDARD_GAUGE_RAILTYPE_OHLE]:[TRACK_TYPE_MTRO]]))&gt;0</f>
        <v>1</v>
      </c>
      <c r="BC141" s="7">
        <v>40</v>
      </c>
      <c r="BD141" t="s">
        <v>926</v>
      </c>
      <c r="BE141" t="s">
        <v>922</v>
      </c>
      <c r="BF141" t="s">
        <v>940</v>
      </c>
      <c r="BG1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1">
        <v>0</v>
      </c>
      <c r="BI141" t="s">
        <v>734</v>
      </c>
      <c r="BK141" s="11"/>
      <c r="BL141" s="11">
        <v>79</v>
      </c>
      <c r="BM141">
        <v>0</v>
      </c>
      <c r="BN141" t="s">
        <v>692</v>
      </c>
      <c r="BO141" t="s">
        <v>694</v>
      </c>
      <c r="BP141" t="s">
        <v>701</v>
      </c>
      <c r="BQ141" t="s">
        <v>705</v>
      </c>
      <c r="BR141" t="s">
        <v>706</v>
      </c>
      <c r="BS141" t="s">
        <v>707</v>
      </c>
    </row>
    <row r="142" spans="1:71" hidden="1" x14ac:dyDescent="0.4">
      <c r="A142" s="2" t="s">
        <v>166</v>
      </c>
      <c r="B142" t="str">
        <f>_xlfn.TEXTAFTER(Table1[[#This Row],[VEHIDCODE]],"_")</f>
        <v>Kenya_East_African_Railway_21</v>
      </c>
      <c r="C142" t="s">
        <v>739</v>
      </c>
      <c r="D142" t="b">
        <f>OR(ISNUMBER(SEARCH("wagon_",Table1[[#This Row],[FILENAMES_EXPECTED]])),ISNUMBER(SEARCH("coach_",Table1[[#This Row],[FILENAMES_EXPECTED]])))</f>
        <v>0</v>
      </c>
      <c r="E142" t="str">
        <f>"item_"&amp;Table1[[#This Row],[VEHIDCODE]]</f>
        <v>item_steam_Kenya_East_African_Railway_21</v>
      </c>
      <c r="F142" t="str">
        <f>"str_"&amp;Table1[[#This Row],[VEHIDCODE]]</f>
        <v>str_steam_Kenya_East_African_Railway_21</v>
      </c>
      <c r="G142">
        <v>6</v>
      </c>
      <c r="H142" t="s">
        <v>20</v>
      </c>
      <c r="I142">
        <v>0</v>
      </c>
      <c r="J142" t="s">
        <v>23</v>
      </c>
      <c r="K142">
        <v>0</v>
      </c>
      <c r="L142">
        <v>1928</v>
      </c>
      <c r="M142">
        <v>6</v>
      </c>
      <c r="N142" s="2" t="s">
        <v>24</v>
      </c>
      <c r="O142" t="b">
        <v>1</v>
      </c>
      <c r="Q142" s="2"/>
      <c r="R142">
        <v>45</v>
      </c>
      <c r="S142">
        <v>1</v>
      </c>
      <c r="T142">
        <v>565</v>
      </c>
      <c r="U142" t="s">
        <v>710</v>
      </c>
      <c r="V142">
        <v>75</v>
      </c>
      <c r="W142" s="2">
        <v>0.13</v>
      </c>
      <c r="AF142" s="2" t="b">
        <v>1</v>
      </c>
      <c r="AX142"/>
      <c r="BA142" s="2"/>
      <c r="BB142" s="2" t="b">
        <f>LEN(_xlfn.CONCAT(Table1[[#This Row],[TRACK_TYPE_STANDARD_GAUGE_RAILTYPE_OHLE]:[TRACK_TYPE_MTRO]]))&gt;0</f>
        <v>1</v>
      </c>
      <c r="BC142" s="7">
        <v>40</v>
      </c>
      <c r="BD142" t="s">
        <v>926</v>
      </c>
      <c r="BE142" t="s">
        <v>922</v>
      </c>
      <c r="BF142" t="s">
        <v>940</v>
      </c>
      <c r="BG1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2">
        <v>0</v>
      </c>
      <c r="BI142" t="s">
        <v>734</v>
      </c>
      <c r="BK142" s="11"/>
      <c r="BL142" s="11">
        <v>85</v>
      </c>
      <c r="BM142">
        <v>0</v>
      </c>
      <c r="BN142" t="s">
        <v>692</v>
      </c>
      <c r="BO142" t="s">
        <v>694</v>
      </c>
      <c r="BP142" t="s">
        <v>701</v>
      </c>
      <c r="BQ142" t="s">
        <v>705</v>
      </c>
      <c r="BR142" t="s">
        <v>706</v>
      </c>
      <c r="BS142" t="s">
        <v>707</v>
      </c>
    </row>
    <row r="143" spans="1:71" hidden="1" x14ac:dyDescent="0.4">
      <c r="A143" s="2" t="s">
        <v>167</v>
      </c>
      <c r="B143" t="str">
        <f>_xlfn.TEXTAFTER(Table1[[#This Row],[VEHIDCODE]],"_")</f>
        <v>Zimbabwe_Zimbabwe_Railways_15</v>
      </c>
      <c r="C143" t="s">
        <v>739</v>
      </c>
      <c r="D143" t="b">
        <f>OR(ISNUMBER(SEARCH("wagon_",Table1[[#This Row],[FILENAMES_EXPECTED]])),ISNUMBER(SEARCH("coach_",Table1[[#This Row],[FILENAMES_EXPECTED]])))</f>
        <v>0</v>
      </c>
      <c r="E143" t="str">
        <f>"item_"&amp;Table1[[#This Row],[VEHIDCODE]]</f>
        <v>item_steam_Zimbabwe_Zimbabwe_Railways_15</v>
      </c>
      <c r="F143" t="str">
        <f>"str_"&amp;Table1[[#This Row],[VEHIDCODE]]</f>
        <v>str_steam_Zimbabwe_Zimbabwe_Railways_15</v>
      </c>
      <c r="G143">
        <v>12</v>
      </c>
      <c r="H143" t="s">
        <v>20</v>
      </c>
      <c r="I143">
        <v>0</v>
      </c>
      <c r="J143" t="s">
        <v>23</v>
      </c>
      <c r="K143">
        <v>0</v>
      </c>
      <c r="L143">
        <v>1940</v>
      </c>
      <c r="M143">
        <v>4</v>
      </c>
      <c r="N143" s="2" t="s">
        <v>24</v>
      </c>
      <c r="O143" t="b">
        <v>1</v>
      </c>
      <c r="Q143" s="2"/>
      <c r="R143">
        <v>45</v>
      </c>
      <c r="S143">
        <v>1</v>
      </c>
      <c r="T143">
        <v>1150</v>
      </c>
      <c r="U143" t="s">
        <v>710</v>
      </c>
      <c r="V143">
        <v>70</v>
      </c>
      <c r="W143" s="2">
        <v>0.1</v>
      </c>
      <c r="AF143" s="2" t="b">
        <v>1</v>
      </c>
      <c r="AX143"/>
      <c r="BA143" s="2"/>
      <c r="BB143" s="2" t="b">
        <f>LEN(_xlfn.CONCAT(Table1[[#This Row],[TRACK_TYPE_STANDARD_GAUGE_RAILTYPE_OHLE]:[TRACK_TYPE_MTRO]]))&gt;0</f>
        <v>1</v>
      </c>
      <c r="BC143" s="7">
        <v>40</v>
      </c>
      <c r="BD143" t="s">
        <v>926</v>
      </c>
      <c r="BE143" t="s">
        <v>922</v>
      </c>
      <c r="BF143" t="s">
        <v>940</v>
      </c>
      <c r="BG1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3">
        <v>0</v>
      </c>
      <c r="BI143" t="s">
        <v>734</v>
      </c>
      <c r="BK143" s="11"/>
      <c r="BL143" s="11">
        <v>183</v>
      </c>
      <c r="BM143">
        <v>0</v>
      </c>
      <c r="BN143" t="s">
        <v>692</v>
      </c>
      <c r="BO143" t="s">
        <v>694</v>
      </c>
      <c r="BP143" t="s">
        <v>701</v>
      </c>
      <c r="BQ143" t="s">
        <v>705</v>
      </c>
      <c r="BR143" t="s">
        <v>706</v>
      </c>
      <c r="BS143" t="s">
        <v>707</v>
      </c>
    </row>
    <row r="144" spans="1:71" hidden="1" x14ac:dyDescent="0.4">
      <c r="A144" s="2" t="s">
        <v>168</v>
      </c>
      <c r="B144" t="str">
        <f>_xlfn.TEXTAFTER(Table1[[#This Row],[VEHIDCODE]],"_")</f>
        <v>South_Africa_SAR_GMA_4_8_2_2_8_4</v>
      </c>
      <c r="C144" t="s">
        <v>739</v>
      </c>
      <c r="D144" t="b">
        <f>OR(ISNUMBER(SEARCH("wagon_",Table1[[#This Row],[FILENAMES_EXPECTED]])),ISNUMBER(SEARCH("coach_",Table1[[#This Row],[FILENAMES_EXPECTED]])))</f>
        <v>0</v>
      </c>
      <c r="E144" t="str">
        <f>"item_"&amp;Table1[[#This Row],[VEHIDCODE]]</f>
        <v>item_steam_South_Africa_SAR_GMA_4_8_2_2_8_4</v>
      </c>
      <c r="F144" t="str">
        <f>"str_"&amp;Table1[[#This Row],[VEHIDCODE]]</f>
        <v>str_steam_South_Africa_SAR_GMA_4_8_2_2_8_4</v>
      </c>
      <c r="G144">
        <v>12</v>
      </c>
      <c r="H144" t="s">
        <v>20</v>
      </c>
      <c r="I144">
        <v>0</v>
      </c>
      <c r="J144" t="s">
        <v>23</v>
      </c>
      <c r="K144">
        <v>0</v>
      </c>
      <c r="L144">
        <v>1953</v>
      </c>
      <c r="M144">
        <v>7</v>
      </c>
      <c r="N144" s="2" t="s">
        <v>24</v>
      </c>
      <c r="O144" t="b">
        <v>1</v>
      </c>
      <c r="Q144" s="2"/>
      <c r="R144">
        <v>45</v>
      </c>
      <c r="S144">
        <v>1</v>
      </c>
      <c r="T144">
        <v>3390</v>
      </c>
      <c r="U144" t="s">
        <v>710</v>
      </c>
      <c r="V144">
        <v>95</v>
      </c>
      <c r="W144" s="2">
        <v>0.13</v>
      </c>
      <c r="AF144" s="2" t="b">
        <v>1</v>
      </c>
      <c r="AX144"/>
      <c r="BA144" s="2"/>
      <c r="BB144" s="2" t="b">
        <f>LEN(_xlfn.CONCAT(Table1[[#This Row],[TRACK_TYPE_STANDARD_GAUGE_RAILTYPE_OHLE]:[TRACK_TYPE_MTRO]]))&gt;0</f>
        <v>1</v>
      </c>
      <c r="BC144" s="7">
        <v>40</v>
      </c>
      <c r="BD144" t="s">
        <v>926</v>
      </c>
      <c r="BE144" t="s">
        <v>922</v>
      </c>
      <c r="BF144" t="s">
        <v>940</v>
      </c>
      <c r="BG1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4">
        <v>0</v>
      </c>
      <c r="BI144" t="s">
        <v>734</v>
      </c>
      <c r="BK144" s="11"/>
      <c r="BL144" s="11">
        <v>212</v>
      </c>
      <c r="BM144">
        <v>0</v>
      </c>
      <c r="BN144" t="s">
        <v>692</v>
      </c>
      <c r="BO144" t="s">
        <v>694</v>
      </c>
      <c r="BP144" t="s">
        <v>701</v>
      </c>
      <c r="BQ144" t="s">
        <v>705</v>
      </c>
      <c r="BR144" t="s">
        <v>706</v>
      </c>
      <c r="BS144" t="s">
        <v>707</v>
      </c>
    </row>
    <row r="145" spans="1:71" hidden="1" x14ac:dyDescent="0.4">
      <c r="A145" s="2" t="s">
        <v>169</v>
      </c>
      <c r="B145" t="str">
        <f>_xlfn.TEXTAFTER(Table1[[#This Row],[VEHIDCODE]],"_")</f>
        <v>Kenya_East_African_Railway_31</v>
      </c>
      <c r="C145" t="s">
        <v>739</v>
      </c>
      <c r="D145" t="b">
        <f>OR(ISNUMBER(SEARCH("wagon_",Table1[[#This Row],[FILENAMES_EXPECTED]])),ISNUMBER(SEARCH("coach_",Table1[[#This Row],[FILENAMES_EXPECTED]])))</f>
        <v>0</v>
      </c>
      <c r="E145" t="str">
        <f>"item_"&amp;Table1[[#This Row],[VEHIDCODE]]</f>
        <v>item_steam_Kenya_East_African_Railway_31</v>
      </c>
      <c r="F145" t="str">
        <f>"str_"&amp;Table1[[#This Row],[VEHIDCODE]]</f>
        <v>str_steam_Kenya_East_African_Railway_31</v>
      </c>
      <c r="G145">
        <v>8</v>
      </c>
      <c r="H145" t="s">
        <v>20</v>
      </c>
      <c r="I145">
        <v>0</v>
      </c>
      <c r="J145" t="s">
        <v>23</v>
      </c>
      <c r="K145">
        <v>0</v>
      </c>
      <c r="L145">
        <v>1955</v>
      </c>
      <c r="M145">
        <v>7</v>
      </c>
      <c r="N145" s="2" t="s">
        <v>24</v>
      </c>
      <c r="O145" t="b">
        <v>1</v>
      </c>
      <c r="Q145" s="2"/>
      <c r="R145">
        <v>45</v>
      </c>
      <c r="S145">
        <v>1</v>
      </c>
      <c r="T145">
        <v>1220</v>
      </c>
      <c r="U145" t="s">
        <v>710</v>
      </c>
      <c r="V145">
        <v>80</v>
      </c>
      <c r="W145" s="2">
        <v>0.1</v>
      </c>
      <c r="AF145" s="2" t="b">
        <v>1</v>
      </c>
      <c r="AX145"/>
      <c r="BA145" s="2"/>
      <c r="BB145" s="2" t="b">
        <f>LEN(_xlfn.CONCAT(Table1[[#This Row],[TRACK_TYPE_STANDARD_GAUGE_RAILTYPE_OHLE]:[TRACK_TYPE_MTRO]]))&gt;0</f>
        <v>1</v>
      </c>
      <c r="BC145" s="7">
        <v>40</v>
      </c>
      <c r="BD145" t="s">
        <v>926</v>
      </c>
      <c r="BE145" t="s">
        <v>922</v>
      </c>
      <c r="BF145" t="s">
        <v>940</v>
      </c>
      <c r="BG1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5">
        <v>0</v>
      </c>
      <c r="BI145" t="s">
        <v>734</v>
      </c>
      <c r="BK145" s="11"/>
      <c r="BL145" s="11">
        <v>115</v>
      </c>
      <c r="BM145">
        <v>0</v>
      </c>
      <c r="BN145" t="s">
        <v>692</v>
      </c>
      <c r="BO145" t="s">
        <v>694</v>
      </c>
      <c r="BP145" t="s">
        <v>701</v>
      </c>
      <c r="BQ145" t="s">
        <v>705</v>
      </c>
      <c r="BR145" t="s">
        <v>706</v>
      </c>
      <c r="BS145" t="s">
        <v>707</v>
      </c>
    </row>
    <row r="146" spans="1:71" hidden="1" x14ac:dyDescent="0.4">
      <c r="A146" s="2" t="s">
        <v>170</v>
      </c>
      <c r="B146" t="str">
        <f>_xlfn.TEXTAFTER(Table1[[#This Row],[VEHIDCODE]],"_")</f>
        <v>India_Fairy_Queen</v>
      </c>
      <c r="C146" t="s">
        <v>739</v>
      </c>
      <c r="D146" t="b">
        <f>OR(ISNUMBER(SEARCH("wagon_",Table1[[#This Row],[FILENAMES_EXPECTED]])),ISNUMBER(SEARCH("coach_",Table1[[#This Row],[FILENAMES_EXPECTED]])))</f>
        <v>0</v>
      </c>
      <c r="E146" t="str">
        <f>"item_"&amp;Table1[[#This Row],[VEHIDCODE]]</f>
        <v>item_steam_India_Fairy_Queen</v>
      </c>
      <c r="F146" t="str">
        <f>"str_"&amp;Table1[[#This Row],[VEHIDCODE]]</f>
        <v>str_steam_India_Fairy_Queen</v>
      </c>
      <c r="G146">
        <v>5</v>
      </c>
      <c r="H146" t="s">
        <v>20</v>
      </c>
      <c r="I146">
        <v>0</v>
      </c>
      <c r="J146" t="s">
        <v>23</v>
      </c>
      <c r="K146">
        <v>0</v>
      </c>
      <c r="L146">
        <v>1855</v>
      </c>
      <c r="M146">
        <v>5</v>
      </c>
      <c r="N146" s="2" t="s">
        <v>24</v>
      </c>
      <c r="O146" t="b">
        <v>1</v>
      </c>
      <c r="Q146" s="2"/>
      <c r="R146">
        <v>45</v>
      </c>
      <c r="S146">
        <v>1</v>
      </c>
      <c r="T146">
        <v>130</v>
      </c>
      <c r="U146" t="s">
        <v>710</v>
      </c>
      <c r="V146">
        <v>40</v>
      </c>
      <c r="W146" s="2">
        <v>0.16</v>
      </c>
      <c r="AF146" s="2" t="b">
        <v>1</v>
      </c>
      <c r="AX146"/>
      <c r="BA146" s="2"/>
      <c r="BB146" s="2" t="b">
        <f>LEN(_xlfn.CONCAT(Table1[[#This Row],[TRACK_TYPE_STANDARD_GAUGE_RAILTYPE_OHLE]:[TRACK_TYPE_MTRO]]))&gt;0</f>
        <v>1</v>
      </c>
      <c r="BC146" s="7">
        <v>40</v>
      </c>
      <c r="BD146" t="s">
        <v>931</v>
      </c>
      <c r="BE146" t="s">
        <v>922</v>
      </c>
      <c r="BF146" t="s">
        <v>940</v>
      </c>
      <c r="BG1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6">
        <v>0</v>
      </c>
      <c r="BI146" t="s">
        <v>734</v>
      </c>
      <c r="BK146" s="11"/>
      <c r="BL146" s="11">
        <v>28</v>
      </c>
      <c r="BM146">
        <v>0</v>
      </c>
      <c r="BN146" t="s">
        <v>692</v>
      </c>
      <c r="BO146" t="s">
        <v>694</v>
      </c>
      <c r="BP146" t="s">
        <v>701</v>
      </c>
      <c r="BQ146" t="s">
        <v>705</v>
      </c>
      <c r="BR146" t="s">
        <v>706</v>
      </c>
      <c r="BS146" t="s">
        <v>707</v>
      </c>
    </row>
    <row r="147" spans="1:71" hidden="1" x14ac:dyDescent="0.4">
      <c r="A147" s="2" t="s">
        <v>171</v>
      </c>
      <c r="B147" t="str">
        <f>_xlfn.TEXTAFTER(Table1[[#This Row],[VEHIDCODE]],"_")</f>
        <v>India_DHR_B</v>
      </c>
      <c r="C147" t="s">
        <v>739</v>
      </c>
      <c r="D147" t="b">
        <f>OR(ISNUMBER(SEARCH("wagon_",Table1[[#This Row],[FILENAMES_EXPECTED]])),ISNUMBER(SEARCH("coach_",Table1[[#This Row],[FILENAMES_EXPECTED]])))</f>
        <v>0</v>
      </c>
      <c r="E147" t="str">
        <f>"item_"&amp;Table1[[#This Row],[VEHIDCODE]]</f>
        <v>item_steam_India_DHR_B</v>
      </c>
      <c r="F147" t="str">
        <f>"str_"&amp;Table1[[#This Row],[VEHIDCODE]]</f>
        <v>str_steam_India_DHR_B</v>
      </c>
      <c r="G147">
        <v>4</v>
      </c>
      <c r="H147" t="s">
        <v>20</v>
      </c>
      <c r="I147">
        <v>0</v>
      </c>
      <c r="J147" t="s">
        <v>23</v>
      </c>
      <c r="K147">
        <v>0</v>
      </c>
      <c r="L147">
        <v>1889</v>
      </c>
      <c r="M147">
        <v>5</v>
      </c>
      <c r="N147" s="2" t="s">
        <v>24</v>
      </c>
      <c r="O147" t="b">
        <v>1</v>
      </c>
      <c r="Q147" s="2"/>
      <c r="R147">
        <v>45</v>
      </c>
      <c r="S147">
        <v>1</v>
      </c>
      <c r="T147">
        <v>165</v>
      </c>
      <c r="U147" t="s">
        <v>710</v>
      </c>
      <c r="V147">
        <v>42</v>
      </c>
      <c r="W147" s="2">
        <v>0.18</v>
      </c>
      <c r="AF147" s="2" t="b">
        <v>1</v>
      </c>
      <c r="AX147"/>
      <c r="BA147" s="2"/>
      <c r="BB147" s="2" t="b">
        <f>LEN(_xlfn.CONCAT(Table1[[#This Row],[TRACK_TYPE_STANDARD_GAUGE_RAILTYPE_OHLE]:[TRACK_TYPE_MTRO]]))&gt;0</f>
        <v>1</v>
      </c>
      <c r="BC147" s="7">
        <v>40</v>
      </c>
      <c r="BD147" t="s">
        <v>931</v>
      </c>
      <c r="BE147" t="s">
        <v>922</v>
      </c>
      <c r="BF147" t="s">
        <v>940</v>
      </c>
      <c r="BG1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7">
        <v>0</v>
      </c>
      <c r="BI147" t="s">
        <v>734</v>
      </c>
      <c r="BK147" s="11"/>
      <c r="BL147" s="11">
        <v>20</v>
      </c>
      <c r="BM147">
        <v>0</v>
      </c>
      <c r="BN147" t="s">
        <v>692</v>
      </c>
      <c r="BO147" t="s">
        <v>694</v>
      </c>
      <c r="BP147" t="s">
        <v>701</v>
      </c>
      <c r="BQ147" t="s">
        <v>705</v>
      </c>
      <c r="BR147" t="s">
        <v>706</v>
      </c>
      <c r="BS147" t="s">
        <v>707</v>
      </c>
    </row>
    <row r="148" spans="1:71" hidden="1" x14ac:dyDescent="0.4">
      <c r="A148" s="2" t="s">
        <v>172</v>
      </c>
      <c r="B148" t="str">
        <f>_xlfn.TEXTAFTER(Table1[[#This Row],[VEHIDCODE]],"_")</f>
        <v>China_China_Railways_H</v>
      </c>
      <c r="C148" t="s">
        <v>739</v>
      </c>
      <c r="D148" t="b">
        <f>OR(ISNUMBER(SEARCH("wagon_",Table1[[#This Row],[FILENAMES_EXPECTED]])),ISNUMBER(SEARCH("coach_",Table1[[#This Row],[FILENAMES_EXPECTED]])))</f>
        <v>0</v>
      </c>
      <c r="E148" t="str">
        <f>"item_"&amp;Table1[[#This Row],[VEHIDCODE]]</f>
        <v>item_steam_China_China_Railways_H</v>
      </c>
      <c r="F148" t="str">
        <f>"str_"&amp;Table1[[#This Row],[VEHIDCODE]]</f>
        <v>str_steam_China_China_Railways_H</v>
      </c>
      <c r="G148">
        <v>6</v>
      </c>
      <c r="H148" t="s">
        <v>20</v>
      </c>
      <c r="I148">
        <v>0</v>
      </c>
      <c r="J148" t="s">
        <v>23</v>
      </c>
      <c r="K148">
        <v>0</v>
      </c>
      <c r="L148">
        <v>1895</v>
      </c>
      <c r="M148">
        <v>5</v>
      </c>
      <c r="N148" s="2" t="s">
        <v>24</v>
      </c>
      <c r="O148" t="b">
        <v>1</v>
      </c>
      <c r="Q148" s="2"/>
      <c r="R148">
        <v>45</v>
      </c>
      <c r="S148">
        <v>1</v>
      </c>
      <c r="T148">
        <v>720</v>
      </c>
      <c r="U148" t="s">
        <v>710</v>
      </c>
      <c r="V148">
        <v>50</v>
      </c>
      <c r="W148" s="2">
        <v>0.16</v>
      </c>
      <c r="AF148" s="2" t="b">
        <v>1</v>
      </c>
      <c r="AX148"/>
      <c r="BA148" s="2"/>
      <c r="BB148" s="2" t="b">
        <f>LEN(_xlfn.CONCAT(Table1[[#This Row],[TRACK_TYPE_STANDARD_GAUGE_RAILTYPE_OHLE]:[TRACK_TYPE_MTRO]]))&gt;0</f>
        <v>1</v>
      </c>
      <c r="BC148" s="7">
        <v>40</v>
      </c>
      <c r="BD148" t="s">
        <v>931</v>
      </c>
      <c r="BE148" t="s">
        <v>922</v>
      </c>
      <c r="BF148" t="s">
        <v>940</v>
      </c>
      <c r="BG1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8">
        <v>0</v>
      </c>
      <c r="BI148" t="s">
        <v>734</v>
      </c>
      <c r="BK148" s="11"/>
      <c r="BL148" s="11">
        <v>58</v>
      </c>
      <c r="BM148">
        <v>0</v>
      </c>
      <c r="BN148" t="s">
        <v>692</v>
      </c>
      <c r="BO148" t="s">
        <v>694</v>
      </c>
      <c r="BP148" t="s">
        <v>701</v>
      </c>
      <c r="BQ148" t="s">
        <v>705</v>
      </c>
      <c r="BR148" t="s">
        <v>706</v>
      </c>
      <c r="BS148" t="s">
        <v>707</v>
      </c>
    </row>
    <row r="149" spans="1:71" hidden="1" x14ac:dyDescent="0.4">
      <c r="A149" s="2" t="s">
        <v>173</v>
      </c>
      <c r="B149" t="str">
        <f>_xlfn.TEXTAFTER(Table1[[#This Row],[VEHIDCODE]],"_")</f>
        <v>Russia_RZD_U</v>
      </c>
      <c r="C149" t="s">
        <v>739</v>
      </c>
      <c r="D149" t="b">
        <f>OR(ISNUMBER(SEARCH("wagon_",Table1[[#This Row],[FILENAMES_EXPECTED]])),ISNUMBER(SEARCH("coach_",Table1[[#This Row],[FILENAMES_EXPECTED]])))</f>
        <v>0</v>
      </c>
      <c r="E149" t="str">
        <f>"item_"&amp;Table1[[#This Row],[VEHIDCODE]]</f>
        <v>item_steam_Russia_RZD_U</v>
      </c>
      <c r="F149" t="str">
        <f>"str_"&amp;Table1[[#This Row],[VEHIDCODE]]</f>
        <v>str_steam_Russia_RZD_U</v>
      </c>
      <c r="G149">
        <v>6</v>
      </c>
      <c r="H149" t="s">
        <v>20</v>
      </c>
      <c r="I149">
        <v>0</v>
      </c>
      <c r="J149" t="s">
        <v>23</v>
      </c>
      <c r="K149">
        <v>0</v>
      </c>
      <c r="L149">
        <v>1906</v>
      </c>
      <c r="M149">
        <v>5</v>
      </c>
      <c r="N149" s="2" t="s">
        <v>24</v>
      </c>
      <c r="O149" t="b">
        <v>1</v>
      </c>
      <c r="Q149" s="2"/>
      <c r="R149">
        <v>45</v>
      </c>
      <c r="S149">
        <v>1</v>
      </c>
      <c r="T149">
        <v>820</v>
      </c>
      <c r="U149" t="s">
        <v>710</v>
      </c>
      <c r="V149">
        <v>115</v>
      </c>
      <c r="W149" s="2">
        <v>0.13</v>
      </c>
      <c r="AF149" s="2" t="b">
        <v>1</v>
      </c>
      <c r="AX149"/>
      <c r="BA149" s="2"/>
      <c r="BB149" s="2" t="b">
        <f>LEN(_xlfn.CONCAT(Table1[[#This Row],[TRACK_TYPE_STANDARD_GAUGE_RAILTYPE_OHLE]:[TRACK_TYPE_MTRO]]))&gt;0</f>
        <v>1</v>
      </c>
      <c r="BC149" s="7">
        <v>40</v>
      </c>
      <c r="BD149" t="s">
        <v>931</v>
      </c>
      <c r="BE149" t="s">
        <v>922</v>
      </c>
      <c r="BF149" t="s">
        <v>940</v>
      </c>
      <c r="BG1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9">
        <v>0</v>
      </c>
      <c r="BI149" t="s">
        <v>734</v>
      </c>
      <c r="BK149" s="11"/>
      <c r="BL149" s="11">
        <v>72</v>
      </c>
      <c r="BM149">
        <v>0</v>
      </c>
      <c r="BN149" t="s">
        <v>692</v>
      </c>
      <c r="BO149" t="s">
        <v>694</v>
      </c>
      <c r="BP149" t="s">
        <v>701</v>
      </c>
      <c r="BQ149" t="s">
        <v>705</v>
      </c>
      <c r="BR149" t="s">
        <v>706</v>
      </c>
      <c r="BS149" t="s">
        <v>707</v>
      </c>
    </row>
    <row r="150" spans="1:71" hidden="1" x14ac:dyDescent="0.4">
      <c r="A150" s="2" t="s">
        <v>174</v>
      </c>
      <c r="B150" t="str">
        <f>_xlfn.TEXTAFTER(Table1[[#This Row],[VEHIDCODE]],"_")</f>
        <v>Russia_RZD_E</v>
      </c>
      <c r="C150" t="s">
        <v>739</v>
      </c>
      <c r="D150" t="b">
        <f>OR(ISNUMBER(SEARCH("wagon_",Table1[[#This Row],[FILENAMES_EXPECTED]])),ISNUMBER(SEARCH("coach_",Table1[[#This Row],[FILENAMES_EXPECTED]])))</f>
        <v>0</v>
      </c>
      <c r="E150" t="str">
        <f>"item_"&amp;Table1[[#This Row],[VEHIDCODE]]</f>
        <v>item_steam_Russia_RZD_E</v>
      </c>
      <c r="F150" t="str">
        <f>"str_"&amp;Table1[[#This Row],[VEHIDCODE]]</f>
        <v>str_steam_Russia_RZD_E</v>
      </c>
      <c r="G150">
        <v>6</v>
      </c>
      <c r="H150" t="s">
        <v>20</v>
      </c>
      <c r="I150">
        <v>0</v>
      </c>
      <c r="J150" t="s">
        <v>23</v>
      </c>
      <c r="K150">
        <v>0</v>
      </c>
      <c r="L150">
        <v>1912</v>
      </c>
      <c r="M150">
        <v>5</v>
      </c>
      <c r="N150" s="2" t="s">
        <v>24</v>
      </c>
      <c r="O150" t="b">
        <v>1</v>
      </c>
      <c r="Q150" s="2"/>
      <c r="R150">
        <v>45</v>
      </c>
      <c r="S150">
        <v>1</v>
      </c>
      <c r="T150">
        <v>920</v>
      </c>
      <c r="U150" t="s">
        <v>710</v>
      </c>
      <c r="V150">
        <v>55</v>
      </c>
      <c r="W150" s="2">
        <v>0.22</v>
      </c>
      <c r="AF150" s="2" t="b">
        <v>1</v>
      </c>
      <c r="AX150"/>
      <c r="BA150" s="2"/>
      <c r="BB150" s="2" t="b">
        <f>LEN(_xlfn.CONCAT(Table1[[#This Row],[TRACK_TYPE_STANDARD_GAUGE_RAILTYPE_OHLE]:[TRACK_TYPE_MTRO]]))&gt;0</f>
        <v>1</v>
      </c>
      <c r="BC150" s="7">
        <v>40</v>
      </c>
      <c r="BD150" t="s">
        <v>931</v>
      </c>
      <c r="BE150" t="s">
        <v>922</v>
      </c>
      <c r="BF150" t="s">
        <v>940</v>
      </c>
      <c r="BG1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0">
        <v>0</v>
      </c>
      <c r="BI150" t="s">
        <v>734</v>
      </c>
      <c r="BK150" s="11"/>
      <c r="BL150" s="11">
        <v>82</v>
      </c>
      <c r="BM150">
        <v>0</v>
      </c>
      <c r="BN150" t="s">
        <v>692</v>
      </c>
      <c r="BO150" t="s">
        <v>694</v>
      </c>
      <c r="BP150" t="s">
        <v>701</v>
      </c>
      <c r="BQ150" t="s">
        <v>705</v>
      </c>
      <c r="BR150" t="s">
        <v>706</v>
      </c>
      <c r="BS150" t="s">
        <v>707</v>
      </c>
    </row>
    <row r="151" spans="1:71" hidden="1" x14ac:dyDescent="0.4">
      <c r="A151" s="2" t="s">
        <v>175</v>
      </c>
      <c r="B151" t="str">
        <f>_xlfn.TEXTAFTER(Table1[[#This Row],[VEHIDCODE]],"_")</f>
        <v>Israel_Israel_Railways_H</v>
      </c>
      <c r="C151" t="s">
        <v>739</v>
      </c>
      <c r="D151" t="b">
        <f>OR(ISNUMBER(SEARCH("wagon_",Table1[[#This Row],[FILENAMES_EXPECTED]])),ISNUMBER(SEARCH("coach_",Table1[[#This Row],[FILENAMES_EXPECTED]])))</f>
        <v>0</v>
      </c>
      <c r="E151" t="str">
        <f>"item_"&amp;Table1[[#This Row],[VEHIDCODE]]</f>
        <v>item_steam_Israel_Israel_Railways_H</v>
      </c>
      <c r="F151" t="str">
        <f>"str_"&amp;Table1[[#This Row],[VEHIDCODE]]</f>
        <v>str_steam_Israel_Israel_Railways_H</v>
      </c>
      <c r="G151">
        <v>6</v>
      </c>
      <c r="H151" t="s">
        <v>20</v>
      </c>
      <c r="I151">
        <v>0</v>
      </c>
      <c r="J151" t="s">
        <v>23</v>
      </c>
      <c r="K151">
        <v>0</v>
      </c>
      <c r="L151">
        <v>1918</v>
      </c>
      <c r="M151">
        <v>5</v>
      </c>
      <c r="N151" s="2" t="s">
        <v>24</v>
      </c>
      <c r="O151" t="b">
        <v>1</v>
      </c>
      <c r="Q151" s="2"/>
      <c r="R151">
        <v>45</v>
      </c>
      <c r="S151">
        <v>1</v>
      </c>
      <c r="T151">
        <v>572</v>
      </c>
      <c r="U151" t="s">
        <v>710</v>
      </c>
      <c r="V151">
        <v>68</v>
      </c>
      <c r="W151" s="2">
        <v>0.09</v>
      </c>
      <c r="AF151" s="2" t="b">
        <v>1</v>
      </c>
      <c r="AX151"/>
      <c r="BA151" s="2"/>
      <c r="BB151" s="2" t="b">
        <f>LEN(_xlfn.CONCAT(Table1[[#This Row],[TRACK_TYPE_STANDARD_GAUGE_RAILTYPE_OHLE]:[TRACK_TYPE_MTRO]]))&gt;0</f>
        <v>1</v>
      </c>
      <c r="BC151" s="7">
        <v>40</v>
      </c>
      <c r="BD151" t="s">
        <v>931</v>
      </c>
      <c r="BE151" t="s">
        <v>922</v>
      </c>
      <c r="BF151" t="s">
        <v>940</v>
      </c>
      <c r="BG1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1">
        <v>0</v>
      </c>
      <c r="BI151" t="s">
        <v>734</v>
      </c>
      <c r="BK151" s="11"/>
      <c r="BL151" s="11">
        <v>119</v>
      </c>
      <c r="BM151">
        <v>0</v>
      </c>
      <c r="BN151" t="s">
        <v>692</v>
      </c>
      <c r="BO151" t="s">
        <v>694</v>
      </c>
      <c r="BP151" t="s">
        <v>701</v>
      </c>
      <c r="BQ151" t="s">
        <v>705</v>
      </c>
      <c r="BR151" t="s">
        <v>706</v>
      </c>
      <c r="BS151" t="s">
        <v>707</v>
      </c>
    </row>
    <row r="152" spans="1:71" hidden="1" x14ac:dyDescent="0.4">
      <c r="A152" s="2" t="s">
        <v>176</v>
      </c>
      <c r="B152" t="str">
        <f>_xlfn.TEXTAFTER(Table1[[#This Row],[VEHIDCODE]],"_")</f>
        <v>Italy_FS_480</v>
      </c>
      <c r="C152" t="s">
        <v>739</v>
      </c>
      <c r="D152" t="b">
        <f>OR(ISNUMBER(SEARCH("wagon_",Table1[[#This Row],[FILENAMES_EXPECTED]])),ISNUMBER(SEARCH("coach_",Table1[[#This Row],[FILENAMES_EXPECTED]])))</f>
        <v>0</v>
      </c>
      <c r="E152" t="str">
        <f>"item_"&amp;Table1[[#This Row],[VEHIDCODE]]</f>
        <v>item_steam_Italy_FS_480</v>
      </c>
      <c r="F152" t="str">
        <f>"str_"&amp;Table1[[#This Row],[VEHIDCODE]]</f>
        <v>str_steam_Italy_FS_480</v>
      </c>
      <c r="G152">
        <v>8</v>
      </c>
      <c r="H152" t="s">
        <v>20</v>
      </c>
      <c r="I152">
        <v>0</v>
      </c>
      <c r="J152" t="s">
        <v>23</v>
      </c>
      <c r="K152">
        <v>0</v>
      </c>
      <c r="L152">
        <v>1923</v>
      </c>
      <c r="M152">
        <v>6</v>
      </c>
      <c r="N152" s="2" t="s">
        <v>24</v>
      </c>
      <c r="O152" t="b">
        <v>1</v>
      </c>
      <c r="Q152" s="2"/>
      <c r="R152">
        <v>45</v>
      </c>
      <c r="S152">
        <v>1</v>
      </c>
      <c r="T152">
        <v>1500</v>
      </c>
      <c r="U152" t="s">
        <v>710</v>
      </c>
      <c r="V152">
        <v>70</v>
      </c>
      <c r="W152" s="2">
        <v>0.13</v>
      </c>
      <c r="AF152" s="2" t="b">
        <v>1</v>
      </c>
      <c r="AX152"/>
      <c r="BA152" s="2"/>
      <c r="BB152" s="2" t="b">
        <f>LEN(_xlfn.CONCAT(Table1[[#This Row],[TRACK_TYPE_STANDARD_GAUGE_RAILTYPE_OHLE]:[TRACK_TYPE_MTRO]]))&gt;0</f>
        <v>1</v>
      </c>
      <c r="BC152" s="7">
        <v>40</v>
      </c>
      <c r="BD152" t="s">
        <v>924</v>
      </c>
      <c r="BE152" t="s">
        <v>922</v>
      </c>
      <c r="BF152" t="s">
        <v>940</v>
      </c>
      <c r="BG1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2">
        <v>0</v>
      </c>
      <c r="BI152" t="s">
        <v>734</v>
      </c>
      <c r="BK152" s="11"/>
      <c r="BL152" s="11">
        <v>134</v>
      </c>
      <c r="BM152">
        <v>0</v>
      </c>
      <c r="BN152" t="s">
        <v>692</v>
      </c>
      <c r="BO152" t="s">
        <v>694</v>
      </c>
      <c r="BP152" t="s">
        <v>701</v>
      </c>
      <c r="BQ152" t="s">
        <v>705</v>
      </c>
      <c r="BR152" t="s">
        <v>706</v>
      </c>
      <c r="BS152" t="s">
        <v>707</v>
      </c>
    </row>
    <row r="153" spans="1:71" hidden="1" x14ac:dyDescent="0.4">
      <c r="A153" s="2" t="s">
        <v>177</v>
      </c>
      <c r="B153" t="str">
        <f>_xlfn.TEXTAFTER(Table1[[#This Row],[VEHIDCODE]],"_")</f>
        <v>Italy_FS_691</v>
      </c>
      <c r="C153" t="s">
        <v>739</v>
      </c>
      <c r="D153" t="b">
        <f>OR(ISNUMBER(SEARCH("wagon_",Table1[[#This Row],[FILENAMES_EXPECTED]])),ISNUMBER(SEARCH("coach_",Table1[[#This Row],[FILENAMES_EXPECTED]])))</f>
        <v>0</v>
      </c>
      <c r="E153" t="str">
        <f>"item_"&amp;Table1[[#This Row],[VEHIDCODE]]</f>
        <v>item_steam_Italy_FS_691</v>
      </c>
      <c r="F153" t="str">
        <f>"str_"&amp;Table1[[#This Row],[VEHIDCODE]]</f>
        <v>str_steam_Italy_FS_691</v>
      </c>
      <c r="G153">
        <v>8</v>
      </c>
      <c r="H153" t="s">
        <v>20</v>
      </c>
      <c r="I153">
        <v>0</v>
      </c>
      <c r="J153" t="s">
        <v>23</v>
      </c>
      <c r="K153">
        <v>0</v>
      </c>
      <c r="L153">
        <v>1928</v>
      </c>
      <c r="M153">
        <v>6</v>
      </c>
      <c r="N153" s="2" t="s">
        <v>24</v>
      </c>
      <c r="O153" t="b">
        <v>1</v>
      </c>
      <c r="Q153" s="2"/>
      <c r="R153">
        <v>45</v>
      </c>
      <c r="S153">
        <v>1</v>
      </c>
      <c r="T153">
        <v>1820</v>
      </c>
      <c r="U153" t="s">
        <v>710</v>
      </c>
      <c r="V153">
        <v>130</v>
      </c>
      <c r="W153" s="2">
        <v>0.1</v>
      </c>
      <c r="AF153" s="2" t="b">
        <v>1</v>
      </c>
      <c r="AX153"/>
      <c r="BA153" s="2"/>
      <c r="BB153" s="2" t="b">
        <f>LEN(_xlfn.CONCAT(Table1[[#This Row],[TRACK_TYPE_STANDARD_GAUGE_RAILTYPE_OHLE]:[TRACK_TYPE_MTRO]]))&gt;0</f>
        <v>1</v>
      </c>
      <c r="BC153" s="7">
        <v>40</v>
      </c>
      <c r="BD153" t="s">
        <v>924</v>
      </c>
      <c r="BE153" t="s">
        <v>922</v>
      </c>
      <c r="BF153" t="s">
        <v>940</v>
      </c>
      <c r="BG1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3">
        <v>0</v>
      </c>
      <c r="BI153" t="s">
        <v>734</v>
      </c>
      <c r="BK153" s="11"/>
      <c r="BL153" s="11">
        <v>144</v>
      </c>
      <c r="BM153">
        <v>0</v>
      </c>
      <c r="BN153" t="s">
        <v>692</v>
      </c>
      <c r="BO153" t="s">
        <v>694</v>
      </c>
      <c r="BP153" t="s">
        <v>701</v>
      </c>
      <c r="BQ153" t="s">
        <v>705</v>
      </c>
      <c r="BR153" t="s">
        <v>706</v>
      </c>
      <c r="BS153" t="s">
        <v>707</v>
      </c>
    </row>
    <row r="154" spans="1:71" hidden="1" x14ac:dyDescent="0.4">
      <c r="A154" s="2" t="s">
        <v>178</v>
      </c>
      <c r="B154" t="str">
        <f>_xlfn.TEXTAFTER(Table1[[#This Row],[VEHIDCODE]],"_")</f>
        <v>Greece_SEK_Lb</v>
      </c>
      <c r="C154" t="s">
        <v>739</v>
      </c>
      <c r="D154" t="b">
        <f>OR(ISNUMBER(SEARCH("wagon_",Table1[[#This Row],[FILENAMES_EXPECTED]])),ISNUMBER(SEARCH("coach_",Table1[[#This Row],[FILENAMES_EXPECTED]])))</f>
        <v>0</v>
      </c>
      <c r="E154" t="str">
        <f>"item_"&amp;Table1[[#This Row],[VEHIDCODE]]</f>
        <v>item_steam_Greece_SEK_Lb</v>
      </c>
      <c r="F154" t="str">
        <f>"str_"&amp;Table1[[#This Row],[VEHIDCODE]]</f>
        <v>str_steam_Greece_SEK_Lb</v>
      </c>
      <c r="G154">
        <v>8</v>
      </c>
      <c r="H154" t="s">
        <v>20</v>
      </c>
      <c r="I154">
        <v>0</v>
      </c>
      <c r="J154" t="s">
        <v>23</v>
      </c>
      <c r="K154">
        <v>0</v>
      </c>
      <c r="L154">
        <v>1943</v>
      </c>
      <c r="M154">
        <v>7</v>
      </c>
      <c r="N154" s="2" t="s">
        <v>24</v>
      </c>
      <c r="O154" t="b">
        <v>1</v>
      </c>
      <c r="Q154" s="2"/>
      <c r="R154">
        <v>45</v>
      </c>
      <c r="S154">
        <v>1</v>
      </c>
      <c r="T154">
        <v>1250</v>
      </c>
      <c r="U154" t="s">
        <v>710</v>
      </c>
      <c r="V154">
        <v>65</v>
      </c>
      <c r="W154" s="2">
        <v>0.11</v>
      </c>
      <c r="AF154" s="2" t="b">
        <v>1</v>
      </c>
      <c r="AX154"/>
      <c r="BA154" s="2"/>
      <c r="BB154" s="2" t="b">
        <f>LEN(_xlfn.CONCAT(Table1[[#This Row],[TRACK_TYPE_STANDARD_GAUGE_RAILTYPE_OHLE]:[TRACK_TYPE_MTRO]]))&gt;0</f>
        <v>1</v>
      </c>
      <c r="BC154" s="7">
        <v>40</v>
      </c>
      <c r="BD154" t="s">
        <v>924</v>
      </c>
      <c r="BE154" t="s">
        <v>922</v>
      </c>
      <c r="BF154" t="s">
        <v>940</v>
      </c>
      <c r="BG1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4">
        <v>0</v>
      </c>
      <c r="BI154" t="s">
        <v>734</v>
      </c>
      <c r="BK154" s="11"/>
      <c r="BL154" s="11">
        <v>136</v>
      </c>
      <c r="BM154">
        <v>0</v>
      </c>
      <c r="BN154" t="s">
        <v>692</v>
      </c>
      <c r="BO154" t="s">
        <v>694</v>
      </c>
      <c r="BP154" t="s">
        <v>701</v>
      </c>
      <c r="BQ154" t="s">
        <v>705</v>
      </c>
      <c r="BR154" t="s">
        <v>706</v>
      </c>
      <c r="BS154" t="s">
        <v>707</v>
      </c>
    </row>
    <row r="155" spans="1:71" hidden="1" x14ac:dyDescent="0.4">
      <c r="A155" s="2" t="s">
        <v>179</v>
      </c>
      <c r="B155" t="str">
        <f>_xlfn.TEXTAFTER(Table1[[#This Row],[VEHIDCODE]],"_")</f>
        <v>Albania_HSH_01</v>
      </c>
      <c r="C155" t="s">
        <v>739</v>
      </c>
      <c r="D155" t="b">
        <f>OR(ISNUMBER(SEARCH("wagon_",Table1[[#This Row],[FILENAMES_EXPECTED]])),ISNUMBER(SEARCH("coach_",Table1[[#This Row],[FILENAMES_EXPECTED]])))</f>
        <v>0</v>
      </c>
      <c r="E155" t="str">
        <f>"item_"&amp;Table1[[#This Row],[VEHIDCODE]]</f>
        <v>item_steam_Albania_HSH_01</v>
      </c>
      <c r="F155" t="str">
        <f>"str_"&amp;Table1[[#This Row],[VEHIDCODE]]</f>
        <v>str_steam_Albania_HSH_01</v>
      </c>
      <c r="G155">
        <v>5</v>
      </c>
      <c r="H155" t="s">
        <v>20</v>
      </c>
      <c r="I155">
        <v>0</v>
      </c>
      <c r="J155" t="s">
        <v>23</v>
      </c>
      <c r="K155">
        <v>0</v>
      </c>
      <c r="L155">
        <v>1951</v>
      </c>
      <c r="M155">
        <v>5</v>
      </c>
      <c r="N155" s="2" t="s">
        <v>24</v>
      </c>
      <c r="O155" t="b">
        <v>1</v>
      </c>
      <c r="Q155" s="2"/>
      <c r="R155">
        <v>45</v>
      </c>
      <c r="S155">
        <v>1</v>
      </c>
      <c r="T155">
        <v>1060</v>
      </c>
      <c r="U155" t="s">
        <v>710</v>
      </c>
      <c r="V155">
        <v>80</v>
      </c>
      <c r="W155" s="2">
        <v>0.14000000000000001</v>
      </c>
      <c r="AF155" s="2" t="b">
        <v>1</v>
      </c>
      <c r="AX155"/>
      <c r="BA155" s="2"/>
      <c r="BB155" s="2" t="b">
        <f>LEN(_xlfn.CONCAT(Table1[[#This Row],[TRACK_TYPE_STANDARD_GAUGE_RAILTYPE_OHLE]:[TRACK_TYPE_MTRO]]))&gt;0</f>
        <v>1</v>
      </c>
      <c r="BC155" s="7">
        <v>40</v>
      </c>
      <c r="BD155" t="s">
        <v>924</v>
      </c>
      <c r="BE155" t="s">
        <v>922</v>
      </c>
      <c r="BF155" t="s">
        <v>940</v>
      </c>
      <c r="BG1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5">
        <v>0</v>
      </c>
      <c r="BI155" t="s">
        <v>734</v>
      </c>
      <c r="BK155" s="11"/>
      <c r="BL155" s="11">
        <v>78</v>
      </c>
      <c r="BM155">
        <v>0</v>
      </c>
      <c r="BN155" t="s">
        <v>692</v>
      </c>
      <c r="BO155" t="s">
        <v>694</v>
      </c>
      <c r="BP155" t="s">
        <v>701</v>
      </c>
      <c r="BQ155" t="s">
        <v>705</v>
      </c>
      <c r="BR155" t="s">
        <v>706</v>
      </c>
      <c r="BS155" t="s">
        <v>707</v>
      </c>
    </row>
    <row r="156" spans="1:71" hidden="1" x14ac:dyDescent="0.4">
      <c r="A156" s="2" t="s">
        <v>180</v>
      </c>
      <c r="B156" t="str">
        <f>_xlfn.TEXTAFTER(Table1[[#This Row],[VEHIDCODE]],"_")</f>
        <v>Spain_RENFE_242F</v>
      </c>
      <c r="C156" t="s">
        <v>739</v>
      </c>
      <c r="D156" t="b">
        <f>OR(ISNUMBER(SEARCH("wagon_",Table1[[#This Row],[FILENAMES_EXPECTED]])),ISNUMBER(SEARCH("coach_",Table1[[#This Row],[FILENAMES_EXPECTED]])))</f>
        <v>0</v>
      </c>
      <c r="E156" t="str">
        <f>"item_"&amp;Table1[[#This Row],[VEHIDCODE]]</f>
        <v>item_steam_Spain_RENFE_242F</v>
      </c>
      <c r="F156" t="str">
        <f>"str_"&amp;Table1[[#This Row],[VEHIDCODE]]</f>
        <v>str_steam_Spain_RENFE_242F</v>
      </c>
      <c r="G156">
        <v>10</v>
      </c>
      <c r="H156" t="s">
        <v>20</v>
      </c>
      <c r="I156">
        <v>0</v>
      </c>
      <c r="J156" t="s">
        <v>23</v>
      </c>
      <c r="K156">
        <v>0</v>
      </c>
      <c r="L156">
        <v>1955</v>
      </c>
      <c r="M156">
        <v>8</v>
      </c>
      <c r="N156" s="2" t="s">
        <v>24</v>
      </c>
      <c r="O156" t="b">
        <v>1</v>
      </c>
      <c r="Q156" s="2"/>
      <c r="R156">
        <v>45</v>
      </c>
      <c r="S156">
        <v>1</v>
      </c>
      <c r="T156">
        <v>2780</v>
      </c>
      <c r="U156" t="s">
        <v>710</v>
      </c>
      <c r="V156">
        <v>150</v>
      </c>
      <c r="W156" s="2">
        <v>0.11</v>
      </c>
      <c r="AF156" s="2" t="b">
        <v>1</v>
      </c>
      <c r="AX156"/>
      <c r="BA156" s="2"/>
      <c r="BB156" s="2" t="b">
        <f>LEN(_xlfn.CONCAT(Table1[[#This Row],[TRACK_TYPE_STANDARD_GAUGE_RAILTYPE_OHLE]:[TRACK_TYPE_MTRO]]))&gt;0</f>
        <v>1</v>
      </c>
      <c r="BC156" s="7">
        <v>40</v>
      </c>
      <c r="BD156" t="s">
        <v>924</v>
      </c>
      <c r="BE156" t="s">
        <v>922</v>
      </c>
      <c r="BF156" t="s">
        <v>940</v>
      </c>
      <c r="BG1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6">
        <v>0</v>
      </c>
      <c r="BI156" t="s">
        <v>734</v>
      </c>
      <c r="BK156" s="11"/>
      <c r="BL156" s="11">
        <v>143</v>
      </c>
      <c r="BM156">
        <v>0</v>
      </c>
      <c r="BN156" t="s">
        <v>692</v>
      </c>
      <c r="BO156" t="s">
        <v>694</v>
      </c>
      <c r="BP156" t="s">
        <v>701</v>
      </c>
      <c r="BQ156" t="s">
        <v>705</v>
      </c>
      <c r="BR156" t="s">
        <v>706</v>
      </c>
      <c r="BS156" t="s">
        <v>707</v>
      </c>
    </row>
    <row r="157" spans="1:71" hidden="1" x14ac:dyDescent="0.4">
      <c r="A157" s="2" t="s">
        <v>181</v>
      </c>
      <c r="B157" t="str">
        <f>_xlfn.TEXTAFTER(Table1[[#This Row],[VEHIDCODE]],"_")</f>
        <v>Czech_Republic_CD_5341</v>
      </c>
      <c r="C157" t="s">
        <v>739</v>
      </c>
      <c r="D157" t="b">
        <f>OR(ISNUMBER(SEARCH("wagon_",Table1[[#This Row],[FILENAMES_EXPECTED]])),ISNUMBER(SEARCH("coach_",Table1[[#This Row],[FILENAMES_EXPECTED]])))</f>
        <v>0</v>
      </c>
      <c r="E157" t="str">
        <f>"item_"&amp;Table1[[#This Row],[VEHIDCODE]]</f>
        <v>item_steam_Czech_Republic_CD_5341</v>
      </c>
      <c r="F157" t="str">
        <f>"str_"&amp;Table1[[#This Row],[VEHIDCODE]]</f>
        <v>str_steam_Czech_Republic_CD_5341</v>
      </c>
      <c r="G157">
        <v>6</v>
      </c>
      <c r="H157" t="s">
        <v>20</v>
      </c>
      <c r="I157">
        <v>0</v>
      </c>
      <c r="J157" t="s">
        <v>23</v>
      </c>
      <c r="K157">
        <v>0</v>
      </c>
      <c r="L157">
        <v>1910</v>
      </c>
      <c r="M157">
        <v>7</v>
      </c>
      <c r="N157" s="2" t="s">
        <v>24</v>
      </c>
      <c r="O157" t="b">
        <v>1</v>
      </c>
      <c r="Q157" s="2"/>
      <c r="R157">
        <v>45</v>
      </c>
      <c r="S157">
        <v>0</v>
      </c>
      <c r="T157">
        <v>1100</v>
      </c>
      <c r="U157" t="s">
        <v>710</v>
      </c>
      <c r="V157">
        <v>60</v>
      </c>
      <c r="W157" s="2">
        <v>0.31</v>
      </c>
      <c r="AF157" s="2" t="b">
        <v>1</v>
      </c>
      <c r="AX157"/>
      <c r="BA157" s="2"/>
      <c r="BB157" s="2" t="b">
        <f>LEN(_xlfn.CONCAT(Table1[[#This Row],[TRACK_TYPE_STANDARD_GAUGE_RAILTYPE_OHLE]:[TRACK_TYPE_MTRO]]))&gt;0</f>
        <v>1</v>
      </c>
      <c r="BC157" s="7">
        <v>40</v>
      </c>
      <c r="BD157" t="s">
        <v>929</v>
      </c>
      <c r="BE157" t="s">
        <v>922</v>
      </c>
      <c r="BF157" t="s">
        <v>940</v>
      </c>
      <c r="BG1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7">
        <v>0</v>
      </c>
      <c r="BI157" t="s">
        <v>734</v>
      </c>
      <c r="BK157" s="11"/>
      <c r="BL157" s="11">
        <v>107</v>
      </c>
      <c r="BM157">
        <v>0</v>
      </c>
      <c r="BN157" t="s">
        <v>692</v>
      </c>
      <c r="BO157" t="s">
        <v>694</v>
      </c>
      <c r="BP157" t="s">
        <v>701</v>
      </c>
      <c r="BQ157" t="s">
        <v>705</v>
      </c>
      <c r="BR157" t="s">
        <v>706</v>
      </c>
      <c r="BS157" t="s">
        <v>707</v>
      </c>
    </row>
    <row r="158" spans="1:71" hidden="1" x14ac:dyDescent="0.4">
      <c r="A158" s="2" t="s">
        <v>182</v>
      </c>
      <c r="B158" t="str">
        <f>_xlfn.TEXTAFTER(Table1[[#This Row],[VEHIDCODE]],"_")</f>
        <v>Poland_PKP_Ok22</v>
      </c>
      <c r="C158" t="s">
        <v>739</v>
      </c>
      <c r="D158" t="b">
        <f>OR(ISNUMBER(SEARCH("wagon_",Table1[[#This Row],[FILENAMES_EXPECTED]])),ISNUMBER(SEARCH("coach_",Table1[[#This Row],[FILENAMES_EXPECTED]])))</f>
        <v>0</v>
      </c>
      <c r="E158" t="str">
        <f>"item_"&amp;Table1[[#This Row],[VEHIDCODE]]</f>
        <v>item_steam_Poland_PKP_Ok22</v>
      </c>
      <c r="F158" t="str">
        <f>"str_"&amp;Table1[[#This Row],[VEHIDCODE]]</f>
        <v>str_steam_Poland_PKP_Ok22</v>
      </c>
      <c r="G158">
        <v>6</v>
      </c>
      <c r="H158" t="s">
        <v>20</v>
      </c>
      <c r="I158">
        <v>0</v>
      </c>
      <c r="J158" t="s">
        <v>23</v>
      </c>
      <c r="K158">
        <v>0</v>
      </c>
      <c r="L158">
        <v>1923</v>
      </c>
      <c r="M158">
        <v>6</v>
      </c>
      <c r="N158" s="2" t="s">
        <v>24</v>
      </c>
      <c r="O158" t="b">
        <v>1</v>
      </c>
      <c r="Q158" s="2"/>
      <c r="R158">
        <v>45</v>
      </c>
      <c r="S158">
        <v>1</v>
      </c>
      <c r="T158">
        <v>980</v>
      </c>
      <c r="U158" t="s">
        <v>710</v>
      </c>
      <c r="V158">
        <v>100</v>
      </c>
      <c r="W158" s="2">
        <v>0.06</v>
      </c>
      <c r="AF158" s="2" t="b">
        <v>1</v>
      </c>
      <c r="AX158"/>
      <c r="BA158" s="2"/>
      <c r="BB158" s="2" t="b">
        <f>LEN(_xlfn.CONCAT(Table1[[#This Row],[TRACK_TYPE_STANDARD_GAUGE_RAILTYPE_OHLE]:[TRACK_TYPE_MTRO]]))&gt;0</f>
        <v>1</v>
      </c>
      <c r="BC158" s="7">
        <v>40</v>
      </c>
      <c r="BD158" t="s">
        <v>929</v>
      </c>
      <c r="BE158" t="s">
        <v>922</v>
      </c>
      <c r="BF158" t="s">
        <v>940</v>
      </c>
      <c r="BG1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8">
        <v>0</v>
      </c>
      <c r="BI158" t="s">
        <v>734</v>
      </c>
      <c r="BK158" s="11"/>
      <c r="BL158" s="11">
        <v>133</v>
      </c>
      <c r="BM158">
        <v>0</v>
      </c>
      <c r="BN158" t="s">
        <v>692</v>
      </c>
      <c r="BO158" t="s">
        <v>694</v>
      </c>
      <c r="BP158" t="s">
        <v>701</v>
      </c>
      <c r="BQ158" t="s">
        <v>705</v>
      </c>
      <c r="BR158" t="s">
        <v>706</v>
      </c>
      <c r="BS158" t="s">
        <v>707</v>
      </c>
    </row>
    <row r="159" spans="1:71" hidden="1" x14ac:dyDescent="0.4">
      <c r="A159" s="2" t="s">
        <v>183</v>
      </c>
      <c r="B159" t="str">
        <f>_xlfn.TEXTAFTER(Table1[[#This Row],[VEHIDCODE]],"_")</f>
        <v>Croatia_HZ_11</v>
      </c>
      <c r="C159" t="s">
        <v>739</v>
      </c>
      <c r="D159" t="b">
        <f>OR(ISNUMBER(SEARCH("wagon_",Table1[[#This Row],[FILENAMES_EXPECTED]])),ISNUMBER(SEARCH("coach_",Table1[[#This Row],[FILENAMES_EXPECTED]])))</f>
        <v>0</v>
      </c>
      <c r="E159" t="str">
        <f>"item_"&amp;Table1[[#This Row],[VEHIDCODE]]</f>
        <v>item_steam_Croatia_HZ_11</v>
      </c>
      <c r="F159" t="str">
        <f>"str_"&amp;Table1[[#This Row],[VEHIDCODE]]</f>
        <v>str_steam_Croatia_HZ_11</v>
      </c>
      <c r="G159">
        <v>8</v>
      </c>
      <c r="H159" t="s">
        <v>20</v>
      </c>
      <c r="I159">
        <v>0</v>
      </c>
      <c r="J159" t="s">
        <v>23</v>
      </c>
      <c r="K159">
        <v>0</v>
      </c>
      <c r="L159">
        <v>1924</v>
      </c>
      <c r="M159">
        <v>7</v>
      </c>
      <c r="N159" s="2" t="s">
        <v>24</v>
      </c>
      <c r="O159" t="b">
        <v>1</v>
      </c>
      <c r="Q159" s="2"/>
      <c r="R159">
        <v>45</v>
      </c>
      <c r="S159">
        <v>1</v>
      </c>
      <c r="T159">
        <v>1160</v>
      </c>
      <c r="U159" t="s">
        <v>710</v>
      </c>
      <c r="V159">
        <v>90</v>
      </c>
      <c r="W159" s="2">
        <v>0.13</v>
      </c>
      <c r="AF159" s="2" t="b">
        <v>1</v>
      </c>
      <c r="AX159"/>
      <c r="BA159" s="2"/>
      <c r="BB159" s="2" t="b">
        <f>LEN(_xlfn.CONCAT(Table1[[#This Row],[TRACK_TYPE_STANDARD_GAUGE_RAILTYPE_OHLE]:[TRACK_TYPE_MTRO]]))&gt;0</f>
        <v>1</v>
      </c>
      <c r="BC159" s="7">
        <v>40</v>
      </c>
      <c r="BD159" t="s">
        <v>929</v>
      </c>
      <c r="BE159" t="s">
        <v>922</v>
      </c>
      <c r="BF159" t="s">
        <v>940</v>
      </c>
      <c r="BG1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9">
        <v>0</v>
      </c>
      <c r="BI159" t="s">
        <v>734</v>
      </c>
      <c r="BK159" s="11"/>
      <c r="BL159" s="11">
        <v>137</v>
      </c>
      <c r="BM159">
        <v>0</v>
      </c>
      <c r="BN159" t="s">
        <v>692</v>
      </c>
      <c r="BO159" t="s">
        <v>694</v>
      </c>
      <c r="BP159" t="s">
        <v>701</v>
      </c>
      <c r="BQ159" t="s">
        <v>705</v>
      </c>
      <c r="BR159" t="s">
        <v>706</v>
      </c>
      <c r="BS159" t="s">
        <v>707</v>
      </c>
    </row>
    <row r="160" spans="1:71" hidden="1" x14ac:dyDescent="0.4">
      <c r="A160" s="2" t="s">
        <v>184</v>
      </c>
      <c r="B160" t="str">
        <f>_xlfn.TEXTAFTER(Table1[[#This Row],[VEHIDCODE]],"_")</f>
        <v>Hungary_MAV_242</v>
      </c>
      <c r="C160" t="s">
        <v>739</v>
      </c>
      <c r="D160" t="b">
        <f>OR(ISNUMBER(SEARCH("wagon_",Table1[[#This Row],[FILENAMES_EXPECTED]])),ISNUMBER(SEARCH("coach_",Table1[[#This Row],[FILENAMES_EXPECTED]])))</f>
        <v>0</v>
      </c>
      <c r="E160" t="str">
        <f>"item_"&amp;Table1[[#This Row],[VEHIDCODE]]</f>
        <v>item_steam_Hungary_MAV_242</v>
      </c>
      <c r="F160" t="str">
        <f>"str_"&amp;Table1[[#This Row],[VEHIDCODE]]</f>
        <v>str_steam_Hungary_MAV_242</v>
      </c>
      <c r="G160">
        <v>7</v>
      </c>
      <c r="H160" t="s">
        <v>20</v>
      </c>
      <c r="I160">
        <v>0</v>
      </c>
      <c r="J160" t="s">
        <v>23</v>
      </c>
      <c r="K160">
        <v>0</v>
      </c>
      <c r="L160">
        <v>1936</v>
      </c>
      <c r="M160">
        <v>7</v>
      </c>
      <c r="N160" s="2" t="s">
        <v>24</v>
      </c>
      <c r="O160" t="b">
        <v>1</v>
      </c>
      <c r="Q160" s="2"/>
      <c r="R160">
        <v>45</v>
      </c>
      <c r="S160">
        <v>1</v>
      </c>
      <c r="T160">
        <v>618</v>
      </c>
      <c r="U160" t="s">
        <v>710</v>
      </c>
      <c r="V160">
        <v>120</v>
      </c>
      <c r="W160" s="2">
        <v>0.08</v>
      </c>
      <c r="AF160" s="2" t="b">
        <v>1</v>
      </c>
      <c r="AX160"/>
      <c r="BA160" s="2"/>
      <c r="BB160" s="2" t="b">
        <f>LEN(_xlfn.CONCAT(Table1[[#This Row],[TRACK_TYPE_STANDARD_GAUGE_RAILTYPE_OHLE]:[TRACK_TYPE_MTRO]]))&gt;0</f>
        <v>1</v>
      </c>
      <c r="BC160" s="7">
        <v>40</v>
      </c>
      <c r="BD160" t="s">
        <v>929</v>
      </c>
      <c r="BE160" t="s">
        <v>922</v>
      </c>
      <c r="BF160" t="s">
        <v>940</v>
      </c>
      <c r="BG1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0">
        <v>0</v>
      </c>
      <c r="BI160" t="s">
        <v>734</v>
      </c>
      <c r="BK160" s="11"/>
      <c r="BL160" s="11">
        <v>85</v>
      </c>
      <c r="BM160">
        <v>0</v>
      </c>
      <c r="BN160" t="s">
        <v>692</v>
      </c>
      <c r="BO160" t="s">
        <v>694</v>
      </c>
      <c r="BP160" t="s">
        <v>701</v>
      </c>
      <c r="BQ160" t="s">
        <v>705</v>
      </c>
      <c r="BR160" t="s">
        <v>706</v>
      </c>
      <c r="BS160" t="s">
        <v>707</v>
      </c>
    </row>
    <row r="161" spans="1:71" hidden="1" x14ac:dyDescent="0.4">
      <c r="A161" s="2" t="s">
        <v>185</v>
      </c>
      <c r="B161" t="str">
        <f>_xlfn.TEXTAFTER(Table1[[#This Row],[VEHIDCODE]],"_")</f>
        <v>Czech_Republic_CD_4590</v>
      </c>
      <c r="C161" t="s">
        <v>739</v>
      </c>
      <c r="D161" t="b">
        <f>OR(ISNUMBER(SEARCH("wagon_",Table1[[#This Row],[FILENAMES_EXPECTED]])),ISNUMBER(SEARCH("coach_",Table1[[#This Row],[FILENAMES_EXPECTED]])))</f>
        <v>0</v>
      </c>
      <c r="E161" t="str">
        <f>"item_"&amp;Table1[[#This Row],[VEHIDCODE]]</f>
        <v>item_steam_Czech_Republic_CD_4590</v>
      </c>
      <c r="F161" t="str">
        <f>"str_"&amp;Table1[[#This Row],[VEHIDCODE]]</f>
        <v>str_steam_Czech_Republic_CD_4590</v>
      </c>
      <c r="G161">
        <v>6</v>
      </c>
      <c r="H161" t="s">
        <v>20</v>
      </c>
      <c r="I161">
        <v>0</v>
      </c>
      <c r="J161" t="s">
        <v>23</v>
      </c>
      <c r="K161">
        <v>0</v>
      </c>
      <c r="L161">
        <v>1946</v>
      </c>
      <c r="M161">
        <v>5</v>
      </c>
      <c r="N161" s="2" t="s">
        <v>24</v>
      </c>
      <c r="O161" t="b">
        <v>1</v>
      </c>
      <c r="Q161" s="2"/>
      <c r="R161">
        <v>45</v>
      </c>
      <c r="S161">
        <v>0</v>
      </c>
      <c r="T161">
        <v>1857</v>
      </c>
      <c r="U161" t="s">
        <v>710</v>
      </c>
      <c r="V161">
        <v>80</v>
      </c>
      <c r="W161" s="2">
        <v>0.2</v>
      </c>
      <c r="AF161" s="2" t="b">
        <v>1</v>
      </c>
      <c r="AX161"/>
      <c r="BA161" s="2"/>
      <c r="BB161" s="2" t="b">
        <f>LEN(_xlfn.CONCAT(Table1[[#This Row],[TRACK_TYPE_STANDARD_GAUGE_RAILTYPE_OHLE]:[TRACK_TYPE_MTRO]]))&gt;0</f>
        <v>1</v>
      </c>
      <c r="BC161" s="7">
        <v>40</v>
      </c>
      <c r="BD161" t="s">
        <v>929</v>
      </c>
      <c r="BE161" t="s">
        <v>922</v>
      </c>
      <c r="BF161" t="s">
        <v>940</v>
      </c>
      <c r="BG1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1">
        <v>0</v>
      </c>
      <c r="BI161" t="s">
        <v>734</v>
      </c>
      <c r="BK161" s="11"/>
      <c r="BL161" s="11">
        <v>103</v>
      </c>
      <c r="BM161">
        <v>0</v>
      </c>
      <c r="BN161" t="s">
        <v>692</v>
      </c>
      <c r="BO161" t="s">
        <v>694</v>
      </c>
      <c r="BP161" t="s">
        <v>701</v>
      </c>
      <c r="BQ161" t="s">
        <v>705</v>
      </c>
      <c r="BR161" t="s">
        <v>706</v>
      </c>
      <c r="BS161" t="s">
        <v>707</v>
      </c>
    </row>
    <row r="162" spans="1:71" hidden="1" x14ac:dyDescent="0.4">
      <c r="A162" s="2" t="s">
        <v>186</v>
      </c>
      <c r="B162" t="str">
        <f>_xlfn.TEXTAFTER(Table1[[#This Row],[VEHIDCODE]],"_")</f>
        <v>Poland_PKP_OI49</v>
      </c>
      <c r="C162" t="s">
        <v>739</v>
      </c>
      <c r="D162" t="b">
        <f>OR(ISNUMBER(SEARCH("wagon_",Table1[[#This Row],[FILENAMES_EXPECTED]])),ISNUMBER(SEARCH("coach_",Table1[[#This Row],[FILENAMES_EXPECTED]])))</f>
        <v>0</v>
      </c>
      <c r="E162" t="str">
        <f>"item_"&amp;Table1[[#This Row],[VEHIDCODE]]</f>
        <v>item_steam_Poland_PKP_OI49</v>
      </c>
      <c r="F162" t="str">
        <f>"str_"&amp;Table1[[#This Row],[VEHIDCODE]]</f>
        <v>str_steam_Poland_PKP_OI49</v>
      </c>
      <c r="G162">
        <v>8</v>
      </c>
      <c r="H162" t="s">
        <v>20</v>
      </c>
      <c r="I162">
        <v>0</v>
      </c>
      <c r="J162" t="s">
        <v>23</v>
      </c>
      <c r="K162">
        <v>0</v>
      </c>
      <c r="L162">
        <v>1951</v>
      </c>
      <c r="M162">
        <v>7</v>
      </c>
      <c r="N162" s="2" t="s">
        <v>24</v>
      </c>
      <c r="O162" t="b">
        <v>1</v>
      </c>
      <c r="Q162" s="2"/>
      <c r="R162">
        <v>45</v>
      </c>
      <c r="S162">
        <v>1</v>
      </c>
      <c r="T162">
        <v>1290</v>
      </c>
      <c r="U162" t="s">
        <v>710</v>
      </c>
      <c r="V162">
        <v>100</v>
      </c>
      <c r="W162" s="2">
        <v>0.1</v>
      </c>
      <c r="AF162" s="2" t="b">
        <v>1</v>
      </c>
      <c r="AX162"/>
      <c r="BA162" s="2"/>
      <c r="BB162" s="2" t="b">
        <f>LEN(_xlfn.CONCAT(Table1[[#This Row],[TRACK_TYPE_STANDARD_GAUGE_RAILTYPE_OHLE]:[TRACK_TYPE_MTRO]]))&gt;0</f>
        <v>1</v>
      </c>
      <c r="BC162" s="7">
        <v>40</v>
      </c>
      <c r="BD162" t="s">
        <v>929</v>
      </c>
      <c r="BE162" t="s">
        <v>922</v>
      </c>
      <c r="BF162" t="s">
        <v>940</v>
      </c>
      <c r="BG1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2">
        <v>0</v>
      </c>
      <c r="BI162" t="s">
        <v>734</v>
      </c>
      <c r="BK162" s="11"/>
      <c r="BL162" s="11">
        <v>125</v>
      </c>
      <c r="BM162">
        <v>0</v>
      </c>
      <c r="BN162" t="s">
        <v>692</v>
      </c>
      <c r="BO162" t="s">
        <v>694</v>
      </c>
      <c r="BP162" t="s">
        <v>701</v>
      </c>
      <c r="BQ162" t="s">
        <v>705</v>
      </c>
      <c r="BR162" t="s">
        <v>706</v>
      </c>
      <c r="BS162" t="s">
        <v>707</v>
      </c>
    </row>
    <row r="163" spans="1:71" hidden="1" x14ac:dyDescent="0.4">
      <c r="A163" s="2" t="s">
        <v>187</v>
      </c>
      <c r="B163" t="str">
        <f>_xlfn.TEXTAFTER(Table1[[#This Row],[VEHIDCODE]],"_")</f>
        <v>Austria_KKStB_310</v>
      </c>
      <c r="C163" t="s">
        <v>739</v>
      </c>
      <c r="D163" t="b">
        <f>OR(ISNUMBER(SEARCH("wagon_",Table1[[#This Row],[FILENAMES_EXPECTED]])),ISNUMBER(SEARCH("coach_",Table1[[#This Row],[FILENAMES_EXPECTED]])))</f>
        <v>0</v>
      </c>
      <c r="E163" t="str">
        <f>"item_"&amp;Table1[[#This Row],[VEHIDCODE]]</f>
        <v>item_steam_Austria_KKStB_310</v>
      </c>
      <c r="F163" t="str">
        <f>"str_"&amp;Table1[[#This Row],[VEHIDCODE]]</f>
        <v>str_steam_Austria_KKStB_310</v>
      </c>
      <c r="G163">
        <v>8</v>
      </c>
      <c r="H163" t="s">
        <v>20</v>
      </c>
      <c r="I163">
        <v>0</v>
      </c>
      <c r="J163" t="s">
        <v>23</v>
      </c>
      <c r="K163">
        <v>0</v>
      </c>
      <c r="L163">
        <v>1911</v>
      </c>
      <c r="M163">
        <v>7</v>
      </c>
      <c r="N163" s="2" t="s">
        <v>24</v>
      </c>
      <c r="O163" t="b">
        <v>1</v>
      </c>
      <c r="Q163" s="2"/>
      <c r="R163">
        <v>45</v>
      </c>
      <c r="S163">
        <v>1</v>
      </c>
      <c r="T163">
        <v>1885</v>
      </c>
      <c r="U163" t="s">
        <v>710</v>
      </c>
      <c r="V163">
        <v>100</v>
      </c>
      <c r="W163" s="2">
        <v>0.17</v>
      </c>
      <c r="AF163" s="2" t="b">
        <v>1</v>
      </c>
      <c r="AX163"/>
      <c r="BA163" s="2"/>
      <c r="BB163" s="2" t="b">
        <f>LEN(_xlfn.CONCAT(Table1[[#This Row],[TRACK_TYPE_STANDARD_GAUGE_RAILTYPE_OHLE]:[TRACK_TYPE_MTRO]]))&gt;0</f>
        <v>1</v>
      </c>
      <c r="BC163" s="7">
        <v>40</v>
      </c>
      <c r="BD163" t="s">
        <v>923</v>
      </c>
      <c r="BE163" t="s">
        <v>922</v>
      </c>
      <c r="BF163" t="s">
        <v>940</v>
      </c>
      <c r="BG1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3">
        <v>0</v>
      </c>
      <c r="BI163" t="s">
        <v>734</v>
      </c>
      <c r="BK163" s="11"/>
      <c r="BL163" s="11">
        <v>138</v>
      </c>
      <c r="BM163">
        <v>0</v>
      </c>
      <c r="BN163" t="s">
        <v>692</v>
      </c>
      <c r="BO163" t="s">
        <v>694</v>
      </c>
      <c r="BP163" t="s">
        <v>701</v>
      </c>
      <c r="BQ163" t="s">
        <v>705</v>
      </c>
      <c r="BR163" t="s">
        <v>706</v>
      </c>
      <c r="BS163" t="s">
        <v>707</v>
      </c>
    </row>
    <row r="164" spans="1:71" hidden="1" x14ac:dyDescent="0.4">
      <c r="A164" s="2" t="s">
        <v>188</v>
      </c>
      <c r="B164" t="str">
        <f>_xlfn.TEXTAFTER(Table1[[#This Row],[VEHIDCODE]],"_")</f>
        <v>USA_Southern_Pacific_GS_4_Daylight</v>
      </c>
      <c r="C164" t="s">
        <v>739</v>
      </c>
      <c r="D164" t="b">
        <f>OR(ISNUMBER(SEARCH("wagon_",Table1[[#This Row],[FILENAMES_EXPECTED]])),ISNUMBER(SEARCH("coach_",Table1[[#This Row],[FILENAMES_EXPECTED]])))</f>
        <v>0</v>
      </c>
      <c r="E164" t="str">
        <f>"item_"&amp;Table1[[#This Row],[VEHIDCODE]]</f>
        <v>item_steam_USA_Southern_Pacific_GS_4_Daylight</v>
      </c>
      <c r="F164" t="str">
        <f>"str_"&amp;Table1[[#This Row],[VEHIDCODE]]</f>
        <v>str_steam_USA_Southern_Pacific_GS_4_Daylight</v>
      </c>
      <c r="G164">
        <v>12</v>
      </c>
      <c r="H164" t="s">
        <v>20</v>
      </c>
      <c r="I164">
        <v>0</v>
      </c>
      <c r="J164" t="s">
        <v>23</v>
      </c>
      <c r="K164">
        <v>0</v>
      </c>
      <c r="L164">
        <v>1941</v>
      </c>
      <c r="M164">
        <v>8</v>
      </c>
      <c r="N164" s="2" t="s">
        <v>24</v>
      </c>
      <c r="O164" t="b">
        <v>1</v>
      </c>
      <c r="Q164" s="2"/>
      <c r="R164">
        <v>45</v>
      </c>
      <c r="S164">
        <v>1</v>
      </c>
      <c r="T164">
        <v>5500</v>
      </c>
      <c r="U164" t="s">
        <v>710</v>
      </c>
      <c r="V164">
        <v>177</v>
      </c>
      <c r="W164" s="2">
        <v>0.09</v>
      </c>
      <c r="AF164" s="2" t="b">
        <v>1</v>
      </c>
      <c r="AX164"/>
      <c r="BA164" s="2"/>
      <c r="BB164" s="2" t="b">
        <f>LEN(_xlfn.CONCAT(Table1[[#This Row],[TRACK_TYPE_STANDARD_GAUGE_RAILTYPE_OHLE]:[TRACK_TYPE_MTRO]]))&gt;0</f>
        <v>1</v>
      </c>
      <c r="BC164" s="7">
        <v>40</v>
      </c>
      <c r="BD164" t="s">
        <v>928</v>
      </c>
      <c r="BE164" t="s">
        <v>922</v>
      </c>
      <c r="BF164" t="s">
        <v>940</v>
      </c>
      <c r="BG1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4">
        <v>0</v>
      </c>
      <c r="BI164" t="s">
        <v>734</v>
      </c>
      <c r="BK164" s="11"/>
      <c r="BL164" s="11">
        <v>390</v>
      </c>
      <c r="BM164">
        <v>0</v>
      </c>
      <c r="BN164" t="s">
        <v>692</v>
      </c>
      <c r="BO164" t="s">
        <v>694</v>
      </c>
      <c r="BP164" t="s">
        <v>701</v>
      </c>
      <c r="BQ164" t="s">
        <v>705</v>
      </c>
      <c r="BR164" t="s">
        <v>706</v>
      </c>
      <c r="BS164" t="s">
        <v>707</v>
      </c>
    </row>
    <row r="165" spans="1:71" hidden="1" x14ac:dyDescent="0.4">
      <c r="A165" s="2" t="s">
        <v>189</v>
      </c>
      <c r="B165" t="str">
        <f>_xlfn.TEXTAFTER(Table1[[#This Row],[VEHIDCODE]],"_")</f>
        <v>Ireland_GS_WR_101</v>
      </c>
      <c r="C165" t="s">
        <v>739</v>
      </c>
      <c r="D165" t="b">
        <f>OR(ISNUMBER(SEARCH("wagon_",Table1[[#This Row],[FILENAMES_EXPECTED]])),ISNUMBER(SEARCH("coach_",Table1[[#This Row],[FILENAMES_EXPECTED]])))</f>
        <v>0</v>
      </c>
      <c r="E165" t="str">
        <f>"item_"&amp;Table1[[#This Row],[VEHIDCODE]]</f>
        <v>item_steam_Ireland_GS_WR_101</v>
      </c>
      <c r="F165" t="str">
        <f>"str_"&amp;Table1[[#This Row],[VEHIDCODE]]</f>
        <v>str_steam_Ireland_GS_WR_101</v>
      </c>
      <c r="G165">
        <v>6</v>
      </c>
      <c r="H165" t="s">
        <v>20</v>
      </c>
      <c r="I165">
        <v>0</v>
      </c>
      <c r="J165" t="s">
        <v>23</v>
      </c>
      <c r="K165">
        <v>0</v>
      </c>
      <c r="L165">
        <v>1866</v>
      </c>
      <c r="M165">
        <v>5</v>
      </c>
      <c r="N165" s="2" t="s">
        <v>20</v>
      </c>
      <c r="O165" t="b">
        <v>1</v>
      </c>
      <c r="Q165" s="2"/>
      <c r="R165">
        <v>45</v>
      </c>
      <c r="S165">
        <v>0</v>
      </c>
      <c r="T165">
        <v>355</v>
      </c>
      <c r="U165" t="s">
        <v>710</v>
      </c>
      <c r="V165">
        <v>60</v>
      </c>
      <c r="W165" s="2">
        <v>0.13</v>
      </c>
      <c r="AF165" s="2" t="b">
        <v>1</v>
      </c>
      <c r="AX165"/>
      <c r="BA165" s="2"/>
      <c r="BB165" s="2" t="b">
        <f>LEN(_xlfn.CONCAT(Table1[[#This Row],[TRACK_TYPE_STANDARD_GAUGE_RAILTYPE_OHLE]:[TRACK_TYPE_MTRO]]))&gt;0</f>
        <v>1</v>
      </c>
      <c r="BC165" s="7">
        <v>40</v>
      </c>
      <c r="BD165" t="s">
        <v>927</v>
      </c>
      <c r="BE165" t="s">
        <v>922</v>
      </c>
      <c r="BF165" t="s">
        <v>940</v>
      </c>
      <c r="BG1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5">
        <v>0</v>
      </c>
      <c r="BI165" t="s">
        <v>734</v>
      </c>
      <c r="BK165" s="11"/>
      <c r="BL165" s="11">
        <v>57</v>
      </c>
      <c r="BM165">
        <v>0</v>
      </c>
      <c r="BN165" t="s">
        <v>692</v>
      </c>
      <c r="BO165" t="s">
        <v>694</v>
      </c>
      <c r="BP165" t="s">
        <v>701</v>
      </c>
      <c r="BQ165" t="s">
        <v>705</v>
      </c>
      <c r="BR165" t="s">
        <v>706</v>
      </c>
      <c r="BS165" t="s">
        <v>707</v>
      </c>
    </row>
    <row r="166" spans="1:71" hidden="1" x14ac:dyDescent="0.4">
      <c r="A166" s="2" t="s">
        <v>190</v>
      </c>
      <c r="B166" t="str">
        <f>_xlfn.TEXTAFTER(Table1[[#This Row],[VEHIDCODE]],"_")</f>
        <v>USA_NYC_H_6A_Light_Mikado</v>
      </c>
      <c r="C166" t="s">
        <v>739</v>
      </c>
      <c r="D166" t="b">
        <f>OR(ISNUMBER(SEARCH("wagon_",Table1[[#This Row],[FILENAMES_EXPECTED]])),ISNUMBER(SEARCH("coach_",Table1[[#This Row],[FILENAMES_EXPECTED]])))</f>
        <v>0</v>
      </c>
      <c r="E166" t="str">
        <f>"item_"&amp;Table1[[#This Row],[VEHIDCODE]]</f>
        <v>item_steam_USA_NYC_H_6A_Light_Mikado</v>
      </c>
      <c r="F166" t="str">
        <f>"str_"&amp;Table1[[#This Row],[VEHIDCODE]]</f>
        <v>str_steam_USA_NYC_H_6A_Light_Mikado</v>
      </c>
      <c r="G166">
        <v>8</v>
      </c>
      <c r="H166" t="s">
        <v>20</v>
      </c>
      <c r="I166">
        <v>0</v>
      </c>
      <c r="J166" t="s">
        <v>23</v>
      </c>
      <c r="K166">
        <v>0</v>
      </c>
      <c r="L166">
        <v>1914</v>
      </c>
      <c r="M166">
        <v>6</v>
      </c>
      <c r="N166" s="2" t="s">
        <v>20</v>
      </c>
      <c r="O166" t="b">
        <v>1</v>
      </c>
      <c r="Q166" s="2"/>
      <c r="R166">
        <v>45</v>
      </c>
      <c r="S166">
        <v>1</v>
      </c>
      <c r="T166">
        <v>2000</v>
      </c>
      <c r="U166" t="s">
        <v>710</v>
      </c>
      <c r="V166">
        <v>96</v>
      </c>
      <c r="W166" s="2">
        <v>0.11</v>
      </c>
      <c r="AF166" s="2" t="b">
        <v>1</v>
      </c>
      <c r="AX166"/>
      <c r="BA166" s="2"/>
      <c r="BB166" s="2" t="b">
        <f>LEN(_xlfn.CONCAT(Table1[[#This Row],[TRACK_TYPE_STANDARD_GAUGE_RAILTYPE_OHLE]:[TRACK_TYPE_MTRO]]))&gt;0</f>
        <v>1</v>
      </c>
      <c r="BC166" s="7">
        <v>40</v>
      </c>
      <c r="BD166" t="s">
        <v>928</v>
      </c>
      <c r="BE166" t="s">
        <v>922</v>
      </c>
      <c r="BF166" t="s">
        <v>940</v>
      </c>
      <c r="BG1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6">
        <v>0</v>
      </c>
      <c r="BI166" t="s">
        <v>734</v>
      </c>
      <c r="BK166" s="11"/>
      <c r="BL166" s="11">
        <v>217</v>
      </c>
      <c r="BM166">
        <v>0</v>
      </c>
      <c r="BN166" t="s">
        <v>692</v>
      </c>
      <c r="BO166" t="s">
        <v>694</v>
      </c>
      <c r="BP166" t="s">
        <v>701</v>
      </c>
      <c r="BQ166" t="s">
        <v>705</v>
      </c>
      <c r="BR166" t="s">
        <v>706</v>
      </c>
      <c r="BS166" t="s">
        <v>707</v>
      </c>
    </row>
    <row r="167" spans="1:71" hidden="1" x14ac:dyDescent="0.4">
      <c r="A167" s="2" t="s">
        <v>191</v>
      </c>
      <c r="B167" t="str">
        <f>_xlfn.TEXTAFTER(Table1[[#This Row],[VEHIDCODE]],"_")</f>
        <v>Argentina_FCGR_315</v>
      </c>
      <c r="C167" t="s">
        <v>739</v>
      </c>
      <c r="D167" t="b">
        <f>OR(ISNUMBER(SEARCH("wagon_",Table1[[#This Row],[FILENAMES_EXPECTED]])),ISNUMBER(SEARCH("coach_",Table1[[#This Row],[FILENAMES_EXPECTED]])))</f>
        <v>0</v>
      </c>
      <c r="E167" t="str">
        <f>"item_"&amp;Table1[[#This Row],[VEHIDCODE]]</f>
        <v>item_steam_Argentina_FCGR_315</v>
      </c>
      <c r="F167" t="str">
        <f>"str_"&amp;Table1[[#This Row],[VEHIDCODE]]</f>
        <v>str_steam_Argentina_FCGR_315</v>
      </c>
      <c r="G167">
        <v>4</v>
      </c>
      <c r="H167" t="s">
        <v>20</v>
      </c>
      <c r="I167">
        <v>0</v>
      </c>
      <c r="J167" t="s">
        <v>23</v>
      </c>
      <c r="K167">
        <v>0</v>
      </c>
      <c r="L167">
        <v>1871</v>
      </c>
      <c r="M167">
        <v>4</v>
      </c>
      <c r="N167" s="2" t="s">
        <v>20</v>
      </c>
      <c r="O167" t="b">
        <v>1</v>
      </c>
      <c r="Q167" s="2"/>
      <c r="R167">
        <v>45</v>
      </c>
      <c r="S167">
        <v>1</v>
      </c>
      <c r="T167">
        <v>145</v>
      </c>
      <c r="U167" t="s">
        <v>710</v>
      </c>
      <c r="V167">
        <v>45</v>
      </c>
      <c r="W167" s="2">
        <v>0.04</v>
      </c>
      <c r="AF167" s="2" t="b">
        <v>1</v>
      </c>
      <c r="AX167"/>
      <c r="BA167" s="2"/>
      <c r="BB167" s="2" t="b">
        <f>LEN(_xlfn.CONCAT(Table1[[#This Row],[TRACK_TYPE_STANDARD_GAUGE_RAILTYPE_OHLE]:[TRACK_TYPE_MTRO]]))&gt;0</f>
        <v>1</v>
      </c>
      <c r="BC167" s="7">
        <v>40</v>
      </c>
      <c r="BD167" t="s">
        <v>930</v>
      </c>
      <c r="BE167" t="s">
        <v>922</v>
      </c>
      <c r="BF167" t="s">
        <v>940</v>
      </c>
      <c r="BG1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7">
        <v>0</v>
      </c>
      <c r="BI167" t="s">
        <v>734</v>
      </c>
      <c r="BK167" s="11"/>
      <c r="BL167" s="11">
        <v>48</v>
      </c>
      <c r="BM167">
        <v>0</v>
      </c>
      <c r="BN167" t="s">
        <v>692</v>
      </c>
      <c r="BO167" t="s">
        <v>694</v>
      </c>
      <c r="BP167" t="s">
        <v>701</v>
      </c>
      <c r="BQ167" t="s">
        <v>705</v>
      </c>
      <c r="BR167" t="s">
        <v>706</v>
      </c>
      <c r="BS167" t="s">
        <v>707</v>
      </c>
    </row>
    <row r="168" spans="1:71" hidden="1" x14ac:dyDescent="0.4">
      <c r="A168" s="2" t="s">
        <v>192</v>
      </c>
      <c r="B168" t="str">
        <f>_xlfn.TEXTAFTER(Table1[[#This Row],[VEHIDCODE]],"_")</f>
        <v>Australia_NSWGR_C35</v>
      </c>
      <c r="C168" t="s">
        <v>739</v>
      </c>
      <c r="D168" t="b">
        <f>OR(ISNUMBER(SEARCH("wagon_",Table1[[#This Row],[FILENAMES_EXPECTED]])),ISNUMBER(SEARCH("coach_",Table1[[#This Row],[FILENAMES_EXPECTED]])))</f>
        <v>0</v>
      </c>
      <c r="E168" t="str">
        <f>"item_"&amp;Table1[[#This Row],[VEHIDCODE]]</f>
        <v>item_steam_Australia_NSWGR_C35</v>
      </c>
      <c r="F168" t="str">
        <f>"str_"&amp;Table1[[#This Row],[VEHIDCODE]]</f>
        <v>str_steam_Australia_NSWGR_C35</v>
      </c>
      <c r="G168">
        <v>8</v>
      </c>
      <c r="H168" t="s">
        <v>20</v>
      </c>
      <c r="I168">
        <v>0</v>
      </c>
      <c r="J168" t="s">
        <v>23</v>
      </c>
      <c r="K168">
        <v>0</v>
      </c>
      <c r="L168">
        <v>1914</v>
      </c>
      <c r="M168">
        <v>6</v>
      </c>
      <c r="N168" s="2" t="s">
        <v>20</v>
      </c>
      <c r="O168" t="b">
        <v>1</v>
      </c>
      <c r="Q168" s="2"/>
      <c r="R168">
        <v>45</v>
      </c>
      <c r="S168">
        <v>1</v>
      </c>
      <c r="T168">
        <v>1150</v>
      </c>
      <c r="U168" t="s">
        <v>710</v>
      </c>
      <c r="V168">
        <v>80</v>
      </c>
      <c r="W168" s="2">
        <v>0.1</v>
      </c>
      <c r="AF168" s="2" t="b">
        <v>1</v>
      </c>
      <c r="AX168"/>
      <c r="BA168" s="2"/>
      <c r="BB168" s="2" t="b">
        <f>LEN(_xlfn.CONCAT(Table1[[#This Row],[TRACK_TYPE_STANDARD_GAUGE_RAILTYPE_OHLE]:[TRACK_TYPE_MTRO]]))&gt;0</f>
        <v>1</v>
      </c>
      <c r="BC168" s="7">
        <v>40</v>
      </c>
      <c r="BD168" t="s">
        <v>925</v>
      </c>
      <c r="BE168" t="s">
        <v>922</v>
      </c>
      <c r="BF168" t="s">
        <v>940</v>
      </c>
      <c r="BG1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8">
        <v>0</v>
      </c>
      <c r="BI168" t="s">
        <v>734</v>
      </c>
      <c r="BK168" s="11"/>
      <c r="BL168" s="11">
        <v>126</v>
      </c>
      <c r="BM168">
        <v>0</v>
      </c>
      <c r="BN168" t="s">
        <v>692</v>
      </c>
      <c r="BO168" t="s">
        <v>694</v>
      </c>
      <c r="BP168" t="s">
        <v>701</v>
      </c>
      <c r="BQ168" t="s">
        <v>705</v>
      </c>
      <c r="BR168" t="s">
        <v>706</v>
      </c>
      <c r="BS168" t="s">
        <v>707</v>
      </c>
    </row>
    <row r="169" spans="1:71" hidden="1" x14ac:dyDescent="0.4">
      <c r="A169" s="2" t="s">
        <v>193</v>
      </c>
      <c r="B169" t="str">
        <f>_xlfn.TEXTAFTER(Table1[[#This Row],[VEHIDCODE]],"_")</f>
        <v>Belgium_NMBS_SNCB_Type_29</v>
      </c>
      <c r="C169" t="s">
        <v>739</v>
      </c>
      <c r="D169" t="b">
        <f>OR(ISNUMBER(SEARCH("wagon_",Table1[[#This Row],[FILENAMES_EXPECTED]])),ISNUMBER(SEARCH("coach_",Table1[[#This Row],[FILENAMES_EXPECTED]])))</f>
        <v>0</v>
      </c>
      <c r="E169" t="str">
        <f>"item_"&amp;Table1[[#This Row],[VEHIDCODE]]</f>
        <v>item_steam_Belgium_NMBS_SNCB_Type_29</v>
      </c>
      <c r="F169" t="str">
        <f>"str_"&amp;Table1[[#This Row],[VEHIDCODE]]</f>
        <v>str_steam_Belgium_NMBS_SNCB_Type_29</v>
      </c>
      <c r="G169">
        <v>8</v>
      </c>
      <c r="H169" t="s">
        <v>20</v>
      </c>
      <c r="I169">
        <v>0</v>
      </c>
      <c r="J169" t="s">
        <v>23</v>
      </c>
      <c r="K169">
        <v>0</v>
      </c>
      <c r="L169">
        <v>1945</v>
      </c>
      <c r="M169">
        <v>7</v>
      </c>
      <c r="N169" s="2" t="s">
        <v>20</v>
      </c>
      <c r="O169" t="b">
        <v>1</v>
      </c>
      <c r="Q169" s="2"/>
      <c r="R169">
        <v>45</v>
      </c>
      <c r="S169">
        <v>1</v>
      </c>
      <c r="T169">
        <v>2000</v>
      </c>
      <c r="U169" t="s">
        <v>710</v>
      </c>
      <c r="V169">
        <v>96</v>
      </c>
      <c r="W169" s="2">
        <v>0.15</v>
      </c>
      <c r="AF169" s="2" t="b">
        <v>1</v>
      </c>
      <c r="AX169"/>
      <c r="BA169" s="2"/>
      <c r="BB169" s="2" t="b">
        <f>LEN(_xlfn.CONCAT(Table1[[#This Row],[TRACK_TYPE_STANDARD_GAUGE_RAILTYPE_OHLE]:[TRACK_TYPE_MTRO]]))&gt;0</f>
        <v>1</v>
      </c>
      <c r="BC169" s="7">
        <v>40</v>
      </c>
      <c r="BD169" t="s">
        <v>923</v>
      </c>
      <c r="BE169" t="s">
        <v>922</v>
      </c>
      <c r="BF169" t="s">
        <v>940</v>
      </c>
      <c r="BG1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9">
        <v>0</v>
      </c>
      <c r="BI169" t="s">
        <v>734</v>
      </c>
      <c r="BK169" s="11"/>
      <c r="BL169" s="11">
        <v>127</v>
      </c>
      <c r="BM169">
        <v>0</v>
      </c>
      <c r="BN169" t="s">
        <v>692</v>
      </c>
      <c r="BO169" t="s">
        <v>694</v>
      </c>
      <c r="BP169" t="s">
        <v>701</v>
      </c>
      <c r="BQ169" t="s">
        <v>705</v>
      </c>
      <c r="BR169" t="s">
        <v>706</v>
      </c>
      <c r="BS169" t="s">
        <v>707</v>
      </c>
    </row>
    <row r="170" spans="1:71" hidden="1" x14ac:dyDescent="0.4">
      <c r="A170" s="2" t="s">
        <v>194</v>
      </c>
      <c r="B170" t="str">
        <f>_xlfn.TEXTAFTER(Table1[[#This Row],[VEHIDCODE]],"_")</f>
        <v>Chile_FCAB_4_8_2</v>
      </c>
      <c r="C170" t="s">
        <v>739</v>
      </c>
      <c r="D170" t="b">
        <f>OR(ISNUMBER(SEARCH("wagon_",Table1[[#This Row],[FILENAMES_EXPECTED]])),ISNUMBER(SEARCH("coach_",Table1[[#This Row],[FILENAMES_EXPECTED]])))</f>
        <v>0</v>
      </c>
      <c r="E170" t="str">
        <f>"item_"&amp;Table1[[#This Row],[VEHIDCODE]]</f>
        <v>item_steam_Chile_FCAB_4_8_2</v>
      </c>
      <c r="F170" t="str">
        <f>"str_"&amp;Table1[[#This Row],[VEHIDCODE]]</f>
        <v>str_steam_Chile_FCAB_4_8_2</v>
      </c>
      <c r="G170">
        <v>8</v>
      </c>
      <c r="H170" t="s">
        <v>20</v>
      </c>
      <c r="I170">
        <v>0</v>
      </c>
      <c r="J170" t="s">
        <v>23</v>
      </c>
      <c r="K170">
        <v>0</v>
      </c>
      <c r="L170">
        <v>1954</v>
      </c>
      <c r="M170">
        <v>7</v>
      </c>
      <c r="N170" s="2" t="s">
        <v>20</v>
      </c>
      <c r="O170" t="b">
        <v>1</v>
      </c>
      <c r="Q170" s="2"/>
      <c r="R170">
        <v>45</v>
      </c>
      <c r="S170">
        <v>1</v>
      </c>
      <c r="T170">
        <v>1457</v>
      </c>
      <c r="U170" t="s">
        <v>710</v>
      </c>
      <c r="V170">
        <v>85</v>
      </c>
      <c r="W170" s="2">
        <v>0.1</v>
      </c>
      <c r="AF170" s="2" t="b">
        <v>1</v>
      </c>
      <c r="AX170"/>
      <c r="BA170" s="2"/>
      <c r="BB170" s="2" t="b">
        <f>LEN(_xlfn.CONCAT(Table1[[#This Row],[TRACK_TYPE_STANDARD_GAUGE_RAILTYPE_OHLE]:[TRACK_TYPE_MTRO]]))&gt;0</f>
        <v>1</v>
      </c>
      <c r="BC170" s="7">
        <v>40</v>
      </c>
      <c r="BD170" t="s">
        <v>930</v>
      </c>
      <c r="BE170" t="s">
        <v>922</v>
      </c>
      <c r="BF170" t="s">
        <v>940</v>
      </c>
      <c r="BG1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70">
        <v>0</v>
      </c>
      <c r="BI170" t="s">
        <v>734</v>
      </c>
      <c r="BK170" s="11"/>
      <c r="BL170" s="11">
        <v>146</v>
      </c>
      <c r="BM170">
        <v>0</v>
      </c>
      <c r="BN170" t="s">
        <v>692</v>
      </c>
      <c r="BO170" t="s">
        <v>694</v>
      </c>
      <c r="BP170" t="s">
        <v>701</v>
      </c>
      <c r="BQ170" t="s">
        <v>705</v>
      </c>
      <c r="BR170" t="s">
        <v>706</v>
      </c>
      <c r="BS170" t="s">
        <v>707</v>
      </c>
    </row>
    <row r="171" spans="1:71" hidden="1" x14ac:dyDescent="0.4">
      <c r="A171" s="2" t="s">
        <v>195</v>
      </c>
      <c r="B171" t="str">
        <f>_xlfn.TEXTAFTER(Table1[[#This Row],[VEHIDCODE]],"_")</f>
        <v>China_Railways_QJ</v>
      </c>
      <c r="C171" t="s">
        <v>739</v>
      </c>
      <c r="D171" t="b">
        <f>OR(ISNUMBER(SEARCH("wagon_",Table1[[#This Row],[FILENAMES_EXPECTED]])),ISNUMBER(SEARCH("coach_",Table1[[#This Row],[FILENAMES_EXPECTED]])))</f>
        <v>0</v>
      </c>
      <c r="E171" t="str">
        <f>"item_"&amp;Table1[[#This Row],[VEHIDCODE]]</f>
        <v>item_steam_China_Railways_QJ</v>
      </c>
      <c r="F171" t="str">
        <f>"str_"&amp;Table1[[#This Row],[VEHIDCODE]]</f>
        <v>str_steam_China_Railways_QJ</v>
      </c>
      <c r="G171">
        <v>12</v>
      </c>
      <c r="H171" t="s">
        <v>20</v>
      </c>
      <c r="I171">
        <v>0</v>
      </c>
      <c r="J171" t="s">
        <v>23</v>
      </c>
      <c r="K171">
        <v>0</v>
      </c>
      <c r="L171">
        <v>1956</v>
      </c>
      <c r="M171">
        <v>8</v>
      </c>
      <c r="N171" s="2" t="s">
        <v>24</v>
      </c>
      <c r="O171" t="b">
        <v>1</v>
      </c>
      <c r="Q171" s="2"/>
      <c r="R171">
        <v>45</v>
      </c>
      <c r="S171">
        <v>1</v>
      </c>
      <c r="T171">
        <v>3580</v>
      </c>
      <c r="U171" t="s">
        <v>710</v>
      </c>
      <c r="V171">
        <v>80</v>
      </c>
      <c r="W171" s="2">
        <v>0.21</v>
      </c>
      <c r="AF171" s="2" t="b">
        <v>1</v>
      </c>
      <c r="AX171"/>
      <c r="BA171" s="2"/>
      <c r="BB171" s="2" t="b">
        <f>LEN(_xlfn.CONCAT(Table1[[#This Row],[TRACK_TYPE_STANDARD_GAUGE_RAILTYPE_OHLE]:[TRACK_TYPE_MTRO]]))&gt;0</f>
        <v>1</v>
      </c>
      <c r="BC171" s="7">
        <v>40</v>
      </c>
      <c r="BD171" t="s">
        <v>931</v>
      </c>
      <c r="BE171" t="s">
        <v>922</v>
      </c>
      <c r="BF171" t="s">
        <v>940</v>
      </c>
      <c r="BG1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71">
        <v>0</v>
      </c>
      <c r="BI171" t="s">
        <v>734</v>
      </c>
      <c r="BK171" s="11"/>
      <c r="BL171" s="11">
        <v>133</v>
      </c>
      <c r="BM171">
        <v>0</v>
      </c>
      <c r="BN171" t="s">
        <v>692</v>
      </c>
      <c r="BO171" t="s">
        <v>694</v>
      </c>
      <c r="BP171" t="s">
        <v>701</v>
      </c>
      <c r="BQ171" t="s">
        <v>705</v>
      </c>
      <c r="BR171" t="s">
        <v>706</v>
      </c>
      <c r="BS171" t="s">
        <v>707</v>
      </c>
    </row>
    <row r="172" spans="1:71" hidden="1" x14ac:dyDescent="0.4">
      <c r="A172" s="2" t="s">
        <v>196</v>
      </c>
      <c r="B172" t="str">
        <f>_xlfn.TEXTAFTER(Table1[[#This Row],[VEHIDCODE]],"_")</f>
        <v>Germany_DB_Kof_II</v>
      </c>
      <c r="C172" t="s">
        <v>740</v>
      </c>
      <c r="D172" t="b">
        <f>OR(ISNUMBER(SEARCH("wagon_",Table1[[#This Row],[FILENAMES_EXPECTED]])),ISNUMBER(SEARCH("coach_",Table1[[#This Row],[FILENAMES_EXPECTED]])))</f>
        <v>0</v>
      </c>
      <c r="E172" t="str">
        <f>"item_"&amp;Table1[[#This Row],[VEHIDCODE]]</f>
        <v>item_diesel_Germany_DB_Kof_II</v>
      </c>
      <c r="F172" t="str">
        <f>"str_"&amp;Table1[[#This Row],[VEHIDCODE]]</f>
        <v>str_diesel_Germany_DB_Kof_II</v>
      </c>
      <c r="G172">
        <v>4</v>
      </c>
      <c r="H172" t="s">
        <v>20</v>
      </c>
      <c r="I172">
        <v>0</v>
      </c>
      <c r="J172" t="s">
        <v>35</v>
      </c>
      <c r="K172">
        <v>0</v>
      </c>
      <c r="L172">
        <v>1930</v>
      </c>
      <c r="M172">
        <v>4</v>
      </c>
      <c r="N172" s="2" t="s">
        <v>20</v>
      </c>
      <c r="O172" t="b">
        <v>1</v>
      </c>
      <c r="Q172" s="2"/>
      <c r="R172">
        <v>45</v>
      </c>
      <c r="S172">
        <v>1</v>
      </c>
      <c r="T172">
        <v>95</v>
      </c>
      <c r="U172" t="s">
        <v>711</v>
      </c>
      <c r="V172">
        <v>30</v>
      </c>
      <c r="W172" s="2">
        <v>0.39</v>
      </c>
      <c r="AF172" s="2" t="b">
        <v>1</v>
      </c>
      <c r="AX172"/>
      <c r="BA172" s="2"/>
      <c r="BB172" s="2" t="b">
        <f>LEN(_xlfn.CONCAT(Table1[[#This Row],[TRACK_TYPE_STANDARD_GAUGE_RAILTYPE_OHLE]:[TRACK_TYPE_MTRO]]))&gt;0</f>
        <v>1</v>
      </c>
      <c r="BC172" s="7">
        <v>40</v>
      </c>
      <c r="BD172" t="s">
        <v>923</v>
      </c>
      <c r="BE172" t="s">
        <v>922</v>
      </c>
      <c r="BF172" t="s">
        <v>940</v>
      </c>
      <c r="BG1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2">
        <v>0</v>
      </c>
      <c r="BI172" t="s">
        <v>734</v>
      </c>
      <c r="BK172" s="11"/>
      <c r="BL172" s="11">
        <v>18</v>
      </c>
      <c r="BM172">
        <v>0</v>
      </c>
      <c r="BN172" t="s">
        <v>692</v>
      </c>
      <c r="BO172" t="s">
        <v>694</v>
      </c>
      <c r="BP172" t="s">
        <v>701</v>
      </c>
      <c r="BQ172" t="s">
        <v>705</v>
      </c>
      <c r="BR172" t="s">
        <v>706</v>
      </c>
      <c r="BS172" t="s">
        <v>707</v>
      </c>
    </row>
    <row r="173" spans="1:71" hidden="1" x14ac:dyDescent="0.4">
      <c r="A173" s="2" t="s">
        <v>197</v>
      </c>
      <c r="B173" t="str">
        <f>_xlfn.TEXTAFTER(Table1[[#This Row],[VEHIDCODE]],"_")</f>
        <v>USA_CNJ_ALCo_GE_IR_Boxcab</v>
      </c>
      <c r="C173" t="s">
        <v>740</v>
      </c>
      <c r="D173" t="b">
        <f>OR(ISNUMBER(SEARCH("wagon_",Table1[[#This Row],[FILENAMES_EXPECTED]])),ISNUMBER(SEARCH("coach_",Table1[[#This Row],[FILENAMES_EXPECTED]])))</f>
        <v>0</v>
      </c>
      <c r="E173" t="str">
        <f>"item_"&amp;Table1[[#This Row],[VEHIDCODE]]</f>
        <v>item_diesel_USA_CNJ_ALCo_GE_IR_Boxcab</v>
      </c>
      <c r="F173" t="str">
        <f>"str_"&amp;Table1[[#This Row],[VEHIDCODE]]</f>
        <v>str_diesel_USA_CNJ_ALCo_GE_IR_Boxcab</v>
      </c>
      <c r="G173">
        <v>4</v>
      </c>
      <c r="H173" t="s">
        <v>20</v>
      </c>
      <c r="I173">
        <v>0</v>
      </c>
      <c r="J173" t="s">
        <v>35</v>
      </c>
      <c r="K173">
        <v>0</v>
      </c>
      <c r="L173">
        <v>1931</v>
      </c>
      <c r="M173">
        <v>4</v>
      </c>
      <c r="N173" s="2" t="s">
        <v>20</v>
      </c>
      <c r="O173" t="b">
        <v>1</v>
      </c>
      <c r="Q173" s="2"/>
      <c r="R173">
        <v>45</v>
      </c>
      <c r="S173">
        <v>1</v>
      </c>
      <c r="T173">
        <v>300</v>
      </c>
      <c r="U173" t="s">
        <v>711</v>
      </c>
      <c r="V173">
        <v>100</v>
      </c>
      <c r="W173" s="2">
        <v>0.11</v>
      </c>
      <c r="AF173" s="2" t="b">
        <v>1</v>
      </c>
      <c r="AX173"/>
      <c r="BA173" s="2"/>
      <c r="BB173" s="2" t="b">
        <f>LEN(_xlfn.CONCAT(Table1[[#This Row],[TRACK_TYPE_STANDARD_GAUGE_RAILTYPE_OHLE]:[TRACK_TYPE_MTRO]]))&gt;0</f>
        <v>1</v>
      </c>
      <c r="BC173" s="7">
        <v>40</v>
      </c>
      <c r="BD173" t="s">
        <v>928</v>
      </c>
      <c r="BE173" t="s">
        <v>922</v>
      </c>
      <c r="BF173" t="s">
        <v>940</v>
      </c>
      <c r="BG1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3">
        <v>0</v>
      </c>
      <c r="BI173" t="s">
        <v>734</v>
      </c>
      <c r="BK173" s="11"/>
      <c r="BL173" s="11">
        <v>61</v>
      </c>
      <c r="BM173">
        <v>0</v>
      </c>
      <c r="BN173" t="s">
        <v>692</v>
      </c>
      <c r="BO173" t="s">
        <v>694</v>
      </c>
      <c r="BP173" t="s">
        <v>701</v>
      </c>
      <c r="BQ173" t="s">
        <v>705</v>
      </c>
      <c r="BR173" t="s">
        <v>706</v>
      </c>
      <c r="BS173" t="s">
        <v>707</v>
      </c>
    </row>
    <row r="174" spans="1:71" hidden="1" x14ac:dyDescent="0.4">
      <c r="A174" s="2" t="s">
        <v>198</v>
      </c>
      <c r="B174" t="str">
        <f>_xlfn.TEXTAFTER(Table1[[#This Row],[VEHIDCODE]],"_")</f>
        <v>Netherlands_NS_200</v>
      </c>
      <c r="C174" t="s">
        <v>740</v>
      </c>
      <c r="D174" t="b">
        <f>OR(ISNUMBER(SEARCH("wagon_",Table1[[#This Row],[FILENAMES_EXPECTED]])),ISNUMBER(SEARCH("coach_",Table1[[#This Row],[FILENAMES_EXPECTED]])))</f>
        <v>0</v>
      </c>
      <c r="E174" t="str">
        <f>"item_"&amp;Table1[[#This Row],[VEHIDCODE]]</f>
        <v>item_diesel_Netherlands_NS_200</v>
      </c>
      <c r="F174" t="str">
        <f>"str_"&amp;Table1[[#This Row],[VEHIDCODE]]</f>
        <v>str_diesel_Netherlands_NS_200</v>
      </c>
      <c r="G174">
        <v>4</v>
      </c>
      <c r="H174" t="s">
        <v>20</v>
      </c>
      <c r="I174">
        <v>0</v>
      </c>
      <c r="J174" t="s">
        <v>35</v>
      </c>
      <c r="K174">
        <v>0</v>
      </c>
      <c r="L174">
        <v>1934</v>
      </c>
      <c r="M174">
        <v>4</v>
      </c>
      <c r="N174" s="2" t="s">
        <v>20</v>
      </c>
      <c r="O174" t="b">
        <v>1</v>
      </c>
      <c r="Q174" s="2"/>
      <c r="R174">
        <v>45</v>
      </c>
      <c r="S174">
        <v>1</v>
      </c>
      <c r="T174">
        <v>72</v>
      </c>
      <c r="U174" t="s">
        <v>711</v>
      </c>
      <c r="V174">
        <v>60</v>
      </c>
      <c r="W174" s="2">
        <v>0.19</v>
      </c>
      <c r="AF174" s="2" t="b">
        <v>1</v>
      </c>
      <c r="AX174"/>
      <c r="BA174" s="2"/>
      <c r="BB174" s="2" t="b">
        <f>LEN(_xlfn.CONCAT(Table1[[#This Row],[TRACK_TYPE_STANDARD_GAUGE_RAILTYPE_OHLE]:[TRACK_TYPE_MTRO]]))&gt;0</f>
        <v>1</v>
      </c>
      <c r="BC174" s="7">
        <v>40</v>
      </c>
      <c r="BD174" t="s">
        <v>923</v>
      </c>
      <c r="BE174" t="s">
        <v>922</v>
      </c>
      <c r="BF174" t="s">
        <v>940</v>
      </c>
      <c r="BG1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4">
        <v>0</v>
      </c>
      <c r="BI174" t="s">
        <v>734</v>
      </c>
      <c r="BK174" s="11"/>
      <c r="BL174" s="11">
        <v>21</v>
      </c>
      <c r="BM174">
        <v>0</v>
      </c>
      <c r="BN174" t="s">
        <v>692</v>
      </c>
      <c r="BO174" t="s">
        <v>694</v>
      </c>
      <c r="BP174" t="s">
        <v>701</v>
      </c>
      <c r="BQ174" t="s">
        <v>705</v>
      </c>
      <c r="BR174" t="s">
        <v>706</v>
      </c>
      <c r="BS174" t="s">
        <v>707</v>
      </c>
    </row>
    <row r="175" spans="1:71" hidden="1" x14ac:dyDescent="0.4">
      <c r="A175" s="2" t="s">
        <v>199</v>
      </c>
      <c r="B175" t="str">
        <f>_xlfn.TEXTAFTER(Table1[[#This Row],[VEHIDCODE]],"_")</f>
        <v>Germany_DB_270</v>
      </c>
      <c r="C175" t="s">
        <v>740</v>
      </c>
      <c r="D175" t="b">
        <f>OR(ISNUMBER(SEARCH("wagon_",Table1[[#This Row],[FILENAMES_EXPECTED]])),ISNUMBER(SEARCH("coach_",Table1[[#This Row],[FILENAMES_EXPECTED]])))</f>
        <v>0</v>
      </c>
      <c r="E175" t="str">
        <f>"item_"&amp;Table1[[#This Row],[VEHIDCODE]]</f>
        <v>item_diesel_Germany_DB_270</v>
      </c>
      <c r="F175" t="str">
        <f>"str_"&amp;Table1[[#This Row],[VEHIDCODE]]</f>
        <v>str_diesel_Germany_DB_270</v>
      </c>
      <c r="G175">
        <v>5</v>
      </c>
      <c r="H175" t="s">
        <v>20</v>
      </c>
      <c r="I175">
        <v>0</v>
      </c>
      <c r="J175" t="s">
        <v>35</v>
      </c>
      <c r="K175">
        <v>0</v>
      </c>
      <c r="L175">
        <v>1936</v>
      </c>
      <c r="M175">
        <v>5</v>
      </c>
      <c r="N175" s="2" t="s">
        <v>20</v>
      </c>
      <c r="O175" t="b">
        <v>1</v>
      </c>
      <c r="Q175" s="2"/>
      <c r="R175">
        <v>45</v>
      </c>
      <c r="S175">
        <v>1</v>
      </c>
      <c r="T175">
        <v>200</v>
      </c>
      <c r="U175" t="s">
        <v>711</v>
      </c>
      <c r="V175">
        <v>55</v>
      </c>
      <c r="W175" s="2">
        <v>0.31</v>
      </c>
      <c r="AF175" s="2" t="b">
        <v>1</v>
      </c>
      <c r="AX175"/>
      <c r="BA175" s="2"/>
      <c r="BB175" s="2" t="b">
        <f>LEN(_xlfn.CONCAT(Table1[[#This Row],[TRACK_TYPE_STANDARD_GAUGE_RAILTYPE_OHLE]:[TRACK_TYPE_MTRO]]))&gt;0</f>
        <v>1</v>
      </c>
      <c r="BC175" s="7">
        <v>40</v>
      </c>
      <c r="BD175" t="s">
        <v>923</v>
      </c>
      <c r="BE175" t="s">
        <v>922</v>
      </c>
      <c r="BF175" t="s">
        <v>940</v>
      </c>
      <c r="BG1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5">
        <v>0</v>
      </c>
      <c r="BI175" t="s">
        <v>734</v>
      </c>
      <c r="BK175" s="11"/>
      <c r="BL175" s="11">
        <v>26</v>
      </c>
      <c r="BM175">
        <v>0</v>
      </c>
      <c r="BN175" t="s">
        <v>692</v>
      </c>
      <c r="BO175" t="s">
        <v>694</v>
      </c>
      <c r="BP175" t="s">
        <v>701</v>
      </c>
      <c r="BQ175" t="s">
        <v>705</v>
      </c>
      <c r="BR175" t="s">
        <v>706</v>
      </c>
      <c r="BS175" t="s">
        <v>707</v>
      </c>
    </row>
    <row r="176" spans="1:71" hidden="1" x14ac:dyDescent="0.4">
      <c r="A176" s="2" t="s">
        <v>200</v>
      </c>
      <c r="B176" t="str">
        <f>_xlfn.TEXTAFTER(Table1[[#This Row],[VEHIDCODE]],"_")</f>
        <v>Switzerland_SBB_Am_4_6</v>
      </c>
      <c r="C176" t="s">
        <v>740</v>
      </c>
      <c r="D176" t="b">
        <f>OR(ISNUMBER(SEARCH("wagon_",Table1[[#This Row],[FILENAMES_EXPECTED]])),ISNUMBER(SEARCH("coach_",Table1[[#This Row],[FILENAMES_EXPECTED]])))</f>
        <v>0</v>
      </c>
      <c r="E176" t="str">
        <f>"item_"&amp;Table1[[#This Row],[VEHIDCODE]]</f>
        <v>item_diesel_Switzerland_SBB_Am_4_6</v>
      </c>
      <c r="F176" t="str">
        <f>"str_"&amp;Table1[[#This Row],[VEHIDCODE]]</f>
        <v>str_diesel_Switzerland_SBB_Am_4_6</v>
      </c>
      <c r="G176">
        <v>8</v>
      </c>
      <c r="H176" t="s">
        <v>20</v>
      </c>
      <c r="I176">
        <v>0</v>
      </c>
      <c r="J176" t="s">
        <v>35</v>
      </c>
      <c r="K176">
        <v>0</v>
      </c>
      <c r="L176">
        <v>1938</v>
      </c>
      <c r="M176">
        <v>8</v>
      </c>
      <c r="N176" s="2" t="s">
        <v>20</v>
      </c>
      <c r="O176" t="b">
        <v>1</v>
      </c>
      <c r="Q176" s="2"/>
      <c r="R176">
        <v>45</v>
      </c>
      <c r="S176">
        <v>1</v>
      </c>
      <c r="T176">
        <v>2170</v>
      </c>
      <c r="U176" t="s">
        <v>711</v>
      </c>
      <c r="V176">
        <v>110</v>
      </c>
      <c r="W176" s="2">
        <v>0.14000000000000001</v>
      </c>
      <c r="AF176" s="2" t="b">
        <v>1</v>
      </c>
      <c r="AX176"/>
      <c r="BA176" s="2"/>
      <c r="BB176" s="2" t="b">
        <f>LEN(_xlfn.CONCAT(Table1[[#This Row],[TRACK_TYPE_STANDARD_GAUGE_RAILTYPE_OHLE]:[TRACK_TYPE_MTRO]]))&gt;0</f>
        <v>1</v>
      </c>
      <c r="BC176" s="7">
        <v>40</v>
      </c>
      <c r="BD176" t="s">
        <v>923</v>
      </c>
      <c r="BE176" t="s">
        <v>922</v>
      </c>
      <c r="BF176" t="s">
        <v>940</v>
      </c>
      <c r="BG1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6">
        <v>0</v>
      </c>
      <c r="BI176" t="s">
        <v>734</v>
      </c>
      <c r="BK176" s="11"/>
      <c r="BL176" s="11">
        <v>92</v>
      </c>
      <c r="BM176">
        <v>0</v>
      </c>
      <c r="BN176" t="s">
        <v>692</v>
      </c>
      <c r="BO176" t="s">
        <v>694</v>
      </c>
      <c r="BP176" t="s">
        <v>701</v>
      </c>
      <c r="BQ176" t="s">
        <v>705</v>
      </c>
      <c r="BR176" t="s">
        <v>706</v>
      </c>
      <c r="BS176" t="s">
        <v>707</v>
      </c>
    </row>
    <row r="177" spans="1:71" hidden="1" x14ac:dyDescent="0.4">
      <c r="A177" s="2" t="s">
        <v>201</v>
      </c>
      <c r="B177" t="str">
        <f>_xlfn.TEXTAFTER(Table1[[#This Row],[VEHIDCODE]],"_")</f>
        <v>Australia_NSWGR_79</v>
      </c>
      <c r="C177" t="s">
        <v>740</v>
      </c>
      <c r="D177" t="b">
        <f>OR(ISNUMBER(SEARCH("wagon_",Table1[[#This Row],[FILENAMES_EXPECTED]])),ISNUMBER(SEARCH("coach_",Table1[[#This Row],[FILENAMES_EXPECTED]])))</f>
        <v>0</v>
      </c>
      <c r="E177" t="str">
        <f>"item_"&amp;Table1[[#This Row],[VEHIDCODE]]</f>
        <v>item_diesel_Australia_NSWGR_79</v>
      </c>
      <c r="F177" t="str">
        <f>"str_"&amp;Table1[[#This Row],[VEHIDCODE]]</f>
        <v>str_diesel_Australia_NSWGR_79</v>
      </c>
      <c r="G177">
        <v>5</v>
      </c>
      <c r="H177" t="s">
        <v>20</v>
      </c>
      <c r="I177">
        <v>0</v>
      </c>
      <c r="J177" t="s">
        <v>35</v>
      </c>
      <c r="K177">
        <v>0</v>
      </c>
      <c r="L177">
        <v>1940</v>
      </c>
      <c r="M177">
        <v>5</v>
      </c>
      <c r="N177" s="2" t="s">
        <v>20</v>
      </c>
      <c r="O177" t="b">
        <v>1</v>
      </c>
      <c r="Q177" s="2"/>
      <c r="R177">
        <v>45</v>
      </c>
      <c r="S177">
        <v>1</v>
      </c>
      <c r="T177">
        <v>380</v>
      </c>
      <c r="U177" t="s">
        <v>711</v>
      </c>
      <c r="V177">
        <v>56</v>
      </c>
      <c r="W177" s="2">
        <v>0.15</v>
      </c>
      <c r="AF177" s="2" t="b">
        <v>1</v>
      </c>
      <c r="AX177"/>
      <c r="BA177" s="2"/>
      <c r="BB177" s="2" t="b">
        <f>LEN(_xlfn.CONCAT(Table1[[#This Row],[TRACK_TYPE_STANDARD_GAUGE_RAILTYPE_OHLE]:[TRACK_TYPE_MTRO]]))&gt;0</f>
        <v>1</v>
      </c>
      <c r="BC177" s="7">
        <v>40</v>
      </c>
      <c r="BD177" t="s">
        <v>925</v>
      </c>
      <c r="BE177" t="s">
        <v>922</v>
      </c>
      <c r="BF177" t="s">
        <v>940</v>
      </c>
      <c r="BG1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7">
        <v>0</v>
      </c>
      <c r="BI177" t="s">
        <v>734</v>
      </c>
      <c r="BK177" s="11"/>
      <c r="BL177" s="11">
        <v>40</v>
      </c>
      <c r="BM177">
        <v>0</v>
      </c>
      <c r="BN177" t="s">
        <v>692</v>
      </c>
      <c r="BO177" t="s">
        <v>694</v>
      </c>
      <c r="BP177" t="s">
        <v>701</v>
      </c>
      <c r="BQ177" t="s">
        <v>705</v>
      </c>
      <c r="BR177" t="s">
        <v>706</v>
      </c>
      <c r="BS177" t="s">
        <v>707</v>
      </c>
    </row>
    <row r="178" spans="1:71" hidden="1" x14ac:dyDescent="0.4">
      <c r="A178" s="2" t="s">
        <v>202</v>
      </c>
      <c r="B178" t="str">
        <f>_xlfn.TEXTAFTER(Table1[[#This Row],[VEHIDCODE]],"_")</f>
        <v>USA_Western_Pacific_ALCO_S_2</v>
      </c>
      <c r="C178" t="s">
        <v>740</v>
      </c>
      <c r="D178" t="b">
        <f>OR(ISNUMBER(SEARCH("wagon_",Table1[[#This Row],[FILENAMES_EXPECTED]])),ISNUMBER(SEARCH("coach_",Table1[[#This Row],[FILENAMES_EXPECTED]])))</f>
        <v>0</v>
      </c>
      <c r="E178" t="str">
        <f>"item_"&amp;Table1[[#This Row],[VEHIDCODE]]</f>
        <v>item_diesel_USA_Western_Pacific_ALCO_S_2</v>
      </c>
      <c r="F178" t="str">
        <f>"str_"&amp;Table1[[#This Row],[VEHIDCODE]]</f>
        <v>str_diesel_USA_Western_Pacific_ALCO_S_2</v>
      </c>
      <c r="G178">
        <v>6</v>
      </c>
      <c r="H178" t="s">
        <v>20</v>
      </c>
      <c r="I178">
        <v>0</v>
      </c>
      <c r="J178" t="s">
        <v>35</v>
      </c>
      <c r="K178">
        <v>0</v>
      </c>
      <c r="L178">
        <v>1940</v>
      </c>
      <c r="M178">
        <v>6</v>
      </c>
      <c r="N178" s="2" t="s">
        <v>20</v>
      </c>
      <c r="O178" t="b">
        <v>1</v>
      </c>
      <c r="Q178" s="2"/>
      <c r="R178">
        <v>45</v>
      </c>
      <c r="S178">
        <v>1</v>
      </c>
      <c r="T178">
        <v>1000</v>
      </c>
      <c r="U178" t="s">
        <v>711</v>
      </c>
      <c r="V178">
        <v>96</v>
      </c>
      <c r="W178" s="2">
        <v>0.15</v>
      </c>
      <c r="AF178" s="2" t="b">
        <v>1</v>
      </c>
      <c r="AX178"/>
      <c r="BA178" s="2"/>
      <c r="BB178" s="2" t="b">
        <f>LEN(_xlfn.CONCAT(Table1[[#This Row],[TRACK_TYPE_STANDARD_GAUGE_RAILTYPE_OHLE]:[TRACK_TYPE_MTRO]]))&gt;0</f>
        <v>1</v>
      </c>
      <c r="BC178" s="7">
        <v>40</v>
      </c>
      <c r="BD178" t="s">
        <v>928</v>
      </c>
      <c r="BE178" t="s">
        <v>922</v>
      </c>
      <c r="BF178" t="s">
        <v>940</v>
      </c>
      <c r="BG1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8">
        <v>0</v>
      </c>
      <c r="BI178" t="s">
        <v>734</v>
      </c>
      <c r="BK178" s="11"/>
      <c r="BL178" s="11">
        <v>104</v>
      </c>
      <c r="BM178">
        <v>0</v>
      </c>
      <c r="BN178" t="s">
        <v>692</v>
      </c>
      <c r="BO178" t="s">
        <v>694</v>
      </c>
      <c r="BP178" t="s">
        <v>701</v>
      </c>
      <c r="BQ178" t="s">
        <v>705</v>
      </c>
      <c r="BR178" t="s">
        <v>706</v>
      </c>
      <c r="BS178" t="s">
        <v>707</v>
      </c>
    </row>
    <row r="179" spans="1:71" hidden="1" x14ac:dyDescent="0.4">
      <c r="A179" s="2" t="s">
        <v>203</v>
      </c>
      <c r="B179" t="str">
        <f>_xlfn.TEXTAFTER(Table1[[#This Row],[VEHIDCODE]],"_")</f>
        <v>USA_AT_SF_EMD_F3</v>
      </c>
      <c r="C179" t="s">
        <v>740</v>
      </c>
      <c r="D179" t="b">
        <f>OR(ISNUMBER(SEARCH("wagon_",Table1[[#This Row],[FILENAMES_EXPECTED]])),ISNUMBER(SEARCH("coach_",Table1[[#This Row],[FILENAMES_EXPECTED]])))</f>
        <v>0</v>
      </c>
      <c r="E179" t="str">
        <f>"item_"&amp;Table1[[#This Row],[VEHIDCODE]]</f>
        <v>item_diesel_USA_AT_SF_EMD_F3</v>
      </c>
      <c r="F179" t="str">
        <f>"str_"&amp;Table1[[#This Row],[VEHIDCODE]]</f>
        <v>str_diesel_USA_AT_SF_EMD_F3</v>
      </c>
      <c r="G179">
        <v>7</v>
      </c>
      <c r="H179" t="s">
        <v>20</v>
      </c>
      <c r="I179">
        <v>0</v>
      </c>
      <c r="J179" t="s">
        <v>35</v>
      </c>
      <c r="K179">
        <v>0</v>
      </c>
      <c r="L179">
        <v>1946</v>
      </c>
      <c r="M179">
        <v>7</v>
      </c>
      <c r="N179" s="2" t="s">
        <v>20</v>
      </c>
      <c r="O179" t="b">
        <v>1</v>
      </c>
      <c r="Q179" s="2"/>
      <c r="R179">
        <v>45</v>
      </c>
      <c r="S179">
        <v>1</v>
      </c>
      <c r="T179">
        <v>1500</v>
      </c>
      <c r="U179" t="s">
        <v>711</v>
      </c>
      <c r="V179">
        <v>105</v>
      </c>
      <c r="W179" s="2">
        <v>0.16</v>
      </c>
      <c r="AF179" s="2" t="b">
        <v>1</v>
      </c>
      <c r="AX179"/>
      <c r="BA179" s="2"/>
      <c r="BB179" s="2" t="b">
        <f>LEN(_xlfn.CONCAT(Table1[[#This Row],[TRACK_TYPE_STANDARD_GAUGE_RAILTYPE_OHLE]:[TRACK_TYPE_MTRO]]))&gt;0</f>
        <v>1</v>
      </c>
      <c r="BC179" s="7">
        <v>40</v>
      </c>
      <c r="BD179" t="s">
        <v>928</v>
      </c>
      <c r="BE179" t="s">
        <v>922</v>
      </c>
      <c r="BF179" t="s">
        <v>940</v>
      </c>
      <c r="BG1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9">
        <v>-3</v>
      </c>
      <c r="BI179" t="s">
        <v>734</v>
      </c>
      <c r="BK179" s="11"/>
      <c r="BL179" s="11">
        <v>139</v>
      </c>
      <c r="BM179">
        <v>0</v>
      </c>
      <c r="BN179" t="s">
        <v>692</v>
      </c>
      <c r="BO179" t="s">
        <v>694</v>
      </c>
      <c r="BP179" t="s">
        <v>701</v>
      </c>
      <c r="BQ179" t="s">
        <v>705</v>
      </c>
      <c r="BR179" t="s">
        <v>706</v>
      </c>
      <c r="BS179" t="s">
        <v>707</v>
      </c>
    </row>
    <row r="180" spans="1:71" hidden="1" x14ac:dyDescent="0.4">
      <c r="A180" s="2" t="s">
        <v>204</v>
      </c>
      <c r="B180" t="str">
        <f>_xlfn.TEXTAFTER(Table1[[#This Row],[VEHIDCODE]],"_")</f>
        <v>USA_UP_EMD_E8</v>
      </c>
      <c r="C180" t="s">
        <v>740</v>
      </c>
      <c r="D180" t="b">
        <f>OR(ISNUMBER(SEARCH("wagon_",Table1[[#This Row],[FILENAMES_EXPECTED]])),ISNUMBER(SEARCH("coach_",Table1[[#This Row],[FILENAMES_EXPECTED]])))</f>
        <v>0</v>
      </c>
      <c r="E180" t="str">
        <f>"item_"&amp;Table1[[#This Row],[VEHIDCODE]]</f>
        <v>item_diesel_USA_UP_EMD_E8</v>
      </c>
      <c r="F180" t="str">
        <f>"str_"&amp;Table1[[#This Row],[VEHIDCODE]]</f>
        <v>str_diesel_USA_UP_EMD_E8</v>
      </c>
      <c r="G180">
        <v>8</v>
      </c>
      <c r="H180" t="s">
        <v>20</v>
      </c>
      <c r="I180">
        <v>0</v>
      </c>
      <c r="J180" t="s">
        <v>35</v>
      </c>
      <c r="K180">
        <v>0</v>
      </c>
      <c r="L180">
        <v>1949</v>
      </c>
      <c r="M180">
        <v>8</v>
      </c>
      <c r="N180" s="2" t="s">
        <v>20</v>
      </c>
      <c r="O180" t="b">
        <v>1</v>
      </c>
      <c r="Q180" s="2"/>
      <c r="R180">
        <v>45</v>
      </c>
      <c r="S180">
        <v>1</v>
      </c>
      <c r="T180">
        <v>2250</v>
      </c>
      <c r="U180" t="s">
        <v>711</v>
      </c>
      <c r="V180">
        <v>152</v>
      </c>
      <c r="W180" s="2">
        <v>0.13</v>
      </c>
      <c r="AF180" s="2" t="b">
        <v>1</v>
      </c>
      <c r="AX180"/>
      <c r="BA180" s="2"/>
      <c r="BB180" s="2" t="b">
        <f>LEN(_xlfn.CONCAT(Table1[[#This Row],[TRACK_TYPE_STANDARD_GAUGE_RAILTYPE_OHLE]:[TRACK_TYPE_MTRO]]))&gt;0</f>
        <v>1</v>
      </c>
      <c r="BC180" s="7">
        <v>40</v>
      </c>
      <c r="BD180" t="s">
        <v>928</v>
      </c>
      <c r="BE180" t="s">
        <v>922</v>
      </c>
      <c r="BF180" t="s">
        <v>940</v>
      </c>
      <c r="BG1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0">
        <v>-3</v>
      </c>
      <c r="BI180" t="s">
        <v>734</v>
      </c>
      <c r="BK180" s="11"/>
      <c r="BL180" s="11">
        <v>155</v>
      </c>
      <c r="BM180">
        <v>0</v>
      </c>
      <c r="BN180" t="s">
        <v>692</v>
      </c>
      <c r="BO180" t="s">
        <v>694</v>
      </c>
      <c r="BP180" t="s">
        <v>701</v>
      </c>
      <c r="BQ180" t="s">
        <v>705</v>
      </c>
      <c r="BR180" t="s">
        <v>706</v>
      </c>
      <c r="BS180" t="s">
        <v>707</v>
      </c>
    </row>
    <row r="181" spans="1:71" hidden="1" x14ac:dyDescent="0.4">
      <c r="A181" s="2" t="s">
        <v>205</v>
      </c>
      <c r="B181" t="str">
        <f>_xlfn.TEXTAFTER(Table1[[#This Row],[VEHIDCODE]],"_")</f>
        <v>Brazil_EFCB_ALCO_RS_3</v>
      </c>
      <c r="C181" t="s">
        <v>740</v>
      </c>
      <c r="D181" t="b">
        <f>OR(ISNUMBER(SEARCH("wagon_",Table1[[#This Row],[FILENAMES_EXPECTED]])),ISNUMBER(SEARCH("coach_",Table1[[#This Row],[FILENAMES_EXPECTED]])))</f>
        <v>0</v>
      </c>
      <c r="E181" t="str">
        <f>"item_"&amp;Table1[[#This Row],[VEHIDCODE]]</f>
        <v>item_diesel_Brazil_EFCB_ALCO_RS_3</v>
      </c>
      <c r="F181" t="str">
        <f>"str_"&amp;Table1[[#This Row],[VEHIDCODE]]</f>
        <v>str_diesel_Brazil_EFCB_ALCO_RS_3</v>
      </c>
      <c r="G181">
        <v>7</v>
      </c>
      <c r="H181" t="s">
        <v>20</v>
      </c>
      <c r="I181">
        <v>0</v>
      </c>
      <c r="J181" t="s">
        <v>35</v>
      </c>
      <c r="K181">
        <v>0</v>
      </c>
      <c r="L181">
        <v>1950</v>
      </c>
      <c r="M181">
        <v>7</v>
      </c>
      <c r="N181" s="2" t="s">
        <v>20</v>
      </c>
      <c r="O181" t="b">
        <v>1</v>
      </c>
      <c r="Q181" s="2"/>
      <c r="R181">
        <v>45</v>
      </c>
      <c r="S181">
        <v>1</v>
      </c>
      <c r="T181">
        <v>1600</v>
      </c>
      <c r="U181" t="s">
        <v>711</v>
      </c>
      <c r="V181">
        <v>104</v>
      </c>
      <c r="W181" s="2">
        <v>0.1</v>
      </c>
      <c r="AF181" s="2" t="b">
        <v>1</v>
      </c>
      <c r="AX181"/>
      <c r="BA181" s="2"/>
      <c r="BB181" s="2" t="b">
        <f>LEN(_xlfn.CONCAT(Table1[[#This Row],[TRACK_TYPE_STANDARD_GAUGE_RAILTYPE_OHLE]:[TRACK_TYPE_MTRO]]))&gt;0</f>
        <v>1</v>
      </c>
      <c r="BC181" s="7">
        <v>40</v>
      </c>
      <c r="BD181" t="s">
        <v>930</v>
      </c>
      <c r="BE181" t="s">
        <v>922</v>
      </c>
      <c r="BF181" t="s">
        <v>940</v>
      </c>
      <c r="BG1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1">
        <v>0</v>
      </c>
      <c r="BI181" t="s">
        <v>734</v>
      </c>
      <c r="BK181" s="11"/>
      <c r="BL181" s="11">
        <v>103</v>
      </c>
      <c r="BM181">
        <v>0</v>
      </c>
      <c r="BN181" t="s">
        <v>692</v>
      </c>
      <c r="BO181" t="s">
        <v>694</v>
      </c>
      <c r="BP181" t="s">
        <v>701</v>
      </c>
      <c r="BQ181" t="s">
        <v>705</v>
      </c>
      <c r="BR181" t="s">
        <v>706</v>
      </c>
      <c r="BS181" t="s">
        <v>707</v>
      </c>
    </row>
    <row r="182" spans="1:71" hidden="1" x14ac:dyDescent="0.4">
      <c r="A182" s="2" t="s">
        <v>206</v>
      </c>
      <c r="B182" t="str">
        <f>_xlfn.TEXTAFTER(Table1[[#This Row],[VEHIDCODE]],"_")</f>
        <v>Netherlands_NS_600</v>
      </c>
      <c r="C182" t="s">
        <v>740</v>
      </c>
      <c r="D182" t="b">
        <f>OR(ISNUMBER(SEARCH("wagon_",Table1[[#This Row],[FILENAMES_EXPECTED]])),ISNUMBER(SEARCH("coach_",Table1[[#This Row],[FILENAMES_EXPECTED]])))</f>
        <v>0</v>
      </c>
      <c r="E182" t="str">
        <f>"item_"&amp;Table1[[#This Row],[VEHIDCODE]]</f>
        <v>item_diesel_Netherlands_NS_600</v>
      </c>
      <c r="F182" t="str">
        <f>"str_"&amp;Table1[[#This Row],[VEHIDCODE]]</f>
        <v>str_diesel_Netherlands_NS_600</v>
      </c>
      <c r="G182">
        <v>5</v>
      </c>
      <c r="H182" t="s">
        <v>20</v>
      </c>
      <c r="I182">
        <v>0</v>
      </c>
      <c r="J182" t="s">
        <v>35</v>
      </c>
      <c r="K182">
        <v>0</v>
      </c>
      <c r="L182">
        <v>1950</v>
      </c>
      <c r="M182">
        <v>5</v>
      </c>
      <c r="N182" s="2" t="s">
        <v>20</v>
      </c>
      <c r="O182" t="b">
        <v>1</v>
      </c>
      <c r="Q182" s="2"/>
      <c r="R182">
        <v>45</v>
      </c>
      <c r="S182">
        <v>1</v>
      </c>
      <c r="T182">
        <v>400</v>
      </c>
      <c r="U182" t="s">
        <v>711</v>
      </c>
      <c r="V182">
        <v>30</v>
      </c>
      <c r="W182" s="2">
        <v>0.3</v>
      </c>
      <c r="AF182" s="2" t="b">
        <v>1</v>
      </c>
      <c r="AX182"/>
      <c r="BA182" s="2"/>
      <c r="BB182" s="2" t="b">
        <f>LEN(_xlfn.CONCAT(Table1[[#This Row],[TRACK_TYPE_STANDARD_GAUGE_RAILTYPE_OHLE]:[TRACK_TYPE_MTRO]]))&gt;0</f>
        <v>1</v>
      </c>
      <c r="BC182" s="7">
        <v>40</v>
      </c>
      <c r="BD182" t="s">
        <v>923</v>
      </c>
      <c r="BE182" t="s">
        <v>922</v>
      </c>
      <c r="BF182" t="s">
        <v>940</v>
      </c>
      <c r="BG1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2">
        <v>0</v>
      </c>
      <c r="BI182" t="s">
        <v>734</v>
      </c>
      <c r="BK182" s="11"/>
      <c r="BL182" s="11">
        <v>47</v>
      </c>
      <c r="BM182">
        <v>0</v>
      </c>
      <c r="BN182" t="s">
        <v>692</v>
      </c>
      <c r="BO182" t="s">
        <v>694</v>
      </c>
      <c r="BP182" t="s">
        <v>701</v>
      </c>
      <c r="BQ182" t="s">
        <v>705</v>
      </c>
      <c r="BR182" t="s">
        <v>706</v>
      </c>
      <c r="BS182" t="s">
        <v>707</v>
      </c>
    </row>
    <row r="183" spans="1:71" hidden="1" x14ac:dyDescent="0.4">
      <c r="A183" s="2" t="s">
        <v>207</v>
      </c>
      <c r="B183" t="str">
        <f>_xlfn.TEXTAFTER(Table1[[#This Row],[VEHIDCODE]],"_")</f>
        <v>USA_Pennsylvania_Railroad_RF_16_Sharknose</v>
      </c>
      <c r="C183" t="s">
        <v>740</v>
      </c>
      <c r="D183" t="b">
        <f>OR(ISNUMBER(SEARCH("wagon_",Table1[[#This Row],[FILENAMES_EXPECTED]])),ISNUMBER(SEARCH("coach_",Table1[[#This Row],[FILENAMES_EXPECTED]])))</f>
        <v>0</v>
      </c>
      <c r="E183" t="str">
        <f>"item_"&amp;Table1[[#This Row],[VEHIDCODE]]</f>
        <v>item_diesel_USA_Pennsylvania_Railroad_RF_16_Sharknose</v>
      </c>
      <c r="F183" t="str">
        <f>"str_"&amp;Table1[[#This Row],[VEHIDCODE]]</f>
        <v>str_diesel_USA_Pennsylvania_Railroad_RF_16_Sharknose</v>
      </c>
      <c r="G183">
        <v>7</v>
      </c>
      <c r="H183" t="s">
        <v>20</v>
      </c>
      <c r="I183">
        <v>0</v>
      </c>
      <c r="J183" t="s">
        <v>35</v>
      </c>
      <c r="K183">
        <v>0</v>
      </c>
      <c r="L183">
        <v>1950</v>
      </c>
      <c r="M183">
        <v>7</v>
      </c>
      <c r="N183" s="2" t="s">
        <v>20</v>
      </c>
      <c r="O183" t="b">
        <v>1</v>
      </c>
      <c r="Q183" s="2"/>
      <c r="R183">
        <v>45</v>
      </c>
      <c r="S183">
        <v>1</v>
      </c>
      <c r="T183">
        <v>1600</v>
      </c>
      <c r="U183" t="s">
        <v>711</v>
      </c>
      <c r="V183">
        <v>140</v>
      </c>
      <c r="W183" s="2">
        <v>0.16</v>
      </c>
      <c r="AF183" s="2" t="b">
        <v>1</v>
      </c>
      <c r="AX183"/>
      <c r="BA183" s="2"/>
      <c r="BB183" s="2" t="b">
        <f>LEN(_xlfn.CONCAT(Table1[[#This Row],[TRACK_TYPE_STANDARD_GAUGE_RAILTYPE_OHLE]:[TRACK_TYPE_MTRO]]))&gt;0</f>
        <v>1</v>
      </c>
      <c r="BC183" s="7">
        <v>40</v>
      </c>
      <c r="BD183" t="s">
        <v>928</v>
      </c>
      <c r="BE183" t="s">
        <v>922</v>
      </c>
      <c r="BF183" t="s">
        <v>940</v>
      </c>
      <c r="BG1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3">
        <v>-3</v>
      </c>
      <c r="BI183" t="s">
        <v>734</v>
      </c>
      <c r="BK183" s="11"/>
      <c r="BL183" s="11">
        <v>121</v>
      </c>
      <c r="BM183">
        <v>0</v>
      </c>
      <c r="BN183" t="s">
        <v>692</v>
      </c>
      <c r="BO183" t="s">
        <v>694</v>
      </c>
      <c r="BP183" t="s">
        <v>701</v>
      </c>
      <c r="BQ183" t="s">
        <v>705</v>
      </c>
      <c r="BR183" t="s">
        <v>706</v>
      </c>
      <c r="BS183" t="s">
        <v>707</v>
      </c>
    </row>
    <row r="184" spans="1:71" hidden="1" x14ac:dyDescent="0.4">
      <c r="A184" s="2" t="s">
        <v>208</v>
      </c>
      <c r="B184" t="str">
        <f>_xlfn.TEXTAFTER(Table1[[#This Row],[VEHIDCODE]],"_")</f>
        <v>Uruguay_AFE_1500</v>
      </c>
      <c r="C184" t="s">
        <v>740</v>
      </c>
      <c r="D184" t="b">
        <f>OR(ISNUMBER(SEARCH("wagon_",Table1[[#This Row],[FILENAMES_EXPECTED]])),ISNUMBER(SEARCH("coach_",Table1[[#This Row],[FILENAMES_EXPECTED]])))</f>
        <v>0</v>
      </c>
      <c r="E184" t="str">
        <f>"item_"&amp;Table1[[#This Row],[VEHIDCODE]]</f>
        <v>item_diesel_Uruguay_AFE_1500</v>
      </c>
      <c r="F184" t="str">
        <f>"str_"&amp;Table1[[#This Row],[VEHIDCODE]]</f>
        <v>str_diesel_Uruguay_AFE_1500</v>
      </c>
      <c r="G184">
        <v>8</v>
      </c>
      <c r="H184" t="s">
        <v>20</v>
      </c>
      <c r="I184">
        <v>0</v>
      </c>
      <c r="J184" t="s">
        <v>35</v>
      </c>
      <c r="K184">
        <v>0</v>
      </c>
      <c r="L184">
        <v>1952</v>
      </c>
      <c r="M184">
        <v>8</v>
      </c>
      <c r="N184" s="2" t="s">
        <v>20</v>
      </c>
      <c r="O184" t="b">
        <v>1</v>
      </c>
      <c r="Q184" s="2"/>
      <c r="R184">
        <v>45</v>
      </c>
      <c r="S184">
        <v>1</v>
      </c>
      <c r="T184">
        <v>1500</v>
      </c>
      <c r="U184" t="s">
        <v>711</v>
      </c>
      <c r="V184">
        <v>110</v>
      </c>
      <c r="W184" s="2">
        <v>0.18</v>
      </c>
      <c r="AF184" s="2" t="b">
        <v>1</v>
      </c>
      <c r="AX184"/>
      <c r="BA184" s="2"/>
      <c r="BB184" s="2" t="b">
        <f>LEN(_xlfn.CONCAT(Table1[[#This Row],[TRACK_TYPE_STANDARD_GAUGE_RAILTYPE_OHLE]:[TRACK_TYPE_MTRO]]))&gt;0</f>
        <v>1</v>
      </c>
      <c r="BC184" s="7">
        <v>40</v>
      </c>
      <c r="BD184" t="s">
        <v>930</v>
      </c>
      <c r="BE184" t="s">
        <v>922</v>
      </c>
      <c r="BF184" t="s">
        <v>940</v>
      </c>
      <c r="BG1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4">
        <v>0</v>
      </c>
      <c r="BI184" t="s">
        <v>734</v>
      </c>
      <c r="BK184" s="11"/>
      <c r="BL184" s="11">
        <v>112</v>
      </c>
      <c r="BM184">
        <v>0</v>
      </c>
      <c r="BN184" t="s">
        <v>692</v>
      </c>
      <c r="BO184" t="s">
        <v>694</v>
      </c>
      <c r="BP184" t="s">
        <v>701</v>
      </c>
      <c r="BQ184" t="s">
        <v>705</v>
      </c>
      <c r="BR184" t="s">
        <v>706</v>
      </c>
      <c r="BS184" t="s">
        <v>707</v>
      </c>
    </row>
    <row r="185" spans="1:71" hidden="1" x14ac:dyDescent="0.4">
      <c r="A185" s="2" t="s">
        <v>209</v>
      </c>
      <c r="B185" t="str">
        <f>_xlfn.TEXTAFTER(Table1[[#This Row],[VEHIDCODE]],"_")</f>
        <v>Canada_CPR_Trainmaster</v>
      </c>
      <c r="C185" t="s">
        <v>740</v>
      </c>
      <c r="D185" t="b">
        <f>OR(ISNUMBER(SEARCH("wagon_",Table1[[#This Row],[FILENAMES_EXPECTED]])),ISNUMBER(SEARCH("coach_",Table1[[#This Row],[FILENAMES_EXPECTED]])))</f>
        <v>0</v>
      </c>
      <c r="E185" t="str">
        <f>"item_"&amp;Table1[[#This Row],[VEHIDCODE]]</f>
        <v>item_diesel_Canada_CPR_Trainmaster</v>
      </c>
      <c r="F185" t="str">
        <f>"str_"&amp;Table1[[#This Row],[VEHIDCODE]]</f>
        <v>str_diesel_Canada_CPR_Trainmaster</v>
      </c>
      <c r="G185">
        <v>8</v>
      </c>
      <c r="H185" t="s">
        <v>20</v>
      </c>
      <c r="I185">
        <v>0</v>
      </c>
      <c r="J185" t="s">
        <v>35</v>
      </c>
      <c r="K185">
        <v>0</v>
      </c>
      <c r="L185">
        <v>1953</v>
      </c>
      <c r="M185">
        <v>8</v>
      </c>
      <c r="N185" s="2" t="s">
        <v>20</v>
      </c>
      <c r="O185" t="b">
        <v>1</v>
      </c>
      <c r="Q185" s="2"/>
      <c r="R185">
        <v>45</v>
      </c>
      <c r="S185">
        <v>1</v>
      </c>
      <c r="T185">
        <v>2400</v>
      </c>
      <c r="U185" t="s">
        <v>711</v>
      </c>
      <c r="V185">
        <v>105</v>
      </c>
      <c r="W185" s="2">
        <v>0.28999999999999998</v>
      </c>
      <c r="AF185" s="2" t="b">
        <v>1</v>
      </c>
      <c r="AX185"/>
      <c r="BA185" s="2"/>
      <c r="BB185" s="2" t="b">
        <f>LEN(_xlfn.CONCAT(Table1[[#This Row],[TRACK_TYPE_STANDARD_GAUGE_RAILTYPE_OHLE]:[TRACK_TYPE_MTRO]]))&gt;0</f>
        <v>1</v>
      </c>
      <c r="BC185" s="7">
        <v>40</v>
      </c>
      <c r="BD185" t="s">
        <v>928</v>
      </c>
      <c r="BE185" t="s">
        <v>922</v>
      </c>
      <c r="BF185" t="s">
        <v>940</v>
      </c>
      <c r="BG1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5">
        <v>0</v>
      </c>
      <c r="BI185" t="s">
        <v>734</v>
      </c>
      <c r="BK185" s="11"/>
      <c r="BL185" s="11">
        <v>170</v>
      </c>
      <c r="BM185">
        <v>0</v>
      </c>
      <c r="BN185" t="s">
        <v>692</v>
      </c>
      <c r="BO185" t="s">
        <v>694</v>
      </c>
      <c r="BP185" t="s">
        <v>701</v>
      </c>
      <c r="BQ185" t="s">
        <v>705</v>
      </c>
      <c r="BR185" t="s">
        <v>706</v>
      </c>
      <c r="BS185" t="s">
        <v>707</v>
      </c>
    </row>
    <row r="186" spans="1:71" hidden="1" x14ac:dyDescent="0.4">
      <c r="A186" s="2" t="s">
        <v>210</v>
      </c>
      <c r="B186" t="str">
        <f>_xlfn.TEXTAFTER(Table1[[#This Row],[VEHIDCODE]],"_")</f>
        <v>Liberia_Liberia_Railways_Class_08</v>
      </c>
      <c r="C186" t="s">
        <v>740</v>
      </c>
      <c r="D186" t="b">
        <f>OR(ISNUMBER(SEARCH("wagon_",Table1[[#This Row],[FILENAMES_EXPECTED]])),ISNUMBER(SEARCH("coach_",Table1[[#This Row],[FILENAMES_EXPECTED]])))</f>
        <v>0</v>
      </c>
      <c r="E186" t="str">
        <f>"item_"&amp;Table1[[#This Row],[VEHIDCODE]]</f>
        <v>item_diesel_Liberia_Liberia_Railways_Class_08</v>
      </c>
      <c r="F186" t="str">
        <f>"str_"&amp;Table1[[#This Row],[VEHIDCODE]]</f>
        <v>str_diesel_Liberia_Liberia_Railways_Class_08</v>
      </c>
      <c r="G186">
        <v>5</v>
      </c>
      <c r="H186" t="s">
        <v>20</v>
      </c>
      <c r="I186">
        <v>0</v>
      </c>
      <c r="J186" t="s">
        <v>35</v>
      </c>
      <c r="K186">
        <v>0</v>
      </c>
      <c r="L186">
        <v>1953</v>
      </c>
      <c r="M186">
        <v>5</v>
      </c>
      <c r="N186" s="2" t="s">
        <v>20</v>
      </c>
      <c r="O186" t="b">
        <v>1</v>
      </c>
      <c r="Q186" s="2"/>
      <c r="R186">
        <v>45</v>
      </c>
      <c r="S186">
        <v>1</v>
      </c>
      <c r="T186">
        <v>350</v>
      </c>
      <c r="U186" t="s">
        <v>711</v>
      </c>
      <c r="V186">
        <v>35</v>
      </c>
      <c r="W186" s="2">
        <v>0.32</v>
      </c>
      <c r="AF186" s="2" t="b">
        <v>1</v>
      </c>
      <c r="AX186"/>
      <c r="BA186" s="2"/>
      <c r="BB186" s="2" t="b">
        <f>LEN(_xlfn.CONCAT(Table1[[#This Row],[TRACK_TYPE_STANDARD_GAUGE_RAILTYPE_OHLE]:[TRACK_TYPE_MTRO]]))&gt;0</f>
        <v>1</v>
      </c>
      <c r="BC186" s="7">
        <v>40</v>
      </c>
      <c r="BD186" t="s">
        <v>926</v>
      </c>
      <c r="BE186" t="s">
        <v>922</v>
      </c>
      <c r="BF186" t="s">
        <v>940</v>
      </c>
      <c r="BG1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6">
        <v>0</v>
      </c>
      <c r="BI186" t="s">
        <v>734</v>
      </c>
      <c r="BK186" s="11"/>
      <c r="BL186" s="11">
        <v>50</v>
      </c>
      <c r="BM186">
        <v>0</v>
      </c>
      <c r="BN186" t="s">
        <v>692</v>
      </c>
      <c r="BO186" t="s">
        <v>694</v>
      </c>
      <c r="BP186" t="s">
        <v>701</v>
      </c>
      <c r="BQ186" t="s">
        <v>705</v>
      </c>
      <c r="BR186" t="s">
        <v>706</v>
      </c>
      <c r="BS186" t="s">
        <v>707</v>
      </c>
    </row>
    <row r="187" spans="1:71" hidden="1" x14ac:dyDescent="0.4">
      <c r="A187" s="2" t="s">
        <v>211</v>
      </c>
      <c r="B187" t="str">
        <f>_xlfn.TEXTAFTER(Table1[[#This Row],[VEHIDCODE]],"_")</f>
        <v>Austria_OBB_2060</v>
      </c>
      <c r="C187" t="s">
        <v>740</v>
      </c>
      <c r="D187" t="b">
        <f>OR(ISNUMBER(SEARCH("wagon_",Table1[[#This Row],[FILENAMES_EXPECTED]])),ISNUMBER(SEARCH("coach_",Table1[[#This Row],[FILENAMES_EXPECTED]])))</f>
        <v>0</v>
      </c>
      <c r="E187" t="str">
        <f>"item_"&amp;Table1[[#This Row],[VEHIDCODE]]</f>
        <v>item_diesel_Austria_OBB_2060</v>
      </c>
      <c r="F187" t="str">
        <f>"str_"&amp;Table1[[#This Row],[VEHIDCODE]]</f>
        <v>str_diesel_Austria_OBB_2060</v>
      </c>
      <c r="G187">
        <v>5</v>
      </c>
      <c r="H187" t="s">
        <v>20</v>
      </c>
      <c r="I187">
        <v>0</v>
      </c>
      <c r="J187" t="s">
        <v>35</v>
      </c>
      <c r="K187">
        <v>0</v>
      </c>
      <c r="L187">
        <v>1954</v>
      </c>
      <c r="M187">
        <v>5</v>
      </c>
      <c r="N187" s="2" t="s">
        <v>20</v>
      </c>
      <c r="O187" t="b">
        <v>1</v>
      </c>
      <c r="Q187" s="2"/>
      <c r="R187">
        <v>45</v>
      </c>
      <c r="S187">
        <v>1</v>
      </c>
      <c r="T187">
        <v>200</v>
      </c>
      <c r="U187" t="s">
        <v>711</v>
      </c>
      <c r="V187">
        <v>60</v>
      </c>
      <c r="W187" s="2">
        <v>0.28000000000000003</v>
      </c>
      <c r="AF187" s="2" t="b">
        <v>1</v>
      </c>
      <c r="AX187"/>
      <c r="BA187" s="2"/>
      <c r="BB187" s="2" t="b">
        <f>LEN(_xlfn.CONCAT(Table1[[#This Row],[TRACK_TYPE_STANDARD_GAUGE_RAILTYPE_OHLE]:[TRACK_TYPE_MTRO]]))&gt;0</f>
        <v>1</v>
      </c>
      <c r="BC187" s="7">
        <v>40</v>
      </c>
      <c r="BD187" t="s">
        <v>923</v>
      </c>
      <c r="BE187" t="s">
        <v>922</v>
      </c>
      <c r="BF187" t="s">
        <v>940</v>
      </c>
      <c r="BG1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7">
        <v>0</v>
      </c>
      <c r="BI187" t="s">
        <v>734</v>
      </c>
      <c r="BK187" s="11"/>
      <c r="BL187" s="11">
        <v>28</v>
      </c>
      <c r="BM187">
        <v>0</v>
      </c>
      <c r="BN187" t="s">
        <v>692</v>
      </c>
      <c r="BO187" t="s">
        <v>694</v>
      </c>
      <c r="BP187" t="s">
        <v>701</v>
      </c>
      <c r="BQ187" t="s">
        <v>705</v>
      </c>
      <c r="BR187" t="s">
        <v>706</v>
      </c>
      <c r="BS187" t="s">
        <v>707</v>
      </c>
    </row>
    <row r="188" spans="1:71" hidden="1" x14ac:dyDescent="0.4">
      <c r="A188" s="2" t="s">
        <v>212</v>
      </c>
      <c r="B188" t="str">
        <f>_xlfn.TEXTAFTER(Table1[[#This Row],[VEHIDCODE]],"_")</f>
        <v>Canada_CNR_SW1200</v>
      </c>
      <c r="C188" t="s">
        <v>740</v>
      </c>
      <c r="D188" t="b">
        <f>OR(ISNUMBER(SEARCH("wagon_",Table1[[#This Row],[FILENAMES_EXPECTED]])),ISNUMBER(SEARCH("coach_",Table1[[#This Row],[FILENAMES_EXPECTED]])))</f>
        <v>0</v>
      </c>
      <c r="E188" t="str">
        <f>"item_"&amp;Table1[[#This Row],[VEHIDCODE]]</f>
        <v>item_diesel_Canada_CNR_SW1200</v>
      </c>
      <c r="F188" t="str">
        <f>"str_"&amp;Table1[[#This Row],[VEHIDCODE]]</f>
        <v>str_diesel_Canada_CNR_SW1200</v>
      </c>
      <c r="G188">
        <v>6</v>
      </c>
      <c r="H188" t="s">
        <v>20</v>
      </c>
      <c r="I188">
        <v>0</v>
      </c>
      <c r="J188" t="s">
        <v>35</v>
      </c>
      <c r="K188">
        <v>0</v>
      </c>
      <c r="L188">
        <v>1954</v>
      </c>
      <c r="M188">
        <v>6</v>
      </c>
      <c r="N188" s="2" t="s">
        <v>20</v>
      </c>
      <c r="O188" t="b">
        <v>1</v>
      </c>
      <c r="Q188" s="2"/>
      <c r="R188">
        <v>45</v>
      </c>
      <c r="S188">
        <v>1</v>
      </c>
      <c r="T188">
        <v>1200</v>
      </c>
      <c r="U188" t="s">
        <v>711</v>
      </c>
      <c r="V188">
        <v>104</v>
      </c>
      <c r="W188" s="2">
        <v>0.14000000000000001</v>
      </c>
      <c r="AF188" s="2" t="b">
        <v>1</v>
      </c>
      <c r="AX188"/>
      <c r="BA188" s="2"/>
      <c r="BB188" s="2" t="b">
        <f>LEN(_xlfn.CONCAT(Table1[[#This Row],[TRACK_TYPE_STANDARD_GAUGE_RAILTYPE_OHLE]:[TRACK_TYPE_MTRO]]))&gt;0</f>
        <v>1</v>
      </c>
      <c r="BC188" s="7">
        <v>40</v>
      </c>
      <c r="BD188" t="s">
        <v>928</v>
      </c>
      <c r="BE188" t="s">
        <v>922</v>
      </c>
      <c r="BF188" t="s">
        <v>940</v>
      </c>
      <c r="BG1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8">
        <v>0</v>
      </c>
      <c r="BI188" t="s">
        <v>734</v>
      </c>
      <c r="BK188" s="11"/>
      <c r="BL188" s="11">
        <v>111</v>
      </c>
      <c r="BM188">
        <v>0</v>
      </c>
      <c r="BN188" t="s">
        <v>692</v>
      </c>
      <c r="BO188" t="s">
        <v>694</v>
      </c>
      <c r="BP188" t="s">
        <v>701</v>
      </c>
      <c r="BQ188" t="s">
        <v>705</v>
      </c>
      <c r="BR188" t="s">
        <v>706</v>
      </c>
      <c r="BS188" t="s">
        <v>707</v>
      </c>
    </row>
    <row r="189" spans="1:71" hidden="1" x14ac:dyDescent="0.4">
      <c r="A189" s="2" t="s">
        <v>213</v>
      </c>
      <c r="B189" t="str">
        <f>_xlfn.TEXTAFTER(Table1[[#This Row],[VEHIDCODE]],"_")</f>
        <v>Canada_VIA_Rail_FP9</v>
      </c>
      <c r="C189" t="s">
        <v>740</v>
      </c>
      <c r="D189" t="b">
        <f>OR(ISNUMBER(SEARCH("wagon_",Table1[[#This Row],[FILENAMES_EXPECTED]])),ISNUMBER(SEARCH("coach_",Table1[[#This Row],[FILENAMES_EXPECTED]])))</f>
        <v>0</v>
      </c>
      <c r="E189" t="str">
        <f>"item_"&amp;Table1[[#This Row],[VEHIDCODE]]</f>
        <v>item_diesel_Canada_VIA_Rail_FP9</v>
      </c>
      <c r="F189" t="str">
        <f>"str_"&amp;Table1[[#This Row],[VEHIDCODE]]</f>
        <v>str_diesel_Canada_VIA_Rail_FP9</v>
      </c>
      <c r="G189">
        <v>8</v>
      </c>
      <c r="H189" t="s">
        <v>20</v>
      </c>
      <c r="I189">
        <v>0</v>
      </c>
      <c r="J189" t="s">
        <v>35</v>
      </c>
      <c r="K189">
        <v>0</v>
      </c>
      <c r="L189">
        <v>1954</v>
      </c>
      <c r="M189">
        <v>8</v>
      </c>
      <c r="N189" s="2" t="s">
        <v>20</v>
      </c>
      <c r="O189" t="b">
        <v>1</v>
      </c>
      <c r="Q189" s="2"/>
      <c r="R189">
        <v>45</v>
      </c>
      <c r="S189">
        <v>1</v>
      </c>
      <c r="T189">
        <v>1750</v>
      </c>
      <c r="U189" t="s">
        <v>711</v>
      </c>
      <c r="V189">
        <v>144</v>
      </c>
      <c r="W189" s="2">
        <v>0.19</v>
      </c>
      <c r="AF189" s="2" t="b">
        <v>1</v>
      </c>
      <c r="AX189"/>
      <c r="BA189" s="2"/>
      <c r="BB189" s="2" t="b">
        <f>LEN(_xlfn.CONCAT(Table1[[#This Row],[TRACK_TYPE_STANDARD_GAUGE_RAILTYPE_OHLE]:[TRACK_TYPE_MTRO]]))&gt;0</f>
        <v>1</v>
      </c>
      <c r="BC189" s="7">
        <v>40</v>
      </c>
      <c r="BD189" t="s">
        <v>928</v>
      </c>
      <c r="BE189" t="s">
        <v>922</v>
      </c>
      <c r="BF189" t="s">
        <v>940</v>
      </c>
      <c r="BG1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9">
        <v>-3</v>
      </c>
      <c r="BI189" t="s">
        <v>734</v>
      </c>
      <c r="BK189" s="11"/>
      <c r="BL189" s="11">
        <v>104</v>
      </c>
      <c r="BM189">
        <v>0</v>
      </c>
      <c r="BN189" t="s">
        <v>692</v>
      </c>
      <c r="BO189" t="s">
        <v>694</v>
      </c>
      <c r="BP189" t="s">
        <v>701</v>
      </c>
      <c r="BQ189" t="s">
        <v>705</v>
      </c>
      <c r="BR189" t="s">
        <v>706</v>
      </c>
      <c r="BS189" t="s">
        <v>707</v>
      </c>
    </row>
    <row r="190" spans="1:71" hidden="1" x14ac:dyDescent="0.4">
      <c r="A190" s="2" t="s">
        <v>214</v>
      </c>
      <c r="B190" t="str">
        <f>_xlfn.TEXTAFTER(Table1[[#This Row],[VEHIDCODE]],"_")</f>
        <v>Hungary_MAV_M44</v>
      </c>
      <c r="C190" t="s">
        <v>740</v>
      </c>
      <c r="D190" t="b">
        <f>OR(ISNUMBER(SEARCH("wagon_",Table1[[#This Row],[FILENAMES_EXPECTED]])),ISNUMBER(SEARCH("coach_",Table1[[#This Row],[FILENAMES_EXPECTED]])))</f>
        <v>0</v>
      </c>
      <c r="E190" t="str">
        <f>"item_"&amp;Table1[[#This Row],[VEHIDCODE]]</f>
        <v>item_diesel_Hungary_MAV_M44</v>
      </c>
      <c r="F190" t="str">
        <f>"str_"&amp;Table1[[#This Row],[VEHIDCODE]]</f>
        <v>str_diesel_Hungary_MAV_M44</v>
      </c>
      <c r="G190">
        <v>6</v>
      </c>
      <c r="H190" t="s">
        <v>20</v>
      </c>
      <c r="I190">
        <v>0</v>
      </c>
      <c r="J190" t="s">
        <v>35</v>
      </c>
      <c r="K190">
        <v>0</v>
      </c>
      <c r="L190">
        <v>1954</v>
      </c>
      <c r="M190">
        <v>6</v>
      </c>
      <c r="N190" s="2" t="s">
        <v>20</v>
      </c>
      <c r="O190" t="b">
        <v>1</v>
      </c>
      <c r="Q190" s="2"/>
      <c r="R190">
        <v>45</v>
      </c>
      <c r="S190">
        <v>0</v>
      </c>
      <c r="T190">
        <v>590</v>
      </c>
      <c r="U190" t="s">
        <v>711</v>
      </c>
      <c r="V190">
        <v>80</v>
      </c>
      <c r="W190" s="2">
        <v>0.3</v>
      </c>
      <c r="AF190" s="2" t="b">
        <v>1</v>
      </c>
      <c r="AX190"/>
      <c r="BA190" s="2"/>
      <c r="BB190" s="2" t="b">
        <f>LEN(_xlfn.CONCAT(Table1[[#This Row],[TRACK_TYPE_STANDARD_GAUGE_RAILTYPE_OHLE]:[TRACK_TYPE_MTRO]]))&gt;0</f>
        <v>1</v>
      </c>
      <c r="BC190" s="7">
        <v>40</v>
      </c>
      <c r="BD190" t="s">
        <v>929</v>
      </c>
      <c r="BE190" t="s">
        <v>922</v>
      </c>
      <c r="BF190" t="s">
        <v>940</v>
      </c>
      <c r="BG1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0">
        <v>0</v>
      </c>
      <c r="BI190" t="s">
        <v>734</v>
      </c>
      <c r="BK190" s="11"/>
      <c r="BL190" s="11">
        <v>55</v>
      </c>
      <c r="BM190">
        <v>0</v>
      </c>
      <c r="BN190" t="s">
        <v>692</v>
      </c>
      <c r="BO190" t="s">
        <v>694</v>
      </c>
      <c r="BP190" t="s">
        <v>701</v>
      </c>
      <c r="BQ190" t="s">
        <v>705</v>
      </c>
      <c r="BR190" t="s">
        <v>706</v>
      </c>
      <c r="BS190" t="s">
        <v>707</v>
      </c>
    </row>
    <row r="191" spans="1:71" hidden="1" x14ac:dyDescent="0.4">
      <c r="A191" s="2" t="s">
        <v>215</v>
      </c>
      <c r="B191" t="str">
        <f>_xlfn.TEXTAFTER(Table1[[#This Row],[VEHIDCODE]],"_")</f>
        <v>Hungary_MAV_M28</v>
      </c>
      <c r="C191" t="s">
        <v>740</v>
      </c>
      <c r="D191" t="b">
        <f>OR(ISNUMBER(SEARCH("wagon_",Table1[[#This Row],[FILENAMES_EXPECTED]])),ISNUMBER(SEARCH("coach_",Table1[[#This Row],[FILENAMES_EXPECTED]])))</f>
        <v>0</v>
      </c>
      <c r="E191" t="str">
        <f>"item_"&amp;Table1[[#This Row],[VEHIDCODE]]</f>
        <v>item_diesel_Hungary_MAV_M28</v>
      </c>
      <c r="F191" t="str">
        <f>"str_"&amp;Table1[[#This Row],[VEHIDCODE]]</f>
        <v>str_diesel_Hungary_MAV_M28</v>
      </c>
      <c r="G191">
        <v>4</v>
      </c>
      <c r="H191" t="s">
        <v>20</v>
      </c>
      <c r="I191">
        <v>0</v>
      </c>
      <c r="J191" t="s">
        <v>35</v>
      </c>
      <c r="K191">
        <v>0</v>
      </c>
      <c r="L191">
        <v>1955</v>
      </c>
      <c r="M191">
        <v>4</v>
      </c>
      <c r="N191" s="2" t="s">
        <v>20</v>
      </c>
      <c r="O191" t="b">
        <v>1</v>
      </c>
      <c r="Q191" s="2"/>
      <c r="R191">
        <v>45</v>
      </c>
      <c r="S191">
        <v>0</v>
      </c>
      <c r="T191">
        <v>197</v>
      </c>
      <c r="U191" t="s">
        <v>711</v>
      </c>
      <c r="V191">
        <v>50</v>
      </c>
      <c r="W191" s="2">
        <v>0.32</v>
      </c>
      <c r="AF191" s="2" t="b">
        <v>1</v>
      </c>
      <c r="AX191"/>
      <c r="BA191" s="2"/>
      <c r="BB191" s="2" t="b">
        <f>LEN(_xlfn.CONCAT(Table1[[#This Row],[TRACK_TYPE_STANDARD_GAUGE_RAILTYPE_OHLE]:[TRACK_TYPE_MTRO]]))&gt;0</f>
        <v>1</v>
      </c>
      <c r="BC191" s="7">
        <v>40</v>
      </c>
      <c r="BD191" t="s">
        <v>929</v>
      </c>
      <c r="BE191" t="s">
        <v>922</v>
      </c>
      <c r="BF191" t="s">
        <v>940</v>
      </c>
      <c r="BG1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1">
        <v>0</v>
      </c>
      <c r="BI191" t="s">
        <v>734</v>
      </c>
      <c r="BK191" s="11"/>
      <c r="BL191" s="11">
        <v>19</v>
      </c>
      <c r="BM191">
        <v>0</v>
      </c>
      <c r="BN191" t="s">
        <v>692</v>
      </c>
      <c r="BO191" t="s">
        <v>694</v>
      </c>
      <c r="BP191" t="s">
        <v>701</v>
      </c>
      <c r="BQ191" t="s">
        <v>705</v>
      </c>
      <c r="BR191" t="s">
        <v>706</v>
      </c>
      <c r="BS191" t="s">
        <v>707</v>
      </c>
    </row>
    <row r="192" spans="1:71" hidden="1" x14ac:dyDescent="0.4">
      <c r="A192" s="2" t="s">
        <v>216</v>
      </c>
      <c r="B192" t="str">
        <f>_xlfn.TEXTAFTER(Table1[[#This Row],[VEHIDCODE]],"_")</f>
        <v>Belgium_NMBS_SNCB_83</v>
      </c>
      <c r="C192" t="s">
        <v>740</v>
      </c>
      <c r="D192" t="b">
        <f>OR(ISNUMBER(SEARCH("wagon_",Table1[[#This Row],[FILENAMES_EXPECTED]])),ISNUMBER(SEARCH("coach_",Table1[[#This Row],[FILENAMES_EXPECTED]])))</f>
        <v>0</v>
      </c>
      <c r="E192" t="str">
        <f>"item_"&amp;Table1[[#This Row],[VEHIDCODE]]</f>
        <v>item_diesel_Belgium_NMBS_SNCB_83</v>
      </c>
      <c r="F192" t="str">
        <f>"str_"&amp;Table1[[#This Row],[VEHIDCODE]]</f>
        <v>str_diesel_Belgium_NMBS_SNCB_83</v>
      </c>
      <c r="G192">
        <v>5</v>
      </c>
      <c r="H192" t="s">
        <v>20</v>
      </c>
      <c r="I192">
        <v>0</v>
      </c>
      <c r="J192" t="s">
        <v>35</v>
      </c>
      <c r="K192">
        <v>0</v>
      </c>
      <c r="L192">
        <v>1956</v>
      </c>
      <c r="M192">
        <v>5</v>
      </c>
      <c r="N192" s="2" t="s">
        <v>20</v>
      </c>
      <c r="O192" t="b">
        <v>1</v>
      </c>
      <c r="Q192" s="2"/>
      <c r="R192">
        <v>45</v>
      </c>
      <c r="S192">
        <v>1</v>
      </c>
      <c r="T192">
        <v>440</v>
      </c>
      <c r="U192" t="s">
        <v>711</v>
      </c>
      <c r="V192">
        <v>50</v>
      </c>
      <c r="W192" s="2">
        <v>0.39</v>
      </c>
      <c r="AF192" s="2" t="b">
        <v>1</v>
      </c>
      <c r="AX192"/>
      <c r="BA192" s="2"/>
      <c r="BB192" s="2" t="b">
        <f>LEN(_xlfn.CONCAT(Table1[[#This Row],[TRACK_TYPE_STANDARD_GAUGE_RAILTYPE_OHLE]:[TRACK_TYPE_MTRO]]))&gt;0</f>
        <v>1</v>
      </c>
      <c r="BC192" s="7">
        <v>40</v>
      </c>
      <c r="BD192" t="s">
        <v>923</v>
      </c>
      <c r="BE192" t="s">
        <v>922</v>
      </c>
      <c r="BF192" t="s">
        <v>940</v>
      </c>
      <c r="BG1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2">
        <v>0</v>
      </c>
      <c r="BI192" t="s">
        <v>734</v>
      </c>
      <c r="BK192" s="11"/>
      <c r="BL192" s="11">
        <v>40</v>
      </c>
      <c r="BM192">
        <v>0</v>
      </c>
      <c r="BN192" t="s">
        <v>692</v>
      </c>
      <c r="BO192" t="s">
        <v>694</v>
      </c>
      <c r="BP192" t="s">
        <v>701</v>
      </c>
      <c r="BQ192" t="s">
        <v>705</v>
      </c>
      <c r="BR192" t="s">
        <v>706</v>
      </c>
      <c r="BS192" t="s">
        <v>707</v>
      </c>
    </row>
    <row r="193" spans="1:71" hidden="1" x14ac:dyDescent="0.4">
      <c r="A193" s="2" t="s">
        <v>217</v>
      </c>
      <c r="B193" t="str">
        <f>_xlfn.TEXTAFTER(Table1[[#This Row],[VEHIDCODE]],"_")</f>
        <v>Germany_DB_220</v>
      </c>
      <c r="C193" t="s">
        <v>740</v>
      </c>
      <c r="D193" t="b">
        <f>OR(ISNUMBER(SEARCH("wagon_",Table1[[#This Row],[FILENAMES_EXPECTED]])),ISNUMBER(SEARCH("coach_",Table1[[#This Row],[FILENAMES_EXPECTED]])))</f>
        <v>0</v>
      </c>
      <c r="E193" t="str">
        <f>"item_"&amp;Table1[[#This Row],[VEHIDCODE]]</f>
        <v>item_diesel_Germany_DB_220</v>
      </c>
      <c r="F193" t="str">
        <f>"str_"&amp;Table1[[#This Row],[VEHIDCODE]]</f>
        <v>str_diesel_Germany_DB_220</v>
      </c>
      <c r="G193">
        <v>8</v>
      </c>
      <c r="H193" t="s">
        <v>20</v>
      </c>
      <c r="I193">
        <v>0</v>
      </c>
      <c r="J193" t="s">
        <v>35</v>
      </c>
      <c r="K193">
        <v>0</v>
      </c>
      <c r="L193">
        <v>1956</v>
      </c>
      <c r="M193">
        <v>8</v>
      </c>
      <c r="N193" s="2" t="s">
        <v>20</v>
      </c>
      <c r="O193" t="b">
        <v>1</v>
      </c>
      <c r="Q193" s="2"/>
      <c r="R193">
        <v>45</v>
      </c>
      <c r="S193">
        <v>1</v>
      </c>
      <c r="T193">
        <v>2169</v>
      </c>
      <c r="U193" t="s">
        <v>711</v>
      </c>
      <c r="V193">
        <v>140</v>
      </c>
      <c r="W193" s="2">
        <v>0.28999999999999998</v>
      </c>
      <c r="AF193" s="2" t="b">
        <v>1</v>
      </c>
      <c r="AX193"/>
      <c r="BA193" s="2"/>
      <c r="BB193" s="2" t="b">
        <f>LEN(_xlfn.CONCAT(Table1[[#This Row],[TRACK_TYPE_STANDARD_GAUGE_RAILTYPE_OHLE]:[TRACK_TYPE_MTRO]]))&gt;0</f>
        <v>1</v>
      </c>
      <c r="BC193" s="7">
        <v>40</v>
      </c>
      <c r="BD193" t="s">
        <v>923</v>
      </c>
      <c r="BE193" t="s">
        <v>922</v>
      </c>
      <c r="BF193" t="s">
        <v>940</v>
      </c>
      <c r="BG1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3">
        <v>0</v>
      </c>
      <c r="BI193" t="s">
        <v>734</v>
      </c>
      <c r="BK193" s="11"/>
      <c r="BL193" s="11">
        <v>81</v>
      </c>
      <c r="BM193">
        <v>0</v>
      </c>
      <c r="BN193" t="s">
        <v>692</v>
      </c>
      <c r="BO193" t="s">
        <v>694</v>
      </c>
      <c r="BP193" t="s">
        <v>701</v>
      </c>
      <c r="BQ193" t="s">
        <v>705</v>
      </c>
      <c r="BR193" t="s">
        <v>706</v>
      </c>
      <c r="BS193" t="s">
        <v>707</v>
      </c>
    </row>
    <row r="194" spans="1:71" hidden="1" x14ac:dyDescent="0.4">
      <c r="A194" s="2" t="s">
        <v>218</v>
      </c>
      <c r="B194" t="str">
        <f>_xlfn.TEXTAFTER(Table1[[#This Row],[VEHIDCODE]],"_")</f>
        <v>USA_Amtrak_FL9</v>
      </c>
      <c r="C194" t="s">
        <v>740</v>
      </c>
      <c r="D194" t="b">
        <f>OR(ISNUMBER(SEARCH("wagon_",Table1[[#This Row],[FILENAMES_EXPECTED]])),ISNUMBER(SEARCH("coach_",Table1[[#This Row],[FILENAMES_EXPECTED]])))</f>
        <v>0</v>
      </c>
      <c r="E194" t="str">
        <f>"item_"&amp;Table1[[#This Row],[VEHIDCODE]]</f>
        <v>item_diesel_USA_Amtrak_FL9</v>
      </c>
      <c r="F194" t="str">
        <f>"str_"&amp;Table1[[#This Row],[VEHIDCODE]]</f>
        <v>str_diesel_USA_Amtrak_FL9</v>
      </c>
      <c r="G194">
        <v>8</v>
      </c>
      <c r="H194" t="s">
        <v>20</v>
      </c>
      <c r="I194">
        <v>0</v>
      </c>
      <c r="J194" t="s">
        <v>35</v>
      </c>
      <c r="K194">
        <v>0</v>
      </c>
      <c r="L194">
        <v>1956</v>
      </c>
      <c r="M194">
        <v>8</v>
      </c>
      <c r="N194" s="2" t="s">
        <v>20</v>
      </c>
      <c r="O194" t="b">
        <v>1</v>
      </c>
      <c r="Q194" s="2"/>
      <c r="R194">
        <v>45</v>
      </c>
      <c r="S194">
        <v>1</v>
      </c>
      <c r="T194">
        <v>1750</v>
      </c>
      <c r="U194" t="s">
        <v>711</v>
      </c>
      <c r="V194">
        <v>144</v>
      </c>
      <c r="W194" s="2">
        <v>0.2</v>
      </c>
      <c r="AF194" s="2" t="b">
        <v>1</v>
      </c>
      <c r="AX194"/>
      <c r="BA194" s="2"/>
      <c r="BB194" s="2" t="b">
        <f>LEN(_xlfn.CONCAT(Table1[[#This Row],[TRACK_TYPE_STANDARD_GAUGE_RAILTYPE_OHLE]:[TRACK_TYPE_MTRO]]))&gt;0</f>
        <v>1</v>
      </c>
      <c r="BC194" s="7">
        <v>40</v>
      </c>
      <c r="BD194" t="s">
        <v>928</v>
      </c>
      <c r="BE194" t="s">
        <v>922</v>
      </c>
      <c r="BF194" t="s">
        <v>940</v>
      </c>
      <c r="BG1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4">
        <v>0</v>
      </c>
      <c r="BI194" t="s">
        <v>734</v>
      </c>
      <c r="BK194" s="11"/>
      <c r="BL194" s="11">
        <v>130</v>
      </c>
      <c r="BM194">
        <v>0</v>
      </c>
      <c r="BN194" t="s">
        <v>692</v>
      </c>
      <c r="BO194" t="s">
        <v>694</v>
      </c>
      <c r="BP194" t="s">
        <v>701</v>
      </c>
      <c r="BQ194" t="s">
        <v>705</v>
      </c>
      <c r="BR194" t="s">
        <v>706</v>
      </c>
      <c r="BS194" t="s">
        <v>707</v>
      </c>
    </row>
    <row r="195" spans="1:71" hidden="1" x14ac:dyDescent="0.4">
      <c r="A195" s="2" t="s">
        <v>219</v>
      </c>
      <c r="B195" t="str">
        <f>_xlfn.TEXTAFTER(Table1[[#This Row],[VEHIDCODE]],"_")</f>
        <v>Czech_Republic_CD_720_ChME2</v>
      </c>
      <c r="C195" t="s">
        <v>740</v>
      </c>
      <c r="D195" t="b">
        <f>OR(ISNUMBER(SEARCH("wagon_",Table1[[#This Row],[FILENAMES_EXPECTED]])),ISNUMBER(SEARCH("coach_",Table1[[#This Row],[FILENAMES_EXPECTED]])))</f>
        <v>0</v>
      </c>
      <c r="E195" t="str">
        <f>"item_"&amp;Table1[[#This Row],[VEHIDCODE]]</f>
        <v>item_diesel_Czech_Republic_CD_720_ChME2</v>
      </c>
      <c r="F195" t="str">
        <f>"str_"&amp;Table1[[#This Row],[VEHIDCODE]]</f>
        <v>str_diesel_Czech_Republic_CD_720_ChME2</v>
      </c>
      <c r="G195">
        <v>6</v>
      </c>
      <c r="H195" t="s">
        <v>20</v>
      </c>
      <c r="I195">
        <v>0</v>
      </c>
      <c r="J195" t="s">
        <v>35</v>
      </c>
      <c r="K195">
        <v>0</v>
      </c>
      <c r="L195">
        <v>1958</v>
      </c>
      <c r="M195">
        <v>6</v>
      </c>
      <c r="N195" s="2" t="s">
        <v>20</v>
      </c>
      <c r="O195" t="b">
        <v>1</v>
      </c>
      <c r="Q195" s="2"/>
      <c r="R195">
        <v>45</v>
      </c>
      <c r="S195">
        <v>0</v>
      </c>
      <c r="T195">
        <v>740</v>
      </c>
      <c r="U195" t="s">
        <v>711</v>
      </c>
      <c r="V195">
        <v>80</v>
      </c>
      <c r="W195" s="2">
        <v>0.28000000000000003</v>
      </c>
      <c r="AF195" s="2" t="b">
        <v>1</v>
      </c>
      <c r="AX195"/>
      <c r="BA195" s="2"/>
      <c r="BB195" s="2" t="b">
        <f>LEN(_xlfn.CONCAT(Table1[[#This Row],[TRACK_TYPE_STANDARD_GAUGE_RAILTYPE_OHLE]:[TRACK_TYPE_MTRO]]))&gt;0</f>
        <v>1</v>
      </c>
      <c r="BC195" s="7">
        <v>40</v>
      </c>
      <c r="BD195" t="s">
        <v>929</v>
      </c>
      <c r="BE195" t="s">
        <v>922</v>
      </c>
      <c r="BF195" t="s">
        <v>940</v>
      </c>
      <c r="BG1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5">
        <v>0</v>
      </c>
      <c r="BI195" t="s">
        <v>734</v>
      </c>
      <c r="BK195" s="11"/>
      <c r="BL195" s="11">
        <v>61</v>
      </c>
      <c r="BM195">
        <v>0</v>
      </c>
      <c r="BN195" t="s">
        <v>692</v>
      </c>
      <c r="BO195" t="s">
        <v>694</v>
      </c>
      <c r="BP195" t="s">
        <v>701</v>
      </c>
      <c r="BQ195" t="s">
        <v>705</v>
      </c>
      <c r="BR195" t="s">
        <v>706</v>
      </c>
      <c r="BS195" t="s">
        <v>707</v>
      </c>
    </row>
    <row r="196" spans="1:71" hidden="1" x14ac:dyDescent="0.4">
      <c r="A196" s="2" t="s">
        <v>220</v>
      </c>
      <c r="B196" t="str">
        <f>_xlfn.TEXTAFTER(Table1[[#This Row],[VEHIDCODE]],"_")</f>
        <v>Finland_VR_Dr12</v>
      </c>
      <c r="C196" t="s">
        <v>740</v>
      </c>
      <c r="D196" t="b">
        <f>OR(ISNUMBER(SEARCH("wagon_",Table1[[#This Row],[FILENAMES_EXPECTED]])),ISNUMBER(SEARCH("coach_",Table1[[#This Row],[FILENAMES_EXPECTED]])))</f>
        <v>0</v>
      </c>
      <c r="E196" t="str">
        <f>"item_"&amp;Table1[[#This Row],[VEHIDCODE]]</f>
        <v>item_diesel_Finland_VR_Dr12</v>
      </c>
      <c r="F196" t="str">
        <f>"str_"&amp;Table1[[#This Row],[VEHIDCODE]]</f>
        <v>str_diesel_Finland_VR_Dr12</v>
      </c>
      <c r="G196">
        <v>8</v>
      </c>
      <c r="H196" t="s">
        <v>20</v>
      </c>
      <c r="I196">
        <v>0</v>
      </c>
      <c r="J196" t="s">
        <v>35</v>
      </c>
      <c r="K196">
        <v>0</v>
      </c>
      <c r="L196">
        <v>1959</v>
      </c>
      <c r="M196">
        <v>8</v>
      </c>
      <c r="N196" s="2" t="s">
        <v>20</v>
      </c>
      <c r="O196" t="b">
        <v>1</v>
      </c>
      <c r="Q196" s="2"/>
      <c r="R196">
        <v>45</v>
      </c>
      <c r="S196">
        <v>1</v>
      </c>
      <c r="T196">
        <v>1900</v>
      </c>
      <c r="U196" t="s">
        <v>711</v>
      </c>
      <c r="V196">
        <v>120</v>
      </c>
      <c r="W196" s="2">
        <v>0.18</v>
      </c>
      <c r="AF196" s="2" t="b">
        <v>1</v>
      </c>
      <c r="AX196"/>
      <c r="BA196" s="2"/>
      <c r="BB196" s="2" t="b">
        <f>LEN(_xlfn.CONCAT(Table1[[#This Row],[TRACK_TYPE_STANDARD_GAUGE_RAILTYPE_OHLE]:[TRACK_TYPE_MTRO]]))&gt;0</f>
        <v>1</v>
      </c>
      <c r="BC196" s="7">
        <v>40</v>
      </c>
      <c r="BD196" t="s">
        <v>927</v>
      </c>
      <c r="BE196" t="s">
        <v>922</v>
      </c>
      <c r="BF196" t="s">
        <v>940</v>
      </c>
      <c r="BG1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6">
        <v>0</v>
      </c>
      <c r="BI196" t="s">
        <v>734</v>
      </c>
      <c r="BK196" s="11"/>
      <c r="BL196" s="11">
        <v>122</v>
      </c>
      <c r="BM196">
        <v>0</v>
      </c>
      <c r="BN196" t="s">
        <v>692</v>
      </c>
      <c r="BO196" t="s">
        <v>694</v>
      </c>
      <c r="BP196" t="s">
        <v>701</v>
      </c>
      <c r="BQ196" t="s">
        <v>705</v>
      </c>
      <c r="BR196" t="s">
        <v>706</v>
      </c>
      <c r="BS196" t="s">
        <v>707</v>
      </c>
    </row>
    <row r="197" spans="1:71" hidden="1" x14ac:dyDescent="0.4">
      <c r="A197" s="2" t="s">
        <v>221</v>
      </c>
      <c r="B197" t="str">
        <f>_xlfn.TEXTAFTER(Table1[[#This Row],[VEHIDCODE]],"_")</f>
        <v>Romania_CFR_060_DA</v>
      </c>
      <c r="C197" t="s">
        <v>740</v>
      </c>
      <c r="D197" t="b">
        <f>OR(ISNUMBER(SEARCH("wagon_",Table1[[#This Row],[FILENAMES_EXPECTED]])),ISNUMBER(SEARCH("coach_",Table1[[#This Row],[FILENAMES_EXPECTED]])))</f>
        <v>0</v>
      </c>
      <c r="E197" t="str">
        <f>"item_"&amp;Table1[[#This Row],[VEHIDCODE]]</f>
        <v>item_diesel_Romania_CFR_060_DA</v>
      </c>
      <c r="F197" t="str">
        <f>"str_"&amp;Table1[[#This Row],[VEHIDCODE]]</f>
        <v>str_diesel_Romania_CFR_060_DA</v>
      </c>
      <c r="G197">
        <v>8</v>
      </c>
      <c r="H197" t="s">
        <v>20</v>
      </c>
      <c r="I197">
        <v>0</v>
      </c>
      <c r="J197" t="s">
        <v>35</v>
      </c>
      <c r="K197">
        <v>0</v>
      </c>
      <c r="L197">
        <v>1959</v>
      </c>
      <c r="M197">
        <v>8</v>
      </c>
      <c r="N197" s="2" t="s">
        <v>20</v>
      </c>
      <c r="O197" t="b">
        <v>1</v>
      </c>
      <c r="Q197" s="2"/>
      <c r="R197">
        <v>45</v>
      </c>
      <c r="S197">
        <v>0</v>
      </c>
      <c r="T197">
        <v>2070</v>
      </c>
      <c r="U197" t="s">
        <v>711</v>
      </c>
      <c r="V197">
        <v>100</v>
      </c>
      <c r="W197" s="2">
        <v>0.27</v>
      </c>
      <c r="AF197" s="2" t="b">
        <v>1</v>
      </c>
      <c r="AX197"/>
      <c r="BA197" s="2"/>
      <c r="BB197" s="2" t="b">
        <f>LEN(_xlfn.CONCAT(Table1[[#This Row],[TRACK_TYPE_STANDARD_GAUGE_RAILTYPE_OHLE]:[TRACK_TYPE_MTRO]]))&gt;0</f>
        <v>1</v>
      </c>
      <c r="BC197" s="7">
        <v>40</v>
      </c>
      <c r="BD197" t="s">
        <v>929</v>
      </c>
      <c r="BE197" t="s">
        <v>922</v>
      </c>
      <c r="BF197" t="s">
        <v>940</v>
      </c>
      <c r="BG1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7">
        <v>0</v>
      </c>
      <c r="BI197" t="s">
        <v>734</v>
      </c>
      <c r="BK197" s="11"/>
      <c r="BL197" s="11">
        <v>116</v>
      </c>
      <c r="BM197">
        <v>0</v>
      </c>
      <c r="BN197" t="s">
        <v>692</v>
      </c>
      <c r="BO197" t="s">
        <v>694</v>
      </c>
      <c r="BP197" t="s">
        <v>701</v>
      </c>
      <c r="BQ197" t="s">
        <v>705</v>
      </c>
      <c r="BR197" t="s">
        <v>706</v>
      </c>
      <c r="BS197" t="s">
        <v>707</v>
      </c>
    </row>
    <row r="198" spans="1:71" hidden="1" x14ac:dyDescent="0.4">
      <c r="A198" s="2" t="s">
        <v>222</v>
      </c>
      <c r="B198" t="str">
        <f>_xlfn.TEXTAFTER(Table1[[#This Row],[VEHIDCODE]],"_")</f>
        <v>Brazil_BF_EMD_GL8</v>
      </c>
      <c r="C198" t="s">
        <v>740</v>
      </c>
      <c r="D198" t="b">
        <f>OR(ISNUMBER(SEARCH("wagon_",Table1[[#This Row],[FILENAMES_EXPECTED]])),ISNUMBER(SEARCH("coach_",Table1[[#This Row],[FILENAMES_EXPECTED]])))</f>
        <v>0</v>
      </c>
      <c r="E198" t="str">
        <f>"item_"&amp;Table1[[#This Row],[VEHIDCODE]]</f>
        <v>item_diesel_Brazil_BF_EMD_GL8</v>
      </c>
      <c r="F198" t="str">
        <f>"str_"&amp;Table1[[#This Row],[VEHIDCODE]]</f>
        <v>str_diesel_Brazil_BF_EMD_GL8</v>
      </c>
      <c r="G198">
        <v>5</v>
      </c>
      <c r="H198" t="s">
        <v>20</v>
      </c>
      <c r="I198">
        <v>0</v>
      </c>
      <c r="J198" t="s">
        <v>35</v>
      </c>
      <c r="K198">
        <v>0</v>
      </c>
      <c r="L198">
        <v>1960</v>
      </c>
      <c r="M198">
        <v>5</v>
      </c>
      <c r="N198" s="2" t="s">
        <v>20</v>
      </c>
      <c r="O198" t="b">
        <v>1</v>
      </c>
      <c r="Q198" s="2"/>
      <c r="R198">
        <v>45</v>
      </c>
      <c r="S198">
        <v>1</v>
      </c>
      <c r="T198">
        <v>875</v>
      </c>
      <c r="U198" t="s">
        <v>711</v>
      </c>
      <c r="V198">
        <v>124</v>
      </c>
      <c r="W198" s="2">
        <v>0.13</v>
      </c>
      <c r="AF198" s="2" t="b">
        <v>1</v>
      </c>
      <c r="AX198"/>
      <c r="BA198" s="2"/>
      <c r="BB198" s="2" t="b">
        <f>LEN(_xlfn.CONCAT(Table1[[#This Row],[TRACK_TYPE_STANDARD_GAUGE_RAILTYPE_OHLE]:[TRACK_TYPE_MTRO]]))&gt;0</f>
        <v>1</v>
      </c>
      <c r="BC198" s="7">
        <v>40</v>
      </c>
      <c r="BD198" t="s">
        <v>930</v>
      </c>
      <c r="BE198" t="s">
        <v>922</v>
      </c>
      <c r="BF198" t="s">
        <v>940</v>
      </c>
      <c r="BG1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8">
        <v>0</v>
      </c>
      <c r="BI198" t="s">
        <v>734</v>
      </c>
      <c r="BK198" s="11"/>
      <c r="BL198" s="11">
        <v>64</v>
      </c>
      <c r="BM198">
        <v>0</v>
      </c>
      <c r="BN198" t="s">
        <v>692</v>
      </c>
      <c r="BO198" t="s">
        <v>694</v>
      </c>
      <c r="BP198" t="s">
        <v>701</v>
      </c>
      <c r="BQ198" t="s">
        <v>705</v>
      </c>
      <c r="BR198" t="s">
        <v>706</v>
      </c>
      <c r="BS198" t="s">
        <v>707</v>
      </c>
    </row>
    <row r="199" spans="1:71" hidden="1" x14ac:dyDescent="0.4">
      <c r="A199" s="2" t="s">
        <v>223</v>
      </c>
      <c r="B199" t="str">
        <f>_xlfn.TEXTAFTER(Table1[[#This Row],[VEHIDCODE]],"_")</f>
        <v>Brazil_EFVM_ML4000</v>
      </c>
      <c r="C199" t="s">
        <v>740</v>
      </c>
      <c r="D199" t="b">
        <f>OR(ISNUMBER(SEARCH("wagon_",Table1[[#This Row],[FILENAMES_EXPECTED]])),ISNUMBER(SEARCH("coach_",Table1[[#This Row],[FILENAMES_EXPECTED]])))</f>
        <v>0</v>
      </c>
      <c r="E199" t="str">
        <f>"item_"&amp;Table1[[#This Row],[VEHIDCODE]]</f>
        <v>item_diesel_Brazil_EFVM_ML4000</v>
      </c>
      <c r="F199" t="str">
        <f>"str_"&amp;Table1[[#This Row],[VEHIDCODE]]</f>
        <v>str_diesel_Brazil_EFVM_ML4000</v>
      </c>
      <c r="G199">
        <v>8</v>
      </c>
      <c r="H199" t="s">
        <v>20</v>
      </c>
      <c r="I199">
        <v>0</v>
      </c>
      <c r="J199" t="s">
        <v>35</v>
      </c>
      <c r="K199">
        <v>0</v>
      </c>
      <c r="L199">
        <v>1960</v>
      </c>
      <c r="M199">
        <v>8</v>
      </c>
      <c r="N199" s="2" t="s">
        <v>20</v>
      </c>
      <c r="O199" t="b">
        <v>1</v>
      </c>
      <c r="Q199" s="2"/>
      <c r="R199">
        <v>45</v>
      </c>
      <c r="S199">
        <v>1</v>
      </c>
      <c r="T199">
        <v>4000</v>
      </c>
      <c r="U199" t="s">
        <v>711</v>
      </c>
      <c r="V199">
        <v>110</v>
      </c>
      <c r="W199" s="2">
        <v>0.28999999999999998</v>
      </c>
      <c r="AF199" s="2" t="b">
        <v>1</v>
      </c>
      <c r="AX199"/>
      <c r="BA199" s="2"/>
      <c r="BB199" s="2" t="b">
        <f>LEN(_xlfn.CONCAT(Table1[[#This Row],[TRACK_TYPE_STANDARD_GAUGE_RAILTYPE_OHLE]:[TRACK_TYPE_MTRO]]))&gt;0</f>
        <v>1</v>
      </c>
      <c r="BC199" s="7">
        <v>40</v>
      </c>
      <c r="BD199" t="s">
        <v>930</v>
      </c>
      <c r="BE199" t="s">
        <v>922</v>
      </c>
      <c r="BF199" t="s">
        <v>940</v>
      </c>
      <c r="BG1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9">
        <v>0</v>
      </c>
      <c r="BI199" t="s">
        <v>734</v>
      </c>
      <c r="BK199" s="11"/>
      <c r="BL199" s="11">
        <v>156</v>
      </c>
      <c r="BM199">
        <v>0</v>
      </c>
      <c r="BN199" t="s">
        <v>692</v>
      </c>
      <c r="BO199" t="s">
        <v>694</v>
      </c>
      <c r="BP199" t="s">
        <v>701</v>
      </c>
      <c r="BQ199" t="s">
        <v>705</v>
      </c>
      <c r="BR199" t="s">
        <v>706</v>
      </c>
      <c r="BS199" t="s">
        <v>707</v>
      </c>
    </row>
    <row r="200" spans="1:71" hidden="1" x14ac:dyDescent="0.4">
      <c r="A200" s="2" t="s">
        <v>224</v>
      </c>
      <c r="B200" t="str">
        <f>_xlfn.TEXTAFTER(Table1[[#This Row],[VEHIDCODE]],"_")</f>
        <v>Russia_RZD_TEP60</v>
      </c>
      <c r="C200" t="s">
        <v>740</v>
      </c>
      <c r="D200" t="b">
        <f>OR(ISNUMBER(SEARCH("wagon_",Table1[[#This Row],[FILENAMES_EXPECTED]])),ISNUMBER(SEARCH("coach_",Table1[[#This Row],[FILENAMES_EXPECTED]])))</f>
        <v>0</v>
      </c>
      <c r="E200" t="str">
        <f>"item_"&amp;Table1[[#This Row],[VEHIDCODE]]</f>
        <v>item_diesel_Russia_RZD_TEP60</v>
      </c>
      <c r="F200" t="str">
        <f>"str_"&amp;Table1[[#This Row],[VEHIDCODE]]</f>
        <v>str_diesel_Russia_RZD_TEP60</v>
      </c>
      <c r="G200">
        <v>8</v>
      </c>
      <c r="H200" t="s">
        <v>20</v>
      </c>
      <c r="I200">
        <v>0</v>
      </c>
      <c r="J200" t="s">
        <v>35</v>
      </c>
      <c r="K200">
        <v>0</v>
      </c>
      <c r="L200">
        <v>1960</v>
      </c>
      <c r="M200">
        <v>8</v>
      </c>
      <c r="N200" s="2" t="s">
        <v>20</v>
      </c>
      <c r="O200" t="b">
        <v>1</v>
      </c>
      <c r="Q200" s="2"/>
      <c r="R200">
        <v>45</v>
      </c>
      <c r="S200">
        <v>1</v>
      </c>
      <c r="T200">
        <v>2960</v>
      </c>
      <c r="U200" t="s">
        <v>711</v>
      </c>
      <c r="V200">
        <v>160</v>
      </c>
      <c r="W200" s="2">
        <v>0.15</v>
      </c>
      <c r="AF200" s="2" t="b">
        <v>1</v>
      </c>
      <c r="AX200"/>
      <c r="BA200" s="2"/>
      <c r="BB200" s="2" t="b">
        <f>LEN(_xlfn.CONCAT(Table1[[#This Row],[TRACK_TYPE_STANDARD_GAUGE_RAILTYPE_OHLE]:[TRACK_TYPE_MTRO]]))&gt;0</f>
        <v>1</v>
      </c>
      <c r="BC200" s="7">
        <v>40</v>
      </c>
      <c r="BD200" t="s">
        <v>931</v>
      </c>
      <c r="BE200" t="s">
        <v>922</v>
      </c>
      <c r="BF200" t="s">
        <v>940</v>
      </c>
      <c r="BG2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0">
        <v>0</v>
      </c>
      <c r="BI200" t="s">
        <v>734</v>
      </c>
      <c r="BK200" s="11"/>
      <c r="BL200" s="11">
        <v>130</v>
      </c>
      <c r="BM200">
        <v>0</v>
      </c>
      <c r="BN200" t="s">
        <v>692</v>
      </c>
      <c r="BO200" t="s">
        <v>694</v>
      </c>
      <c r="BP200" t="s">
        <v>701</v>
      </c>
      <c r="BQ200" t="s">
        <v>705</v>
      </c>
      <c r="BR200" t="s">
        <v>706</v>
      </c>
      <c r="BS200" t="s">
        <v>707</v>
      </c>
    </row>
    <row r="201" spans="1:71" hidden="1" x14ac:dyDescent="0.4">
      <c r="A201" s="2" t="s">
        <v>225</v>
      </c>
      <c r="B201" t="str">
        <f>_xlfn.TEXTAFTER(Table1[[#This Row],[VEHIDCODE]],"_")</f>
        <v>Belgium_NMBS_SNCB_62</v>
      </c>
      <c r="C201" t="s">
        <v>740</v>
      </c>
      <c r="D201" t="b">
        <f>OR(ISNUMBER(SEARCH("wagon_",Table1[[#This Row],[FILENAMES_EXPECTED]])),ISNUMBER(SEARCH("coach_",Table1[[#This Row],[FILENAMES_EXPECTED]])))</f>
        <v>0</v>
      </c>
      <c r="E201" t="str">
        <f>"item_"&amp;Table1[[#This Row],[VEHIDCODE]]</f>
        <v>item_diesel_Belgium_NMBS_SNCB_62</v>
      </c>
      <c r="F201" t="str">
        <f>"str_"&amp;Table1[[#This Row],[VEHIDCODE]]</f>
        <v>str_diesel_Belgium_NMBS_SNCB_62</v>
      </c>
      <c r="G201">
        <v>8</v>
      </c>
      <c r="H201" t="s">
        <v>20</v>
      </c>
      <c r="I201">
        <v>0</v>
      </c>
      <c r="J201" t="s">
        <v>35</v>
      </c>
      <c r="K201">
        <v>0</v>
      </c>
      <c r="L201">
        <v>1961</v>
      </c>
      <c r="M201">
        <v>8</v>
      </c>
      <c r="N201" s="2" t="s">
        <v>20</v>
      </c>
      <c r="O201" t="b">
        <v>1</v>
      </c>
      <c r="Q201" s="2"/>
      <c r="R201">
        <v>45</v>
      </c>
      <c r="S201">
        <v>1</v>
      </c>
      <c r="T201">
        <v>1408</v>
      </c>
      <c r="U201" t="s">
        <v>711</v>
      </c>
      <c r="V201">
        <v>120</v>
      </c>
      <c r="W201" s="2">
        <v>0.27</v>
      </c>
      <c r="AF201" s="2" t="b">
        <v>1</v>
      </c>
      <c r="AX201"/>
      <c r="BA201" s="2"/>
      <c r="BB201" s="2" t="b">
        <f>LEN(_xlfn.CONCAT(Table1[[#This Row],[TRACK_TYPE_STANDARD_GAUGE_RAILTYPE_OHLE]:[TRACK_TYPE_MTRO]]))&gt;0</f>
        <v>1</v>
      </c>
      <c r="BC201" s="7">
        <v>40</v>
      </c>
      <c r="BD201" t="s">
        <v>923</v>
      </c>
      <c r="BE201" t="s">
        <v>922</v>
      </c>
      <c r="BF201" t="s">
        <v>940</v>
      </c>
      <c r="BG2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1">
        <v>0</v>
      </c>
      <c r="BI201" t="s">
        <v>734</v>
      </c>
      <c r="BK201" s="11"/>
      <c r="BL201" s="11">
        <v>80</v>
      </c>
      <c r="BM201">
        <v>0</v>
      </c>
      <c r="BN201" t="s">
        <v>692</v>
      </c>
      <c r="BO201" t="s">
        <v>694</v>
      </c>
      <c r="BP201" t="s">
        <v>701</v>
      </c>
      <c r="BQ201" t="s">
        <v>705</v>
      </c>
      <c r="BR201" t="s">
        <v>706</v>
      </c>
      <c r="BS201" t="s">
        <v>707</v>
      </c>
    </row>
    <row r="202" spans="1:71" hidden="1" x14ac:dyDescent="0.4">
      <c r="A202" s="2" t="s">
        <v>226</v>
      </c>
      <c r="B202" t="str">
        <f>_xlfn.TEXTAFTER(Table1[[#This Row],[VEHIDCODE]],"_")</f>
        <v>Denmark_DSB_MaK_100</v>
      </c>
      <c r="C202" t="s">
        <v>740</v>
      </c>
      <c r="D202" t="b">
        <f>OR(ISNUMBER(SEARCH("wagon_",Table1[[#This Row],[FILENAMES_EXPECTED]])),ISNUMBER(SEARCH("coach_",Table1[[#This Row],[FILENAMES_EXPECTED]])))</f>
        <v>0</v>
      </c>
      <c r="E202" t="str">
        <f>"item_"&amp;Table1[[#This Row],[VEHIDCODE]]</f>
        <v>item_diesel_Denmark_DSB_MaK_100</v>
      </c>
      <c r="F202" t="str">
        <f>"str_"&amp;Table1[[#This Row],[VEHIDCODE]]</f>
        <v>str_diesel_Denmark_DSB_MaK_100</v>
      </c>
      <c r="G202">
        <v>7</v>
      </c>
      <c r="H202" t="s">
        <v>20</v>
      </c>
      <c r="I202">
        <v>0</v>
      </c>
      <c r="J202" t="s">
        <v>35</v>
      </c>
      <c r="K202">
        <v>0</v>
      </c>
      <c r="L202">
        <v>1962</v>
      </c>
      <c r="M202">
        <v>7</v>
      </c>
      <c r="N202" s="2" t="s">
        <v>20</v>
      </c>
      <c r="O202" t="b">
        <v>1</v>
      </c>
      <c r="Q202" s="2"/>
      <c r="R202">
        <v>45</v>
      </c>
      <c r="S202">
        <v>0</v>
      </c>
      <c r="T202">
        <v>650</v>
      </c>
      <c r="U202" t="s">
        <v>711</v>
      </c>
      <c r="V202">
        <v>75</v>
      </c>
      <c r="W202" s="2">
        <v>0.21</v>
      </c>
      <c r="AF202" s="2" t="b">
        <v>1</v>
      </c>
      <c r="AX202"/>
      <c r="BA202" s="2"/>
      <c r="BB202" s="2" t="b">
        <f>LEN(_xlfn.CONCAT(Table1[[#This Row],[TRACK_TYPE_STANDARD_GAUGE_RAILTYPE_OHLE]:[TRACK_TYPE_MTRO]]))&gt;0</f>
        <v>1</v>
      </c>
      <c r="BC202" s="7">
        <v>40</v>
      </c>
      <c r="BD202" t="s">
        <v>927</v>
      </c>
      <c r="BE202" t="s">
        <v>922</v>
      </c>
      <c r="BF202" t="s">
        <v>940</v>
      </c>
      <c r="BG2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2">
        <v>0</v>
      </c>
      <c r="BI202" t="s">
        <v>734</v>
      </c>
      <c r="BK202" s="11"/>
      <c r="BL202" s="11">
        <v>45</v>
      </c>
      <c r="BM202">
        <v>0</v>
      </c>
      <c r="BN202" t="s">
        <v>692</v>
      </c>
      <c r="BO202" t="s">
        <v>694</v>
      </c>
      <c r="BP202" t="s">
        <v>701</v>
      </c>
      <c r="BQ202" t="s">
        <v>705</v>
      </c>
      <c r="BR202" t="s">
        <v>706</v>
      </c>
      <c r="BS202" t="s">
        <v>707</v>
      </c>
    </row>
    <row r="203" spans="1:71" hidden="1" x14ac:dyDescent="0.4">
      <c r="A203" s="2" t="s">
        <v>227</v>
      </c>
      <c r="B203" t="str">
        <f>_xlfn.TEXTAFTER(Table1[[#This Row],[VEHIDCODE]],"_")</f>
        <v>India_Indian_Railways_WDM_2</v>
      </c>
      <c r="C203" t="s">
        <v>740</v>
      </c>
      <c r="D203" t="b">
        <f>OR(ISNUMBER(SEARCH("wagon_",Table1[[#This Row],[FILENAMES_EXPECTED]])),ISNUMBER(SEARCH("coach_",Table1[[#This Row],[FILENAMES_EXPECTED]])))</f>
        <v>0</v>
      </c>
      <c r="E203" t="str">
        <f>"item_"&amp;Table1[[#This Row],[VEHIDCODE]]</f>
        <v>item_diesel_India_Indian_Railways_WDM_2</v>
      </c>
      <c r="F203" t="str">
        <f>"str_"&amp;Table1[[#This Row],[VEHIDCODE]]</f>
        <v>str_diesel_India_Indian_Railways_WDM_2</v>
      </c>
      <c r="G203">
        <v>7</v>
      </c>
      <c r="H203" t="s">
        <v>20</v>
      </c>
      <c r="I203">
        <v>0</v>
      </c>
      <c r="J203" t="s">
        <v>35</v>
      </c>
      <c r="K203">
        <v>0</v>
      </c>
      <c r="L203">
        <v>1963</v>
      </c>
      <c r="M203">
        <v>7</v>
      </c>
      <c r="N203" s="2" t="s">
        <v>20</v>
      </c>
      <c r="O203" t="b">
        <v>1</v>
      </c>
      <c r="Q203" s="2"/>
      <c r="R203">
        <v>45</v>
      </c>
      <c r="S203">
        <v>1</v>
      </c>
      <c r="T203">
        <v>2400</v>
      </c>
      <c r="U203" t="s">
        <v>711</v>
      </c>
      <c r="V203">
        <v>120</v>
      </c>
      <c r="W203" s="2">
        <v>0.27</v>
      </c>
      <c r="AF203" s="2" t="b">
        <v>1</v>
      </c>
      <c r="AX203"/>
      <c r="BA203" s="2"/>
      <c r="BB203" s="2" t="b">
        <f>LEN(_xlfn.CONCAT(Table1[[#This Row],[TRACK_TYPE_STANDARD_GAUGE_RAILTYPE_OHLE]:[TRACK_TYPE_MTRO]]))&gt;0</f>
        <v>1</v>
      </c>
      <c r="BC203" s="7">
        <v>40</v>
      </c>
      <c r="BD203" t="s">
        <v>931</v>
      </c>
      <c r="BE203" t="s">
        <v>922</v>
      </c>
      <c r="BF203" t="s">
        <v>940</v>
      </c>
      <c r="BG2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3">
        <v>0</v>
      </c>
      <c r="BI203" t="s">
        <v>734</v>
      </c>
      <c r="BK203" s="11"/>
      <c r="BL203" s="11">
        <v>113</v>
      </c>
      <c r="BM203">
        <v>0</v>
      </c>
      <c r="BN203" t="s">
        <v>692</v>
      </c>
      <c r="BO203" t="s">
        <v>694</v>
      </c>
      <c r="BP203" t="s">
        <v>701</v>
      </c>
      <c r="BQ203" t="s">
        <v>705</v>
      </c>
      <c r="BR203" t="s">
        <v>706</v>
      </c>
      <c r="BS203" t="s">
        <v>707</v>
      </c>
    </row>
    <row r="204" spans="1:71" hidden="1" x14ac:dyDescent="0.4">
      <c r="A204" s="2" t="s">
        <v>228</v>
      </c>
      <c r="B204" t="str">
        <f>_xlfn.TEXTAFTER(Table1[[#This Row],[VEHIDCODE]],"_")</f>
        <v>UK_BR_14</v>
      </c>
      <c r="C204" t="s">
        <v>740</v>
      </c>
      <c r="D204" t="b">
        <f>OR(ISNUMBER(SEARCH("wagon_",Table1[[#This Row],[FILENAMES_EXPECTED]])),ISNUMBER(SEARCH("coach_",Table1[[#This Row],[FILENAMES_EXPECTED]])))</f>
        <v>0</v>
      </c>
      <c r="E204" t="str">
        <f>"item_"&amp;Table1[[#This Row],[VEHIDCODE]]</f>
        <v>item_diesel_UK_BR_14</v>
      </c>
      <c r="F204" t="str">
        <f>"str_"&amp;Table1[[#This Row],[VEHIDCODE]]</f>
        <v>str_diesel_UK_BR_14</v>
      </c>
      <c r="G204">
        <v>6</v>
      </c>
      <c r="H204" t="s">
        <v>20</v>
      </c>
      <c r="I204">
        <v>0</v>
      </c>
      <c r="J204" t="s">
        <v>35</v>
      </c>
      <c r="K204">
        <v>0</v>
      </c>
      <c r="L204">
        <v>1964</v>
      </c>
      <c r="M204">
        <v>6</v>
      </c>
      <c r="N204" s="2" t="s">
        <v>20</v>
      </c>
      <c r="O204" t="b">
        <v>1</v>
      </c>
      <c r="Q204" s="2"/>
      <c r="R204">
        <v>45</v>
      </c>
      <c r="S204">
        <v>0</v>
      </c>
      <c r="T204">
        <v>650</v>
      </c>
      <c r="U204" t="s">
        <v>711</v>
      </c>
      <c r="V204">
        <v>64</v>
      </c>
      <c r="W204" s="2">
        <v>0.28000000000000003</v>
      </c>
      <c r="AF204" s="2" t="b">
        <v>1</v>
      </c>
      <c r="AX204"/>
      <c r="BA204" s="2"/>
      <c r="BB204" s="2" t="b">
        <f>LEN(_xlfn.CONCAT(Table1[[#This Row],[TRACK_TYPE_STANDARD_GAUGE_RAILTYPE_OHLE]:[TRACK_TYPE_MTRO]]))&gt;0</f>
        <v>1</v>
      </c>
      <c r="BC204" s="7">
        <v>40</v>
      </c>
      <c r="BD204" t="s">
        <v>927</v>
      </c>
      <c r="BE204" t="s">
        <v>922</v>
      </c>
      <c r="BF204" t="s">
        <v>940</v>
      </c>
      <c r="BG2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4">
        <v>0</v>
      </c>
      <c r="BI204" t="s">
        <v>734</v>
      </c>
      <c r="BK204" s="11"/>
      <c r="BL204" s="11">
        <v>49</v>
      </c>
      <c r="BM204">
        <v>0</v>
      </c>
      <c r="BN204" t="s">
        <v>692</v>
      </c>
      <c r="BO204" t="s">
        <v>694</v>
      </c>
      <c r="BP204" t="s">
        <v>701</v>
      </c>
      <c r="BQ204" t="s">
        <v>705</v>
      </c>
      <c r="BR204" t="s">
        <v>706</v>
      </c>
      <c r="BS204" t="s">
        <v>707</v>
      </c>
    </row>
    <row r="205" spans="1:71" hidden="1" x14ac:dyDescent="0.4">
      <c r="A205" s="2" t="s">
        <v>229</v>
      </c>
      <c r="B205" t="str">
        <f>_xlfn.TEXTAFTER(Table1[[#This Row],[VEHIDCODE]],"_")</f>
        <v>Russia_RZD_ChME3</v>
      </c>
      <c r="C205" t="s">
        <v>740</v>
      </c>
      <c r="D205" t="b">
        <f>OR(ISNUMBER(SEARCH("wagon_",Table1[[#This Row],[FILENAMES_EXPECTED]])),ISNUMBER(SEARCH("coach_",Table1[[#This Row],[FILENAMES_EXPECTED]])))</f>
        <v>0</v>
      </c>
      <c r="E205" t="str">
        <f>"item_"&amp;Table1[[#This Row],[VEHIDCODE]]</f>
        <v>item_diesel_Russia_RZD_ChME3</v>
      </c>
      <c r="F205" t="str">
        <f>"str_"&amp;Table1[[#This Row],[VEHIDCODE]]</f>
        <v>str_diesel_Russia_RZD_ChME3</v>
      </c>
      <c r="G205">
        <v>8</v>
      </c>
      <c r="H205" t="s">
        <v>20</v>
      </c>
      <c r="I205">
        <v>0</v>
      </c>
      <c r="J205" t="s">
        <v>35</v>
      </c>
      <c r="K205">
        <v>0</v>
      </c>
      <c r="L205">
        <v>1964</v>
      </c>
      <c r="M205">
        <v>8</v>
      </c>
      <c r="N205" s="2" t="s">
        <v>20</v>
      </c>
      <c r="O205" t="b">
        <v>1</v>
      </c>
      <c r="Q205" s="2"/>
      <c r="R205">
        <v>45</v>
      </c>
      <c r="S205">
        <v>1</v>
      </c>
      <c r="T205">
        <v>1250</v>
      </c>
      <c r="U205" t="s">
        <v>711</v>
      </c>
      <c r="V205">
        <v>95</v>
      </c>
      <c r="W205" s="2">
        <v>0.28999999999999998</v>
      </c>
      <c r="AF205" s="2" t="b">
        <v>1</v>
      </c>
      <c r="AX205"/>
      <c r="BA205" s="2"/>
      <c r="BB205" s="2" t="b">
        <f>LEN(_xlfn.CONCAT(Table1[[#This Row],[TRACK_TYPE_STANDARD_GAUGE_RAILTYPE_OHLE]:[TRACK_TYPE_MTRO]]))&gt;0</f>
        <v>1</v>
      </c>
      <c r="BC205" s="7">
        <v>40</v>
      </c>
      <c r="BD205" t="s">
        <v>931</v>
      </c>
      <c r="BE205" t="s">
        <v>922</v>
      </c>
      <c r="BF205" t="s">
        <v>940</v>
      </c>
      <c r="BG2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5">
        <v>0</v>
      </c>
      <c r="BI205" t="s">
        <v>734</v>
      </c>
      <c r="BK205" s="11"/>
      <c r="BL205" s="11">
        <v>123</v>
      </c>
      <c r="BM205">
        <v>0</v>
      </c>
      <c r="BN205" t="s">
        <v>692</v>
      </c>
      <c r="BO205" t="s">
        <v>694</v>
      </c>
      <c r="BP205" t="s">
        <v>701</v>
      </c>
      <c r="BQ205" t="s">
        <v>705</v>
      </c>
      <c r="BR205" t="s">
        <v>706</v>
      </c>
      <c r="BS205" t="s">
        <v>707</v>
      </c>
    </row>
    <row r="206" spans="1:71" hidden="1" x14ac:dyDescent="0.4">
      <c r="A206" s="2" t="s">
        <v>230</v>
      </c>
      <c r="B206" t="str">
        <f>_xlfn.TEXTAFTER(Table1[[#This Row],[VEHIDCODE]],"_")</f>
        <v>Argentina_MF_GM_EMD_J16CW_AC</v>
      </c>
      <c r="C206" t="s">
        <v>740</v>
      </c>
      <c r="D206" t="b">
        <f>OR(ISNUMBER(SEARCH("wagon_",Table1[[#This Row],[FILENAMES_EXPECTED]])),ISNUMBER(SEARCH("coach_",Table1[[#This Row],[FILENAMES_EXPECTED]])))</f>
        <v>0</v>
      </c>
      <c r="E206" t="str">
        <f>"item_"&amp;Table1[[#This Row],[VEHIDCODE]]</f>
        <v>item_diesel_Argentina_MF_GM_EMD_J16CW_AC</v>
      </c>
      <c r="F206" t="str">
        <f>"str_"&amp;Table1[[#This Row],[VEHIDCODE]]</f>
        <v>str_diesel_Argentina_MF_GM_EMD_J16CW_AC</v>
      </c>
      <c r="G206">
        <v>8</v>
      </c>
      <c r="H206" t="s">
        <v>20</v>
      </c>
      <c r="I206">
        <v>0</v>
      </c>
      <c r="J206" t="s">
        <v>35</v>
      </c>
      <c r="K206">
        <v>0</v>
      </c>
      <c r="L206">
        <v>1965</v>
      </c>
      <c r="M206">
        <v>8</v>
      </c>
      <c r="N206" s="2" t="s">
        <v>20</v>
      </c>
      <c r="O206" t="b">
        <v>1</v>
      </c>
      <c r="Q206" s="2"/>
      <c r="R206">
        <v>45</v>
      </c>
      <c r="S206">
        <v>1</v>
      </c>
      <c r="T206">
        <v>1870</v>
      </c>
      <c r="U206" t="s">
        <v>711</v>
      </c>
      <c r="V206">
        <v>120</v>
      </c>
      <c r="W206" s="2">
        <v>0.21</v>
      </c>
      <c r="AF206" s="2" t="b">
        <v>1</v>
      </c>
      <c r="AX206"/>
      <c r="BA206" s="2"/>
      <c r="BB206" s="2" t="b">
        <f>LEN(_xlfn.CONCAT(Table1[[#This Row],[TRACK_TYPE_STANDARD_GAUGE_RAILTYPE_OHLE]:[TRACK_TYPE_MTRO]]))&gt;0</f>
        <v>1</v>
      </c>
      <c r="BC206" s="7">
        <v>40</v>
      </c>
      <c r="BD206" t="s">
        <v>930</v>
      </c>
      <c r="BE206" t="s">
        <v>922</v>
      </c>
      <c r="BF206" t="s">
        <v>940</v>
      </c>
      <c r="BG2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6">
        <v>0</v>
      </c>
      <c r="BI206" t="s">
        <v>734</v>
      </c>
      <c r="BK206" s="11"/>
      <c r="BL206" s="11">
        <v>112</v>
      </c>
      <c r="BM206">
        <v>0</v>
      </c>
      <c r="BN206" t="s">
        <v>692</v>
      </c>
      <c r="BO206" t="s">
        <v>694</v>
      </c>
      <c r="BP206" t="s">
        <v>701</v>
      </c>
      <c r="BQ206" t="s">
        <v>705</v>
      </c>
      <c r="BR206" t="s">
        <v>706</v>
      </c>
      <c r="BS206" t="s">
        <v>707</v>
      </c>
    </row>
    <row r="207" spans="1:71" hidden="1" x14ac:dyDescent="0.4">
      <c r="A207" s="2" t="s">
        <v>231</v>
      </c>
      <c r="B207" t="str">
        <f>_xlfn.TEXTAFTER(Table1[[#This Row],[VEHIDCODE]],"_")</f>
        <v>Russia_RZD_M62</v>
      </c>
      <c r="C207" t="s">
        <v>740</v>
      </c>
      <c r="D207" t="b">
        <f>OR(ISNUMBER(SEARCH("wagon_",Table1[[#This Row],[FILENAMES_EXPECTED]])),ISNUMBER(SEARCH("coach_",Table1[[#This Row],[FILENAMES_EXPECTED]])))</f>
        <v>0</v>
      </c>
      <c r="E207" t="str">
        <f>"item_"&amp;Table1[[#This Row],[VEHIDCODE]]</f>
        <v>item_diesel_Russia_RZD_M62</v>
      </c>
      <c r="F207" t="str">
        <f>"str_"&amp;Table1[[#This Row],[VEHIDCODE]]</f>
        <v>str_diesel_Russia_RZD_M62</v>
      </c>
      <c r="G207">
        <v>8</v>
      </c>
      <c r="H207" t="s">
        <v>20</v>
      </c>
      <c r="I207">
        <v>0</v>
      </c>
      <c r="J207" t="s">
        <v>35</v>
      </c>
      <c r="K207">
        <v>0</v>
      </c>
      <c r="L207">
        <v>1965</v>
      </c>
      <c r="M207">
        <v>8</v>
      </c>
      <c r="N207" s="2" t="s">
        <v>20</v>
      </c>
      <c r="O207" t="b">
        <v>1</v>
      </c>
      <c r="Q207" s="2"/>
      <c r="R207">
        <v>45</v>
      </c>
      <c r="S207">
        <v>1</v>
      </c>
      <c r="T207">
        <v>1970</v>
      </c>
      <c r="U207" t="s">
        <v>711</v>
      </c>
      <c r="V207">
        <v>100</v>
      </c>
      <c r="W207" s="2">
        <v>0.3</v>
      </c>
      <c r="AF207" s="2" t="b">
        <v>1</v>
      </c>
      <c r="AX207"/>
      <c r="BA207" s="2"/>
      <c r="BB207" s="2" t="b">
        <f>LEN(_xlfn.CONCAT(Table1[[#This Row],[TRACK_TYPE_STANDARD_GAUGE_RAILTYPE_OHLE]:[TRACK_TYPE_MTRO]]))&gt;0</f>
        <v>1</v>
      </c>
      <c r="BC207" s="7">
        <v>40</v>
      </c>
      <c r="BD207" t="s">
        <v>931</v>
      </c>
      <c r="BE207" t="s">
        <v>922</v>
      </c>
      <c r="BF207" t="s">
        <v>940</v>
      </c>
      <c r="BG2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7">
        <v>0</v>
      </c>
      <c r="BI207" t="s">
        <v>734</v>
      </c>
      <c r="BK207" s="11"/>
      <c r="BL207" s="11">
        <v>116</v>
      </c>
      <c r="BM207">
        <v>0</v>
      </c>
      <c r="BN207" t="s">
        <v>692</v>
      </c>
      <c r="BO207" t="s">
        <v>694</v>
      </c>
      <c r="BP207" t="s">
        <v>701</v>
      </c>
      <c r="BQ207" t="s">
        <v>705</v>
      </c>
      <c r="BR207" t="s">
        <v>706</v>
      </c>
      <c r="BS207" t="s">
        <v>707</v>
      </c>
    </row>
    <row r="208" spans="1:71" hidden="1" x14ac:dyDescent="0.4">
      <c r="A208" s="2" t="s">
        <v>232</v>
      </c>
      <c r="B208" t="str">
        <f>_xlfn.TEXTAFTER(Table1[[#This Row],[VEHIDCODE]],"_")</f>
        <v>Australia_NSWGR_422</v>
      </c>
      <c r="C208" t="s">
        <v>740</v>
      </c>
      <c r="D208" t="b">
        <f>OR(ISNUMBER(SEARCH("wagon_",Table1[[#This Row],[FILENAMES_EXPECTED]])),ISNUMBER(SEARCH("coach_",Table1[[#This Row],[FILENAMES_EXPECTED]])))</f>
        <v>0</v>
      </c>
      <c r="E208" t="str">
        <f>"item_"&amp;Table1[[#This Row],[VEHIDCODE]]</f>
        <v>item_diesel_Australia_NSWGR_422</v>
      </c>
      <c r="F208" t="str">
        <f>"str_"&amp;Table1[[#This Row],[VEHIDCODE]]</f>
        <v>str_diesel_Australia_NSWGR_422</v>
      </c>
      <c r="G208">
        <v>8</v>
      </c>
      <c r="H208" t="s">
        <v>20</v>
      </c>
      <c r="I208">
        <v>0</v>
      </c>
      <c r="J208" t="s">
        <v>35</v>
      </c>
      <c r="K208">
        <v>0</v>
      </c>
      <c r="L208">
        <v>1969</v>
      </c>
      <c r="M208">
        <v>8</v>
      </c>
      <c r="N208" s="2" t="s">
        <v>20</v>
      </c>
      <c r="O208" t="b">
        <v>1</v>
      </c>
      <c r="Q208" s="2"/>
      <c r="R208">
        <v>45</v>
      </c>
      <c r="S208">
        <v>1</v>
      </c>
      <c r="T208">
        <v>2200</v>
      </c>
      <c r="U208" t="s">
        <v>711</v>
      </c>
      <c r="V208">
        <v>124</v>
      </c>
      <c r="W208" s="2">
        <v>0.25</v>
      </c>
      <c r="AF208" s="2" t="b">
        <v>1</v>
      </c>
      <c r="AX208"/>
      <c r="BA208" s="2"/>
      <c r="BB208" s="2" t="b">
        <f>LEN(_xlfn.CONCAT(Table1[[#This Row],[TRACK_TYPE_STANDARD_GAUGE_RAILTYPE_OHLE]:[TRACK_TYPE_MTRO]]))&gt;0</f>
        <v>1</v>
      </c>
      <c r="BC208" s="7">
        <v>40</v>
      </c>
      <c r="BD208" t="s">
        <v>925</v>
      </c>
      <c r="BE208" t="s">
        <v>922</v>
      </c>
      <c r="BF208" t="s">
        <v>940</v>
      </c>
      <c r="BG2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8">
        <v>0</v>
      </c>
      <c r="BI208" t="s">
        <v>734</v>
      </c>
      <c r="BK208" s="11"/>
      <c r="BL208" s="11">
        <v>110</v>
      </c>
      <c r="BM208">
        <v>0</v>
      </c>
      <c r="BN208" t="s">
        <v>692</v>
      </c>
      <c r="BO208" t="s">
        <v>694</v>
      </c>
      <c r="BP208" t="s">
        <v>701</v>
      </c>
      <c r="BQ208" t="s">
        <v>705</v>
      </c>
      <c r="BR208" t="s">
        <v>706</v>
      </c>
      <c r="BS208" t="s">
        <v>707</v>
      </c>
    </row>
    <row r="209" spans="1:71" hidden="1" x14ac:dyDescent="0.4">
      <c r="A209" s="2" t="s">
        <v>233</v>
      </c>
      <c r="B209" t="str">
        <f>_xlfn.TEXTAFTER(Table1[[#This Row],[VEHIDCODE]],"_")</f>
        <v>Egypt_ENR_G22W</v>
      </c>
      <c r="C209" t="s">
        <v>740</v>
      </c>
      <c r="D209" t="b">
        <f>OR(ISNUMBER(SEARCH("wagon_",Table1[[#This Row],[FILENAMES_EXPECTED]])),ISNUMBER(SEARCH("coach_",Table1[[#This Row],[FILENAMES_EXPECTED]])))</f>
        <v>0</v>
      </c>
      <c r="E209" t="str">
        <f>"item_"&amp;Table1[[#This Row],[VEHIDCODE]]</f>
        <v>item_diesel_Egypt_ENR_G22W</v>
      </c>
      <c r="F209" t="str">
        <f>"str_"&amp;Table1[[#This Row],[VEHIDCODE]]</f>
        <v>str_diesel_Egypt_ENR_G22W</v>
      </c>
      <c r="G209">
        <v>8</v>
      </c>
      <c r="H209" t="s">
        <v>20</v>
      </c>
      <c r="I209">
        <v>0</v>
      </c>
      <c r="J209" t="s">
        <v>35</v>
      </c>
      <c r="K209">
        <v>0</v>
      </c>
      <c r="L209">
        <v>1969</v>
      </c>
      <c r="M209">
        <v>8</v>
      </c>
      <c r="N209" s="2" t="s">
        <v>20</v>
      </c>
      <c r="O209" t="b">
        <v>1</v>
      </c>
      <c r="Q209" s="2"/>
      <c r="R209">
        <v>45</v>
      </c>
      <c r="S209">
        <v>1</v>
      </c>
      <c r="T209">
        <v>1650</v>
      </c>
      <c r="U209" t="s">
        <v>711</v>
      </c>
      <c r="V209">
        <v>160</v>
      </c>
      <c r="W209" s="2">
        <v>0.21</v>
      </c>
      <c r="AF209" s="2" t="b">
        <v>1</v>
      </c>
      <c r="AX209"/>
      <c r="BA209" s="2"/>
      <c r="BB209" s="2" t="b">
        <f>LEN(_xlfn.CONCAT(Table1[[#This Row],[TRACK_TYPE_STANDARD_GAUGE_RAILTYPE_OHLE]:[TRACK_TYPE_MTRO]]))&gt;0</f>
        <v>1</v>
      </c>
      <c r="BC209" s="7">
        <v>40</v>
      </c>
      <c r="BD209" t="s">
        <v>926</v>
      </c>
      <c r="BE209" t="s">
        <v>922</v>
      </c>
      <c r="BF209" t="s">
        <v>940</v>
      </c>
      <c r="BG2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9">
        <v>0</v>
      </c>
      <c r="BI209" t="s">
        <v>734</v>
      </c>
      <c r="BK209" s="11"/>
      <c r="BL209" s="11">
        <v>72</v>
      </c>
      <c r="BM209">
        <v>0</v>
      </c>
      <c r="BN209" t="s">
        <v>692</v>
      </c>
      <c r="BO209" t="s">
        <v>694</v>
      </c>
      <c r="BP209" t="s">
        <v>701</v>
      </c>
      <c r="BQ209" t="s">
        <v>705</v>
      </c>
      <c r="BR209" t="s">
        <v>706</v>
      </c>
      <c r="BS209" t="s">
        <v>707</v>
      </c>
    </row>
    <row r="210" spans="1:71" hidden="1" x14ac:dyDescent="0.4">
      <c r="A210" s="2" t="s">
        <v>234</v>
      </c>
      <c r="B210" t="str">
        <f>_xlfn.TEXTAFTER(Table1[[#This Row],[VEHIDCODE]],"_")</f>
        <v>USA_UP_EMD_DDA40X</v>
      </c>
      <c r="C210" t="s">
        <v>740</v>
      </c>
      <c r="D210" t="b">
        <f>OR(ISNUMBER(SEARCH("wagon_",Table1[[#This Row],[FILENAMES_EXPECTED]])),ISNUMBER(SEARCH("coach_",Table1[[#This Row],[FILENAMES_EXPECTED]])))</f>
        <v>0</v>
      </c>
      <c r="E210" t="str">
        <f>"item_"&amp;Table1[[#This Row],[VEHIDCODE]]</f>
        <v>item_diesel_USA_UP_EMD_DDA40X</v>
      </c>
      <c r="F210" t="str">
        <f>"str_"&amp;Table1[[#This Row],[VEHIDCODE]]</f>
        <v>str_diesel_USA_UP_EMD_DDA40X</v>
      </c>
      <c r="G210">
        <v>4</v>
      </c>
      <c r="H210" t="s">
        <v>20</v>
      </c>
      <c r="I210">
        <v>0</v>
      </c>
      <c r="J210" t="s">
        <v>35</v>
      </c>
      <c r="K210">
        <v>0</v>
      </c>
      <c r="L210">
        <v>1969</v>
      </c>
      <c r="M210">
        <v>8</v>
      </c>
      <c r="N210" s="2" t="s">
        <v>20</v>
      </c>
      <c r="O210" t="b">
        <v>1</v>
      </c>
      <c r="Q210" s="2"/>
      <c r="R210">
        <v>45</v>
      </c>
      <c r="S210">
        <v>1</v>
      </c>
      <c r="T210">
        <v>6600</v>
      </c>
      <c r="U210" t="s">
        <v>711</v>
      </c>
      <c r="V210">
        <v>144</v>
      </c>
      <c r="W210" s="2">
        <v>0.19</v>
      </c>
      <c r="AF210" s="2" t="b">
        <v>1</v>
      </c>
      <c r="AX210"/>
      <c r="BA210" s="2"/>
      <c r="BB210" s="2" t="b">
        <f>LEN(_xlfn.CONCAT(Table1[[#This Row],[TRACK_TYPE_STANDARD_GAUGE_RAILTYPE_OHLE]:[TRACK_TYPE_MTRO]]))&gt;0</f>
        <v>1</v>
      </c>
      <c r="BC210" s="7">
        <v>40</v>
      </c>
      <c r="BD210" t="s">
        <v>928</v>
      </c>
      <c r="BE210" t="s">
        <v>922</v>
      </c>
      <c r="BF210" t="s">
        <v>940</v>
      </c>
      <c r="BG2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0">
        <v>0</v>
      </c>
      <c r="BI210" t="s">
        <v>734</v>
      </c>
      <c r="BK210" s="11"/>
      <c r="BL210" s="11">
        <v>261</v>
      </c>
      <c r="BM210">
        <v>0</v>
      </c>
      <c r="BN210" t="s">
        <v>692</v>
      </c>
      <c r="BO210" t="s">
        <v>694</v>
      </c>
      <c r="BP210" t="s">
        <v>701</v>
      </c>
      <c r="BQ210" t="s">
        <v>705</v>
      </c>
      <c r="BR210" t="s">
        <v>706</v>
      </c>
      <c r="BS210" t="s">
        <v>707</v>
      </c>
    </row>
    <row r="211" spans="1:71" hidden="1" x14ac:dyDescent="0.4">
      <c r="A211" s="2" t="s">
        <v>235</v>
      </c>
      <c r="B211" t="str">
        <f>_xlfn.TEXTAFTER(Table1[[#This Row],[VEHIDCODE]],"_")</f>
        <v>Australia_Queensland_Rail_2100</v>
      </c>
      <c r="C211" t="s">
        <v>740</v>
      </c>
      <c r="D211" t="b">
        <f>OR(ISNUMBER(SEARCH("wagon_",Table1[[#This Row],[FILENAMES_EXPECTED]])),ISNUMBER(SEARCH("coach_",Table1[[#This Row],[FILENAMES_EXPECTED]])))</f>
        <v>0</v>
      </c>
      <c r="E211" t="str">
        <f>"item_"&amp;Table1[[#This Row],[VEHIDCODE]]</f>
        <v>item_diesel_Australia_Queensland_Rail_2100</v>
      </c>
      <c r="F211" t="str">
        <f>"str_"&amp;Table1[[#This Row],[VEHIDCODE]]</f>
        <v>str_diesel_Australia_Queensland_Rail_2100</v>
      </c>
      <c r="G211">
        <v>8</v>
      </c>
      <c r="H211" t="s">
        <v>20</v>
      </c>
      <c r="I211">
        <v>0</v>
      </c>
      <c r="J211" t="s">
        <v>35</v>
      </c>
      <c r="K211">
        <v>0</v>
      </c>
      <c r="L211">
        <v>1970</v>
      </c>
      <c r="M211">
        <v>8</v>
      </c>
      <c r="N211" s="2" t="s">
        <v>20</v>
      </c>
      <c r="O211" t="b">
        <v>1</v>
      </c>
      <c r="Q211" s="2"/>
      <c r="R211">
        <v>45</v>
      </c>
      <c r="S211">
        <v>1</v>
      </c>
      <c r="T211">
        <v>1950</v>
      </c>
      <c r="U211" t="s">
        <v>711</v>
      </c>
      <c r="V211">
        <v>80</v>
      </c>
      <c r="W211" s="2">
        <v>0.28999999999999998</v>
      </c>
      <c r="AF211" s="2" t="b">
        <v>1</v>
      </c>
      <c r="AX211"/>
      <c r="BA211" s="2"/>
      <c r="BB211" s="2" t="b">
        <f>LEN(_xlfn.CONCAT(Table1[[#This Row],[TRACK_TYPE_STANDARD_GAUGE_RAILTYPE_OHLE]:[TRACK_TYPE_MTRO]]))&gt;0</f>
        <v>1</v>
      </c>
      <c r="BC211" s="7">
        <v>40</v>
      </c>
      <c r="BD211" t="s">
        <v>925</v>
      </c>
      <c r="BE211" t="s">
        <v>922</v>
      </c>
      <c r="BF211" t="s">
        <v>940</v>
      </c>
      <c r="BG2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1">
        <v>0</v>
      </c>
      <c r="BI211" t="s">
        <v>734</v>
      </c>
      <c r="BK211" s="11"/>
      <c r="BL211" s="11">
        <v>98</v>
      </c>
      <c r="BM211">
        <v>0</v>
      </c>
      <c r="BN211" t="s">
        <v>692</v>
      </c>
      <c r="BO211" t="s">
        <v>694</v>
      </c>
      <c r="BP211" t="s">
        <v>701</v>
      </c>
      <c r="BQ211" t="s">
        <v>705</v>
      </c>
      <c r="BR211" t="s">
        <v>706</v>
      </c>
      <c r="BS211" t="s">
        <v>707</v>
      </c>
    </row>
    <row r="212" spans="1:71" hidden="1" x14ac:dyDescent="0.4">
      <c r="A212" s="2" t="s">
        <v>236</v>
      </c>
      <c r="B212" t="str">
        <f>_xlfn.TEXTAFTER(Table1[[#This Row],[VEHIDCODE]],"_")</f>
        <v>Croatia_HZ_2062</v>
      </c>
      <c r="C212" t="s">
        <v>740</v>
      </c>
      <c r="D212" t="b">
        <f>OR(ISNUMBER(SEARCH("wagon_",Table1[[#This Row],[FILENAMES_EXPECTED]])),ISNUMBER(SEARCH("coach_",Table1[[#This Row],[FILENAMES_EXPECTED]])))</f>
        <v>0</v>
      </c>
      <c r="E212" t="str">
        <f>"item_"&amp;Table1[[#This Row],[VEHIDCODE]]</f>
        <v>item_diesel_Croatia_HZ_2062</v>
      </c>
      <c r="F212" t="str">
        <f>"str_"&amp;Table1[[#This Row],[VEHIDCODE]]</f>
        <v>str_diesel_Croatia_HZ_2062</v>
      </c>
      <c r="G212">
        <v>8</v>
      </c>
      <c r="H212" t="s">
        <v>20</v>
      </c>
      <c r="I212">
        <v>0</v>
      </c>
      <c r="J212" t="s">
        <v>35</v>
      </c>
      <c r="K212">
        <v>0</v>
      </c>
      <c r="L212">
        <v>1972</v>
      </c>
      <c r="M212">
        <v>8</v>
      </c>
      <c r="N212" s="2" t="s">
        <v>20</v>
      </c>
      <c r="O212" t="b">
        <v>1</v>
      </c>
      <c r="Q212" s="2"/>
      <c r="R212">
        <v>45</v>
      </c>
      <c r="S212">
        <v>1</v>
      </c>
      <c r="T212">
        <v>2200</v>
      </c>
      <c r="U212" t="s">
        <v>711</v>
      </c>
      <c r="V212">
        <v>124</v>
      </c>
      <c r="W212" s="2">
        <v>0.26</v>
      </c>
      <c r="AF212" s="2" t="b">
        <v>1</v>
      </c>
      <c r="AX212"/>
      <c r="BA212" s="2"/>
      <c r="BB212" s="2" t="b">
        <f>LEN(_xlfn.CONCAT(Table1[[#This Row],[TRACK_TYPE_STANDARD_GAUGE_RAILTYPE_OHLE]:[TRACK_TYPE_MTRO]]))&gt;0</f>
        <v>1</v>
      </c>
      <c r="BC212" s="7">
        <v>40</v>
      </c>
      <c r="BD212" t="s">
        <v>929</v>
      </c>
      <c r="BE212" t="s">
        <v>922</v>
      </c>
      <c r="BF212" t="s">
        <v>940</v>
      </c>
      <c r="BG2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2">
        <v>0</v>
      </c>
      <c r="BI212" t="s">
        <v>734</v>
      </c>
      <c r="BK212" s="11"/>
      <c r="BL212" s="11">
        <v>103</v>
      </c>
      <c r="BM212">
        <v>0</v>
      </c>
      <c r="BN212" t="s">
        <v>692</v>
      </c>
      <c r="BO212" t="s">
        <v>694</v>
      </c>
      <c r="BP212" t="s">
        <v>701</v>
      </c>
      <c r="BQ212" t="s">
        <v>705</v>
      </c>
      <c r="BR212" t="s">
        <v>706</v>
      </c>
      <c r="BS212" t="s">
        <v>707</v>
      </c>
    </row>
    <row r="213" spans="1:71" hidden="1" x14ac:dyDescent="0.4">
      <c r="A213" s="2" t="s">
        <v>237</v>
      </c>
      <c r="B213" t="str">
        <f>_xlfn.TEXTAFTER(Table1[[#This Row],[VEHIDCODE]],"_")</f>
        <v>Sweden_SJ_V4</v>
      </c>
      <c r="C213" t="s">
        <v>740</v>
      </c>
      <c r="D213" t="b">
        <f>OR(ISNUMBER(SEARCH("wagon_",Table1[[#This Row],[FILENAMES_EXPECTED]])),ISNUMBER(SEARCH("coach_",Table1[[#This Row],[FILENAMES_EXPECTED]])))</f>
        <v>0</v>
      </c>
      <c r="E213" t="str">
        <f>"item_"&amp;Table1[[#This Row],[VEHIDCODE]]</f>
        <v>item_diesel_Sweden_SJ_V4</v>
      </c>
      <c r="F213" t="str">
        <f>"str_"&amp;Table1[[#This Row],[VEHIDCODE]]</f>
        <v>str_diesel_Sweden_SJ_V4</v>
      </c>
      <c r="G213">
        <v>6</v>
      </c>
      <c r="H213" t="s">
        <v>20</v>
      </c>
      <c r="I213">
        <v>0</v>
      </c>
      <c r="J213" t="s">
        <v>35</v>
      </c>
      <c r="K213">
        <v>0</v>
      </c>
      <c r="L213">
        <v>1972</v>
      </c>
      <c r="M213">
        <v>6</v>
      </c>
      <c r="N213" s="2" t="s">
        <v>20</v>
      </c>
      <c r="O213" t="b">
        <v>1</v>
      </c>
      <c r="Q213" s="2"/>
      <c r="R213">
        <v>45</v>
      </c>
      <c r="S213">
        <v>0</v>
      </c>
      <c r="T213">
        <v>620</v>
      </c>
      <c r="U213" t="s">
        <v>711</v>
      </c>
      <c r="V213">
        <v>70</v>
      </c>
      <c r="W213" s="2">
        <v>0.3</v>
      </c>
      <c r="AF213" s="2" t="b">
        <v>1</v>
      </c>
      <c r="AX213"/>
      <c r="BA213" s="2"/>
      <c r="BB213" s="2" t="b">
        <f>LEN(_xlfn.CONCAT(Table1[[#This Row],[TRACK_TYPE_STANDARD_GAUGE_RAILTYPE_OHLE]:[TRACK_TYPE_MTRO]]))&gt;0</f>
        <v>1</v>
      </c>
      <c r="BC213" s="7">
        <v>40</v>
      </c>
      <c r="BD213" t="s">
        <v>927</v>
      </c>
      <c r="BE213" t="s">
        <v>922</v>
      </c>
      <c r="BF213" t="s">
        <v>940</v>
      </c>
      <c r="BG2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3">
        <v>0</v>
      </c>
      <c r="BI213" t="s">
        <v>734</v>
      </c>
      <c r="BK213" s="11"/>
      <c r="BL213" s="11">
        <v>46</v>
      </c>
      <c r="BM213">
        <v>0</v>
      </c>
      <c r="BN213" t="s">
        <v>692</v>
      </c>
      <c r="BO213" t="s">
        <v>694</v>
      </c>
      <c r="BP213" t="s">
        <v>701</v>
      </c>
      <c r="BQ213" t="s">
        <v>705</v>
      </c>
      <c r="BR213" t="s">
        <v>706</v>
      </c>
      <c r="BS213" t="s">
        <v>707</v>
      </c>
    </row>
    <row r="214" spans="1:71" hidden="1" x14ac:dyDescent="0.4">
      <c r="A214" s="2" t="s">
        <v>238</v>
      </c>
      <c r="B214" t="str">
        <f>_xlfn.TEXTAFTER(Table1[[#This Row],[VEHIDCODE]],"_")</f>
        <v>Canada_CNR_MLW_M420W</v>
      </c>
      <c r="C214" t="s">
        <v>740</v>
      </c>
      <c r="D214" t="b">
        <f>OR(ISNUMBER(SEARCH("wagon_",Table1[[#This Row],[FILENAMES_EXPECTED]])),ISNUMBER(SEARCH("coach_",Table1[[#This Row],[FILENAMES_EXPECTED]])))</f>
        <v>0</v>
      </c>
      <c r="E214" t="str">
        <f>"item_"&amp;Table1[[#This Row],[VEHIDCODE]]</f>
        <v>item_diesel_Canada_CNR_MLW_M420W</v>
      </c>
      <c r="F214" t="str">
        <f>"str_"&amp;Table1[[#This Row],[VEHIDCODE]]</f>
        <v>str_diesel_Canada_CNR_MLW_M420W</v>
      </c>
      <c r="G214">
        <v>8</v>
      </c>
      <c r="H214" t="s">
        <v>20</v>
      </c>
      <c r="I214">
        <v>0</v>
      </c>
      <c r="J214" t="s">
        <v>35</v>
      </c>
      <c r="K214">
        <v>0</v>
      </c>
      <c r="L214">
        <v>1973</v>
      </c>
      <c r="M214">
        <v>8</v>
      </c>
      <c r="N214" s="2" t="s">
        <v>20</v>
      </c>
      <c r="O214" t="b">
        <v>1</v>
      </c>
      <c r="Q214" s="2"/>
      <c r="R214">
        <v>45</v>
      </c>
      <c r="S214">
        <v>1</v>
      </c>
      <c r="T214">
        <v>2400</v>
      </c>
      <c r="U214" t="s">
        <v>711</v>
      </c>
      <c r="V214">
        <v>108</v>
      </c>
      <c r="W214" s="2">
        <v>0.13</v>
      </c>
      <c r="AF214" s="2" t="b">
        <v>1</v>
      </c>
      <c r="AX214"/>
      <c r="BA214" s="2"/>
      <c r="BB214" s="2" t="b">
        <f>LEN(_xlfn.CONCAT(Table1[[#This Row],[TRACK_TYPE_STANDARD_GAUGE_RAILTYPE_OHLE]:[TRACK_TYPE_MTRO]]))&gt;0</f>
        <v>1</v>
      </c>
      <c r="BC214" s="7">
        <v>40</v>
      </c>
      <c r="BD214" t="s">
        <v>928</v>
      </c>
      <c r="BE214" t="s">
        <v>922</v>
      </c>
      <c r="BF214" t="s">
        <v>940</v>
      </c>
      <c r="BG2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4">
        <v>0</v>
      </c>
      <c r="BI214" t="s">
        <v>734</v>
      </c>
      <c r="BK214" s="11"/>
      <c r="BL214" s="11">
        <v>125</v>
      </c>
      <c r="BM214">
        <v>0</v>
      </c>
      <c r="BN214" t="s">
        <v>692</v>
      </c>
      <c r="BO214" t="s">
        <v>694</v>
      </c>
      <c r="BP214" t="s">
        <v>701</v>
      </c>
      <c r="BQ214" t="s">
        <v>705</v>
      </c>
      <c r="BR214" t="s">
        <v>706</v>
      </c>
      <c r="BS214" t="s">
        <v>707</v>
      </c>
    </row>
    <row r="215" spans="1:71" hidden="1" x14ac:dyDescent="0.4">
      <c r="A215" s="2" t="s">
        <v>239</v>
      </c>
      <c r="B215" t="str">
        <f>_xlfn.TEXTAFTER(Table1[[#This Row],[VEHIDCODE]],"_")</f>
        <v>USA_Amtrack_SDP_40F</v>
      </c>
      <c r="C215" t="s">
        <v>740</v>
      </c>
      <c r="D215" t="b">
        <f>OR(ISNUMBER(SEARCH("wagon_",Table1[[#This Row],[FILENAMES_EXPECTED]])),ISNUMBER(SEARCH("coach_",Table1[[#This Row],[FILENAMES_EXPECTED]])))</f>
        <v>0</v>
      </c>
      <c r="E215" t="str">
        <f>"item_"&amp;Table1[[#This Row],[VEHIDCODE]]</f>
        <v>item_diesel_USA_Amtrack_SDP_40F</v>
      </c>
      <c r="F215" t="str">
        <f>"str_"&amp;Table1[[#This Row],[VEHIDCODE]]</f>
        <v>str_diesel_USA_Amtrack_SDP_40F</v>
      </c>
      <c r="G215">
        <v>8</v>
      </c>
      <c r="H215" t="s">
        <v>20</v>
      </c>
      <c r="I215">
        <v>0</v>
      </c>
      <c r="J215" t="s">
        <v>35</v>
      </c>
      <c r="K215">
        <v>0</v>
      </c>
      <c r="L215">
        <v>1973</v>
      </c>
      <c r="M215">
        <v>8</v>
      </c>
      <c r="N215" s="2" t="s">
        <v>20</v>
      </c>
      <c r="O215" t="b">
        <v>1</v>
      </c>
      <c r="Q215" s="2"/>
      <c r="R215">
        <v>45</v>
      </c>
      <c r="S215">
        <v>1</v>
      </c>
      <c r="T215">
        <v>3000</v>
      </c>
      <c r="U215" t="s">
        <v>711</v>
      </c>
      <c r="V215">
        <v>153</v>
      </c>
      <c r="W215" s="2">
        <v>0.15</v>
      </c>
      <c r="AF215" s="2" t="b">
        <v>1</v>
      </c>
      <c r="AX215"/>
      <c r="BA215" s="2"/>
      <c r="BB215" s="2" t="b">
        <f>LEN(_xlfn.CONCAT(Table1[[#This Row],[TRACK_TYPE_STANDARD_GAUGE_RAILTYPE_OHLE]:[TRACK_TYPE_MTRO]]))&gt;0</f>
        <v>1</v>
      </c>
      <c r="BC215" s="7">
        <v>40</v>
      </c>
      <c r="BD215" t="s">
        <v>928</v>
      </c>
      <c r="BE215" t="s">
        <v>922</v>
      </c>
      <c r="BF215" t="s">
        <v>940</v>
      </c>
      <c r="BG2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5">
        <v>-3</v>
      </c>
      <c r="BI215" t="s">
        <v>734</v>
      </c>
      <c r="BK215" s="11"/>
      <c r="BL215" s="11">
        <v>131</v>
      </c>
      <c r="BM215">
        <v>0</v>
      </c>
      <c r="BN215" t="s">
        <v>692</v>
      </c>
      <c r="BO215" t="s">
        <v>694</v>
      </c>
      <c r="BP215" t="s">
        <v>701</v>
      </c>
      <c r="BQ215" t="s">
        <v>705</v>
      </c>
      <c r="BR215" t="s">
        <v>706</v>
      </c>
      <c r="BS215" t="s">
        <v>707</v>
      </c>
    </row>
    <row r="216" spans="1:71" hidden="1" x14ac:dyDescent="0.4">
      <c r="A216" s="2" t="s">
        <v>240</v>
      </c>
      <c r="B216" t="str">
        <f>_xlfn.TEXTAFTER(Table1[[#This Row],[VEHIDCODE]],"_")</f>
        <v>China_China_Railways_DFH3</v>
      </c>
      <c r="C216" t="s">
        <v>740</v>
      </c>
      <c r="D216" t="b">
        <f>OR(ISNUMBER(SEARCH("wagon_",Table1[[#This Row],[FILENAMES_EXPECTED]])),ISNUMBER(SEARCH("coach_",Table1[[#This Row],[FILENAMES_EXPECTED]])))</f>
        <v>0</v>
      </c>
      <c r="E216" t="str">
        <f>"item_"&amp;Table1[[#This Row],[VEHIDCODE]]</f>
        <v>item_diesel_China_China_Railways_DFH3</v>
      </c>
      <c r="F216" t="str">
        <f>"str_"&amp;Table1[[#This Row],[VEHIDCODE]]</f>
        <v>str_diesel_China_China_Railways_DFH3</v>
      </c>
      <c r="G216">
        <v>8</v>
      </c>
      <c r="H216" t="s">
        <v>20</v>
      </c>
      <c r="I216">
        <v>0</v>
      </c>
      <c r="J216" t="s">
        <v>35</v>
      </c>
      <c r="K216">
        <v>0</v>
      </c>
      <c r="L216">
        <v>1976</v>
      </c>
      <c r="M216">
        <v>8</v>
      </c>
      <c r="N216" s="2" t="s">
        <v>20</v>
      </c>
      <c r="O216" t="b">
        <v>1</v>
      </c>
      <c r="Q216" s="2"/>
      <c r="R216">
        <v>45</v>
      </c>
      <c r="S216">
        <v>1</v>
      </c>
      <c r="T216">
        <v>2200</v>
      </c>
      <c r="U216" t="s">
        <v>711</v>
      </c>
      <c r="V216">
        <v>120</v>
      </c>
      <c r="W216" s="2">
        <v>0.28999999999999998</v>
      </c>
      <c r="AF216" s="2" t="b">
        <v>1</v>
      </c>
      <c r="AX216"/>
      <c r="BA216" s="2"/>
      <c r="BB216" s="2" t="b">
        <f>LEN(_xlfn.CONCAT(Table1[[#This Row],[TRACK_TYPE_STANDARD_GAUGE_RAILTYPE_OHLE]:[TRACK_TYPE_MTRO]]))&gt;0</f>
        <v>1</v>
      </c>
      <c r="BC216" s="7">
        <v>40</v>
      </c>
      <c r="BD216" t="s">
        <v>931</v>
      </c>
      <c r="BE216" t="s">
        <v>922</v>
      </c>
      <c r="BF216" t="s">
        <v>940</v>
      </c>
      <c r="BG2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6">
        <v>0</v>
      </c>
      <c r="BI216" t="s">
        <v>734</v>
      </c>
      <c r="BK216" s="11"/>
      <c r="BL216" s="11">
        <v>92</v>
      </c>
      <c r="BM216">
        <v>0</v>
      </c>
      <c r="BN216" t="s">
        <v>692</v>
      </c>
      <c r="BO216" t="s">
        <v>694</v>
      </c>
      <c r="BP216" t="s">
        <v>701</v>
      </c>
      <c r="BQ216" t="s">
        <v>705</v>
      </c>
      <c r="BR216" t="s">
        <v>706</v>
      </c>
      <c r="BS216" t="s">
        <v>707</v>
      </c>
    </row>
    <row r="217" spans="1:71" hidden="1" x14ac:dyDescent="0.4">
      <c r="A217" s="2" t="s">
        <v>241</v>
      </c>
      <c r="B217" t="str">
        <f>_xlfn.TEXTAFTER(Table1[[#This Row],[VEHIDCODE]],"_")</f>
        <v>Panama_Panama_Canal_Railway_EMD_F40PH</v>
      </c>
      <c r="C217" t="s">
        <v>740</v>
      </c>
      <c r="D217" t="b">
        <f>OR(ISNUMBER(SEARCH("wagon_",Table1[[#This Row],[FILENAMES_EXPECTED]])),ISNUMBER(SEARCH("coach_",Table1[[#This Row],[FILENAMES_EXPECTED]])))</f>
        <v>0</v>
      </c>
      <c r="E217" t="str">
        <f>"item_"&amp;Table1[[#This Row],[VEHIDCODE]]</f>
        <v>item_diesel_Panama_Panama_Canal_Railway_EMD_F40PH</v>
      </c>
      <c r="F217" t="str">
        <f>"str_"&amp;Table1[[#This Row],[VEHIDCODE]]</f>
        <v>str_diesel_Panama_Panama_Canal_Railway_EMD_F40PH</v>
      </c>
      <c r="G217">
        <v>7</v>
      </c>
      <c r="H217" t="s">
        <v>20</v>
      </c>
      <c r="I217">
        <v>0</v>
      </c>
      <c r="J217" t="s">
        <v>35</v>
      </c>
      <c r="K217">
        <v>0</v>
      </c>
      <c r="L217">
        <v>1977</v>
      </c>
      <c r="M217">
        <v>7</v>
      </c>
      <c r="N217" s="2" t="s">
        <v>20</v>
      </c>
      <c r="O217" t="b">
        <v>1</v>
      </c>
      <c r="Q217" s="2"/>
      <c r="R217">
        <v>45</v>
      </c>
      <c r="S217">
        <v>1</v>
      </c>
      <c r="T217">
        <v>3000</v>
      </c>
      <c r="U217" t="s">
        <v>711</v>
      </c>
      <c r="V217">
        <v>165</v>
      </c>
      <c r="W217" s="2">
        <v>0.1</v>
      </c>
      <c r="AF217" s="2" t="b">
        <v>1</v>
      </c>
      <c r="AX217"/>
      <c r="BA217" s="2"/>
      <c r="BB217" s="2" t="b">
        <f>LEN(_xlfn.CONCAT(Table1[[#This Row],[TRACK_TYPE_STANDARD_GAUGE_RAILTYPE_OHLE]:[TRACK_TYPE_MTRO]]))&gt;0</f>
        <v>1</v>
      </c>
      <c r="BC217" s="7">
        <v>40</v>
      </c>
      <c r="BD217" t="s">
        <v>928</v>
      </c>
      <c r="BE217" t="s">
        <v>922</v>
      </c>
      <c r="BF217" t="s">
        <v>940</v>
      </c>
      <c r="BG2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7">
        <v>0</v>
      </c>
      <c r="BI217" t="s">
        <v>734</v>
      </c>
      <c r="BK217" s="11"/>
      <c r="BL217" s="11">
        <v>115</v>
      </c>
      <c r="BM217">
        <v>0</v>
      </c>
      <c r="BN217" t="s">
        <v>692</v>
      </c>
      <c r="BO217" t="s">
        <v>694</v>
      </c>
      <c r="BP217" t="s">
        <v>701</v>
      </c>
      <c r="BQ217" t="s">
        <v>705</v>
      </c>
      <c r="BR217" t="s">
        <v>706</v>
      </c>
      <c r="BS217" t="s">
        <v>707</v>
      </c>
    </row>
    <row r="218" spans="1:71" hidden="1" x14ac:dyDescent="0.4">
      <c r="A218" s="2" t="s">
        <v>242</v>
      </c>
      <c r="B218" t="str">
        <f>_xlfn.TEXTAFTER(Table1[[#This Row],[VEHIDCODE]],"_")</f>
        <v>Portugal_CP_1900</v>
      </c>
      <c r="C218" t="s">
        <v>740</v>
      </c>
      <c r="D218" t="b">
        <f>OR(ISNUMBER(SEARCH("wagon_",Table1[[#This Row],[FILENAMES_EXPECTED]])),ISNUMBER(SEARCH("coach_",Table1[[#This Row],[FILENAMES_EXPECTED]])))</f>
        <v>0</v>
      </c>
      <c r="E218" t="str">
        <f>"item_"&amp;Table1[[#This Row],[VEHIDCODE]]</f>
        <v>item_diesel_Portugal_CP_1900</v>
      </c>
      <c r="F218" t="str">
        <f>"str_"&amp;Table1[[#This Row],[VEHIDCODE]]</f>
        <v>str_diesel_Portugal_CP_1900</v>
      </c>
      <c r="G218">
        <v>8</v>
      </c>
      <c r="H218" t="s">
        <v>20</v>
      </c>
      <c r="I218">
        <v>0</v>
      </c>
      <c r="J218" t="s">
        <v>35</v>
      </c>
      <c r="K218">
        <v>0</v>
      </c>
      <c r="L218">
        <v>1981</v>
      </c>
      <c r="M218">
        <v>8</v>
      </c>
      <c r="N218" s="2" t="s">
        <v>20</v>
      </c>
      <c r="O218" t="b">
        <v>1</v>
      </c>
      <c r="Q218" s="2"/>
      <c r="R218">
        <v>45</v>
      </c>
      <c r="S218">
        <v>1</v>
      </c>
      <c r="T218">
        <v>2260</v>
      </c>
      <c r="U218" t="s">
        <v>711</v>
      </c>
      <c r="V218">
        <v>100</v>
      </c>
      <c r="W218" s="2">
        <v>0.34</v>
      </c>
      <c r="AF218" s="2" t="b">
        <v>1</v>
      </c>
      <c r="AX218"/>
      <c r="BA218" s="2"/>
      <c r="BB218" s="2" t="b">
        <f>LEN(_xlfn.CONCAT(Table1[[#This Row],[TRACK_TYPE_STANDARD_GAUGE_RAILTYPE_OHLE]:[TRACK_TYPE_MTRO]]))&gt;0</f>
        <v>1</v>
      </c>
      <c r="BC218" s="7">
        <v>40</v>
      </c>
      <c r="BD218" t="s">
        <v>924</v>
      </c>
      <c r="BE218" t="s">
        <v>922</v>
      </c>
      <c r="BF218" t="s">
        <v>940</v>
      </c>
      <c r="BG2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8">
        <v>0</v>
      </c>
      <c r="BI218" t="s">
        <v>734</v>
      </c>
      <c r="BK218" s="11"/>
      <c r="BL218" s="11">
        <v>115</v>
      </c>
      <c r="BM218">
        <v>0</v>
      </c>
      <c r="BN218" t="s">
        <v>692</v>
      </c>
      <c r="BO218" t="s">
        <v>694</v>
      </c>
      <c r="BP218" t="s">
        <v>701</v>
      </c>
      <c r="BQ218" t="s">
        <v>705</v>
      </c>
      <c r="BR218" t="s">
        <v>706</v>
      </c>
      <c r="BS218" t="s">
        <v>707</v>
      </c>
    </row>
    <row r="219" spans="1:71" hidden="1" x14ac:dyDescent="0.4">
      <c r="A219" s="2" t="s">
        <v>243</v>
      </c>
      <c r="B219" t="str">
        <f>_xlfn.TEXTAFTER(Table1[[#This Row],[VEHIDCODE]],"_")</f>
        <v>Finland_VR_Dr16</v>
      </c>
      <c r="C219" t="s">
        <v>740</v>
      </c>
      <c r="D219" t="b">
        <f>OR(ISNUMBER(SEARCH("wagon_",Table1[[#This Row],[FILENAMES_EXPECTED]])),ISNUMBER(SEARCH("coach_",Table1[[#This Row],[FILENAMES_EXPECTED]])))</f>
        <v>0</v>
      </c>
      <c r="E219" t="str">
        <f>"item_"&amp;Table1[[#This Row],[VEHIDCODE]]</f>
        <v>item_diesel_Finland_VR_Dr16</v>
      </c>
      <c r="F219" t="str">
        <f>"str_"&amp;Table1[[#This Row],[VEHIDCODE]]</f>
        <v>str_diesel_Finland_VR_Dr16</v>
      </c>
      <c r="G219">
        <v>8</v>
      </c>
      <c r="H219" t="s">
        <v>20</v>
      </c>
      <c r="I219">
        <v>0</v>
      </c>
      <c r="J219" t="s">
        <v>35</v>
      </c>
      <c r="K219">
        <v>0</v>
      </c>
      <c r="L219">
        <v>1985</v>
      </c>
      <c r="M219">
        <v>8</v>
      </c>
      <c r="N219" s="2" t="s">
        <v>20</v>
      </c>
      <c r="O219" t="b">
        <v>1</v>
      </c>
      <c r="Q219" s="2"/>
      <c r="R219">
        <v>45</v>
      </c>
      <c r="S219">
        <v>0</v>
      </c>
      <c r="T219">
        <v>2250</v>
      </c>
      <c r="U219" t="s">
        <v>711</v>
      </c>
      <c r="V219">
        <v>140</v>
      </c>
      <c r="W219" s="2">
        <v>0.33</v>
      </c>
      <c r="AF219" s="2" t="b">
        <v>1</v>
      </c>
      <c r="AX219"/>
      <c r="BA219" s="2"/>
      <c r="BB219" s="2" t="b">
        <f>LEN(_xlfn.CONCAT(Table1[[#This Row],[TRACK_TYPE_STANDARD_GAUGE_RAILTYPE_OHLE]:[TRACK_TYPE_MTRO]]))&gt;0</f>
        <v>1</v>
      </c>
      <c r="BC219" s="7">
        <v>40</v>
      </c>
      <c r="BD219" t="s">
        <v>927</v>
      </c>
      <c r="BE219" t="s">
        <v>922</v>
      </c>
      <c r="BF219" t="s">
        <v>940</v>
      </c>
      <c r="BG2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9">
        <v>0</v>
      </c>
      <c r="BI219" t="s">
        <v>734</v>
      </c>
      <c r="BK219" s="11"/>
      <c r="BL219" s="11">
        <v>82</v>
      </c>
      <c r="BM219">
        <v>0</v>
      </c>
      <c r="BN219" t="s">
        <v>692</v>
      </c>
      <c r="BO219" t="s">
        <v>694</v>
      </c>
      <c r="BP219" t="s">
        <v>701</v>
      </c>
      <c r="BQ219" t="s">
        <v>705</v>
      </c>
      <c r="BR219" t="s">
        <v>706</v>
      </c>
      <c r="BS219" t="s">
        <v>707</v>
      </c>
    </row>
    <row r="220" spans="1:71" hidden="1" x14ac:dyDescent="0.4">
      <c r="A220" s="2" t="s">
        <v>244</v>
      </c>
      <c r="B220" t="str">
        <f>_xlfn.TEXTAFTER(Table1[[#This Row],[VEHIDCODE]],"_")</f>
        <v>Russia_RZD_TEP80</v>
      </c>
      <c r="C220" t="s">
        <v>740</v>
      </c>
      <c r="D220" t="b">
        <f>OR(ISNUMBER(SEARCH("wagon_",Table1[[#This Row],[FILENAMES_EXPECTED]])),ISNUMBER(SEARCH("coach_",Table1[[#This Row],[FILENAMES_EXPECTED]])))</f>
        <v>0</v>
      </c>
      <c r="E220" t="str">
        <f>"item_"&amp;Table1[[#This Row],[VEHIDCODE]]</f>
        <v>item_diesel_Russia_RZD_TEP80</v>
      </c>
      <c r="F220" t="str">
        <f>"str_"&amp;Table1[[#This Row],[VEHIDCODE]]</f>
        <v>str_diesel_Russia_RZD_TEP80</v>
      </c>
      <c r="G220">
        <v>8</v>
      </c>
      <c r="H220" t="s">
        <v>20</v>
      </c>
      <c r="I220">
        <v>0</v>
      </c>
      <c r="J220" t="s">
        <v>35</v>
      </c>
      <c r="K220">
        <v>0</v>
      </c>
      <c r="L220">
        <v>1988</v>
      </c>
      <c r="M220">
        <v>8</v>
      </c>
      <c r="N220" s="2" t="s">
        <v>20</v>
      </c>
      <c r="O220" t="b">
        <v>1</v>
      </c>
      <c r="Q220" s="2"/>
      <c r="R220" t="s">
        <v>21</v>
      </c>
      <c r="S220">
        <v>1</v>
      </c>
      <c r="T220">
        <v>6000</v>
      </c>
      <c r="U220" t="s">
        <v>711</v>
      </c>
      <c r="V220">
        <v>160</v>
      </c>
      <c r="W220" s="2">
        <v>0.13</v>
      </c>
      <c r="AF220" s="2" t="b">
        <v>1</v>
      </c>
      <c r="AX220"/>
      <c r="BA220" s="2"/>
      <c r="BB220" s="2" t="b">
        <f>LEN(_xlfn.CONCAT(Table1[[#This Row],[TRACK_TYPE_STANDARD_GAUGE_RAILTYPE_OHLE]:[TRACK_TYPE_MTRO]]))&gt;0</f>
        <v>1</v>
      </c>
      <c r="BC220" s="7">
        <v>40</v>
      </c>
      <c r="BD220" t="s">
        <v>931</v>
      </c>
      <c r="BE220" t="s">
        <v>922</v>
      </c>
      <c r="BF220" t="s">
        <v>940</v>
      </c>
      <c r="BG2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0">
        <v>0</v>
      </c>
      <c r="BI220" t="s">
        <v>734</v>
      </c>
      <c r="BK220" s="11"/>
      <c r="BL220" s="11">
        <v>180</v>
      </c>
      <c r="BM220">
        <v>0</v>
      </c>
      <c r="BN220" t="s">
        <v>692</v>
      </c>
      <c r="BO220" t="s">
        <v>694</v>
      </c>
      <c r="BP220" t="s">
        <v>701</v>
      </c>
      <c r="BQ220" t="s">
        <v>705</v>
      </c>
      <c r="BR220" t="s">
        <v>706</v>
      </c>
      <c r="BS220" t="s">
        <v>707</v>
      </c>
    </row>
    <row r="221" spans="1:71" hidden="1" x14ac:dyDescent="0.4">
      <c r="A221" s="2" t="s">
        <v>245</v>
      </c>
      <c r="B221" t="str">
        <f>_xlfn.TEXTAFTER(Table1[[#This Row],[VEHIDCODE]],"_")</f>
        <v>Australia_Australian_National_AN</v>
      </c>
      <c r="C221" t="s">
        <v>740</v>
      </c>
      <c r="D221" t="b">
        <f>OR(ISNUMBER(SEARCH("wagon_",Table1[[#This Row],[FILENAMES_EXPECTED]])),ISNUMBER(SEARCH("coach_",Table1[[#This Row],[FILENAMES_EXPECTED]])))</f>
        <v>0</v>
      </c>
      <c r="E221" t="str">
        <f>"item_"&amp;Table1[[#This Row],[VEHIDCODE]]</f>
        <v>item_diesel_Australia_Australian_National_AN</v>
      </c>
      <c r="F221" t="str">
        <f>"str_"&amp;Table1[[#This Row],[VEHIDCODE]]</f>
        <v>str_diesel_Australia_Australian_National_AN</v>
      </c>
      <c r="G221">
        <v>8</v>
      </c>
      <c r="H221" t="s">
        <v>20</v>
      </c>
      <c r="I221">
        <v>0</v>
      </c>
      <c r="J221" t="s">
        <v>35</v>
      </c>
      <c r="K221">
        <v>0</v>
      </c>
      <c r="L221">
        <v>1992</v>
      </c>
      <c r="M221">
        <v>8</v>
      </c>
      <c r="N221" s="2" t="s">
        <v>20</v>
      </c>
      <c r="O221" t="b">
        <v>1</v>
      </c>
      <c r="Q221" s="2"/>
      <c r="R221">
        <v>45</v>
      </c>
      <c r="S221">
        <v>1</v>
      </c>
      <c r="T221">
        <v>4120</v>
      </c>
      <c r="U221" t="s">
        <v>711</v>
      </c>
      <c r="V221">
        <v>150</v>
      </c>
      <c r="W221" s="2">
        <v>0.25</v>
      </c>
      <c r="AF221" s="2" t="b">
        <v>1</v>
      </c>
      <c r="AX221"/>
      <c r="BA221" s="2"/>
      <c r="BB221" s="2" t="b">
        <f>LEN(_xlfn.CONCAT(Table1[[#This Row],[TRACK_TYPE_STANDARD_GAUGE_RAILTYPE_OHLE]:[TRACK_TYPE_MTRO]]))&gt;0</f>
        <v>1</v>
      </c>
      <c r="BC221" s="7">
        <v>40</v>
      </c>
      <c r="BD221" t="s">
        <v>925</v>
      </c>
      <c r="BE221" t="s">
        <v>922</v>
      </c>
      <c r="BF221" t="s">
        <v>940</v>
      </c>
      <c r="BG2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1">
        <v>0</v>
      </c>
      <c r="BI221" t="s">
        <v>734</v>
      </c>
      <c r="BK221" s="11"/>
      <c r="BL221" s="11">
        <v>128</v>
      </c>
      <c r="BM221">
        <v>0</v>
      </c>
      <c r="BN221" t="s">
        <v>692</v>
      </c>
      <c r="BO221" t="s">
        <v>694</v>
      </c>
      <c r="BP221" t="s">
        <v>701</v>
      </c>
      <c r="BQ221" t="s">
        <v>705</v>
      </c>
      <c r="BR221" t="s">
        <v>706</v>
      </c>
      <c r="BS221" t="s">
        <v>707</v>
      </c>
    </row>
    <row r="222" spans="1:71" hidden="1" x14ac:dyDescent="0.4">
      <c r="A222" s="2" t="s">
        <v>246</v>
      </c>
      <c r="B222" t="str">
        <f>_xlfn.TEXTAFTER(Table1[[#This Row],[VEHIDCODE]],"_")</f>
        <v>USA_Amtrak_P42DC_Genesis</v>
      </c>
      <c r="C222" t="s">
        <v>740</v>
      </c>
      <c r="D222" t="b">
        <f>OR(ISNUMBER(SEARCH("wagon_",Table1[[#This Row],[FILENAMES_EXPECTED]])),ISNUMBER(SEARCH("coach_",Table1[[#This Row],[FILENAMES_EXPECTED]])))</f>
        <v>0</v>
      </c>
      <c r="E222" t="str">
        <f>"item_"&amp;Table1[[#This Row],[VEHIDCODE]]</f>
        <v>item_diesel_USA_Amtrak_P42DC_Genesis</v>
      </c>
      <c r="F222" t="str">
        <f>"str_"&amp;Table1[[#This Row],[VEHIDCODE]]</f>
        <v>str_diesel_USA_Amtrak_P42DC_Genesis</v>
      </c>
      <c r="G222">
        <v>8</v>
      </c>
      <c r="H222" t="s">
        <v>20</v>
      </c>
      <c r="I222">
        <v>0</v>
      </c>
      <c r="J222" t="s">
        <v>35</v>
      </c>
      <c r="K222">
        <v>0</v>
      </c>
      <c r="L222">
        <v>1992</v>
      </c>
      <c r="M222">
        <v>8</v>
      </c>
      <c r="N222" s="2" t="s">
        <v>20</v>
      </c>
      <c r="O222" t="b">
        <v>1</v>
      </c>
      <c r="Q222" s="2"/>
      <c r="R222" t="s">
        <v>21</v>
      </c>
      <c r="S222">
        <v>1</v>
      </c>
      <c r="T222">
        <v>4250</v>
      </c>
      <c r="U222" t="s">
        <v>711</v>
      </c>
      <c r="V222">
        <v>177</v>
      </c>
      <c r="W222" s="2">
        <v>0.19</v>
      </c>
      <c r="AF222" s="2" t="b">
        <v>1</v>
      </c>
      <c r="AX222"/>
      <c r="BA222" s="2"/>
      <c r="BB222" s="2" t="b">
        <f>LEN(_xlfn.CONCAT(Table1[[#This Row],[TRACK_TYPE_STANDARD_GAUGE_RAILTYPE_OHLE]:[TRACK_TYPE_MTRO]]))&gt;0</f>
        <v>1</v>
      </c>
      <c r="BC222" s="7">
        <v>40</v>
      </c>
      <c r="BD222" t="s">
        <v>928</v>
      </c>
      <c r="BE222" t="s">
        <v>922</v>
      </c>
      <c r="BF222" t="s">
        <v>940</v>
      </c>
      <c r="BG2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2">
        <v>0</v>
      </c>
      <c r="BI222" t="s">
        <v>734</v>
      </c>
      <c r="BK222" s="11"/>
      <c r="BL222" s="11">
        <v>134</v>
      </c>
      <c r="BM222">
        <v>0</v>
      </c>
      <c r="BN222" t="s">
        <v>692</v>
      </c>
      <c r="BO222" t="s">
        <v>694</v>
      </c>
      <c r="BP222" t="s">
        <v>701</v>
      </c>
      <c r="BQ222" t="s">
        <v>705</v>
      </c>
      <c r="BR222" t="s">
        <v>706</v>
      </c>
      <c r="BS222" t="s">
        <v>707</v>
      </c>
    </row>
    <row r="223" spans="1:71" hidden="1" x14ac:dyDescent="0.4">
      <c r="A223" s="2" t="s">
        <v>247</v>
      </c>
      <c r="B223" t="str">
        <f>_xlfn.TEXTAFTER(Table1[[#This Row],[VEHIDCODE]],"_")</f>
        <v>Turkey_TCDD_DH7000</v>
      </c>
      <c r="C223" t="s">
        <v>740</v>
      </c>
      <c r="D223" t="b">
        <f>OR(ISNUMBER(SEARCH("wagon_",Table1[[#This Row],[FILENAMES_EXPECTED]])),ISNUMBER(SEARCH("coach_",Table1[[#This Row],[FILENAMES_EXPECTED]])))</f>
        <v>0</v>
      </c>
      <c r="E223" t="str">
        <f>"item_"&amp;Table1[[#This Row],[VEHIDCODE]]</f>
        <v>item_diesel_Turkey_TCDD_DH7000</v>
      </c>
      <c r="F223" t="str">
        <f>"str_"&amp;Table1[[#This Row],[VEHIDCODE]]</f>
        <v>str_diesel_Turkey_TCDD_DH7000</v>
      </c>
      <c r="G223">
        <v>6</v>
      </c>
      <c r="H223" t="s">
        <v>20</v>
      </c>
      <c r="I223">
        <v>0</v>
      </c>
      <c r="J223" t="s">
        <v>35</v>
      </c>
      <c r="K223">
        <v>0</v>
      </c>
      <c r="L223">
        <v>1994</v>
      </c>
      <c r="M223">
        <v>6</v>
      </c>
      <c r="N223" s="2" t="s">
        <v>20</v>
      </c>
      <c r="O223" t="b">
        <v>1</v>
      </c>
      <c r="Q223" s="2"/>
      <c r="R223">
        <v>45</v>
      </c>
      <c r="S223">
        <v>1</v>
      </c>
      <c r="T223">
        <v>700</v>
      </c>
      <c r="U223" t="s">
        <v>711</v>
      </c>
      <c r="V223">
        <v>40</v>
      </c>
      <c r="W223" s="2">
        <v>0.28000000000000003</v>
      </c>
      <c r="AF223" s="2" t="b">
        <v>1</v>
      </c>
      <c r="AX223"/>
      <c r="BA223" s="2"/>
      <c r="BB223" s="2" t="b">
        <f>LEN(_xlfn.CONCAT(Table1[[#This Row],[TRACK_TYPE_STANDARD_GAUGE_RAILTYPE_OHLE]:[TRACK_TYPE_MTRO]]))&gt;0</f>
        <v>1</v>
      </c>
      <c r="BC223" s="7">
        <v>40</v>
      </c>
      <c r="BD223" t="s">
        <v>931</v>
      </c>
      <c r="BE223" t="s">
        <v>922</v>
      </c>
      <c r="BF223" t="s">
        <v>940</v>
      </c>
      <c r="BG2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3">
        <v>0</v>
      </c>
      <c r="BI223" t="s">
        <v>734</v>
      </c>
      <c r="BK223" s="11"/>
      <c r="BL223" s="11">
        <v>51</v>
      </c>
      <c r="BM223">
        <v>0</v>
      </c>
      <c r="BN223" t="s">
        <v>692</v>
      </c>
      <c r="BO223" t="s">
        <v>694</v>
      </c>
      <c r="BP223" t="s">
        <v>701</v>
      </c>
      <c r="BQ223" t="s">
        <v>705</v>
      </c>
      <c r="BR223" t="s">
        <v>706</v>
      </c>
      <c r="BS223" t="s">
        <v>707</v>
      </c>
    </row>
    <row r="224" spans="1:71" hidden="1" x14ac:dyDescent="0.4">
      <c r="A224" s="2" t="s">
        <v>248</v>
      </c>
      <c r="B224" t="str">
        <f>_xlfn.TEXTAFTER(Table1[[#This Row],[VEHIDCODE]],"_")</f>
        <v>Argentina_MF_GE_U20C</v>
      </c>
      <c r="C224" t="s">
        <v>740</v>
      </c>
      <c r="D224" t="b">
        <f>OR(ISNUMBER(SEARCH("wagon_",Table1[[#This Row],[FILENAMES_EXPECTED]])),ISNUMBER(SEARCH("coach_",Table1[[#This Row],[FILENAMES_EXPECTED]])))</f>
        <v>0</v>
      </c>
      <c r="E224" t="str">
        <f>"item_"&amp;Table1[[#This Row],[VEHIDCODE]]</f>
        <v>item_diesel_Argentina_MF_GE_U20C</v>
      </c>
      <c r="F224" t="str">
        <f>"str_"&amp;Table1[[#This Row],[VEHIDCODE]]</f>
        <v>str_diesel_Argentina_MF_GE_U20C</v>
      </c>
      <c r="G224">
        <v>8</v>
      </c>
      <c r="H224" t="s">
        <v>20</v>
      </c>
      <c r="I224">
        <v>0</v>
      </c>
      <c r="J224" t="s">
        <v>35</v>
      </c>
      <c r="K224">
        <v>0</v>
      </c>
      <c r="L224">
        <v>1995</v>
      </c>
      <c r="M224">
        <v>8</v>
      </c>
      <c r="N224" s="2" t="s">
        <v>20</v>
      </c>
      <c r="O224" t="b">
        <v>1</v>
      </c>
      <c r="Q224" s="2"/>
      <c r="R224" t="s">
        <v>21</v>
      </c>
      <c r="S224">
        <v>1</v>
      </c>
      <c r="T224">
        <v>2000</v>
      </c>
      <c r="U224" t="s">
        <v>711</v>
      </c>
      <c r="V224">
        <v>104</v>
      </c>
      <c r="W224" s="2">
        <v>0.28999999999999998</v>
      </c>
      <c r="AF224" s="2" t="b">
        <v>1</v>
      </c>
      <c r="AX224"/>
      <c r="BA224" s="2"/>
      <c r="BB224" s="2" t="b">
        <f>LEN(_xlfn.CONCAT(Table1[[#This Row],[TRACK_TYPE_STANDARD_GAUGE_RAILTYPE_OHLE]:[TRACK_TYPE_MTRO]]))&gt;0</f>
        <v>1</v>
      </c>
      <c r="BC224" s="7">
        <v>40</v>
      </c>
      <c r="BD224" t="s">
        <v>930</v>
      </c>
      <c r="BE224" t="s">
        <v>922</v>
      </c>
      <c r="BF224" t="s">
        <v>940</v>
      </c>
      <c r="BG2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4">
        <v>0</v>
      </c>
      <c r="BI224" t="s">
        <v>734</v>
      </c>
      <c r="BK224" s="11"/>
      <c r="BL224" s="11">
        <v>89</v>
      </c>
      <c r="BM224">
        <v>0</v>
      </c>
      <c r="BN224" t="s">
        <v>692</v>
      </c>
      <c r="BO224" t="s">
        <v>694</v>
      </c>
      <c r="BP224" t="s">
        <v>701</v>
      </c>
      <c r="BQ224" t="s">
        <v>705</v>
      </c>
      <c r="BR224" t="s">
        <v>706</v>
      </c>
      <c r="BS224" t="s">
        <v>707</v>
      </c>
    </row>
    <row r="225" spans="1:71" hidden="1" x14ac:dyDescent="0.4">
      <c r="A225" s="2" t="s">
        <v>249</v>
      </c>
      <c r="B225" t="str">
        <f>_xlfn.TEXTAFTER(Table1[[#This Row],[VEHIDCODE]],"_")</f>
        <v>Belgium_NMBS_SNCB_7800</v>
      </c>
      <c r="C225" t="s">
        <v>740</v>
      </c>
      <c r="D225" t="b">
        <f>OR(ISNUMBER(SEARCH("wagon_",Table1[[#This Row],[FILENAMES_EXPECTED]])),ISNUMBER(SEARCH("coach_",Table1[[#This Row],[FILENAMES_EXPECTED]])))</f>
        <v>0</v>
      </c>
      <c r="E225" t="str">
        <f>"item_"&amp;Table1[[#This Row],[VEHIDCODE]]</f>
        <v>item_diesel_Belgium_NMBS_SNCB_7800</v>
      </c>
      <c r="F225" t="str">
        <f>"str_"&amp;Table1[[#This Row],[VEHIDCODE]]</f>
        <v>str_diesel_Belgium_NMBS_SNCB_7800</v>
      </c>
      <c r="G225">
        <v>7</v>
      </c>
      <c r="H225" t="s">
        <v>20</v>
      </c>
      <c r="I225">
        <v>0</v>
      </c>
      <c r="J225" t="s">
        <v>35</v>
      </c>
      <c r="K225">
        <v>0</v>
      </c>
      <c r="L225">
        <v>1997</v>
      </c>
      <c r="M225">
        <v>7</v>
      </c>
      <c r="N225" s="2" t="s">
        <v>20</v>
      </c>
      <c r="O225" t="b">
        <v>1</v>
      </c>
      <c r="Q225" s="2"/>
      <c r="R225">
        <v>45</v>
      </c>
      <c r="S225">
        <v>1</v>
      </c>
      <c r="T225">
        <v>1500</v>
      </c>
      <c r="U225" t="s">
        <v>711</v>
      </c>
      <c r="V225">
        <v>80</v>
      </c>
      <c r="W225" s="2">
        <v>0.34</v>
      </c>
      <c r="AF225" s="2" t="b">
        <v>1</v>
      </c>
      <c r="AX225"/>
      <c r="BA225" s="2"/>
      <c r="BB225" s="2" t="b">
        <f>LEN(_xlfn.CONCAT(Table1[[#This Row],[TRACK_TYPE_STANDARD_GAUGE_RAILTYPE_OHLE]:[TRACK_TYPE_MTRO]]))&gt;0</f>
        <v>1</v>
      </c>
      <c r="BC225" s="7">
        <v>40</v>
      </c>
      <c r="BD225" t="s">
        <v>923</v>
      </c>
      <c r="BE225" t="s">
        <v>922</v>
      </c>
      <c r="BF225" t="s">
        <v>940</v>
      </c>
      <c r="BG2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5">
        <v>0</v>
      </c>
      <c r="BI225" t="s">
        <v>734</v>
      </c>
      <c r="BK225" s="11"/>
      <c r="BL225" s="11">
        <v>83</v>
      </c>
      <c r="BM225">
        <v>0</v>
      </c>
      <c r="BN225" t="s">
        <v>692</v>
      </c>
      <c r="BO225" t="s">
        <v>694</v>
      </c>
      <c r="BP225" t="s">
        <v>701</v>
      </c>
      <c r="BQ225" t="s">
        <v>705</v>
      </c>
      <c r="BR225" t="s">
        <v>706</v>
      </c>
      <c r="BS225" t="s">
        <v>707</v>
      </c>
    </row>
    <row r="226" spans="1:71" hidden="1" x14ac:dyDescent="0.4">
      <c r="A226" s="2" t="s">
        <v>250</v>
      </c>
      <c r="B226" t="str">
        <f>_xlfn.TEXTAFTER(Table1[[#This Row],[VEHIDCODE]],"_")</f>
        <v>UK_BR_66</v>
      </c>
      <c r="C226" t="s">
        <v>740</v>
      </c>
      <c r="D226" t="b">
        <f>OR(ISNUMBER(SEARCH("wagon_",Table1[[#This Row],[FILENAMES_EXPECTED]])),ISNUMBER(SEARCH("coach_",Table1[[#This Row],[FILENAMES_EXPECTED]])))</f>
        <v>0</v>
      </c>
      <c r="E226" t="str">
        <f>"item_"&amp;Table1[[#This Row],[VEHIDCODE]]</f>
        <v>item_diesel_UK_BR_66</v>
      </c>
      <c r="F226" t="str">
        <f>"str_"&amp;Table1[[#This Row],[VEHIDCODE]]</f>
        <v>str_diesel_UK_BR_66</v>
      </c>
      <c r="G226">
        <v>8</v>
      </c>
      <c r="H226" t="s">
        <v>20</v>
      </c>
      <c r="I226">
        <v>0</v>
      </c>
      <c r="J226" t="s">
        <v>35</v>
      </c>
      <c r="K226">
        <v>0</v>
      </c>
      <c r="L226">
        <v>1998</v>
      </c>
      <c r="M226">
        <v>8</v>
      </c>
      <c r="N226" s="2" t="s">
        <v>20</v>
      </c>
      <c r="O226" t="b">
        <v>1</v>
      </c>
      <c r="Q226" s="2"/>
      <c r="R226" t="s">
        <v>21</v>
      </c>
      <c r="S226">
        <v>0</v>
      </c>
      <c r="T226">
        <v>3298</v>
      </c>
      <c r="U226" t="s">
        <v>711</v>
      </c>
      <c r="V226">
        <v>120</v>
      </c>
      <c r="W226" s="2">
        <v>0.32</v>
      </c>
      <c r="AF226" s="2" t="b">
        <v>1</v>
      </c>
      <c r="AX226"/>
      <c r="BA226" s="2"/>
      <c r="BB226" s="2" t="b">
        <f>LEN(_xlfn.CONCAT(Table1[[#This Row],[TRACK_TYPE_STANDARD_GAUGE_RAILTYPE_OHLE]:[TRACK_TYPE_MTRO]]))&gt;0</f>
        <v>1</v>
      </c>
      <c r="BC226" s="7">
        <v>40</v>
      </c>
      <c r="BD226" t="s">
        <v>927</v>
      </c>
      <c r="BE226" t="s">
        <v>922</v>
      </c>
      <c r="BF226" t="s">
        <v>940</v>
      </c>
      <c r="BG2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6">
        <v>0</v>
      </c>
      <c r="BI226" t="s">
        <v>734</v>
      </c>
      <c r="BK226" s="11"/>
      <c r="BL226" s="11">
        <v>126</v>
      </c>
      <c r="BM226">
        <v>0</v>
      </c>
      <c r="BN226" t="s">
        <v>692</v>
      </c>
      <c r="BO226" t="s">
        <v>694</v>
      </c>
      <c r="BP226" t="s">
        <v>701</v>
      </c>
      <c r="BQ226" t="s">
        <v>705</v>
      </c>
      <c r="BR226" t="s">
        <v>706</v>
      </c>
      <c r="BS226" t="s">
        <v>707</v>
      </c>
    </row>
    <row r="227" spans="1:71" hidden="1" x14ac:dyDescent="0.4">
      <c r="A227" s="2" t="s">
        <v>251</v>
      </c>
      <c r="B227" t="str">
        <f>_xlfn.TEXTAFTER(Table1[[#This Row],[VEHIDCODE]],"_")</f>
        <v>UK_BR_67</v>
      </c>
      <c r="C227" t="s">
        <v>740</v>
      </c>
      <c r="D227" t="b">
        <f>OR(ISNUMBER(SEARCH("wagon_",Table1[[#This Row],[FILENAMES_EXPECTED]])),ISNUMBER(SEARCH("coach_",Table1[[#This Row],[FILENAMES_EXPECTED]])))</f>
        <v>0</v>
      </c>
      <c r="E227" t="str">
        <f>"item_"&amp;Table1[[#This Row],[VEHIDCODE]]</f>
        <v>item_diesel_UK_BR_67</v>
      </c>
      <c r="F227" t="str">
        <f>"str_"&amp;Table1[[#This Row],[VEHIDCODE]]</f>
        <v>str_diesel_UK_BR_67</v>
      </c>
      <c r="G227">
        <v>8</v>
      </c>
      <c r="H227" t="s">
        <v>20</v>
      </c>
      <c r="I227">
        <v>0</v>
      </c>
      <c r="J227" t="s">
        <v>35</v>
      </c>
      <c r="K227">
        <v>0</v>
      </c>
      <c r="L227">
        <v>1999</v>
      </c>
      <c r="M227">
        <v>8</v>
      </c>
      <c r="N227" s="2" t="s">
        <v>20</v>
      </c>
      <c r="O227" t="b">
        <v>1</v>
      </c>
      <c r="Q227" s="2"/>
      <c r="R227" t="s">
        <v>21</v>
      </c>
      <c r="S227">
        <v>1</v>
      </c>
      <c r="T227">
        <v>3200</v>
      </c>
      <c r="U227" t="s">
        <v>711</v>
      </c>
      <c r="V227">
        <v>200</v>
      </c>
      <c r="W227" s="2">
        <v>0.2</v>
      </c>
      <c r="AF227" s="2" t="b">
        <v>1</v>
      </c>
      <c r="AX227"/>
      <c r="BA227" s="2"/>
      <c r="BB227" s="2" t="b">
        <f>LEN(_xlfn.CONCAT(Table1[[#This Row],[TRACK_TYPE_STANDARD_GAUGE_RAILTYPE_OHLE]:[TRACK_TYPE_MTRO]]))&gt;0</f>
        <v>1</v>
      </c>
      <c r="BC227" s="7">
        <v>40</v>
      </c>
      <c r="BD227" t="s">
        <v>927</v>
      </c>
      <c r="BE227" t="s">
        <v>922</v>
      </c>
      <c r="BF227" t="s">
        <v>940</v>
      </c>
      <c r="BG2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7">
        <v>0</v>
      </c>
      <c r="BI227" t="s">
        <v>734</v>
      </c>
      <c r="BK227" s="11"/>
      <c r="BL227" s="11">
        <v>88</v>
      </c>
      <c r="BM227">
        <v>0</v>
      </c>
      <c r="BN227" t="s">
        <v>692</v>
      </c>
      <c r="BO227" t="s">
        <v>694</v>
      </c>
      <c r="BP227" t="s">
        <v>701</v>
      </c>
      <c r="BQ227" t="s">
        <v>705</v>
      </c>
      <c r="BR227" t="s">
        <v>706</v>
      </c>
      <c r="BS227" t="s">
        <v>707</v>
      </c>
    </row>
    <row r="228" spans="1:71" hidden="1" x14ac:dyDescent="0.4">
      <c r="A228" s="2" t="s">
        <v>252</v>
      </c>
      <c r="B228" t="str">
        <f>_xlfn.TEXTAFTER(Table1[[#This Row],[VEHIDCODE]],"_")</f>
        <v>Iran_RAI_DE43CA_Prima</v>
      </c>
      <c r="C228" t="s">
        <v>740</v>
      </c>
      <c r="D228" t="b">
        <f>OR(ISNUMBER(SEARCH("wagon_",Table1[[#This Row],[FILENAMES_EXPECTED]])),ISNUMBER(SEARCH("coach_",Table1[[#This Row],[FILENAMES_EXPECTED]])))</f>
        <v>0</v>
      </c>
      <c r="E228" t="str">
        <f>"item_"&amp;Table1[[#This Row],[VEHIDCODE]]</f>
        <v>item_diesel_Iran_RAI_DE43CA_Prima</v>
      </c>
      <c r="F228" t="str">
        <f>"str_"&amp;Table1[[#This Row],[VEHIDCODE]]</f>
        <v>str_diesel_Iran_RAI_DE43CA_Prima</v>
      </c>
      <c r="G228">
        <v>8</v>
      </c>
      <c r="H228" t="s">
        <v>20</v>
      </c>
      <c r="I228">
        <v>0</v>
      </c>
      <c r="J228" t="s">
        <v>35</v>
      </c>
      <c r="K228">
        <v>0</v>
      </c>
      <c r="L228">
        <v>2002</v>
      </c>
      <c r="M228">
        <v>8</v>
      </c>
      <c r="N228" s="2" t="s">
        <v>20</v>
      </c>
      <c r="O228" t="b">
        <v>1</v>
      </c>
      <c r="Q228" s="2"/>
      <c r="R228" t="s">
        <v>21</v>
      </c>
      <c r="S228">
        <v>1</v>
      </c>
      <c r="T228">
        <v>4300</v>
      </c>
      <c r="U228" t="s">
        <v>711</v>
      </c>
      <c r="V228">
        <v>160</v>
      </c>
      <c r="W228" s="2">
        <v>0.21</v>
      </c>
      <c r="AF228" s="2" t="b">
        <v>1</v>
      </c>
      <c r="AX228"/>
      <c r="BA228" s="2"/>
      <c r="BB228" s="2" t="b">
        <f>LEN(_xlfn.CONCAT(Table1[[#This Row],[TRACK_TYPE_STANDARD_GAUGE_RAILTYPE_OHLE]:[TRACK_TYPE_MTRO]]))&gt;0</f>
        <v>1</v>
      </c>
      <c r="BC228" s="7">
        <v>40</v>
      </c>
      <c r="BD228" t="s">
        <v>931</v>
      </c>
      <c r="BE228" t="s">
        <v>922</v>
      </c>
      <c r="BF228" t="s">
        <v>940</v>
      </c>
      <c r="BG2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8">
        <v>0</v>
      </c>
      <c r="BI228" t="s">
        <v>734</v>
      </c>
      <c r="BK228" s="11"/>
      <c r="BL228" s="11">
        <v>108</v>
      </c>
      <c r="BM228">
        <v>0</v>
      </c>
      <c r="BN228" t="s">
        <v>692</v>
      </c>
      <c r="BO228" t="s">
        <v>694</v>
      </c>
      <c r="BP228" t="s">
        <v>701</v>
      </c>
      <c r="BQ228" t="s">
        <v>705</v>
      </c>
      <c r="BR228" t="s">
        <v>706</v>
      </c>
      <c r="BS228" t="s">
        <v>707</v>
      </c>
    </row>
    <row r="229" spans="1:71" hidden="1" x14ac:dyDescent="0.4">
      <c r="A229" s="2" t="s">
        <v>253</v>
      </c>
      <c r="B229" t="str">
        <f>_xlfn.TEXTAFTER(Table1[[#This Row],[VEHIDCODE]],"_")</f>
        <v>Ukraine_UZ_TEP150</v>
      </c>
      <c r="C229" t="s">
        <v>740</v>
      </c>
      <c r="D229" t="b">
        <f>OR(ISNUMBER(SEARCH("wagon_",Table1[[#This Row],[FILENAMES_EXPECTED]])),ISNUMBER(SEARCH("coach_",Table1[[#This Row],[FILENAMES_EXPECTED]])))</f>
        <v>0</v>
      </c>
      <c r="E229" t="str">
        <f>"item_"&amp;Table1[[#This Row],[VEHIDCODE]]</f>
        <v>item_diesel_Ukraine_UZ_TEP150</v>
      </c>
      <c r="F229" t="str">
        <f>"str_"&amp;Table1[[#This Row],[VEHIDCODE]]</f>
        <v>str_diesel_Ukraine_UZ_TEP150</v>
      </c>
      <c r="G229">
        <v>8</v>
      </c>
      <c r="H229" t="s">
        <v>20</v>
      </c>
      <c r="I229">
        <v>0</v>
      </c>
      <c r="J229" t="s">
        <v>35</v>
      </c>
      <c r="K229">
        <v>0</v>
      </c>
      <c r="L229">
        <v>2006</v>
      </c>
      <c r="M229">
        <v>8</v>
      </c>
      <c r="N229" s="2" t="s">
        <v>20</v>
      </c>
      <c r="O229" t="b">
        <v>1</v>
      </c>
      <c r="Q229" s="2"/>
      <c r="R229" t="s">
        <v>21</v>
      </c>
      <c r="S229">
        <v>1</v>
      </c>
      <c r="T229">
        <v>4216</v>
      </c>
      <c r="U229" t="s">
        <v>711</v>
      </c>
      <c r="V229">
        <v>160</v>
      </c>
      <c r="W229" s="2">
        <v>0.12</v>
      </c>
      <c r="AF229" s="2" t="b">
        <v>1</v>
      </c>
      <c r="AX229"/>
      <c r="BA229" s="2"/>
      <c r="BB229" s="2" t="b">
        <f>LEN(_xlfn.CONCAT(Table1[[#This Row],[TRACK_TYPE_STANDARD_GAUGE_RAILTYPE_OHLE]:[TRACK_TYPE_MTRO]]))&gt;0</f>
        <v>1</v>
      </c>
      <c r="BC229" s="7">
        <v>40</v>
      </c>
      <c r="BD229" t="s">
        <v>929</v>
      </c>
      <c r="BE229" t="s">
        <v>922</v>
      </c>
      <c r="BF229" t="s">
        <v>940</v>
      </c>
      <c r="BG2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9">
        <v>0</v>
      </c>
      <c r="BI229" t="s">
        <v>734</v>
      </c>
      <c r="BK229" s="11"/>
      <c r="BL229" s="11">
        <v>135</v>
      </c>
      <c r="BM229">
        <v>0</v>
      </c>
      <c r="BN229" t="s">
        <v>692</v>
      </c>
      <c r="BO229" t="s">
        <v>694</v>
      </c>
      <c r="BP229" t="s">
        <v>701</v>
      </c>
      <c r="BQ229" t="s">
        <v>705</v>
      </c>
      <c r="BR229" t="s">
        <v>706</v>
      </c>
      <c r="BS229" t="s">
        <v>707</v>
      </c>
    </row>
    <row r="230" spans="1:71" hidden="1" x14ac:dyDescent="0.4">
      <c r="A230" s="2" t="s">
        <v>254</v>
      </c>
      <c r="B230" t="str">
        <f>_xlfn.TEXTAFTER(Table1[[#This Row],[VEHIDCODE]],"_")</f>
        <v>China_China_Railways_HXN5</v>
      </c>
      <c r="C230" t="s">
        <v>740</v>
      </c>
      <c r="D230" t="b">
        <f>OR(ISNUMBER(SEARCH("wagon_",Table1[[#This Row],[FILENAMES_EXPECTED]])),ISNUMBER(SEARCH("coach_",Table1[[#This Row],[FILENAMES_EXPECTED]])))</f>
        <v>0</v>
      </c>
      <c r="E230" t="str">
        <f>"item_"&amp;Table1[[#This Row],[VEHIDCODE]]</f>
        <v>item_diesel_China_China_Railways_HXN5</v>
      </c>
      <c r="F230" t="str">
        <f>"str_"&amp;Table1[[#This Row],[VEHIDCODE]]</f>
        <v>str_diesel_China_China_Railways_HXN5</v>
      </c>
      <c r="G230">
        <v>8</v>
      </c>
      <c r="H230" t="s">
        <v>20</v>
      </c>
      <c r="I230">
        <v>0</v>
      </c>
      <c r="J230" t="s">
        <v>35</v>
      </c>
      <c r="K230">
        <v>0</v>
      </c>
      <c r="L230">
        <v>2008</v>
      </c>
      <c r="M230">
        <v>8</v>
      </c>
      <c r="N230" s="2" t="s">
        <v>20</v>
      </c>
      <c r="O230" t="b">
        <v>1</v>
      </c>
      <c r="Q230" s="2"/>
      <c r="R230" t="s">
        <v>21</v>
      </c>
      <c r="S230">
        <v>1</v>
      </c>
      <c r="T230">
        <v>6250</v>
      </c>
      <c r="U230" t="s">
        <v>711</v>
      </c>
      <c r="V230">
        <v>120</v>
      </c>
      <c r="W230" s="2">
        <v>0.41</v>
      </c>
      <c r="AF230" s="2" t="b">
        <v>1</v>
      </c>
      <c r="AX230"/>
      <c r="BA230" s="2"/>
      <c r="BB230" s="2" t="b">
        <f>LEN(_xlfn.CONCAT(Table1[[#This Row],[TRACK_TYPE_STANDARD_GAUGE_RAILTYPE_OHLE]:[TRACK_TYPE_MTRO]]))&gt;0</f>
        <v>1</v>
      </c>
      <c r="BC230" s="7">
        <v>40</v>
      </c>
      <c r="BD230" t="s">
        <v>931</v>
      </c>
      <c r="BE230" t="s">
        <v>922</v>
      </c>
      <c r="BF230" t="s">
        <v>940</v>
      </c>
      <c r="BG2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0">
        <v>0</v>
      </c>
      <c r="BI230" t="s">
        <v>734</v>
      </c>
      <c r="BK230" s="11"/>
      <c r="BL230" s="11">
        <v>150</v>
      </c>
      <c r="BM230">
        <v>0</v>
      </c>
      <c r="BN230" t="s">
        <v>692</v>
      </c>
      <c r="BO230" t="s">
        <v>694</v>
      </c>
      <c r="BP230" t="s">
        <v>701</v>
      </c>
      <c r="BQ230" t="s">
        <v>705</v>
      </c>
      <c r="BR230" t="s">
        <v>706</v>
      </c>
      <c r="BS230" t="s">
        <v>707</v>
      </c>
    </row>
    <row r="231" spans="1:71" hidden="1" x14ac:dyDescent="0.4">
      <c r="A231" s="2" t="s">
        <v>255</v>
      </c>
      <c r="B231" t="str">
        <f>_xlfn.TEXTAFTER(Table1[[#This Row],[VEHIDCODE]],"_")</f>
        <v>Germany_DB_261_Gravita_10BB</v>
      </c>
      <c r="C231" t="s">
        <v>740</v>
      </c>
      <c r="D231" t="b">
        <f>OR(ISNUMBER(SEARCH("wagon_",Table1[[#This Row],[FILENAMES_EXPECTED]])),ISNUMBER(SEARCH("coach_",Table1[[#This Row],[FILENAMES_EXPECTED]])))</f>
        <v>0</v>
      </c>
      <c r="E231" t="str">
        <f>"item_"&amp;Table1[[#This Row],[VEHIDCODE]]</f>
        <v>item_diesel_Germany_DB_261_Gravita_10BB</v>
      </c>
      <c r="F231" t="str">
        <f>"str_"&amp;Table1[[#This Row],[VEHIDCODE]]</f>
        <v>str_diesel_Germany_DB_261_Gravita_10BB</v>
      </c>
      <c r="G231">
        <v>8</v>
      </c>
      <c r="H231" t="s">
        <v>20</v>
      </c>
      <c r="I231">
        <v>0</v>
      </c>
      <c r="J231" t="s">
        <v>35</v>
      </c>
      <c r="K231">
        <v>0</v>
      </c>
      <c r="L231">
        <v>2010</v>
      </c>
      <c r="M231">
        <v>8</v>
      </c>
      <c r="N231" s="2" t="s">
        <v>20</v>
      </c>
      <c r="O231" t="b">
        <v>1</v>
      </c>
      <c r="Q231" s="2"/>
      <c r="R231" t="s">
        <v>21</v>
      </c>
      <c r="S231">
        <v>1</v>
      </c>
      <c r="T231">
        <v>1350</v>
      </c>
      <c r="U231" t="s">
        <v>711</v>
      </c>
      <c r="V231">
        <v>100</v>
      </c>
      <c r="W231" s="2">
        <v>0.32</v>
      </c>
      <c r="AF231" s="2" t="b">
        <v>1</v>
      </c>
      <c r="AX231"/>
      <c r="BA231" s="2"/>
      <c r="BB231" s="2" t="b">
        <f>LEN(_xlfn.CONCAT(Table1[[#This Row],[TRACK_TYPE_STANDARD_GAUGE_RAILTYPE_OHLE]:[TRACK_TYPE_MTRO]]))&gt;0</f>
        <v>1</v>
      </c>
      <c r="BC231" s="7">
        <v>40</v>
      </c>
      <c r="BD231" t="s">
        <v>923</v>
      </c>
      <c r="BE231" t="s">
        <v>922</v>
      </c>
      <c r="BF231" t="s">
        <v>940</v>
      </c>
      <c r="BG2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1">
        <v>0</v>
      </c>
      <c r="BI231" t="s">
        <v>734</v>
      </c>
      <c r="BK231" s="11"/>
      <c r="BL231" s="11">
        <v>80</v>
      </c>
      <c r="BM231">
        <v>0</v>
      </c>
      <c r="BN231" t="s">
        <v>692</v>
      </c>
      <c r="BO231" t="s">
        <v>694</v>
      </c>
      <c r="BP231" t="s">
        <v>701</v>
      </c>
      <c r="BQ231" t="s">
        <v>705</v>
      </c>
      <c r="BR231" t="s">
        <v>706</v>
      </c>
      <c r="BS231" t="s">
        <v>707</v>
      </c>
    </row>
    <row r="232" spans="1:71" hidden="1" x14ac:dyDescent="0.4">
      <c r="A232" s="2" t="s">
        <v>256</v>
      </c>
      <c r="B232" t="str">
        <f>_xlfn.TEXTAFTER(Table1[[#This Row],[VEHIDCODE]],"_")</f>
        <v>Russia_RZD_GT1</v>
      </c>
      <c r="C232" t="s">
        <v>740</v>
      </c>
      <c r="D232" t="b">
        <f>OR(ISNUMBER(SEARCH("wagon_",Table1[[#This Row],[FILENAMES_EXPECTED]])),ISNUMBER(SEARCH("coach_",Table1[[#This Row],[FILENAMES_EXPECTED]])))</f>
        <v>0</v>
      </c>
      <c r="E232" t="str">
        <f>"item_"&amp;Table1[[#This Row],[VEHIDCODE]]</f>
        <v>item_diesel_Russia_RZD_GT1</v>
      </c>
      <c r="F232" t="str">
        <f>"str_"&amp;Table1[[#This Row],[VEHIDCODE]]</f>
        <v>str_diesel_Russia_RZD_GT1</v>
      </c>
      <c r="G232">
        <v>16</v>
      </c>
      <c r="H232" t="s">
        <v>20</v>
      </c>
      <c r="I232">
        <v>0</v>
      </c>
      <c r="J232" t="s">
        <v>35</v>
      </c>
      <c r="K232">
        <v>0</v>
      </c>
      <c r="L232">
        <v>2011</v>
      </c>
      <c r="M232">
        <v>8</v>
      </c>
      <c r="N232" s="2" t="s">
        <v>20</v>
      </c>
      <c r="O232" t="b">
        <v>1</v>
      </c>
      <c r="Q232" s="2"/>
      <c r="R232" t="s">
        <v>21</v>
      </c>
      <c r="S232">
        <v>1</v>
      </c>
      <c r="T232">
        <v>11130</v>
      </c>
      <c r="U232" t="s">
        <v>711</v>
      </c>
      <c r="V232">
        <v>100</v>
      </c>
      <c r="W232" s="2">
        <v>0.23</v>
      </c>
      <c r="AF232" s="2" t="b">
        <v>1</v>
      </c>
      <c r="AX232"/>
      <c r="BA232" s="2"/>
      <c r="BB232" s="2" t="b">
        <f>LEN(_xlfn.CONCAT(Table1[[#This Row],[TRACK_TYPE_STANDARD_GAUGE_RAILTYPE_OHLE]:[TRACK_TYPE_MTRO]]))&gt;0</f>
        <v>1</v>
      </c>
      <c r="BC232" s="7">
        <v>40</v>
      </c>
      <c r="BD232" t="s">
        <v>931</v>
      </c>
      <c r="BE232" t="s">
        <v>922</v>
      </c>
      <c r="BF232" t="s">
        <v>940</v>
      </c>
      <c r="BG2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2">
        <v>0</v>
      </c>
      <c r="BI232" t="s">
        <v>734</v>
      </c>
      <c r="BK232" s="11"/>
      <c r="BL232" s="11">
        <v>300</v>
      </c>
      <c r="BM232">
        <v>0</v>
      </c>
      <c r="BN232" t="s">
        <v>692</v>
      </c>
      <c r="BO232" t="s">
        <v>694</v>
      </c>
      <c r="BP232" t="s">
        <v>701</v>
      </c>
      <c r="BQ232" t="s">
        <v>705</v>
      </c>
      <c r="BR232" t="s">
        <v>706</v>
      </c>
      <c r="BS232" t="s">
        <v>707</v>
      </c>
    </row>
    <row r="233" spans="1:71" hidden="1" x14ac:dyDescent="0.4">
      <c r="A233" s="2" t="s">
        <v>257</v>
      </c>
      <c r="B233" t="str">
        <f>_xlfn.TEXTAFTER(Table1[[#This Row],[VEHIDCODE]],"_")</f>
        <v>China_MTR_8000</v>
      </c>
      <c r="C233" t="s">
        <v>740</v>
      </c>
      <c r="D233" t="b">
        <f>OR(ISNUMBER(SEARCH("wagon_",Table1[[#This Row],[FILENAMES_EXPECTED]])),ISNUMBER(SEARCH("coach_",Table1[[#This Row],[FILENAMES_EXPECTED]])))</f>
        <v>0</v>
      </c>
      <c r="E233" t="str">
        <f>"item_"&amp;Table1[[#This Row],[VEHIDCODE]]</f>
        <v>item_diesel_China_MTR_8000</v>
      </c>
      <c r="F233" t="str">
        <f>"str_"&amp;Table1[[#This Row],[VEHIDCODE]]</f>
        <v>str_diesel_China_MTR_8000</v>
      </c>
      <c r="G233">
        <v>8</v>
      </c>
      <c r="H233" t="s">
        <v>20</v>
      </c>
      <c r="I233">
        <v>0</v>
      </c>
      <c r="J233" t="s">
        <v>35</v>
      </c>
      <c r="K233">
        <v>0</v>
      </c>
      <c r="L233">
        <v>2003</v>
      </c>
      <c r="M233">
        <v>8</v>
      </c>
      <c r="N233" s="2" t="s">
        <v>20</v>
      </c>
      <c r="O233" t="b">
        <v>1</v>
      </c>
      <c r="Q233" s="2"/>
      <c r="R233" t="s">
        <v>21</v>
      </c>
      <c r="S233">
        <v>1</v>
      </c>
      <c r="T233">
        <v>2680</v>
      </c>
      <c r="U233" t="s">
        <v>711</v>
      </c>
      <c r="V233">
        <v>140</v>
      </c>
      <c r="W233" s="2">
        <v>0.28999999999999998</v>
      </c>
      <c r="AF233" s="2" t="b">
        <v>1</v>
      </c>
      <c r="AX233"/>
      <c r="BA233" s="2"/>
      <c r="BB233" s="2" t="b">
        <f>LEN(_xlfn.CONCAT(Table1[[#This Row],[TRACK_TYPE_STANDARD_GAUGE_RAILTYPE_OHLE]:[TRACK_TYPE_MTRO]]))&gt;0</f>
        <v>1</v>
      </c>
      <c r="BC233" s="7">
        <v>40</v>
      </c>
      <c r="BD233" t="s">
        <v>931</v>
      </c>
      <c r="BE233" t="s">
        <v>922</v>
      </c>
      <c r="BF233" t="s">
        <v>940</v>
      </c>
      <c r="BG2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3">
        <v>0</v>
      </c>
      <c r="BI233" t="s">
        <v>734</v>
      </c>
      <c r="BK233" s="11"/>
      <c r="BL233" s="11">
        <v>80</v>
      </c>
      <c r="BM233">
        <v>0</v>
      </c>
      <c r="BN233" t="s">
        <v>692</v>
      </c>
      <c r="BO233" t="s">
        <v>694</v>
      </c>
      <c r="BP233" t="s">
        <v>701</v>
      </c>
      <c r="BQ233" t="s">
        <v>705</v>
      </c>
      <c r="BR233" t="s">
        <v>706</v>
      </c>
      <c r="BS233" t="s">
        <v>707</v>
      </c>
    </row>
    <row r="234" spans="1:71" hidden="1" x14ac:dyDescent="0.4">
      <c r="A234" s="2" t="s">
        <v>258</v>
      </c>
      <c r="B234" t="str">
        <f>_xlfn.TEXTAFTER(Table1[[#This Row],[VEHIDCODE]],"_")</f>
        <v>Germany_HVLE_V490</v>
      </c>
      <c r="C234" t="s">
        <v>740</v>
      </c>
      <c r="D234" t="b">
        <f>OR(ISNUMBER(SEARCH("wagon_",Table1[[#This Row],[FILENAMES_EXPECTED]])),ISNUMBER(SEARCH("coach_",Table1[[#This Row],[FILENAMES_EXPECTED]])))</f>
        <v>0</v>
      </c>
      <c r="E234" t="str">
        <f>"item_"&amp;Table1[[#This Row],[VEHIDCODE]]</f>
        <v>item_diesel_Germany_HVLE_V490</v>
      </c>
      <c r="F234" t="str">
        <f>"str_"&amp;Table1[[#This Row],[VEHIDCODE]]</f>
        <v>str_diesel_Germany_HVLE_V490</v>
      </c>
      <c r="G234">
        <v>8</v>
      </c>
      <c r="H234" t="s">
        <v>20</v>
      </c>
      <c r="I234">
        <v>0</v>
      </c>
      <c r="J234" t="s">
        <v>35</v>
      </c>
      <c r="K234">
        <v>0</v>
      </c>
      <c r="L234">
        <v>2010</v>
      </c>
      <c r="M234">
        <v>8</v>
      </c>
      <c r="N234" s="2" t="s">
        <v>20</v>
      </c>
      <c r="O234" t="b">
        <v>1</v>
      </c>
      <c r="Q234" s="2"/>
      <c r="R234" t="s">
        <v>21</v>
      </c>
      <c r="S234">
        <v>1</v>
      </c>
      <c r="T234">
        <v>4900</v>
      </c>
      <c r="U234" t="s">
        <v>711</v>
      </c>
      <c r="V234">
        <v>140</v>
      </c>
      <c r="W234" s="2">
        <v>0.35</v>
      </c>
      <c r="AF234" s="2" t="b">
        <v>1</v>
      </c>
      <c r="AX234"/>
      <c r="BA234" s="2"/>
      <c r="BB234" s="2" t="b">
        <f>LEN(_xlfn.CONCAT(Table1[[#This Row],[TRACK_TYPE_STANDARD_GAUGE_RAILTYPE_OHLE]:[TRACK_TYPE_MTRO]]))&gt;0</f>
        <v>1</v>
      </c>
      <c r="BC234" s="7">
        <v>40</v>
      </c>
      <c r="BD234" t="s">
        <v>923</v>
      </c>
      <c r="BE234" t="s">
        <v>922</v>
      </c>
      <c r="BF234" t="s">
        <v>940</v>
      </c>
      <c r="BG2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4">
        <v>0</v>
      </c>
      <c r="BI234" t="s">
        <v>734</v>
      </c>
      <c r="BK234" s="11"/>
      <c r="BL234" s="11">
        <v>130</v>
      </c>
      <c r="BM234">
        <v>0</v>
      </c>
      <c r="BN234" t="s">
        <v>692</v>
      </c>
      <c r="BO234" t="s">
        <v>694</v>
      </c>
      <c r="BP234" t="s">
        <v>701</v>
      </c>
      <c r="BQ234" t="s">
        <v>705</v>
      </c>
      <c r="BR234" t="s">
        <v>706</v>
      </c>
      <c r="BS234" t="s">
        <v>707</v>
      </c>
    </row>
    <row r="235" spans="1:71" hidden="1" x14ac:dyDescent="0.4">
      <c r="A235" s="2" t="s">
        <v>259</v>
      </c>
      <c r="B235" t="str">
        <f>_xlfn.TEXTAFTER(Table1[[#This Row],[VEHIDCODE]],"_")</f>
        <v>Russia_RZD_Emch_3</v>
      </c>
      <c r="C235" t="s">
        <v>740</v>
      </c>
      <c r="D235" t="b">
        <f>OR(ISNUMBER(SEARCH("wagon_",Table1[[#This Row],[FILENAMES_EXPECTED]])),ISNUMBER(SEARCH("coach_",Table1[[#This Row],[FILENAMES_EXPECTED]])))</f>
        <v>0</v>
      </c>
      <c r="E235" t="str">
        <f>"item_"&amp;Table1[[#This Row],[VEHIDCODE]]</f>
        <v>item_diesel_Russia_RZD_Emch_3</v>
      </c>
      <c r="F235" t="str">
        <f>"str_"&amp;Table1[[#This Row],[VEHIDCODE]]</f>
        <v>str_diesel_Russia_RZD_Emch_3</v>
      </c>
      <c r="G235">
        <v>7</v>
      </c>
      <c r="H235" t="s">
        <v>20</v>
      </c>
      <c r="I235">
        <v>0</v>
      </c>
      <c r="J235" t="s">
        <v>35</v>
      </c>
      <c r="K235">
        <v>0</v>
      </c>
      <c r="L235">
        <v>1926</v>
      </c>
      <c r="M235">
        <v>7</v>
      </c>
      <c r="N235" s="2" t="s">
        <v>20</v>
      </c>
      <c r="O235" t="b">
        <v>1</v>
      </c>
      <c r="Q235" s="2"/>
      <c r="R235">
        <v>45</v>
      </c>
      <c r="S235">
        <v>1</v>
      </c>
      <c r="T235">
        <v>1200</v>
      </c>
      <c r="U235" t="s">
        <v>711</v>
      </c>
      <c r="V235">
        <v>55</v>
      </c>
      <c r="W235" s="2">
        <v>0.12</v>
      </c>
      <c r="AF235" s="2" t="b">
        <v>1</v>
      </c>
      <c r="AX235"/>
      <c r="BA235" s="2"/>
      <c r="BB235" s="2" t="b">
        <f>LEN(_xlfn.CONCAT(Table1[[#This Row],[TRACK_TYPE_STANDARD_GAUGE_RAILTYPE_OHLE]:[TRACK_TYPE_MTRO]]))&gt;0</f>
        <v>1</v>
      </c>
      <c r="BC235" s="7">
        <v>40</v>
      </c>
      <c r="BD235" t="s">
        <v>931</v>
      </c>
      <c r="BE235" t="s">
        <v>922</v>
      </c>
      <c r="BF235" t="s">
        <v>940</v>
      </c>
      <c r="BG2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5">
        <v>0</v>
      </c>
      <c r="BI235" t="s">
        <v>734</v>
      </c>
      <c r="BK235" s="11"/>
      <c r="BL235" s="11">
        <v>125</v>
      </c>
      <c r="BM235">
        <v>0</v>
      </c>
      <c r="BN235" t="s">
        <v>692</v>
      </c>
      <c r="BO235" t="s">
        <v>694</v>
      </c>
      <c r="BP235" t="s">
        <v>701</v>
      </c>
      <c r="BQ235" t="s">
        <v>705</v>
      </c>
      <c r="BR235" t="s">
        <v>706</v>
      </c>
      <c r="BS235" t="s">
        <v>707</v>
      </c>
    </row>
    <row r="236" spans="1:71" hidden="1" x14ac:dyDescent="0.4">
      <c r="A236" s="2" t="s">
        <v>260</v>
      </c>
      <c r="B236" t="str">
        <f>_xlfn.TEXTAFTER(Table1[[#This Row],[VEHIDCODE]],"_")</f>
        <v>Canada_CNR_9000</v>
      </c>
      <c r="C236" t="s">
        <v>740</v>
      </c>
      <c r="D236" t="b">
        <f>OR(ISNUMBER(SEARCH("wagon_",Table1[[#This Row],[FILENAMES_EXPECTED]])),ISNUMBER(SEARCH("coach_",Table1[[#This Row],[FILENAMES_EXPECTED]])))</f>
        <v>0</v>
      </c>
      <c r="E236" t="str">
        <f>"item_"&amp;Table1[[#This Row],[VEHIDCODE]]</f>
        <v>item_diesel_Canada_CNR_9000</v>
      </c>
      <c r="F236" t="str">
        <f>"str_"&amp;Table1[[#This Row],[VEHIDCODE]]</f>
        <v>str_diesel_Canada_CNR_9000</v>
      </c>
      <c r="G236">
        <v>14</v>
      </c>
      <c r="H236" t="s">
        <v>20</v>
      </c>
      <c r="I236">
        <v>0</v>
      </c>
      <c r="J236" t="s">
        <v>35</v>
      </c>
      <c r="K236">
        <v>0</v>
      </c>
      <c r="L236">
        <v>1928</v>
      </c>
      <c r="M236">
        <v>7</v>
      </c>
      <c r="N236" s="2" t="s">
        <v>20</v>
      </c>
      <c r="O236" t="b">
        <v>1</v>
      </c>
      <c r="Q236" s="2"/>
      <c r="R236">
        <v>45</v>
      </c>
      <c r="S236">
        <v>1</v>
      </c>
      <c r="T236">
        <v>2660</v>
      </c>
      <c r="U236" t="s">
        <v>711</v>
      </c>
      <c r="V236">
        <v>112</v>
      </c>
      <c r="W236" s="2">
        <v>0.11</v>
      </c>
      <c r="AF236" s="2" t="b">
        <v>1</v>
      </c>
      <c r="AX236"/>
      <c r="BA236" s="2"/>
      <c r="BB236" s="2" t="b">
        <f>LEN(_xlfn.CONCAT(Table1[[#This Row],[TRACK_TYPE_STANDARD_GAUGE_RAILTYPE_OHLE]:[TRACK_TYPE_MTRO]]))&gt;0</f>
        <v>1</v>
      </c>
      <c r="BC236" s="7">
        <v>40</v>
      </c>
      <c r="BD236" t="s">
        <v>928</v>
      </c>
      <c r="BE236" t="s">
        <v>922</v>
      </c>
      <c r="BF236" t="s">
        <v>940</v>
      </c>
      <c r="BG2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6">
        <v>0</v>
      </c>
      <c r="BI236" t="s">
        <v>734</v>
      </c>
      <c r="BK236" s="11"/>
      <c r="BL236" s="11">
        <v>335</v>
      </c>
      <c r="BM236">
        <v>0</v>
      </c>
      <c r="BN236" t="s">
        <v>692</v>
      </c>
      <c r="BO236" t="s">
        <v>694</v>
      </c>
      <c r="BP236" t="s">
        <v>701</v>
      </c>
      <c r="BQ236" t="s">
        <v>705</v>
      </c>
      <c r="BR236" t="s">
        <v>706</v>
      </c>
      <c r="BS236" t="s">
        <v>707</v>
      </c>
    </row>
    <row r="237" spans="1:71" hidden="1" x14ac:dyDescent="0.4">
      <c r="A237" s="2" t="s">
        <v>261</v>
      </c>
      <c r="B237" t="str">
        <f>_xlfn.TEXTAFTER(Table1[[#This Row],[VEHIDCODE]],"_")</f>
        <v>UK_LMS_7051_Diesel_Shunter</v>
      </c>
      <c r="C237" t="s">
        <v>740</v>
      </c>
      <c r="D237" t="b">
        <f>OR(ISNUMBER(SEARCH("wagon_",Table1[[#This Row],[FILENAMES_EXPECTED]])),ISNUMBER(SEARCH("coach_",Table1[[#This Row],[FILENAMES_EXPECTED]])))</f>
        <v>0</v>
      </c>
      <c r="E237" t="str">
        <f>"item_"&amp;Table1[[#This Row],[VEHIDCODE]]</f>
        <v>item_diesel_UK_LMS_7051_Diesel_Shunter</v>
      </c>
      <c r="F237" t="str">
        <f>"str_"&amp;Table1[[#This Row],[VEHIDCODE]]</f>
        <v>str_diesel_UK_LMS_7051_Diesel_Shunter</v>
      </c>
      <c r="G237">
        <v>4</v>
      </c>
      <c r="H237" t="s">
        <v>20</v>
      </c>
      <c r="I237">
        <v>0</v>
      </c>
      <c r="J237" t="s">
        <v>35</v>
      </c>
      <c r="K237">
        <v>0</v>
      </c>
      <c r="L237">
        <v>1932</v>
      </c>
      <c r="M237">
        <v>4</v>
      </c>
      <c r="N237" s="2" t="s">
        <v>20</v>
      </c>
      <c r="O237" t="b">
        <v>1</v>
      </c>
      <c r="Q237" s="2"/>
      <c r="R237">
        <v>45</v>
      </c>
      <c r="S237">
        <v>0</v>
      </c>
      <c r="T237">
        <v>150</v>
      </c>
      <c r="U237" t="s">
        <v>711</v>
      </c>
      <c r="V237">
        <v>48</v>
      </c>
      <c r="W237" s="2">
        <v>0.21</v>
      </c>
      <c r="AF237" s="2" t="b">
        <v>1</v>
      </c>
      <c r="AX237"/>
      <c r="BA237" s="2"/>
      <c r="BB237" s="2" t="b">
        <f>LEN(_xlfn.CONCAT(Table1[[#This Row],[TRACK_TYPE_STANDARD_GAUGE_RAILTYPE_OHLE]:[TRACK_TYPE_MTRO]]))&gt;0</f>
        <v>1</v>
      </c>
      <c r="BC237" s="7">
        <v>40</v>
      </c>
      <c r="BD237" t="s">
        <v>927</v>
      </c>
      <c r="BE237" t="s">
        <v>922</v>
      </c>
      <c r="BF237" t="s">
        <v>940</v>
      </c>
      <c r="BG2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7">
        <v>0</v>
      </c>
      <c r="BI237" t="s">
        <v>734</v>
      </c>
      <c r="BK237" s="11"/>
      <c r="BL237" s="11">
        <v>22</v>
      </c>
      <c r="BM237">
        <v>0</v>
      </c>
      <c r="BN237" t="s">
        <v>692</v>
      </c>
      <c r="BO237" t="s">
        <v>694</v>
      </c>
      <c r="BP237" t="s">
        <v>701</v>
      </c>
      <c r="BQ237" t="s">
        <v>705</v>
      </c>
      <c r="BR237" t="s">
        <v>706</v>
      </c>
      <c r="BS237" t="s">
        <v>707</v>
      </c>
    </row>
    <row r="238" spans="1:71" hidden="1" x14ac:dyDescent="0.4">
      <c r="A238" s="2" t="s">
        <v>262</v>
      </c>
      <c r="B238" t="str">
        <f>_xlfn.TEXTAFTER(Table1[[#This Row],[VEHIDCODE]],"_")</f>
        <v>USA_Rock_Island_EMC_TA</v>
      </c>
      <c r="C238" t="s">
        <v>740</v>
      </c>
      <c r="D238" t="b">
        <f>OR(ISNUMBER(SEARCH("wagon_",Table1[[#This Row],[FILENAMES_EXPECTED]])),ISNUMBER(SEARCH("coach_",Table1[[#This Row],[FILENAMES_EXPECTED]])))</f>
        <v>0</v>
      </c>
      <c r="E238" t="str">
        <f>"item_"&amp;Table1[[#This Row],[VEHIDCODE]]</f>
        <v>item_diesel_USA_Rock_Island_EMC_TA</v>
      </c>
      <c r="F238" t="str">
        <f>"str_"&amp;Table1[[#This Row],[VEHIDCODE]]</f>
        <v>str_diesel_USA_Rock_Island_EMC_TA</v>
      </c>
      <c r="G238">
        <v>8</v>
      </c>
      <c r="H238" t="s">
        <v>20</v>
      </c>
      <c r="I238">
        <v>0</v>
      </c>
      <c r="J238" t="s">
        <v>35</v>
      </c>
      <c r="K238">
        <v>0</v>
      </c>
      <c r="L238">
        <v>1937</v>
      </c>
      <c r="M238">
        <v>8</v>
      </c>
      <c r="N238" s="2" t="s">
        <v>20</v>
      </c>
      <c r="O238" t="b">
        <v>1</v>
      </c>
      <c r="Q238" s="2"/>
      <c r="R238">
        <v>45</v>
      </c>
      <c r="S238">
        <v>1</v>
      </c>
      <c r="T238">
        <v>1200</v>
      </c>
      <c r="U238" t="s">
        <v>711</v>
      </c>
      <c r="V238">
        <v>180</v>
      </c>
      <c r="W238" s="2">
        <v>0.12</v>
      </c>
      <c r="AF238" s="2" t="b">
        <v>1</v>
      </c>
      <c r="AX238"/>
      <c r="BA238" s="2"/>
      <c r="BB238" s="2" t="b">
        <f>LEN(_xlfn.CONCAT(Table1[[#This Row],[TRACK_TYPE_STANDARD_GAUGE_RAILTYPE_OHLE]:[TRACK_TYPE_MTRO]]))&gt;0</f>
        <v>1</v>
      </c>
      <c r="BC238" s="7">
        <v>40</v>
      </c>
      <c r="BD238" t="s">
        <v>928</v>
      </c>
      <c r="BE238" t="s">
        <v>922</v>
      </c>
      <c r="BF238" t="s">
        <v>940</v>
      </c>
      <c r="BG2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8">
        <v>0</v>
      </c>
      <c r="BI238" t="s">
        <v>734</v>
      </c>
      <c r="BK238" s="11"/>
      <c r="BL238" s="11">
        <v>132</v>
      </c>
      <c r="BM238">
        <v>0</v>
      </c>
      <c r="BN238" t="s">
        <v>692</v>
      </c>
      <c r="BO238" t="s">
        <v>694</v>
      </c>
      <c r="BP238" t="s">
        <v>701</v>
      </c>
      <c r="BQ238" t="s">
        <v>705</v>
      </c>
      <c r="BR238" t="s">
        <v>706</v>
      </c>
      <c r="BS238" t="s">
        <v>707</v>
      </c>
    </row>
    <row r="239" spans="1:71" hidden="1" x14ac:dyDescent="0.4">
      <c r="A239" s="2" t="s">
        <v>263</v>
      </c>
      <c r="B239" t="str">
        <f>_xlfn.TEXTAFTER(Table1[[#This Row],[VEHIDCODE]],"_")</f>
        <v>USA_NYC_Baldwin_VO_660</v>
      </c>
      <c r="C239" t="s">
        <v>740</v>
      </c>
      <c r="D239" t="b">
        <f>OR(ISNUMBER(SEARCH("wagon_",Table1[[#This Row],[FILENAMES_EXPECTED]])),ISNUMBER(SEARCH("coach_",Table1[[#This Row],[FILENAMES_EXPECTED]])))</f>
        <v>0</v>
      </c>
      <c r="E239" t="str">
        <f>"item_"&amp;Table1[[#This Row],[VEHIDCODE]]</f>
        <v>item_diesel_USA_NYC_Baldwin_VO_660</v>
      </c>
      <c r="F239" t="str">
        <f>"str_"&amp;Table1[[#This Row],[VEHIDCODE]]</f>
        <v>str_diesel_USA_NYC_Baldwin_VO_660</v>
      </c>
      <c r="G239">
        <v>6</v>
      </c>
      <c r="H239" t="s">
        <v>20</v>
      </c>
      <c r="I239">
        <v>0</v>
      </c>
      <c r="J239" t="s">
        <v>35</v>
      </c>
      <c r="K239">
        <v>0</v>
      </c>
      <c r="L239">
        <v>1939</v>
      </c>
      <c r="M239">
        <v>6</v>
      </c>
      <c r="N239" s="2" t="s">
        <v>20</v>
      </c>
      <c r="O239" t="b">
        <v>1</v>
      </c>
      <c r="Q239" s="2"/>
      <c r="R239">
        <v>45</v>
      </c>
      <c r="S239">
        <v>1</v>
      </c>
      <c r="T239">
        <v>660</v>
      </c>
      <c r="U239" t="s">
        <v>711</v>
      </c>
      <c r="V239">
        <v>64</v>
      </c>
      <c r="W239" s="2">
        <v>0.24</v>
      </c>
      <c r="AF239" s="2" t="b">
        <v>1</v>
      </c>
      <c r="AX239"/>
      <c r="BA239" s="2"/>
      <c r="BB239" s="2" t="b">
        <f>LEN(_xlfn.CONCAT(Table1[[#This Row],[TRACK_TYPE_STANDARD_GAUGE_RAILTYPE_OHLE]:[TRACK_TYPE_MTRO]]))&gt;0</f>
        <v>1</v>
      </c>
      <c r="BC239" s="7">
        <v>40</v>
      </c>
      <c r="BD239" t="s">
        <v>928</v>
      </c>
      <c r="BE239" t="s">
        <v>922</v>
      </c>
      <c r="BF239" t="s">
        <v>940</v>
      </c>
      <c r="BG2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9">
        <v>0</v>
      </c>
      <c r="BI239" t="s">
        <v>734</v>
      </c>
      <c r="BK239" s="11"/>
      <c r="BL239" s="11">
        <v>92</v>
      </c>
      <c r="BM239">
        <v>0</v>
      </c>
      <c r="BN239" t="s">
        <v>692</v>
      </c>
      <c r="BO239" t="s">
        <v>694</v>
      </c>
      <c r="BP239" t="s">
        <v>701</v>
      </c>
      <c r="BQ239" t="s">
        <v>705</v>
      </c>
      <c r="BR239" t="s">
        <v>706</v>
      </c>
      <c r="BS239" t="s">
        <v>707</v>
      </c>
    </row>
    <row r="240" spans="1:71" hidden="1" x14ac:dyDescent="0.4">
      <c r="A240" s="2" t="s">
        <v>264</v>
      </c>
      <c r="B240" t="str">
        <f>_xlfn.TEXTAFTER(Table1[[#This Row],[VEHIDCODE]],"_")</f>
        <v>UK_BR_Class_D3_7</v>
      </c>
      <c r="C240" t="s">
        <v>740</v>
      </c>
      <c r="D240" t="b">
        <f>OR(ISNUMBER(SEARCH("wagon_",Table1[[#This Row],[FILENAMES_EXPECTED]])),ISNUMBER(SEARCH("coach_",Table1[[#This Row],[FILENAMES_EXPECTED]])))</f>
        <v>0</v>
      </c>
      <c r="E240" t="str">
        <f>"item_"&amp;Table1[[#This Row],[VEHIDCODE]]</f>
        <v>item_diesel_UK_BR_Class_D3_7</v>
      </c>
      <c r="F240" t="str">
        <f>"str_"&amp;Table1[[#This Row],[VEHIDCODE]]</f>
        <v>str_diesel_UK_BR_Class_D3_7</v>
      </c>
      <c r="G240">
        <v>5</v>
      </c>
      <c r="H240" t="s">
        <v>20</v>
      </c>
      <c r="I240">
        <v>0</v>
      </c>
      <c r="J240" t="s">
        <v>35</v>
      </c>
      <c r="K240">
        <v>0</v>
      </c>
      <c r="L240">
        <v>1939</v>
      </c>
      <c r="M240">
        <v>5</v>
      </c>
      <c r="N240" s="2" t="s">
        <v>20</v>
      </c>
      <c r="O240" t="b">
        <v>1</v>
      </c>
      <c r="Q240" s="2"/>
      <c r="R240">
        <v>45</v>
      </c>
      <c r="S240">
        <v>0</v>
      </c>
      <c r="T240">
        <v>350</v>
      </c>
      <c r="U240" t="s">
        <v>711</v>
      </c>
      <c r="V240">
        <v>32</v>
      </c>
      <c r="W240" s="2">
        <v>0.28999999999999998</v>
      </c>
      <c r="AF240" s="2" t="b">
        <v>1</v>
      </c>
      <c r="AX240"/>
      <c r="BA240" s="2"/>
      <c r="BB240" s="2" t="b">
        <f>LEN(_xlfn.CONCAT(Table1[[#This Row],[TRACK_TYPE_STANDARD_GAUGE_RAILTYPE_OHLE]:[TRACK_TYPE_MTRO]]))&gt;0</f>
        <v>1</v>
      </c>
      <c r="BC240" s="7">
        <v>40</v>
      </c>
      <c r="BD240" t="s">
        <v>927</v>
      </c>
      <c r="BE240" t="s">
        <v>922</v>
      </c>
      <c r="BF240" t="s">
        <v>940</v>
      </c>
      <c r="BG2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0">
        <v>0</v>
      </c>
      <c r="BI240" t="s">
        <v>734</v>
      </c>
      <c r="BK240" s="11"/>
      <c r="BL240" s="11">
        <v>55</v>
      </c>
      <c r="BM240">
        <v>0</v>
      </c>
      <c r="BN240" t="s">
        <v>692</v>
      </c>
      <c r="BO240" t="s">
        <v>694</v>
      </c>
      <c r="BP240" t="s">
        <v>701</v>
      </c>
      <c r="BQ240" t="s">
        <v>705</v>
      </c>
      <c r="BR240" t="s">
        <v>706</v>
      </c>
      <c r="BS240" t="s">
        <v>707</v>
      </c>
    </row>
    <row r="241" spans="1:71" hidden="1" x14ac:dyDescent="0.4">
      <c r="A241" s="2" t="s">
        <v>265</v>
      </c>
      <c r="B241" t="str">
        <f>_xlfn.TEXTAFTER(Table1[[#This Row],[VEHIDCODE]],"_")</f>
        <v>Australia_Queensland_Railways_DL_Class</v>
      </c>
      <c r="C241" t="s">
        <v>740</v>
      </c>
      <c r="D241" t="b">
        <f>OR(ISNUMBER(SEARCH("wagon_",Table1[[#This Row],[FILENAMES_EXPECTED]])),ISNUMBER(SEARCH("coach_",Table1[[#This Row],[FILENAMES_EXPECTED]])))</f>
        <v>0</v>
      </c>
      <c r="E241" t="str">
        <f>"item_"&amp;Table1[[#This Row],[VEHIDCODE]]</f>
        <v>item_diesel_Australia_Queensland_Railways_DL_Class</v>
      </c>
      <c r="F241" t="str">
        <f>"str_"&amp;Table1[[#This Row],[VEHIDCODE]]</f>
        <v>str_diesel_Australia_Queensland_Railways_DL_Class</v>
      </c>
      <c r="G241">
        <v>5</v>
      </c>
      <c r="H241" t="s">
        <v>20</v>
      </c>
      <c r="I241">
        <v>0</v>
      </c>
      <c r="J241" t="s">
        <v>35</v>
      </c>
      <c r="K241">
        <v>0</v>
      </c>
      <c r="L241">
        <v>1939</v>
      </c>
      <c r="M241">
        <v>5</v>
      </c>
      <c r="N241" s="2" t="s">
        <v>20</v>
      </c>
      <c r="O241" t="b">
        <v>1</v>
      </c>
      <c r="Q241" s="2"/>
      <c r="R241">
        <v>45</v>
      </c>
      <c r="S241">
        <v>1</v>
      </c>
      <c r="T241">
        <v>150</v>
      </c>
      <c r="U241" t="s">
        <v>711</v>
      </c>
      <c r="V241">
        <v>50</v>
      </c>
      <c r="W241" s="2">
        <v>0.17</v>
      </c>
      <c r="AF241" s="2" t="b">
        <v>1</v>
      </c>
      <c r="AX241"/>
      <c r="BA241" s="2"/>
      <c r="BB241" s="2" t="b">
        <f>LEN(_xlfn.CONCAT(Table1[[#This Row],[TRACK_TYPE_STANDARD_GAUGE_RAILTYPE_OHLE]:[TRACK_TYPE_MTRO]]))&gt;0</f>
        <v>1</v>
      </c>
      <c r="BC241" s="7">
        <v>40</v>
      </c>
      <c r="BD241" t="s">
        <v>925</v>
      </c>
      <c r="BE241" t="s">
        <v>922</v>
      </c>
      <c r="BF241" t="s">
        <v>940</v>
      </c>
      <c r="BG2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1">
        <v>0</v>
      </c>
      <c r="BI241" t="s">
        <v>734</v>
      </c>
      <c r="BK241" s="11"/>
      <c r="BL241" s="11">
        <v>18</v>
      </c>
      <c r="BM241">
        <v>0</v>
      </c>
      <c r="BN241" t="s">
        <v>692</v>
      </c>
      <c r="BO241" t="s">
        <v>694</v>
      </c>
      <c r="BP241" t="s">
        <v>701</v>
      </c>
      <c r="BQ241" t="s">
        <v>705</v>
      </c>
      <c r="BR241" t="s">
        <v>706</v>
      </c>
      <c r="BS241" t="s">
        <v>707</v>
      </c>
    </row>
    <row r="242" spans="1:71" hidden="1" x14ac:dyDescent="0.4">
      <c r="A242" s="2" t="s">
        <v>266</v>
      </c>
      <c r="B242" t="str">
        <f>_xlfn.TEXTAFTER(Table1[[#This Row],[VEHIDCODE]],"_")</f>
        <v>USA_PRR_FM_H_10_44</v>
      </c>
      <c r="C242" t="s">
        <v>740</v>
      </c>
      <c r="D242" t="b">
        <f>OR(ISNUMBER(SEARCH("wagon_",Table1[[#This Row],[FILENAMES_EXPECTED]])),ISNUMBER(SEARCH("coach_",Table1[[#This Row],[FILENAMES_EXPECTED]])))</f>
        <v>0</v>
      </c>
      <c r="E242" t="str">
        <f>"item_"&amp;Table1[[#This Row],[VEHIDCODE]]</f>
        <v>item_diesel_USA_PRR_FM_H_10_44</v>
      </c>
      <c r="F242" t="str">
        <f>"str_"&amp;Table1[[#This Row],[VEHIDCODE]]</f>
        <v>str_diesel_USA_PRR_FM_H_10_44</v>
      </c>
      <c r="G242">
        <v>6</v>
      </c>
      <c r="H242" t="s">
        <v>20</v>
      </c>
      <c r="I242">
        <v>0</v>
      </c>
      <c r="J242" t="s">
        <v>35</v>
      </c>
      <c r="K242">
        <v>0</v>
      </c>
      <c r="L242">
        <v>1944</v>
      </c>
      <c r="M242">
        <v>6</v>
      </c>
      <c r="N242" s="2" t="s">
        <v>20</v>
      </c>
      <c r="O242" t="b">
        <v>1</v>
      </c>
      <c r="Q242" s="2"/>
      <c r="R242">
        <v>45</v>
      </c>
      <c r="S242">
        <v>1</v>
      </c>
      <c r="T242">
        <v>1000</v>
      </c>
      <c r="U242" t="s">
        <v>711</v>
      </c>
      <c r="V242">
        <v>97</v>
      </c>
      <c r="W242" s="2">
        <v>0.17</v>
      </c>
      <c r="AF242" s="2" t="b">
        <v>1</v>
      </c>
      <c r="AX242"/>
      <c r="BA242" s="2"/>
      <c r="BB242" s="2" t="b">
        <f>LEN(_xlfn.CONCAT(Table1[[#This Row],[TRACK_TYPE_STANDARD_GAUGE_RAILTYPE_OHLE]:[TRACK_TYPE_MTRO]]))&gt;0</f>
        <v>1</v>
      </c>
      <c r="BC242" s="7">
        <v>40</v>
      </c>
      <c r="BD242" t="s">
        <v>928</v>
      </c>
      <c r="BE242" t="s">
        <v>922</v>
      </c>
      <c r="BF242" t="s">
        <v>940</v>
      </c>
      <c r="BG2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2">
        <v>0</v>
      </c>
      <c r="BI242" t="s">
        <v>734</v>
      </c>
      <c r="BK242" s="11"/>
      <c r="BL242" s="11">
        <v>109</v>
      </c>
      <c r="BM242">
        <v>0</v>
      </c>
      <c r="BN242" t="s">
        <v>692</v>
      </c>
      <c r="BO242" t="s">
        <v>694</v>
      </c>
      <c r="BP242" t="s">
        <v>701</v>
      </c>
      <c r="BQ242" t="s">
        <v>705</v>
      </c>
      <c r="BR242" t="s">
        <v>706</v>
      </c>
      <c r="BS242" t="s">
        <v>707</v>
      </c>
    </row>
    <row r="243" spans="1:71" hidden="1" x14ac:dyDescent="0.4">
      <c r="A243" s="2" t="s">
        <v>267</v>
      </c>
      <c r="B243" t="str">
        <f>_xlfn.TEXTAFTER(Table1[[#This Row],[VEHIDCODE]],"_")</f>
        <v>Algeria_SNTF_Baldwin_DRS6_4_1000</v>
      </c>
      <c r="C243" t="s">
        <v>740</v>
      </c>
      <c r="D243" t="b">
        <f>OR(ISNUMBER(SEARCH("wagon_",Table1[[#This Row],[FILENAMES_EXPECTED]])),ISNUMBER(SEARCH("coach_",Table1[[#This Row],[FILENAMES_EXPECTED]])))</f>
        <v>0</v>
      </c>
      <c r="E243" t="str">
        <f>"item_"&amp;Table1[[#This Row],[VEHIDCODE]]</f>
        <v>item_diesel_Algeria_SNTF_Baldwin_DRS6_4_1000</v>
      </c>
      <c r="F243" t="str">
        <f>"str_"&amp;Table1[[#This Row],[VEHIDCODE]]</f>
        <v>str_diesel_Algeria_SNTF_Baldwin_DRS6_4_1000</v>
      </c>
      <c r="G243">
        <v>7</v>
      </c>
      <c r="H243" t="s">
        <v>20</v>
      </c>
      <c r="I243">
        <v>0</v>
      </c>
      <c r="J243" t="s">
        <v>35</v>
      </c>
      <c r="K243">
        <v>0</v>
      </c>
      <c r="L243">
        <v>1948</v>
      </c>
      <c r="M243">
        <v>7</v>
      </c>
      <c r="N243" s="2" t="s">
        <v>20</v>
      </c>
      <c r="O243" t="b">
        <v>1</v>
      </c>
      <c r="Q243" s="2"/>
      <c r="R243">
        <v>45</v>
      </c>
      <c r="S243">
        <v>1</v>
      </c>
      <c r="T243">
        <v>1000</v>
      </c>
      <c r="U243" t="s">
        <v>711</v>
      </c>
      <c r="V243">
        <v>80</v>
      </c>
      <c r="W243" s="2">
        <v>0.14000000000000001</v>
      </c>
      <c r="AF243" s="2" t="b">
        <v>1</v>
      </c>
      <c r="AX243"/>
      <c r="BA243" s="2"/>
      <c r="BB243" s="2" t="b">
        <f>LEN(_xlfn.CONCAT(Table1[[#This Row],[TRACK_TYPE_STANDARD_GAUGE_RAILTYPE_OHLE]:[TRACK_TYPE_MTRO]]))&gt;0</f>
        <v>1</v>
      </c>
      <c r="BC243" s="7">
        <v>40</v>
      </c>
      <c r="BD243" t="s">
        <v>926</v>
      </c>
      <c r="BE243" t="s">
        <v>922</v>
      </c>
      <c r="BF243" t="s">
        <v>940</v>
      </c>
      <c r="BG2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3">
        <v>0</v>
      </c>
      <c r="BI243" t="s">
        <v>734</v>
      </c>
      <c r="BK243" s="11"/>
      <c r="BL243" s="11">
        <v>92</v>
      </c>
      <c r="BM243">
        <v>0</v>
      </c>
      <c r="BN243" t="s">
        <v>692</v>
      </c>
      <c r="BO243" t="s">
        <v>694</v>
      </c>
      <c r="BP243" t="s">
        <v>701</v>
      </c>
      <c r="BQ243" t="s">
        <v>705</v>
      </c>
      <c r="BR243" t="s">
        <v>706</v>
      </c>
      <c r="BS243" t="s">
        <v>707</v>
      </c>
    </row>
    <row r="244" spans="1:71" hidden="1" x14ac:dyDescent="0.4">
      <c r="A244" s="2" t="s">
        <v>268</v>
      </c>
      <c r="B244" t="str">
        <f>_xlfn.TEXTAFTER(Table1[[#This Row],[VEHIDCODE]],"_")</f>
        <v>Ireland_CIE_113</v>
      </c>
      <c r="C244" t="s">
        <v>740</v>
      </c>
      <c r="D244" t="b">
        <f>OR(ISNUMBER(SEARCH("wagon_",Table1[[#This Row],[FILENAMES_EXPECTED]])),ISNUMBER(SEARCH("coach_",Table1[[#This Row],[FILENAMES_EXPECTED]])))</f>
        <v>0</v>
      </c>
      <c r="E244" t="str">
        <f>"item_"&amp;Table1[[#This Row],[VEHIDCODE]]</f>
        <v>item_diesel_Ireland_CIE_113</v>
      </c>
      <c r="F244" t="str">
        <f>"str_"&amp;Table1[[#This Row],[VEHIDCODE]]</f>
        <v>str_diesel_Ireland_CIE_113</v>
      </c>
      <c r="G244">
        <v>8</v>
      </c>
      <c r="H244" t="s">
        <v>20</v>
      </c>
      <c r="I244">
        <v>0</v>
      </c>
      <c r="J244" t="s">
        <v>35</v>
      </c>
      <c r="K244">
        <v>0</v>
      </c>
      <c r="L244">
        <v>1950</v>
      </c>
      <c r="M244">
        <v>8</v>
      </c>
      <c r="N244" s="2" t="s">
        <v>20</v>
      </c>
      <c r="O244" t="b">
        <v>1</v>
      </c>
      <c r="Q244" s="2"/>
      <c r="R244">
        <v>45</v>
      </c>
      <c r="S244">
        <v>0</v>
      </c>
      <c r="T244">
        <v>915</v>
      </c>
      <c r="U244" t="s">
        <v>711</v>
      </c>
      <c r="V244">
        <v>88</v>
      </c>
      <c r="W244" s="2">
        <v>0.25</v>
      </c>
      <c r="AF244" s="2" t="b">
        <v>1</v>
      </c>
      <c r="AX244"/>
      <c r="BA244" s="2"/>
      <c r="BB244" s="2" t="b">
        <f>LEN(_xlfn.CONCAT(Table1[[#This Row],[TRACK_TYPE_STANDARD_GAUGE_RAILTYPE_OHLE]:[TRACK_TYPE_MTRO]]))&gt;0</f>
        <v>1</v>
      </c>
      <c r="BC244" s="7">
        <v>40</v>
      </c>
      <c r="BD244" t="s">
        <v>927</v>
      </c>
      <c r="BE244" t="s">
        <v>922</v>
      </c>
      <c r="BF244" t="s">
        <v>940</v>
      </c>
      <c r="BG2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4">
        <v>0</v>
      </c>
      <c r="BI244" t="s">
        <v>734</v>
      </c>
      <c r="BK244" s="11"/>
      <c r="BL244" s="11">
        <v>81</v>
      </c>
      <c r="BM244">
        <v>0</v>
      </c>
      <c r="BN244" t="s">
        <v>692</v>
      </c>
      <c r="BO244" t="s">
        <v>694</v>
      </c>
      <c r="BP244" t="s">
        <v>701</v>
      </c>
      <c r="BQ244" t="s">
        <v>705</v>
      </c>
      <c r="BR244" t="s">
        <v>706</v>
      </c>
      <c r="BS244" t="s">
        <v>707</v>
      </c>
    </row>
    <row r="245" spans="1:71" hidden="1" x14ac:dyDescent="0.4">
      <c r="A245" s="2" t="s">
        <v>269</v>
      </c>
      <c r="B245" t="str">
        <f>_xlfn.TEXTAFTER(Table1[[#This Row],[VEHIDCODE]],"_")</f>
        <v>Brazil_EFC_3300_Baldwin_AS_616</v>
      </c>
      <c r="C245" t="s">
        <v>740</v>
      </c>
      <c r="D245" t="b">
        <f>OR(ISNUMBER(SEARCH("wagon_",Table1[[#This Row],[FILENAMES_EXPECTED]])),ISNUMBER(SEARCH("coach_",Table1[[#This Row],[FILENAMES_EXPECTED]])))</f>
        <v>0</v>
      </c>
      <c r="E245" t="str">
        <f>"item_"&amp;Table1[[#This Row],[VEHIDCODE]]</f>
        <v>item_diesel_Brazil_EFC_3300_Baldwin_AS_616</v>
      </c>
      <c r="F245" t="str">
        <f>"str_"&amp;Table1[[#This Row],[VEHIDCODE]]</f>
        <v>str_diesel_Brazil_EFC_3300_Baldwin_AS_616</v>
      </c>
      <c r="G245">
        <v>8</v>
      </c>
      <c r="H245" t="s">
        <v>20</v>
      </c>
      <c r="I245">
        <v>0</v>
      </c>
      <c r="J245" t="s">
        <v>35</v>
      </c>
      <c r="K245">
        <v>0</v>
      </c>
      <c r="L245">
        <v>1950</v>
      </c>
      <c r="M245">
        <v>8</v>
      </c>
      <c r="N245" s="2" t="s">
        <v>20</v>
      </c>
      <c r="O245" t="b">
        <v>1</v>
      </c>
      <c r="Q245" s="2"/>
      <c r="R245">
        <v>45</v>
      </c>
      <c r="S245">
        <v>1</v>
      </c>
      <c r="T245">
        <v>1600</v>
      </c>
      <c r="U245" t="s">
        <v>711</v>
      </c>
      <c r="V245">
        <v>100</v>
      </c>
      <c r="W245" s="2">
        <v>0.24</v>
      </c>
      <c r="AF245" s="2" t="b">
        <v>1</v>
      </c>
      <c r="AX245"/>
      <c r="BA245" s="2"/>
      <c r="BB245" s="2" t="b">
        <f>LEN(_xlfn.CONCAT(Table1[[#This Row],[TRACK_TYPE_STANDARD_GAUGE_RAILTYPE_OHLE]:[TRACK_TYPE_MTRO]]))&gt;0</f>
        <v>1</v>
      </c>
      <c r="BC245" s="7">
        <v>40</v>
      </c>
      <c r="BD245" t="s">
        <v>930</v>
      </c>
      <c r="BE245" t="s">
        <v>922</v>
      </c>
      <c r="BF245" t="s">
        <v>940</v>
      </c>
      <c r="BG2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5">
        <v>0</v>
      </c>
      <c r="BI245" t="s">
        <v>734</v>
      </c>
      <c r="BK245" s="11"/>
      <c r="BL245" s="11">
        <v>148</v>
      </c>
      <c r="BM245">
        <v>0</v>
      </c>
      <c r="BN245" t="s">
        <v>692</v>
      </c>
      <c r="BO245" t="s">
        <v>694</v>
      </c>
      <c r="BP245" t="s">
        <v>701</v>
      </c>
      <c r="BQ245" t="s">
        <v>705</v>
      </c>
      <c r="BR245" t="s">
        <v>706</v>
      </c>
      <c r="BS245" t="s">
        <v>707</v>
      </c>
    </row>
    <row r="246" spans="1:71" hidden="1" x14ac:dyDescent="0.4">
      <c r="A246" s="2" t="s">
        <v>270</v>
      </c>
      <c r="B246" t="str">
        <f>_xlfn.TEXTAFTER(Table1[[#This Row],[VEHIDCODE]],"_")</f>
        <v>Mexico_CHP_500_FM_H_16_44</v>
      </c>
      <c r="C246" t="s">
        <v>740</v>
      </c>
      <c r="D246" t="b">
        <f>OR(ISNUMBER(SEARCH("wagon_",Table1[[#This Row],[FILENAMES_EXPECTED]])),ISNUMBER(SEARCH("coach_",Table1[[#This Row],[FILENAMES_EXPECTED]])))</f>
        <v>0</v>
      </c>
      <c r="E246" t="str">
        <f>"item_"&amp;Table1[[#This Row],[VEHIDCODE]]</f>
        <v>item_diesel_Mexico_CHP_500_FM_H_16_44</v>
      </c>
      <c r="F246" t="str">
        <f>"str_"&amp;Table1[[#This Row],[VEHIDCODE]]</f>
        <v>str_diesel_Mexico_CHP_500_FM_H_16_44</v>
      </c>
      <c r="G246">
        <v>8</v>
      </c>
      <c r="H246" t="s">
        <v>20</v>
      </c>
      <c r="I246">
        <v>0</v>
      </c>
      <c r="J246" t="s">
        <v>35</v>
      </c>
      <c r="K246">
        <v>0</v>
      </c>
      <c r="L246">
        <v>1950</v>
      </c>
      <c r="M246">
        <v>8</v>
      </c>
      <c r="N246" s="2" t="s">
        <v>20</v>
      </c>
      <c r="O246" t="b">
        <v>1</v>
      </c>
      <c r="Q246" s="2"/>
      <c r="R246">
        <v>45</v>
      </c>
      <c r="S246">
        <v>1</v>
      </c>
      <c r="T246">
        <v>1600</v>
      </c>
      <c r="U246" t="s">
        <v>711</v>
      </c>
      <c r="V246">
        <v>105</v>
      </c>
      <c r="W246" s="2">
        <v>0.17</v>
      </c>
      <c r="AF246" s="2" t="b">
        <v>1</v>
      </c>
      <c r="AX246"/>
      <c r="BA246" s="2"/>
      <c r="BB246" s="2" t="b">
        <f>LEN(_xlfn.CONCAT(Table1[[#This Row],[TRACK_TYPE_STANDARD_GAUGE_RAILTYPE_OHLE]:[TRACK_TYPE_MTRO]]))&gt;0</f>
        <v>1</v>
      </c>
      <c r="BC246" s="7">
        <v>40</v>
      </c>
      <c r="BD246" t="s">
        <v>928</v>
      </c>
      <c r="BE246" t="s">
        <v>922</v>
      </c>
      <c r="BF246" t="s">
        <v>940</v>
      </c>
      <c r="BG2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6">
        <v>0</v>
      </c>
      <c r="BI246" t="s">
        <v>734</v>
      </c>
      <c r="BK246" s="11"/>
      <c r="BL246" s="11">
        <v>113</v>
      </c>
      <c r="BM246">
        <v>0</v>
      </c>
      <c r="BN246" t="s">
        <v>692</v>
      </c>
      <c r="BO246" t="s">
        <v>694</v>
      </c>
      <c r="BP246" t="s">
        <v>701</v>
      </c>
      <c r="BQ246" t="s">
        <v>705</v>
      </c>
      <c r="BR246" t="s">
        <v>706</v>
      </c>
      <c r="BS246" t="s">
        <v>707</v>
      </c>
    </row>
    <row r="247" spans="1:71" hidden="1" x14ac:dyDescent="0.4">
      <c r="A247" s="2" t="s">
        <v>271</v>
      </c>
      <c r="B247" t="str">
        <f>_xlfn.TEXTAFTER(Table1[[#This Row],[VEHIDCODE]],"_")</f>
        <v>Australia_South_Australian_Railways_900</v>
      </c>
      <c r="C247" t="s">
        <v>740</v>
      </c>
      <c r="D247" t="b">
        <f>OR(ISNUMBER(SEARCH("wagon_",Table1[[#This Row],[FILENAMES_EXPECTED]])),ISNUMBER(SEARCH("coach_",Table1[[#This Row],[FILENAMES_EXPECTED]])))</f>
        <v>0</v>
      </c>
      <c r="E247" t="str">
        <f>"item_"&amp;Table1[[#This Row],[VEHIDCODE]]</f>
        <v>item_diesel_Australia_South_Australian_Railways_900</v>
      </c>
      <c r="F247" t="str">
        <f>"str_"&amp;Table1[[#This Row],[VEHIDCODE]]</f>
        <v>str_diesel_Australia_South_Australian_Railways_900</v>
      </c>
      <c r="G247">
        <v>8</v>
      </c>
      <c r="H247" t="s">
        <v>20</v>
      </c>
      <c r="I247">
        <v>0</v>
      </c>
      <c r="J247" t="s">
        <v>35</v>
      </c>
      <c r="K247">
        <v>0</v>
      </c>
      <c r="L247">
        <v>1951</v>
      </c>
      <c r="M247">
        <v>8</v>
      </c>
      <c r="N247" s="2" t="s">
        <v>20</v>
      </c>
      <c r="O247" t="b">
        <v>1</v>
      </c>
      <c r="Q247" s="2"/>
      <c r="R247">
        <v>45</v>
      </c>
      <c r="S247">
        <v>1</v>
      </c>
      <c r="T247">
        <v>1590</v>
      </c>
      <c r="U247" t="s">
        <v>711</v>
      </c>
      <c r="V247">
        <v>119</v>
      </c>
      <c r="W247" s="2">
        <v>0.12</v>
      </c>
      <c r="AF247" s="2" t="b">
        <v>1</v>
      </c>
      <c r="AX247"/>
      <c r="BA247" s="2"/>
      <c r="BB247" s="2" t="b">
        <f>LEN(_xlfn.CONCAT(Table1[[#This Row],[TRACK_TYPE_STANDARD_GAUGE_RAILTYPE_OHLE]:[TRACK_TYPE_MTRO]]))&gt;0</f>
        <v>1</v>
      </c>
      <c r="BC247" s="7">
        <v>40</v>
      </c>
      <c r="BD247" t="s">
        <v>925</v>
      </c>
      <c r="BE247" t="s">
        <v>922</v>
      </c>
      <c r="BF247" t="s">
        <v>940</v>
      </c>
      <c r="BG2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7">
        <v>0</v>
      </c>
      <c r="BI247" t="s">
        <v>734</v>
      </c>
      <c r="BK247" s="11"/>
      <c r="BL247" s="11">
        <v>128</v>
      </c>
      <c r="BM247">
        <v>0</v>
      </c>
      <c r="BN247" t="s">
        <v>692</v>
      </c>
      <c r="BO247" t="s">
        <v>694</v>
      </c>
      <c r="BP247" t="s">
        <v>701</v>
      </c>
      <c r="BQ247" t="s">
        <v>705</v>
      </c>
      <c r="BR247" t="s">
        <v>706</v>
      </c>
      <c r="BS247" t="s">
        <v>707</v>
      </c>
    </row>
    <row r="248" spans="1:71" hidden="1" x14ac:dyDescent="0.4">
      <c r="A248" s="2" t="s">
        <v>272</v>
      </c>
      <c r="B248" t="str">
        <f>_xlfn.TEXTAFTER(Table1[[#This Row],[VEHIDCODE]],"_")</f>
        <v>Sri_Lanka_Sri_Lanka_Railways_M2</v>
      </c>
      <c r="C248" t="s">
        <v>740</v>
      </c>
      <c r="D248" t="b">
        <f>OR(ISNUMBER(SEARCH("wagon_",Table1[[#This Row],[FILENAMES_EXPECTED]])),ISNUMBER(SEARCH("coach_",Table1[[#This Row],[FILENAMES_EXPECTED]])))</f>
        <v>0</v>
      </c>
      <c r="E248" t="str">
        <f>"item_"&amp;Table1[[#This Row],[VEHIDCODE]]</f>
        <v>item_diesel_Sri_Lanka_Sri_Lanka_Railways_M2</v>
      </c>
      <c r="F248" t="str">
        <f>"str_"&amp;Table1[[#This Row],[VEHIDCODE]]</f>
        <v>str_diesel_Sri_Lanka_Sri_Lanka_Railways_M2</v>
      </c>
      <c r="G248">
        <v>6</v>
      </c>
      <c r="H248" t="s">
        <v>20</v>
      </c>
      <c r="I248">
        <v>0</v>
      </c>
      <c r="J248" t="s">
        <v>35</v>
      </c>
      <c r="K248">
        <v>0</v>
      </c>
      <c r="L248">
        <v>1954</v>
      </c>
      <c r="M248">
        <v>6</v>
      </c>
      <c r="N248" s="2" t="s">
        <v>20</v>
      </c>
      <c r="O248" t="b">
        <v>1</v>
      </c>
      <c r="Q248" s="2"/>
      <c r="R248">
        <v>45</v>
      </c>
      <c r="S248">
        <v>1</v>
      </c>
      <c r="T248">
        <v>1425</v>
      </c>
      <c r="U248" t="s">
        <v>711</v>
      </c>
      <c r="V248">
        <v>112</v>
      </c>
      <c r="W248" s="2">
        <v>0.24</v>
      </c>
      <c r="AF248" s="2" t="b">
        <v>1</v>
      </c>
      <c r="AX248"/>
      <c r="BA248" s="2"/>
      <c r="BB248" s="2" t="b">
        <f>LEN(_xlfn.CONCAT(Table1[[#This Row],[TRACK_TYPE_STANDARD_GAUGE_RAILTYPE_OHLE]:[TRACK_TYPE_MTRO]]))&gt;0</f>
        <v>1</v>
      </c>
      <c r="BC248" s="7">
        <v>40</v>
      </c>
      <c r="BD248" t="s">
        <v>931</v>
      </c>
      <c r="BE248" t="s">
        <v>922</v>
      </c>
      <c r="BF248" t="s">
        <v>940</v>
      </c>
      <c r="BG2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8">
        <v>0</v>
      </c>
      <c r="BI248" t="s">
        <v>734</v>
      </c>
      <c r="BK248" s="11"/>
      <c r="BL248" s="11">
        <v>79</v>
      </c>
      <c r="BM248">
        <v>0</v>
      </c>
      <c r="BN248" t="s">
        <v>692</v>
      </c>
      <c r="BO248" t="s">
        <v>694</v>
      </c>
      <c r="BP248" t="s">
        <v>701</v>
      </c>
      <c r="BQ248" t="s">
        <v>705</v>
      </c>
      <c r="BR248" t="s">
        <v>706</v>
      </c>
      <c r="BS248" t="s">
        <v>707</v>
      </c>
    </row>
    <row r="249" spans="1:71" hidden="1" x14ac:dyDescent="0.4">
      <c r="A249" s="2" t="s">
        <v>273</v>
      </c>
      <c r="B249" t="str">
        <f>_xlfn.TEXTAFTER(Table1[[#This Row],[VEHIDCODE]],"_")</f>
        <v>Ireland_CIE_001</v>
      </c>
      <c r="C249" t="s">
        <v>740</v>
      </c>
      <c r="D249" t="b">
        <f>OR(ISNUMBER(SEARCH("wagon_",Table1[[#This Row],[FILENAMES_EXPECTED]])),ISNUMBER(SEARCH("coach_",Table1[[#This Row],[FILENAMES_EXPECTED]])))</f>
        <v>0</v>
      </c>
      <c r="E249" t="str">
        <f>"item_"&amp;Table1[[#This Row],[VEHIDCODE]]</f>
        <v>item_diesel_Ireland_CIE_001</v>
      </c>
      <c r="F249" t="str">
        <f>"str_"&amp;Table1[[#This Row],[VEHIDCODE]]</f>
        <v>str_diesel_Ireland_CIE_001</v>
      </c>
      <c r="G249">
        <v>7</v>
      </c>
      <c r="H249" t="s">
        <v>20</v>
      </c>
      <c r="I249">
        <v>0</v>
      </c>
      <c r="J249" t="s">
        <v>35</v>
      </c>
      <c r="K249">
        <v>0</v>
      </c>
      <c r="L249">
        <v>1955</v>
      </c>
      <c r="M249">
        <v>7</v>
      </c>
      <c r="N249" s="2" t="s">
        <v>20</v>
      </c>
      <c r="O249" t="b">
        <v>1</v>
      </c>
      <c r="Q249" s="2"/>
      <c r="R249">
        <v>45</v>
      </c>
      <c r="S249">
        <v>0</v>
      </c>
      <c r="T249">
        <v>1325</v>
      </c>
      <c r="U249" t="s">
        <v>711</v>
      </c>
      <c r="V249">
        <v>120</v>
      </c>
      <c r="W249" s="2">
        <v>0.33</v>
      </c>
      <c r="AF249" s="2" t="b">
        <v>1</v>
      </c>
      <c r="AX249"/>
      <c r="BA249" s="2"/>
      <c r="BB249" s="2" t="b">
        <f>LEN(_xlfn.CONCAT(Table1[[#This Row],[TRACK_TYPE_STANDARD_GAUGE_RAILTYPE_OHLE]:[TRACK_TYPE_MTRO]]))&gt;0</f>
        <v>1</v>
      </c>
      <c r="BC249" s="7">
        <v>40</v>
      </c>
      <c r="BD249" t="s">
        <v>927</v>
      </c>
      <c r="BE249" t="s">
        <v>922</v>
      </c>
      <c r="BF249" t="s">
        <v>940</v>
      </c>
      <c r="BG2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9">
        <v>0</v>
      </c>
      <c r="BI249" t="s">
        <v>734</v>
      </c>
      <c r="BK249" s="11"/>
      <c r="BL249" s="11">
        <v>84</v>
      </c>
      <c r="BM249">
        <v>0</v>
      </c>
      <c r="BN249" t="s">
        <v>692</v>
      </c>
      <c r="BO249" t="s">
        <v>694</v>
      </c>
      <c r="BP249" t="s">
        <v>701</v>
      </c>
      <c r="BQ249" t="s">
        <v>705</v>
      </c>
      <c r="BR249" t="s">
        <v>706</v>
      </c>
      <c r="BS249" t="s">
        <v>707</v>
      </c>
    </row>
    <row r="250" spans="1:71" hidden="1" x14ac:dyDescent="0.4">
      <c r="A250" s="2" t="s">
        <v>274</v>
      </c>
      <c r="B250" t="str">
        <f>_xlfn.TEXTAFTER(Table1[[#This Row],[VEHIDCODE]],"_")</f>
        <v>Italy_FS_D341</v>
      </c>
      <c r="C250" t="s">
        <v>740</v>
      </c>
      <c r="D250" t="b">
        <f>OR(ISNUMBER(SEARCH("wagon_",Table1[[#This Row],[FILENAMES_EXPECTED]])),ISNUMBER(SEARCH("coach_",Table1[[#This Row],[FILENAMES_EXPECTED]])))</f>
        <v>0</v>
      </c>
      <c r="E250" t="str">
        <f>"item_"&amp;Table1[[#This Row],[VEHIDCODE]]</f>
        <v>item_diesel_Italy_FS_D341</v>
      </c>
      <c r="F250" t="str">
        <f>"str_"&amp;Table1[[#This Row],[VEHIDCODE]]</f>
        <v>str_diesel_Italy_FS_D341</v>
      </c>
      <c r="G250">
        <v>8</v>
      </c>
      <c r="H250" t="s">
        <v>20</v>
      </c>
      <c r="I250">
        <v>0</v>
      </c>
      <c r="J250" t="s">
        <v>35</v>
      </c>
      <c r="K250">
        <v>0</v>
      </c>
      <c r="L250">
        <v>1957</v>
      </c>
      <c r="M250">
        <v>8</v>
      </c>
      <c r="N250" s="2" t="s">
        <v>20</v>
      </c>
      <c r="O250" t="b">
        <v>1</v>
      </c>
      <c r="Q250" s="2"/>
      <c r="R250">
        <v>45</v>
      </c>
      <c r="S250">
        <v>1</v>
      </c>
      <c r="T250">
        <v>1380</v>
      </c>
      <c r="U250" t="s">
        <v>711</v>
      </c>
      <c r="V250">
        <v>110</v>
      </c>
      <c r="W250" s="2">
        <v>0.26</v>
      </c>
      <c r="AF250" s="2" t="b">
        <v>1</v>
      </c>
      <c r="AX250"/>
      <c r="BA250" s="2"/>
      <c r="BB250" s="2" t="b">
        <f>LEN(_xlfn.CONCAT(Table1[[#This Row],[TRACK_TYPE_STANDARD_GAUGE_RAILTYPE_OHLE]:[TRACK_TYPE_MTRO]]))&gt;0</f>
        <v>1</v>
      </c>
      <c r="BC250" s="7">
        <v>40</v>
      </c>
      <c r="BD250" t="s">
        <v>924</v>
      </c>
      <c r="BE250" t="s">
        <v>922</v>
      </c>
      <c r="BF250" t="s">
        <v>940</v>
      </c>
      <c r="BG2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0">
        <v>0</v>
      </c>
      <c r="BI250" t="s">
        <v>734</v>
      </c>
      <c r="BK250" s="11"/>
      <c r="BL250" s="11">
        <v>67</v>
      </c>
      <c r="BM250">
        <v>0</v>
      </c>
      <c r="BN250" t="s">
        <v>692</v>
      </c>
      <c r="BO250" t="s">
        <v>694</v>
      </c>
      <c r="BP250" t="s">
        <v>701</v>
      </c>
      <c r="BQ250" t="s">
        <v>705</v>
      </c>
      <c r="BR250" t="s">
        <v>706</v>
      </c>
      <c r="BS250" t="s">
        <v>707</v>
      </c>
    </row>
    <row r="251" spans="1:71" hidden="1" x14ac:dyDescent="0.4">
      <c r="A251" s="2" t="s">
        <v>275</v>
      </c>
      <c r="B251" t="str">
        <f>_xlfn.TEXTAFTER(Table1[[#This Row],[VEHIDCODE]],"_")</f>
        <v>Australia_NSWGR_44</v>
      </c>
      <c r="C251" t="s">
        <v>740</v>
      </c>
      <c r="D251" t="b">
        <f>OR(ISNUMBER(SEARCH("wagon_",Table1[[#This Row],[FILENAMES_EXPECTED]])),ISNUMBER(SEARCH("coach_",Table1[[#This Row],[FILENAMES_EXPECTED]])))</f>
        <v>0</v>
      </c>
      <c r="E251" t="str">
        <f>"item_"&amp;Table1[[#This Row],[VEHIDCODE]]</f>
        <v>item_diesel_Australia_NSWGR_44</v>
      </c>
      <c r="F251" t="str">
        <f>"str_"&amp;Table1[[#This Row],[VEHIDCODE]]</f>
        <v>str_diesel_Australia_NSWGR_44</v>
      </c>
      <c r="G251">
        <v>8</v>
      </c>
      <c r="H251" t="s">
        <v>20</v>
      </c>
      <c r="I251">
        <v>0</v>
      </c>
      <c r="J251" t="s">
        <v>35</v>
      </c>
      <c r="K251">
        <v>0</v>
      </c>
      <c r="L251">
        <v>1957</v>
      </c>
      <c r="M251">
        <v>8</v>
      </c>
      <c r="N251" s="2" t="s">
        <v>20</v>
      </c>
      <c r="O251" t="b">
        <v>1</v>
      </c>
      <c r="Q251" s="2"/>
      <c r="R251">
        <v>45</v>
      </c>
      <c r="S251">
        <v>1</v>
      </c>
      <c r="T251">
        <v>1950</v>
      </c>
      <c r="U251" t="s">
        <v>711</v>
      </c>
      <c r="V251">
        <v>129</v>
      </c>
      <c r="W251" s="2">
        <v>0.19</v>
      </c>
      <c r="AF251" s="2" t="b">
        <v>1</v>
      </c>
      <c r="AX251"/>
      <c r="BA251" s="2"/>
      <c r="BB251" s="2" t="b">
        <f>LEN(_xlfn.CONCAT(Table1[[#This Row],[TRACK_TYPE_STANDARD_GAUGE_RAILTYPE_OHLE]:[TRACK_TYPE_MTRO]]))&gt;0</f>
        <v>1</v>
      </c>
      <c r="BC251" s="7">
        <v>40</v>
      </c>
      <c r="BD251" t="s">
        <v>925</v>
      </c>
      <c r="BE251" t="s">
        <v>922</v>
      </c>
      <c r="BF251" t="s">
        <v>940</v>
      </c>
      <c r="BG2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1">
        <v>0</v>
      </c>
      <c r="BI251" t="s">
        <v>734</v>
      </c>
      <c r="BK251" s="11"/>
      <c r="BL251" s="11">
        <v>112</v>
      </c>
      <c r="BM251">
        <v>0</v>
      </c>
      <c r="BN251" t="s">
        <v>692</v>
      </c>
      <c r="BO251" t="s">
        <v>694</v>
      </c>
      <c r="BP251" t="s">
        <v>701</v>
      </c>
      <c r="BQ251" t="s">
        <v>705</v>
      </c>
      <c r="BR251" t="s">
        <v>706</v>
      </c>
      <c r="BS251" t="s">
        <v>707</v>
      </c>
    </row>
    <row r="252" spans="1:71" hidden="1" x14ac:dyDescent="0.4">
      <c r="A252" s="2" t="s">
        <v>276</v>
      </c>
      <c r="B252" t="str">
        <f>_xlfn.TEXTAFTER(Table1[[#This Row],[VEHIDCODE]],"_")</f>
        <v>Zimbabwe_Zimbabwe_Railways_DH_1</v>
      </c>
      <c r="C252" t="s">
        <v>740</v>
      </c>
      <c r="D252" t="b">
        <f>OR(ISNUMBER(SEARCH("wagon_",Table1[[#This Row],[FILENAMES_EXPECTED]])),ISNUMBER(SEARCH("coach_",Table1[[#This Row],[FILENAMES_EXPECTED]])))</f>
        <v>0</v>
      </c>
      <c r="E252" t="str">
        <f>"item_"&amp;Table1[[#This Row],[VEHIDCODE]]</f>
        <v>item_diesel_Zimbabwe_Zimbabwe_Railways_DH_1</v>
      </c>
      <c r="F252" t="str">
        <f>"str_"&amp;Table1[[#This Row],[VEHIDCODE]]</f>
        <v>str_diesel_Zimbabwe_Zimbabwe_Railways_DH_1</v>
      </c>
      <c r="G252">
        <v>8</v>
      </c>
      <c r="H252" t="s">
        <v>20</v>
      </c>
      <c r="I252">
        <v>0</v>
      </c>
      <c r="J252" t="s">
        <v>35</v>
      </c>
      <c r="K252">
        <v>0</v>
      </c>
      <c r="L252">
        <v>1959</v>
      </c>
      <c r="M252">
        <v>8</v>
      </c>
      <c r="N252" s="2" t="s">
        <v>20</v>
      </c>
      <c r="O252" t="b">
        <v>1</v>
      </c>
      <c r="Q252" s="2"/>
      <c r="R252">
        <v>45</v>
      </c>
      <c r="S252">
        <v>1</v>
      </c>
      <c r="T252">
        <v>1316</v>
      </c>
      <c r="U252" t="s">
        <v>711</v>
      </c>
      <c r="V252">
        <v>89</v>
      </c>
      <c r="W252" s="2">
        <v>0.26</v>
      </c>
      <c r="AF252" s="2" t="b">
        <v>1</v>
      </c>
      <c r="AX252"/>
      <c r="BA252" s="2"/>
      <c r="BB252" s="2" t="b">
        <f>LEN(_xlfn.CONCAT(Table1[[#This Row],[TRACK_TYPE_STANDARD_GAUGE_RAILTYPE_OHLE]:[TRACK_TYPE_MTRO]]))&gt;0</f>
        <v>1</v>
      </c>
      <c r="BC252" s="7">
        <v>40</v>
      </c>
      <c r="BD252" t="s">
        <v>926</v>
      </c>
      <c r="BE252" t="s">
        <v>922</v>
      </c>
      <c r="BF252" t="s">
        <v>940</v>
      </c>
      <c r="BG2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2">
        <v>0</v>
      </c>
      <c r="BI252" t="s">
        <v>734</v>
      </c>
      <c r="BK252" s="11"/>
      <c r="BL252" s="11">
        <v>76</v>
      </c>
      <c r="BM252">
        <v>0</v>
      </c>
      <c r="BN252" t="s">
        <v>692</v>
      </c>
      <c r="BO252" t="s">
        <v>694</v>
      </c>
      <c r="BP252" t="s">
        <v>701</v>
      </c>
      <c r="BQ252" t="s">
        <v>705</v>
      </c>
      <c r="BR252" t="s">
        <v>706</v>
      </c>
      <c r="BS252" t="s">
        <v>707</v>
      </c>
    </row>
    <row r="253" spans="1:71" hidden="1" x14ac:dyDescent="0.4">
      <c r="A253" s="2" t="s">
        <v>277</v>
      </c>
      <c r="B253" t="str">
        <f>_xlfn.TEXTAFTER(Table1[[#This Row],[VEHIDCODE]],"_")</f>
        <v>South_Korea_Korail_6000_EMD_SD18</v>
      </c>
      <c r="C253" t="s">
        <v>740</v>
      </c>
      <c r="D253" t="b">
        <f>OR(ISNUMBER(SEARCH("wagon_",Table1[[#This Row],[FILENAMES_EXPECTED]])),ISNUMBER(SEARCH("coach_",Table1[[#This Row],[FILENAMES_EXPECTED]])))</f>
        <v>0</v>
      </c>
      <c r="E253" t="str">
        <f>"item_"&amp;Table1[[#This Row],[VEHIDCODE]]</f>
        <v>item_diesel_South_Korea_Korail_6000_EMD_SD18</v>
      </c>
      <c r="F253" t="str">
        <f>"str_"&amp;Table1[[#This Row],[VEHIDCODE]]</f>
        <v>str_diesel_South_Korea_Korail_6000_EMD_SD18</v>
      </c>
      <c r="G253">
        <v>8</v>
      </c>
      <c r="H253" t="s">
        <v>20</v>
      </c>
      <c r="I253">
        <v>0</v>
      </c>
      <c r="J253" t="s">
        <v>35</v>
      </c>
      <c r="K253">
        <v>0</v>
      </c>
      <c r="L253">
        <v>1960</v>
      </c>
      <c r="M253">
        <v>8</v>
      </c>
      <c r="N253" s="2" t="s">
        <v>20</v>
      </c>
      <c r="O253" t="b">
        <v>1</v>
      </c>
      <c r="Q253" s="2"/>
      <c r="R253">
        <v>45</v>
      </c>
      <c r="S253">
        <v>1</v>
      </c>
      <c r="T253">
        <v>1800</v>
      </c>
      <c r="U253" t="s">
        <v>711</v>
      </c>
      <c r="V253">
        <v>104</v>
      </c>
      <c r="W253" s="2">
        <v>0.09</v>
      </c>
      <c r="AF253" s="2" t="b">
        <v>1</v>
      </c>
      <c r="AX253"/>
      <c r="BA253" s="2"/>
      <c r="BB253" s="2" t="b">
        <f>LEN(_xlfn.CONCAT(Table1[[#This Row],[TRACK_TYPE_STANDARD_GAUGE_RAILTYPE_OHLE]:[TRACK_TYPE_MTRO]]))&gt;0</f>
        <v>1</v>
      </c>
      <c r="BC253" s="7">
        <v>40</v>
      </c>
      <c r="BD253" t="s">
        <v>931</v>
      </c>
      <c r="BE253" t="s">
        <v>922</v>
      </c>
      <c r="BF253" t="s">
        <v>940</v>
      </c>
      <c r="BG2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3">
        <v>0</v>
      </c>
      <c r="BI253" t="s">
        <v>734</v>
      </c>
      <c r="BK253" s="11"/>
      <c r="BL253" s="11">
        <v>163</v>
      </c>
      <c r="BM253">
        <v>0</v>
      </c>
      <c r="BN253" t="s">
        <v>692</v>
      </c>
      <c r="BO253" t="s">
        <v>694</v>
      </c>
      <c r="BP253" t="s">
        <v>701</v>
      </c>
      <c r="BQ253" t="s">
        <v>705</v>
      </c>
      <c r="BR253" t="s">
        <v>706</v>
      </c>
      <c r="BS253" t="s">
        <v>707</v>
      </c>
    </row>
    <row r="254" spans="1:71" hidden="1" x14ac:dyDescent="0.4">
      <c r="A254" s="2" t="s">
        <v>278</v>
      </c>
      <c r="B254" t="str">
        <f>_xlfn.TEXTAFTER(Table1[[#This Row],[VEHIDCODE]],"_")</f>
        <v>Italy_FS_D345</v>
      </c>
      <c r="C254" t="s">
        <v>740</v>
      </c>
      <c r="D254" t="b">
        <f>OR(ISNUMBER(SEARCH("wagon_",Table1[[#This Row],[FILENAMES_EXPECTED]])),ISNUMBER(SEARCH("coach_",Table1[[#This Row],[FILENAMES_EXPECTED]])))</f>
        <v>0</v>
      </c>
      <c r="E254" t="str">
        <f>"item_"&amp;Table1[[#This Row],[VEHIDCODE]]</f>
        <v>item_diesel_Italy_FS_D345</v>
      </c>
      <c r="F254" t="str">
        <f>"str_"&amp;Table1[[#This Row],[VEHIDCODE]]</f>
        <v>str_diesel_Italy_FS_D345</v>
      </c>
      <c r="G254">
        <v>8</v>
      </c>
      <c r="H254" t="s">
        <v>20</v>
      </c>
      <c r="I254">
        <v>0</v>
      </c>
      <c r="J254" t="s">
        <v>35</v>
      </c>
      <c r="K254">
        <v>0</v>
      </c>
      <c r="L254">
        <v>1971</v>
      </c>
      <c r="M254">
        <v>8</v>
      </c>
      <c r="N254" s="2" t="s">
        <v>20</v>
      </c>
      <c r="O254" t="b">
        <v>1</v>
      </c>
      <c r="Q254" s="2"/>
      <c r="R254">
        <v>45</v>
      </c>
      <c r="S254">
        <v>1</v>
      </c>
      <c r="T254">
        <v>1010</v>
      </c>
      <c r="U254" t="s">
        <v>711</v>
      </c>
      <c r="V254">
        <v>130</v>
      </c>
      <c r="W254" s="2">
        <v>0.3</v>
      </c>
      <c r="AF254" s="2" t="b">
        <v>1</v>
      </c>
      <c r="AX254"/>
      <c r="BA254" s="2"/>
      <c r="BB254" s="2" t="b">
        <f>LEN(_xlfn.CONCAT(Table1[[#This Row],[TRACK_TYPE_STANDARD_GAUGE_RAILTYPE_OHLE]:[TRACK_TYPE_MTRO]]))&gt;0</f>
        <v>1</v>
      </c>
      <c r="BC254" s="7">
        <v>40</v>
      </c>
      <c r="BD254" t="s">
        <v>924</v>
      </c>
      <c r="BE254" t="s">
        <v>922</v>
      </c>
      <c r="BF254" t="s">
        <v>940</v>
      </c>
      <c r="BG2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4">
        <v>0</v>
      </c>
      <c r="BI254" t="s">
        <v>734</v>
      </c>
      <c r="BK254" s="11"/>
      <c r="BL254" s="11">
        <v>62</v>
      </c>
      <c r="BM254">
        <v>0</v>
      </c>
      <c r="BN254" t="s">
        <v>692</v>
      </c>
      <c r="BO254" t="s">
        <v>694</v>
      </c>
      <c r="BP254" t="s">
        <v>701</v>
      </c>
      <c r="BQ254" t="s">
        <v>705</v>
      </c>
      <c r="BR254" t="s">
        <v>706</v>
      </c>
      <c r="BS254" t="s">
        <v>707</v>
      </c>
    </row>
    <row r="255" spans="1:71" hidden="1" x14ac:dyDescent="0.4">
      <c r="A255" s="2" t="s">
        <v>279</v>
      </c>
      <c r="B255" t="str">
        <f>_xlfn.TEXTAFTER(Table1[[#This Row],[VEHIDCODE]],"_")</f>
        <v>Norway_NSB_Di4</v>
      </c>
      <c r="C255" t="s">
        <v>740</v>
      </c>
      <c r="D255" t="b">
        <f>OR(ISNUMBER(SEARCH("wagon_",Table1[[#This Row],[FILENAMES_EXPECTED]])),ISNUMBER(SEARCH("coach_",Table1[[#This Row],[FILENAMES_EXPECTED]])))</f>
        <v>0</v>
      </c>
      <c r="E255" t="str">
        <f>"item_"&amp;Table1[[#This Row],[VEHIDCODE]]</f>
        <v>item_diesel_Norway_NSB_Di4</v>
      </c>
      <c r="F255" t="str">
        <f>"str_"&amp;Table1[[#This Row],[VEHIDCODE]]</f>
        <v>str_diesel_Norway_NSB_Di4</v>
      </c>
      <c r="G255">
        <v>8</v>
      </c>
      <c r="H255" t="s">
        <v>20</v>
      </c>
      <c r="I255">
        <v>0</v>
      </c>
      <c r="J255" t="s">
        <v>35</v>
      </c>
      <c r="K255">
        <v>0</v>
      </c>
      <c r="L255">
        <v>1980</v>
      </c>
      <c r="M255">
        <v>8</v>
      </c>
      <c r="N255" s="2" t="s">
        <v>20</v>
      </c>
      <c r="O255" t="b">
        <v>1</v>
      </c>
      <c r="Q255" s="2"/>
      <c r="R255">
        <v>45</v>
      </c>
      <c r="S255">
        <v>1</v>
      </c>
      <c r="T255">
        <v>3290</v>
      </c>
      <c r="U255" t="s">
        <v>711</v>
      </c>
      <c r="V255">
        <v>140</v>
      </c>
      <c r="W255" s="2">
        <v>0.32</v>
      </c>
      <c r="AF255" s="2" t="b">
        <v>1</v>
      </c>
      <c r="AX255"/>
      <c r="BA255" s="2"/>
      <c r="BB255" s="2" t="b">
        <f>LEN(_xlfn.CONCAT(Table1[[#This Row],[TRACK_TYPE_STANDARD_GAUGE_RAILTYPE_OHLE]:[TRACK_TYPE_MTRO]]))&gt;0</f>
        <v>1</v>
      </c>
      <c r="BC255" s="7">
        <v>40</v>
      </c>
      <c r="BD255" t="s">
        <v>927</v>
      </c>
      <c r="BE255" t="s">
        <v>922</v>
      </c>
      <c r="BF255" t="s">
        <v>940</v>
      </c>
      <c r="BG2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5">
        <v>0</v>
      </c>
      <c r="BI255" t="s">
        <v>734</v>
      </c>
      <c r="BK255" s="11"/>
      <c r="BL255" s="11">
        <v>114</v>
      </c>
      <c r="BM255">
        <v>0</v>
      </c>
      <c r="BN255" t="s">
        <v>692</v>
      </c>
      <c r="BO255" t="s">
        <v>694</v>
      </c>
      <c r="BP255" t="s">
        <v>701</v>
      </c>
      <c r="BQ255" t="s">
        <v>705</v>
      </c>
      <c r="BR255" t="s">
        <v>706</v>
      </c>
      <c r="BS255" t="s">
        <v>707</v>
      </c>
    </row>
    <row r="256" spans="1:71" hidden="1" x14ac:dyDescent="0.4">
      <c r="A256" s="2" t="s">
        <v>280</v>
      </c>
      <c r="B256" t="str">
        <f>_xlfn.TEXTAFTER(Table1[[#This Row],[VEHIDCODE]],"_")</f>
        <v>China_China_Railways_DF8</v>
      </c>
      <c r="C256" t="s">
        <v>740</v>
      </c>
      <c r="D256" t="b">
        <f>OR(ISNUMBER(SEARCH("wagon_",Table1[[#This Row],[FILENAMES_EXPECTED]])),ISNUMBER(SEARCH("coach_",Table1[[#This Row],[FILENAMES_EXPECTED]])))</f>
        <v>0</v>
      </c>
      <c r="E256" t="str">
        <f>"item_"&amp;Table1[[#This Row],[VEHIDCODE]]</f>
        <v>item_diesel_China_China_Railways_DF8</v>
      </c>
      <c r="F256" t="str">
        <f>"str_"&amp;Table1[[#This Row],[VEHIDCODE]]</f>
        <v>str_diesel_China_China_Railways_DF8</v>
      </c>
      <c r="G256">
        <v>8</v>
      </c>
      <c r="H256" t="s">
        <v>20</v>
      </c>
      <c r="I256">
        <v>0</v>
      </c>
      <c r="J256" t="s">
        <v>35</v>
      </c>
      <c r="K256">
        <v>0</v>
      </c>
      <c r="L256">
        <v>1984</v>
      </c>
      <c r="M256">
        <v>8</v>
      </c>
      <c r="N256" s="2" t="s">
        <v>20</v>
      </c>
      <c r="O256" t="b">
        <v>1</v>
      </c>
      <c r="Q256" s="2"/>
      <c r="R256">
        <v>45</v>
      </c>
      <c r="S256">
        <v>1</v>
      </c>
      <c r="T256">
        <v>4930</v>
      </c>
      <c r="U256" t="s">
        <v>711</v>
      </c>
      <c r="V256">
        <v>100</v>
      </c>
      <c r="W256" s="2">
        <v>0.35</v>
      </c>
      <c r="AF256" s="2" t="b">
        <v>1</v>
      </c>
      <c r="AX256"/>
      <c r="BA256" s="2"/>
      <c r="BB256" s="2" t="b">
        <f>LEN(_xlfn.CONCAT(Table1[[#This Row],[TRACK_TYPE_STANDARD_GAUGE_RAILTYPE_OHLE]:[TRACK_TYPE_MTRO]]))&gt;0</f>
        <v>1</v>
      </c>
      <c r="BC256" s="7">
        <v>40</v>
      </c>
      <c r="BD256" t="s">
        <v>931</v>
      </c>
      <c r="BE256" t="s">
        <v>922</v>
      </c>
      <c r="BF256" t="s">
        <v>940</v>
      </c>
      <c r="BG2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6">
        <v>0</v>
      </c>
      <c r="BI256" t="s">
        <v>734</v>
      </c>
      <c r="BK256" s="11"/>
      <c r="BL256" s="11">
        <v>138</v>
      </c>
      <c r="BM256">
        <v>0</v>
      </c>
      <c r="BN256" t="s">
        <v>692</v>
      </c>
      <c r="BO256" t="s">
        <v>694</v>
      </c>
      <c r="BP256" t="s">
        <v>701</v>
      </c>
      <c r="BQ256" t="s">
        <v>705</v>
      </c>
      <c r="BR256" t="s">
        <v>706</v>
      </c>
      <c r="BS256" t="s">
        <v>707</v>
      </c>
    </row>
    <row r="257" spans="1:71" hidden="1" x14ac:dyDescent="0.4">
      <c r="A257" s="2" t="s">
        <v>281</v>
      </c>
      <c r="B257" t="str">
        <f>_xlfn.TEXTAFTER(Table1[[#This Row],[VEHIDCODE]],"_")</f>
        <v>Australia_Pacific_National_G_Class</v>
      </c>
      <c r="C257" t="s">
        <v>740</v>
      </c>
      <c r="D257" t="b">
        <f>OR(ISNUMBER(SEARCH("wagon_",Table1[[#This Row],[FILENAMES_EXPECTED]])),ISNUMBER(SEARCH("coach_",Table1[[#This Row],[FILENAMES_EXPECTED]])))</f>
        <v>0</v>
      </c>
      <c r="E257" t="str">
        <f>"item_"&amp;Table1[[#This Row],[VEHIDCODE]]</f>
        <v>item_diesel_Australia_Pacific_National_G_Class</v>
      </c>
      <c r="F257" t="str">
        <f>"str_"&amp;Table1[[#This Row],[VEHIDCODE]]</f>
        <v>str_diesel_Australia_Pacific_National_G_Class</v>
      </c>
      <c r="G257">
        <v>8</v>
      </c>
      <c r="H257" t="s">
        <v>20</v>
      </c>
      <c r="I257">
        <v>0</v>
      </c>
      <c r="J257" t="s">
        <v>35</v>
      </c>
      <c r="K257">
        <v>0</v>
      </c>
      <c r="L257">
        <v>1984</v>
      </c>
      <c r="M257">
        <v>8</v>
      </c>
      <c r="N257" s="2" t="s">
        <v>20</v>
      </c>
      <c r="O257" t="b">
        <v>1</v>
      </c>
      <c r="Q257" s="2"/>
      <c r="R257">
        <v>45</v>
      </c>
      <c r="S257">
        <v>1</v>
      </c>
      <c r="T257">
        <v>3790</v>
      </c>
      <c r="U257" t="s">
        <v>711</v>
      </c>
      <c r="V257">
        <v>114</v>
      </c>
      <c r="W257" s="2">
        <v>0.27</v>
      </c>
      <c r="AF257" s="2" t="b">
        <v>1</v>
      </c>
      <c r="AX257"/>
      <c r="BA257" s="2"/>
      <c r="BB257" s="2" t="b">
        <f>LEN(_xlfn.CONCAT(Table1[[#This Row],[TRACK_TYPE_STANDARD_GAUGE_RAILTYPE_OHLE]:[TRACK_TYPE_MTRO]]))&gt;0</f>
        <v>1</v>
      </c>
      <c r="BC257" s="7">
        <v>40</v>
      </c>
      <c r="BD257" t="s">
        <v>925</v>
      </c>
      <c r="BE257" t="s">
        <v>922</v>
      </c>
      <c r="BF257" t="s">
        <v>940</v>
      </c>
      <c r="BG2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7">
        <v>0</v>
      </c>
      <c r="BI257" t="s">
        <v>734</v>
      </c>
      <c r="BK257" s="11"/>
      <c r="BL257" s="11">
        <v>127</v>
      </c>
      <c r="BM257">
        <v>0</v>
      </c>
      <c r="BN257" t="s">
        <v>692</v>
      </c>
      <c r="BO257" t="s">
        <v>694</v>
      </c>
      <c r="BP257" t="s">
        <v>701</v>
      </c>
      <c r="BQ257" t="s">
        <v>705</v>
      </c>
      <c r="BR257" t="s">
        <v>706</v>
      </c>
      <c r="BS257" t="s">
        <v>707</v>
      </c>
    </row>
    <row r="258" spans="1:71" hidden="1" x14ac:dyDescent="0.4">
      <c r="A258" s="2" t="s">
        <v>282</v>
      </c>
      <c r="B258" t="str">
        <f>_xlfn.TEXTAFTER(Table1[[#This Row],[VEHIDCODE]],"_")</f>
        <v>UK_BR_60</v>
      </c>
      <c r="C258" t="s">
        <v>740</v>
      </c>
      <c r="D258" t="b">
        <f>OR(ISNUMBER(SEARCH("wagon_",Table1[[#This Row],[FILENAMES_EXPECTED]])),ISNUMBER(SEARCH("coach_",Table1[[#This Row],[FILENAMES_EXPECTED]])))</f>
        <v>0</v>
      </c>
      <c r="E258" t="str">
        <f>"item_"&amp;Table1[[#This Row],[VEHIDCODE]]</f>
        <v>item_diesel_UK_BR_60</v>
      </c>
      <c r="F258" t="str">
        <f>"str_"&amp;Table1[[#This Row],[VEHIDCODE]]</f>
        <v>str_diesel_UK_BR_60</v>
      </c>
      <c r="G258">
        <v>8</v>
      </c>
      <c r="H258" t="s">
        <v>20</v>
      </c>
      <c r="I258">
        <v>0</v>
      </c>
      <c r="J258" t="s">
        <v>35</v>
      </c>
      <c r="K258">
        <v>0</v>
      </c>
      <c r="L258">
        <v>1989</v>
      </c>
      <c r="M258">
        <v>8</v>
      </c>
      <c r="N258" s="2" t="s">
        <v>20</v>
      </c>
      <c r="O258" t="b">
        <v>1</v>
      </c>
      <c r="Q258" s="2"/>
      <c r="R258">
        <v>45</v>
      </c>
      <c r="S258">
        <v>0</v>
      </c>
      <c r="T258">
        <v>3100</v>
      </c>
      <c r="U258" t="s">
        <v>711</v>
      </c>
      <c r="V258">
        <v>97</v>
      </c>
      <c r="W258" s="2">
        <v>0.36</v>
      </c>
      <c r="AF258" s="2" t="b">
        <v>1</v>
      </c>
      <c r="AX258"/>
      <c r="BA258" s="2"/>
      <c r="BB258" s="2" t="b">
        <f>LEN(_xlfn.CONCAT(Table1[[#This Row],[TRACK_TYPE_STANDARD_GAUGE_RAILTYPE_OHLE]:[TRACK_TYPE_MTRO]]))&gt;0</f>
        <v>1</v>
      </c>
      <c r="BC258" s="7">
        <v>40</v>
      </c>
      <c r="BD258" t="s">
        <v>927</v>
      </c>
      <c r="BE258" t="s">
        <v>922</v>
      </c>
      <c r="BF258" t="s">
        <v>940</v>
      </c>
      <c r="BG2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8">
        <v>0</v>
      </c>
      <c r="BI258" t="s">
        <v>734</v>
      </c>
      <c r="BK258" s="11"/>
      <c r="BL258" s="11">
        <v>130</v>
      </c>
      <c r="BM258">
        <v>0</v>
      </c>
      <c r="BN258" t="s">
        <v>692</v>
      </c>
      <c r="BO258" t="s">
        <v>694</v>
      </c>
      <c r="BP258" t="s">
        <v>701</v>
      </c>
      <c r="BQ258" t="s">
        <v>705</v>
      </c>
      <c r="BR258" t="s">
        <v>706</v>
      </c>
      <c r="BS258" t="s">
        <v>707</v>
      </c>
    </row>
    <row r="259" spans="1:71" hidden="1" x14ac:dyDescent="0.4">
      <c r="A259" s="2" t="s">
        <v>283</v>
      </c>
      <c r="B259" t="str">
        <f>_xlfn.TEXTAFTER(Table1[[#This Row],[VEHIDCODE]],"_")</f>
        <v>Australia_Westrail_P_Class</v>
      </c>
      <c r="C259" t="s">
        <v>740</v>
      </c>
      <c r="D259" t="b">
        <f>OR(ISNUMBER(SEARCH("wagon_",Table1[[#This Row],[FILENAMES_EXPECTED]])),ISNUMBER(SEARCH("coach_",Table1[[#This Row],[FILENAMES_EXPECTED]])))</f>
        <v>0</v>
      </c>
      <c r="E259" t="str">
        <f>"item_"&amp;Table1[[#This Row],[VEHIDCODE]]</f>
        <v>item_diesel_Australia_Westrail_P_Class</v>
      </c>
      <c r="F259" t="str">
        <f>"str_"&amp;Table1[[#This Row],[VEHIDCODE]]</f>
        <v>str_diesel_Australia_Westrail_P_Class</v>
      </c>
      <c r="G259">
        <v>7</v>
      </c>
      <c r="H259" t="s">
        <v>20</v>
      </c>
      <c r="I259">
        <v>0</v>
      </c>
      <c r="J259" t="s">
        <v>35</v>
      </c>
      <c r="K259">
        <v>0</v>
      </c>
      <c r="L259">
        <v>1989</v>
      </c>
      <c r="M259">
        <v>7</v>
      </c>
      <c r="N259" s="2" t="s">
        <v>20</v>
      </c>
      <c r="O259" t="b">
        <v>1</v>
      </c>
      <c r="Q259" s="2"/>
      <c r="R259">
        <v>45</v>
      </c>
      <c r="S259">
        <v>1</v>
      </c>
      <c r="T259">
        <v>2450</v>
      </c>
      <c r="U259" t="s">
        <v>711</v>
      </c>
      <c r="V259">
        <v>90</v>
      </c>
      <c r="W259" s="2">
        <v>0.38</v>
      </c>
      <c r="AF259" s="2" t="b">
        <v>1</v>
      </c>
      <c r="AX259"/>
      <c r="BA259" s="2"/>
      <c r="BB259" s="2" t="b">
        <f>LEN(_xlfn.CONCAT(Table1[[#This Row],[TRACK_TYPE_STANDARD_GAUGE_RAILTYPE_OHLE]:[TRACK_TYPE_MTRO]]))&gt;0</f>
        <v>1</v>
      </c>
      <c r="BC259" s="7">
        <v>40</v>
      </c>
      <c r="BD259" t="s">
        <v>925</v>
      </c>
      <c r="BE259" t="s">
        <v>922</v>
      </c>
      <c r="BF259" t="s">
        <v>940</v>
      </c>
      <c r="BG2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9">
        <v>0</v>
      </c>
      <c r="BI259" t="s">
        <v>734</v>
      </c>
      <c r="BK259" s="11"/>
      <c r="BL259" s="11">
        <v>99</v>
      </c>
      <c r="BM259">
        <v>0</v>
      </c>
      <c r="BN259" t="s">
        <v>692</v>
      </c>
      <c r="BO259" t="s">
        <v>694</v>
      </c>
      <c r="BP259" t="s">
        <v>701</v>
      </c>
      <c r="BQ259" t="s">
        <v>705</v>
      </c>
      <c r="BR259" t="s">
        <v>706</v>
      </c>
      <c r="BS259" t="s">
        <v>707</v>
      </c>
    </row>
    <row r="260" spans="1:71" hidden="1" x14ac:dyDescent="0.4">
      <c r="A260" s="2" t="s">
        <v>284</v>
      </c>
      <c r="B260" t="str">
        <f>_xlfn.TEXTAFTER(Table1[[#This Row],[VEHIDCODE]],"_")</f>
        <v>Saudi_Arabia_Saudi_Railways_4000_EMD_SD70ACS</v>
      </c>
      <c r="C260" t="s">
        <v>740</v>
      </c>
      <c r="D260" t="b">
        <f>OR(ISNUMBER(SEARCH("wagon_",Table1[[#This Row],[FILENAMES_EXPECTED]])),ISNUMBER(SEARCH("coach_",Table1[[#This Row],[FILENAMES_EXPECTED]])))</f>
        <v>0</v>
      </c>
      <c r="E260" t="str">
        <f>"item_"&amp;Table1[[#This Row],[VEHIDCODE]]</f>
        <v>item_diesel_Saudi_Arabia_Saudi_Railways_4000_EMD_SD70ACS</v>
      </c>
      <c r="F260" t="str">
        <f>"str_"&amp;Table1[[#This Row],[VEHIDCODE]]</f>
        <v>str_diesel_Saudi_Arabia_Saudi_Railways_4000_EMD_SD70ACS</v>
      </c>
      <c r="G260">
        <v>8</v>
      </c>
      <c r="H260" t="s">
        <v>20</v>
      </c>
      <c r="I260">
        <v>0</v>
      </c>
      <c r="J260" t="s">
        <v>35</v>
      </c>
      <c r="K260">
        <v>0</v>
      </c>
      <c r="L260">
        <v>1992</v>
      </c>
      <c r="M260">
        <v>8</v>
      </c>
      <c r="N260" s="2" t="s">
        <v>20</v>
      </c>
      <c r="O260" t="b">
        <v>1</v>
      </c>
      <c r="Q260" s="2"/>
      <c r="R260">
        <v>45</v>
      </c>
      <c r="S260">
        <v>1</v>
      </c>
      <c r="T260">
        <v>4500</v>
      </c>
      <c r="U260" t="s">
        <v>711</v>
      </c>
      <c r="V260">
        <v>110</v>
      </c>
      <c r="W260" s="2">
        <v>0.5</v>
      </c>
      <c r="AF260" s="2" t="b">
        <v>1</v>
      </c>
      <c r="AX260"/>
      <c r="BA260" s="2"/>
      <c r="BB260" s="2" t="b">
        <f>LEN(_xlfn.CONCAT(Table1[[#This Row],[TRACK_TYPE_STANDARD_GAUGE_RAILTYPE_OHLE]:[TRACK_TYPE_MTRO]]))&gt;0</f>
        <v>1</v>
      </c>
      <c r="BC260" s="7">
        <v>40</v>
      </c>
      <c r="BD260" t="s">
        <v>931</v>
      </c>
      <c r="BE260" t="s">
        <v>922</v>
      </c>
      <c r="BF260" t="s">
        <v>940</v>
      </c>
      <c r="BG2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0">
        <v>0</v>
      </c>
      <c r="BI260" t="s">
        <v>734</v>
      </c>
      <c r="BK260" s="11"/>
      <c r="BL260" s="11">
        <v>170</v>
      </c>
      <c r="BM260">
        <v>0</v>
      </c>
      <c r="BN260" t="s">
        <v>692</v>
      </c>
      <c r="BO260" t="s">
        <v>694</v>
      </c>
      <c r="BP260" t="s">
        <v>701</v>
      </c>
      <c r="BQ260" t="s">
        <v>705</v>
      </c>
      <c r="BR260" t="s">
        <v>706</v>
      </c>
      <c r="BS260" t="s">
        <v>707</v>
      </c>
    </row>
    <row r="261" spans="1:71" hidden="1" x14ac:dyDescent="0.4">
      <c r="A261" s="2" t="s">
        <v>285</v>
      </c>
      <c r="B261" t="str">
        <f>_xlfn.TEXTAFTER(Table1[[#This Row],[VEHIDCODE]],"_")</f>
        <v>Ireland_IE_201</v>
      </c>
      <c r="C261" t="s">
        <v>740</v>
      </c>
      <c r="D261" t="b">
        <f>OR(ISNUMBER(SEARCH("wagon_",Table1[[#This Row],[FILENAMES_EXPECTED]])),ISNUMBER(SEARCH("coach_",Table1[[#This Row],[FILENAMES_EXPECTED]])))</f>
        <v>0</v>
      </c>
      <c r="E261" t="str">
        <f>"item_"&amp;Table1[[#This Row],[VEHIDCODE]]</f>
        <v>item_diesel_Ireland_IE_201</v>
      </c>
      <c r="F261" t="str">
        <f>"str_"&amp;Table1[[#This Row],[VEHIDCODE]]</f>
        <v>str_diesel_Ireland_IE_201</v>
      </c>
      <c r="G261">
        <v>8</v>
      </c>
      <c r="H261" t="s">
        <v>20</v>
      </c>
      <c r="I261">
        <v>0</v>
      </c>
      <c r="J261" t="s">
        <v>35</v>
      </c>
      <c r="K261">
        <v>0</v>
      </c>
      <c r="L261">
        <v>1994</v>
      </c>
      <c r="M261">
        <v>8</v>
      </c>
      <c r="N261" s="2" t="s">
        <v>20</v>
      </c>
      <c r="O261" t="b">
        <v>1</v>
      </c>
      <c r="Q261" s="2"/>
      <c r="R261">
        <v>45</v>
      </c>
      <c r="S261">
        <v>1</v>
      </c>
      <c r="T261">
        <v>3200</v>
      </c>
      <c r="U261" t="s">
        <v>711</v>
      </c>
      <c r="V261">
        <v>164</v>
      </c>
      <c r="W261" s="2">
        <v>0.17</v>
      </c>
      <c r="AF261" s="2" t="b">
        <v>1</v>
      </c>
      <c r="AX261"/>
      <c r="BA261" s="2"/>
      <c r="BB261" s="2" t="b">
        <f>LEN(_xlfn.CONCAT(Table1[[#This Row],[TRACK_TYPE_STANDARD_GAUGE_RAILTYPE_OHLE]:[TRACK_TYPE_MTRO]]))&gt;0</f>
        <v>1</v>
      </c>
      <c r="BC261" s="7">
        <v>40</v>
      </c>
      <c r="BD261" t="s">
        <v>927</v>
      </c>
      <c r="BE261" t="s">
        <v>922</v>
      </c>
      <c r="BF261" t="s">
        <v>940</v>
      </c>
      <c r="BG2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1">
        <v>0</v>
      </c>
      <c r="BI261" t="s">
        <v>734</v>
      </c>
      <c r="BK261" s="11"/>
      <c r="BL261" s="11">
        <v>112</v>
      </c>
      <c r="BM261">
        <v>0</v>
      </c>
      <c r="BN261" t="s">
        <v>692</v>
      </c>
      <c r="BO261" t="s">
        <v>694</v>
      </c>
      <c r="BP261" t="s">
        <v>701</v>
      </c>
      <c r="BQ261" t="s">
        <v>705</v>
      </c>
      <c r="BR261" t="s">
        <v>706</v>
      </c>
      <c r="BS261" t="s">
        <v>707</v>
      </c>
    </row>
    <row r="262" spans="1:71" hidden="1" x14ac:dyDescent="0.4">
      <c r="A262" s="2" t="s">
        <v>286</v>
      </c>
      <c r="B262" t="str">
        <f>_xlfn.TEXTAFTER(Table1[[#This Row],[VEHIDCODE]],"_")</f>
        <v>USA_Metrolink_EMD_F59PH</v>
      </c>
      <c r="C262" t="s">
        <v>740</v>
      </c>
      <c r="D262" t="b">
        <f>OR(ISNUMBER(SEARCH("wagon_",Table1[[#This Row],[FILENAMES_EXPECTED]])),ISNUMBER(SEARCH("coach_",Table1[[#This Row],[FILENAMES_EXPECTED]])))</f>
        <v>0</v>
      </c>
      <c r="E262" t="str">
        <f>"item_"&amp;Table1[[#This Row],[VEHIDCODE]]</f>
        <v>item_diesel_USA_Metrolink_EMD_F59PH</v>
      </c>
      <c r="F262" t="str">
        <f>"str_"&amp;Table1[[#This Row],[VEHIDCODE]]</f>
        <v>str_diesel_USA_Metrolink_EMD_F59PH</v>
      </c>
      <c r="G262">
        <v>8</v>
      </c>
      <c r="H262" t="s">
        <v>20</v>
      </c>
      <c r="I262">
        <v>0</v>
      </c>
      <c r="J262" t="s">
        <v>35</v>
      </c>
      <c r="K262">
        <v>0</v>
      </c>
      <c r="L262">
        <v>1988</v>
      </c>
      <c r="M262">
        <v>8</v>
      </c>
      <c r="N262" s="2" t="s">
        <v>20</v>
      </c>
      <c r="O262" t="b">
        <v>1</v>
      </c>
      <c r="Q262" s="2"/>
      <c r="R262">
        <v>45</v>
      </c>
      <c r="S262">
        <v>1</v>
      </c>
      <c r="T262">
        <v>3200</v>
      </c>
      <c r="U262" t="s">
        <v>711</v>
      </c>
      <c r="V262">
        <v>177</v>
      </c>
      <c r="W262" s="2">
        <v>0.22</v>
      </c>
      <c r="AF262" s="2" t="b">
        <v>1</v>
      </c>
      <c r="AX262"/>
      <c r="BA262" s="2"/>
      <c r="BB262" s="2" t="b">
        <f>LEN(_xlfn.CONCAT(Table1[[#This Row],[TRACK_TYPE_STANDARD_GAUGE_RAILTYPE_OHLE]:[TRACK_TYPE_MTRO]]))&gt;0</f>
        <v>1</v>
      </c>
      <c r="BC262" s="7">
        <v>40</v>
      </c>
      <c r="BD262" t="s">
        <v>928</v>
      </c>
      <c r="BE262" t="s">
        <v>922</v>
      </c>
      <c r="BF262" t="s">
        <v>940</v>
      </c>
      <c r="BG2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2">
        <v>0</v>
      </c>
      <c r="BI262" t="s">
        <v>734</v>
      </c>
      <c r="BK262" s="11"/>
      <c r="BL262" s="11">
        <v>130</v>
      </c>
      <c r="BM262">
        <v>0</v>
      </c>
      <c r="BN262" t="s">
        <v>692</v>
      </c>
      <c r="BO262" t="s">
        <v>694</v>
      </c>
      <c r="BP262" t="s">
        <v>701</v>
      </c>
      <c r="BQ262" t="s">
        <v>705</v>
      </c>
      <c r="BR262" t="s">
        <v>706</v>
      </c>
      <c r="BS262" t="s">
        <v>707</v>
      </c>
    </row>
    <row r="263" spans="1:71" hidden="1" x14ac:dyDescent="0.4">
      <c r="A263" s="2" t="s">
        <v>287</v>
      </c>
      <c r="B263" t="str">
        <f>_xlfn.TEXTAFTER(Table1[[#This Row],[VEHIDCODE]],"_")</f>
        <v>France_SNCF_461000</v>
      </c>
      <c r="C263" t="s">
        <v>740</v>
      </c>
      <c r="D263" t="b">
        <f>OR(ISNUMBER(SEARCH("wagon_",Table1[[#This Row],[FILENAMES_EXPECTED]])),ISNUMBER(SEARCH("coach_",Table1[[#This Row],[FILENAMES_EXPECTED]])))</f>
        <v>0</v>
      </c>
      <c r="E263" t="str">
        <f>"item_"&amp;Table1[[#This Row],[VEHIDCODE]]</f>
        <v>item_diesel_France_SNCF_461000</v>
      </c>
      <c r="F263" t="str">
        <f>"str_"&amp;Table1[[#This Row],[VEHIDCODE]]</f>
        <v>str_diesel_France_SNCF_461000</v>
      </c>
      <c r="G263">
        <v>7</v>
      </c>
      <c r="H263" t="s">
        <v>20</v>
      </c>
      <c r="I263">
        <v>0</v>
      </c>
      <c r="J263" t="s">
        <v>35</v>
      </c>
      <c r="K263">
        <v>0</v>
      </c>
      <c r="L263">
        <v>2002</v>
      </c>
      <c r="M263">
        <v>7</v>
      </c>
      <c r="N263" s="2" t="s">
        <v>20</v>
      </c>
      <c r="O263" t="b">
        <v>1</v>
      </c>
      <c r="Q263" s="2"/>
      <c r="R263" t="s">
        <v>21</v>
      </c>
      <c r="S263">
        <v>1</v>
      </c>
      <c r="T263">
        <v>2010</v>
      </c>
      <c r="U263" t="s">
        <v>711</v>
      </c>
      <c r="V263">
        <v>50</v>
      </c>
      <c r="W263" s="2">
        <v>0.33</v>
      </c>
      <c r="AF263" s="2" t="b">
        <v>1</v>
      </c>
      <c r="AX263"/>
      <c r="BA263" s="2"/>
      <c r="BB263" s="2" t="b">
        <f>LEN(_xlfn.CONCAT(Table1[[#This Row],[TRACK_TYPE_STANDARD_GAUGE_RAILTYPE_OHLE]:[TRACK_TYPE_MTRO]]))&gt;0</f>
        <v>1</v>
      </c>
      <c r="BC263" s="7">
        <v>40</v>
      </c>
      <c r="BD263" t="s">
        <v>923</v>
      </c>
      <c r="BE263" t="s">
        <v>922</v>
      </c>
      <c r="BF263" t="s">
        <v>940</v>
      </c>
      <c r="BG2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3">
        <v>0</v>
      </c>
      <c r="BI263" t="s">
        <v>734</v>
      </c>
      <c r="BK263" s="11"/>
      <c r="BL263" s="11">
        <v>86</v>
      </c>
      <c r="BM263">
        <v>0</v>
      </c>
      <c r="BN263" t="s">
        <v>692</v>
      </c>
      <c r="BO263" t="s">
        <v>694</v>
      </c>
      <c r="BP263" t="s">
        <v>701</v>
      </c>
      <c r="BQ263" t="s">
        <v>705</v>
      </c>
      <c r="BR263" t="s">
        <v>706</v>
      </c>
      <c r="BS263" t="s">
        <v>707</v>
      </c>
    </row>
    <row r="264" spans="1:71" hidden="1" x14ac:dyDescent="0.4">
      <c r="A264" s="2" t="s">
        <v>288</v>
      </c>
      <c r="B264" t="str">
        <f>_xlfn.TEXTAFTER(Table1[[#This Row],[VEHIDCODE]],"_")</f>
        <v>Italy_ACT_D_200</v>
      </c>
      <c r="C264" t="s">
        <v>740</v>
      </c>
      <c r="D264" t="b">
        <f>OR(ISNUMBER(SEARCH("wagon_",Table1[[#This Row],[FILENAMES_EXPECTED]])),ISNUMBER(SEARCH("coach_",Table1[[#This Row],[FILENAMES_EXPECTED]])))</f>
        <v>0</v>
      </c>
      <c r="E264" t="str">
        <f>"item_"&amp;Table1[[#This Row],[VEHIDCODE]]</f>
        <v>item_diesel_Italy_ACT_D_200</v>
      </c>
      <c r="F264" t="str">
        <f>"str_"&amp;Table1[[#This Row],[VEHIDCODE]]</f>
        <v>str_diesel_Italy_ACT_D_200</v>
      </c>
      <c r="G264">
        <v>7</v>
      </c>
      <c r="H264" t="s">
        <v>20</v>
      </c>
      <c r="I264">
        <v>0</v>
      </c>
      <c r="J264" t="s">
        <v>35</v>
      </c>
      <c r="K264">
        <v>0</v>
      </c>
      <c r="L264">
        <v>2003</v>
      </c>
      <c r="M264">
        <v>7</v>
      </c>
      <c r="N264" s="2" t="s">
        <v>20</v>
      </c>
      <c r="O264" t="b">
        <v>1</v>
      </c>
      <c r="Q264" s="2"/>
      <c r="R264" t="s">
        <v>21</v>
      </c>
      <c r="S264">
        <v>1</v>
      </c>
      <c r="T264">
        <v>3000</v>
      </c>
      <c r="U264" t="s">
        <v>711</v>
      </c>
      <c r="V264">
        <v>120</v>
      </c>
      <c r="W264" s="2">
        <v>0.32</v>
      </c>
      <c r="AF264" s="2" t="b">
        <v>1</v>
      </c>
      <c r="AX264"/>
      <c r="BA264" s="2"/>
      <c r="BB264" s="2" t="b">
        <f>LEN(_xlfn.CONCAT(Table1[[#This Row],[TRACK_TYPE_STANDARD_GAUGE_RAILTYPE_OHLE]:[TRACK_TYPE_MTRO]]))&gt;0</f>
        <v>1</v>
      </c>
      <c r="BC264" s="7">
        <v>40</v>
      </c>
      <c r="BD264" t="s">
        <v>924</v>
      </c>
      <c r="BE264" t="s">
        <v>922</v>
      </c>
      <c r="BF264" t="s">
        <v>940</v>
      </c>
      <c r="BG2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4">
        <v>0</v>
      </c>
      <c r="BI264" t="s">
        <v>734</v>
      </c>
      <c r="BK264" s="11"/>
      <c r="BL264" s="11">
        <v>89</v>
      </c>
      <c r="BM264">
        <v>0</v>
      </c>
      <c r="BN264" t="s">
        <v>692</v>
      </c>
      <c r="BO264" t="s">
        <v>694</v>
      </c>
      <c r="BP264" t="s">
        <v>701</v>
      </c>
      <c r="BQ264" t="s">
        <v>705</v>
      </c>
      <c r="BR264" t="s">
        <v>706</v>
      </c>
      <c r="BS264" t="s">
        <v>707</v>
      </c>
    </row>
    <row r="265" spans="1:71" hidden="1" x14ac:dyDescent="0.4">
      <c r="A265" s="2" t="s">
        <v>289</v>
      </c>
      <c r="B265" t="str">
        <f>_xlfn.TEXTAFTER(Table1[[#This Row],[VEHIDCODE]],"_")</f>
        <v>Canada_GO_Transit_MP40PH_3C</v>
      </c>
      <c r="C265" t="s">
        <v>740</v>
      </c>
      <c r="D265" t="b">
        <f>OR(ISNUMBER(SEARCH("wagon_",Table1[[#This Row],[FILENAMES_EXPECTED]])),ISNUMBER(SEARCH("coach_",Table1[[#This Row],[FILENAMES_EXPECTED]])))</f>
        <v>0</v>
      </c>
      <c r="E265" t="str">
        <f>"item_"&amp;Table1[[#This Row],[VEHIDCODE]]</f>
        <v>item_diesel_Canada_GO_Transit_MP40PH_3C</v>
      </c>
      <c r="F265" t="str">
        <f>"str_"&amp;Table1[[#This Row],[VEHIDCODE]]</f>
        <v>str_diesel_Canada_GO_Transit_MP40PH_3C</v>
      </c>
      <c r="G265">
        <v>8</v>
      </c>
      <c r="H265" t="s">
        <v>20</v>
      </c>
      <c r="I265">
        <v>0</v>
      </c>
      <c r="J265" t="s">
        <v>35</v>
      </c>
      <c r="K265">
        <v>0</v>
      </c>
      <c r="L265">
        <v>2003</v>
      </c>
      <c r="M265">
        <v>8</v>
      </c>
      <c r="N265" s="2" t="s">
        <v>20</v>
      </c>
      <c r="O265" t="b">
        <v>1</v>
      </c>
      <c r="Q265" s="2"/>
      <c r="R265" t="s">
        <v>21</v>
      </c>
      <c r="S265">
        <v>1</v>
      </c>
      <c r="T265">
        <v>4000</v>
      </c>
      <c r="U265" t="s">
        <v>711</v>
      </c>
      <c r="V265">
        <v>174</v>
      </c>
      <c r="W265" s="2">
        <v>0.3</v>
      </c>
      <c r="AF265" s="2" t="b">
        <v>1</v>
      </c>
      <c r="AX265"/>
      <c r="BA265" s="2"/>
      <c r="BB265" s="2" t="b">
        <f>LEN(_xlfn.CONCAT(Table1[[#This Row],[TRACK_TYPE_STANDARD_GAUGE_RAILTYPE_OHLE]:[TRACK_TYPE_MTRO]]))&gt;0</f>
        <v>1</v>
      </c>
      <c r="BC265" s="7">
        <v>40</v>
      </c>
      <c r="BD265" t="s">
        <v>928</v>
      </c>
      <c r="BE265" t="s">
        <v>922</v>
      </c>
      <c r="BF265" t="s">
        <v>940</v>
      </c>
      <c r="BG2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5">
        <v>0</v>
      </c>
      <c r="BI265" t="s">
        <v>734</v>
      </c>
      <c r="BK265" s="11"/>
      <c r="BL265" s="11">
        <v>130</v>
      </c>
      <c r="BM265">
        <v>0</v>
      </c>
      <c r="BN265" t="s">
        <v>692</v>
      </c>
      <c r="BO265" t="s">
        <v>694</v>
      </c>
      <c r="BP265" t="s">
        <v>701</v>
      </c>
      <c r="BQ265" t="s">
        <v>705</v>
      </c>
      <c r="BR265" t="s">
        <v>706</v>
      </c>
      <c r="BS265" t="s">
        <v>707</v>
      </c>
    </row>
    <row r="266" spans="1:71" hidden="1" x14ac:dyDescent="0.4">
      <c r="A266" s="2" t="s">
        <v>290</v>
      </c>
      <c r="B266" t="str">
        <f>_xlfn.TEXTAFTER(Table1[[#This Row],[VEHIDCODE]],"_")</f>
        <v>Spain_RENFE_Class_334</v>
      </c>
      <c r="C266" t="s">
        <v>740</v>
      </c>
      <c r="D266" t="b">
        <f>OR(ISNUMBER(SEARCH("wagon_",Table1[[#This Row],[FILENAMES_EXPECTED]])),ISNUMBER(SEARCH("coach_",Table1[[#This Row],[FILENAMES_EXPECTED]])))</f>
        <v>0</v>
      </c>
      <c r="E266" t="str">
        <f>"item_"&amp;Table1[[#This Row],[VEHIDCODE]]</f>
        <v>item_diesel_Spain_RENFE_Class_334</v>
      </c>
      <c r="F266" t="str">
        <f>"str_"&amp;Table1[[#This Row],[VEHIDCODE]]</f>
        <v>str_diesel_Spain_RENFE_Class_334</v>
      </c>
      <c r="G266">
        <v>8</v>
      </c>
      <c r="H266" t="s">
        <v>20</v>
      </c>
      <c r="I266">
        <v>0</v>
      </c>
      <c r="J266" t="s">
        <v>35</v>
      </c>
      <c r="K266">
        <v>0</v>
      </c>
      <c r="L266">
        <v>2006</v>
      </c>
      <c r="M266">
        <v>8</v>
      </c>
      <c r="N266" s="2" t="s">
        <v>20</v>
      </c>
      <c r="O266" t="b">
        <v>1</v>
      </c>
      <c r="Q266" s="2"/>
      <c r="R266" t="s">
        <v>21</v>
      </c>
      <c r="S266">
        <v>1</v>
      </c>
      <c r="T266">
        <v>3300</v>
      </c>
      <c r="U266" t="s">
        <v>711</v>
      </c>
      <c r="V266">
        <v>200</v>
      </c>
      <c r="W266" s="2">
        <v>0.2</v>
      </c>
      <c r="AF266" s="2" t="b">
        <v>1</v>
      </c>
      <c r="AX266"/>
      <c r="BA266" s="2"/>
      <c r="BB266" s="2" t="b">
        <f>LEN(_xlfn.CONCAT(Table1[[#This Row],[TRACK_TYPE_STANDARD_GAUGE_RAILTYPE_OHLE]:[TRACK_TYPE_MTRO]]))&gt;0</f>
        <v>1</v>
      </c>
      <c r="BC266" s="7">
        <v>40</v>
      </c>
      <c r="BD266" t="s">
        <v>924</v>
      </c>
      <c r="BE266" t="s">
        <v>922</v>
      </c>
      <c r="BF266" t="s">
        <v>940</v>
      </c>
      <c r="BG2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6">
        <v>0</v>
      </c>
      <c r="BI266" t="s">
        <v>734</v>
      </c>
      <c r="BK266" s="11"/>
      <c r="BL266" s="11">
        <v>90</v>
      </c>
      <c r="BM266">
        <v>0</v>
      </c>
      <c r="BN266" t="s">
        <v>692</v>
      </c>
      <c r="BO266" t="s">
        <v>694</v>
      </c>
      <c r="BP266" t="s">
        <v>701</v>
      </c>
      <c r="BQ266" t="s">
        <v>705</v>
      </c>
      <c r="BR266" t="s">
        <v>706</v>
      </c>
      <c r="BS266" t="s">
        <v>707</v>
      </c>
    </row>
    <row r="267" spans="1:71" hidden="1" x14ac:dyDescent="0.4">
      <c r="A267" s="2" t="s">
        <v>291</v>
      </c>
      <c r="B267" t="str">
        <f>_xlfn.TEXTAFTER(Table1[[#This Row],[VEHIDCODE]],"_")</f>
        <v>Indonesia_Indonesia_Railways_CC300</v>
      </c>
      <c r="C267" t="s">
        <v>740</v>
      </c>
      <c r="D267" t="b">
        <f>OR(ISNUMBER(SEARCH("wagon_",Table1[[#This Row],[FILENAMES_EXPECTED]])),ISNUMBER(SEARCH("coach_",Table1[[#This Row],[FILENAMES_EXPECTED]])))</f>
        <v>0</v>
      </c>
      <c r="E267" t="str">
        <f>"item_"&amp;Table1[[#This Row],[VEHIDCODE]]</f>
        <v>item_diesel_Indonesia_Indonesia_Railways_CC300</v>
      </c>
      <c r="F267" t="str">
        <f>"str_"&amp;Table1[[#This Row],[VEHIDCODE]]</f>
        <v>str_diesel_Indonesia_Indonesia_Railways_CC300</v>
      </c>
      <c r="G267">
        <v>8</v>
      </c>
      <c r="H267" t="s">
        <v>20</v>
      </c>
      <c r="I267">
        <v>0</v>
      </c>
      <c r="J267" t="s">
        <v>35</v>
      </c>
      <c r="K267">
        <v>0</v>
      </c>
      <c r="L267">
        <v>2011</v>
      </c>
      <c r="M267">
        <v>8</v>
      </c>
      <c r="N267" s="2" t="s">
        <v>20</v>
      </c>
      <c r="O267" t="b">
        <v>1</v>
      </c>
      <c r="Q267" s="2"/>
      <c r="R267" t="s">
        <v>21</v>
      </c>
      <c r="S267">
        <v>1</v>
      </c>
      <c r="T267">
        <v>2500</v>
      </c>
      <c r="U267" t="s">
        <v>711</v>
      </c>
      <c r="V267">
        <v>120</v>
      </c>
      <c r="W267" s="2">
        <v>0.3</v>
      </c>
      <c r="AF267" s="2" t="b">
        <v>1</v>
      </c>
      <c r="AX267"/>
      <c r="BA267" s="2"/>
      <c r="BB267" s="2" t="b">
        <f>LEN(_xlfn.CONCAT(Table1[[#This Row],[TRACK_TYPE_STANDARD_GAUGE_RAILTYPE_OHLE]:[TRACK_TYPE_MTRO]]))&gt;0</f>
        <v>1</v>
      </c>
      <c r="BC267" s="7">
        <v>40</v>
      </c>
      <c r="BD267" t="s">
        <v>925</v>
      </c>
      <c r="BE267" t="s">
        <v>922</v>
      </c>
      <c r="BF267" t="s">
        <v>940</v>
      </c>
      <c r="BG2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7">
        <v>0</v>
      </c>
      <c r="BI267" t="s">
        <v>734</v>
      </c>
      <c r="BK267" s="11"/>
      <c r="BL267" s="11">
        <v>90</v>
      </c>
      <c r="BM267">
        <v>0</v>
      </c>
      <c r="BN267" t="s">
        <v>692</v>
      </c>
      <c r="BO267" t="s">
        <v>694</v>
      </c>
      <c r="BP267" t="s">
        <v>701</v>
      </c>
      <c r="BQ267" t="s">
        <v>705</v>
      </c>
      <c r="BR267" t="s">
        <v>706</v>
      </c>
      <c r="BS267" t="s">
        <v>707</v>
      </c>
    </row>
    <row r="268" spans="1:71" hidden="1" x14ac:dyDescent="0.4">
      <c r="A268" s="2" t="s">
        <v>292</v>
      </c>
      <c r="B268" t="str">
        <f>_xlfn.TEXTAFTER(Table1[[#This Row],[VEHIDCODE]],"_")</f>
        <v>Argentina_Great_Southern_Railway_DH501</v>
      </c>
      <c r="C268" t="s">
        <v>740</v>
      </c>
      <c r="D268" t="b">
        <f>OR(ISNUMBER(SEARCH("wagon_",Table1[[#This Row],[FILENAMES_EXPECTED]])),ISNUMBER(SEARCH("coach_",Table1[[#This Row],[FILENAMES_EXPECTED]])))</f>
        <v>0</v>
      </c>
      <c r="E268" t="str">
        <f>"item_"&amp;Table1[[#This Row],[VEHIDCODE]]</f>
        <v>item_diesel_Argentina_Great_Southern_Railway_DH501</v>
      </c>
      <c r="F268" t="str">
        <f>"str_"&amp;Table1[[#This Row],[VEHIDCODE]]</f>
        <v>str_diesel_Argentina_Great_Southern_Railway_DH501</v>
      </c>
      <c r="G268">
        <v>6</v>
      </c>
      <c r="H268" t="s">
        <v>20</v>
      </c>
      <c r="I268">
        <v>0</v>
      </c>
      <c r="J268" t="s">
        <v>35</v>
      </c>
      <c r="K268">
        <v>0</v>
      </c>
      <c r="L268">
        <v>1930</v>
      </c>
      <c r="M268">
        <v>6</v>
      </c>
      <c r="N268" s="2" t="s">
        <v>20</v>
      </c>
      <c r="O268" t="b">
        <v>1</v>
      </c>
      <c r="Q268" s="2"/>
      <c r="R268">
        <v>45</v>
      </c>
      <c r="S268">
        <v>1</v>
      </c>
      <c r="T268">
        <v>592</v>
      </c>
      <c r="U268" t="s">
        <v>711</v>
      </c>
      <c r="V268">
        <v>45</v>
      </c>
      <c r="W268" s="2">
        <v>0.15</v>
      </c>
      <c r="AF268" s="2" t="b">
        <v>1</v>
      </c>
      <c r="AX268"/>
      <c r="BA268" s="2"/>
      <c r="BB268" s="2" t="b">
        <f>LEN(_xlfn.CONCAT(Table1[[#This Row],[TRACK_TYPE_STANDARD_GAUGE_RAILTYPE_OHLE]:[TRACK_TYPE_MTRO]]))&gt;0</f>
        <v>1</v>
      </c>
      <c r="BC268" s="7">
        <v>40</v>
      </c>
      <c r="BD268" t="s">
        <v>930</v>
      </c>
      <c r="BE268" t="s">
        <v>922</v>
      </c>
      <c r="BF268" t="s">
        <v>940</v>
      </c>
      <c r="BG2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8">
        <v>0</v>
      </c>
      <c r="BI268" t="s">
        <v>734</v>
      </c>
      <c r="BK268" s="11"/>
      <c r="BL268" s="11">
        <v>72</v>
      </c>
      <c r="BM268">
        <v>0</v>
      </c>
      <c r="BN268" t="s">
        <v>692</v>
      </c>
      <c r="BO268" t="s">
        <v>694</v>
      </c>
      <c r="BP268" t="s">
        <v>701</v>
      </c>
      <c r="BQ268" t="s">
        <v>705</v>
      </c>
      <c r="BR268" t="s">
        <v>706</v>
      </c>
      <c r="BS268" t="s">
        <v>707</v>
      </c>
    </row>
    <row r="269" spans="1:71" hidden="1" x14ac:dyDescent="0.4">
      <c r="A269" s="2" t="s">
        <v>293</v>
      </c>
      <c r="B269" t="str">
        <f>_xlfn.TEXTAFTER(Table1[[#This Row],[VEHIDCODE]],"_")</f>
        <v>Brazil_EE_VFFLB</v>
      </c>
      <c r="C269" t="s">
        <v>740</v>
      </c>
      <c r="D269" t="b">
        <f>OR(ISNUMBER(SEARCH("wagon_",Table1[[#This Row],[FILENAMES_EXPECTED]])),ISNUMBER(SEARCH("coach_",Table1[[#This Row],[FILENAMES_EXPECTED]])))</f>
        <v>0</v>
      </c>
      <c r="E269" t="str">
        <f>"item_"&amp;Table1[[#This Row],[VEHIDCODE]]</f>
        <v>item_diesel_Brazil_EE_VFFLB</v>
      </c>
      <c r="F269" t="str">
        <f>"str_"&amp;Table1[[#This Row],[VEHIDCODE]]</f>
        <v>str_diesel_Brazil_EE_VFFLB</v>
      </c>
      <c r="G269">
        <v>4</v>
      </c>
      <c r="H269" t="s">
        <v>20</v>
      </c>
      <c r="I269">
        <v>0</v>
      </c>
      <c r="J269" t="s">
        <v>35</v>
      </c>
      <c r="K269">
        <v>0</v>
      </c>
      <c r="L269">
        <v>1938</v>
      </c>
      <c r="M269">
        <v>4</v>
      </c>
      <c r="N269" s="2" t="s">
        <v>20</v>
      </c>
      <c r="O269" t="b">
        <v>1</v>
      </c>
      <c r="Q269" s="2"/>
      <c r="R269">
        <v>45</v>
      </c>
      <c r="S269">
        <v>1</v>
      </c>
      <c r="T269">
        <v>450</v>
      </c>
      <c r="U269" t="s">
        <v>711</v>
      </c>
      <c r="V269">
        <v>76</v>
      </c>
      <c r="W269" s="2">
        <v>0.22</v>
      </c>
      <c r="AF269" s="2" t="b">
        <v>1</v>
      </c>
      <c r="AX269"/>
      <c r="BA269" s="2"/>
      <c r="BB269" s="2" t="b">
        <f>LEN(_xlfn.CONCAT(Table1[[#This Row],[TRACK_TYPE_STANDARD_GAUGE_RAILTYPE_OHLE]:[TRACK_TYPE_MTRO]]))&gt;0</f>
        <v>1</v>
      </c>
      <c r="BC269" s="7">
        <v>40</v>
      </c>
      <c r="BD269" t="s">
        <v>930</v>
      </c>
      <c r="BE269" t="s">
        <v>922</v>
      </c>
      <c r="BF269" t="s">
        <v>940</v>
      </c>
      <c r="BG2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9">
        <v>0</v>
      </c>
      <c r="BI269" t="s">
        <v>734</v>
      </c>
      <c r="BK269" s="11"/>
      <c r="BL269" s="11">
        <v>39</v>
      </c>
      <c r="BM269">
        <v>0</v>
      </c>
      <c r="BN269" t="s">
        <v>692</v>
      </c>
      <c r="BO269" t="s">
        <v>694</v>
      </c>
      <c r="BP269" t="s">
        <v>701</v>
      </c>
      <c r="BQ269" t="s">
        <v>705</v>
      </c>
      <c r="BR269" t="s">
        <v>706</v>
      </c>
      <c r="BS269" t="s">
        <v>707</v>
      </c>
    </row>
    <row r="270" spans="1:71" hidden="1" x14ac:dyDescent="0.4">
      <c r="A270" s="2" t="s">
        <v>294</v>
      </c>
      <c r="B270" t="str">
        <f>_xlfn.TEXTAFTER(Table1[[#This Row],[VEHIDCODE]],"_")</f>
        <v>Chile_EFE_GE_U5B</v>
      </c>
      <c r="C270" t="s">
        <v>740</v>
      </c>
      <c r="D270" t="b">
        <f>OR(ISNUMBER(SEARCH("wagon_",Table1[[#This Row],[FILENAMES_EXPECTED]])),ISNUMBER(SEARCH("coach_",Table1[[#This Row],[FILENAMES_EXPECTED]])))</f>
        <v>0</v>
      </c>
      <c r="E270" t="str">
        <f>"item_"&amp;Table1[[#This Row],[VEHIDCODE]]</f>
        <v>item_diesel_Chile_EFE_GE_U5B</v>
      </c>
      <c r="F270" t="str">
        <f>"str_"&amp;Table1[[#This Row],[VEHIDCODE]]</f>
        <v>str_diesel_Chile_EFE_GE_U5B</v>
      </c>
      <c r="G270">
        <v>5</v>
      </c>
      <c r="H270" t="s">
        <v>20</v>
      </c>
      <c r="I270">
        <v>0</v>
      </c>
      <c r="J270" t="s">
        <v>35</v>
      </c>
      <c r="K270">
        <v>0</v>
      </c>
      <c r="L270">
        <v>1961</v>
      </c>
      <c r="M270">
        <v>5</v>
      </c>
      <c r="N270" s="2" t="s">
        <v>20</v>
      </c>
      <c r="O270" t="b">
        <v>1</v>
      </c>
      <c r="Q270" s="2"/>
      <c r="R270">
        <v>45</v>
      </c>
      <c r="S270">
        <v>1</v>
      </c>
      <c r="T270">
        <v>600</v>
      </c>
      <c r="U270" t="s">
        <v>711</v>
      </c>
      <c r="V270">
        <v>64</v>
      </c>
      <c r="W270" s="2">
        <v>0.18</v>
      </c>
      <c r="AF270" s="2" t="b">
        <v>1</v>
      </c>
      <c r="AX270"/>
      <c r="BA270" s="2"/>
      <c r="BB270" s="2" t="b">
        <f>LEN(_xlfn.CONCAT(Table1[[#This Row],[TRACK_TYPE_STANDARD_GAUGE_RAILTYPE_OHLE]:[TRACK_TYPE_MTRO]]))&gt;0</f>
        <v>1</v>
      </c>
      <c r="BC270" s="7">
        <v>40</v>
      </c>
      <c r="BD270" t="s">
        <v>930</v>
      </c>
      <c r="BE270" t="s">
        <v>922</v>
      </c>
      <c r="BF270" t="s">
        <v>940</v>
      </c>
      <c r="BG2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0">
        <v>0</v>
      </c>
      <c r="BI270" t="s">
        <v>734</v>
      </c>
      <c r="BK270" s="11"/>
      <c r="BL270" s="11">
        <v>50</v>
      </c>
      <c r="BM270">
        <v>0</v>
      </c>
      <c r="BN270" t="s">
        <v>692</v>
      </c>
      <c r="BO270" t="s">
        <v>694</v>
      </c>
      <c r="BP270" t="s">
        <v>701</v>
      </c>
      <c r="BQ270" t="s">
        <v>705</v>
      </c>
      <c r="BR270" t="s">
        <v>706</v>
      </c>
      <c r="BS270" t="s">
        <v>707</v>
      </c>
    </row>
    <row r="271" spans="1:71" hidden="1" x14ac:dyDescent="0.4">
      <c r="A271" s="2" t="s">
        <v>295</v>
      </c>
      <c r="B271" t="str">
        <f>_xlfn.TEXTAFTER(Table1[[#This Row],[VEHIDCODE]],"_")</f>
        <v>Peru_Ferrocarril_Central_Andino_Alco_RSD_39</v>
      </c>
      <c r="C271" t="s">
        <v>740</v>
      </c>
      <c r="D271" t="b">
        <f>OR(ISNUMBER(SEARCH("wagon_",Table1[[#This Row],[FILENAMES_EXPECTED]])),ISNUMBER(SEARCH("coach_",Table1[[#This Row],[FILENAMES_EXPECTED]])))</f>
        <v>0</v>
      </c>
      <c r="E271" t="str">
        <f>"item_"&amp;Table1[[#This Row],[VEHIDCODE]]</f>
        <v>item_diesel_Peru_Ferrocarril_Central_Andino_Alco_RSD_39</v>
      </c>
      <c r="F271" t="str">
        <f>"str_"&amp;Table1[[#This Row],[VEHIDCODE]]</f>
        <v>str_diesel_Peru_Ferrocarril_Central_Andino_Alco_RSD_39</v>
      </c>
      <c r="G271">
        <v>6</v>
      </c>
      <c r="H271" t="s">
        <v>20</v>
      </c>
      <c r="I271">
        <v>0</v>
      </c>
      <c r="J271" t="s">
        <v>35</v>
      </c>
      <c r="K271">
        <v>0</v>
      </c>
      <c r="L271">
        <v>1965</v>
      </c>
      <c r="M271">
        <v>6</v>
      </c>
      <c r="N271" s="2" t="s">
        <v>20</v>
      </c>
      <c r="O271" t="b">
        <v>1</v>
      </c>
      <c r="Q271" s="2"/>
      <c r="R271">
        <v>45</v>
      </c>
      <c r="S271">
        <v>1</v>
      </c>
      <c r="T271">
        <v>1350</v>
      </c>
      <c r="U271" t="s">
        <v>711</v>
      </c>
      <c r="V271">
        <v>120</v>
      </c>
      <c r="W271" s="2">
        <v>0.17</v>
      </c>
      <c r="AF271" s="2" t="b">
        <v>1</v>
      </c>
      <c r="AX271"/>
      <c r="BA271" s="2"/>
      <c r="BB271" s="2" t="b">
        <f>LEN(_xlfn.CONCAT(Table1[[#This Row],[TRACK_TYPE_STANDARD_GAUGE_RAILTYPE_OHLE]:[TRACK_TYPE_MTRO]]))&gt;0</f>
        <v>1</v>
      </c>
      <c r="BC271" s="7">
        <v>40</v>
      </c>
      <c r="BD271" t="s">
        <v>930</v>
      </c>
      <c r="BE271" t="s">
        <v>922</v>
      </c>
      <c r="BF271" t="s">
        <v>940</v>
      </c>
      <c r="BG2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1">
        <v>0</v>
      </c>
      <c r="BI271" t="s">
        <v>734</v>
      </c>
      <c r="BK271" s="11"/>
      <c r="BL271" s="11">
        <v>111</v>
      </c>
      <c r="BM271">
        <v>0</v>
      </c>
      <c r="BN271" t="s">
        <v>692</v>
      </c>
      <c r="BO271" t="s">
        <v>694</v>
      </c>
      <c r="BP271" t="s">
        <v>701</v>
      </c>
      <c r="BQ271" t="s">
        <v>705</v>
      </c>
      <c r="BR271" t="s">
        <v>706</v>
      </c>
      <c r="BS271" t="s">
        <v>707</v>
      </c>
    </row>
    <row r="272" spans="1:71" hidden="1" x14ac:dyDescent="0.4">
      <c r="A272" s="2" t="s">
        <v>296</v>
      </c>
      <c r="B272" t="str">
        <f>_xlfn.TEXTAFTER(Table1[[#This Row],[VEHIDCODE]],"_")</f>
        <v>Brazil_EFVM_EMD_DDM45</v>
      </c>
      <c r="C272" t="s">
        <v>740</v>
      </c>
      <c r="D272" t="b">
        <f>OR(ISNUMBER(SEARCH("wagon_",Table1[[#This Row],[FILENAMES_EXPECTED]])),ISNUMBER(SEARCH("coach_",Table1[[#This Row],[FILENAMES_EXPECTED]])))</f>
        <v>0</v>
      </c>
      <c r="E272" t="str">
        <f>"item_"&amp;Table1[[#This Row],[VEHIDCODE]]</f>
        <v>item_diesel_Brazil_EFVM_EMD_DDM45</v>
      </c>
      <c r="F272" t="str">
        <f>"str_"&amp;Table1[[#This Row],[VEHIDCODE]]</f>
        <v>str_diesel_Brazil_EFVM_EMD_DDM45</v>
      </c>
      <c r="G272">
        <v>8</v>
      </c>
      <c r="H272" t="s">
        <v>20</v>
      </c>
      <c r="I272">
        <v>0</v>
      </c>
      <c r="J272" t="s">
        <v>35</v>
      </c>
      <c r="K272">
        <v>0</v>
      </c>
      <c r="L272">
        <v>1970</v>
      </c>
      <c r="M272">
        <v>8</v>
      </c>
      <c r="N272" s="2" t="s">
        <v>20</v>
      </c>
      <c r="O272" t="b">
        <v>1</v>
      </c>
      <c r="Q272" s="2"/>
      <c r="R272">
        <v>45</v>
      </c>
      <c r="S272">
        <v>1</v>
      </c>
      <c r="T272">
        <v>3600</v>
      </c>
      <c r="U272" t="s">
        <v>711</v>
      </c>
      <c r="V272">
        <v>85</v>
      </c>
      <c r="W272" s="2">
        <v>0.24</v>
      </c>
      <c r="AF272" s="2" t="b">
        <v>1</v>
      </c>
      <c r="AX272"/>
      <c r="BA272" s="2"/>
      <c r="BB272" s="2" t="b">
        <f>LEN(_xlfn.CONCAT(Table1[[#This Row],[TRACK_TYPE_STANDARD_GAUGE_RAILTYPE_OHLE]:[TRACK_TYPE_MTRO]]))&gt;0</f>
        <v>1</v>
      </c>
      <c r="BC272" s="7">
        <v>40</v>
      </c>
      <c r="BD272" t="s">
        <v>930</v>
      </c>
      <c r="BE272" t="s">
        <v>922</v>
      </c>
      <c r="BF272" t="s">
        <v>940</v>
      </c>
      <c r="BG2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2">
        <v>0</v>
      </c>
      <c r="BI272" t="s">
        <v>734</v>
      </c>
      <c r="BK272" s="11"/>
      <c r="BL272" s="11">
        <v>162</v>
      </c>
      <c r="BM272">
        <v>0</v>
      </c>
      <c r="BN272" t="s">
        <v>692</v>
      </c>
      <c r="BO272" t="s">
        <v>694</v>
      </c>
      <c r="BP272" t="s">
        <v>701</v>
      </c>
      <c r="BQ272" t="s">
        <v>705</v>
      </c>
      <c r="BR272" t="s">
        <v>706</v>
      </c>
      <c r="BS272" t="s">
        <v>707</v>
      </c>
    </row>
    <row r="273" spans="1:71" hidden="1" x14ac:dyDescent="0.4">
      <c r="A273" s="2" t="s">
        <v>297</v>
      </c>
      <c r="B273" t="str">
        <f>_xlfn.TEXTAFTER(Table1[[#This Row],[VEHIDCODE]],"_")</f>
        <v>Peru_Ferrocarril_Central_Andino_GE_C39_8</v>
      </c>
      <c r="C273" t="s">
        <v>740</v>
      </c>
      <c r="D273" t="b">
        <f>OR(ISNUMBER(SEARCH("wagon_",Table1[[#This Row],[FILENAMES_EXPECTED]])),ISNUMBER(SEARCH("coach_",Table1[[#This Row],[FILENAMES_EXPECTED]])))</f>
        <v>0</v>
      </c>
      <c r="E273" t="str">
        <f>"item_"&amp;Table1[[#This Row],[VEHIDCODE]]</f>
        <v>item_diesel_Peru_Ferrocarril_Central_Andino_GE_C39_8</v>
      </c>
      <c r="F273" t="str">
        <f>"str_"&amp;Table1[[#This Row],[VEHIDCODE]]</f>
        <v>str_diesel_Peru_Ferrocarril_Central_Andino_GE_C39_8</v>
      </c>
      <c r="G273">
        <v>8</v>
      </c>
      <c r="H273" t="s">
        <v>20</v>
      </c>
      <c r="I273">
        <v>0</v>
      </c>
      <c r="J273" t="s">
        <v>35</v>
      </c>
      <c r="K273">
        <v>0</v>
      </c>
      <c r="L273">
        <v>1984</v>
      </c>
      <c r="M273">
        <v>8</v>
      </c>
      <c r="N273" s="2" t="s">
        <v>20</v>
      </c>
      <c r="O273" t="b">
        <v>1</v>
      </c>
      <c r="Q273" s="2"/>
      <c r="R273">
        <v>45</v>
      </c>
      <c r="S273">
        <v>1</v>
      </c>
      <c r="T273">
        <v>3900</v>
      </c>
      <c r="U273" t="s">
        <v>711</v>
      </c>
      <c r="V273">
        <v>110</v>
      </c>
      <c r="W273" s="2">
        <v>0.28999999999999998</v>
      </c>
      <c r="AF273" s="2" t="b">
        <v>1</v>
      </c>
      <c r="AX273"/>
      <c r="BA273" s="2"/>
      <c r="BB273" s="2" t="b">
        <f>LEN(_xlfn.CONCAT(Table1[[#This Row],[TRACK_TYPE_STANDARD_GAUGE_RAILTYPE_OHLE]:[TRACK_TYPE_MTRO]]))&gt;0</f>
        <v>1</v>
      </c>
      <c r="BC273" s="7">
        <v>40</v>
      </c>
      <c r="BD273" t="s">
        <v>930</v>
      </c>
      <c r="BE273" t="s">
        <v>922</v>
      </c>
      <c r="BF273" t="s">
        <v>940</v>
      </c>
      <c r="BG2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3">
        <v>0</v>
      </c>
      <c r="BI273" t="s">
        <v>734</v>
      </c>
      <c r="BK273" s="11"/>
      <c r="BL273" s="11">
        <v>166</v>
      </c>
      <c r="BM273">
        <v>0</v>
      </c>
      <c r="BN273" t="s">
        <v>692</v>
      </c>
      <c r="BO273" t="s">
        <v>694</v>
      </c>
      <c r="BP273" t="s">
        <v>701</v>
      </c>
      <c r="BQ273" t="s">
        <v>705</v>
      </c>
      <c r="BR273" t="s">
        <v>706</v>
      </c>
      <c r="BS273" t="s">
        <v>707</v>
      </c>
    </row>
    <row r="274" spans="1:71" hidden="1" x14ac:dyDescent="0.4">
      <c r="A274" s="2" t="s">
        <v>298</v>
      </c>
      <c r="B274" t="str">
        <f>_xlfn.TEXTAFTER(Table1[[#This Row],[VEHIDCODE]],"_")</f>
        <v>Argentina_SOFSE_3193</v>
      </c>
      <c r="C274" t="s">
        <v>740</v>
      </c>
      <c r="D274" t="b">
        <f>OR(ISNUMBER(SEARCH("wagon_",Table1[[#This Row],[FILENAMES_EXPECTED]])),ISNUMBER(SEARCH("coach_",Table1[[#This Row],[FILENAMES_EXPECTED]])))</f>
        <v>0</v>
      </c>
      <c r="E274" t="str">
        <f>"item_"&amp;Table1[[#This Row],[VEHIDCODE]]</f>
        <v>item_diesel_Argentina_SOFSE_3193</v>
      </c>
      <c r="F274" t="str">
        <f>"str_"&amp;Table1[[#This Row],[VEHIDCODE]]</f>
        <v>str_diesel_Argentina_SOFSE_3193</v>
      </c>
      <c r="G274">
        <v>7</v>
      </c>
      <c r="H274" t="s">
        <v>20</v>
      </c>
      <c r="I274">
        <v>0</v>
      </c>
      <c r="J274" t="s">
        <v>35</v>
      </c>
      <c r="K274">
        <v>0</v>
      </c>
      <c r="L274">
        <v>1991</v>
      </c>
      <c r="M274">
        <v>7</v>
      </c>
      <c r="N274" s="2" t="s">
        <v>20</v>
      </c>
      <c r="O274" t="b">
        <v>1</v>
      </c>
      <c r="Q274" s="2"/>
      <c r="R274">
        <v>45</v>
      </c>
      <c r="S274">
        <v>1</v>
      </c>
      <c r="T274">
        <v>1876</v>
      </c>
      <c r="U274" t="s">
        <v>711</v>
      </c>
      <c r="V274">
        <v>140</v>
      </c>
      <c r="W274" s="2">
        <v>0.18</v>
      </c>
      <c r="AF274" s="2" t="b">
        <v>1</v>
      </c>
      <c r="AX274"/>
      <c r="BA274" s="2"/>
      <c r="BB274" s="2" t="b">
        <f>LEN(_xlfn.CONCAT(Table1[[#This Row],[TRACK_TYPE_STANDARD_GAUGE_RAILTYPE_OHLE]:[TRACK_TYPE_MTRO]]))&gt;0</f>
        <v>1</v>
      </c>
      <c r="BC274" s="7">
        <v>40</v>
      </c>
      <c r="BD274" t="s">
        <v>930</v>
      </c>
      <c r="BE274" t="s">
        <v>922</v>
      </c>
      <c r="BF274" t="s">
        <v>940</v>
      </c>
      <c r="BG2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4">
        <v>0</v>
      </c>
      <c r="BI274" t="s">
        <v>734</v>
      </c>
      <c r="BK274" s="11"/>
      <c r="BL274" s="11">
        <v>117</v>
      </c>
      <c r="BM274">
        <v>0</v>
      </c>
      <c r="BN274" t="s">
        <v>692</v>
      </c>
      <c r="BO274" t="s">
        <v>694</v>
      </c>
      <c r="BP274" t="s">
        <v>701</v>
      </c>
      <c r="BQ274" t="s">
        <v>705</v>
      </c>
      <c r="BR274" t="s">
        <v>706</v>
      </c>
      <c r="BS274" t="s">
        <v>707</v>
      </c>
    </row>
    <row r="275" spans="1:71" hidden="1" x14ac:dyDescent="0.4">
      <c r="A275" s="2" t="s">
        <v>299</v>
      </c>
      <c r="B275" t="str">
        <f>_xlfn.TEXTAFTER(Table1[[#This Row],[VEHIDCODE]],"_")</f>
        <v>Argentina_SOFSE_CNR_CKD8</v>
      </c>
      <c r="C275" t="s">
        <v>740</v>
      </c>
      <c r="D275" t="b">
        <f>OR(ISNUMBER(SEARCH("wagon_",Table1[[#This Row],[FILENAMES_EXPECTED]])),ISNUMBER(SEARCH("coach_",Table1[[#This Row],[FILENAMES_EXPECTED]])))</f>
        <v>0</v>
      </c>
      <c r="E275" t="str">
        <f>"item_"&amp;Table1[[#This Row],[VEHIDCODE]]</f>
        <v>item_diesel_Argentina_SOFSE_CNR_CKD8</v>
      </c>
      <c r="F275" t="str">
        <f>"str_"&amp;Table1[[#This Row],[VEHIDCODE]]</f>
        <v>str_diesel_Argentina_SOFSE_CNR_CKD8</v>
      </c>
      <c r="G275">
        <v>8</v>
      </c>
      <c r="H275" t="s">
        <v>20</v>
      </c>
      <c r="I275">
        <v>0</v>
      </c>
      <c r="J275" t="s">
        <v>35</v>
      </c>
      <c r="K275">
        <v>0</v>
      </c>
      <c r="L275">
        <v>2013</v>
      </c>
      <c r="M275">
        <v>8</v>
      </c>
      <c r="N275" s="2" t="s">
        <v>20</v>
      </c>
      <c r="O275" t="b">
        <v>1</v>
      </c>
      <c r="Q275" s="2"/>
      <c r="R275" t="s">
        <v>21</v>
      </c>
      <c r="S275">
        <v>1</v>
      </c>
      <c r="T275">
        <v>2950</v>
      </c>
      <c r="U275" t="s">
        <v>711</v>
      </c>
      <c r="V275">
        <v>160</v>
      </c>
      <c r="W275" s="2">
        <v>0.32</v>
      </c>
      <c r="AF275" s="2" t="b">
        <v>1</v>
      </c>
      <c r="AX275"/>
      <c r="BA275" s="2"/>
      <c r="BB275" s="2" t="b">
        <f>LEN(_xlfn.CONCAT(Table1[[#This Row],[TRACK_TYPE_STANDARD_GAUGE_RAILTYPE_OHLE]:[TRACK_TYPE_MTRO]]))&gt;0</f>
        <v>1</v>
      </c>
      <c r="BC275" s="7">
        <v>40</v>
      </c>
      <c r="BD275" t="s">
        <v>930</v>
      </c>
      <c r="BE275" t="s">
        <v>922</v>
      </c>
      <c r="BF275" t="s">
        <v>940</v>
      </c>
      <c r="BG2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5">
        <v>0</v>
      </c>
      <c r="BI275" t="s">
        <v>734</v>
      </c>
      <c r="BK275" s="11"/>
      <c r="BL275" s="11">
        <v>120</v>
      </c>
      <c r="BM275">
        <v>0</v>
      </c>
      <c r="BN275" t="s">
        <v>692</v>
      </c>
      <c r="BO275" t="s">
        <v>694</v>
      </c>
      <c r="BP275" t="s">
        <v>701</v>
      </c>
      <c r="BQ275" t="s">
        <v>705</v>
      </c>
      <c r="BR275" t="s">
        <v>706</v>
      </c>
      <c r="BS275" t="s">
        <v>707</v>
      </c>
    </row>
    <row r="276" spans="1:71" hidden="1" x14ac:dyDescent="0.4">
      <c r="A276" s="2" t="s">
        <v>300</v>
      </c>
      <c r="B276" t="str">
        <f>_xlfn.TEXTAFTER(Table1[[#This Row],[VEHIDCODE]],"_")</f>
        <v>South_Africa_SAR_DS</v>
      </c>
      <c r="C276" t="s">
        <v>740</v>
      </c>
      <c r="D276" t="b">
        <f>OR(ISNUMBER(SEARCH("wagon_",Table1[[#This Row],[FILENAMES_EXPECTED]])),ISNUMBER(SEARCH("coach_",Table1[[#This Row],[FILENAMES_EXPECTED]])))</f>
        <v>0</v>
      </c>
      <c r="E276" t="str">
        <f>"item_"&amp;Table1[[#This Row],[VEHIDCODE]]</f>
        <v>item_diesel_South_Africa_SAR_DS</v>
      </c>
      <c r="F276" t="str">
        <f>"str_"&amp;Table1[[#This Row],[VEHIDCODE]]</f>
        <v>str_diesel_South_Africa_SAR_DS</v>
      </c>
      <c r="G276">
        <v>5</v>
      </c>
      <c r="H276" t="s">
        <v>20</v>
      </c>
      <c r="I276">
        <v>0</v>
      </c>
      <c r="J276" t="s">
        <v>35</v>
      </c>
      <c r="K276">
        <v>0</v>
      </c>
      <c r="L276">
        <v>1939</v>
      </c>
      <c r="M276">
        <v>5</v>
      </c>
      <c r="N276" s="2" t="s">
        <v>20</v>
      </c>
      <c r="O276" t="b">
        <v>1</v>
      </c>
      <c r="Q276" s="2"/>
      <c r="R276">
        <v>45</v>
      </c>
      <c r="S276">
        <v>1</v>
      </c>
      <c r="T276">
        <v>410</v>
      </c>
      <c r="U276" t="s">
        <v>711</v>
      </c>
      <c r="V276">
        <v>60</v>
      </c>
      <c r="W276" s="2">
        <v>0.23</v>
      </c>
      <c r="AF276" s="2" t="b">
        <v>1</v>
      </c>
      <c r="AX276"/>
      <c r="BA276" s="2"/>
      <c r="BB276" s="2" t="b">
        <f>LEN(_xlfn.CONCAT(Table1[[#This Row],[TRACK_TYPE_STANDARD_GAUGE_RAILTYPE_OHLE]:[TRACK_TYPE_MTRO]]))&gt;0</f>
        <v>1</v>
      </c>
      <c r="BC276" s="7">
        <v>40</v>
      </c>
      <c r="BD276" t="s">
        <v>926</v>
      </c>
      <c r="BE276" t="s">
        <v>922</v>
      </c>
      <c r="BF276" t="s">
        <v>940</v>
      </c>
      <c r="BG2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6">
        <v>0</v>
      </c>
      <c r="BI276" t="s">
        <v>734</v>
      </c>
      <c r="BK276" s="11"/>
      <c r="BL276" s="11">
        <v>68</v>
      </c>
      <c r="BM276">
        <v>0</v>
      </c>
      <c r="BN276" t="s">
        <v>692</v>
      </c>
      <c r="BO276" t="s">
        <v>694</v>
      </c>
      <c r="BP276" t="s">
        <v>701</v>
      </c>
      <c r="BQ276" t="s">
        <v>705</v>
      </c>
      <c r="BR276" t="s">
        <v>706</v>
      </c>
      <c r="BS276" t="s">
        <v>707</v>
      </c>
    </row>
    <row r="277" spans="1:71" hidden="1" x14ac:dyDescent="0.4">
      <c r="A277" s="2" t="s">
        <v>301</v>
      </c>
      <c r="B277" t="str">
        <f>_xlfn.TEXTAFTER(Table1[[#This Row],[VEHIDCODE]],"_")</f>
        <v>Algeria_SNTF_040_DG</v>
      </c>
      <c r="C277" t="s">
        <v>740</v>
      </c>
      <c r="D277" t="b">
        <f>OR(ISNUMBER(SEARCH("wagon_",Table1[[#This Row],[FILENAMES_EXPECTED]])),ISNUMBER(SEARCH("coach_",Table1[[#This Row],[FILENAMES_EXPECTED]])))</f>
        <v>0</v>
      </c>
      <c r="E277" t="str">
        <f>"item_"&amp;Table1[[#This Row],[VEHIDCODE]]</f>
        <v>item_diesel_Algeria_SNTF_040_DG</v>
      </c>
      <c r="F277" t="str">
        <f>"str_"&amp;Table1[[#This Row],[VEHIDCODE]]</f>
        <v>str_diesel_Algeria_SNTF_040_DG</v>
      </c>
      <c r="G277">
        <v>6</v>
      </c>
      <c r="H277" t="s">
        <v>20</v>
      </c>
      <c r="I277">
        <v>0</v>
      </c>
      <c r="J277" t="s">
        <v>35</v>
      </c>
      <c r="K277">
        <v>0</v>
      </c>
      <c r="L277">
        <v>1950</v>
      </c>
      <c r="M277">
        <v>6</v>
      </c>
      <c r="N277" s="2" t="s">
        <v>20</v>
      </c>
      <c r="O277" t="b">
        <v>1</v>
      </c>
      <c r="Q277" s="2"/>
      <c r="R277">
        <v>45</v>
      </c>
      <c r="S277">
        <v>1</v>
      </c>
      <c r="T277">
        <v>1600</v>
      </c>
      <c r="U277" t="s">
        <v>711</v>
      </c>
      <c r="V277">
        <v>105</v>
      </c>
      <c r="W277" s="2">
        <v>0.16</v>
      </c>
      <c r="AF277" s="2" t="b">
        <v>1</v>
      </c>
      <c r="AX277"/>
      <c r="BA277" s="2"/>
      <c r="BB277" s="2" t="b">
        <f>LEN(_xlfn.CONCAT(Table1[[#This Row],[TRACK_TYPE_STANDARD_GAUGE_RAILTYPE_OHLE]:[TRACK_TYPE_MTRO]]))&gt;0</f>
        <v>1</v>
      </c>
      <c r="BC277" s="7">
        <v>40</v>
      </c>
      <c r="BD277" t="s">
        <v>926</v>
      </c>
      <c r="BE277" t="s">
        <v>922</v>
      </c>
      <c r="BF277" t="s">
        <v>940</v>
      </c>
      <c r="BG2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7">
        <v>0</v>
      </c>
      <c r="BI277" t="s">
        <v>734</v>
      </c>
      <c r="BK277" s="11"/>
      <c r="BL277" s="11">
        <v>115</v>
      </c>
      <c r="BM277">
        <v>0</v>
      </c>
      <c r="BN277" t="s">
        <v>692</v>
      </c>
      <c r="BO277" t="s">
        <v>694</v>
      </c>
      <c r="BP277" t="s">
        <v>701</v>
      </c>
      <c r="BQ277" t="s">
        <v>705</v>
      </c>
      <c r="BR277" t="s">
        <v>706</v>
      </c>
      <c r="BS277" t="s">
        <v>707</v>
      </c>
    </row>
    <row r="278" spans="1:71" hidden="1" x14ac:dyDescent="0.4">
      <c r="A278" s="2" t="s">
        <v>302</v>
      </c>
      <c r="B278" t="str">
        <f>_xlfn.TEXTAFTER(Table1[[#This Row],[VEHIDCODE]],"_")</f>
        <v>Tunisia_SNCFT_040_DF</v>
      </c>
      <c r="C278" t="s">
        <v>740</v>
      </c>
      <c r="D278" t="b">
        <f>OR(ISNUMBER(SEARCH("wagon_",Table1[[#This Row],[FILENAMES_EXPECTED]])),ISNUMBER(SEARCH("coach_",Table1[[#This Row],[FILENAMES_EXPECTED]])))</f>
        <v>0</v>
      </c>
      <c r="E278" t="str">
        <f>"item_"&amp;Table1[[#This Row],[VEHIDCODE]]</f>
        <v>item_diesel_Tunisia_SNCFT_040_DF</v>
      </c>
      <c r="F278" t="str">
        <f>"str_"&amp;Table1[[#This Row],[VEHIDCODE]]</f>
        <v>str_diesel_Tunisia_SNCFT_040_DF</v>
      </c>
      <c r="G278">
        <v>5</v>
      </c>
      <c r="H278" t="s">
        <v>20</v>
      </c>
      <c r="I278">
        <v>0</v>
      </c>
      <c r="J278" t="s">
        <v>35</v>
      </c>
      <c r="K278">
        <v>0</v>
      </c>
      <c r="L278">
        <v>1960</v>
      </c>
      <c r="M278">
        <v>5</v>
      </c>
      <c r="N278" s="2" t="s">
        <v>20</v>
      </c>
      <c r="O278" t="b">
        <v>1</v>
      </c>
      <c r="Q278" s="2"/>
      <c r="R278">
        <v>45</v>
      </c>
      <c r="S278">
        <v>1</v>
      </c>
      <c r="T278">
        <v>875</v>
      </c>
      <c r="U278" t="s">
        <v>711</v>
      </c>
      <c r="V278">
        <v>100</v>
      </c>
      <c r="W278" s="2">
        <v>0.25</v>
      </c>
      <c r="AF278" s="2" t="b">
        <v>1</v>
      </c>
      <c r="AX278"/>
      <c r="BA278" s="2"/>
      <c r="BB278" s="2" t="b">
        <f>LEN(_xlfn.CONCAT(Table1[[#This Row],[TRACK_TYPE_STANDARD_GAUGE_RAILTYPE_OHLE]:[TRACK_TYPE_MTRO]]))&gt;0</f>
        <v>1</v>
      </c>
      <c r="BC278" s="7">
        <v>40</v>
      </c>
      <c r="BD278" t="s">
        <v>926</v>
      </c>
      <c r="BE278" t="s">
        <v>922</v>
      </c>
      <c r="BF278" t="s">
        <v>940</v>
      </c>
      <c r="BG2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8">
        <v>0</v>
      </c>
      <c r="BI278" t="s">
        <v>734</v>
      </c>
      <c r="BK278" s="11"/>
      <c r="BL278" s="11">
        <v>62</v>
      </c>
      <c r="BM278">
        <v>0</v>
      </c>
      <c r="BN278" t="s">
        <v>692</v>
      </c>
      <c r="BO278" t="s">
        <v>694</v>
      </c>
      <c r="BP278" t="s">
        <v>701</v>
      </c>
      <c r="BQ278" t="s">
        <v>705</v>
      </c>
      <c r="BR278" t="s">
        <v>706</v>
      </c>
      <c r="BS278" t="s">
        <v>707</v>
      </c>
    </row>
    <row r="279" spans="1:71" hidden="1" x14ac:dyDescent="0.4">
      <c r="A279" s="2" t="s">
        <v>303</v>
      </c>
      <c r="B279" t="str">
        <f>_xlfn.TEXTAFTER(Table1[[#This Row],[VEHIDCODE]],"_")</f>
        <v>Egypt_ENR_TE114E</v>
      </c>
      <c r="C279" t="s">
        <v>740</v>
      </c>
      <c r="D279" t="b">
        <f>OR(ISNUMBER(SEARCH("wagon_",Table1[[#This Row],[FILENAMES_EXPECTED]])),ISNUMBER(SEARCH("coach_",Table1[[#This Row],[FILENAMES_EXPECTED]])))</f>
        <v>0</v>
      </c>
      <c r="E279" t="str">
        <f>"item_"&amp;Table1[[#This Row],[VEHIDCODE]]</f>
        <v>item_diesel_Egypt_ENR_TE114E</v>
      </c>
      <c r="F279" t="str">
        <f>"str_"&amp;Table1[[#This Row],[VEHIDCODE]]</f>
        <v>str_diesel_Egypt_ENR_TE114E</v>
      </c>
      <c r="G279">
        <v>7</v>
      </c>
      <c r="H279" t="s">
        <v>20</v>
      </c>
      <c r="I279">
        <v>0</v>
      </c>
      <c r="J279" t="s">
        <v>35</v>
      </c>
      <c r="K279">
        <v>0</v>
      </c>
      <c r="L279">
        <v>1974</v>
      </c>
      <c r="M279">
        <v>7</v>
      </c>
      <c r="N279" s="2" t="s">
        <v>20</v>
      </c>
      <c r="O279" t="b">
        <v>1</v>
      </c>
      <c r="Q279" s="2"/>
      <c r="R279">
        <v>45</v>
      </c>
      <c r="S279">
        <v>1</v>
      </c>
      <c r="T279">
        <v>2600</v>
      </c>
      <c r="U279" t="s">
        <v>711</v>
      </c>
      <c r="V279">
        <v>120</v>
      </c>
      <c r="W279" s="2">
        <v>0.17</v>
      </c>
      <c r="AF279" s="2" t="b">
        <v>1</v>
      </c>
      <c r="AX279"/>
      <c r="BA279" s="2"/>
      <c r="BB279" s="2" t="b">
        <f>LEN(_xlfn.CONCAT(Table1[[#This Row],[TRACK_TYPE_STANDARD_GAUGE_RAILTYPE_OHLE]:[TRACK_TYPE_MTRO]]))&gt;0</f>
        <v>1</v>
      </c>
      <c r="BC279" s="7">
        <v>40</v>
      </c>
      <c r="BD279" t="s">
        <v>926</v>
      </c>
      <c r="BE279" t="s">
        <v>922</v>
      </c>
      <c r="BF279" t="s">
        <v>940</v>
      </c>
      <c r="BG2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9">
        <v>0</v>
      </c>
      <c r="BI279" t="s">
        <v>734</v>
      </c>
      <c r="BK279" s="11"/>
      <c r="BL279" s="11">
        <v>120</v>
      </c>
      <c r="BM279">
        <v>0</v>
      </c>
      <c r="BN279" t="s">
        <v>692</v>
      </c>
      <c r="BO279" t="s">
        <v>694</v>
      </c>
      <c r="BP279" t="s">
        <v>701</v>
      </c>
      <c r="BQ279" t="s">
        <v>705</v>
      </c>
      <c r="BR279" t="s">
        <v>706</v>
      </c>
      <c r="BS279" t="s">
        <v>707</v>
      </c>
    </row>
    <row r="280" spans="1:71" hidden="1" x14ac:dyDescent="0.4">
      <c r="A280" s="2" t="s">
        <v>304</v>
      </c>
      <c r="B280" t="str">
        <f>_xlfn.TEXTAFTER(Table1[[#This Row],[VEHIDCODE]],"_")</f>
        <v>Tunisia_SNCFT_040_DJ</v>
      </c>
      <c r="C280" t="s">
        <v>740</v>
      </c>
      <c r="D280" t="b">
        <f>OR(ISNUMBER(SEARCH("wagon_",Table1[[#This Row],[FILENAMES_EXPECTED]])),ISNUMBER(SEARCH("coach_",Table1[[#This Row],[FILENAMES_EXPECTED]])))</f>
        <v>0</v>
      </c>
      <c r="E280" t="str">
        <f>"item_"&amp;Table1[[#This Row],[VEHIDCODE]]</f>
        <v>item_diesel_Tunisia_SNCFT_040_DJ</v>
      </c>
      <c r="F280" t="str">
        <f>"str_"&amp;Table1[[#This Row],[VEHIDCODE]]</f>
        <v>str_diesel_Tunisia_SNCFT_040_DJ</v>
      </c>
      <c r="G280">
        <v>5</v>
      </c>
      <c r="H280" t="s">
        <v>20</v>
      </c>
      <c r="I280">
        <v>0</v>
      </c>
      <c r="J280" t="s">
        <v>35</v>
      </c>
      <c r="K280">
        <v>0</v>
      </c>
      <c r="L280">
        <v>1977</v>
      </c>
      <c r="M280">
        <v>5</v>
      </c>
      <c r="N280" s="2" t="s">
        <v>20</v>
      </c>
      <c r="O280" t="b">
        <v>1</v>
      </c>
      <c r="Q280" s="2"/>
      <c r="R280">
        <v>45</v>
      </c>
      <c r="S280">
        <v>1</v>
      </c>
      <c r="T280">
        <v>700</v>
      </c>
      <c r="U280" t="s">
        <v>711</v>
      </c>
      <c r="V280">
        <v>100</v>
      </c>
      <c r="W280" s="2">
        <v>0.28000000000000003</v>
      </c>
      <c r="AF280" s="2" t="b">
        <v>1</v>
      </c>
      <c r="AX280"/>
      <c r="BA280" s="2"/>
      <c r="BB280" s="2" t="b">
        <f>LEN(_xlfn.CONCAT(Table1[[#This Row],[TRACK_TYPE_STANDARD_GAUGE_RAILTYPE_OHLE]:[TRACK_TYPE_MTRO]]))&gt;0</f>
        <v>1</v>
      </c>
      <c r="BC280" s="7">
        <v>40</v>
      </c>
      <c r="BD280" t="s">
        <v>926</v>
      </c>
      <c r="BE280" t="s">
        <v>922</v>
      </c>
      <c r="BF280" t="s">
        <v>940</v>
      </c>
      <c r="BG2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0">
        <v>0</v>
      </c>
      <c r="BI280" t="s">
        <v>734</v>
      </c>
      <c r="BK280" s="11"/>
      <c r="BL280" s="11">
        <v>53</v>
      </c>
      <c r="BM280">
        <v>0</v>
      </c>
      <c r="BN280" t="s">
        <v>692</v>
      </c>
      <c r="BO280" t="s">
        <v>694</v>
      </c>
      <c r="BP280" t="s">
        <v>701</v>
      </c>
      <c r="BQ280" t="s">
        <v>705</v>
      </c>
      <c r="BR280" t="s">
        <v>706</v>
      </c>
      <c r="BS280" t="s">
        <v>707</v>
      </c>
    </row>
    <row r="281" spans="1:71" hidden="1" x14ac:dyDescent="0.4">
      <c r="A281" s="2" t="s">
        <v>305</v>
      </c>
      <c r="B281" t="str">
        <f>_xlfn.TEXTAFTER(Table1[[#This Row],[VEHIDCODE]],"_")</f>
        <v>Morocco_ONCF_DF_100</v>
      </c>
      <c r="C281" t="s">
        <v>740</v>
      </c>
      <c r="D281" t="b">
        <f>OR(ISNUMBER(SEARCH("wagon_",Table1[[#This Row],[FILENAMES_EXPECTED]])),ISNUMBER(SEARCH("coach_",Table1[[#This Row],[FILENAMES_EXPECTED]])))</f>
        <v>0</v>
      </c>
      <c r="E281" t="str">
        <f>"item_"&amp;Table1[[#This Row],[VEHIDCODE]]</f>
        <v>item_diesel_Morocco_ONCF_DF_100</v>
      </c>
      <c r="F281" t="str">
        <f>"str_"&amp;Table1[[#This Row],[VEHIDCODE]]</f>
        <v>str_diesel_Morocco_ONCF_DF_100</v>
      </c>
      <c r="G281">
        <v>8</v>
      </c>
      <c r="H281" t="s">
        <v>20</v>
      </c>
      <c r="I281">
        <v>0</v>
      </c>
      <c r="J281" t="s">
        <v>35</v>
      </c>
      <c r="K281">
        <v>0</v>
      </c>
      <c r="L281">
        <v>1989</v>
      </c>
      <c r="M281">
        <v>8</v>
      </c>
      <c r="N281" s="2" t="s">
        <v>20</v>
      </c>
      <c r="O281" t="b">
        <v>1</v>
      </c>
      <c r="Q281" s="2"/>
      <c r="R281">
        <v>45</v>
      </c>
      <c r="S281">
        <v>1</v>
      </c>
      <c r="T281">
        <v>3400</v>
      </c>
      <c r="U281" t="s">
        <v>711</v>
      </c>
      <c r="V281">
        <v>135</v>
      </c>
      <c r="W281" s="2">
        <v>0.33</v>
      </c>
      <c r="AF281" s="2" t="b">
        <v>1</v>
      </c>
      <c r="AX281"/>
      <c r="BA281" s="2"/>
      <c r="BB281" s="2" t="b">
        <f>LEN(_xlfn.CONCAT(Table1[[#This Row],[TRACK_TYPE_STANDARD_GAUGE_RAILTYPE_OHLE]:[TRACK_TYPE_MTRO]]))&gt;0</f>
        <v>1</v>
      </c>
      <c r="BC281" s="7">
        <v>40</v>
      </c>
      <c r="BD281" t="s">
        <v>926</v>
      </c>
      <c r="BE281" t="s">
        <v>922</v>
      </c>
      <c r="BF281" t="s">
        <v>940</v>
      </c>
      <c r="BG2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1">
        <v>0</v>
      </c>
      <c r="BI281" t="s">
        <v>734</v>
      </c>
      <c r="BK281" s="11"/>
      <c r="BL281" s="11">
        <v>108</v>
      </c>
      <c r="BM281">
        <v>0</v>
      </c>
      <c r="BN281" t="s">
        <v>692</v>
      </c>
      <c r="BO281" t="s">
        <v>694</v>
      </c>
      <c r="BP281" t="s">
        <v>701</v>
      </c>
      <c r="BQ281" t="s">
        <v>705</v>
      </c>
      <c r="BR281" t="s">
        <v>706</v>
      </c>
      <c r="BS281" t="s">
        <v>707</v>
      </c>
    </row>
    <row r="282" spans="1:71" hidden="1" x14ac:dyDescent="0.4">
      <c r="A282" s="2" t="s">
        <v>306</v>
      </c>
      <c r="B282" t="str">
        <f>_xlfn.TEXTAFTER(Table1[[#This Row],[VEHIDCODE]],"_")</f>
        <v>Ukraine_UZ_TEP10L</v>
      </c>
      <c r="C282" t="s">
        <v>740</v>
      </c>
      <c r="D282" t="b">
        <f>OR(ISNUMBER(SEARCH("wagon_",Table1[[#This Row],[FILENAMES_EXPECTED]])),ISNUMBER(SEARCH("coach_",Table1[[#This Row],[FILENAMES_EXPECTED]])))</f>
        <v>0</v>
      </c>
      <c r="E282" t="str">
        <f>"item_"&amp;Table1[[#This Row],[VEHIDCODE]]</f>
        <v>item_diesel_Ukraine_UZ_TEP10L</v>
      </c>
      <c r="F282" t="str">
        <f>"str_"&amp;Table1[[#This Row],[VEHIDCODE]]</f>
        <v>str_diesel_Ukraine_UZ_TEP10L</v>
      </c>
      <c r="G282">
        <v>8</v>
      </c>
      <c r="H282" t="s">
        <v>20</v>
      </c>
      <c r="I282">
        <v>0</v>
      </c>
      <c r="J282" t="s">
        <v>35</v>
      </c>
      <c r="K282">
        <v>0</v>
      </c>
      <c r="L282">
        <v>1964</v>
      </c>
      <c r="M282">
        <v>8</v>
      </c>
      <c r="N282" s="2" t="s">
        <v>20</v>
      </c>
      <c r="O282" t="b">
        <v>1</v>
      </c>
      <c r="Q282" s="2"/>
      <c r="R282">
        <v>45</v>
      </c>
      <c r="S282">
        <v>1</v>
      </c>
      <c r="T282">
        <v>2290</v>
      </c>
      <c r="U282" t="s">
        <v>711</v>
      </c>
      <c r="V282">
        <v>140</v>
      </c>
      <c r="W282" s="2">
        <v>0.13</v>
      </c>
      <c r="AF282" s="2" t="b">
        <v>1</v>
      </c>
      <c r="AX282"/>
      <c r="BA282" s="2"/>
      <c r="BB282" s="2" t="b">
        <f>LEN(_xlfn.CONCAT(Table1[[#This Row],[TRACK_TYPE_STANDARD_GAUGE_RAILTYPE_OHLE]:[TRACK_TYPE_MTRO]]))&gt;0</f>
        <v>1</v>
      </c>
      <c r="BC282" s="7">
        <v>40</v>
      </c>
      <c r="BD282" t="s">
        <v>929</v>
      </c>
      <c r="BE282" t="s">
        <v>922</v>
      </c>
      <c r="BF282" t="s">
        <v>940</v>
      </c>
      <c r="BG2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2">
        <v>0</v>
      </c>
      <c r="BI282" t="s">
        <v>734</v>
      </c>
      <c r="BK282" s="11"/>
      <c r="BL282" s="11">
        <v>129</v>
      </c>
      <c r="BM282">
        <v>0</v>
      </c>
      <c r="BN282" t="s">
        <v>692</v>
      </c>
      <c r="BO282" t="s">
        <v>694</v>
      </c>
      <c r="BP282" t="s">
        <v>701</v>
      </c>
      <c r="BQ282" t="s">
        <v>705</v>
      </c>
      <c r="BR282" t="s">
        <v>706</v>
      </c>
      <c r="BS282" t="s">
        <v>707</v>
      </c>
    </row>
    <row r="283" spans="1:71" hidden="1" x14ac:dyDescent="0.4">
      <c r="A283" s="2" t="s">
        <v>307</v>
      </c>
      <c r="B283" t="str">
        <f>_xlfn.TEXTAFTER(Table1[[#This Row],[VEHIDCODE]],"_")</f>
        <v>Belarus_BCh_2TE10M</v>
      </c>
      <c r="C283" t="s">
        <v>740</v>
      </c>
      <c r="D283" t="b">
        <f>OR(ISNUMBER(SEARCH("wagon_",Table1[[#This Row],[FILENAMES_EXPECTED]])),ISNUMBER(SEARCH("coach_",Table1[[#This Row],[FILENAMES_EXPECTED]])))</f>
        <v>0</v>
      </c>
      <c r="E283" t="str">
        <f>"item_"&amp;Table1[[#This Row],[VEHIDCODE]]</f>
        <v>item_diesel_Belarus_BCh_2TE10M</v>
      </c>
      <c r="F283" t="str">
        <f>"str_"&amp;Table1[[#This Row],[VEHIDCODE]]</f>
        <v>str_diesel_Belarus_BCh_2TE10M</v>
      </c>
      <c r="G283">
        <v>16</v>
      </c>
      <c r="H283" t="s">
        <v>20</v>
      </c>
      <c r="I283">
        <v>0</v>
      </c>
      <c r="J283" t="s">
        <v>35</v>
      </c>
      <c r="K283">
        <v>0</v>
      </c>
      <c r="L283">
        <v>1981</v>
      </c>
      <c r="M283">
        <v>8</v>
      </c>
      <c r="N283" s="2" t="s">
        <v>20</v>
      </c>
      <c r="O283" t="b">
        <v>1</v>
      </c>
      <c r="Q283" s="2"/>
      <c r="R283">
        <v>45</v>
      </c>
      <c r="S283">
        <v>0</v>
      </c>
      <c r="T283">
        <v>6160</v>
      </c>
      <c r="U283" t="s">
        <v>711</v>
      </c>
      <c r="V283">
        <v>100</v>
      </c>
      <c r="W283" s="2">
        <v>0.18</v>
      </c>
      <c r="AF283" s="2" t="b">
        <v>1</v>
      </c>
      <c r="AX283"/>
      <c r="BA283" s="2"/>
      <c r="BB283" s="2" t="b">
        <f>LEN(_xlfn.CONCAT(Table1[[#This Row],[TRACK_TYPE_STANDARD_GAUGE_RAILTYPE_OHLE]:[TRACK_TYPE_MTRO]]))&gt;0</f>
        <v>1</v>
      </c>
      <c r="BC283" s="7">
        <v>40</v>
      </c>
      <c r="BD283" t="s">
        <v>929</v>
      </c>
      <c r="BE283" t="s">
        <v>922</v>
      </c>
      <c r="BF283" t="s">
        <v>940</v>
      </c>
      <c r="BG2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3">
        <v>0</v>
      </c>
      <c r="BI283" t="s">
        <v>734</v>
      </c>
      <c r="BK283" s="11"/>
      <c r="BL283" s="11">
        <v>276</v>
      </c>
      <c r="BM283">
        <v>0</v>
      </c>
      <c r="BN283" t="s">
        <v>692</v>
      </c>
      <c r="BO283" t="s">
        <v>694</v>
      </c>
      <c r="BP283" t="s">
        <v>701</v>
      </c>
      <c r="BQ283" t="s">
        <v>705</v>
      </c>
      <c r="BR283" t="s">
        <v>706</v>
      </c>
      <c r="BS283" t="s">
        <v>707</v>
      </c>
    </row>
    <row r="284" spans="1:71" hidden="1" x14ac:dyDescent="0.4">
      <c r="A284" s="2" t="s">
        <v>308</v>
      </c>
      <c r="B284" t="str">
        <f>_xlfn.TEXTAFTER(Table1[[#This Row],[VEHIDCODE]],"_")</f>
        <v>Poland_PKP_SP32</v>
      </c>
      <c r="C284" t="s">
        <v>740</v>
      </c>
      <c r="D284" t="b">
        <f>OR(ISNUMBER(SEARCH("wagon_",Table1[[#This Row],[FILENAMES_EXPECTED]])),ISNUMBER(SEARCH("coach_",Table1[[#This Row],[FILENAMES_EXPECTED]])))</f>
        <v>0</v>
      </c>
      <c r="E284" t="str">
        <f>"item_"&amp;Table1[[#This Row],[VEHIDCODE]]</f>
        <v>item_diesel_Poland_PKP_SP32</v>
      </c>
      <c r="F284" t="str">
        <f>"str_"&amp;Table1[[#This Row],[VEHIDCODE]]</f>
        <v>str_diesel_Poland_PKP_SP32</v>
      </c>
      <c r="G284">
        <v>6</v>
      </c>
      <c r="H284" t="s">
        <v>20</v>
      </c>
      <c r="I284">
        <v>0</v>
      </c>
      <c r="J284" t="s">
        <v>35</v>
      </c>
      <c r="K284">
        <v>0</v>
      </c>
      <c r="L284">
        <v>1985</v>
      </c>
      <c r="M284">
        <v>6</v>
      </c>
      <c r="N284" s="2" t="s">
        <v>20</v>
      </c>
      <c r="O284" t="b">
        <v>1</v>
      </c>
      <c r="Q284" s="2"/>
      <c r="R284">
        <v>45</v>
      </c>
      <c r="S284">
        <v>1</v>
      </c>
      <c r="T284">
        <v>1340</v>
      </c>
      <c r="U284" t="s">
        <v>711</v>
      </c>
      <c r="V284">
        <v>100</v>
      </c>
      <c r="W284" s="2">
        <v>0.25</v>
      </c>
      <c r="AF284" s="2" t="b">
        <v>1</v>
      </c>
      <c r="AX284"/>
      <c r="BA284" s="2"/>
      <c r="BB284" s="2" t="b">
        <f>LEN(_xlfn.CONCAT(Table1[[#This Row],[TRACK_TYPE_STANDARD_GAUGE_RAILTYPE_OHLE]:[TRACK_TYPE_MTRO]]))&gt;0</f>
        <v>1</v>
      </c>
      <c r="BC284" s="7">
        <v>40</v>
      </c>
      <c r="BD284" t="s">
        <v>929</v>
      </c>
      <c r="BE284" t="s">
        <v>922</v>
      </c>
      <c r="BF284" t="s">
        <v>940</v>
      </c>
      <c r="BG2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4">
        <v>0</v>
      </c>
      <c r="BI284" t="s">
        <v>734</v>
      </c>
      <c r="BK284" s="11"/>
      <c r="BL284" s="11">
        <v>74</v>
      </c>
      <c r="BM284">
        <v>0</v>
      </c>
      <c r="BN284" t="s">
        <v>692</v>
      </c>
      <c r="BO284" t="s">
        <v>694</v>
      </c>
      <c r="BP284" t="s">
        <v>701</v>
      </c>
      <c r="BQ284" t="s">
        <v>705</v>
      </c>
      <c r="BR284" t="s">
        <v>706</v>
      </c>
      <c r="BS284" t="s">
        <v>707</v>
      </c>
    </row>
    <row r="285" spans="1:71" hidden="1" x14ac:dyDescent="0.4">
      <c r="A285" s="2" t="s">
        <v>309</v>
      </c>
      <c r="B285" t="str">
        <f>_xlfn.TEXTAFTER(Table1[[#This Row],[VEHIDCODE]],"_")</f>
        <v>Ukraine_UZ_2TE126</v>
      </c>
      <c r="C285" t="s">
        <v>740</v>
      </c>
      <c r="D285" t="b">
        <f>OR(ISNUMBER(SEARCH("wagon_",Table1[[#This Row],[FILENAMES_EXPECTED]])),ISNUMBER(SEARCH("coach_",Table1[[#This Row],[FILENAMES_EXPECTED]])))</f>
        <v>0</v>
      </c>
      <c r="E285" t="str">
        <f>"item_"&amp;Table1[[#This Row],[VEHIDCODE]]</f>
        <v>item_diesel_Ukraine_UZ_2TE126</v>
      </c>
      <c r="F285" t="str">
        <f>"str_"&amp;Table1[[#This Row],[VEHIDCODE]]</f>
        <v>str_diesel_Ukraine_UZ_2TE126</v>
      </c>
      <c r="G285">
        <v>8</v>
      </c>
      <c r="H285" t="s">
        <v>20</v>
      </c>
      <c r="I285">
        <v>0</v>
      </c>
      <c r="J285" t="s">
        <v>35</v>
      </c>
      <c r="K285">
        <v>0</v>
      </c>
      <c r="L285">
        <v>1987</v>
      </c>
      <c r="M285">
        <v>8</v>
      </c>
      <c r="N285" s="2" t="s">
        <v>20</v>
      </c>
      <c r="O285" t="b">
        <v>1</v>
      </c>
      <c r="Q285" s="2"/>
      <c r="R285">
        <v>45</v>
      </c>
      <c r="S285">
        <v>0</v>
      </c>
      <c r="T285">
        <v>12000</v>
      </c>
      <c r="U285" t="s">
        <v>711</v>
      </c>
      <c r="V285">
        <v>100</v>
      </c>
      <c r="W285" s="2">
        <v>0.2</v>
      </c>
      <c r="AF285" s="2" t="b">
        <v>1</v>
      </c>
      <c r="AX285"/>
      <c r="BA285" s="2"/>
      <c r="BB285" s="2" t="b">
        <f>LEN(_xlfn.CONCAT(Table1[[#This Row],[TRACK_TYPE_STANDARD_GAUGE_RAILTYPE_OHLE]:[TRACK_TYPE_MTRO]]))&gt;0</f>
        <v>1</v>
      </c>
      <c r="BC285" s="7">
        <v>40</v>
      </c>
      <c r="BD285" t="s">
        <v>929</v>
      </c>
      <c r="BE285" t="s">
        <v>922</v>
      </c>
      <c r="BF285" t="s">
        <v>940</v>
      </c>
      <c r="BG2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5">
        <v>0</v>
      </c>
      <c r="BI285" t="s">
        <v>734</v>
      </c>
      <c r="BK285" s="11"/>
      <c r="BL285" s="11">
        <v>460</v>
      </c>
      <c r="BM285">
        <v>0</v>
      </c>
      <c r="BN285" t="s">
        <v>692</v>
      </c>
      <c r="BO285" t="s">
        <v>694</v>
      </c>
      <c r="BP285" t="s">
        <v>701</v>
      </c>
      <c r="BQ285" t="s">
        <v>705</v>
      </c>
      <c r="BR285" t="s">
        <v>706</v>
      </c>
      <c r="BS285" t="s">
        <v>707</v>
      </c>
    </row>
    <row r="286" spans="1:71" hidden="1" x14ac:dyDescent="0.4">
      <c r="A286" s="2" t="s">
        <v>310</v>
      </c>
      <c r="B286" t="str">
        <f>_xlfn.TEXTAFTER(Table1[[#This Row],[VEHIDCODE]],"_")</f>
        <v>Ukraine_UZ_2TE10Ut</v>
      </c>
      <c r="C286" t="s">
        <v>740</v>
      </c>
      <c r="D286" t="b">
        <f>OR(ISNUMBER(SEARCH("wagon_",Table1[[#This Row],[FILENAMES_EXPECTED]])),ISNUMBER(SEARCH("coach_",Table1[[#This Row],[FILENAMES_EXPECTED]])))</f>
        <v>0</v>
      </c>
      <c r="E286" t="str">
        <f>"item_"&amp;Table1[[#This Row],[VEHIDCODE]]</f>
        <v>item_diesel_Ukraine_UZ_2TE10Ut</v>
      </c>
      <c r="F286" t="str">
        <f>"str_"&amp;Table1[[#This Row],[VEHIDCODE]]</f>
        <v>str_diesel_Ukraine_UZ_2TE10Ut</v>
      </c>
      <c r="G286">
        <v>16</v>
      </c>
      <c r="H286" t="s">
        <v>20</v>
      </c>
      <c r="I286">
        <v>0</v>
      </c>
      <c r="J286" t="s">
        <v>35</v>
      </c>
      <c r="K286">
        <v>0</v>
      </c>
      <c r="L286">
        <v>1989</v>
      </c>
      <c r="M286">
        <v>8</v>
      </c>
      <c r="N286" s="2" t="s">
        <v>20</v>
      </c>
      <c r="O286" t="b">
        <v>1</v>
      </c>
      <c r="Q286" s="2"/>
      <c r="R286">
        <v>45</v>
      </c>
      <c r="S286">
        <v>0</v>
      </c>
      <c r="T286">
        <v>4560</v>
      </c>
      <c r="U286" t="s">
        <v>711</v>
      </c>
      <c r="V286">
        <v>120</v>
      </c>
      <c r="W286" s="2">
        <v>0.15</v>
      </c>
      <c r="AF286" s="2" t="b">
        <v>1</v>
      </c>
      <c r="AX286"/>
      <c r="BA286" s="2"/>
      <c r="BB286" s="2" t="b">
        <f>LEN(_xlfn.CONCAT(Table1[[#This Row],[TRACK_TYPE_STANDARD_GAUGE_RAILTYPE_OHLE]:[TRACK_TYPE_MTRO]]))&gt;0</f>
        <v>1</v>
      </c>
      <c r="BC286" s="7">
        <v>40</v>
      </c>
      <c r="BD286" t="s">
        <v>929</v>
      </c>
      <c r="BE286" t="s">
        <v>922</v>
      </c>
      <c r="BF286" t="s">
        <v>940</v>
      </c>
      <c r="BG2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6">
        <v>0</v>
      </c>
      <c r="BI286" t="s">
        <v>734</v>
      </c>
      <c r="BK286" s="11"/>
      <c r="BL286" s="11">
        <v>276</v>
      </c>
      <c r="BM286">
        <v>0</v>
      </c>
      <c r="BN286" t="s">
        <v>692</v>
      </c>
      <c r="BO286" t="s">
        <v>694</v>
      </c>
      <c r="BP286" t="s">
        <v>701</v>
      </c>
      <c r="BQ286" t="s">
        <v>705</v>
      </c>
      <c r="BR286" t="s">
        <v>706</v>
      </c>
      <c r="BS286" t="s">
        <v>707</v>
      </c>
    </row>
    <row r="287" spans="1:71" hidden="1" x14ac:dyDescent="0.4">
      <c r="A287" s="2" t="s">
        <v>311</v>
      </c>
      <c r="B287" t="str">
        <f>_xlfn.TEXTAFTER(Table1[[#This Row],[VEHIDCODE]],"_")</f>
        <v>Serbia_ZS_621</v>
      </c>
      <c r="C287" t="s">
        <v>740</v>
      </c>
      <c r="D287" t="b">
        <f>OR(ISNUMBER(SEARCH("wagon_",Table1[[#This Row],[FILENAMES_EXPECTED]])),ISNUMBER(SEARCH("coach_",Table1[[#This Row],[FILENAMES_EXPECTED]])))</f>
        <v>0</v>
      </c>
      <c r="E287" t="str">
        <f>"item_"&amp;Table1[[#This Row],[VEHIDCODE]]</f>
        <v>item_diesel_Serbia_ZS_621</v>
      </c>
      <c r="F287" t="str">
        <f>"str_"&amp;Table1[[#This Row],[VEHIDCODE]]</f>
        <v>str_diesel_Serbia_ZS_621</v>
      </c>
      <c r="G287">
        <v>4</v>
      </c>
      <c r="H287" t="s">
        <v>20</v>
      </c>
      <c r="I287">
        <v>0</v>
      </c>
      <c r="J287" t="s">
        <v>35</v>
      </c>
      <c r="K287">
        <v>0</v>
      </c>
      <c r="L287">
        <v>1992</v>
      </c>
      <c r="M287">
        <v>4</v>
      </c>
      <c r="N287" s="2" t="s">
        <v>20</v>
      </c>
      <c r="O287" t="b">
        <v>1</v>
      </c>
      <c r="Q287" s="2"/>
      <c r="R287">
        <v>45</v>
      </c>
      <c r="S287">
        <v>0</v>
      </c>
      <c r="T287">
        <v>530</v>
      </c>
      <c r="U287" t="s">
        <v>711</v>
      </c>
      <c r="V287">
        <v>80</v>
      </c>
      <c r="W287" s="2">
        <v>0.3</v>
      </c>
      <c r="AF287" s="2" t="b">
        <v>1</v>
      </c>
      <c r="AX287"/>
      <c r="BA287" s="2"/>
      <c r="BB287" s="2" t="b">
        <f>LEN(_xlfn.CONCAT(Table1[[#This Row],[TRACK_TYPE_STANDARD_GAUGE_RAILTYPE_OHLE]:[TRACK_TYPE_MTRO]]))&gt;0</f>
        <v>1</v>
      </c>
      <c r="BC287" s="7">
        <v>40</v>
      </c>
      <c r="BD287" t="s">
        <v>929</v>
      </c>
      <c r="BE287" t="s">
        <v>922</v>
      </c>
      <c r="BF287" t="s">
        <v>940</v>
      </c>
      <c r="BG2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7">
        <v>0</v>
      </c>
      <c r="BI287" t="s">
        <v>734</v>
      </c>
      <c r="BK287" s="11"/>
      <c r="BL287" s="11">
        <v>36</v>
      </c>
      <c r="BM287">
        <v>0</v>
      </c>
      <c r="BN287" t="s">
        <v>692</v>
      </c>
      <c r="BO287" t="s">
        <v>694</v>
      </c>
      <c r="BP287" t="s">
        <v>701</v>
      </c>
      <c r="BQ287" t="s">
        <v>705</v>
      </c>
      <c r="BR287" t="s">
        <v>706</v>
      </c>
      <c r="BS287" t="s">
        <v>707</v>
      </c>
    </row>
    <row r="288" spans="1:71" hidden="1" x14ac:dyDescent="0.4">
      <c r="A288" s="2" t="s">
        <v>312</v>
      </c>
      <c r="B288" t="str">
        <f>_xlfn.TEXTAFTER(Table1[[#This Row],[VEHIDCODE]],"_")</f>
        <v>Italy_FS_207</v>
      </c>
      <c r="C288" t="s">
        <v>740</v>
      </c>
      <c r="D288" t="b">
        <f>OR(ISNUMBER(SEARCH("wagon_",Table1[[#This Row],[FILENAMES_EXPECTED]])),ISNUMBER(SEARCH("coach_",Table1[[#This Row],[FILENAMES_EXPECTED]])))</f>
        <v>0</v>
      </c>
      <c r="E288" t="str">
        <f>"item_"&amp;Table1[[#This Row],[VEHIDCODE]]</f>
        <v>item_diesel_Italy_FS_207</v>
      </c>
      <c r="F288" t="str">
        <f>"str_"&amp;Table1[[#This Row],[VEHIDCODE]]</f>
        <v>str_diesel_Italy_FS_207</v>
      </c>
      <c r="G288">
        <v>2</v>
      </c>
      <c r="H288" t="s">
        <v>20</v>
      </c>
      <c r="I288">
        <v>0</v>
      </c>
      <c r="J288" t="s">
        <v>35</v>
      </c>
      <c r="K288">
        <v>0</v>
      </c>
      <c r="L288">
        <v>1931</v>
      </c>
      <c r="M288">
        <v>2</v>
      </c>
      <c r="N288" s="2" t="s">
        <v>20</v>
      </c>
      <c r="O288" t="b">
        <v>1</v>
      </c>
      <c r="Q288" s="2"/>
      <c r="R288">
        <v>45</v>
      </c>
      <c r="S288">
        <v>1</v>
      </c>
      <c r="T288">
        <v>75</v>
      </c>
      <c r="U288" t="s">
        <v>711</v>
      </c>
      <c r="V288">
        <v>30</v>
      </c>
      <c r="W288" s="2">
        <v>0.27</v>
      </c>
      <c r="AF288" s="2" t="b">
        <v>1</v>
      </c>
      <c r="AX288"/>
      <c r="BA288" s="2"/>
      <c r="BB288" s="2" t="b">
        <f>LEN(_xlfn.CONCAT(Table1[[#This Row],[TRACK_TYPE_STANDARD_GAUGE_RAILTYPE_OHLE]:[TRACK_TYPE_MTRO]]))&gt;0</f>
        <v>1</v>
      </c>
      <c r="BC288" s="7">
        <v>40</v>
      </c>
      <c r="BD288" t="s">
        <v>924</v>
      </c>
      <c r="BE288" t="s">
        <v>922</v>
      </c>
      <c r="BF288" t="s">
        <v>940</v>
      </c>
      <c r="BG2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8">
        <v>0</v>
      </c>
      <c r="BI288" t="s">
        <v>734</v>
      </c>
      <c r="BK288" s="11"/>
      <c r="BL288" s="11">
        <v>6</v>
      </c>
      <c r="BM288">
        <v>0</v>
      </c>
      <c r="BN288" t="s">
        <v>692</v>
      </c>
      <c r="BO288" t="s">
        <v>694</v>
      </c>
      <c r="BP288" t="s">
        <v>701</v>
      </c>
      <c r="BQ288" t="s">
        <v>705</v>
      </c>
      <c r="BR288" t="s">
        <v>706</v>
      </c>
      <c r="BS288" t="s">
        <v>707</v>
      </c>
    </row>
    <row r="289" spans="1:71" hidden="1" x14ac:dyDescent="0.4">
      <c r="A289" s="2" t="s">
        <v>313</v>
      </c>
      <c r="B289" t="str">
        <f>_xlfn.TEXTAFTER(Table1[[#This Row],[VEHIDCODE]],"_")</f>
        <v>Russia_RZD_Db</v>
      </c>
      <c r="C289" t="s">
        <v>740</v>
      </c>
      <c r="D289" t="b">
        <f>OR(ISNUMBER(SEARCH("wagon_",Table1[[#This Row],[FILENAMES_EXPECTED]])),ISNUMBER(SEARCH("coach_",Table1[[#This Row],[FILENAMES_EXPECTED]])))</f>
        <v>0</v>
      </c>
      <c r="E289" t="str">
        <f>"item_"&amp;Table1[[#This Row],[VEHIDCODE]]</f>
        <v>item_diesel_Russia_RZD_Db</v>
      </c>
      <c r="F289" t="str">
        <f>"str_"&amp;Table1[[#This Row],[VEHIDCODE]]</f>
        <v>str_diesel_Russia_RZD_Db</v>
      </c>
      <c r="G289">
        <v>8</v>
      </c>
      <c r="H289" t="s">
        <v>20</v>
      </c>
      <c r="I289">
        <v>0</v>
      </c>
      <c r="J289" t="s">
        <v>35</v>
      </c>
      <c r="K289">
        <v>0</v>
      </c>
      <c r="L289">
        <v>1945</v>
      </c>
      <c r="M289">
        <v>8</v>
      </c>
      <c r="N289" s="2" t="s">
        <v>20</v>
      </c>
      <c r="O289" t="b">
        <v>1</v>
      </c>
      <c r="Q289" s="2"/>
      <c r="R289">
        <v>45</v>
      </c>
      <c r="S289">
        <v>1</v>
      </c>
      <c r="T289">
        <v>1000</v>
      </c>
      <c r="U289" t="s">
        <v>711</v>
      </c>
      <c r="V289">
        <v>97</v>
      </c>
      <c r="W289" s="2">
        <v>0.15</v>
      </c>
      <c r="AF289" s="2" t="b">
        <v>1</v>
      </c>
      <c r="AX289"/>
      <c r="BA289" s="2"/>
      <c r="BB289" s="2" t="b">
        <f>LEN(_xlfn.CONCAT(Table1[[#This Row],[TRACK_TYPE_STANDARD_GAUGE_RAILTYPE_OHLE]:[TRACK_TYPE_MTRO]]))&gt;0</f>
        <v>1</v>
      </c>
      <c r="BC289" s="7">
        <v>40</v>
      </c>
      <c r="BD289" t="s">
        <v>931</v>
      </c>
      <c r="BE289" t="s">
        <v>922</v>
      </c>
      <c r="BF289" t="s">
        <v>940</v>
      </c>
      <c r="BG2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9">
        <v>0</v>
      </c>
      <c r="BI289" t="s">
        <v>734</v>
      </c>
      <c r="BK289" s="11"/>
      <c r="BL289" s="11">
        <v>117</v>
      </c>
      <c r="BM289">
        <v>0</v>
      </c>
      <c r="BN289" t="s">
        <v>692</v>
      </c>
      <c r="BO289" t="s">
        <v>694</v>
      </c>
      <c r="BP289" t="s">
        <v>701</v>
      </c>
      <c r="BQ289" t="s">
        <v>705</v>
      </c>
      <c r="BR289" t="s">
        <v>706</v>
      </c>
      <c r="BS289" t="s">
        <v>707</v>
      </c>
    </row>
    <row r="290" spans="1:71" hidden="1" x14ac:dyDescent="0.4">
      <c r="A290" s="2" t="s">
        <v>314</v>
      </c>
      <c r="B290" t="str">
        <f>_xlfn.TEXTAFTER(Table1[[#This Row],[VEHIDCODE]],"_")</f>
        <v>Portugal_CP_1500</v>
      </c>
      <c r="C290" t="s">
        <v>740</v>
      </c>
      <c r="D290" t="b">
        <f>OR(ISNUMBER(SEARCH("wagon_",Table1[[#This Row],[FILENAMES_EXPECTED]])),ISNUMBER(SEARCH("coach_",Table1[[#This Row],[FILENAMES_EXPECTED]])))</f>
        <v>0</v>
      </c>
      <c r="E290" t="str">
        <f>"item_"&amp;Table1[[#This Row],[VEHIDCODE]]</f>
        <v>item_diesel_Portugal_CP_1500</v>
      </c>
      <c r="F290" t="str">
        <f>"str_"&amp;Table1[[#This Row],[VEHIDCODE]]</f>
        <v>str_diesel_Portugal_CP_1500</v>
      </c>
      <c r="G290">
        <v>6</v>
      </c>
      <c r="H290" t="s">
        <v>20</v>
      </c>
      <c r="I290">
        <v>0</v>
      </c>
      <c r="J290" t="s">
        <v>35</v>
      </c>
      <c r="K290">
        <v>0</v>
      </c>
      <c r="L290">
        <v>1948</v>
      </c>
      <c r="M290">
        <v>6</v>
      </c>
      <c r="N290" s="2" t="s">
        <v>20</v>
      </c>
      <c r="O290" t="b">
        <v>1</v>
      </c>
      <c r="Q290" s="2"/>
      <c r="R290">
        <v>45</v>
      </c>
      <c r="S290">
        <v>1</v>
      </c>
      <c r="T290">
        <v>1700</v>
      </c>
      <c r="U290" t="s">
        <v>711</v>
      </c>
      <c r="V290">
        <v>120</v>
      </c>
      <c r="W290" s="2">
        <v>0.15</v>
      </c>
      <c r="AF290" s="2" t="b">
        <v>1</v>
      </c>
      <c r="AX290"/>
      <c r="BA290" s="2"/>
      <c r="BB290" s="2" t="b">
        <f>LEN(_xlfn.CONCAT(Table1[[#This Row],[TRACK_TYPE_STANDARD_GAUGE_RAILTYPE_OHLE]:[TRACK_TYPE_MTRO]]))&gt;0</f>
        <v>1</v>
      </c>
      <c r="BC290" s="7">
        <v>40</v>
      </c>
      <c r="BD290" t="s">
        <v>924</v>
      </c>
      <c r="BE290" t="s">
        <v>922</v>
      </c>
      <c r="BF290" t="s">
        <v>940</v>
      </c>
      <c r="BG2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0">
        <v>0</v>
      </c>
      <c r="BI290" t="s">
        <v>734</v>
      </c>
      <c r="BK290" s="11"/>
      <c r="BL290" s="11">
        <v>111</v>
      </c>
      <c r="BM290">
        <v>0</v>
      </c>
      <c r="BN290" t="s">
        <v>692</v>
      </c>
      <c r="BO290" t="s">
        <v>694</v>
      </c>
      <c r="BP290" t="s">
        <v>701</v>
      </c>
      <c r="BQ290" t="s">
        <v>705</v>
      </c>
      <c r="BR290" t="s">
        <v>706</v>
      </c>
      <c r="BS290" t="s">
        <v>707</v>
      </c>
    </row>
    <row r="291" spans="1:71" hidden="1" x14ac:dyDescent="0.4">
      <c r="A291" s="2" t="s">
        <v>315</v>
      </c>
      <c r="B291" t="str">
        <f>_xlfn.TEXTAFTER(Table1[[#This Row],[VEHIDCODE]],"_")</f>
        <v>France_SNCF_BB_67400</v>
      </c>
      <c r="C291" t="s">
        <v>740</v>
      </c>
      <c r="D291" t="b">
        <f>OR(ISNUMBER(SEARCH("wagon_",Table1[[#This Row],[FILENAMES_EXPECTED]])),ISNUMBER(SEARCH("coach_",Table1[[#This Row],[FILENAMES_EXPECTED]])))</f>
        <v>0</v>
      </c>
      <c r="E291" t="str">
        <f>"item_"&amp;Table1[[#This Row],[VEHIDCODE]]</f>
        <v>item_diesel_France_SNCF_BB_67400</v>
      </c>
      <c r="F291" t="str">
        <f>"str_"&amp;Table1[[#This Row],[VEHIDCODE]]</f>
        <v>str_diesel_France_SNCF_BB_67400</v>
      </c>
      <c r="G291">
        <v>8</v>
      </c>
      <c r="H291" t="s">
        <v>20</v>
      </c>
      <c r="I291">
        <v>0</v>
      </c>
      <c r="J291" t="s">
        <v>35</v>
      </c>
      <c r="K291">
        <v>0</v>
      </c>
      <c r="L291">
        <v>1969</v>
      </c>
      <c r="M291">
        <v>8</v>
      </c>
      <c r="N291" s="2" t="s">
        <v>20</v>
      </c>
      <c r="O291" t="b">
        <v>1</v>
      </c>
      <c r="Q291" s="2"/>
      <c r="R291">
        <v>45</v>
      </c>
      <c r="S291">
        <v>1</v>
      </c>
      <c r="T291">
        <v>2245</v>
      </c>
      <c r="U291" t="s">
        <v>711</v>
      </c>
      <c r="V291">
        <v>140</v>
      </c>
      <c r="W291" s="2">
        <v>0.34</v>
      </c>
      <c r="AF291" s="2" t="b">
        <v>1</v>
      </c>
      <c r="AX291"/>
      <c r="BA291" s="2"/>
      <c r="BB291" s="2" t="b">
        <f>LEN(_xlfn.CONCAT(Table1[[#This Row],[TRACK_TYPE_STANDARD_GAUGE_RAILTYPE_OHLE]:[TRACK_TYPE_MTRO]]))&gt;0</f>
        <v>1</v>
      </c>
      <c r="BC291" s="7">
        <v>40</v>
      </c>
      <c r="BD291" t="s">
        <v>923</v>
      </c>
      <c r="BE291" t="s">
        <v>922</v>
      </c>
      <c r="BF291" t="s">
        <v>940</v>
      </c>
      <c r="BG2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1">
        <v>0</v>
      </c>
      <c r="BI291" t="s">
        <v>734</v>
      </c>
      <c r="BK291" s="11"/>
      <c r="BL291" s="11">
        <v>83</v>
      </c>
      <c r="BM291">
        <v>0</v>
      </c>
      <c r="BN291" t="s">
        <v>692</v>
      </c>
      <c r="BO291" t="s">
        <v>694</v>
      </c>
      <c r="BP291" t="s">
        <v>701</v>
      </c>
      <c r="BQ291" t="s">
        <v>705</v>
      </c>
      <c r="BR291" t="s">
        <v>706</v>
      </c>
      <c r="BS291" t="s">
        <v>707</v>
      </c>
    </row>
    <row r="292" spans="1:71" hidden="1" x14ac:dyDescent="0.4">
      <c r="A292" s="2" t="s">
        <v>316</v>
      </c>
      <c r="B292" t="str">
        <f>_xlfn.TEXTAFTER(Table1[[#This Row],[VEHIDCODE]],"_")</f>
        <v>Netherlands_NS_6400</v>
      </c>
      <c r="C292" t="s">
        <v>740</v>
      </c>
      <c r="D292" t="b">
        <f>OR(ISNUMBER(SEARCH("wagon_",Table1[[#This Row],[FILENAMES_EXPECTED]])),ISNUMBER(SEARCH("coach_",Table1[[#This Row],[FILENAMES_EXPECTED]])))</f>
        <v>0</v>
      </c>
      <c r="E292" t="str">
        <f>"item_"&amp;Table1[[#This Row],[VEHIDCODE]]</f>
        <v>item_diesel_Netherlands_NS_6400</v>
      </c>
      <c r="F292" t="str">
        <f>"str_"&amp;Table1[[#This Row],[VEHIDCODE]]</f>
        <v>str_diesel_Netherlands_NS_6400</v>
      </c>
      <c r="G292">
        <v>6</v>
      </c>
      <c r="H292" t="s">
        <v>20</v>
      </c>
      <c r="I292">
        <v>0</v>
      </c>
      <c r="J292" t="s">
        <v>35</v>
      </c>
      <c r="K292">
        <v>0</v>
      </c>
      <c r="L292">
        <v>1988</v>
      </c>
      <c r="M292">
        <v>6</v>
      </c>
      <c r="N292" s="2" t="s">
        <v>20</v>
      </c>
      <c r="O292" t="b">
        <v>1</v>
      </c>
      <c r="Q292" s="2"/>
      <c r="R292">
        <v>45</v>
      </c>
      <c r="S292">
        <v>1</v>
      </c>
      <c r="T292">
        <v>1581</v>
      </c>
      <c r="U292" t="s">
        <v>711</v>
      </c>
      <c r="V292">
        <v>120</v>
      </c>
      <c r="W292" s="2">
        <v>0.38</v>
      </c>
      <c r="AF292" s="2" t="b">
        <v>1</v>
      </c>
      <c r="AX292"/>
      <c r="BA292" s="2"/>
      <c r="BB292" s="2" t="b">
        <f>LEN(_xlfn.CONCAT(Table1[[#This Row],[TRACK_TYPE_STANDARD_GAUGE_RAILTYPE_OHLE]:[TRACK_TYPE_MTRO]]))&gt;0</f>
        <v>1</v>
      </c>
      <c r="BC292" s="7">
        <v>40</v>
      </c>
      <c r="BD292" t="s">
        <v>923</v>
      </c>
      <c r="BE292" t="s">
        <v>922</v>
      </c>
      <c r="BF292" t="s">
        <v>940</v>
      </c>
      <c r="BG2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2">
        <v>0</v>
      </c>
      <c r="BI292" t="s">
        <v>734</v>
      </c>
      <c r="BK292" s="11"/>
      <c r="BL292" s="11">
        <v>80</v>
      </c>
      <c r="BM292">
        <v>0</v>
      </c>
      <c r="BN292" t="s">
        <v>692</v>
      </c>
      <c r="BO292" t="s">
        <v>694</v>
      </c>
      <c r="BP292" t="s">
        <v>701</v>
      </c>
      <c r="BQ292" t="s">
        <v>705</v>
      </c>
      <c r="BR292" t="s">
        <v>706</v>
      </c>
      <c r="BS292" t="s">
        <v>707</v>
      </c>
    </row>
    <row r="293" spans="1:71" hidden="1" x14ac:dyDescent="0.4">
      <c r="A293" s="2" t="s">
        <v>317</v>
      </c>
      <c r="B293" t="str">
        <f>_xlfn.TEXTAFTER(Table1[[#This Row],[VEHIDCODE]],"_")</f>
        <v>Egypt_ENR_2400_GE_ES40ACi</v>
      </c>
      <c r="C293" t="s">
        <v>740</v>
      </c>
      <c r="D293" t="b">
        <f>OR(ISNUMBER(SEARCH("wagon_",Table1[[#This Row],[FILENAMES_EXPECTED]])),ISNUMBER(SEARCH("coach_",Table1[[#This Row],[FILENAMES_EXPECTED]])))</f>
        <v>0</v>
      </c>
      <c r="E293" t="str">
        <f>"item_"&amp;Table1[[#This Row],[VEHIDCODE]]</f>
        <v>item_diesel_Egypt_ENR_2400_GE_ES40ACi</v>
      </c>
      <c r="F293" t="str">
        <f>"str_"&amp;Table1[[#This Row],[VEHIDCODE]]</f>
        <v>str_diesel_Egypt_ENR_2400_GE_ES40ACi</v>
      </c>
      <c r="G293">
        <v>8</v>
      </c>
      <c r="H293" t="s">
        <v>20</v>
      </c>
      <c r="I293">
        <v>0</v>
      </c>
      <c r="J293" t="s">
        <v>35</v>
      </c>
      <c r="K293">
        <v>0</v>
      </c>
      <c r="L293">
        <v>2009</v>
      </c>
      <c r="M293">
        <v>8</v>
      </c>
      <c r="N293" s="2" t="s">
        <v>20</v>
      </c>
      <c r="O293" t="b">
        <v>1</v>
      </c>
      <c r="Q293" s="2"/>
      <c r="R293">
        <v>45</v>
      </c>
      <c r="S293">
        <v>1</v>
      </c>
      <c r="T293">
        <v>4000</v>
      </c>
      <c r="U293" t="s">
        <v>711</v>
      </c>
      <c r="V293">
        <v>120</v>
      </c>
      <c r="W293" s="2">
        <v>0.53</v>
      </c>
      <c r="AF293" s="2" t="b">
        <v>1</v>
      </c>
      <c r="AX293"/>
      <c r="BA293" s="2"/>
      <c r="BB293" s="2" t="b">
        <f>LEN(_xlfn.CONCAT(Table1[[#This Row],[TRACK_TYPE_STANDARD_GAUGE_RAILTYPE_OHLE]:[TRACK_TYPE_MTRO]]))&gt;0</f>
        <v>1</v>
      </c>
      <c r="BC293" s="7">
        <v>40</v>
      </c>
      <c r="BD293" t="s">
        <v>926</v>
      </c>
      <c r="BE293" t="s">
        <v>922</v>
      </c>
      <c r="BF293" t="s">
        <v>940</v>
      </c>
      <c r="BG2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3">
        <v>0</v>
      </c>
      <c r="BI293" t="s">
        <v>734</v>
      </c>
      <c r="BK293" s="11"/>
      <c r="BL293" s="11">
        <v>138</v>
      </c>
      <c r="BM293">
        <v>0</v>
      </c>
      <c r="BN293" t="s">
        <v>692</v>
      </c>
      <c r="BO293" t="s">
        <v>694</v>
      </c>
      <c r="BP293" t="s">
        <v>701</v>
      </c>
      <c r="BQ293" t="s">
        <v>705</v>
      </c>
      <c r="BR293" t="s">
        <v>706</v>
      </c>
      <c r="BS293" t="s">
        <v>707</v>
      </c>
    </row>
    <row r="294" spans="1:71" hidden="1" x14ac:dyDescent="0.4">
      <c r="A294" s="2" t="s">
        <v>318</v>
      </c>
      <c r="B294" t="str">
        <f>_xlfn.TEXTAFTER(Table1[[#This Row],[VEHIDCODE]],"_")</f>
        <v>South_Africa_SAR_Afro_4000</v>
      </c>
      <c r="C294" t="s">
        <v>740</v>
      </c>
      <c r="D294" t="b">
        <f>OR(ISNUMBER(SEARCH("wagon_",Table1[[#This Row],[FILENAMES_EXPECTED]])),ISNUMBER(SEARCH("coach_",Table1[[#This Row],[FILENAMES_EXPECTED]])))</f>
        <v>0</v>
      </c>
      <c r="E294" t="str">
        <f>"item_"&amp;Table1[[#This Row],[VEHIDCODE]]</f>
        <v>item_diesel_South_Africa_SAR_Afro_4000</v>
      </c>
      <c r="F294" t="str">
        <f>"str_"&amp;Table1[[#This Row],[VEHIDCODE]]</f>
        <v>str_diesel_South_Africa_SAR_Afro_4000</v>
      </c>
      <c r="G294">
        <v>8</v>
      </c>
      <c r="H294" t="s">
        <v>20</v>
      </c>
      <c r="I294">
        <v>0</v>
      </c>
      <c r="J294" t="s">
        <v>35</v>
      </c>
      <c r="K294">
        <v>0</v>
      </c>
      <c r="L294">
        <v>2014</v>
      </c>
      <c r="M294">
        <v>8</v>
      </c>
      <c r="N294" s="2" t="s">
        <v>20</v>
      </c>
      <c r="O294" t="b">
        <v>1</v>
      </c>
      <c r="Q294" s="2"/>
      <c r="R294" t="s">
        <v>21</v>
      </c>
      <c r="S294">
        <v>1</v>
      </c>
      <c r="T294">
        <v>4262</v>
      </c>
      <c r="U294" t="s">
        <v>711</v>
      </c>
      <c r="V294">
        <v>130</v>
      </c>
      <c r="W294" s="2">
        <v>0.26</v>
      </c>
      <c r="AF294" s="2" t="b">
        <v>1</v>
      </c>
      <c r="AX294"/>
      <c r="BA294" s="2"/>
      <c r="BB294" s="2" t="b">
        <f>LEN(_xlfn.CONCAT(Table1[[#This Row],[TRACK_TYPE_STANDARD_GAUGE_RAILTYPE_OHLE]:[TRACK_TYPE_MTRO]]))&gt;0</f>
        <v>1</v>
      </c>
      <c r="BC294" s="7">
        <v>40</v>
      </c>
      <c r="BD294" t="s">
        <v>926</v>
      </c>
      <c r="BE294" t="s">
        <v>922</v>
      </c>
      <c r="BF294" t="s">
        <v>940</v>
      </c>
      <c r="BG2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4">
        <v>0</v>
      </c>
      <c r="BI294" t="s">
        <v>734</v>
      </c>
      <c r="BK294" s="11"/>
      <c r="BL294" s="11">
        <v>123</v>
      </c>
      <c r="BM294">
        <v>0</v>
      </c>
      <c r="BN294" t="s">
        <v>692</v>
      </c>
      <c r="BO294" t="s">
        <v>694</v>
      </c>
      <c r="BP294" t="s">
        <v>701</v>
      </c>
      <c r="BQ294" t="s">
        <v>705</v>
      </c>
      <c r="BR294" t="s">
        <v>706</v>
      </c>
      <c r="BS294" t="s">
        <v>707</v>
      </c>
    </row>
    <row r="295" spans="1:71" hidden="1" x14ac:dyDescent="0.4">
      <c r="A295" s="2" t="s">
        <v>319</v>
      </c>
      <c r="B295" t="str">
        <f>_xlfn.TEXTAFTER(Table1[[#This Row],[VEHIDCODE]],"_")</f>
        <v>Spain_RENFE_308</v>
      </c>
      <c r="C295" t="s">
        <v>740</v>
      </c>
      <c r="D295" t="b">
        <f>OR(ISNUMBER(SEARCH("wagon_",Table1[[#This Row],[FILENAMES_EXPECTED]])),ISNUMBER(SEARCH("coach_",Table1[[#This Row],[FILENAMES_EXPECTED]])))</f>
        <v>0</v>
      </c>
      <c r="E295" t="str">
        <f>"item_"&amp;Table1[[#This Row],[VEHIDCODE]]</f>
        <v>item_diesel_Spain_RENFE_308</v>
      </c>
      <c r="F295" t="str">
        <f>"str_"&amp;Table1[[#This Row],[VEHIDCODE]]</f>
        <v>str_diesel_Spain_RENFE_308</v>
      </c>
      <c r="G295">
        <v>5</v>
      </c>
      <c r="H295" t="s">
        <v>20</v>
      </c>
      <c r="I295">
        <v>0</v>
      </c>
      <c r="J295" t="s">
        <v>35</v>
      </c>
      <c r="K295">
        <v>0</v>
      </c>
      <c r="L295">
        <v>1966</v>
      </c>
      <c r="M295">
        <v>5</v>
      </c>
      <c r="N295" s="2" t="s">
        <v>20</v>
      </c>
      <c r="O295" t="b">
        <v>1</v>
      </c>
      <c r="Q295" s="2"/>
      <c r="R295">
        <v>45</v>
      </c>
      <c r="S295">
        <v>1</v>
      </c>
      <c r="T295">
        <v>710</v>
      </c>
      <c r="U295" t="s">
        <v>711</v>
      </c>
      <c r="V295">
        <v>120</v>
      </c>
      <c r="W295" s="2">
        <v>0.2</v>
      </c>
      <c r="AF295" s="2" t="b">
        <v>1</v>
      </c>
      <c r="AX295"/>
      <c r="BA295" s="2"/>
      <c r="BB295" s="2" t="b">
        <f>LEN(_xlfn.CONCAT(Table1[[#This Row],[TRACK_TYPE_STANDARD_GAUGE_RAILTYPE_OHLE]:[TRACK_TYPE_MTRO]]))&gt;0</f>
        <v>1</v>
      </c>
      <c r="BC295" s="7">
        <v>40</v>
      </c>
      <c r="BD295" t="s">
        <v>924</v>
      </c>
      <c r="BE295" t="s">
        <v>922</v>
      </c>
      <c r="BF295" t="s">
        <v>940</v>
      </c>
      <c r="BG2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5">
        <v>0</v>
      </c>
      <c r="BI295" t="s">
        <v>734</v>
      </c>
      <c r="BK295" s="11"/>
      <c r="BL295" s="11">
        <v>64</v>
      </c>
      <c r="BM295">
        <v>0</v>
      </c>
      <c r="BN295" t="s">
        <v>692</v>
      </c>
      <c r="BO295" t="s">
        <v>694</v>
      </c>
      <c r="BP295" t="s">
        <v>701</v>
      </c>
      <c r="BQ295" t="s">
        <v>705</v>
      </c>
      <c r="BR295" t="s">
        <v>706</v>
      </c>
      <c r="BS295" t="s">
        <v>707</v>
      </c>
    </row>
    <row r="296" spans="1:71" hidden="1" x14ac:dyDescent="0.4">
      <c r="A296" s="2" t="s">
        <v>320</v>
      </c>
      <c r="B296" t="str">
        <f>_xlfn.TEXTAFTER(Table1[[#This Row],[VEHIDCODE]],"_")</f>
        <v>Australia_Pacific_National_XR_XRB</v>
      </c>
      <c r="C296" t="s">
        <v>740</v>
      </c>
      <c r="D296" t="b">
        <f>OR(ISNUMBER(SEARCH("wagon_",Table1[[#This Row],[FILENAMES_EXPECTED]])),ISNUMBER(SEARCH("coach_",Table1[[#This Row],[FILENAMES_EXPECTED]])))</f>
        <v>0</v>
      </c>
      <c r="E296" t="str">
        <f>"item_"&amp;Table1[[#This Row],[VEHIDCODE]]</f>
        <v>item_diesel_Australia_Pacific_National_XR_XRB</v>
      </c>
      <c r="F296" t="str">
        <f>"str_"&amp;Table1[[#This Row],[VEHIDCODE]]</f>
        <v>str_diesel_Australia_Pacific_National_XR_XRB</v>
      </c>
      <c r="G296">
        <v>7</v>
      </c>
      <c r="H296" t="s">
        <v>20</v>
      </c>
      <c r="I296">
        <v>0</v>
      </c>
      <c r="J296" t="s">
        <v>35</v>
      </c>
      <c r="K296">
        <v>0</v>
      </c>
      <c r="L296">
        <v>2002</v>
      </c>
      <c r="M296">
        <v>7</v>
      </c>
      <c r="N296" s="2" t="s">
        <v>24</v>
      </c>
      <c r="O296" t="b">
        <v>1</v>
      </c>
      <c r="Q296" s="2"/>
      <c r="R296">
        <v>45</v>
      </c>
      <c r="S296">
        <v>1</v>
      </c>
      <c r="T296">
        <v>3300</v>
      </c>
      <c r="U296" t="s">
        <v>711</v>
      </c>
      <c r="V296">
        <v>115</v>
      </c>
      <c r="W296" s="2">
        <v>0.34</v>
      </c>
      <c r="AF296" s="2" t="b">
        <v>1</v>
      </c>
      <c r="AX296"/>
      <c r="BA296" s="2"/>
      <c r="BB296" s="2" t="b">
        <f>LEN(_xlfn.CONCAT(Table1[[#This Row],[TRACK_TYPE_STANDARD_GAUGE_RAILTYPE_OHLE]:[TRACK_TYPE_MTRO]]))&gt;0</f>
        <v>1</v>
      </c>
      <c r="BC296" s="7">
        <v>40</v>
      </c>
      <c r="BD296" t="s">
        <v>925</v>
      </c>
      <c r="BE296" t="s">
        <v>922</v>
      </c>
      <c r="BF296" t="s">
        <v>940</v>
      </c>
      <c r="BG2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6">
        <v>0</v>
      </c>
      <c r="BI296" t="s">
        <v>734</v>
      </c>
      <c r="BK296" s="11"/>
      <c r="BL296" s="11">
        <v>124</v>
      </c>
      <c r="BM296">
        <v>0</v>
      </c>
      <c r="BN296" t="s">
        <v>692</v>
      </c>
      <c r="BO296" t="s">
        <v>694</v>
      </c>
      <c r="BP296" t="s">
        <v>701</v>
      </c>
      <c r="BQ296" t="s">
        <v>705</v>
      </c>
      <c r="BR296" t="s">
        <v>706</v>
      </c>
      <c r="BS296" t="s">
        <v>707</v>
      </c>
    </row>
    <row r="297" spans="1:71" hidden="1" x14ac:dyDescent="0.4">
      <c r="A297" s="2" t="s">
        <v>321</v>
      </c>
      <c r="B297" t="str">
        <f>_xlfn.TEXTAFTER(Table1[[#This Row],[VEHIDCODE]],"_")</f>
        <v>Norway_CargoNet_312</v>
      </c>
      <c r="C297" t="s">
        <v>740</v>
      </c>
      <c r="D297" t="b">
        <f>OR(ISNUMBER(SEARCH("wagon_",Table1[[#This Row],[FILENAMES_EXPECTED]])),ISNUMBER(SEARCH("coach_",Table1[[#This Row],[FILENAMES_EXPECTED]])))</f>
        <v>0</v>
      </c>
      <c r="E297" t="str">
        <f>"item_"&amp;Table1[[#This Row],[VEHIDCODE]]</f>
        <v>item_diesel_Norway_CargoNet_312</v>
      </c>
      <c r="F297" t="str">
        <f>"str_"&amp;Table1[[#This Row],[VEHIDCODE]]</f>
        <v>str_diesel_Norway_CargoNet_312</v>
      </c>
      <c r="G297">
        <v>8</v>
      </c>
      <c r="H297" t="s">
        <v>20</v>
      </c>
      <c r="I297">
        <v>0</v>
      </c>
      <c r="J297" t="s">
        <v>35</v>
      </c>
      <c r="K297">
        <v>0</v>
      </c>
      <c r="L297">
        <v>2006</v>
      </c>
      <c r="M297">
        <v>8</v>
      </c>
      <c r="N297" s="2" t="s">
        <v>20</v>
      </c>
      <c r="O297" t="b">
        <v>1</v>
      </c>
      <c r="Q297" s="2"/>
      <c r="R297">
        <v>45</v>
      </c>
      <c r="S297">
        <v>0</v>
      </c>
      <c r="T297">
        <v>4262</v>
      </c>
      <c r="U297" t="s">
        <v>711</v>
      </c>
      <c r="V297">
        <v>120</v>
      </c>
      <c r="W297" s="2">
        <v>0.33</v>
      </c>
      <c r="AF297" s="2" t="b">
        <v>1</v>
      </c>
      <c r="AX297"/>
      <c r="BA297" s="2"/>
      <c r="BB297" s="2" t="b">
        <f>LEN(_xlfn.CONCAT(Table1[[#This Row],[TRACK_TYPE_STANDARD_GAUGE_RAILTYPE_OHLE]:[TRACK_TYPE_MTRO]]))&gt;0</f>
        <v>1</v>
      </c>
      <c r="BC297" s="7">
        <v>40</v>
      </c>
      <c r="BD297" t="s">
        <v>927</v>
      </c>
      <c r="BE297" t="s">
        <v>922</v>
      </c>
      <c r="BF297" t="s">
        <v>940</v>
      </c>
      <c r="BG2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7">
        <v>0</v>
      </c>
      <c r="BI297" t="s">
        <v>734</v>
      </c>
      <c r="BK297" s="11"/>
      <c r="BL297" s="11">
        <v>123</v>
      </c>
      <c r="BM297">
        <v>0</v>
      </c>
      <c r="BN297" t="s">
        <v>692</v>
      </c>
      <c r="BO297" t="s">
        <v>694</v>
      </c>
      <c r="BP297" t="s">
        <v>701</v>
      </c>
      <c r="BQ297" t="s">
        <v>705</v>
      </c>
      <c r="BR297" t="s">
        <v>706</v>
      </c>
      <c r="BS297" t="s">
        <v>707</v>
      </c>
    </row>
    <row r="298" spans="1:71" hidden="1" x14ac:dyDescent="0.4">
      <c r="A298" s="2" t="s">
        <v>322</v>
      </c>
      <c r="B298" t="str">
        <f>_xlfn.TEXTAFTER(Table1[[#This Row],[VEHIDCODE]],"_")</f>
        <v>Australia_Pacific_National_92</v>
      </c>
      <c r="C298" t="s">
        <v>740</v>
      </c>
      <c r="D298" t="b">
        <f>OR(ISNUMBER(SEARCH("wagon_",Table1[[#This Row],[FILENAMES_EXPECTED]])),ISNUMBER(SEARCH("coach_",Table1[[#This Row],[FILENAMES_EXPECTED]])))</f>
        <v>0</v>
      </c>
      <c r="E298" t="str">
        <f>"item_"&amp;Table1[[#This Row],[VEHIDCODE]]</f>
        <v>item_diesel_Australia_Pacific_National_92</v>
      </c>
      <c r="F298" t="str">
        <f>"str_"&amp;Table1[[#This Row],[VEHIDCODE]]</f>
        <v>str_diesel_Australia_Pacific_National_92</v>
      </c>
      <c r="G298">
        <v>8</v>
      </c>
      <c r="H298" t="s">
        <v>20</v>
      </c>
      <c r="I298">
        <v>0</v>
      </c>
      <c r="J298" t="s">
        <v>35</v>
      </c>
      <c r="K298">
        <v>0</v>
      </c>
      <c r="L298">
        <v>2008</v>
      </c>
      <c r="M298">
        <v>8</v>
      </c>
      <c r="N298" s="2" t="s">
        <v>24</v>
      </c>
      <c r="O298" t="b">
        <v>1</v>
      </c>
      <c r="Q298" s="2"/>
      <c r="R298" t="s">
        <v>21</v>
      </c>
      <c r="S298">
        <v>1</v>
      </c>
      <c r="T298">
        <v>4520</v>
      </c>
      <c r="U298" t="s">
        <v>711</v>
      </c>
      <c r="V298">
        <v>115</v>
      </c>
      <c r="W298" s="2">
        <v>0.38</v>
      </c>
      <c r="AF298" s="2" t="b">
        <v>1</v>
      </c>
      <c r="AX298"/>
      <c r="BA298" s="2"/>
      <c r="BB298" s="2" t="b">
        <f>LEN(_xlfn.CONCAT(Table1[[#This Row],[TRACK_TYPE_STANDARD_GAUGE_RAILTYPE_OHLE]:[TRACK_TYPE_MTRO]]))&gt;0</f>
        <v>1</v>
      </c>
      <c r="BC298" s="7">
        <v>40</v>
      </c>
      <c r="BD298" t="s">
        <v>925</v>
      </c>
      <c r="BE298" t="s">
        <v>922</v>
      </c>
      <c r="BF298" t="s">
        <v>940</v>
      </c>
      <c r="BG2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8">
        <v>0</v>
      </c>
      <c r="BI298" t="s">
        <v>734</v>
      </c>
      <c r="BK298" s="11"/>
      <c r="BL298" s="11">
        <v>140</v>
      </c>
      <c r="BM298">
        <v>0</v>
      </c>
      <c r="BN298" t="s">
        <v>692</v>
      </c>
      <c r="BO298" t="s">
        <v>694</v>
      </c>
      <c r="BP298" t="s">
        <v>701</v>
      </c>
      <c r="BQ298" t="s">
        <v>705</v>
      </c>
      <c r="BR298" t="s">
        <v>706</v>
      </c>
      <c r="BS298" t="s">
        <v>707</v>
      </c>
    </row>
    <row r="299" spans="1:71" hidden="1" x14ac:dyDescent="0.4">
      <c r="A299" s="2" t="s">
        <v>323</v>
      </c>
      <c r="B299" t="str">
        <f>_xlfn.TEXTAFTER(Table1[[#This Row],[VEHIDCODE]],"_")</f>
        <v>UK_BR_68</v>
      </c>
      <c r="C299" t="s">
        <v>740</v>
      </c>
      <c r="D299" t="b">
        <f>OR(ISNUMBER(SEARCH("wagon_",Table1[[#This Row],[FILENAMES_EXPECTED]])),ISNUMBER(SEARCH("coach_",Table1[[#This Row],[FILENAMES_EXPECTED]])))</f>
        <v>0</v>
      </c>
      <c r="E299" t="str">
        <f>"item_"&amp;Table1[[#This Row],[VEHIDCODE]]</f>
        <v>item_diesel_UK_BR_68</v>
      </c>
      <c r="F299" t="str">
        <f>"str_"&amp;Table1[[#This Row],[VEHIDCODE]]</f>
        <v>str_diesel_UK_BR_68</v>
      </c>
      <c r="G299">
        <v>8</v>
      </c>
      <c r="H299" t="s">
        <v>20</v>
      </c>
      <c r="I299">
        <v>0</v>
      </c>
      <c r="J299" t="s">
        <v>35</v>
      </c>
      <c r="K299">
        <v>0</v>
      </c>
      <c r="L299">
        <v>2014</v>
      </c>
      <c r="M299">
        <v>8</v>
      </c>
      <c r="N299" s="2" t="s">
        <v>20</v>
      </c>
      <c r="O299" t="b">
        <v>1</v>
      </c>
      <c r="Q299" s="2"/>
      <c r="R299" t="s">
        <v>21</v>
      </c>
      <c r="S299">
        <v>1</v>
      </c>
      <c r="T299">
        <v>3800</v>
      </c>
      <c r="U299" t="s">
        <v>711</v>
      </c>
      <c r="V299">
        <v>160</v>
      </c>
      <c r="W299" s="2">
        <v>0.37</v>
      </c>
      <c r="AF299" s="2" t="b">
        <v>1</v>
      </c>
      <c r="AX299"/>
      <c r="BA299" s="2"/>
      <c r="BB299" s="2" t="b">
        <f>LEN(_xlfn.CONCAT(Table1[[#This Row],[TRACK_TYPE_STANDARD_GAUGE_RAILTYPE_OHLE]:[TRACK_TYPE_MTRO]]))&gt;0</f>
        <v>1</v>
      </c>
      <c r="BC299" s="7">
        <v>40</v>
      </c>
      <c r="BD299" t="s">
        <v>927</v>
      </c>
      <c r="BE299" t="s">
        <v>922</v>
      </c>
      <c r="BF299" t="s">
        <v>940</v>
      </c>
      <c r="BG2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9">
        <v>0</v>
      </c>
      <c r="BI299" t="s">
        <v>734</v>
      </c>
      <c r="BK299" s="11"/>
      <c r="BL299" s="11">
        <v>85</v>
      </c>
      <c r="BM299">
        <v>0</v>
      </c>
      <c r="BN299" t="s">
        <v>692</v>
      </c>
      <c r="BO299" t="s">
        <v>694</v>
      </c>
      <c r="BP299" t="s">
        <v>701</v>
      </c>
      <c r="BQ299" t="s">
        <v>705</v>
      </c>
      <c r="BR299" t="s">
        <v>706</v>
      </c>
      <c r="BS299" t="s">
        <v>707</v>
      </c>
    </row>
    <row r="300" spans="1:71" hidden="1" x14ac:dyDescent="0.4">
      <c r="A300" s="2" t="s">
        <v>324</v>
      </c>
      <c r="B300" t="str">
        <f>_xlfn.TEXTAFTER(Table1[[#This Row],[VEHIDCODE]],"_")</f>
        <v>USA_Amtrak_Charger</v>
      </c>
      <c r="C300" t="s">
        <v>740</v>
      </c>
      <c r="D300" t="b">
        <f>OR(ISNUMBER(SEARCH("wagon_",Table1[[#This Row],[FILENAMES_EXPECTED]])),ISNUMBER(SEARCH("coach_",Table1[[#This Row],[FILENAMES_EXPECTED]])))</f>
        <v>0</v>
      </c>
      <c r="E300" t="str">
        <f>"item_"&amp;Table1[[#This Row],[VEHIDCODE]]</f>
        <v>item_diesel_USA_Amtrak_Charger</v>
      </c>
      <c r="F300" t="str">
        <f>"str_"&amp;Table1[[#This Row],[VEHIDCODE]]</f>
        <v>str_diesel_USA_Amtrak_Charger</v>
      </c>
      <c r="G300">
        <v>8</v>
      </c>
      <c r="H300" t="s">
        <v>20</v>
      </c>
      <c r="I300">
        <v>0</v>
      </c>
      <c r="J300" t="s">
        <v>35</v>
      </c>
      <c r="K300">
        <v>0</v>
      </c>
      <c r="L300">
        <v>2015</v>
      </c>
      <c r="M300">
        <v>8</v>
      </c>
      <c r="N300" s="2" t="s">
        <v>20</v>
      </c>
      <c r="O300" t="b">
        <v>1</v>
      </c>
      <c r="Q300" s="2"/>
      <c r="R300" t="s">
        <v>21</v>
      </c>
      <c r="S300">
        <v>1</v>
      </c>
      <c r="T300">
        <v>4400</v>
      </c>
      <c r="U300" t="s">
        <v>711</v>
      </c>
      <c r="V300">
        <v>201</v>
      </c>
      <c r="W300" s="2">
        <v>0.24</v>
      </c>
      <c r="AF300" s="2" t="b">
        <v>1</v>
      </c>
      <c r="AX300"/>
      <c r="BA300" s="2"/>
      <c r="BB300" s="2" t="b">
        <f>LEN(_xlfn.CONCAT(Table1[[#This Row],[TRACK_TYPE_STANDARD_GAUGE_RAILTYPE_OHLE]:[TRACK_TYPE_MTRO]]))&gt;0</f>
        <v>1</v>
      </c>
      <c r="BC300" s="7">
        <v>40</v>
      </c>
      <c r="BD300" t="s">
        <v>928</v>
      </c>
      <c r="BE300" t="s">
        <v>922</v>
      </c>
      <c r="BF300" t="s">
        <v>940</v>
      </c>
      <c r="BG3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00">
        <v>0</v>
      </c>
      <c r="BI300" t="s">
        <v>734</v>
      </c>
      <c r="BK300" s="11"/>
      <c r="BL300" s="11">
        <v>120</v>
      </c>
      <c r="BM300">
        <v>0</v>
      </c>
      <c r="BN300" t="s">
        <v>692</v>
      </c>
      <c r="BO300" t="s">
        <v>694</v>
      </c>
      <c r="BP300" t="s">
        <v>701</v>
      </c>
      <c r="BQ300" t="s">
        <v>705</v>
      </c>
      <c r="BR300" t="s">
        <v>706</v>
      </c>
      <c r="BS300" t="s">
        <v>707</v>
      </c>
    </row>
    <row r="301" spans="1:71" hidden="1" x14ac:dyDescent="0.4">
      <c r="A301" s="2" t="s">
        <v>325</v>
      </c>
      <c r="B301" t="str">
        <f>_xlfn.TEXTAFTER(Table1[[#This Row],[VEHIDCODE]],"_")</f>
        <v>Argentina_Le_Brugeoise</v>
      </c>
      <c r="C301" t="s">
        <v>741</v>
      </c>
      <c r="D301" t="b">
        <f>OR(ISNUMBER(SEARCH("wagon_",Table1[[#This Row],[FILENAMES_EXPECTED]])),ISNUMBER(SEARCH("coach_",Table1[[#This Row],[FILENAMES_EXPECTED]])))</f>
        <v>0</v>
      </c>
      <c r="E301" t="str">
        <f>"item_"&amp;Table1[[#This Row],[VEHIDCODE]]</f>
        <v>item_mtro_Argentina_Le_Brugeoise</v>
      </c>
      <c r="F301" t="str">
        <f>"str_"&amp;Table1[[#This Row],[VEHIDCODE]]</f>
        <v>str_mtro_Argentina_Le_Brugeoise</v>
      </c>
      <c r="G301">
        <v>7</v>
      </c>
      <c r="H301" t="s">
        <v>326</v>
      </c>
      <c r="I301">
        <v>1</v>
      </c>
      <c r="J301" t="s">
        <v>19</v>
      </c>
      <c r="K301">
        <v>142</v>
      </c>
      <c r="L301">
        <v>1911</v>
      </c>
      <c r="M301">
        <v>7</v>
      </c>
      <c r="N301" s="2" t="s">
        <v>327</v>
      </c>
      <c r="O301" t="b">
        <v>1</v>
      </c>
      <c r="P301" t="b">
        <v>1</v>
      </c>
      <c r="Q301" s="2"/>
      <c r="R301">
        <v>45</v>
      </c>
      <c r="S301">
        <v>1</v>
      </c>
      <c r="T301">
        <v>230</v>
      </c>
      <c r="U301" t="s">
        <v>709</v>
      </c>
      <c r="V301">
        <v>50</v>
      </c>
      <c r="W301" s="2">
        <v>0.16</v>
      </c>
      <c r="AC301" t="b">
        <v>1</v>
      </c>
      <c r="AX301"/>
      <c r="BA301" s="2"/>
      <c r="BB301" s="2" t="b">
        <f>LEN(_xlfn.CONCAT(Table1[[#This Row],[TRACK_TYPE_STANDARD_GAUGE_RAILTYPE_OHLE]:[TRACK_TYPE_MTRO]]))&gt;0</f>
        <v>1</v>
      </c>
      <c r="BC301" s="7">
        <v>60</v>
      </c>
      <c r="BD301" t="s">
        <v>930</v>
      </c>
      <c r="BE301" t="s">
        <v>922</v>
      </c>
      <c r="BF301" t="s">
        <v>940</v>
      </c>
      <c r="BG3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1">
        <v>0</v>
      </c>
      <c r="BI301" t="s">
        <v>734</v>
      </c>
      <c r="BJ301" s="11">
        <v>142</v>
      </c>
      <c r="BK301" s="11">
        <v>7</v>
      </c>
      <c r="BL301" s="11">
        <v>50</v>
      </c>
      <c r="BM301">
        <v>0</v>
      </c>
      <c r="BN301" t="s">
        <v>692</v>
      </c>
      <c r="BO301" t="s">
        <v>694</v>
      </c>
      <c r="BP301" t="s">
        <v>701</v>
      </c>
      <c r="BQ301" t="s">
        <v>705</v>
      </c>
      <c r="BR301" t="s">
        <v>706</v>
      </c>
      <c r="BS301" t="s">
        <v>707</v>
      </c>
    </row>
    <row r="302" spans="1:71" hidden="1" x14ac:dyDescent="0.4">
      <c r="A302" s="2" t="s">
        <v>328</v>
      </c>
      <c r="B302" t="str">
        <f>_xlfn.TEXTAFTER(Table1[[#This Row],[VEHIDCODE]],"_")</f>
        <v>USA_NY_R1</v>
      </c>
      <c r="C302" t="s">
        <v>741</v>
      </c>
      <c r="D302" t="b">
        <f>OR(ISNUMBER(SEARCH("wagon_",Table1[[#This Row],[FILENAMES_EXPECTED]])),ISNUMBER(SEARCH("coach_",Table1[[#This Row],[FILENAMES_EXPECTED]])))</f>
        <v>0</v>
      </c>
      <c r="E302" t="str">
        <f>"item_"&amp;Table1[[#This Row],[VEHIDCODE]]</f>
        <v>item_mtro_USA_NY_R1</v>
      </c>
      <c r="F302" t="str">
        <f>"str_"&amp;Table1[[#This Row],[VEHIDCODE]]</f>
        <v>str_mtro_USA_NY_R1</v>
      </c>
      <c r="G302">
        <v>8</v>
      </c>
      <c r="H302" t="s">
        <v>326</v>
      </c>
      <c r="I302">
        <v>1</v>
      </c>
      <c r="J302" t="s">
        <v>19</v>
      </c>
      <c r="K302">
        <v>156</v>
      </c>
      <c r="L302">
        <v>1930</v>
      </c>
      <c r="M302">
        <v>8</v>
      </c>
      <c r="N302" s="2" t="s">
        <v>327</v>
      </c>
      <c r="O302" t="b">
        <v>1</v>
      </c>
      <c r="P302" t="b">
        <v>1</v>
      </c>
      <c r="Q302" s="2"/>
      <c r="R302">
        <v>45</v>
      </c>
      <c r="S302">
        <v>1</v>
      </c>
      <c r="T302">
        <v>380</v>
      </c>
      <c r="U302" t="s">
        <v>709</v>
      </c>
      <c r="V302">
        <v>90</v>
      </c>
      <c r="W302" s="2">
        <v>0.32</v>
      </c>
      <c r="AC302" t="b">
        <v>1</v>
      </c>
      <c r="AX302"/>
      <c r="BA302" s="2"/>
      <c r="BB302" s="2" t="b">
        <f>LEN(_xlfn.CONCAT(Table1[[#This Row],[TRACK_TYPE_STANDARD_GAUGE_RAILTYPE_OHLE]:[TRACK_TYPE_MTRO]]))&gt;0</f>
        <v>1</v>
      </c>
      <c r="BC302" s="7">
        <v>60</v>
      </c>
      <c r="BD302" t="s">
        <v>928</v>
      </c>
      <c r="BE302" t="s">
        <v>922</v>
      </c>
      <c r="BF302" t="s">
        <v>940</v>
      </c>
      <c r="BG3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2">
        <v>0</v>
      </c>
      <c r="BI302" t="s">
        <v>734</v>
      </c>
      <c r="BJ302" s="11">
        <v>156</v>
      </c>
      <c r="BK302" s="11">
        <v>8</v>
      </c>
      <c r="BL302" s="11">
        <v>38</v>
      </c>
      <c r="BM302">
        <v>0</v>
      </c>
      <c r="BN302" t="s">
        <v>692</v>
      </c>
      <c r="BO302" t="s">
        <v>694</v>
      </c>
      <c r="BP302" t="s">
        <v>701</v>
      </c>
      <c r="BQ302" t="s">
        <v>705</v>
      </c>
      <c r="BR302" t="s">
        <v>706</v>
      </c>
      <c r="BS302" t="s">
        <v>707</v>
      </c>
    </row>
    <row r="303" spans="1:71" hidden="1" x14ac:dyDescent="0.4">
      <c r="A303" s="2" t="s">
        <v>329</v>
      </c>
      <c r="B303" t="str">
        <f>_xlfn.TEXTAFTER(Table1[[#This Row],[VEHIDCODE]],"_")</f>
        <v>Germany_DB_ET_171</v>
      </c>
      <c r="C303" t="s">
        <v>741</v>
      </c>
      <c r="D303" t="b">
        <f>OR(ISNUMBER(SEARCH("wagon_",Table1[[#This Row],[FILENAMES_EXPECTED]])),ISNUMBER(SEARCH("coach_",Table1[[#This Row],[FILENAMES_EXPECTED]])))</f>
        <v>0</v>
      </c>
      <c r="E303" t="str">
        <f>"item_"&amp;Table1[[#This Row],[VEHIDCODE]]</f>
        <v>item_mtro_Germany_DB_ET_171</v>
      </c>
      <c r="F303" t="str">
        <f>"str_"&amp;Table1[[#This Row],[VEHIDCODE]]</f>
        <v>str_mtro_Germany_DB_ET_171</v>
      </c>
      <c r="G303">
        <v>8</v>
      </c>
      <c r="H303" t="s">
        <v>326</v>
      </c>
      <c r="I303">
        <v>1</v>
      </c>
      <c r="J303" t="s">
        <v>19</v>
      </c>
      <c r="K303">
        <v>160</v>
      </c>
      <c r="L303">
        <v>1942</v>
      </c>
      <c r="M303">
        <v>8</v>
      </c>
      <c r="N303" s="2" t="s">
        <v>327</v>
      </c>
      <c r="O303" t="b">
        <v>1</v>
      </c>
      <c r="P303" t="b">
        <v>1</v>
      </c>
      <c r="Q303" s="2"/>
      <c r="R303">
        <v>45</v>
      </c>
      <c r="S303">
        <v>1</v>
      </c>
      <c r="T303">
        <v>520</v>
      </c>
      <c r="U303" t="s">
        <v>709</v>
      </c>
      <c r="V303">
        <v>80</v>
      </c>
      <c r="W303" s="2">
        <v>0.32</v>
      </c>
      <c r="AC303" t="b">
        <v>1</v>
      </c>
      <c r="AX303"/>
      <c r="BA303" s="2"/>
      <c r="BB303" s="2" t="b">
        <f>LEN(_xlfn.CONCAT(Table1[[#This Row],[TRACK_TYPE_STANDARD_GAUGE_RAILTYPE_OHLE]:[TRACK_TYPE_MTRO]]))&gt;0</f>
        <v>1</v>
      </c>
      <c r="BC303" s="7">
        <v>60</v>
      </c>
      <c r="BD303" t="s">
        <v>923</v>
      </c>
      <c r="BE303" t="s">
        <v>922</v>
      </c>
      <c r="BF303" t="s">
        <v>940</v>
      </c>
      <c r="BG3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3">
        <v>0</v>
      </c>
      <c r="BI303" t="s">
        <v>734</v>
      </c>
      <c r="BJ303" s="11">
        <v>160</v>
      </c>
      <c r="BK303" s="11">
        <v>8</v>
      </c>
      <c r="BL303" s="11">
        <v>44</v>
      </c>
      <c r="BM303">
        <v>0</v>
      </c>
      <c r="BN303" t="s">
        <v>692</v>
      </c>
      <c r="BO303" t="s">
        <v>694</v>
      </c>
      <c r="BP303" t="s">
        <v>701</v>
      </c>
      <c r="BQ303" t="s">
        <v>705</v>
      </c>
      <c r="BR303" t="s">
        <v>706</v>
      </c>
      <c r="BS303" t="s">
        <v>707</v>
      </c>
    </row>
    <row r="304" spans="1:71" hidden="1" x14ac:dyDescent="0.4">
      <c r="A304" s="2" t="s">
        <v>330</v>
      </c>
      <c r="B304" t="str">
        <f>_xlfn.TEXTAFTER(Table1[[#This Row],[VEHIDCODE]],"_")</f>
        <v>France_Paris_M2_840</v>
      </c>
      <c r="C304" t="s">
        <v>741</v>
      </c>
      <c r="D304" t="b">
        <f>OR(ISNUMBER(SEARCH("wagon_",Table1[[#This Row],[FILENAMES_EXPECTED]])),ISNUMBER(SEARCH("coach_",Table1[[#This Row],[FILENAMES_EXPECTED]])))</f>
        <v>0</v>
      </c>
      <c r="E304" t="str">
        <f>"item_"&amp;Table1[[#This Row],[VEHIDCODE]]</f>
        <v>item_mtro_France_Paris_M2_840</v>
      </c>
      <c r="F304" t="str">
        <f>"str_"&amp;Table1[[#This Row],[VEHIDCODE]]</f>
        <v>str_mtro_France_Paris_M2_840</v>
      </c>
      <c r="G304">
        <v>7</v>
      </c>
      <c r="H304" t="s">
        <v>326</v>
      </c>
      <c r="I304">
        <v>1</v>
      </c>
      <c r="J304" t="s">
        <v>19</v>
      </c>
      <c r="K304">
        <v>140</v>
      </c>
      <c r="L304">
        <v>1957</v>
      </c>
      <c r="M304">
        <v>7</v>
      </c>
      <c r="N304" s="2" t="s">
        <v>327</v>
      </c>
      <c r="O304" t="b">
        <v>1</v>
      </c>
      <c r="P304" t="b">
        <v>1</v>
      </c>
      <c r="Q304" s="2"/>
      <c r="R304">
        <v>45</v>
      </c>
      <c r="S304">
        <v>1</v>
      </c>
      <c r="T304">
        <v>450</v>
      </c>
      <c r="U304" t="s">
        <v>709</v>
      </c>
      <c r="V304">
        <v>80</v>
      </c>
      <c r="W304" s="2">
        <v>0.32</v>
      </c>
      <c r="AC304" t="b">
        <v>1</v>
      </c>
      <c r="AX304"/>
      <c r="BA304" s="2"/>
      <c r="BB304" s="2" t="b">
        <f>LEN(_xlfn.CONCAT(Table1[[#This Row],[TRACK_TYPE_STANDARD_GAUGE_RAILTYPE_OHLE]:[TRACK_TYPE_MTRO]]))&gt;0</f>
        <v>1</v>
      </c>
      <c r="BC304" s="7">
        <v>60</v>
      </c>
      <c r="BD304" t="s">
        <v>923</v>
      </c>
      <c r="BE304" t="s">
        <v>922</v>
      </c>
      <c r="BF304" t="s">
        <v>940</v>
      </c>
      <c r="BG3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4">
        <v>0</v>
      </c>
      <c r="BI304" t="s">
        <v>734</v>
      </c>
      <c r="BJ304" s="11">
        <v>140</v>
      </c>
      <c r="BK304" s="11">
        <v>7</v>
      </c>
      <c r="BL304" s="11">
        <v>37</v>
      </c>
      <c r="BM304">
        <v>0</v>
      </c>
      <c r="BN304" t="s">
        <v>692</v>
      </c>
      <c r="BO304" t="s">
        <v>694</v>
      </c>
      <c r="BP304" t="s">
        <v>701</v>
      </c>
      <c r="BQ304" t="s">
        <v>705</v>
      </c>
      <c r="BR304" t="s">
        <v>706</v>
      </c>
      <c r="BS304" t="s">
        <v>707</v>
      </c>
    </row>
    <row r="305" spans="1:71" hidden="1" x14ac:dyDescent="0.4">
      <c r="A305" s="2" t="s">
        <v>331</v>
      </c>
      <c r="B305" t="str">
        <f>_xlfn.TEXTAFTER(Table1[[#This Row],[VEHIDCODE]],"_")</f>
        <v>Portugal_Lisbon_ML7</v>
      </c>
      <c r="C305" t="s">
        <v>741</v>
      </c>
      <c r="D305" t="b">
        <f>OR(ISNUMBER(SEARCH("wagon_",Table1[[#This Row],[FILENAMES_EXPECTED]])),ISNUMBER(SEARCH("coach_",Table1[[#This Row],[FILENAMES_EXPECTED]])))</f>
        <v>0</v>
      </c>
      <c r="E305" t="str">
        <f>"item_"&amp;Table1[[#This Row],[VEHIDCODE]]</f>
        <v>item_mtro_Portugal_Lisbon_ML7</v>
      </c>
      <c r="F305" t="str">
        <f>"str_"&amp;Table1[[#This Row],[VEHIDCODE]]</f>
        <v>str_mtro_Portugal_Lisbon_ML7</v>
      </c>
      <c r="G305">
        <v>8</v>
      </c>
      <c r="H305" t="s">
        <v>326</v>
      </c>
      <c r="I305">
        <v>1</v>
      </c>
      <c r="J305" t="s">
        <v>19</v>
      </c>
      <c r="K305">
        <v>160</v>
      </c>
      <c r="L305">
        <v>1959</v>
      </c>
      <c r="M305">
        <v>8</v>
      </c>
      <c r="N305" s="2" t="s">
        <v>327</v>
      </c>
      <c r="O305" t="b">
        <v>1</v>
      </c>
      <c r="P305" t="b">
        <v>1</v>
      </c>
      <c r="Q305" s="2"/>
      <c r="R305">
        <v>45</v>
      </c>
      <c r="S305">
        <v>1</v>
      </c>
      <c r="T305">
        <v>535</v>
      </c>
      <c r="U305" t="s">
        <v>709</v>
      </c>
      <c r="V305">
        <v>60</v>
      </c>
      <c r="W305" s="2">
        <v>0.48</v>
      </c>
      <c r="AC305" t="b">
        <v>1</v>
      </c>
      <c r="AX305"/>
      <c r="BA305" s="2"/>
      <c r="BB305" s="2" t="b">
        <f>LEN(_xlfn.CONCAT(Table1[[#This Row],[TRACK_TYPE_STANDARD_GAUGE_RAILTYPE_OHLE]:[TRACK_TYPE_MTRO]]))&gt;0</f>
        <v>1</v>
      </c>
      <c r="BC305" s="7">
        <v>60</v>
      </c>
      <c r="BD305" t="s">
        <v>924</v>
      </c>
      <c r="BE305" t="s">
        <v>922</v>
      </c>
      <c r="BF305" t="s">
        <v>940</v>
      </c>
      <c r="BG3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5">
        <v>0</v>
      </c>
      <c r="BI305" t="s">
        <v>734</v>
      </c>
      <c r="BJ305" s="11">
        <v>160</v>
      </c>
      <c r="BK305" s="11">
        <v>8</v>
      </c>
      <c r="BL305" s="11">
        <v>35</v>
      </c>
      <c r="BM305">
        <v>0</v>
      </c>
      <c r="BN305" t="s">
        <v>692</v>
      </c>
      <c r="BO305" t="s">
        <v>694</v>
      </c>
      <c r="BP305" t="s">
        <v>701</v>
      </c>
      <c r="BQ305" t="s">
        <v>705</v>
      </c>
      <c r="BR305" t="s">
        <v>706</v>
      </c>
      <c r="BS305" t="s">
        <v>707</v>
      </c>
    </row>
    <row r="306" spans="1:71" hidden="1" x14ac:dyDescent="0.4">
      <c r="A306" s="2" t="s">
        <v>332</v>
      </c>
      <c r="B306" t="str">
        <f>_xlfn.TEXTAFTER(Table1[[#This Row],[VEHIDCODE]],"_")</f>
        <v>Hungary_Budapest_Ev3_200</v>
      </c>
      <c r="C306" t="s">
        <v>741</v>
      </c>
      <c r="D306" t="b">
        <f>OR(ISNUMBER(SEARCH("wagon_",Table1[[#This Row],[FILENAMES_EXPECTED]])),ISNUMBER(SEARCH("coach_",Table1[[#This Row],[FILENAMES_EXPECTED]])))</f>
        <v>0</v>
      </c>
      <c r="E306" t="str">
        <f>"item_"&amp;Table1[[#This Row],[VEHIDCODE]]</f>
        <v>item_mtro_Hungary_Budapest_Ev3_200</v>
      </c>
      <c r="F306" t="str">
        <f>"str_"&amp;Table1[[#This Row],[VEHIDCODE]]</f>
        <v>str_mtro_Hungary_Budapest_Ev3_200</v>
      </c>
      <c r="G306">
        <v>8</v>
      </c>
      <c r="H306" t="s">
        <v>326</v>
      </c>
      <c r="I306">
        <v>1</v>
      </c>
      <c r="J306" t="s">
        <v>19</v>
      </c>
      <c r="K306">
        <v>150</v>
      </c>
      <c r="L306">
        <v>1960</v>
      </c>
      <c r="M306">
        <v>8</v>
      </c>
      <c r="N306" s="2" t="s">
        <v>327</v>
      </c>
      <c r="O306" t="b">
        <v>1</v>
      </c>
      <c r="P306" t="b">
        <v>1</v>
      </c>
      <c r="Q306" s="2"/>
      <c r="R306">
        <v>45</v>
      </c>
      <c r="S306">
        <v>1</v>
      </c>
      <c r="T306">
        <v>500</v>
      </c>
      <c r="U306" t="s">
        <v>709</v>
      </c>
      <c r="V306">
        <v>100</v>
      </c>
      <c r="W306" s="2">
        <v>0.22</v>
      </c>
      <c r="AC306" t="b">
        <v>1</v>
      </c>
      <c r="AX306"/>
      <c r="BA306" s="2"/>
      <c r="BB306" s="2" t="b">
        <f>LEN(_xlfn.CONCAT(Table1[[#This Row],[TRACK_TYPE_STANDARD_GAUGE_RAILTYPE_OHLE]:[TRACK_TYPE_MTRO]]))&gt;0</f>
        <v>1</v>
      </c>
      <c r="BC306" s="7">
        <v>60</v>
      </c>
      <c r="BD306" t="s">
        <v>929</v>
      </c>
      <c r="BE306" t="s">
        <v>922</v>
      </c>
      <c r="BF306" t="s">
        <v>940</v>
      </c>
      <c r="BG3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6">
        <v>0</v>
      </c>
      <c r="BI306" t="s">
        <v>734</v>
      </c>
      <c r="BJ306" s="11">
        <v>150</v>
      </c>
      <c r="BK306" s="11">
        <v>8</v>
      </c>
      <c r="BL306" s="11">
        <v>45</v>
      </c>
      <c r="BM306">
        <v>0</v>
      </c>
      <c r="BN306" t="s">
        <v>692</v>
      </c>
      <c r="BO306" t="s">
        <v>694</v>
      </c>
      <c r="BP306" t="s">
        <v>701</v>
      </c>
      <c r="BQ306" t="s">
        <v>705</v>
      </c>
      <c r="BR306" t="s">
        <v>706</v>
      </c>
      <c r="BS306" t="s">
        <v>707</v>
      </c>
    </row>
    <row r="307" spans="1:71" hidden="1" x14ac:dyDescent="0.4">
      <c r="A307" s="2" t="s">
        <v>333</v>
      </c>
      <c r="B307" t="str">
        <f>_xlfn.TEXTAFTER(Table1[[#This Row],[VEHIDCODE]],"_")</f>
        <v>Norway_Oslo_T1000</v>
      </c>
      <c r="C307" t="s">
        <v>741</v>
      </c>
      <c r="D307" t="b">
        <f>OR(ISNUMBER(SEARCH("wagon_",Table1[[#This Row],[FILENAMES_EXPECTED]])),ISNUMBER(SEARCH("coach_",Table1[[#This Row],[FILENAMES_EXPECTED]])))</f>
        <v>0</v>
      </c>
      <c r="E307" t="str">
        <f>"item_"&amp;Table1[[#This Row],[VEHIDCODE]]</f>
        <v>item_mtro_Norway_Oslo_T1000</v>
      </c>
      <c r="F307" t="str">
        <f>"str_"&amp;Table1[[#This Row],[VEHIDCODE]]</f>
        <v>str_mtro_Norway_Oslo_T1000</v>
      </c>
      <c r="G307">
        <v>7</v>
      </c>
      <c r="H307" t="s">
        <v>326</v>
      </c>
      <c r="I307">
        <v>1</v>
      </c>
      <c r="J307" t="s">
        <v>19</v>
      </c>
      <c r="K307">
        <v>180</v>
      </c>
      <c r="L307">
        <v>1964</v>
      </c>
      <c r="M307">
        <v>7</v>
      </c>
      <c r="N307" s="2" t="s">
        <v>327</v>
      </c>
      <c r="O307" t="b">
        <v>1</v>
      </c>
      <c r="P307" t="b">
        <v>1</v>
      </c>
      <c r="Q307" s="2"/>
      <c r="R307">
        <v>45</v>
      </c>
      <c r="S307">
        <v>1</v>
      </c>
      <c r="T307">
        <v>131</v>
      </c>
      <c r="U307" t="s">
        <v>709</v>
      </c>
      <c r="V307">
        <v>70</v>
      </c>
      <c r="W307" s="2">
        <v>0.55000000000000004</v>
      </c>
      <c r="AC307" t="b">
        <v>1</v>
      </c>
      <c r="AX307"/>
      <c r="BA307" s="2"/>
      <c r="BB307" s="2" t="b">
        <f>LEN(_xlfn.CONCAT(Table1[[#This Row],[TRACK_TYPE_STANDARD_GAUGE_RAILTYPE_OHLE]:[TRACK_TYPE_MTRO]]))&gt;0</f>
        <v>1</v>
      </c>
      <c r="BC307" s="7">
        <v>60</v>
      </c>
      <c r="BD307" t="s">
        <v>927</v>
      </c>
      <c r="BE307" t="s">
        <v>922</v>
      </c>
      <c r="BF307" t="s">
        <v>940</v>
      </c>
      <c r="BG3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7">
        <v>0</v>
      </c>
      <c r="BI307" t="s">
        <v>734</v>
      </c>
      <c r="BJ307" s="11">
        <v>180</v>
      </c>
      <c r="BK307" s="11">
        <v>7</v>
      </c>
      <c r="BL307" s="11">
        <v>28</v>
      </c>
      <c r="BM307">
        <v>0</v>
      </c>
      <c r="BN307" t="s">
        <v>692</v>
      </c>
      <c r="BO307" t="s">
        <v>694</v>
      </c>
      <c r="BP307" t="s">
        <v>701</v>
      </c>
      <c r="BQ307" t="s">
        <v>705</v>
      </c>
      <c r="BR307" t="s">
        <v>706</v>
      </c>
      <c r="BS307" t="s">
        <v>707</v>
      </c>
    </row>
    <row r="308" spans="1:71" hidden="1" x14ac:dyDescent="0.4">
      <c r="A308" s="2" t="s">
        <v>334</v>
      </c>
      <c r="B308" t="str">
        <f>_xlfn.TEXTAFTER(Table1[[#This Row],[VEHIDCODE]],"_")</f>
        <v>Canada_Toronto_H_series</v>
      </c>
      <c r="C308" t="s">
        <v>741</v>
      </c>
      <c r="D308" t="b">
        <f>OR(ISNUMBER(SEARCH("wagon_",Table1[[#This Row],[FILENAMES_EXPECTED]])),ISNUMBER(SEARCH("coach_",Table1[[#This Row],[FILENAMES_EXPECTED]])))</f>
        <v>0</v>
      </c>
      <c r="E308" t="str">
        <f>"item_"&amp;Table1[[#This Row],[VEHIDCODE]]</f>
        <v>item_mtro_Canada_Toronto_H_series</v>
      </c>
      <c r="F308" t="str">
        <f>"str_"&amp;Table1[[#This Row],[VEHIDCODE]]</f>
        <v>str_mtro_Canada_Toronto_H_series</v>
      </c>
      <c r="G308">
        <v>8</v>
      </c>
      <c r="H308" t="s">
        <v>326</v>
      </c>
      <c r="I308">
        <v>1</v>
      </c>
      <c r="J308" t="s">
        <v>19</v>
      </c>
      <c r="K308">
        <v>210</v>
      </c>
      <c r="L308">
        <v>1965</v>
      </c>
      <c r="M308">
        <v>8</v>
      </c>
      <c r="N308" s="2" t="s">
        <v>327</v>
      </c>
      <c r="O308" t="b">
        <v>1</v>
      </c>
      <c r="P308" t="b">
        <v>1</v>
      </c>
      <c r="Q308" s="2"/>
      <c r="R308">
        <v>45</v>
      </c>
      <c r="S308">
        <v>1</v>
      </c>
      <c r="T308">
        <v>484</v>
      </c>
      <c r="U308" t="s">
        <v>709</v>
      </c>
      <c r="V308">
        <v>88</v>
      </c>
      <c r="W308" s="2">
        <v>0.31</v>
      </c>
      <c r="AC308" t="b">
        <v>1</v>
      </c>
      <c r="AX308"/>
      <c r="BA308" s="2"/>
      <c r="BB308" s="2" t="b">
        <f>LEN(_xlfn.CONCAT(Table1[[#This Row],[TRACK_TYPE_STANDARD_GAUGE_RAILTYPE_OHLE]:[TRACK_TYPE_MTRO]]))&gt;0</f>
        <v>1</v>
      </c>
      <c r="BC308" s="7">
        <v>60</v>
      </c>
      <c r="BD308" t="s">
        <v>928</v>
      </c>
      <c r="BE308" t="s">
        <v>922</v>
      </c>
      <c r="BF308" t="s">
        <v>940</v>
      </c>
      <c r="BG3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8">
        <v>0</v>
      </c>
      <c r="BI308" t="s">
        <v>734</v>
      </c>
      <c r="BJ308" s="11">
        <v>210</v>
      </c>
      <c r="BK308" s="11">
        <v>8</v>
      </c>
      <c r="BL308" s="11">
        <v>51</v>
      </c>
      <c r="BM308">
        <v>0</v>
      </c>
      <c r="BN308" t="s">
        <v>692</v>
      </c>
      <c r="BO308" t="s">
        <v>694</v>
      </c>
      <c r="BP308" t="s">
        <v>701</v>
      </c>
      <c r="BQ308" t="s">
        <v>705</v>
      </c>
      <c r="BR308" t="s">
        <v>706</v>
      </c>
      <c r="BS308" t="s">
        <v>707</v>
      </c>
    </row>
    <row r="309" spans="1:71" hidden="1" x14ac:dyDescent="0.4">
      <c r="A309" s="2" t="s">
        <v>335</v>
      </c>
      <c r="B309" t="str">
        <f>_xlfn.TEXTAFTER(Table1[[#This Row],[VEHIDCODE]],"_")</f>
        <v>Germany_Munchen_MVG_A2</v>
      </c>
      <c r="C309" t="s">
        <v>741</v>
      </c>
      <c r="D309" t="b">
        <f>OR(ISNUMBER(SEARCH("wagon_",Table1[[#This Row],[FILENAMES_EXPECTED]])),ISNUMBER(SEARCH("coach_",Table1[[#This Row],[FILENAMES_EXPECTED]])))</f>
        <v>0</v>
      </c>
      <c r="E309" t="str">
        <f>"item_"&amp;Table1[[#This Row],[VEHIDCODE]]</f>
        <v>item_mtro_Germany_Munchen_MVG_A2</v>
      </c>
      <c r="F309" t="str">
        <f>"str_"&amp;Table1[[#This Row],[VEHIDCODE]]</f>
        <v>str_mtro_Germany_Munchen_MVG_A2</v>
      </c>
      <c r="G309">
        <v>8</v>
      </c>
      <c r="H309" t="s">
        <v>326</v>
      </c>
      <c r="I309">
        <v>1</v>
      </c>
      <c r="J309" t="s">
        <v>19</v>
      </c>
      <c r="K309">
        <v>195</v>
      </c>
      <c r="L309">
        <v>1967</v>
      </c>
      <c r="M309">
        <v>8</v>
      </c>
      <c r="N309" s="2" t="s">
        <v>327</v>
      </c>
      <c r="O309" t="b">
        <v>1</v>
      </c>
      <c r="P309" t="b">
        <v>1</v>
      </c>
      <c r="Q309" s="2"/>
      <c r="R309">
        <v>45</v>
      </c>
      <c r="S309">
        <v>1</v>
      </c>
      <c r="T309">
        <v>480</v>
      </c>
      <c r="U309" t="s">
        <v>709</v>
      </c>
      <c r="V309">
        <v>80</v>
      </c>
      <c r="W309" s="2">
        <v>0.38</v>
      </c>
      <c r="AC309" t="b">
        <v>1</v>
      </c>
      <c r="AX309"/>
      <c r="BA309" s="2"/>
      <c r="BB309" s="2" t="b">
        <f>LEN(_xlfn.CONCAT(Table1[[#This Row],[TRACK_TYPE_STANDARD_GAUGE_RAILTYPE_OHLE]:[TRACK_TYPE_MTRO]]))&gt;0</f>
        <v>1</v>
      </c>
      <c r="BC309" s="7">
        <v>60</v>
      </c>
      <c r="BD309" t="s">
        <v>923</v>
      </c>
      <c r="BE309" t="s">
        <v>922</v>
      </c>
      <c r="BF309" t="s">
        <v>940</v>
      </c>
      <c r="BG3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9">
        <v>0</v>
      </c>
      <c r="BI309" t="s">
        <v>734</v>
      </c>
      <c r="BJ309" s="11">
        <v>195</v>
      </c>
      <c r="BK309" s="11">
        <v>8</v>
      </c>
      <c r="BL309" s="11">
        <v>26</v>
      </c>
      <c r="BM309">
        <v>0</v>
      </c>
      <c r="BN309" t="s">
        <v>692</v>
      </c>
      <c r="BO309" t="s">
        <v>694</v>
      </c>
      <c r="BP309" t="s">
        <v>701</v>
      </c>
      <c r="BQ309" t="s">
        <v>705</v>
      </c>
      <c r="BR309" t="s">
        <v>706</v>
      </c>
      <c r="BS309" t="s">
        <v>707</v>
      </c>
    </row>
    <row r="310" spans="1:71" hidden="1" x14ac:dyDescent="0.4">
      <c r="A310" s="2" t="s">
        <v>336</v>
      </c>
      <c r="B310" t="str">
        <f>_xlfn.TEXTAFTER(Table1[[#This Row],[VEHIDCODE]],"_")</f>
        <v>USA_NY_R44</v>
      </c>
      <c r="C310" t="s">
        <v>741</v>
      </c>
      <c r="D310" t="b">
        <f>OR(ISNUMBER(SEARCH("wagon_",Table1[[#This Row],[FILENAMES_EXPECTED]])),ISNUMBER(SEARCH("coach_",Table1[[#This Row],[FILENAMES_EXPECTED]])))</f>
        <v>0</v>
      </c>
      <c r="E310" t="str">
        <f>"item_"&amp;Table1[[#This Row],[VEHIDCODE]]</f>
        <v>item_mtro_USA_NY_R44</v>
      </c>
      <c r="F310" t="str">
        <f>"str_"&amp;Table1[[#This Row],[VEHIDCODE]]</f>
        <v>str_mtro_USA_NY_R44</v>
      </c>
      <c r="G310">
        <v>8</v>
      </c>
      <c r="H310" t="s">
        <v>326</v>
      </c>
      <c r="I310">
        <v>1</v>
      </c>
      <c r="J310" t="s">
        <v>19</v>
      </c>
      <c r="K310">
        <v>162</v>
      </c>
      <c r="L310">
        <v>1971</v>
      </c>
      <c r="M310">
        <v>8</v>
      </c>
      <c r="N310" s="2" t="s">
        <v>327</v>
      </c>
      <c r="O310" t="b">
        <v>1</v>
      </c>
      <c r="P310" t="b">
        <v>1</v>
      </c>
      <c r="Q310" s="2"/>
      <c r="R310">
        <v>45</v>
      </c>
      <c r="S310">
        <v>1</v>
      </c>
      <c r="T310">
        <v>460</v>
      </c>
      <c r="U310" t="s">
        <v>709</v>
      </c>
      <c r="V310">
        <v>90</v>
      </c>
      <c r="W310" s="2">
        <v>0.32</v>
      </c>
      <c r="AC310" t="b">
        <v>1</v>
      </c>
      <c r="AX310"/>
      <c r="BA310" s="2"/>
      <c r="BB310" s="2" t="b">
        <f>LEN(_xlfn.CONCAT(Table1[[#This Row],[TRACK_TYPE_STANDARD_GAUGE_RAILTYPE_OHLE]:[TRACK_TYPE_MTRO]]))&gt;0</f>
        <v>1</v>
      </c>
      <c r="BC310" s="7">
        <v>60</v>
      </c>
      <c r="BD310" t="s">
        <v>928</v>
      </c>
      <c r="BE310" t="s">
        <v>922</v>
      </c>
      <c r="BF310" t="s">
        <v>940</v>
      </c>
      <c r="BG3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0">
        <v>0</v>
      </c>
      <c r="BI310" t="s">
        <v>734</v>
      </c>
      <c r="BJ310" s="11">
        <v>162</v>
      </c>
      <c r="BK310" s="11">
        <v>8</v>
      </c>
      <c r="BL310" s="11">
        <v>40</v>
      </c>
      <c r="BM310">
        <v>0</v>
      </c>
      <c r="BN310" t="s">
        <v>692</v>
      </c>
      <c r="BO310" t="s">
        <v>694</v>
      </c>
      <c r="BP310" t="s">
        <v>701</v>
      </c>
      <c r="BQ310" t="s">
        <v>705</v>
      </c>
      <c r="BR310" t="s">
        <v>706</v>
      </c>
      <c r="BS310" t="s">
        <v>707</v>
      </c>
    </row>
    <row r="311" spans="1:71" hidden="1" x14ac:dyDescent="0.4">
      <c r="A311" s="2" t="s">
        <v>337</v>
      </c>
      <c r="B311" t="str">
        <f>_xlfn.TEXTAFTER(Table1[[#This Row],[VEHIDCODE]],"_")</f>
        <v>Netherlands_Amsterdam_Type_M1</v>
      </c>
      <c r="C311" t="s">
        <v>741</v>
      </c>
      <c r="D311" t="b">
        <f>OR(ISNUMBER(SEARCH("wagon_",Table1[[#This Row],[FILENAMES_EXPECTED]])),ISNUMBER(SEARCH("coach_",Table1[[#This Row],[FILENAMES_EXPECTED]])))</f>
        <v>0</v>
      </c>
      <c r="E311" t="str">
        <f>"item_"&amp;Table1[[#This Row],[VEHIDCODE]]</f>
        <v>item_mtro_Netherlands_Amsterdam_Type_M1</v>
      </c>
      <c r="F311" t="str">
        <f>"str_"&amp;Table1[[#This Row],[VEHIDCODE]]</f>
        <v>str_mtro_Netherlands_Amsterdam_Type_M1</v>
      </c>
      <c r="G311">
        <v>8</v>
      </c>
      <c r="H311" t="s">
        <v>326</v>
      </c>
      <c r="I311">
        <v>1</v>
      </c>
      <c r="J311" t="s">
        <v>19</v>
      </c>
      <c r="K311">
        <v>174</v>
      </c>
      <c r="L311">
        <v>1973</v>
      </c>
      <c r="M311">
        <v>8</v>
      </c>
      <c r="N311" s="2" t="s">
        <v>327</v>
      </c>
      <c r="O311" t="b">
        <v>1</v>
      </c>
      <c r="P311" t="b">
        <v>1</v>
      </c>
      <c r="Q311" s="2"/>
      <c r="R311">
        <v>45</v>
      </c>
      <c r="S311">
        <v>1</v>
      </c>
      <c r="T311">
        <v>580</v>
      </c>
      <c r="U311" t="s">
        <v>709</v>
      </c>
      <c r="V311">
        <v>90</v>
      </c>
      <c r="W311" s="2">
        <v>0.73</v>
      </c>
      <c r="AC311" t="b">
        <v>1</v>
      </c>
      <c r="AX311"/>
      <c r="BA311" s="2"/>
      <c r="BB311" s="2" t="b">
        <f>LEN(_xlfn.CONCAT(Table1[[#This Row],[TRACK_TYPE_STANDARD_GAUGE_RAILTYPE_OHLE]:[TRACK_TYPE_MTRO]]))&gt;0</f>
        <v>1</v>
      </c>
      <c r="BC311" s="7">
        <v>60</v>
      </c>
      <c r="BD311" t="s">
        <v>923</v>
      </c>
      <c r="BE311" t="s">
        <v>922</v>
      </c>
      <c r="BF311" t="s">
        <v>940</v>
      </c>
      <c r="BG3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1">
        <v>0</v>
      </c>
      <c r="BI311" t="s">
        <v>734</v>
      </c>
      <c r="BJ311" s="11">
        <v>174</v>
      </c>
      <c r="BK311" s="11">
        <v>7</v>
      </c>
      <c r="BL311" s="11">
        <v>31</v>
      </c>
      <c r="BM311">
        <v>0</v>
      </c>
      <c r="BN311" t="s">
        <v>692</v>
      </c>
      <c r="BO311" t="s">
        <v>694</v>
      </c>
      <c r="BP311" t="s">
        <v>701</v>
      </c>
      <c r="BQ311" t="s">
        <v>705</v>
      </c>
      <c r="BR311" t="s">
        <v>706</v>
      </c>
      <c r="BS311" t="s">
        <v>707</v>
      </c>
    </row>
    <row r="312" spans="1:71" hidden="1" x14ac:dyDescent="0.4">
      <c r="A312" s="2" t="s">
        <v>338</v>
      </c>
      <c r="B312" t="str">
        <f>_xlfn.TEXTAFTER(Table1[[#This Row],[VEHIDCODE]],"_")</f>
        <v>Sweden_Stockholm_C8</v>
      </c>
      <c r="C312" t="s">
        <v>741</v>
      </c>
      <c r="D312" t="b">
        <f>OR(ISNUMBER(SEARCH("wagon_",Table1[[#This Row],[FILENAMES_EXPECTED]])),ISNUMBER(SEARCH("coach_",Table1[[#This Row],[FILENAMES_EXPECTED]])))</f>
        <v>0</v>
      </c>
      <c r="E312" t="str">
        <f>"item_"&amp;Table1[[#This Row],[VEHIDCODE]]</f>
        <v>item_mtro_Sweden_Stockholm_C8</v>
      </c>
      <c r="F312" t="str">
        <f>"str_"&amp;Table1[[#This Row],[VEHIDCODE]]</f>
        <v>str_mtro_Sweden_Stockholm_C8</v>
      </c>
      <c r="G312">
        <v>8</v>
      </c>
      <c r="H312" t="s">
        <v>326</v>
      </c>
      <c r="I312">
        <v>1</v>
      </c>
      <c r="J312" t="s">
        <v>19</v>
      </c>
      <c r="K312">
        <v>158</v>
      </c>
      <c r="L312">
        <v>1974</v>
      </c>
      <c r="M312">
        <v>8</v>
      </c>
      <c r="N312" s="2" t="s">
        <v>327</v>
      </c>
      <c r="O312" t="b">
        <v>1</v>
      </c>
      <c r="P312" t="b">
        <v>1</v>
      </c>
      <c r="Q312" s="2"/>
      <c r="R312">
        <v>45</v>
      </c>
      <c r="S312">
        <v>1</v>
      </c>
      <c r="T312">
        <v>470</v>
      </c>
      <c r="U312" t="s">
        <v>709</v>
      </c>
      <c r="V312">
        <v>90</v>
      </c>
      <c r="W312" s="2">
        <v>0.38</v>
      </c>
      <c r="AC312" t="b">
        <v>1</v>
      </c>
      <c r="AX312"/>
      <c r="BA312" s="2"/>
      <c r="BB312" s="2" t="b">
        <f>LEN(_xlfn.CONCAT(Table1[[#This Row],[TRACK_TYPE_STANDARD_GAUGE_RAILTYPE_OHLE]:[TRACK_TYPE_MTRO]]))&gt;0</f>
        <v>1</v>
      </c>
      <c r="BC312" s="7">
        <v>60</v>
      </c>
      <c r="BD312" t="s">
        <v>927</v>
      </c>
      <c r="BE312" t="s">
        <v>922</v>
      </c>
      <c r="BF312" t="s">
        <v>940</v>
      </c>
      <c r="BG3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2">
        <v>0</v>
      </c>
      <c r="BI312" t="s">
        <v>734</v>
      </c>
      <c r="BJ312" s="11">
        <v>158</v>
      </c>
      <c r="BK312" s="11">
        <v>8</v>
      </c>
      <c r="BL312" s="11">
        <v>23</v>
      </c>
      <c r="BM312">
        <v>0</v>
      </c>
      <c r="BN312" t="s">
        <v>692</v>
      </c>
      <c r="BO312" t="s">
        <v>694</v>
      </c>
      <c r="BP312" t="s">
        <v>701</v>
      </c>
      <c r="BQ312" t="s">
        <v>705</v>
      </c>
      <c r="BR312" t="s">
        <v>706</v>
      </c>
      <c r="BS312" t="s">
        <v>707</v>
      </c>
    </row>
    <row r="313" spans="1:71" hidden="1" x14ac:dyDescent="0.4">
      <c r="A313" s="2" t="s">
        <v>339</v>
      </c>
      <c r="B313" t="str">
        <f>_xlfn.TEXTAFTER(Table1[[#This Row],[VEHIDCODE]],"_")</f>
        <v>North_Korea_Pyongyang_D_stock</v>
      </c>
      <c r="C313" t="s">
        <v>741</v>
      </c>
      <c r="D313" t="b">
        <f>OR(ISNUMBER(SEARCH("wagon_",Table1[[#This Row],[FILENAMES_EXPECTED]])),ISNUMBER(SEARCH("coach_",Table1[[#This Row],[FILENAMES_EXPECTED]])))</f>
        <v>0</v>
      </c>
      <c r="E313" t="str">
        <f>"item_"&amp;Table1[[#This Row],[VEHIDCODE]]</f>
        <v>item_mtro_North_Korea_Pyongyang_D_stock</v>
      </c>
      <c r="F313" t="str">
        <f>"str_"&amp;Table1[[#This Row],[VEHIDCODE]]</f>
        <v>str_mtro_North_Korea_Pyongyang_D_stock</v>
      </c>
      <c r="G313">
        <v>8</v>
      </c>
      <c r="H313" t="s">
        <v>326</v>
      </c>
      <c r="I313">
        <v>1</v>
      </c>
      <c r="J313" t="s">
        <v>19</v>
      </c>
      <c r="K313">
        <v>180</v>
      </c>
      <c r="L313">
        <v>1975</v>
      </c>
      <c r="M313">
        <v>8</v>
      </c>
      <c r="N313" s="2" t="s">
        <v>327</v>
      </c>
      <c r="O313" t="b">
        <v>1</v>
      </c>
      <c r="P313" t="b">
        <v>1</v>
      </c>
      <c r="Q313" s="2"/>
      <c r="R313">
        <v>45</v>
      </c>
      <c r="S313">
        <v>1</v>
      </c>
      <c r="T313">
        <v>350</v>
      </c>
      <c r="U313" t="s">
        <v>709</v>
      </c>
      <c r="V313">
        <v>100</v>
      </c>
      <c r="W313" s="2">
        <v>0.38</v>
      </c>
      <c r="AC313" t="b">
        <v>1</v>
      </c>
      <c r="AX313"/>
      <c r="BA313" s="2"/>
      <c r="BB313" s="2" t="b">
        <f>LEN(_xlfn.CONCAT(Table1[[#This Row],[TRACK_TYPE_STANDARD_GAUGE_RAILTYPE_OHLE]:[TRACK_TYPE_MTRO]]))&gt;0</f>
        <v>1</v>
      </c>
      <c r="BC313" s="7">
        <v>60</v>
      </c>
      <c r="BD313" t="s">
        <v>931</v>
      </c>
      <c r="BE313" t="s">
        <v>922</v>
      </c>
      <c r="BF313" t="s">
        <v>940</v>
      </c>
      <c r="BG3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3">
        <v>0</v>
      </c>
      <c r="BI313" t="s">
        <v>734</v>
      </c>
      <c r="BJ313" s="11">
        <v>180</v>
      </c>
      <c r="BK313" s="11">
        <v>8</v>
      </c>
      <c r="BL313" s="11">
        <v>40</v>
      </c>
      <c r="BM313">
        <v>0</v>
      </c>
      <c r="BN313" t="s">
        <v>692</v>
      </c>
      <c r="BO313" t="s">
        <v>694</v>
      </c>
      <c r="BP313" t="s">
        <v>701</v>
      </c>
      <c r="BQ313" t="s">
        <v>705</v>
      </c>
      <c r="BR313" t="s">
        <v>706</v>
      </c>
      <c r="BS313" t="s">
        <v>707</v>
      </c>
    </row>
    <row r="314" spans="1:71" hidden="1" x14ac:dyDescent="0.4">
      <c r="A314" s="2" t="s">
        <v>340</v>
      </c>
      <c r="B314" t="str">
        <f>_xlfn.TEXTAFTER(Table1[[#This Row],[VEHIDCODE]],"_")</f>
        <v>Finland_Helsinki_M100</v>
      </c>
      <c r="C314" t="s">
        <v>741</v>
      </c>
      <c r="D314" t="b">
        <f>OR(ISNUMBER(SEARCH("wagon_",Table1[[#This Row],[FILENAMES_EXPECTED]])),ISNUMBER(SEARCH("coach_",Table1[[#This Row],[FILENAMES_EXPECTED]])))</f>
        <v>0</v>
      </c>
      <c r="E314" t="str">
        <f>"item_"&amp;Table1[[#This Row],[VEHIDCODE]]</f>
        <v>item_mtro_Finland_Helsinki_M100</v>
      </c>
      <c r="F314" t="str">
        <f>"str_"&amp;Table1[[#This Row],[VEHIDCODE]]</f>
        <v>str_mtro_Finland_Helsinki_M100</v>
      </c>
      <c r="G314">
        <v>8</v>
      </c>
      <c r="H314" t="s">
        <v>326</v>
      </c>
      <c r="I314">
        <v>1</v>
      </c>
      <c r="J314" t="s">
        <v>19</v>
      </c>
      <c r="K314">
        <v>165</v>
      </c>
      <c r="L314">
        <v>1977</v>
      </c>
      <c r="M314">
        <v>8</v>
      </c>
      <c r="N314" s="2" t="s">
        <v>327</v>
      </c>
      <c r="O314" t="b">
        <v>1</v>
      </c>
      <c r="P314" t="b">
        <v>1</v>
      </c>
      <c r="Q314" s="2"/>
      <c r="R314">
        <v>45</v>
      </c>
      <c r="S314">
        <v>1</v>
      </c>
      <c r="T314">
        <v>680</v>
      </c>
      <c r="U314" t="s">
        <v>709</v>
      </c>
      <c r="V314">
        <v>90</v>
      </c>
      <c r="W314" s="2">
        <v>0.48</v>
      </c>
      <c r="AC314" t="b">
        <v>1</v>
      </c>
      <c r="AX314"/>
      <c r="BA314" s="2"/>
      <c r="BB314" s="2" t="b">
        <f>LEN(_xlfn.CONCAT(Table1[[#This Row],[TRACK_TYPE_STANDARD_GAUGE_RAILTYPE_OHLE]:[TRACK_TYPE_MTRO]]))&gt;0</f>
        <v>1</v>
      </c>
      <c r="BC314" s="7">
        <v>60</v>
      </c>
      <c r="BD314" t="s">
        <v>927</v>
      </c>
      <c r="BE314" t="s">
        <v>922</v>
      </c>
      <c r="BF314" t="s">
        <v>940</v>
      </c>
      <c r="BG3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4">
        <v>0</v>
      </c>
      <c r="BI314" t="s">
        <v>734</v>
      </c>
      <c r="BJ314" s="11">
        <v>165</v>
      </c>
      <c r="BK314" s="11">
        <v>8</v>
      </c>
      <c r="BL314" s="11">
        <v>31</v>
      </c>
      <c r="BM314">
        <v>0</v>
      </c>
      <c r="BN314" t="s">
        <v>692</v>
      </c>
      <c r="BO314" t="s">
        <v>694</v>
      </c>
      <c r="BP314" t="s">
        <v>701</v>
      </c>
      <c r="BQ314" t="s">
        <v>705</v>
      </c>
      <c r="BR314" t="s">
        <v>706</v>
      </c>
      <c r="BS314" t="s">
        <v>707</v>
      </c>
    </row>
    <row r="315" spans="1:71" hidden="1" x14ac:dyDescent="0.4">
      <c r="A315" s="2" t="s">
        <v>341</v>
      </c>
      <c r="B315" t="str">
        <f>_xlfn.TEXTAFTER(Table1[[#This Row],[VEHIDCODE]],"_")</f>
        <v>Brazil_Sao_Paulo_Serie_5500</v>
      </c>
      <c r="C315" t="s">
        <v>741</v>
      </c>
      <c r="D315" t="b">
        <f>OR(ISNUMBER(SEARCH("wagon_",Table1[[#This Row],[FILENAMES_EXPECTED]])),ISNUMBER(SEARCH("coach_",Table1[[#This Row],[FILENAMES_EXPECTED]])))</f>
        <v>0</v>
      </c>
      <c r="E315" t="str">
        <f>"item_"&amp;Table1[[#This Row],[VEHIDCODE]]</f>
        <v>item_mtro_Brazil_Sao_Paulo_Serie_5500</v>
      </c>
      <c r="F315" t="str">
        <f>"str_"&amp;Table1[[#This Row],[VEHIDCODE]]</f>
        <v>str_mtro_Brazil_Sao_Paulo_Serie_5500</v>
      </c>
      <c r="G315">
        <v>8</v>
      </c>
      <c r="H315" t="s">
        <v>326</v>
      </c>
      <c r="I315">
        <v>1</v>
      </c>
      <c r="J315" t="s">
        <v>19</v>
      </c>
      <c r="K315">
        <v>230</v>
      </c>
      <c r="L315">
        <v>1979</v>
      </c>
      <c r="M315">
        <v>8</v>
      </c>
      <c r="N315" s="2" t="s">
        <v>327</v>
      </c>
      <c r="O315" t="b">
        <v>1</v>
      </c>
      <c r="P315" t="b">
        <v>1</v>
      </c>
      <c r="Q315" s="2"/>
      <c r="R315">
        <v>45</v>
      </c>
      <c r="S315">
        <v>1</v>
      </c>
      <c r="T315">
        <v>250</v>
      </c>
      <c r="U315" t="s">
        <v>709</v>
      </c>
      <c r="V315">
        <v>90</v>
      </c>
      <c r="W315" s="2">
        <v>0.38</v>
      </c>
      <c r="AC315" t="b">
        <v>1</v>
      </c>
      <c r="AX315"/>
      <c r="BA315" s="2"/>
      <c r="BB315" s="2" t="b">
        <f>LEN(_xlfn.CONCAT(Table1[[#This Row],[TRACK_TYPE_STANDARD_GAUGE_RAILTYPE_OHLE]:[TRACK_TYPE_MTRO]]))&gt;0</f>
        <v>1</v>
      </c>
      <c r="BC315" s="7">
        <v>60</v>
      </c>
      <c r="BD315" t="s">
        <v>930</v>
      </c>
      <c r="BE315" t="s">
        <v>922</v>
      </c>
      <c r="BF315" t="s">
        <v>940</v>
      </c>
      <c r="BG3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5">
        <v>0</v>
      </c>
      <c r="BI315" t="s">
        <v>734</v>
      </c>
      <c r="BJ315" s="11">
        <v>230</v>
      </c>
      <c r="BK315" s="11">
        <v>8</v>
      </c>
      <c r="BL315" s="11">
        <v>37</v>
      </c>
      <c r="BM315">
        <v>0</v>
      </c>
      <c r="BN315" t="s">
        <v>692</v>
      </c>
      <c r="BO315" t="s">
        <v>694</v>
      </c>
      <c r="BP315" t="s">
        <v>701</v>
      </c>
      <c r="BQ315" t="s">
        <v>705</v>
      </c>
      <c r="BR315" t="s">
        <v>706</v>
      </c>
      <c r="BS315" t="s">
        <v>707</v>
      </c>
    </row>
    <row r="316" spans="1:71" hidden="1" x14ac:dyDescent="0.4">
      <c r="A316" s="2" t="s">
        <v>342</v>
      </c>
      <c r="B316" t="str">
        <f>_xlfn.TEXTAFTER(Table1[[#This Row],[VEHIDCODE]],"_")</f>
        <v>Russia_Moscow_81_720</v>
      </c>
      <c r="C316" t="s">
        <v>741</v>
      </c>
      <c r="D316" t="b">
        <f>OR(ISNUMBER(SEARCH("wagon_",Table1[[#This Row],[FILENAMES_EXPECTED]])),ISNUMBER(SEARCH("coach_",Table1[[#This Row],[FILENAMES_EXPECTED]])))</f>
        <v>0</v>
      </c>
      <c r="E316" t="str">
        <f>"item_"&amp;Table1[[#This Row],[VEHIDCODE]]</f>
        <v>item_mtro_Russia_Moscow_81_720</v>
      </c>
      <c r="F316" t="str">
        <f>"str_"&amp;Table1[[#This Row],[VEHIDCODE]]</f>
        <v>str_mtro_Russia_Moscow_81_720</v>
      </c>
      <c r="G316">
        <v>8</v>
      </c>
      <c r="H316" t="s">
        <v>326</v>
      </c>
      <c r="I316">
        <v>1</v>
      </c>
      <c r="J316" t="s">
        <v>19</v>
      </c>
      <c r="K316">
        <v>144</v>
      </c>
      <c r="L316">
        <v>1981</v>
      </c>
      <c r="M316">
        <v>8</v>
      </c>
      <c r="N316" s="2" t="s">
        <v>327</v>
      </c>
      <c r="O316" t="b">
        <v>1</v>
      </c>
      <c r="P316" t="b">
        <v>1</v>
      </c>
      <c r="Q316" s="2"/>
      <c r="R316">
        <v>45</v>
      </c>
      <c r="S316">
        <v>1</v>
      </c>
      <c r="T316">
        <v>616</v>
      </c>
      <c r="U316" t="s">
        <v>709</v>
      </c>
      <c r="V316">
        <v>100</v>
      </c>
      <c r="W316" s="2">
        <v>0.67</v>
      </c>
      <c r="AC316" t="b">
        <v>1</v>
      </c>
      <c r="AX316"/>
      <c r="BA316" s="2"/>
      <c r="BB316" s="2" t="b">
        <f>LEN(_xlfn.CONCAT(Table1[[#This Row],[TRACK_TYPE_STANDARD_GAUGE_RAILTYPE_OHLE]:[TRACK_TYPE_MTRO]]))&gt;0</f>
        <v>1</v>
      </c>
      <c r="BC316" s="7">
        <v>60</v>
      </c>
      <c r="BD316" t="s">
        <v>931</v>
      </c>
      <c r="BE316" t="s">
        <v>922</v>
      </c>
      <c r="BF316" t="s">
        <v>940</v>
      </c>
      <c r="BG3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6">
        <v>0</v>
      </c>
      <c r="BI316" t="s">
        <v>734</v>
      </c>
      <c r="BJ316" s="11">
        <v>144</v>
      </c>
      <c r="BK316" s="11">
        <v>8</v>
      </c>
      <c r="BL316" s="11">
        <v>34</v>
      </c>
      <c r="BM316">
        <v>0</v>
      </c>
      <c r="BN316" t="s">
        <v>692</v>
      </c>
      <c r="BO316" t="s">
        <v>694</v>
      </c>
      <c r="BP316" t="s">
        <v>701</v>
      </c>
      <c r="BQ316" t="s">
        <v>705</v>
      </c>
      <c r="BR316" t="s">
        <v>706</v>
      </c>
      <c r="BS316" t="s">
        <v>707</v>
      </c>
    </row>
    <row r="317" spans="1:71" hidden="1" x14ac:dyDescent="0.4">
      <c r="A317" s="2" t="s">
        <v>343</v>
      </c>
      <c r="B317" t="str">
        <f>_xlfn.TEXTAFTER(Table1[[#This Row],[VEHIDCODE]],"_")</f>
        <v>Japan_Tokyo_S01</v>
      </c>
      <c r="C317" t="s">
        <v>741</v>
      </c>
      <c r="D317" t="b">
        <f>OR(ISNUMBER(SEARCH("wagon_",Table1[[#This Row],[FILENAMES_EXPECTED]])),ISNUMBER(SEARCH("coach_",Table1[[#This Row],[FILENAMES_EXPECTED]])))</f>
        <v>0</v>
      </c>
      <c r="E317" t="str">
        <f>"item_"&amp;Table1[[#This Row],[VEHIDCODE]]</f>
        <v>item_mtro_Japan_Tokyo_S01</v>
      </c>
      <c r="F317" t="str">
        <f>"str_"&amp;Table1[[#This Row],[VEHIDCODE]]</f>
        <v>str_mtro_Japan_Tokyo_S01</v>
      </c>
      <c r="G317">
        <v>8</v>
      </c>
      <c r="H317" t="s">
        <v>326</v>
      </c>
      <c r="I317">
        <v>1</v>
      </c>
      <c r="J317" t="s">
        <v>19</v>
      </c>
      <c r="K317">
        <v>120</v>
      </c>
      <c r="L317">
        <v>1985</v>
      </c>
      <c r="M317">
        <v>8</v>
      </c>
      <c r="N317" s="2" t="s">
        <v>327</v>
      </c>
      <c r="O317" t="b">
        <v>1</v>
      </c>
      <c r="P317" t="b">
        <v>1</v>
      </c>
      <c r="Q317" s="2"/>
      <c r="R317">
        <v>45</v>
      </c>
      <c r="S317">
        <v>1</v>
      </c>
      <c r="T317">
        <v>700</v>
      </c>
      <c r="U317" t="s">
        <v>709</v>
      </c>
      <c r="V317">
        <v>120</v>
      </c>
      <c r="W317" s="2">
        <v>0.95</v>
      </c>
      <c r="AC317" t="b">
        <v>1</v>
      </c>
      <c r="AX317"/>
      <c r="BA317" s="2"/>
      <c r="BB317" s="2" t="b">
        <f>LEN(_xlfn.CONCAT(Table1[[#This Row],[TRACK_TYPE_STANDARD_GAUGE_RAILTYPE_OHLE]:[TRACK_TYPE_MTRO]]))&gt;0</f>
        <v>1</v>
      </c>
      <c r="BC317" s="7">
        <v>60</v>
      </c>
      <c r="BD317" t="s">
        <v>931</v>
      </c>
      <c r="BE317" t="s">
        <v>922</v>
      </c>
      <c r="BF317" t="s">
        <v>940</v>
      </c>
      <c r="BG3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7">
        <v>0</v>
      </c>
      <c r="BI317" t="s">
        <v>734</v>
      </c>
      <c r="BJ317" s="11">
        <v>120</v>
      </c>
      <c r="BK317" s="11">
        <v>8</v>
      </c>
      <c r="BL317" s="11">
        <v>35</v>
      </c>
      <c r="BM317">
        <v>0</v>
      </c>
      <c r="BN317" t="s">
        <v>692</v>
      </c>
      <c r="BO317" t="s">
        <v>694</v>
      </c>
      <c r="BP317" t="s">
        <v>701</v>
      </c>
      <c r="BQ317" t="s">
        <v>705</v>
      </c>
      <c r="BR317" t="s">
        <v>706</v>
      </c>
      <c r="BS317" t="s">
        <v>707</v>
      </c>
    </row>
    <row r="318" spans="1:71" hidden="1" x14ac:dyDescent="0.4">
      <c r="A318" s="2" t="s">
        <v>344</v>
      </c>
      <c r="B318" t="str">
        <f>_xlfn.TEXTAFTER(Table1[[#This Row],[VEHIDCODE]],"_")</f>
        <v>Egypt_Cairo_1987_Stock</v>
      </c>
      <c r="C318" t="s">
        <v>741</v>
      </c>
      <c r="D318" t="b">
        <f>OR(ISNUMBER(SEARCH("wagon_",Table1[[#This Row],[FILENAMES_EXPECTED]])),ISNUMBER(SEARCH("coach_",Table1[[#This Row],[FILENAMES_EXPECTED]])))</f>
        <v>0</v>
      </c>
      <c r="E318" t="str">
        <f>"item_"&amp;Table1[[#This Row],[VEHIDCODE]]</f>
        <v>item_mtro_Egypt_Cairo_1987_Stock</v>
      </c>
      <c r="F318" t="str">
        <f>"str_"&amp;Table1[[#This Row],[VEHIDCODE]]</f>
        <v>str_mtro_Egypt_Cairo_1987_Stock</v>
      </c>
      <c r="G318">
        <v>8</v>
      </c>
      <c r="H318" t="s">
        <v>326</v>
      </c>
      <c r="I318">
        <v>1</v>
      </c>
      <c r="J318" t="s">
        <v>19</v>
      </c>
      <c r="K318">
        <v>250</v>
      </c>
      <c r="L318">
        <v>1987</v>
      </c>
      <c r="M318">
        <v>8</v>
      </c>
      <c r="N318" s="2" t="s">
        <v>327</v>
      </c>
      <c r="O318" t="b">
        <v>1</v>
      </c>
      <c r="P318" t="b">
        <v>1</v>
      </c>
      <c r="Q318" s="2"/>
      <c r="R318">
        <v>45</v>
      </c>
      <c r="S318">
        <v>1</v>
      </c>
      <c r="T318">
        <v>590</v>
      </c>
      <c r="U318" t="s">
        <v>709</v>
      </c>
      <c r="V318">
        <v>90</v>
      </c>
      <c r="W318" s="2">
        <v>0.59</v>
      </c>
      <c r="AC318" t="b">
        <v>1</v>
      </c>
      <c r="AX318"/>
      <c r="BA318" s="2"/>
      <c r="BB318" s="2" t="b">
        <f>LEN(_xlfn.CONCAT(Table1[[#This Row],[TRACK_TYPE_STANDARD_GAUGE_RAILTYPE_OHLE]:[TRACK_TYPE_MTRO]]))&gt;0</f>
        <v>1</v>
      </c>
      <c r="BC318" s="7">
        <v>60</v>
      </c>
      <c r="BD318" t="s">
        <v>926</v>
      </c>
      <c r="BE318" t="s">
        <v>922</v>
      </c>
      <c r="BF318" t="s">
        <v>940</v>
      </c>
      <c r="BG3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8">
        <v>0</v>
      </c>
      <c r="BI318" t="s">
        <v>734</v>
      </c>
      <c r="BJ318" s="11">
        <v>250</v>
      </c>
      <c r="BK318" s="11">
        <v>8</v>
      </c>
      <c r="BL318" s="11">
        <v>34</v>
      </c>
      <c r="BM318">
        <v>0</v>
      </c>
      <c r="BN318" t="s">
        <v>692</v>
      </c>
      <c r="BO318" t="s">
        <v>694</v>
      </c>
      <c r="BP318" t="s">
        <v>701</v>
      </c>
      <c r="BQ318" t="s">
        <v>705</v>
      </c>
      <c r="BR318" t="s">
        <v>706</v>
      </c>
      <c r="BS318" t="s">
        <v>707</v>
      </c>
    </row>
    <row r="319" spans="1:71" hidden="1" x14ac:dyDescent="0.4">
      <c r="A319" s="2" t="s">
        <v>345</v>
      </c>
      <c r="B319" t="str">
        <f>_xlfn.TEXTAFTER(Table1[[#This Row],[VEHIDCODE]],"_")</f>
        <v>UK_DLR_P86</v>
      </c>
      <c r="C319" t="s">
        <v>741</v>
      </c>
      <c r="D319" t="b">
        <f>OR(ISNUMBER(SEARCH("wagon_",Table1[[#This Row],[FILENAMES_EXPECTED]])),ISNUMBER(SEARCH("coach_",Table1[[#This Row],[FILENAMES_EXPECTED]])))</f>
        <v>0</v>
      </c>
      <c r="E319" t="str">
        <f>"item_"&amp;Table1[[#This Row],[VEHIDCODE]]</f>
        <v>item_mtro_UK_DLR_P86</v>
      </c>
      <c r="F319" t="str">
        <f>"str_"&amp;Table1[[#This Row],[VEHIDCODE]]</f>
        <v>str_mtro_UK_DLR_P86</v>
      </c>
      <c r="G319">
        <v>6</v>
      </c>
      <c r="H319" t="s">
        <v>326</v>
      </c>
      <c r="I319">
        <v>1</v>
      </c>
      <c r="J319" t="s">
        <v>19</v>
      </c>
      <c r="K319">
        <v>200</v>
      </c>
      <c r="L319">
        <v>1987</v>
      </c>
      <c r="M319">
        <v>6</v>
      </c>
      <c r="N319" s="2" t="s">
        <v>327</v>
      </c>
      <c r="O319" t="b">
        <v>1</v>
      </c>
      <c r="P319" t="b">
        <v>1</v>
      </c>
      <c r="Q319" s="2"/>
      <c r="R319">
        <v>45</v>
      </c>
      <c r="S319">
        <v>1</v>
      </c>
      <c r="T319">
        <v>500</v>
      </c>
      <c r="U319" t="s">
        <v>709</v>
      </c>
      <c r="V319">
        <v>80</v>
      </c>
      <c r="W319" s="2">
        <v>0.31</v>
      </c>
      <c r="AC319" t="b">
        <v>1</v>
      </c>
      <c r="AX319"/>
      <c r="BA319" s="2"/>
      <c r="BB319" s="2" t="b">
        <f>LEN(_xlfn.CONCAT(Table1[[#This Row],[TRACK_TYPE_STANDARD_GAUGE_RAILTYPE_OHLE]:[TRACK_TYPE_MTRO]]))&gt;0</f>
        <v>1</v>
      </c>
      <c r="BC319" s="7">
        <v>60</v>
      </c>
      <c r="BD319" t="s">
        <v>927</v>
      </c>
      <c r="BE319" t="s">
        <v>922</v>
      </c>
      <c r="BF319" t="s">
        <v>940</v>
      </c>
      <c r="BG3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9">
        <v>0</v>
      </c>
      <c r="BI319" t="s">
        <v>734</v>
      </c>
      <c r="BJ319" s="11">
        <v>200</v>
      </c>
      <c r="BK319" s="11">
        <v>6</v>
      </c>
      <c r="BL319" s="11">
        <v>40</v>
      </c>
      <c r="BM319">
        <v>0</v>
      </c>
      <c r="BN319" t="s">
        <v>692</v>
      </c>
      <c r="BO319" t="s">
        <v>694</v>
      </c>
      <c r="BP319" t="s">
        <v>701</v>
      </c>
      <c r="BQ319" t="s">
        <v>705</v>
      </c>
      <c r="BR319" t="s">
        <v>706</v>
      </c>
      <c r="BS319" t="s">
        <v>707</v>
      </c>
    </row>
    <row r="320" spans="1:71" hidden="1" x14ac:dyDescent="0.4">
      <c r="A320" s="2" t="s">
        <v>346</v>
      </c>
      <c r="B320" t="str">
        <f>_xlfn.TEXTAFTER(Table1[[#This Row],[VEHIDCODE]],"_")</f>
        <v>Russia_Moscow_81_7175M</v>
      </c>
      <c r="C320" t="s">
        <v>741</v>
      </c>
      <c r="D320" t="b">
        <f>OR(ISNUMBER(SEARCH("wagon_",Table1[[#This Row],[FILENAMES_EXPECTED]])),ISNUMBER(SEARCH("coach_",Table1[[#This Row],[FILENAMES_EXPECTED]])))</f>
        <v>0</v>
      </c>
      <c r="E320" t="str">
        <f>"item_"&amp;Table1[[#This Row],[VEHIDCODE]]</f>
        <v>item_mtro_Russia_Moscow_81_7175M</v>
      </c>
      <c r="F320" t="str">
        <f>"str_"&amp;Table1[[#This Row],[VEHIDCODE]]</f>
        <v>str_mtro_Russia_Moscow_81_7175M</v>
      </c>
      <c r="G320">
        <v>8</v>
      </c>
      <c r="H320" t="s">
        <v>326</v>
      </c>
      <c r="I320">
        <v>1</v>
      </c>
      <c r="J320" t="s">
        <v>19</v>
      </c>
      <c r="K320">
        <v>147</v>
      </c>
      <c r="L320">
        <v>1987</v>
      </c>
      <c r="M320">
        <v>8</v>
      </c>
      <c r="N320" s="2" t="s">
        <v>327</v>
      </c>
      <c r="O320" t="b">
        <v>1</v>
      </c>
      <c r="P320" t="b">
        <v>1</v>
      </c>
      <c r="Q320" s="2"/>
      <c r="R320">
        <v>45</v>
      </c>
      <c r="S320">
        <v>1</v>
      </c>
      <c r="T320">
        <v>600</v>
      </c>
      <c r="U320" t="s">
        <v>709</v>
      </c>
      <c r="V320">
        <v>80</v>
      </c>
      <c r="W320" s="2">
        <v>0.83</v>
      </c>
      <c r="AC320" t="b">
        <v>1</v>
      </c>
      <c r="AX320"/>
      <c r="BA320" s="2"/>
      <c r="BB320" s="2" t="b">
        <f>LEN(_xlfn.CONCAT(Table1[[#This Row],[TRACK_TYPE_STANDARD_GAUGE_RAILTYPE_OHLE]:[TRACK_TYPE_MTRO]]))&gt;0</f>
        <v>1</v>
      </c>
      <c r="BC320" s="7">
        <v>60</v>
      </c>
      <c r="BD320" t="s">
        <v>931</v>
      </c>
      <c r="BE320" t="s">
        <v>922</v>
      </c>
      <c r="BF320" t="s">
        <v>940</v>
      </c>
      <c r="BG3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0">
        <v>0</v>
      </c>
      <c r="BI320" t="s">
        <v>734</v>
      </c>
      <c r="BJ320" s="11">
        <v>147</v>
      </c>
      <c r="BK320" s="11">
        <v>8</v>
      </c>
      <c r="BL320" s="11">
        <v>18</v>
      </c>
      <c r="BM320">
        <v>0</v>
      </c>
      <c r="BN320" t="s">
        <v>692</v>
      </c>
      <c r="BO320" t="s">
        <v>694</v>
      </c>
      <c r="BP320" t="s">
        <v>701</v>
      </c>
      <c r="BQ320" t="s">
        <v>705</v>
      </c>
      <c r="BR320" t="s">
        <v>706</v>
      </c>
      <c r="BS320" t="s">
        <v>707</v>
      </c>
    </row>
    <row r="321" spans="1:71" hidden="1" x14ac:dyDescent="0.4">
      <c r="A321" s="2" t="s">
        <v>347</v>
      </c>
      <c r="B321" t="str">
        <f>_xlfn.TEXTAFTER(Table1[[#This Row],[VEHIDCODE]],"_")</f>
        <v>USA_Boston_01800</v>
      </c>
      <c r="C321" t="s">
        <v>741</v>
      </c>
      <c r="D321" t="b">
        <f>OR(ISNUMBER(SEARCH("wagon_",Table1[[#This Row],[FILENAMES_EXPECTED]])),ISNUMBER(SEARCH("coach_",Table1[[#This Row],[FILENAMES_EXPECTED]])))</f>
        <v>0</v>
      </c>
      <c r="E321" t="str">
        <f>"item_"&amp;Table1[[#This Row],[VEHIDCODE]]</f>
        <v>item_mtro_USA_Boston_01800</v>
      </c>
      <c r="F321" t="str">
        <f>"str_"&amp;Table1[[#This Row],[VEHIDCODE]]</f>
        <v>str_mtro_USA_Boston_01800</v>
      </c>
      <c r="G321">
        <v>8</v>
      </c>
      <c r="H321" t="s">
        <v>326</v>
      </c>
      <c r="I321">
        <v>1</v>
      </c>
      <c r="J321" t="s">
        <v>19</v>
      </c>
      <c r="K321">
        <v>150</v>
      </c>
      <c r="L321">
        <v>1993</v>
      </c>
      <c r="M321">
        <v>8</v>
      </c>
      <c r="N321" s="2" t="s">
        <v>327</v>
      </c>
      <c r="O321" t="b">
        <v>1</v>
      </c>
      <c r="P321" t="b">
        <v>1</v>
      </c>
      <c r="Q321" s="2"/>
      <c r="R321">
        <v>45</v>
      </c>
      <c r="S321">
        <v>1</v>
      </c>
      <c r="T321">
        <v>700</v>
      </c>
      <c r="U321" t="s">
        <v>709</v>
      </c>
      <c r="V321">
        <v>80</v>
      </c>
      <c r="W321" s="2">
        <v>0.51</v>
      </c>
      <c r="AC321" t="b">
        <v>1</v>
      </c>
      <c r="AX321"/>
      <c r="BA321" s="2"/>
      <c r="BB321" s="2" t="b">
        <f>LEN(_xlfn.CONCAT(Table1[[#This Row],[TRACK_TYPE_STANDARD_GAUGE_RAILTYPE_OHLE]:[TRACK_TYPE_MTRO]]))&gt;0</f>
        <v>1</v>
      </c>
      <c r="BC321" s="7">
        <v>60</v>
      </c>
      <c r="BD321" t="s">
        <v>928</v>
      </c>
      <c r="BE321" t="s">
        <v>922</v>
      </c>
      <c r="BF321" t="s">
        <v>940</v>
      </c>
      <c r="BG3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1">
        <v>0</v>
      </c>
      <c r="BI321" t="s">
        <v>734</v>
      </c>
      <c r="BJ321" s="11">
        <v>150</v>
      </c>
      <c r="BK321" s="11">
        <v>8</v>
      </c>
      <c r="BL321" s="11">
        <v>31</v>
      </c>
      <c r="BM321">
        <v>0</v>
      </c>
      <c r="BN321" t="s">
        <v>692</v>
      </c>
      <c r="BO321" t="s">
        <v>694</v>
      </c>
      <c r="BP321" t="s">
        <v>701</v>
      </c>
      <c r="BQ321" t="s">
        <v>705</v>
      </c>
      <c r="BR321" t="s">
        <v>706</v>
      </c>
      <c r="BS321" t="s">
        <v>707</v>
      </c>
    </row>
    <row r="322" spans="1:71" hidden="1" x14ac:dyDescent="0.4">
      <c r="A322" s="2" t="s">
        <v>348</v>
      </c>
      <c r="B322" t="str">
        <f>_xlfn.TEXTAFTER(Table1[[#This Row],[VEHIDCODE]],"_")</f>
        <v>USA_LA_A650</v>
      </c>
      <c r="C322" t="s">
        <v>741</v>
      </c>
      <c r="D322" t="b">
        <f>OR(ISNUMBER(SEARCH("wagon_",Table1[[#This Row],[FILENAMES_EXPECTED]])),ISNUMBER(SEARCH("coach_",Table1[[#This Row],[FILENAMES_EXPECTED]])))</f>
        <v>0</v>
      </c>
      <c r="E322" t="str">
        <f>"item_"&amp;Table1[[#This Row],[VEHIDCODE]]</f>
        <v>item_mtro_USA_LA_A650</v>
      </c>
      <c r="F322" t="str">
        <f>"str_"&amp;Table1[[#This Row],[VEHIDCODE]]</f>
        <v>str_mtro_USA_LA_A650</v>
      </c>
      <c r="G322">
        <v>8</v>
      </c>
      <c r="H322" t="s">
        <v>326</v>
      </c>
      <c r="I322">
        <v>1</v>
      </c>
      <c r="J322" t="s">
        <v>19</v>
      </c>
      <c r="K322">
        <v>170</v>
      </c>
      <c r="L322">
        <v>1993</v>
      </c>
      <c r="M322">
        <v>8</v>
      </c>
      <c r="N322" s="2" t="s">
        <v>327</v>
      </c>
      <c r="O322" t="b">
        <v>1</v>
      </c>
      <c r="P322" t="b">
        <v>1</v>
      </c>
      <c r="Q322" s="2"/>
      <c r="R322" t="s">
        <v>21</v>
      </c>
      <c r="S322">
        <v>1</v>
      </c>
      <c r="T322">
        <v>530</v>
      </c>
      <c r="U322" t="s">
        <v>709</v>
      </c>
      <c r="V322">
        <v>112</v>
      </c>
      <c r="W322" s="2">
        <v>0.47</v>
      </c>
      <c r="AC322" t="b">
        <v>1</v>
      </c>
      <c r="AX322"/>
      <c r="BA322" s="2"/>
      <c r="BB322" s="2" t="b">
        <f>LEN(_xlfn.CONCAT(Table1[[#This Row],[TRACK_TYPE_STANDARD_GAUGE_RAILTYPE_OHLE]:[TRACK_TYPE_MTRO]]))&gt;0</f>
        <v>1</v>
      </c>
      <c r="BC322" s="7">
        <v>60</v>
      </c>
      <c r="BD322" t="s">
        <v>928</v>
      </c>
      <c r="BE322" t="s">
        <v>922</v>
      </c>
      <c r="BF322" t="s">
        <v>940</v>
      </c>
      <c r="BG3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2">
        <v>0</v>
      </c>
      <c r="BI322" t="s">
        <v>734</v>
      </c>
      <c r="BJ322" s="11">
        <v>170</v>
      </c>
      <c r="BK322" s="11">
        <v>8</v>
      </c>
      <c r="BL322" s="11">
        <v>37</v>
      </c>
      <c r="BM322">
        <v>0</v>
      </c>
      <c r="BN322" t="s">
        <v>692</v>
      </c>
      <c r="BO322" t="s">
        <v>694</v>
      </c>
      <c r="BP322" t="s">
        <v>701</v>
      </c>
      <c r="BQ322" t="s">
        <v>705</v>
      </c>
      <c r="BR322" t="s">
        <v>706</v>
      </c>
      <c r="BS322" t="s">
        <v>707</v>
      </c>
    </row>
    <row r="323" spans="1:71" hidden="1" x14ac:dyDescent="0.4">
      <c r="A323" s="2" t="s">
        <v>349</v>
      </c>
      <c r="B323" t="str">
        <f>_xlfn.TEXTAFTER(Table1[[#This Row],[VEHIDCODE]],"_")</f>
        <v>Taiwan_Taipei_C301</v>
      </c>
      <c r="C323" t="s">
        <v>741</v>
      </c>
      <c r="D323" t="b">
        <f>OR(ISNUMBER(SEARCH("wagon_",Table1[[#This Row],[FILENAMES_EXPECTED]])),ISNUMBER(SEARCH("coach_",Table1[[#This Row],[FILENAMES_EXPECTED]])))</f>
        <v>0</v>
      </c>
      <c r="E323" t="str">
        <f>"item_"&amp;Table1[[#This Row],[VEHIDCODE]]</f>
        <v>item_mtro_Taiwan_Taipei_C301</v>
      </c>
      <c r="F323" t="str">
        <f>"str_"&amp;Table1[[#This Row],[VEHIDCODE]]</f>
        <v>str_mtro_Taiwan_Taipei_C301</v>
      </c>
      <c r="G323">
        <v>8</v>
      </c>
      <c r="H323" t="s">
        <v>326</v>
      </c>
      <c r="I323">
        <v>1</v>
      </c>
      <c r="J323" t="s">
        <v>19</v>
      </c>
      <c r="K323">
        <v>250</v>
      </c>
      <c r="L323">
        <v>1996</v>
      </c>
      <c r="M323">
        <v>8</v>
      </c>
      <c r="N323" s="2" t="s">
        <v>327</v>
      </c>
      <c r="O323" t="b">
        <v>1</v>
      </c>
      <c r="P323" t="b">
        <v>1</v>
      </c>
      <c r="Q323" s="2"/>
      <c r="R323" t="s">
        <v>21</v>
      </c>
      <c r="S323">
        <v>1</v>
      </c>
      <c r="T323">
        <v>200</v>
      </c>
      <c r="U323" t="s">
        <v>709</v>
      </c>
      <c r="V323">
        <v>90</v>
      </c>
      <c r="W323" s="2">
        <v>0.3</v>
      </c>
      <c r="AC323" t="b">
        <v>1</v>
      </c>
      <c r="AX323"/>
      <c r="BA323" s="2"/>
      <c r="BB323" s="2" t="b">
        <f>LEN(_xlfn.CONCAT(Table1[[#This Row],[TRACK_TYPE_STANDARD_GAUGE_RAILTYPE_OHLE]:[TRACK_TYPE_MTRO]]))&gt;0</f>
        <v>1</v>
      </c>
      <c r="BC323" s="7">
        <v>60</v>
      </c>
      <c r="BD323" t="s">
        <v>931</v>
      </c>
      <c r="BE323" t="s">
        <v>922</v>
      </c>
      <c r="BF323" t="s">
        <v>940</v>
      </c>
      <c r="BG3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3">
        <v>0</v>
      </c>
      <c r="BI323" t="s">
        <v>734</v>
      </c>
      <c r="BJ323" s="11">
        <v>250</v>
      </c>
      <c r="BK323" s="11">
        <v>8</v>
      </c>
      <c r="BL323" s="11">
        <v>39</v>
      </c>
      <c r="BM323">
        <v>0</v>
      </c>
      <c r="BN323" t="s">
        <v>692</v>
      </c>
      <c r="BO323" t="s">
        <v>694</v>
      </c>
      <c r="BP323" t="s">
        <v>701</v>
      </c>
      <c r="BQ323" t="s">
        <v>705</v>
      </c>
      <c r="BR323" t="s">
        <v>706</v>
      </c>
      <c r="BS323" t="s">
        <v>707</v>
      </c>
    </row>
    <row r="324" spans="1:71" hidden="1" x14ac:dyDescent="0.4">
      <c r="A324" s="2" t="s">
        <v>350</v>
      </c>
      <c r="B324" t="str">
        <f>_xlfn.TEXTAFTER(Table1[[#This Row],[VEHIDCODE]],"_")</f>
        <v>Netherlands_Amsterdam_CAF_90</v>
      </c>
      <c r="C324" t="s">
        <v>741</v>
      </c>
      <c r="D324" t="b">
        <f>OR(ISNUMBER(SEARCH("wagon_",Table1[[#This Row],[FILENAMES_EXPECTED]])),ISNUMBER(SEARCH("coach_",Table1[[#This Row],[FILENAMES_EXPECTED]])))</f>
        <v>0</v>
      </c>
      <c r="E324" t="str">
        <f>"item_"&amp;Table1[[#This Row],[VEHIDCODE]]</f>
        <v>item_mtro_Netherlands_Amsterdam_CAF_90</v>
      </c>
      <c r="F324" t="str">
        <f>"str_"&amp;Table1[[#This Row],[VEHIDCODE]]</f>
        <v>str_mtro_Netherlands_Amsterdam_CAF_90</v>
      </c>
      <c r="G324">
        <v>8</v>
      </c>
      <c r="H324" t="s">
        <v>326</v>
      </c>
      <c r="I324">
        <v>1</v>
      </c>
      <c r="J324" t="s">
        <v>19</v>
      </c>
      <c r="K324">
        <v>250</v>
      </c>
      <c r="L324">
        <v>1997</v>
      </c>
      <c r="M324">
        <v>8</v>
      </c>
      <c r="N324" s="2" t="s">
        <v>327</v>
      </c>
      <c r="O324" t="b">
        <v>1</v>
      </c>
      <c r="P324" t="b">
        <v>1</v>
      </c>
      <c r="Q324" s="2"/>
      <c r="R324" t="s">
        <v>21</v>
      </c>
      <c r="S324">
        <v>1</v>
      </c>
      <c r="T324">
        <v>700</v>
      </c>
      <c r="U324" t="s">
        <v>709</v>
      </c>
      <c r="V324">
        <v>70</v>
      </c>
      <c r="W324" s="2">
        <v>0.26</v>
      </c>
      <c r="AC324" t="b">
        <v>1</v>
      </c>
      <c r="AX324"/>
      <c r="BA324" s="2"/>
      <c r="BB324" s="2" t="b">
        <f>LEN(_xlfn.CONCAT(Table1[[#This Row],[TRACK_TYPE_STANDARD_GAUGE_RAILTYPE_OHLE]:[TRACK_TYPE_MTRO]]))&gt;0</f>
        <v>1</v>
      </c>
      <c r="BC324" s="7">
        <v>60</v>
      </c>
      <c r="BD324" t="s">
        <v>923</v>
      </c>
      <c r="BE324" t="s">
        <v>922</v>
      </c>
      <c r="BF324" t="s">
        <v>940</v>
      </c>
      <c r="BG3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4">
        <v>0</v>
      </c>
      <c r="BI324" t="s">
        <v>734</v>
      </c>
      <c r="BJ324" s="11">
        <v>250</v>
      </c>
      <c r="BK324" s="11">
        <v>8</v>
      </c>
      <c r="BL324" s="11">
        <v>47</v>
      </c>
      <c r="BM324">
        <v>0</v>
      </c>
      <c r="BN324" t="s">
        <v>692</v>
      </c>
      <c r="BO324" t="s">
        <v>694</v>
      </c>
      <c r="BP324" t="s">
        <v>701</v>
      </c>
      <c r="BQ324" t="s">
        <v>705</v>
      </c>
      <c r="BR324" t="s">
        <v>706</v>
      </c>
      <c r="BS324" t="s">
        <v>707</v>
      </c>
    </row>
    <row r="325" spans="1:71" hidden="1" x14ac:dyDescent="0.4">
      <c r="A325" s="2" t="s">
        <v>351</v>
      </c>
      <c r="B325" t="str">
        <f>_xlfn.TEXTAFTER(Table1[[#This Row],[VEHIDCODE]],"_")</f>
        <v>France_Paris_MP89</v>
      </c>
      <c r="C325" t="s">
        <v>741</v>
      </c>
      <c r="D325" t="b">
        <f>OR(ISNUMBER(SEARCH("wagon_",Table1[[#This Row],[FILENAMES_EXPECTED]])),ISNUMBER(SEARCH("coach_",Table1[[#This Row],[FILENAMES_EXPECTED]])))</f>
        <v>0</v>
      </c>
      <c r="E325" t="str">
        <f>"item_"&amp;Table1[[#This Row],[VEHIDCODE]]</f>
        <v>item_mtro_France_Paris_MP89</v>
      </c>
      <c r="F325" t="str">
        <f>"str_"&amp;Table1[[#This Row],[VEHIDCODE]]</f>
        <v>str_mtro_France_Paris_MP89</v>
      </c>
      <c r="G325">
        <v>7</v>
      </c>
      <c r="H325" t="s">
        <v>326</v>
      </c>
      <c r="I325">
        <v>1</v>
      </c>
      <c r="J325" t="s">
        <v>19</v>
      </c>
      <c r="K325">
        <v>120</v>
      </c>
      <c r="L325">
        <v>1997</v>
      </c>
      <c r="M325">
        <v>7</v>
      </c>
      <c r="N325" s="2" t="s">
        <v>327</v>
      </c>
      <c r="O325" t="b">
        <v>1</v>
      </c>
      <c r="P325" t="b">
        <v>1</v>
      </c>
      <c r="Q325" s="2"/>
      <c r="R325" t="s">
        <v>21</v>
      </c>
      <c r="S325">
        <v>1</v>
      </c>
      <c r="T325">
        <v>634</v>
      </c>
      <c r="U325" t="s">
        <v>709</v>
      </c>
      <c r="V325">
        <v>100</v>
      </c>
      <c r="W325" s="2">
        <v>0.36</v>
      </c>
      <c r="AC325" t="b">
        <v>1</v>
      </c>
      <c r="AX325"/>
      <c r="BA325" s="2"/>
      <c r="BB325" s="2" t="b">
        <f>LEN(_xlfn.CONCAT(Table1[[#This Row],[TRACK_TYPE_STANDARD_GAUGE_RAILTYPE_OHLE]:[TRACK_TYPE_MTRO]]))&gt;0</f>
        <v>1</v>
      </c>
      <c r="BC325" s="7">
        <v>60</v>
      </c>
      <c r="BD325" t="s">
        <v>923</v>
      </c>
      <c r="BE325" t="s">
        <v>922</v>
      </c>
      <c r="BF325" t="s">
        <v>940</v>
      </c>
      <c r="BG3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5">
        <v>0</v>
      </c>
      <c r="BI325" t="s">
        <v>734</v>
      </c>
      <c r="BJ325" s="11">
        <v>120</v>
      </c>
      <c r="BK325" s="11">
        <v>7</v>
      </c>
      <c r="BL325" s="11">
        <v>28</v>
      </c>
      <c r="BM325">
        <v>0</v>
      </c>
      <c r="BN325" t="s">
        <v>692</v>
      </c>
      <c r="BO325" t="s">
        <v>694</v>
      </c>
      <c r="BP325" t="s">
        <v>701</v>
      </c>
      <c r="BQ325" t="s">
        <v>705</v>
      </c>
      <c r="BR325" t="s">
        <v>706</v>
      </c>
      <c r="BS325" t="s">
        <v>707</v>
      </c>
    </row>
    <row r="326" spans="1:71" hidden="1" x14ac:dyDescent="0.4">
      <c r="A326" s="2" t="s">
        <v>352</v>
      </c>
      <c r="B326" t="str">
        <f>_xlfn.TEXTAFTER(Table1[[#This Row],[VEHIDCODE]],"_")</f>
        <v>Russia_Moscow_81_740</v>
      </c>
      <c r="C326" t="s">
        <v>741</v>
      </c>
      <c r="D326" t="b">
        <f>OR(ISNUMBER(SEARCH("wagon_",Table1[[#This Row],[FILENAMES_EXPECTED]])),ISNUMBER(SEARCH("coach_",Table1[[#This Row],[FILENAMES_EXPECTED]])))</f>
        <v>0</v>
      </c>
      <c r="E326" t="str">
        <f>"item_"&amp;Table1[[#This Row],[VEHIDCODE]]</f>
        <v>item_mtro_Russia_Moscow_81_740</v>
      </c>
      <c r="F326" t="str">
        <f>"str_"&amp;Table1[[#This Row],[VEHIDCODE]]</f>
        <v>str_mtro_Russia_Moscow_81_740</v>
      </c>
      <c r="G326">
        <v>7</v>
      </c>
      <c r="H326" t="s">
        <v>326</v>
      </c>
      <c r="I326">
        <v>1</v>
      </c>
      <c r="J326" t="s">
        <v>19</v>
      </c>
      <c r="K326">
        <v>120</v>
      </c>
      <c r="L326">
        <v>2003</v>
      </c>
      <c r="M326">
        <v>7</v>
      </c>
      <c r="N326" s="2" t="s">
        <v>327</v>
      </c>
      <c r="O326" t="b">
        <v>1</v>
      </c>
      <c r="P326" t="b">
        <v>1</v>
      </c>
      <c r="Q326" s="2"/>
      <c r="R326" t="s">
        <v>21</v>
      </c>
      <c r="S326">
        <v>1</v>
      </c>
      <c r="T326">
        <v>860</v>
      </c>
      <c r="U326" t="s">
        <v>709</v>
      </c>
      <c r="V326">
        <v>90</v>
      </c>
      <c r="W326" s="2">
        <v>0.36</v>
      </c>
      <c r="AC326" t="b">
        <v>1</v>
      </c>
      <c r="AX326"/>
      <c r="BA326" s="2"/>
      <c r="BB326" s="2" t="b">
        <f>LEN(_xlfn.CONCAT(Table1[[#This Row],[TRACK_TYPE_STANDARD_GAUGE_RAILTYPE_OHLE]:[TRACK_TYPE_MTRO]]))&gt;0</f>
        <v>1</v>
      </c>
      <c r="BC326" s="7">
        <v>60</v>
      </c>
      <c r="BD326" t="s">
        <v>931</v>
      </c>
      <c r="BE326" t="s">
        <v>922</v>
      </c>
      <c r="BF326" t="s">
        <v>940</v>
      </c>
      <c r="BG3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6">
        <v>0</v>
      </c>
      <c r="BI326" t="s">
        <v>734</v>
      </c>
      <c r="BJ326" s="11">
        <v>120</v>
      </c>
      <c r="BK326" s="11">
        <v>6</v>
      </c>
      <c r="BL326" s="11">
        <v>47</v>
      </c>
      <c r="BM326">
        <v>0</v>
      </c>
      <c r="BN326" t="s">
        <v>692</v>
      </c>
      <c r="BO326" t="s">
        <v>694</v>
      </c>
      <c r="BP326" t="s">
        <v>701</v>
      </c>
      <c r="BQ326" t="s">
        <v>705</v>
      </c>
      <c r="BR326" t="s">
        <v>706</v>
      </c>
      <c r="BS326" t="s">
        <v>707</v>
      </c>
    </row>
    <row r="327" spans="1:71" hidden="1" x14ac:dyDescent="0.4">
      <c r="A327" s="2" t="s">
        <v>353</v>
      </c>
      <c r="B327" t="str">
        <f>_xlfn.TEXTAFTER(Table1[[#This Row],[VEHIDCODE]],"_")</f>
        <v>Singapore_Singapore_C830_Metropolis</v>
      </c>
      <c r="C327" t="s">
        <v>741</v>
      </c>
      <c r="D327" t="b">
        <f>OR(ISNUMBER(SEARCH("wagon_",Table1[[#This Row],[FILENAMES_EXPECTED]])),ISNUMBER(SEARCH("coach_",Table1[[#This Row],[FILENAMES_EXPECTED]])))</f>
        <v>0</v>
      </c>
      <c r="E327" t="str">
        <f>"item_"&amp;Table1[[#This Row],[VEHIDCODE]]</f>
        <v>item_mtro_Singapore_Singapore_C830_Metropolis</v>
      </c>
      <c r="F327" t="str">
        <f>"str_"&amp;Table1[[#This Row],[VEHIDCODE]]</f>
        <v>str_mtro_Singapore_Singapore_C830_Metropolis</v>
      </c>
      <c r="G327">
        <v>8</v>
      </c>
      <c r="H327" t="s">
        <v>326</v>
      </c>
      <c r="I327">
        <v>1</v>
      </c>
      <c r="J327" t="s">
        <v>19</v>
      </c>
      <c r="K327">
        <v>250</v>
      </c>
      <c r="L327">
        <v>2003</v>
      </c>
      <c r="M327">
        <v>8</v>
      </c>
      <c r="N327" s="2" t="s">
        <v>327</v>
      </c>
      <c r="O327" t="b">
        <v>1</v>
      </c>
      <c r="P327" t="b">
        <v>1</v>
      </c>
      <c r="Q327" s="2"/>
      <c r="R327" t="s">
        <v>21</v>
      </c>
      <c r="S327">
        <v>1</v>
      </c>
      <c r="T327">
        <v>740</v>
      </c>
      <c r="U327" t="s">
        <v>709</v>
      </c>
      <c r="V327">
        <v>100</v>
      </c>
      <c r="W327" s="2">
        <v>0.86</v>
      </c>
      <c r="AC327" t="b">
        <v>1</v>
      </c>
      <c r="AX327"/>
      <c r="BA327" s="2"/>
      <c r="BB327" s="2" t="b">
        <f>LEN(_xlfn.CONCAT(Table1[[#This Row],[TRACK_TYPE_STANDARD_GAUGE_RAILTYPE_OHLE]:[TRACK_TYPE_MTRO]]))&gt;0</f>
        <v>1</v>
      </c>
      <c r="BC327" s="7">
        <v>60</v>
      </c>
      <c r="BD327" t="s">
        <v>931</v>
      </c>
      <c r="BE327" t="s">
        <v>922</v>
      </c>
      <c r="BF327" t="s">
        <v>940</v>
      </c>
      <c r="BG3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7">
        <v>0</v>
      </c>
      <c r="BI327" t="s">
        <v>734</v>
      </c>
      <c r="BJ327" s="11">
        <v>250</v>
      </c>
      <c r="BK327" s="11">
        <v>8</v>
      </c>
      <c r="BL327" s="11">
        <v>35</v>
      </c>
      <c r="BM327">
        <v>0</v>
      </c>
      <c r="BN327" t="s">
        <v>692</v>
      </c>
      <c r="BO327" t="s">
        <v>694</v>
      </c>
      <c r="BP327" t="s">
        <v>701</v>
      </c>
      <c r="BQ327" t="s">
        <v>705</v>
      </c>
      <c r="BR327" t="s">
        <v>706</v>
      </c>
      <c r="BS327" t="s">
        <v>707</v>
      </c>
    </row>
    <row r="328" spans="1:71" hidden="1" x14ac:dyDescent="0.4">
      <c r="A328" s="2" t="s">
        <v>354</v>
      </c>
      <c r="B328" t="str">
        <f>_xlfn.TEXTAFTER(Table1[[#This Row],[VEHIDCODE]],"_")</f>
        <v>Norway_Oslo_MX3000</v>
      </c>
      <c r="C328" t="s">
        <v>741</v>
      </c>
      <c r="D328" t="b">
        <f>OR(ISNUMBER(SEARCH("wagon_",Table1[[#This Row],[FILENAMES_EXPECTED]])),ISNUMBER(SEARCH("coach_",Table1[[#This Row],[FILENAMES_EXPECTED]])))</f>
        <v>0</v>
      </c>
      <c r="E328" t="str">
        <f>"item_"&amp;Table1[[#This Row],[VEHIDCODE]]</f>
        <v>item_mtro_Norway_Oslo_MX3000</v>
      </c>
      <c r="F328" t="str">
        <f>"str_"&amp;Table1[[#This Row],[VEHIDCODE]]</f>
        <v>str_mtro_Norway_Oslo_MX3000</v>
      </c>
      <c r="G328">
        <v>7</v>
      </c>
      <c r="H328" t="s">
        <v>326</v>
      </c>
      <c r="I328">
        <v>1</v>
      </c>
      <c r="J328" t="s">
        <v>19</v>
      </c>
      <c r="K328">
        <v>164</v>
      </c>
      <c r="L328">
        <v>2007</v>
      </c>
      <c r="M328">
        <v>7</v>
      </c>
      <c r="N328" s="2" t="s">
        <v>327</v>
      </c>
      <c r="O328" t="b">
        <v>1</v>
      </c>
      <c r="P328" t="b">
        <v>1</v>
      </c>
      <c r="Q328" s="2"/>
      <c r="R328" t="s">
        <v>21</v>
      </c>
      <c r="S328">
        <v>1</v>
      </c>
      <c r="T328">
        <v>760</v>
      </c>
      <c r="U328" t="s">
        <v>709</v>
      </c>
      <c r="V328">
        <v>80</v>
      </c>
      <c r="W328" s="2">
        <v>0.3</v>
      </c>
      <c r="AC328" t="b">
        <v>1</v>
      </c>
      <c r="AX328"/>
      <c r="BA328" s="2"/>
      <c r="BB328" s="2" t="b">
        <f>LEN(_xlfn.CONCAT(Table1[[#This Row],[TRACK_TYPE_STANDARD_GAUGE_RAILTYPE_OHLE]:[TRACK_TYPE_MTRO]]))&gt;0</f>
        <v>1</v>
      </c>
      <c r="BC328" s="7">
        <v>60</v>
      </c>
      <c r="BD328" t="s">
        <v>927</v>
      </c>
      <c r="BE328" t="s">
        <v>922</v>
      </c>
      <c r="BF328" t="s">
        <v>940</v>
      </c>
      <c r="BG3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8">
        <v>0</v>
      </c>
      <c r="BI328" t="s">
        <v>734</v>
      </c>
      <c r="BJ328" s="11">
        <v>164</v>
      </c>
      <c r="BK328" s="11">
        <v>7</v>
      </c>
      <c r="BL328" s="11">
        <v>33</v>
      </c>
      <c r="BM328">
        <v>0</v>
      </c>
      <c r="BN328" t="s">
        <v>692</v>
      </c>
      <c r="BO328" t="s">
        <v>694</v>
      </c>
      <c r="BP328" t="s">
        <v>701</v>
      </c>
      <c r="BQ328" t="s">
        <v>705</v>
      </c>
      <c r="BR328" t="s">
        <v>706</v>
      </c>
      <c r="BS328" t="s">
        <v>707</v>
      </c>
    </row>
    <row r="329" spans="1:71" hidden="1" x14ac:dyDescent="0.4">
      <c r="A329" s="2" t="s">
        <v>355</v>
      </c>
      <c r="B329" t="str">
        <f>_xlfn.TEXTAFTER(Table1[[#This Row],[VEHIDCODE]],"_")</f>
        <v>Japan_Osaka_30000</v>
      </c>
      <c r="C329" t="s">
        <v>741</v>
      </c>
      <c r="D329" t="b">
        <f>OR(ISNUMBER(SEARCH("wagon_",Table1[[#This Row],[FILENAMES_EXPECTED]])),ISNUMBER(SEARCH("coach_",Table1[[#This Row],[FILENAMES_EXPECTED]])))</f>
        <v>0</v>
      </c>
      <c r="E329" t="str">
        <f>"item_"&amp;Table1[[#This Row],[VEHIDCODE]]</f>
        <v>item_mtro_Japan_Osaka_30000</v>
      </c>
      <c r="F329" t="str">
        <f>"str_"&amp;Table1[[#This Row],[VEHIDCODE]]</f>
        <v>str_mtro_Japan_Osaka_30000</v>
      </c>
      <c r="G329">
        <v>8</v>
      </c>
      <c r="H329" t="s">
        <v>326</v>
      </c>
      <c r="I329">
        <v>1</v>
      </c>
      <c r="J329" t="s">
        <v>19</v>
      </c>
      <c r="K329">
        <v>140</v>
      </c>
      <c r="L329">
        <v>2009</v>
      </c>
      <c r="M329">
        <v>8</v>
      </c>
      <c r="N329" s="2" t="s">
        <v>327</v>
      </c>
      <c r="O329" t="b">
        <v>1</v>
      </c>
      <c r="P329" t="b">
        <v>1</v>
      </c>
      <c r="Q329" s="2"/>
      <c r="R329" t="s">
        <v>21</v>
      </c>
      <c r="S329">
        <v>1</v>
      </c>
      <c r="T329">
        <v>750</v>
      </c>
      <c r="U329" t="s">
        <v>709</v>
      </c>
      <c r="V329">
        <v>70</v>
      </c>
      <c r="W329" s="2">
        <v>0.62</v>
      </c>
      <c r="AC329" t="b">
        <v>1</v>
      </c>
      <c r="AX329"/>
      <c r="BA329" s="2"/>
      <c r="BB329" s="2" t="b">
        <f>LEN(_xlfn.CONCAT(Table1[[#This Row],[TRACK_TYPE_STANDARD_GAUGE_RAILTYPE_OHLE]:[TRACK_TYPE_MTRO]]))&gt;0</f>
        <v>1</v>
      </c>
      <c r="BC329" s="7">
        <v>60</v>
      </c>
      <c r="BD329" t="s">
        <v>931</v>
      </c>
      <c r="BE329" t="s">
        <v>922</v>
      </c>
      <c r="BF329" t="s">
        <v>940</v>
      </c>
      <c r="BG3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9">
        <v>0</v>
      </c>
      <c r="BI329" t="s">
        <v>734</v>
      </c>
      <c r="BJ329" s="11">
        <v>140</v>
      </c>
      <c r="BK329" s="11">
        <v>8</v>
      </c>
      <c r="BL329" s="11">
        <v>30</v>
      </c>
      <c r="BM329">
        <v>0</v>
      </c>
      <c r="BN329" t="s">
        <v>692</v>
      </c>
      <c r="BO329" t="s">
        <v>694</v>
      </c>
      <c r="BP329" t="s">
        <v>701</v>
      </c>
      <c r="BQ329" t="s">
        <v>705</v>
      </c>
      <c r="BR329" t="s">
        <v>706</v>
      </c>
      <c r="BS329" t="s">
        <v>707</v>
      </c>
    </row>
    <row r="330" spans="1:71" hidden="1" x14ac:dyDescent="0.4">
      <c r="A330" s="2" t="s">
        <v>356</v>
      </c>
      <c r="B330" t="str">
        <f>_xlfn.TEXTAFTER(Table1[[#This Row],[VEHIDCODE]],"_")</f>
        <v>Singapore_Singapore_C151A</v>
      </c>
      <c r="C330" t="s">
        <v>741</v>
      </c>
      <c r="D330" t="b">
        <f>OR(ISNUMBER(SEARCH("wagon_",Table1[[#This Row],[FILENAMES_EXPECTED]])),ISNUMBER(SEARCH("coach_",Table1[[#This Row],[FILENAMES_EXPECTED]])))</f>
        <v>0</v>
      </c>
      <c r="E330" t="str">
        <f>"item_"&amp;Table1[[#This Row],[VEHIDCODE]]</f>
        <v>item_mtro_Singapore_Singapore_C151A</v>
      </c>
      <c r="F330" t="str">
        <f>"str_"&amp;Table1[[#This Row],[VEHIDCODE]]</f>
        <v>str_mtro_Singapore_Singapore_C151A</v>
      </c>
      <c r="G330">
        <v>8</v>
      </c>
      <c r="H330" t="s">
        <v>326</v>
      </c>
      <c r="I330">
        <v>1</v>
      </c>
      <c r="J330" t="s">
        <v>19</v>
      </c>
      <c r="K330">
        <v>250</v>
      </c>
      <c r="L330">
        <v>2012</v>
      </c>
      <c r="M330">
        <v>8</v>
      </c>
      <c r="N330" s="2" t="s">
        <v>327</v>
      </c>
      <c r="O330" t="b">
        <v>1</v>
      </c>
      <c r="P330" t="b">
        <v>1</v>
      </c>
      <c r="Q330" s="2"/>
      <c r="R330" t="s">
        <v>21</v>
      </c>
      <c r="S330">
        <v>1</v>
      </c>
      <c r="T330">
        <v>720</v>
      </c>
      <c r="U330" t="s">
        <v>709</v>
      </c>
      <c r="V330">
        <v>90</v>
      </c>
      <c r="W330" s="2">
        <v>0.81</v>
      </c>
      <c r="AC330" t="b">
        <v>1</v>
      </c>
      <c r="AX330"/>
      <c r="BA330" s="2"/>
      <c r="BB330" s="2" t="b">
        <f>LEN(_xlfn.CONCAT(Table1[[#This Row],[TRACK_TYPE_STANDARD_GAUGE_RAILTYPE_OHLE]:[TRACK_TYPE_MTRO]]))&gt;0</f>
        <v>1</v>
      </c>
      <c r="BC330" s="7">
        <v>60</v>
      </c>
      <c r="BD330" t="s">
        <v>931</v>
      </c>
      <c r="BE330" t="s">
        <v>922</v>
      </c>
      <c r="BF330" t="s">
        <v>940</v>
      </c>
      <c r="BG3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0">
        <v>0</v>
      </c>
      <c r="BI330" t="s">
        <v>734</v>
      </c>
      <c r="BJ330" s="11">
        <v>250</v>
      </c>
      <c r="BK330" s="11">
        <v>8</v>
      </c>
      <c r="BL330" s="11">
        <v>35</v>
      </c>
      <c r="BM330">
        <v>0</v>
      </c>
      <c r="BN330" t="s">
        <v>692</v>
      </c>
      <c r="BO330" t="s">
        <v>694</v>
      </c>
      <c r="BP330" t="s">
        <v>701</v>
      </c>
      <c r="BQ330" t="s">
        <v>705</v>
      </c>
      <c r="BR330" t="s">
        <v>706</v>
      </c>
      <c r="BS330" t="s">
        <v>707</v>
      </c>
    </row>
    <row r="331" spans="1:71" hidden="1" x14ac:dyDescent="0.4">
      <c r="A331" s="2" t="s">
        <v>357</v>
      </c>
      <c r="B331" t="str">
        <f>_xlfn.TEXTAFTER(Table1[[#This Row],[VEHIDCODE]],"_")</f>
        <v>USA_Washington_7000</v>
      </c>
      <c r="C331" t="s">
        <v>741</v>
      </c>
      <c r="D331" t="b">
        <f>OR(ISNUMBER(SEARCH("wagon_",Table1[[#This Row],[FILENAMES_EXPECTED]])),ISNUMBER(SEARCH("coach_",Table1[[#This Row],[FILENAMES_EXPECTED]])))</f>
        <v>0</v>
      </c>
      <c r="E331" t="str">
        <f>"item_"&amp;Table1[[#This Row],[VEHIDCODE]]</f>
        <v>item_mtro_USA_Washington_7000</v>
      </c>
      <c r="F331" t="str">
        <f>"str_"&amp;Table1[[#This Row],[VEHIDCODE]]</f>
        <v>str_mtro_USA_Washington_7000</v>
      </c>
      <c r="G331">
        <v>8</v>
      </c>
      <c r="H331" t="s">
        <v>326</v>
      </c>
      <c r="I331">
        <v>1</v>
      </c>
      <c r="J331" t="s">
        <v>19</v>
      </c>
      <c r="K331">
        <v>184</v>
      </c>
      <c r="L331">
        <v>2013</v>
      </c>
      <c r="M331">
        <v>8</v>
      </c>
      <c r="N331" s="2" t="s">
        <v>327</v>
      </c>
      <c r="O331" t="b">
        <v>1</v>
      </c>
      <c r="P331" t="b">
        <v>1</v>
      </c>
      <c r="Q331" s="2"/>
      <c r="R331" t="s">
        <v>21</v>
      </c>
      <c r="S331">
        <v>1</v>
      </c>
      <c r="T331">
        <v>720</v>
      </c>
      <c r="U331" t="s">
        <v>709</v>
      </c>
      <c r="V331">
        <v>126</v>
      </c>
      <c r="W331" s="2">
        <v>0.64</v>
      </c>
      <c r="AC331" t="b">
        <v>1</v>
      </c>
      <c r="AX331"/>
      <c r="BA331" s="2"/>
      <c r="BB331" s="2" t="b">
        <f>LEN(_xlfn.CONCAT(Table1[[#This Row],[TRACK_TYPE_STANDARD_GAUGE_RAILTYPE_OHLE]:[TRACK_TYPE_MTRO]]))&gt;0</f>
        <v>1</v>
      </c>
      <c r="BC331" s="7">
        <v>60</v>
      </c>
      <c r="BD331" t="s">
        <v>928</v>
      </c>
      <c r="BE331" t="s">
        <v>922</v>
      </c>
      <c r="BF331" t="s">
        <v>940</v>
      </c>
      <c r="BG3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1">
        <v>0</v>
      </c>
      <c r="BI331" t="s">
        <v>734</v>
      </c>
      <c r="BJ331" s="11">
        <v>184</v>
      </c>
      <c r="BK331" s="11">
        <v>8</v>
      </c>
      <c r="BL331" s="11">
        <v>36</v>
      </c>
      <c r="BM331">
        <v>0</v>
      </c>
      <c r="BN331" t="s">
        <v>692</v>
      </c>
      <c r="BO331" t="s">
        <v>694</v>
      </c>
      <c r="BP331" t="s">
        <v>701</v>
      </c>
      <c r="BQ331" t="s">
        <v>705</v>
      </c>
      <c r="BR331" t="s">
        <v>706</v>
      </c>
      <c r="BS331" t="s">
        <v>707</v>
      </c>
    </row>
    <row r="332" spans="1:71" hidden="1" x14ac:dyDescent="0.4">
      <c r="A332" s="2" t="s">
        <v>358</v>
      </c>
      <c r="B332" t="str">
        <f>_xlfn.TEXTAFTER(Table1[[#This Row],[VEHIDCODE]],"_")</f>
        <v>Greece_Thessaloniki_2014</v>
      </c>
      <c r="C332" t="s">
        <v>741</v>
      </c>
      <c r="D332" t="b">
        <f>OR(ISNUMBER(SEARCH("wagon_",Table1[[#This Row],[FILENAMES_EXPECTED]])),ISNUMBER(SEARCH("coach_",Table1[[#This Row],[FILENAMES_EXPECTED]])))</f>
        <v>0</v>
      </c>
      <c r="E332" t="str">
        <f>"item_"&amp;Table1[[#This Row],[VEHIDCODE]]</f>
        <v>item_mtro_Greece_Thessaloniki_2014</v>
      </c>
      <c r="F332" t="str">
        <f>"str_"&amp;Table1[[#This Row],[VEHIDCODE]]</f>
        <v>str_mtro_Greece_Thessaloniki_2014</v>
      </c>
      <c r="G332">
        <v>6</v>
      </c>
      <c r="H332" t="s">
        <v>326</v>
      </c>
      <c r="I332">
        <v>1</v>
      </c>
      <c r="J332" t="s">
        <v>19</v>
      </c>
      <c r="K332">
        <v>110</v>
      </c>
      <c r="L332">
        <v>2014</v>
      </c>
      <c r="M332">
        <v>6</v>
      </c>
      <c r="N332" s="2" t="s">
        <v>327</v>
      </c>
      <c r="O332" t="b">
        <v>1</v>
      </c>
      <c r="P332" t="b">
        <v>1</v>
      </c>
      <c r="Q332" s="2"/>
      <c r="R332" t="s">
        <v>21</v>
      </c>
      <c r="S332">
        <v>1</v>
      </c>
      <c r="T332">
        <v>255</v>
      </c>
      <c r="U332" t="s">
        <v>709</v>
      </c>
      <c r="V332">
        <v>90</v>
      </c>
      <c r="W332" s="2">
        <v>0.97</v>
      </c>
      <c r="AC332" t="b">
        <v>1</v>
      </c>
      <c r="AX332"/>
      <c r="BA332" s="2"/>
      <c r="BB332" s="2" t="b">
        <f>LEN(_xlfn.CONCAT(Table1[[#This Row],[TRACK_TYPE_STANDARD_GAUGE_RAILTYPE_OHLE]:[TRACK_TYPE_MTRO]]))&gt;0</f>
        <v>1</v>
      </c>
      <c r="BC332" s="7">
        <v>60</v>
      </c>
      <c r="BD332" t="s">
        <v>924</v>
      </c>
      <c r="BE332" t="s">
        <v>922</v>
      </c>
      <c r="BF332" t="s">
        <v>940</v>
      </c>
      <c r="BG3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2">
        <v>0</v>
      </c>
      <c r="BI332" t="s">
        <v>734</v>
      </c>
      <c r="BJ332" s="11">
        <v>110</v>
      </c>
      <c r="BK332" s="11">
        <v>6</v>
      </c>
      <c r="BL332" s="11">
        <v>18</v>
      </c>
      <c r="BM332">
        <v>0</v>
      </c>
      <c r="BN332" t="s">
        <v>692</v>
      </c>
      <c r="BO332" t="s">
        <v>694</v>
      </c>
      <c r="BP332" t="s">
        <v>701</v>
      </c>
      <c r="BQ332" t="s">
        <v>705</v>
      </c>
      <c r="BR332" t="s">
        <v>706</v>
      </c>
      <c r="BS332" t="s">
        <v>707</v>
      </c>
    </row>
    <row r="333" spans="1:71" hidden="1" x14ac:dyDescent="0.4">
      <c r="A333" s="2" t="s">
        <v>359</v>
      </c>
      <c r="B333" t="str">
        <f>_xlfn.TEXTAFTER(Table1[[#This Row],[VEHIDCODE]],"_")</f>
        <v>Germany_Berlin_U_Bahn_A_I</v>
      </c>
      <c r="C333" t="s">
        <v>741</v>
      </c>
      <c r="D333" t="b">
        <f>OR(ISNUMBER(SEARCH("wagon_",Table1[[#This Row],[FILENAMES_EXPECTED]])),ISNUMBER(SEARCH("coach_",Table1[[#This Row],[FILENAMES_EXPECTED]])))</f>
        <v>0</v>
      </c>
      <c r="E333" t="str">
        <f>"item_"&amp;Table1[[#This Row],[VEHIDCODE]]</f>
        <v>item_mtro_Germany_Berlin_U_Bahn_A_I</v>
      </c>
      <c r="F333" t="str">
        <f>"str_"&amp;Table1[[#This Row],[VEHIDCODE]]</f>
        <v>str_mtro_Germany_Berlin_U_Bahn_A_I</v>
      </c>
      <c r="G333">
        <v>5</v>
      </c>
      <c r="H333" t="s">
        <v>326</v>
      </c>
      <c r="I333">
        <v>1</v>
      </c>
      <c r="J333" t="s">
        <v>19</v>
      </c>
      <c r="K333">
        <v>88</v>
      </c>
      <c r="L333">
        <v>1901</v>
      </c>
      <c r="M333">
        <v>5</v>
      </c>
      <c r="N333" s="2" t="s">
        <v>327</v>
      </c>
      <c r="O333" t="b">
        <v>1</v>
      </c>
      <c r="P333" t="b">
        <v>1</v>
      </c>
      <c r="Q333" s="2"/>
      <c r="R333">
        <v>45</v>
      </c>
      <c r="S333">
        <v>1</v>
      </c>
      <c r="T333">
        <v>321</v>
      </c>
      <c r="U333" t="s">
        <v>709</v>
      </c>
      <c r="V333">
        <v>50</v>
      </c>
      <c r="W333" s="2">
        <v>0.14000000000000001</v>
      </c>
      <c r="AC333" t="b">
        <v>1</v>
      </c>
      <c r="AX333"/>
      <c r="BA333" s="2"/>
      <c r="BB333" s="2" t="b">
        <f>LEN(_xlfn.CONCAT(Table1[[#This Row],[TRACK_TYPE_STANDARD_GAUGE_RAILTYPE_OHLE]:[TRACK_TYPE_MTRO]]))&gt;0</f>
        <v>1</v>
      </c>
      <c r="BC333" s="7">
        <v>60</v>
      </c>
      <c r="BD333" t="s">
        <v>923</v>
      </c>
      <c r="BE333" t="s">
        <v>922</v>
      </c>
      <c r="BF333" t="s">
        <v>940</v>
      </c>
      <c r="BG3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3">
        <v>0</v>
      </c>
      <c r="BI333" t="s">
        <v>734</v>
      </c>
      <c r="BJ333" s="11">
        <v>88</v>
      </c>
      <c r="BK333" s="11">
        <v>5</v>
      </c>
      <c r="BL333" s="11">
        <v>29</v>
      </c>
      <c r="BM333">
        <v>0</v>
      </c>
      <c r="BN333" t="s">
        <v>692</v>
      </c>
      <c r="BO333" t="s">
        <v>694</v>
      </c>
      <c r="BP333" t="s">
        <v>701</v>
      </c>
      <c r="BQ333" t="s">
        <v>705</v>
      </c>
      <c r="BR333" t="s">
        <v>706</v>
      </c>
      <c r="BS333" t="s">
        <v>707</v>
      </c>
    </row>
    <row r="334" spans="1:71" hidden="1" x14ac:dyDescent="0.4">
      <c r="A334" s="2" t="s">
        <v>360</v>
      </c>
      <c r="B334" t="str">
        <f>_xlfn.TEXTAFTER(Table1[[#This Row],[VEHIDCODE]],"_")</f>
        <v>USA_NY_Hedley_Hi_V</v>
      </c>
      <c r="C334" t="s">
        <v>741</v>
      </c>
      <c r="D334" t="b">
        <f>OR(ISNUMBER(SEARCH("wagon_",Table1[[#This Row],[FILENAMES_EXPECTED]])),ISNUMBER(SEARCH("coach_",Table1[[#This Row],[FILENAMES_EXPECTED]])))</f>
        <v>0</v>
      </c>
      <c r="E334" t="str">
        <f>"item_"&amp;Table1[[#This Row],[VEHIDCODE]]</f>
        <v>item_mtro_USA_NY_Hedley_Hi_V</v>
      </c>
      <c r="F334" t="str">
        <f>"str_"&amp;Table1[[#This Row],[VEHIDCODE]]</f>
        <v>str_mtro_USA_NY_Hedley_Hi_V</v>
      </c>
      <c r="G334">
        <v>8</v>
      </c>
      <c r="H334" t="s">
        <v>326</v>
      </c>
      <c r="I334">
        <v>1</v>
      </c>
      <c r="J334" t="s">
        <v>19</v>
      </c>
      <c r="K334">
        <v>128</v>
      </c>
      <c r="L334">
        <v>1910</v>
      </c>
      <c r="M334">
        <v>8</v>
      </c>
      <c r="N334" s="2" t="s">
        <v>327</v>
      </c>
      <c r="O334" t="b">
        <v>1</v>
      </c>
      <c r="P334" t="b">
        <v>1</v>
      </c>
      <c r="Q334" s="2"/>
      <c r="R334">
        <v>45</v>
      </c>
      <c r="S334">
        <v>1</v>
      </c>
      <c r="T334">
        <v>400</v>
      </c>
      <c r="U334" t="s">
        <v>709</v>
      </c>
      <c r="V334">
        <v>90</v>
      </c>
      <c r="W334" s="2">
        <v>0.2</v>
      </c>
      <c r="AC334" t="b">
        <v>1</v>
      </c>
      <c r="AX334"/>
      <c r="BA334" s="2"/>
      <c r="BB334" s="2" t="b">
        <f>LEN(_xlfn.CONCAT(Table1[[#This Row],[TRACK_TYPE_STANDARD_GAUGE_RAILTYPE_OHLE]:[TRACK_TYPE_MTRO]]))&gt;0</f>
        <v>1</v>
      </c>
      <c r="BC334" s="7">
        <v>60</v>
      </c>
      <c r="BD334" t="s">
        <v>928</v>
      </c>
      <c r="BE334" t="s">
        <v>922</v>
      </c>
      <c r="BF334" t="s">
        <v>940</v>
      </c>
      <c r="BG3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4">
        <v>0</v>
      </c>
      <c r="BI334" t="s">
        <v>734</v>
      </c>
      <c r="BJ334" s="11">
        <v>128</v>
      </c>
      <c r="BK334" s="11">
        <v>8</v>
      </c>
      <c r="BL334" s="11">
        <v>36</v>
      </c>
      <c r="BM334">
        <v>0</v>
      </c>
      <c r="BN334" t="s">
        <v>692</v>
      </c>
      <c r="BO334" t="s">
        <v>694</v>
      </c>
      <c r="BP334" t="s">
        <v>701</v>
      </c>
      <c r="BQ334" t="s">
        <v>705</v>
      </c>
      <c r="BR334" t="s">
        <v>706</v>
      </c>
      <c r="BS334" t="s">
        <v>707</v>
      </c>
    </row>
    <row r="335" spans="1:71" hidden="1" x14ac:dyDescent="0.4">
      <c r="A335" s="2" t="s">
        <v>361</v>
      </c>
      <c r="B335" t="str">
        <f>_xlfn.TEXTAFTER(Table1[[#This Row],[VEHIDCODE]],"_")</f>
        <v>Japan_Osaka_1000</v>
      </c>
      <c r="C335" t="s">
        <v>741</v>
      </c>
      <c r="D335" t="b">
        <f>OR(ISNUMBER(SEARCH("wagon_",Table1[[#This Row],[FILENAMES_EXPECTED]])),ISNUMBER(SEARCH("coach_",Table1[[#This Row],[FILENAMES_EXPECTED]])))</f>
        <v>0</v>
      </c>
      <c r="E335" t="str">
        <f>"item_"&amp;Table1[[#This Row],[VEHIDCODE]]</f>
        <v>item_mtro_Japan_Osaka_1000</v>
      </c>
      <c r="F335" t="str">
        <f>"str_"&amp;Table1[[#This Row],[VEHIDCODE]]</f>
        <v>str_mtro_Japan_Osaka_1000</v>
      </c>
      <c r="G335">
        <v>7</v>
      </c>
      <c r="H335" t="s">
        <v>326</v>
      </c>
      <c r="I335">
        <v>1</v>
      </c>
      <c r="J335" t="s">
        <v>19</v>
      </c>
      <c r="K335">
        <v>145</v>
      </c>
      <c r="L335">
        <v>1933</v>
      </c>
      <c r="M335">
        <v>7</v>
      </c>
      <c r="N335" s="2" t="s">
        <v>327</v>
      </c>
      <c r="O335" t="b">
        <v>1</v>
      </c>
      <c r="P335" t="b">
        <v>1</v>
      </c>
      <c r="Q335" s="2"/>
      <c r="R335">
        <v>45</v>
      </c>
      <c r="S335">
        <v>1</v>
      </c>
      <c r="T335">
        <v>200</v>
      </c>
      <c r="U335" t="s">
        <v>709</v>
      </c>
      <c r="V335">
        <v>65</v>
      </c>
      <c r="W335" s="2">
        <v>0.24</v>
      </c>
      <c r="AC335" t="b">
        <v>1</v>
      </c>
      <c r="AX335"/>
      <c r="BA335" s="2"/>
      <c r="BB335" s="2" t="b">
        <f>LEN(_xlfn.CONCAT(Table1[[#This Row],[TRACK_TYPE_STANDARD_GAUGE_RAILTYPE_OHLE]:[TRACK_TYPE_MTRO]]))&gt;0</f>
        <v>1</v>
      </c>
      <c r="BC335" s="7">
        <v>60</v>
      </c>
      <c r="BD335" t="s">
        <v>931</v>
      </c>
      <c r="BE335" t="s">
        <v>922</v>
      </c>
      <c r="BF335" t="s">
        <v>940</v>
      </c>
      <c r="BG3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5">
        <v>0</v>
      </c>
      <c r="BI335" t="s">
        <v>734</v>
      </c>
      <c r="BJ335" s="11">
        <v>145</v>
      </c>
      <c r="BK335" s="11">
        <v>7</v>
      </c>
      <c r="BL335" s="11">
        <v>35</v>
      </c>
      <c r="BM335">
        <v>0</v>
      </c>
      <c r="BN335" t="s">
        <v>692</v>
      </c>
      <c r="BO335" t="s">
        <v>694</v>
      </c>
      <c r="BP335" t="s">
        <v>701</v>
      </c>
      <c r="BQ335" t="s">
        <v>705</v>
      </c>
      <c r="BR335" t="s">
        <v>706</v>
      </c>
      <c r="BS335" t="s">
        <v>707</v>
      </c>
    </row>
    <row r="336" spans="1:71" hidden="1" x14ac:dyDescent="0.4">
      <c r="A336" s="2" t="s">
        <v>362</v>
      </c>
      <c r="B336" t="str">
        <f>_xlfn.TEXTAFTER(Table1[[#This Row],[VEHIDCODE]],"_")</f>
        <v>Russia_Moscow_Type_A</v>
      </c>
      <c r="C336" t="s">
        <v>741</v>
      </c>
      <c r="D336" t="b">
        <f>OR(ISNUMBER(SEARCH("wagon_",Table1[[#This Row],[FILENAMES_EXPECTED]])),ISNUMBER(SEARCH("coach_",Table1[[#This Row],[FILENAMES_EXPECTED]])))</f>
        <v>0</v>
      </c>
      <c r="E336" t="str">
        <f>"item_"&amp;Table1[[#This Row],[VEHIDCODE]]</f>
        <v>item_mtro_Russia_Moscow_Type_A</v>
      </c>
      <c r="F336" t="str">
        <f>"str_"&amp;Table1[[#This Row],[VEHIDCODE]]</f>
        <v>str_mtro_Russia_Moscow_Type_A</v>
      </c>
      <c r="G336">
        <v>7</v>
      </c>
      <c r="H336" t="s">
        <v>326</v>
      </c>
      <c r="I336">
        <v>1</v>
      </c>
      <c r="J336" t="s">
        <v>19</v>
      </c>
      <c r="K336">
        <v>131</v>
      </c>
      <c r="L336">
        <v>1934</v>
      </c>
      <c r="M336">
        <v>7</v>
      </c>
      <c r="N336" s="2" t="s">
        <v>327</v>
      </c>
      <c r="O336" t="b">
        <v>1</v>
      </c>
      <c r="P336" t="b">
        <v>1</v>
      </c>
      <c r="Q336" s="2"/>
      <c r="R336">
        <v>45</v>
      </c>
      <c r="S336">
        <v>1</v>
      </c>
      <c r="T336">
        <v>205</v>
      </c>
      <c r="U336" t="s">
        <v>709</v>
      </c>
      <c r="V336">
        <v>65</v>
      </c>
      <c r="W336" s="2">
        <v>0.14000000000000001</v>
      </c>
      <c r="AC336" t="b">
        <v>1</v>
      </c>
      <c r="AX336"/>
      <c r="BA336" s="2"/>
      <c r="BB336" s="2" t="b">
        <f>LEN(_xlfn.CONCAT(Table1[[#This Row],[TRACK_TYPE_STANDARD_GAUGE_RAILTYPE_OHLE]:[TRACK_TYPE_MTRO]]))&gt;0</f>
        <v>1</v>
      </c>
      <c r="BC336" s="7">
        <v>60</v>
      </c>
      <c r="BD336" t="s">
        <v>931</v>
      </c>
      <c r="BE336" t="s">
        <v>922</v>
      </c>
      <c r="BF336" t="s">
        <v>940</v>
      </c>
      <c r="BG3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6">
        <v>0</v>
      </c>
      <c r="BI336" t="s">
        <v>734</v>
      </c>
      <c r="BJ336" s="11">
        <v>131</v>
      </c>
      <c r="BK336" s="11">
        <v>7</v>
      </c>
      <c r="BL336" s="11">
        <v>51</v>
      </c>
      <c r="BM336">
        <v>0</v>
      </c>
      <c r="BN336" t="s">
        <v>692</v>
      </c>
      <c r="BO336" t="s">
        <v>694</v>
      </c>
      <c r="BP336" t="s">
        <v>701</v>
      </c>
      <c r="BQ336" t="s">
        <v>705</v>
      </c>
      <c r="BR336" t="s">
        <v>706</v>
      </c>
      <c r="BS336" t="s">
        <v>707</v>
      </c>
    </row>
    <row r="337" spans="1:71" hidden="1" x14ac:dyDescent="0.4">
      <c r="A337" s="2" t="s">
        <v>363</v>
      </c>
      <c r="B337" t="str">
        <f>_xlfn.TEXTAFTER(Table1[[#This Row],[VEHIDCODE]],"_")</f>
        <v>USA_NY_R10</v>
      </c>
      <c r="C337" t="s">
        <v>741</v>
      </c>
      <c r="D337" t="b">
        <f>OR(ISNUMBER(SEARCH("wagon_",Table1[[#This Row],[FILENAMES_EXPECTED]])),ISNUMBER(SEARCH("coach_",Table1[[#This Row],[FILENAMES_EXPECTED]])))</f>
        <v>0</v>
      </c>
      <c r="E337" t="str">
        <f>"item_"&amp;Table1[[#This Row],[VEHIDCODE]]</f>
        <v>item_mtro_USA_NY_R10</v>
      </c>
      <c r="F337" t="str">
        <f>"str_"&amp;Table1[[#This Row],[VEHIDCODE]]</f>
        <v>str_mtro_USA_NY_R10</v>
      </c>
      <c r="G337">
        <v>8</v>
      </c>
      <c r="H337" t="s">
        <v>326</v>
      </c>
      <c r="I337">
        <v>1</v>
      </c>
      <c r="J337" t="s">
        <v>19</v>
      </c>
      <c r="K337">
        <v>160</v>
      </c>
      <c r="L337">
        <v>1948</v>
      </c>
      <c r="M337">
        <v>8</v>
      </c>
      <c r="N337" s="2" t="s">
        <v>327</v>
      </c>
      <c r="O337" t="b">
        <v>1</v>
      </c>
      <c r="P337" t="b">
        <v>1</v>
      </c>
      <c r="Q337" s="2"/>
      <c r="R337">
        <v>45</v>
      </c>
      <c r="S337">
        <v>1</v>
      </c>
      <c r="T337">
        <v>400</v>
      </c>
      <c r="U337" t="s">
        <v>709</v>
      </c>
      <c r="V337">
        <v>90</v>
      </c>
      <c r="W337" s="2">
        <v>0.2</v>
      </c>
      <c r="AC337" t="b">
        <v>1</v>
      </c>
      <c r="AX337"/>
      <c r="BA337" s="2"/>
      <c r="BB337" s="2" t="b">
        <f>LEN(_xlfn.CONCAT(Table1[[#This Row],[TRACK_TYPE_STANDARD_GAUGE_RAILTYPE_OHLE]:[TRACK_TYPE_MTRO]]))&gt;0</f>
        <v>1</v>
      </c>
      <c r="BC337" s="7">
        <v>60</v>
      </c>
      <c r="BD337" t="s">
        <v>928</v>
      </c>
      <c r="BE337" t="s">
        <v>922</v>
      </c>
      <c r="BF337" t="s">
        <v>940</v>
      </c>
      <c r="BG3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7">
        <v>0</v>
      </c>
      <c r="BI337" t="s">
        <v>734</v>
      </c>
      <c r="BJ337" s="11">
        <v>160</v>
      </c>
      <c r="BK337" s="11">
        <v>8</v>
      </c>
      <c r="BL337" s="11">
        <v>36</v>
      </c>
      <c r="BM337">
        <v>0</v>
      </c>
      <c r="BN337" t="s">
        <v>692</v>
      </c>
      <c r="BO337" t="s">
        <v>694</v>
      </c>
      <c r="BP337" t="s">
        <v>701</v>
      </c>
      <c r="BQ337" t="s">
        <v>705</v>
      </c>
      <c r="BR337" t="s">
        <v>706</v>
      </c>
      <c r="BS337" t="s">
        <v>707</v>
      </c>
    </row>
    <row r="338" spans="1:71" hidden="1" x14ac:dyDescent="0.4">
      <c r="A338" s="2" t="s">
        <v>364</v>
      </c>
      <c r="B338" t="str">
        <f>_xlfn.TEXTAFTER(Table1[[#This Row],[VEHIDCODE]],"_")</f>
        <v>Italy_Rome_MR_100</v>
      </c>
      <c r="C338" t="s">
        <v>741</v>
      </c>
      <c r="D338" t="b">
        <f>OR(ISNUMBER(SEARCH("wagon_",Table1[[#This Row],[FILENAMES_EXPECTED]])),ISNUMBER(SEARCH("coach_",Table1[[#This Row],[FILENAMES_EXPECTED]])))</f>
        <v>0</v>
      </c>
      <c r="E338" t="str">
        <f>"item_"&amp;Table1[[#This Row],[VEHIDCODE]]</f>
        <v>item_mtro_Italy_Rome_MR_100</v>
      </c>
      <c r="F338" t="str">
        <f>"str_"&amp;Table1[[#This Row],[VEHIDCODE]]</f>
        <v>str_mtro_Italy_Rome_MR_100</v>
      </c>
      <c r="G338">
        <v>7</v>
      </c>
      <c r="H338" t="s">
        <v>326</v>
      </c>
      <c r="I338">
        <v>1</v>
      </c>
      <c r="J338" t="s">
        <v>19</v>
      </c>
      <c r="K338">
        <v>156</v>
      </c>
      <c r="L338">
        <v>1954</v>
      </c>
      <c r="M338">
        <v>7</v>
      </c>
      <c r="N338" s="2" t="s">
        <v>327</v>
      </c>
      <c r="O338" t="b">
        <v>1</v>
      </c>
      <c r="P338" t="b">
        <v>1</v>
      </c>
      <c r="Q338" s="2"/>
      <c r="R338">
        <v>45</v>
      </c>
      <c r="S338">
        <v>1</v>
      </c>
      <c r="T338">
        <v>237</v>
      </c>
      <c r="U338" t="s">
        <v>709</v>
      </c>
      <c r="V338">
        <v>100</v>
      </c>
      <c r="W338" s="2">
        <v>0.15</v>
      </c>
      <c r="AC338" t="b">
        <v>1</v>
      </c>
      <c r="AX338"/>
      <c r="BA338" s="2"/>
      <c r="BB338" s="2" t="b">
        <f>LEN(_xlfn.CONCAT(Table1[[#This Row],[TRACK_TYPE_STANDARD_GAUGE_RAILTYPE_OHLE]:[TRACK_TYPE_MTRO]]))&gt;0</f>
        <v>1</v>
      </c>
      <c r="BC338" s="7">
        <v>60</v>
      </c>
      <c r="BD338" t="s">
        <v>924</v>
      </c>
      <c r="BE338" t="s">
        <v>922</v>
      </c>
      <c r="BF338" t="s">
        <v>940</v>
      </c>
      <c r="BG3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8">
        <v>0</v>
      </c>
      <c r="BI338" t="s">
        <v>734</v>
      </c>
      <c r="BJ338" s="11">
        <v>156</v>
      </c>
      <c r="BK338" s="11">
        <v>7</v>
      </c>
      <c r="BL338" s="11">
        <v>40</v>
      </c>
      <c r="BM338">
        <v>0</v>
      </c>
      <c r="BN338" t="s">
        <v>692</v>
      </c>
      <c r="BO338" t="s">
        <v>694</v>
      </c>
      <c r="BP338" t="s">
        <v>701</v>
      </c>
      <c r="BQ338" t="s">
        <v>705</v>
      </c>
      <c r="BR338" t="s">
        <v>706</v>
      </c>
      <c r="BS338" t="s">
        <v>707</v>
      </c>
    </row>
    <row r="339" spans="1:71" hidden="1" x14ac:dyDescent="0.4">
      <c r="A339" s="2" t="s">
        <v>365</v>
      </c>
      <c r="B339" t="str">
        <f>_xlfn.TEXTAFTER(Table1[[#This Row],[VEHIDCODE]],"_")</f>
        <v>Russia_Moscow_Type_D</v>
      </c>
      <c r="C339" t="s">
        <v>741</v>
      </c>
      <c r="D339" t="b">
        <f>OR(ISNUMBER(SEARCH("wagon_",Table1[[#This Row],[FILENAMES_EXPECTED]])),ISNUMBER(SEARCH("coach_",Table1[[#This Row],[FILENAMES_EXPECTED]])))</f>
        <v>0</v>
      </c>
      <c r="E339" t="str">
        <f>"item_"&amp;Table1[[#This Row],[VEHIDCODE]]</f>
        <v>item_mtro_Russia_Moscow_Type_D</v>
      </c>
      <c r="F339" t="str">
        <f>"str_"&amp;Table1[[#This Row],[VEHIDCODE]]</f>
        <v>str_mtro_Russia_Moscow_Type_D</v>
      </c>
      <c r="G339">
        <v>8</v>
      </c>
      <c r="H339" t="s">
        <v>326</v>
      </c>
      <c r="I339">
        <v>1</v>
      </c>
      <c r="J339" t="s">
        <v>19</v>
      </c>
      <c r="K339">
        <v>132</v>
      </c>
      <c r="L339">
        <v>1955</v>
      </c>
      <c r="M339">
        <v>8</v>
      </c>
      <c r="N339" s="2" t="s">
        <v>327</v>
      </c>
      <c r="O339" t="b">
        <v>1</v>
      </c>
      <c r="P339" t="b">
        <v>1</v>
      </c>
      <c r="Q339" s="2"/>
      <c r="R339">
        <v>45</v>
      </c>
      <c r="S339">
        <v>1</v>
      </c>
      <c r="T339">
        <v>192</v>
      </c>
      <c r="U339" t="s">
        <v>709</v>
      </c>
      <c r="V339">
        <v>75</v>
      </c>
      <c r="W339" s="2">
        <v>0.21</v>
      </c>
      <c r="AC339" t="b">
        <v>1</v>
      </c>
      <c r="AX339"/>
      <c r="BA339" s="2"/>
      <c r="BB339" s="2" t="b">
        <f>LEN(_xlfn.CONCAT(Table1[[#This Row],[TRACK_TYPE_STANDARD_GAUGE_RAILTYPE_OHLE]:[TRACK_TYPE_MTRO]]))&gt;0</f>
        <v>1</v>
      </c>
      <c r="BC339" s="7">
        <v>60</v>
      </c>
      <c r="BD339" t="s">
        <v>931</v>
      </c>
      <c r="BE339" t="s">
        <v>922</v>
      </c>
      <c r="BF339" t="s">
        <v>940</v>
      </c>
      <c r="BG3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9">
        <v>0</v>
      </c>
      <c r="BI339" t="s">
        <v>734</v>
      </c>
      <c r="BJ339" s="11">
        <v>132</v>
      </c>
      <c r="BK339" s="11">
        <v>8</v>
      </c>
      <c r="BL339" s="11">
        <v>36</v>
      </c>
      <c r="BM339">
        <v>0</v>
      </c>
      <c r="BN339" t="s">
        <v>692</v>
      </c>
      <c r="BO339" t="s">
        <v>694</v>
      </c>
      <c r="BP339" t="s">
        <v>701</v>
      </c>
      <c r="BQ339" t="s">
        <v>705</v>
      </c>
      <c r="BR339" t="s">
        <v>706</v>
      </c>
      <c r="BS339" t="s">
        <v>707</v>
      </c>
    </row>
    <row r="340" spans="1:71" hidden="1" x14ac:dyDescent="0.4">
      <c r="A340" s="2" t="s">
        <v>366</v>
      </c>
      <c r="B340" t="str">
        <f>_xlfn.TEXTAFTER(Table1[[#This Row],[VEHIDCODE]],"_")</f>
        <v>Netherlands_Rotterdam_MG2_Type_M</v>
      </c>
      <c r="C340" t="s">
        <v>741</v>
      </c>
      <c r="D340" t="b">
        <f>OR(ISNUMBER(SEARCH("wagon_",Table1[[#This Row],[FILENAMES_EXPECTED]])),ISNUMBER(SEARCH("coach_",Table1[[#This Row],[FILENAMES_EXPECTED]])))</f>
        <v>0</v>
      </c>
      <c r="E340" t="str">
        <f>"item_"&amp;Table1[[#This Row],[VEHIDCODE]]</f>
        <v>item_mtro_Netherlands_Rotterdam_MG2_Type_M</v>
      </c>
      <c r="F340" t="str">
        <f>"str_"&amp;Table1[[#This Row],[VEHIDCODE]]</f>
        <v>str_mtro_Netherlands_Rotterdam_MG2_Type_M</v>
      </c>
      <c r="G340">
        <v>7</v>
      </c>
      <c r="H340" t="s">
        <v>326</v>
      </c>
      <c r="I340">
        <v>1</v>
      </c>
      <c r="J340" t="s">
        <v>19</v>
      </c>
      <c r="K340">
        <v>235</v>
      </c>
      <c r="L340">
        <v>1968</v>
      </c>
      <c r="M340">
        <v>7</v>
      </c>
      <c r="N340" s="2" t="s">
        <v>327</v>
      </c>
      <c r="O340" t="b">
        <v>1</v>
      </c>
      <c r="P340" t="b">
        <v>1</v>
      </c>
      <c r="Q340" s="2"/>
      <c r="R340">
        <v>45</v>
      </c>
      <c r="S340">
        <v>1</v>
      </c>
      <c r="T340">
        <v>197</v>
      </c>
      <c r="U340" t="s">
        <v>709</v>
      </c>
      <c r="V340">
        <v>80</v>
      </c>
      <c r="W340" s="2">
        <v>0.3</v>
      </c>
      <c r="AC340" t="b">
        <v>1</v>
      </c>
      <c r="AX340"/>
      <c r="BA340" s="2"/>
      <c r="BB340" s="2" t="b">
        <f>LEN(_xlfn.CONCAT(Table1[[#This Row],[TRACK_TYPE_STANDARD_GAUGE_RAILTYPE_OHLE]:[TRACK_TYPE_MTRO]]))&gt;0</f>
        <v>1</v>
      </c>
      <c r="BC340" s="7">
        <v>60</v>
      </c>
      <c r="BD340" t="s">
        <v>923</v>
      </c>
      <c r="BE340" t="s">
        <v>922</v>
      </c>
      <c r="BF340" t="s">
        <v>940</v>
      </c>
      <c r="BG3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0">
        <v>0</v>
      </c>
      <c r="BI340" t="s">
        <v>734</v>
      </c>
      <c r="BJ340" s="11">
        <v>235</v>
      </c>
      <c r="BK340" s="11">
        <v>7</v>
      </c>
      <c r="BL340" s="11">
        <v>20</v>
      </c>
      <c r="BM340">
        <v>0</v>
      </c>
      <c r="BN340" t="s">
        <v>692</v>
      </c>
      <c r="BO340" t="s">
        <v>694</v>
      </c>
      <c r="BP340" t="s">
        <v>701</v>
      </c>
      <c r="BQ340" t="s">
        <v>705</v>
      </c>
      <c r="BR340" t="s">
        <v>706</v>
      </c>
      <c r="BS340" t="s">
        <v>707</v>
      </c>
    </row>
    <row r="341" spans="1:71" hidden="1" x14ac:dyDescent="0.4">
      <c r="A341" s="2" t="s">
        <v>367</v>
      </c>
      <c r="B341" t="str">
        <f>_xlfn.TEXTAFTER(Table1[[#This Row],[VEHIDCODE]],"_")</f>
        <v>Czech_Republic_Prague_ECS_Set</v>
      </c>
      <c r="C341" t="s">
        <v>741</v>
      </c>
      <c r="D341" t="b">
        <f>OR(ISNUMBER(SEARCH("wagon_",Table1[[#This Row],[FILENAMES_EXPECTED]])),ISNUMBER(SEARCH("coach_",Table1[[#This Row],[FILENAMES_EXPECTED]])))</f>
        <v>0</v>
      </c>
      <c r="E341" t="str">
        <f>"item_"&amp;Table1[[#This Row],[VEHIDCODE]]</f>
        <v>item_mtro_Czech_Republic_Prague_ECS_Set</v>
      </c>
      <c r="F341" t="str">
        <f>"str_"&amp;Table1[[#This Row],[VEHIDCODE]]</f>
        <v>str_mtro_Czech_Republic_Prague_ECS_Set</v>
      </c>
      <c r="G341">
        <v>8</v>
      </c>
      <c r="H341" t="s">
        <v>326</v>
      </c>
      <c r="I341">
        <v>1</v>
      </c>
      <c r="J341" t="s">
        <v>19</v>
      </c>
      <c r="K341">
        <v>150</v>
      </c>
      <c r="L341">
        <v>1972</v>
      </c>
      <c r="M341">
        <v>8</v>
      </c>
      <c r="N341" s="2" t="s">
        <v>327</v>
      </c>
      <c r="O341" t="b">
        <v>1</v>
      </c>
      <c r="P341" t="b">
        <v>1</v>
      </c>
      <c r="Q341" s="2"/>
      <c r="R341">
        <v>45</v>
      </c>
      <c r="S341">
        <v>1</v>
      </c>
      <c r="T341">
        <v>192</v>
      </c>
      <c r="U341" t="s">
        <v>709</v>
      </c>
      <c r="V341">
        <v>80</v>
      </c>
      <c r="W341" s="2">
        <v>0.16</v>
      </c>
      <c r="AC341" t="b">
        <v>1</v>
      </c>
      <c r="AX341"/>
      <c r="BA341" s="2"/>
      <c r="BB341" s="2" t="b">
        <f>LEN(_xlfn.CONCAT(Table1[[#This Row],[TRACK_TYPE_STANDARD_GAUGE_RAILTYPE_OHLE]:[TRACK_TYPE_MTRO]]))&gt;0</f>
        <v>1</v>
      </c>
      <c r="BC341" s="7">
        <v>60</v>
      </c>
      <c r="BD341" t="s">
        <v>929</v>
      </c>
      <c r="BE341" t="s">
        <v>922</v>
      </c>
      <c r="BF341" t="s">
        <v>940</v>
      </c>
      <c r="BG3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1">
        <v>0</v>
      </c>
      <c r="BI341" t="s">
        <v>734</v>
      </c>
      <c r="BJ341" s="11">
        <v>150</v>
      </c>
      <c r="BK341" s="11">
        <v>8</v>
      </c>
      <c r="BL341" s="11">
        <v>33</v>
      </c>
      <c r="BM341">
        <v>0</v>
      </c>
      <c r="BN341" t="s">
        <v>692</v>
      </c>
      <c r="BO341" t="s">
        <v>694</v>
      </c>
      <c r="BP341" t="s">
        <v>701</v>
      </c>
      <c r="BQ341" t="s">
        <v>705</v>
      </c>
      <c r="BR341" t="s">
        <v>706</v>
      </c>
      <c r="BS341" t="s">
        <v>707</v>
      </c>
    </row>
    <row r="342" spans="1:71" hidden="1" x14ac:dyDescent="0.4">
      <c r="A342" s="2" t="s">
        <v>368</v>
      </c>
      <c r="B342" t="str">
        <f>_xlfn.TEXTAFTER(Table1[[#This Row],[VEHIDCODE]],"_")</f>
        <v>Argentina_Buenos_Aires_Serie_1200</v>
      </c>
      <c r="C342" t="s">
        <v>741</v>
      </c>
      <c r="D342" t="b">
        <f>OR(ISNUMBER(SEARCH("wagon_",Table1[[#This Row],[FILENAMES_EXPECTED]])),ISNUMBER(SEARCH("coach_",Table1[[#This Row],[FILENAMES_EXPECTED]])))</f>
        <v>0</v>
      </c>
      <c r="E342" t="str">
        <f>"item_"&amp;Table1[[#This Row],[VEHIDCODE]]</f>
        <v>item_mtro_Argentina_Buenos_Aires_Serie_1200</v>
      </c>
      <c r="F342" t="str">
        <f>"str_"&amp;Table1[[#This Row],[VEHIDCODE]]</f>
        <v>str_mtro_Argentina_Buenos_Aires_Serie_1200</v>
      </c>
      <c r="G342">
        <v>7</v>
      </c>
      <c r="H342" t="s">
        <v>326</v>
      </c>
      <c r="I342">
        <v>1</v>
      </c>
      <c r="J342" t="s">
        <v>19</v>
      </c>
      <c r="K342">
        <v>162</v>
      </c>
      <c r="L342">
        <v>1954</v>
      </c>
      <c r="M342">
        <v>7</v>
      </c>
      <c r="N342" s="2" t="s">
        <v>327</v>
      </c>
      <c r="O342" t="b">
        <v>1</v>
      </c>
      <c r="P342" t="b">
        <v>1</v>
      </c>
      <c r="Q342" s="2"/>
      <c r="R342">
        <v>45</v>
      </c>
      <c r="S342">
        <v>1</v>
      </c>
      <c r="T342">
        <v>224</v>
      </c>
      <c r="U342" t="s">
        <v>709</v>
      </c>
      <c r="V342">
        <v>75</v>
      </c>
      <c r="W342" s="2">
        <v>0.25</v>
      </c>
      <c r="AC342" t="b">
        <v>1</v>
      </c>
      <c r="AX342"/>
      <c r="BA342" s="2"/>
      <c r="BB342" s="2" t="b">
        <f>LEN(_xlfn.CONCAT(Table1[[#This Row],[TRACK_TYPE_STANDARD_GAUGE_RAILTYPE_OHLE]:[TRACK_TYPE_MTRO]]))&gt;0</f>
        <v>1</v>
      </c>
      <c r="BC342" s="7">
        <v>40</v>
      </c>
      <c r="BD342" t="s">
        <v>930</v>
      </c>
      <c r="BE342" t="s">
        <v>922</v>
      </c>
      <c r="BF342" t="s">
        <v>940</v>
      </c>
      <c r="BG3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2">
        <v>0</v>
      </c>
      <c r="BI342" t="s">
        <v>734</v>
      </c>
      <c r="BJ342" s="11">
        <v>162</v>
      </c>
      <c r="BK342" s="11">
        <v>7</v>
      </c>
      <c r="BL342" s="11">
        <v>21</v>
      </c>
      <c r="BM342">
        <v>0</v>
      </c>
      <c r="BN342" t="s">
        <v>692</v>
      </c>
      <c r="BO342" t="s">
        <v>694</v>
      </c>
      <c r="BP342" t="s">
        <v>701</v>
      </c>
      <c r="BQ342" t="s">
        <v>705</v>
      </c>
      <c r="BR342" t="s">
        <v>706</v>
      </c>
      <c r="BS342" t="s">
        <v>707</v>
      </c>
    </row>
    <row r="343" spans="1:71" hidden="1" x14ac:dyDescent="0.4">
      <c r="A343" s="2" t="s">
        <v>369</v>
      </c>
      <c r="B343" t="str">
        <f>_xlfn.TEXTAFTER(Table1[[#This Row],[VEHIDCODE]],"_")</f>
        <v>Chile_Santiago_NS_93</v>
      </c>
      <c r="C343" t="s">
        <v>741</v>
      </c>
      <c r="D343" t="b">
        <f>OR(ISNUMBER(SEARCH("wagon_",Table1[[#This Row],[FILENAMES_EXPECTED]])),ISNUMBER(SEARCH("coach_",Table1[[#This Row],[FILENAMES_EXPECTED]])))</f>
        <v>0</v>
      </c>
      <c r="E343" t="str">
        <f>"item_"&amp;Table1[[#This Row],[VEHIDCODE]]</f>
        <v>item_mtro_Chile_Santiago_NS_93</v>
      </c>
      <c r="F343" t="str">
        <f>"str_"&amp;Table1[[#This Row],[VEHIDCODE]]</f>
        <v>str_mtro_Chile_Santiago_NS_93</v>
      </c>
      <c r="G343">
        <v>7</v>
      </c>
      <c r="H343" t="s">
        <v>326</v>
      </c>
      <c r="I343">
        <v>1</v>
      </c>
      <c r="J343" t="s">
        <v>19</v>
      </c>
      <c r="K343">
        <v>116</v>
      </c>
      <c r="L343">
        <v>1996</v>
      </c>
      <c r="M343">
        <v>7</v>
      </c>
      <c r="N343" s="2" t="s">
        <v>327</v>
      </c>
      <c r="O343" t="b">
        <v>1</v>
      </c>
      <c r="P343" t="b">
        <v>1</v>
      </c>
      <c r="Q343" s="2"/>
      <c r="R343">
        <v>45</v>
      </c>
      <c r="S343">
        <v>1</v>
      </c>
      <c r="T343">
        <v>1270</v>
      </c>
      <c r="U343" t="s">
        <v>709</v>
      </c>
      <c r="V343">
        <v>100</v>
      </c>
      <c r="W343" s="2">
        <v>0.42</v>
      </c>
      <c r="AC343" t="b">
        <v>1</v>
      </c>
      <c r="AX343"/>
      <c r="BA343" s="2"/>
      <c r="BB343" s="2" t="b">
        <f>LEN(_xlfn.CONCAT(Table1[[#This Row],[TRACK_TYPE_STANDARD_GAUGE_RAILTYPE_OHLE]:[TRACK_TYPE_MTRO]]))&gt;0</f>
        <v>1</v>
      </c>
      <c r="BC343" s="7">
        <v>40</v>
      </c>
      <c r="BD343" t="s">
        <v>930</v>
      </c>
      <c r="BE343" t="s">
        <v>922</v>
      </c>
      <c r="BF343" t="s">
        <v>940</v>
      </c>
      <c r="BG3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3">
        <v>0</v>
      </c>
      <c r="BI343" t="s">
        <v>734</v>
      </c>
      <c r="BJ343" s="11">
        <v>116</v>
      </c>
      <c r="BK343" s="11">
        <v>7</v>
      </c>
      <c r="BL343" s="11">
        <v>44</v>
      </c>
      <c r="BM343">
        <v>0</v>
      </c>
      <c r="BN343" t="s">
        <v>692</v>
      </c>
      <c r="BO343" t="s">
        <v>694</v>
      </c>
      <c r="BP343" t="s">
        <v>701</v>
      </c>
      <c r="BQ343" t="s">
        <v>705</v>
      </c>
      <c r="BR343" t="s">
        <v>706</v>
      </c>
      <c r="BS343" t="s">
        <v>707</v>
      </c>
    </row>
    <row r="344" spans="1:71" hidden="1" x14ac:dyDescent="0.4">
      <c r="A344" s="2" t="s">
        <v>370</v>
      </c>
      <c r="B344" t="str">
        <f>_xlfn.TEXTAFTER(Table1[[#This Row],[VEHIDCODE]],"_")</f>
        <v>Chile_Santiago_AS_2002</v>
      </c>
      <c r="C344" t="s">
        <v>741</v>
      </c>
      <c r="D344" t="b">
        <f>OR(ISNUMBER(SEARCH("wagon_",Table1[[#This Row],[FILENAMES_EXPECTED]])),ISNUMBER(SEARCH("coach_",Table1[[#This Row],[FILENAMES_EXPECTED]])))</f>
        <v>0</v>
      </c>
      <c r="E344" t="str">
        <f>"item_"&amp;Table1[[#This Row],[VEHIDCODE]]</f>
        <v>item_mtro_Chile_Santiago_AS_2002</v>
      </c>
      <c r="F344" t="str">
        <f>"str_"&amp;Table1[[#This Row],[VEHIDCODE]]</f>
        <v>str_mtro_Chile_Santiago_AS_2002</v>
      </c>
      <c r="G344">
        <v>8</v>
      </c>
      <c r="H344" t="s">
        <v>326</v>
      </c>
      <c r="I344">
        <v>1</v>
      </c>
      <c r="J344" t="s">
        <v>19</v>
      </c>
      <c r="K344">
        <v>196</v>
      </c>
      <c r="L344">
        <v>2004</v>
      </c>
      <c r="M344">
        <v>8</v>
      </c>
      <c r="N344" s="2" t="s">
        <v>327</v>
      </c>
      <c r="O344" t="b">
        <v>1</v>
      </c>
      <c r="P344" t="b">
        <v>1</v>
      </c>
      <c r="Q344" s="2"/>
      <c r="R344" t="s">
        <v>21</v>
      </c>
      <c r="S344">
        <v>1</v>
      </c>
      <c r="T344">
        <v>1500</v>
      </c>
      <c r="U344" t="s">
        <v>709</v>
      </c>
      <c r="V344">
        <v>100</v>
      </c>
      <c r="W344" s="2">
        <v>0.92</v>
      </c>
      <c r="AC344" t="b">
        <v>1</v>
      </c>
      <c r="AX344"/>
      <c r="BA344" s="2"/>
      <c r="BB344" s="2" t="b">
        <f>LEN(_xlfn.CONCAT(Table1[[#This Row],[TRACK_TYPE_STANDARD_GAUGE_RAILTYPE_OHLE]:[TRACK_TYPE_MTRO]]))&gt;0</f>
        <v>1</v>
      </c>
      <c r="BC344" s="7">
        <v>40</v>
      </c>
      <c r="BD344" t="s">
        <v>930</v>
      </c>
      <c r="BE344" t="s">
        <v>922</v>
      </c>
      <c r="BF344" t="s">
        <v>940</v>
      </c>
      <c r="BG3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4">
        <v>0</v>
      </c>
      <c r="BI344" t="s">
        <v>734</v>
      </c>
      <c r="BJ344" s="11">
        <v>196</v>
      </c>
      <c r="BK344" s="11">
        <v>8</v>
      </c>
      <c r="BL344" s="11">
        <v>42</v>
      </c>
      <c r="BM344">
        <v>0</v>
      </c>
      <c r="BN344" t="s">
        <v>692</v>
      </c>
      <c r="BO344" t="s">
        <v>694</v>
      </c>
      <c r="BP344" t="s">
        <v>701</v>
      </c>
      <c r="BQ344" t="s">
        <v>705</v>
      </c>
      <c r="BR344" t="s">
        <v>706</v>
      </c>
      <c r="BS344" t="s">
        <v>707</v>
      </c>
    </row>
    <row r="345" spans="1:71" hidden="1" x14ac:dyDescent="0.4">
      <c r="A345" s="2" t="s">
        <v>371</v>
      </c>
      <c r="B345" t="str">
        <f>_xlfn.TEXTAFTER(Table1[[#This Row],[VEHIDCODE]],"_")</f>
        <v>Brazil_Recife_VLT_Mobile_3</v>
      </c>
      <c r="C345" t="s">
        <v>741</v>
      </c>
      <c r="D345" t="b">
        <f>OR(ISNUMBER(SEARCH("wagon_",Table1[[#This Row],[FILENAMES_EXPECTED]])),ISNUMBER(SEARCH("coach_",Table1[[#This Row],[FILENAMES_EXPECTED]])))</f>
        <v>0</v>
      </c>
      <c r="E345" t="str">
        <f>"item_"&amp;Table1[[#This Row],[VEHIDCODE]]</f>
        <v>item_mtro_Brazil_Recife_VLT_Mobile_3</v>
      </c>
      <c r="F345" t="str">
        <f>"str_"&amp;Table1[[#This Row],[VEHIDCODE]]</f>
        <v>str_mtro_Brazil_Recife_VLT_Mobile_3</v>
      </c>
      <c r="G345">
        <v>8</v>
      </c>
      <c r="H345" t="s">
        <v>326</v>
      </c>
      <c r="I345">
        <v>1</v>
      </c>
      <c r="J345" t="s">
        <v>19</v>
      </c>
      <c r="K345">
        <v>182</v>
      </c>
      <c r="L345">
        <v>2008</v>
      </c>
      <c r="M345">
        <v>8</v>
      </c>
      <c r="N345" s="2" t="s">
        <v>327</v>
      </c>
      <c r="O345" t="b">
        <v>1</v>
      </c>
      <c r="P345" t="b">
        <v>1</v>
      </c>
      <c r="Q345" s="2"/>
      <c r="R345" t="s">
        <v>21</v>
      </c>
      <c r="S345">
        <v>1</v>
      </c>
      <c r="T345">
        <v>946</v>
      </c>
      <c r="U345" t="s">
        <v>709</v>
      </c>
      <c r="V345">
        <v>80</v>
      </c>
      <c r="W345" s="2">
        <v>0.97</v>
      </c>
      <c r="AC345" t="b">
        <v>1</v>
      </c>
      <c r="AX345"/>
      <c r="BA345" s="2"/>
      <c r="BB345" s="2" t="b">
        <f>LEN(_xlfn.CONCAT(Table1[[#This Row],[TRACK_TYPE_STANDARD_GAUGE_RAILTYPE_OHLE]:[TRACK_TYPE_MTRO]]))&gt;0</f>
        <v>1</v>
      </c>
      <c r="BC345" s="7">
        <v>40</v>
      </c>
      <c r="BD345" t="s">
        <v>930</v>
      </c>
      <c r="BE345" t="s">
        <v>922</v>
      </c>
      <c r="BF345" t="s">
        <v>940</v>
      </c>
      <c r="BG3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5">
        <v>0</v>
      </c>
      <c r="BI345" t="s">
        <v>734</v>
      </c>
      <c r="BJ345" s="11">
        <v>182</v>
      </c>
      <c r="BK345" s="11">
        <v>8</v>
      </c>
      <c r="BL345" s="11">
        <v>27</v>
      </c>
      <c r="BM345">
        <v>0</v>
      </c>
      <c r="BN345" t="s">
        <v>692</v>
      </c>
      <c r="BO345" t="s">
        <v>694</v>
      </c>
      <c r="BP345" t="s">
        <v>701</v>
      </c>
      <c r="BQ345" t="s">
        <v>705</v>
      </c>
      <c r="BR345" t="s">
        <v>706</v>
      </c>
      <c r="BS345" t="s">
        <v>707</v>
      </c>
    </row>
    <row r="346" spans="1:71" hidden="1" x14ac:dyDescent="0.4">
      <c r="A346" s="2" t="s">
        <v>372</v>
      </c>
      <c r="B346" t="str">
        <f>_xlfn.TEXTAFTER(Table1[[#This Row],[VEHIDCODE]],"_")</f>
        <v>Spain_Madrid_Series_5000</v>
      </c>
      <c r="C346" t="s">
        <v>741</v>
      </c>
      <c r="D346" t="b">
        <f>OR(ISNUMBER(SEARCH("wagon_",Table1[[#This Row],[FILENAMES_EXPECTED]])),ISNUMBER(SEARCH("coach_",Table1[[#This Row],[FILENAMES_EXPECTED]])))</f>
        <v>0</v>
      </c>
      <c r="E346" t="str">
        <f>"item_"&amp;Table1[[#This Row],[VEHIDCODE]]</f>
        <v>item_mtro_Spain_Madrid_Series_5000</v>
      </c>
      <c r="F346" t="str">
        <f>"str_"&amp;Table1[[#This Row],[VEHIDCODE]]</f>
        <v>str_mtro_Spain_Madrid_Series_5000</v>
      </c>
      <c r="G346">
        <v>8</v>
      </c>
      <c r="H346" t="s">
        <v>326</v>
      </c>
      <c r="I346">
        <v>1</v>
      </c>
      <c r="J346" t="s">
        <v>19</v>
      </c>
      <c r="K346">
        <v>192</v>
      </c>
      <c r="L346">
        <v>1974</v>
      </c>
      <c r="M346">
        <v>8</v>
      </c>
      <c r="N346" s="2" t="s">
        <v>24</v>
      </c>
      <c r="O346" t="b">
        <v>1</v>
      </c>
      <c r="P346" t="b">
        <v>1</v>
      </c>
      <c r="Q346" s="2"/>
      <c r="R346">
        <v>45</v>
      </c>
      <c r="S346">
        <v>1</v>
      </c>
      <c r="T346">
        <v>530</v>
      </c>
      <c r="U346" t="s">
        <v>709</v>
      </c>
      <c r="V346">
        <v>80</v>
      </c>
      <c r="W346" s="2">
        <v>0.46</v>
      </c>
      <c r="AC346" t="b">
        <v>1</v>
      </c>
      <c r="AX346"/>
      <c r="BA346" s="2"/>
      <c r="BB346" s="2" t="b">
        <f>LEN(_xlfn.CONCAT(Table1[[#This Row],[TRACK_TYPE_STANDARD_GAUGE_RAILTYPE_OHLE]:[TRACK_TYPE_MTRO]]))&gt;0</f>
        <v>1</v>
      </c>
      <c r="BC346" s="7">
        <v>40</v>
      </c>
      <c r="BD346" t="s">
        <v>924</v>
      </c>
      <c r="BE346" t="s">
        <v>922</v>
      </c>
      <c r="BF346" t="s">
        <v>940</v>
      </c>
      <c r="BG3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6">
        <v>0</v>
      </c>
      <c r="BI346" t="s">
        <v>734</v>
      </c>
      <c r="BJ346" s="11">
        <v>192</v>
      </c>
      <c r="BK346" s="11">
        <v>8</v>
      </c>
      <c r="BL346" s="11">
        <v>41</v>
      </c>
      <c r="BM346">
        <v>0</v>
      </c>
      <c r="BN346" t="s">
        <v>692</v>
      </c>
      <c r="BO346" t="s">
        <v>694</v>
      </c>
      <c r="BP346" t="s">
        <v>701</v>
      </c>
      <c r="BQ346" t="s">
        <v>705</v>
      </c>
      <c r="BR346" t="s">
        <v>706</v>
      </c>
      <c r="BS346" t="s">
        <v>707</v>
      </c>
    </row>
    <row r="347" spans="1:71" hidden="1" x14ac:dyDescent="0.4">
      <c r="A347" s="2" t="s">
        <v>373</v>
      </c>
      <c r="B347" t="str">
        <f>_xlfn.TEXTAFTER(Table1[[#This Row],[VEHIDCODE]],"_")</f>
        <v>Italy_Rome_S_300</v>
      </c>
      <c r="C347" t="s">
        <v>741</v>
      </c>
      <c r="D347" t="b">
        <f>OR(ISNUMBER(SEARCH("wagon_",Table1[[#This Row],[FILENAMES_EXPECTED]])),ISNUMBER(SEARCH("coach_",Table1[[#This Row],[FILENAMES_EXPECTED]])))</f>
        <v>0</v>
      </c>
      <c r="E347" t="str">
        <f>"item_"&amp;Table1[[#This Row],[VEHIDCODE]]</f>
        <v>item_mtro_Italy_Rome_S_300</v>
      </c>
      <c r="F347" t="str">
        <f>"str_"&amp;Table1[[#This Row],[VEHIDCODE]]</f>
        <v>str_mtro_Italy_Rome_S_300</v>
      </c>
      <c r="G347">
        <v>8</v>
      </c>
      <c r="H347" t="s">
        <v>326</v>
      </c>
      <c r="I347">
        <v>1</v>
      </c>
      <c r="J347" t="s">
        <v>19</v>
      </c>
      <c r="K347">
        <v>194</v>
      </c>
      <c r="L347">
        <v>1999</v>
      </c>
      <c r="M347">
        <v>8</v>
      </c>
      <c r="N347" s="2" t="s">
        <v>24</v>
      </c>
      <c r="O347" t="b">
        <v>1</v>
      </c>
      <c r="P347" t="b">
        <v>1</v>
      </c>
      <c r="Q347" s="2"/>
      <c r="R347">
        <v>45</v>
      </c>
      <c r="S347">
        <v>1</v>
      </c>
      <c r="T347">
        <v>1876</v>
      </c>
      <c r="U347" t="s">
        <v>709</v>
      </c>
      <c r="V347">
        <v>90</v>
      </c>
      <c r="W347" s="2">
        <v>1</v>
      </c>
      <c r="AC347" t="b">
        <v>1</v>
      </c>
      <c r="AX347"/>
      <c r="BA347" s="2"/>
      <c r="BB347" s="2" t="b">
        <f>LEN(_xlfn.CONCAT(Table1[[#This Row],[TRACK_TYPE_STANDARD_GAUGE_RAILTYPE_OHLE]:[TRACK_TYPE_MTRO]]))&gt;0</f>
        <v>1</v>
      </c>
      <c r="BC347" s="7">
        <v>40</v>
      </c>
      <c r="BD347" t="s">
        <v>924</v>
      </c>
      <c r="BE347" t="s">
        <v>922</v>
      </c>
      <c r="BF347" t="s">
        <v>940</v>
      </c>
      <c r="BG3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7">
        <v>0</v>
      </c>
      <c r="BI347" t="s">
        <v>734</v>
      </c>
      <c r="BJ347" s="11">
        <v>194</v>
      </c>
      <c r="BK347" s="11">
        <v>8</v>
      </c>
      <c r="BL347" s="11">
        <v>30</v>
      </c>
      <c r="BM347">
        <v>0</v>
      </c>
      <c r="BN347" t="s">
        <v>692</v>
      </c>
      <c r="BO347" t="s">
        <v>694</v>
      </c>
      <c r="BP347" t="s">
        <v>701</v>
      </c>
      <c r="BQ347" t="s">
        <v>705</v>
      </c>
      <c r="BR347" t="s">
        <v>706</v>
      </c>
      <c r="BS347" t="s">
        <v>707</v>
      </c>
    </row>
    <row r="348" spans="1:71" hidden="1" x14ac:dyDescent="0.4">
      <c r="A348" s="2" t="s">
        <v>374</v>
      </c>
      <c r="B348" t="str">
        <f>_xlfn.TEXTAFTER(Table1[[#This Row],[VEHIDCODE]],"_")</f>
        <v>Algeria_Algiers_CAF_2011_Stock</v>
      </c>
      <c r="C348" t="s">
        <v>741</v>
      </c>
      <c r="D348" t="b">
        <f>OR(ISNUMBER(SEARCH("wagon_",Table1[[#This Row],[FILENAMES_EXPECTED]])),ISNUMBER(SEARCH("coach_",Table1[[#This Row],[FILENAMES_EXPECTED]])))</f>
        <v>0</v>
      </c>
      <c r="E348" t="str">
        <f>"item_"&amp;Table1[[#This Row],[VEHIDCODE]]</f>
        <v>item_mtro_Algeria_Algiers_CAF_2011_Stock</v>
      </c>
      <c r="F348" t="str">
        <f>"str_"&amp;Table1[[#This Row],[VEHIDCODE]]</f>
        <v>str_mtro_Algeria_Algiers_CAF_2011_Stock</v>
      </c>
      <c r="G348">
        <v>7</v>
      </c>
      <c r="H348" t="s">
        <v>326</v>
      </c>
      <c r="I348">
        <v>1</v>
      </c>
      <c r="J348" t="s">
        <v>19</v>
      </c>
      <c r="K348">
        <v>215</v>
      </c>
      <c r="L348">
        <v>2011</v>
      </c>
      <c r="M348">
        <v>7</v>
      </c>
      <c r="N348" s="2" t="s">
        <v>24</v>
      </c>
      <c r="O348" t="b">
        <v>1</v>
      </c>
      <c r="P348" t="b">
        <v>1</v>
      </c>
      <c r="Q348" s="2"/>
      <c r="R348" t="s">
        <v>21</v>
      </c>
      <c r="S348">
        <v>1</v>
      </c>
      <c r="T348">
        <v>1400</v>
      </c>
      <c r="U348" t="s">
        <v>709</v>
      </c>
      <c r="V348">
        <v>72</v>
      </c>
      <c r="W348" s="2">
        <v>0.51</v>
      </c>
      <c r="AC348" t="b">
        <v>1</v>
      </c>
      <c r="AX348"/>
      <c r="BA348" s="2"/>
      <c r="BB348" s="2" t="b">
        <f>LEN(_xlfn.CONCAT(Table1[[#This Row],[TRACK_TYPE_STANDARD_GAUGE_RAILTYPE_OHLE]:[TRACK_TYPE_MTRO]]))&gt;0</f>
        <v>1</v>
      </c>
      <c r="BC348" s="7">
        <v>40</v>
      </c>
      <c r="BD348" t="s">
        <v>926</v>
      </c>
      <c r="BE348" t="s">
        <v>922</v>
      </c>
      <c r="BF348" t="s">
        <v>940</v>
      </c>
      <c r="BG3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8">
        <v>0</v>
      </c>
      <c r="BI348" t="s">
        <v>734</v>
      </c>
      <c r="BJ348" s="11">
        <v>215</v>
      </c>
      <c r="BK348" s="11">
        <v>7</v>
      </c>
      <c r="BL348" s="11">
        <v>47</v>
      </c>
      <c r="BM348">
        <v>0</v>
      </c>
      <c r="BN348" t="s">
        <v>692</v>
      </c>
      <c r="BO348" t="s">
        <v>694</v>
      </c>
      <c r="BP348" t="s">
        <v>701</v>
      </c>
      <c r="BQ348" t="s">
        <v>705</v>
      </c>
      <c r="BR348" t="s">
        <v>706</v>
      </c>
      <c r="BS348" t="s">
        <v>707</v>
      </c>
    </row>
    <row r="349" spans="1:71" hidden="1" x14ac:dyDescent="0.4">
      <c r="A349" s="2" t="s">
        <v>375</v>
      </c>
      <c r="B349" t="str">
        <f>_xlfn.TEXTAFTER(Table1[[#This Row],[VEHIDCODE]],"_")</f>
        <v>Germany_Berlin_U_Bahn_IK</v>
      </c>
      <c r="C349" t="s">
        <v>741</v>
      </c>
      <c r="D349" t="b">
        <f>OR(ISNUMBER(SEARCH("wagon_",Table1[[#This Row],[FILENAMES_EXPECTED]])),ISNUMBER(SEARCH("coach_",Table1[[#This Row],[FILENAMES_EXPECTED]])))</f>
        <v>0</v>
      </c>
      <c r="E349" t="str">
        <f>"item_"&amp;Table1[[#This Row],[VEHIDCODE]]</f>
        <v>item_mtro_Germany_Berlin_U_Bahn_IK</v>
      </c>
      <c r="F349" t="str">
        <f>"str_"&amp;Table1[[#This Row],[VEHIDCODE]]</f>
        <v>str_mtro_Germany_Berlin_U_Bahn_IK</v>
      </c>
      <c r="G349">
        <v>8</v>
      </c>
      <c r="H349" t="s">
        <v>326</v>
      </c>
      <c r="I349">
        <v>1</v>
      </c>
      <c r="J349" t="s">
        <v>19</v>
      </c>
      <c r="K349">
        <v>145</v>
      </c>
      <c r="L349">
        <v>2015</v>
      </c>
      <c r="M349">
        <v>8</v>
      </c>
      <c r="N349" s="2" t="s">
        <v>24</v>
      </c>
      <c r="O349" t="b">
        <v>1</v>
      </c>
      <c r="P349" t="b">
        <v>1</v>
      </c>
      <c r="Q349" s="2"/>
      <c r="R349" t="s">
        <v>21</v>
      </c>
      <c r="S349">
        <v>1</v>
      </c>
      <c r="T349">
        <v>1448</v>
      </c>
      <c r="U349" t="s">
        <v>709</v>
      </c>
      <c r="V349">
        <v>70</v>
      </c>
      <c r="W349" s="2">
        <v>0.87</v>
      </c>
      <c r="AC349" t="b">
        <v>1</v>
      </c>
      <c r="AX349"/>
      <c r="BA349" s="2"/>
      <c r="BB349" s="2" t="b">
        <f>LEN(_xlfn.CONCAT(Table1[[#This Row],[TRACK_TYPE_STANDARD_GAUGE_RAILTYPE_OHLE]:[TRACK_TYPE_MTRO]]))&gt;0</f>
        <v>1</v>
      </c>
      <c r="BC349" s="7">
        <v>40</v>
      </c>
      <c r="BD349" t="s">
        <v>923</v>
      </c>
      <c r="BE349" t="s">
        <v>922</v>
      </c>
      <c r="BF349" t="s">
        <v>940</v>
      </c>
      <c r="BG3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9">
        <v>0</v>
      </c>
      <c r="BI349" t="s">
        <v>734</v>
      </c>
      <c r="BJ349" s="11">
        <v>145</v>
      </c>
      <c r="BK349" s="11">
        <v>8</v>
      </c>
      <c r="BL349" s="11">
        <v>27</v>
      </c>
      <c r="BM349">
        <v>0</v>
      </c>
      <c r="BN349" t="s">
        <v>692</v>
      </c>
      <c r="BO349" t="s">
        <v>694</v>
      </c>
      <c r="BP349" t="s">
        <v>701</v>
      </c>
      <c r="BQ349" t="s">
        <v>705</v>
      </c>
      <c r="BR349" t="s">
        <v>706</v>
      </c>
      <c r="BS349" t="s">
        <v>707</v>
      </c>
    </row>
    <row r="350" spans="1:71" hidden="1" x14ac:dyDescent="0.4">
      <c r="A350" s="2" t="s">
        <v>376</v>
      </c>
      <c r="B350" t="str">
        <f>_xlfn.TEXTAFTER(Table1[[#This Row],[VEHIDCODE]],"_")</f>
        <v>USA_Chicago_L_6000</v>
      </c>
      <c r="C350" t="s">
        <v>741</v>
      </c>
      <c r="D350" t="b">
        <f>OR(ISNUMBER(SEARCH("wagon_",Table1[[#This Row],[FILENAMES_EXPECTED]])),ISNUMBER(SEARCH("coach_",Table1[[#This Row],[FILENAMES_EXPECTED]])))</f>
        <v>0</v>
      </c>
      <c r="E350" t="str">
        <f>"item_"&amp;Table1[[#This Row],[VEHIDCODE]]</f>
        <v>item_mtro_USA_Chicago_L_6000</v>
      </c>
      <c r="F350" t="str">
        <f>"str_"&amp;Table1[[#This Row],[VEHIDCODE]]</f>
        <v>str_mtro_USA_Chicago_L_6000</v>
      </c>
      <c r="G350">
        <v>7</v>
      </c>
      <c r="H350" t="s">
        <v>326</v>
      </c>
      <c r="I350">
        <v>1</v>
      </c>
      <c r="J350" t="s">
        <v>19</v>
      </c>
      <c r="K350">
        <v>130</v>
      </c>
      <c r="L350">
        <v>1950</v>
      </c>
      <c r="M350">
        <v>7</v>
      </c>
      <c r="N350" s="2" t="s">
        <v>327</v>
      </c>
      <c r="O350" t="b">
        <v>1</v>
      </c>
      <c r="P350" t="b">
        <v>1</v>
      </c>
      <c r="Q350" s="2"/>
      <c r="R350">
        <v>45</v>
      </c>
      <c r="S350">
        <v>1</v>
      </c>
      <c r="T350">
        <v>440</v>
      </c>
      <c r="U350" t="s">
        <v>709</v>
      </c>
      <c r="V350">
        <v>80</v>
      </c>
      <c r="W350" s="2">
        <v>1</v>
      </c>
      <c r="AC350" t="b">
        <v>1</v>
      </c>
      <c r="AX350"/>
      <c r="BA350" s="2"/>
      <c r="BB350" s="2" t="b">
        <f>LEN(_xlfn.CONCAT(Table1[[#This Row],[TRACK_TYPE_STANDARD_GAUGE_RAILTYPE_OHLE]:[TRACK_TYPE_MTRO]]))&gt;0</f>
        <v>1</v>
      </c>
      <c r="BC350" s="7">
        <v>60</v>
      </c>
      <c r="BD350" t="s">
        <v>928</v>
      </c>
      <c r="BE350" t="s">
        <v>922</v>
      </c>
      <c r="BF350" t="s">
        <v>940</v>
      </c>
      <c r="BG3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50">
        <v>0</v>
      </c>
      <c r="BI350" t="s">
        <v>734</v>
      </c>
      <c r="BJ350" s="11">
        <v>130</v>
      </c>
      <c r="BK350" s="11">
        <v>7</v>
      </c>
      <c r="BL350" s="11">
        <v>10</v>
      </c>
      <c r="BM350">
        <v>0</v>
      </c>
      <c r="BN350" t="s">
        <v>692</v>
      </c>
      <c r="BO350" t="s">
        <v>694</v>
      </c>
      <c r="BP350" t="s">
        <v>701</v>
      </c>
      <c r="BQ350" t="s">
        <v>705</v>
      </c>
      <c r="BR350" t="s">
        <v>706</v>
      </c>
      <c r="BS350" t="s">
        <v>707</v>
      </c>
    </row>
    <row r="351" spans="1:71" hidden="1" x14ac:dyDescent="0.4">
      <c r="A351" s="2" t="s">
        <v>377</v>
      </c>
      <c r="B351" t="str">
        <f>_xlfn.TEXTAFTER(Table1[[#This Row],[VEHIDCODE]],"_")</f>
        <v>UK_London_1903_Stock</v>
      </c>
      <c r="C351" t="s">
        <v>741</v>
      </c>
      <c r="D351" t="b">
        <f>OR(ISNUMBER(SEARCH("wagon_",Table1[[#This Row],[FILENAMES_EXPECTED]])),ISNUMBER(SEARCH("coach_",Table1[[#This Row],[FILENAMES_EXPECTED]])))</f>
        <v>0</v>
      </c>
      <c r="E351" t="str">
        <f>"item_"&amp;Table1[[#This Row],[VEHIDCODE]]</f>
        <v>item_mtro_UK_London_1903_Stock</v>
      </c>
      <c r="F351" t="str">
        <f>"str_"&amp;Table1[[#This Row],[VEHIDCODE]]</f>
        <v>str_mtro_UK_London_1903_Stock</v>
      </c>
      <c r="G351">
        <v>8</v>
      </c>
      <c r="H351" t="s">
        <v>326</v>
      </c>
      <c r="I351">
        <v>1</v>
      </c>
      <c r="J351" t="s">
        <v>19</v>
      </c>
      <c r="K351">
        <v>125</v>
      </c>
      <c r="L351">
        <v>1903</v>
      </c>
      <c r="M351">
        <v>8</v>
      </c>
      <c r="N351" s="2" t="s">
        <v>327</v>
      </c>
      <c r="O351" t="b">
        <v>1</v>
      </c>
      <c r="P351" t="b">
        <v>1</v>
      </c>
      <c r="Q351" s="2"/>
      <c r="R351">
        <v>45</v>
      </c>
      <c r="S351">
        <v>1</v>
      </c>
      <c r="T351">
        <v>300</v>
      </c>
      <c r="U351" t="s">
        <v>709</v>
      </c>
      <c r="V351">
        <v>70</v>
      </c>
      <c r="W351" s="2">
        <v>0.22</v>
      </c>
      <c r="AD351" t="b">
        <v>1</v>
      </c>
      <c r="AX351"/>
      <c r="BA351" s="2"/>
      <c r="BB351" s="2" t="b">
        <f>LEN(_xlfn.CONCAT(Table1[[#This Row],[TRACK_TYPE_STANDARD_GAUGE_RAILTYPE_OHLE]:[TRACK_TYPE_MTRO]]))&gt;0</f>
        <v>1</v>
      </c>
      <c r="BC351" s="7">
        <v>60</v>
      </c>
      <c r="BD351" t="s">
        <v>927</v>
      </c>
      <c r="BE351" t="s">
        <v>922</v>
      </c>
      <c r="BF351" t="s">
        <v>940</v>
      </c>
      <c r="BG3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51">
        <v>0</v>
      </c>
      <c r="BI351" t="s">
        <v>734</v>
      </c>
      <c r="BJ351" s="11">
        <v>125</v>
      </c>
      <c r="BK351" s="11">
        <v>8</v>
      </c>
      <c r="BL351" s="11">
        <v>45</v>
      </c>
      <c r="BM351">
        <v>0</v>
      </c>
      <c r="BN351" t="s">
        <v>692</v>
      </c>
      <c r="BO351" t="s">
        <v>694</v>
      </c>
      <c r="BP351" t="s">
        <v>701</v>
      </c>
      <c r="BQ351" t="s">
        <v>705</v>
      </c>
      <c r="BR351" t="s">
        <v>706</v>
      </c>
      <c r="BS351" t="s">
        <v>707</v>
      </c>
    </row>
    <row r="352" spans="1:71" hidden="1" x14ac:dyDescent="0.4">
      <c r="A352" s="2" t="s">
        <v>378</v>
      </c>
      <c r="B352" t="str">
        <f>_xlfn.TEXTAFTER(Table1[[#This Row],[VEHIDCODE]],"_")</f>
        <v>UK_London_1938_Stock</v>
      </c>
      <c r="C352" t="s">
        <v>741</v>
      </c>
      <c r="D352" t="b">
        <f>OR(ISNUMBER(SEARCH("wagon_",Table1[[#This Row],[FILENAMES_EXPECTED]])),ISNUMBER(SEARCH("coach_",Table1[[#This Row],[FILENAMES_EXPECTED]])))</f>
        <v>0</v>
      </c>
      <c r="E352" t="str">
        <f>"item_"&amp;Table1[[#This Row],[VEHIDCODE]]</f>
        <v>item_mtro_UK_London_1938_Stock</v>
      </c>
      <c r="F352" t="str">
        <f>"str_"&amp;Table1[[#This Row],[VEHIDCODE]]</f>
        <v>str_mtro_UK_London_1938_Stock</v>
      </c>
      <c r="G352">
        <v>7</v>
      </c>
      <c r="H352" t="s">
        <v>326</v>
      </c>
      <c r="I352">
        <v>1</v>
      </c>
      <c r="J352" t="s">
        <v>19</v>
      </c>
      <c r="K352">
        <v>120</v>
      </c>
      <c r="L352">
        <v>1938</v>
      </c>
      <c r="M352">
        <v>7</v>
      </c>
      <c r="N352" s="2" t="s">
        <v>327</v>
      </c>
      <c r="O352" t="b">
        <v>1</v>
      </c>
      <c r="P352" t="b">
        <v>1</v>
      </c>
      <c r="Q352" s="2"/>
      <c r="R352">
        <v>45</v>
      </c>
      <c r="S352">
        <v>1</v>
      </c>
      <c r="T352">
        <v>600</v>
      </c>
      <c r="U352" t="s">
        <v>709</v>
      </c>
      <c r="V352">
        <v>70</v>
      </c>
      <c r="W352" s="2">
        <v>0.77</v>
      </c>
      <c r="AD352" t="b">
        <v>1</v>
      </c>
      <c r="AX352"/>
      <c r="BA352" s="2"/>
      <c r="BB352" s="2" t="b">
        <f>LEN(_xlfn.CONCAT(Table1[[#This Row],[TRACK_TYPE_STANDARD_GAUGE_RAILTYPE_OHLE]:[TRACK_TYPE_MTRO]]))&gt;0</f>
        <v>1</v>
      </c>
      <c r="BC352" s="7">
        <v>60</v>
      </c>
      <c r="BD352" t="s">
        <v>927</v>
      </c>
      <c r="BE352" t="s">
        <v>922</v>
      </c>
      <c r="BF352" t="s">
        <v>940</v>
      </c>
      <c r="BG3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52">
        <v>0</v>
      </c>
      <c r="BI352" t="s">
        <v>734</v>
      </c>
      <c r="BJ352" s="11">
        <v>120</v>
      </c>
      <c r="BK352" s="11">
        <v>7</v>
      </c>
      <c r="BL352" s="11">
        <v>26</v>
      </c>
      <c r="BM352">
        <v>0</v>
      </c>
      <c r="BN352" t="s">
        <v>692</v>
      </c>
      <c r="BO352" t="s">
        <v>694</v>
      </c>
      <c r="BP352" t="s">
        <v>701</v>
      </c>
      <c r="BQ352" t="s">
        <v>705</v>
      </c>
      <c r="BR352" t="s">
        <v>706</v>
      </c>
      <c r="BS352" t="s">
        <v>707</v>
      </c>
    </row>
    <row r="353" spans="1:71" hidden="1" x14ac:dyDescent="0.4">
      <c r="A353" s="2" t="s">
        <v>379</v>
      </c>
      <c r="B353" t="str">
        <f>_xlfn.TEXTAFTER(Table1[[#This Row],[VEHIDCODE]],"_")</f>
        <v>UK_NER_EF1</v>
      </c>
      <c r="C353" t="s">
        <v>741</v>
      </c>
      <c r="D353" t="b">
        <f>OR(ISNUMBER(SEARCH("wagon_",Table1[[#This Row],[FILENAMES_EXPECTED]])),ISNUMBER(SEARCH("coach_",Table1[[#This Row],[FILENAMES_EXPECTED]])))</f>
        <v>0</v>
      </c>
      <c r="E353" t="str">
        <f>"item_"&amp;Table1[[#This Row],[VEHIDCODE]]</f>
        <v>item_electric_UK_NER_EF1</v>
      </c>
      <c r="F353" t="str">
        <f>"str_"&amp;Table1[[#This Row],[VEHIDCODE]]</f>
        <v>str_electric_UK_NER_EF1</v>
      </c>
      <c r="G353">
        <v>7</v>
      </c>
      <c r="H353" t="s">
        <v>20</v>
      </c>
      <c r="I353">
        <v>0</v>
      </c>
      <c r="J353" t="s">
        <v>74</v>
      </c>
      <c r="K353">
        <v>0</v>
      </c>
      <c r="L353">
        <v>1914</v>
      </c>
      <c r="M353">
        <v>7</v>
      </c>
      <c r="N353" s="2" t="s">
        <v>20</v>
      </c>
      <c r="O353" t="b">
        <v>1</v>
      </c>
      <c r="Q353" s="2"/>
      <c r="R353">
        <v>45</v>
      </c>
      <c r="S353">
        <v>0</v>
      </c>
      <c r="T353">
        <v>1100</v>
      </c>
      <c r="U353" t="s">
        <v>709</v>
      </c>
      <c r="V353">
        <v>40</v>
      </c>
      <c r="W353" s="2">
        <v>0.18</v>
      </c>
      <c r="AB353" t="b">
        <v>1</v>
      </c>
      <c r="AX353"/>
      <c r="BA353" s="2"/>
      <c r="BB353" s="2" t="b">
        <f>LEN(_xlfn.CONCAT(Table1[[#This Row],[TRACK_TYPE_STANDARD_GAUGE_RAILTYPE_OHLE]:[TRACK_TYPE_MTRO]]))&gt;0</f>
        <v>1</v>
      </c>
      <c r="BC353" s="7">
        <v>40</v>
      </c>
      <c r="BD353" t="s">
        <v>927</v>
      </c>
      <c r="BE353" t="s">
        <v>922</v>
      </c>
      <c r="BF353" t="s">
        <v>940</v>
      </c>
      <c r="BG3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3">
        <v>-3</v>
      </c>
      <c r="BI353" t="s">
        <v>734</v>
      </c>
      <c r="BK353" s="11"/>
      <c r="BL353" s="11">
        <v>74</v>
      </c>
      <c r="BM353">
        <v>0</v>
      </c>
      <c r="BN353" t="s">
        <v>692</v>
      </c>
      <c r="BO353" t="s">
        <v>694</v>
      </c>
      <c r="BP353" t="s">
        <v>701</v>
      </c>
      <c r="BQ353" t="s">
        <v>705</v>
      </c>
      <c r="BR353" t="s">
        <v>706</v>
      </c>
      <c r="BS353" t="s">
        <v>707</v>
      </c>
    </row>
    <row r="354" spans="1:71" hidden="1" x14ac:dyDescent="0.4">
      <c r="A354" s="2" t="s">
        <v>380</v>
      </c>
      <c r="B354" t="str">
        <f>_xlfn.TEXTAFTER(Table1[[#This Row],[VEHIDCODE]],"_")</f>
        <v>Japan_JNR_EB10</v>
      </c>
      <c r="C354" t="s">
        <v>741</v>
      </c>
      <c r="D354" t="b">
        <f>OR(ISNUMBER(SEARCH("wagon_",Table1[[#This Row],[FILENAMES_EXPECTED]])),ISNUMBER(SEARCH("coach_",Table1[[#This Row],[FILENAMES_EXPECTED]])))</f>
        <v>0</v>
      </c>
      <c r="E354" t="str">
        <f>"item_"&amp;Table1[[#This Row],[VEHIDCODE]]</f>
        <v>item_electric_Japan_JNR_EB10</v>
      </c>
      <c r="F354" t="str">
        <f>"str_"&amp;Table1[[#This Row],[VEHIDCODE]]</f>
        <v>str_electric_Japan_JNR_EB10</v>
      </c>
      <c r="G354">
        <v>5</v>
      </c>
      <c r="H354" t="s">
        <v>20</v>
      </c>
      <c r="I354">
        <v>0</v>
      </c>
      <c r="J354" t="s">
        <v>74</v>
      </c>
      <c r="K354">
        <v>0</v>
      </c>
      <c r="L354">
        <v>1931</v>
      </c>
      <c r="M354">
        <v>5</v>
      </c>
      <c r="N354" s="2" t="s">
        <v>20</v>
      </c>
      <c r="O354" t="b">
        <v>1</v>
      </c>
      <c r="Q354" s="2"/>
      <c r="R354">
        <v>45</v>
      </c>
      <c r="S354">
        <v>1</v>
      </c>
      <c r="T354">
        <v>180</v>
      </c>
      <c r="U354" t="s">
        <v>709</v>
      </c>
      <c r="V354">
        <v>40</v>
      </c>
      <c r="W354" s="2">
        <v>0.3</v>
      </c>
      <c r="AB354" t="b">
        <v>1</v>
      </c>
      <c r="AX354"/>
      <c r="BA354" s="2"/>
      <c r="BB354" s="2" t="b">
        <f>LEN(_xlfn.CONCAT(Table1[[#This Row],[TRACK_TYPE_STANDARD_GAUGE_RAILTYPE_OHLE]:[TRACK_TYPE_MTRO]]))&gt;0</f>
        <v>1</v>
      </c>
      <c r="BC354" s="7">
        <v>40</v>
      </c>
      <c r="BD354" t="s">
        <v>931</v>
      </c>
      <c r="BE354" t="s">
        <v>922</v>
      </c>
      <c r="BF354" t="s">
        <v>940</v>
      </c>
      <c r="BG3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4">
        <v>-3</v>
      </c>
      <c r="BI354" t="s">
        <v>734</v>
      </c>
      <c r="BK354" s="11"/>
      <c r="BL354" s="11">
        <v>22</v>
      </c>
      <c r="BM354">
        <v>0</v>
      </c>
      <c r="BN354" t="s">
        <v>692</v>
      </c>
      <c r="BO354" t="s">
        <v>694</v>
      </c>
      <c r="BP354" t="s">
        <v>701</v>
      </c>
      <c r="BQ354" t="s">
        <v>705</v>
      </c>
      <c r="BR354" t="s">
        <v>706</v>
      </c>
      <c r="BS354" t="s">
        <v>707</v>
      </c>
    </row>
    <row r="355" spans="1:71" hidden="1" x14ac:dyDescent="0.4">
      <c r="A355" s="2" t="s">
        <v>381</v>
      </c>
      <c r="B355" t="str">
        <f>_xlfn.TEXTAFTER(Table1[[#This Row],[VEHIDCODE]],"_")</f>
        <v>Japan_JNR_EF55</v>
      </c>
      <c r="C355" t="s">
        <v>741</v>
      </c>
      <c r="D355" t="b">
        <f>OR(ISNUMBER(SEARCH("wagon_",Table1[[#This Row],[FILENAMES_EXPECTED]])),ISNUMBER(SEARCH("coach_",Table1[[#This Row],[FILENAMES_EXPECTED]])))</f>
        <v>0</v>
      </c>
      <c r="E355" t="str">
        <f>"item_"&amp;Table1[[#This Row],[VEHIDCODE]]</f>
        <v>item_electric_Japan_JNR_EF55</v>
      </c>
      <c r="F355" t="str">
        <f>"str_"&amp;Table1[[#This Row],[VEHIDCODE]]</f>
        <v>str_electric_Japan_JNR_EF55</v>
      </c>
      <c r="G355">
        <v>8</v>
      </c>
      <c r="H355" t="s">
        <v>20</v>
      </c>
      <c r="I355">
        <v>0</v>
      </c>
      <c r="J355" t="s">
        <v>74</v>
      </c>
      <c r="K355">
        <v>0</v>
      </c>
      <c r="L355">
        <v>1936</v>
      </c>
      <c r="M355">
        <v>8</v>
      </c>
      <c r="N355" s="2" t="s">
        <v>20</v>
      </c>
      <c r="O355" t="b">
        <v>1</v>
      </c>
      <c r="Q355" s="2"/>
      <c r="R355">
        <v>45</v>
      </c>
      <c r="S355">
        <v>1</v>
      </c>
      <c r="T355">
        <v>1810</v>
      </c>
      <c r="U355" t="s">
        <v>709</v>
      </c>
      <c r="V355">
        <v>75</v>
      </c>
      <c r="W355" s="2">
        <v>0.06</v>
      </c>
      <c r="AB355" t="b">
        <v>1</v>
      </c>
      <c r="AX355"/>
      <c r="BA355" s="2"/>
      <c r="BB355" s="2" t="b">
        <f>LEN(_xlfn.CONCAT(Table1[[#This Row],[TRACK_TYPE_STANDARD_GAUGE_RAILTYPE_OHLE]:[TRACK_TYPE_MTRO]]))&gt;0</f>
        <v>1</v>
      </c>
      <c r="BC355" s="7">
        <v>40</v>
      </c>
      <c r="BD355" t="s">
        <v>931</v>
      </c>
      <c r="BE355" t="s">
        <v>922</v>
      </c>
      <c r="BF355" t="s">
        <v>940</v>
      </c>
      <c r="BG3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5">
        <v>-3</v>
      </c>
      <c r="BI355" t="s">
        <v>734</v>
      </c>
      <c r="BK355" s="11"/>
      <c r="BL355" s="11">
        <v>100</v>
      </c>
      <c r="BM355">
        <v>0</v>
      </c>
      <c r="BN355" t="s">
        <v>692</v>
      </c>
      <c r="BO355" t="s">
        <v>694</v>
      </c>
      <c r="BP355" t="s">
        <v>701</v>
      </c>
      <c r="BQ355" t="s">
        <v>705</v>
      </c>
      <c r="BR355" t="s">
        <v>706</v>
      </c>
      <c r="BS355" t="s">
        <v>707</v>
      </c>
    </row>
    <row r="356" spans="1:71" hidden="1" x14ac:dyDescent="0.4">
      <c r="A356" s="2" t="s">
        <v>382</v>
      </c>
      <c r="B356" t="str">
        <f>_xlfn.TEXTAFTER(Table1[[#This Row],[VEHIDCODE]],"_")</f>
        <v>Netherlands_NS_1000</v>
      </c>
      <c r="C356" t="s">
        <v>741</v>
      </c>
      <c r="D356" t="b">
        <f>OR(ISNUMBER(SEARCH("wagon_",Table1[[#This Row],[FILENAMES_EXPECTED]])),ISNUMBER(SEARCH("coach_",Table1[[#This Row],[FILENAMES_EXPECTED]])))</f>
        <v>0</v>
      </c>
      <c r="E356" t="str">
        <f>"item_"&amp;Table1[[#This Row],[VEHIDCODE]]</f>
        <v>item_electric_Netherlands_NS_1000</v>
      </c>
      <c r="F356" t="str">
        <f>"str_"&amp;Table1[[#This Row],[VEHIDCODE]]</f>
        <v>str_electric_Netherlands_NS_1000</v>
      </c>
      <c r="G356">
        <v>8</v>
      </c>
      <c r="H356" t="s">
        <v>20</v>
      </c>
      <c r="I356">
        <v>0</v>
      </c>
      <c r="J356" t="s">
        <v>74</v>
      </c>
      <c r="K356">
        <v>0</v>
      </c>
      <c r="L356">
        <v>1948</v>
      </c>
      <c r="M356">
        <v>8</v>
      </c>
      <c r="N356" s="2" t="s">
        <v>20</v>
      </c>
      <c r="O356" t="b">
        <v>1</v>
      </c>
      <c r="Q356" s="2"/>
      <c r="R356">
        <v>45</v>
      </c>
      <c r="S356">
        <v>1</v>
      </c>
      <c r="T356">
        <v>3749</v>
      </c>
      <c r="U356" t="s">
        <v>709</v>
      </c>
      <c r="V356">
        <v>135</v>
      </c>
      <c r="W356" s="2">
        <v>0.18</v>
      </c>
      <c r="AB356" t="b">
        <v>1</v>
      </c>
      <c r="AX356"/>
      <c r="BA356" s="2"/>
      <c r="BB356" s="2" t="b">
        <f>LEN(_xlfn.CONCAT(Table1[[#This Row],[TRACK_TYPE_STANDARD_GAUGE_RAILTYPE_OHLE]:[TRACK_TYPE_MTRO]]))&gt;0</f>
        <v>1</v>
      </c>
      <c r="BC356" s="7">
        <v>40</v>
      </c>
      <c r="BD356" t="s">
        <v>923</v>
      </c>
      <c r="BE356" t="s">
        <v>922</v>
      </c>
      <c r="BF356" t="s">
        <v>940</v>
      </c>
      <c r="BG3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6">
        <v>-3</v>
      </c>
      <c r="BI356" t="s">
        <v>734</v>
      </c>
      <c r="BK356" s="11"/>
      <c r="BL356" s="11">
        <v>100</v>
      </c>
      <c r="BM356">
        <v>0</v>
      </c>
      <c r="BN356" t="s">
        <v>692</v>
      </c>
      <c r="BO356" t="s">
        <v>694</v>
      </c>
      <c r="BP356" t="s">
        <v>701</v>
      </c>
      <c r="BQ356" t="s">
        <v>705</v>
      </c>
      <c r="BR356" t="s">
        <v>706</v>
      </c>
      <c r="BS356" t="s">
        <v>707</v>
      </c>
    </row>
    <row r="357" spans="1:71" hidden="1" x14ac:dyDescent="0.4">
      <c r="A357" s="2" t="s">
        <v>383</v>
      </c>
      <c r="B357" t="str">
        <f>_xlfn.TEXTAFTER(Table1[[#This Row],[VEHIDCODE]],"_")</f>
        <v>Netherlands_NS_1600</v>
      </c>
      <c r="C357" t="s">
        <v>741</v>
      </c>
      <c r="D357" t="b">
        <f>OR(ISNUMBER(SEARCH("wagon_",Table1[[#This Row],[FILENAMES_EXPECTED]])),ISNUMBER(SEARCH("coach_",Table1[[#This Row],[FILENAMES_EXPECTED]])))</f>
        <v>0</v>
      </c>
      <c r="E357" t="str">
        <f>"item_"&amp;Table1[[#This Row],[VEHIDCODE]]</f>
        <v>item_electric_Netherlands_NS_1600</v>
      </c>
      <c r="F357" t="str">
        <f>"str_"&amp;Table1[[#This Row],[VEHIDCODE]]</f>
        <v>str_electric_Netherlands_NS_1600</v>
      </c>
      <c r="G357">
        <v>8</v>
      </c>
      <c r="H357" t="s">
        <v>20</v>
      </c>
      <c r="I357">
        <v>0</v>
      </c>
      <c r="J357" t="s">
        <v>74</v>
      </c>
      <c r="K357">
        <v>0</v>
      </c>
      <c r="L357">
        <v>1980</v>
      </c>
      <c r="M357">
        <v>8</v>
      </c>
      <c r="N357" s="2" t="s">
        <v>20</v>
      </c>
      <c r="O357" t="b">
        <v>1</v>
      </c>
      <c r="Q357" s="2"/>
      <c r="R357">
        <v>45</v>
      </c>
      <c r="S357">
        <v>1</v>
      </c>
      <c r="T357">
        <v>4539</v>
      </c>
      <c r="U357" t="s">
        <v>709</v>
      </c>
      <c r="V357">
        <v>180</v>
      </c>
      <c r="W357" s="2">
        <v>0.31</v>
      </c>
      <c r="AB357" t="b">
        <v>1</v>
      </c>
      <c r="AX357"/>
      <c r="BA357" s="2"/>
      <c r="BB357" s="2" t="b">
        <f>LEN(_xlfn.CONCAT(Table1[[#This Row],[TRACK_TYPE_STANDARD_GAUGE_RAILTYPE_OHLE]:[TRACK_TYPE_MTRO]]))&gt;0</f>
        <v>1</v>
      </c>
      <c r="BC357" s="7">
        <v>40</v>
      </c>
      <c r="BD357" t="s">
        <v>923</v>
      </c>
      <c r="BE357" t="s">
        <v>922</v>
      </c>
      <c r="BF357" t="s">
        <v>940</v>
      </c>
      <c r="BG3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7">
        <v>-3</v>
      </c>
      <c r="BI357" t="s">
        <v>734</v>
      </c>
      <c r="BK357" s="11"/>
      <c r="BL357" s="11">
        <v>84</v>
      </c>
      <c r="BM357">
        <v>0</v>
      </c>
      <c r="BN357" t="s">
        <v>692</v>
      </c>
      <c r="BO357" t="s">
        <v>694</v>
      </c>
      <c r="BP357" t="s">
        <v>701</v>
      </c>
      <c r="BQ357" t="s">
        <v>705</v>
      </c>
      <c r="BR357" t="s">
        <v>706</v>
      </c>
      <c r="BS357" t="s">
        <v>707</v>
      </c>
    </row>
    <row r="358" spans="1:71" hidden="1" x14ac:dyDescent="0.4">
      <c r="A358" s="2" t="s">
        <v>384</v>
      </c>
      <c r="B358" t="str">
        <f>_xlfn.TEXTAFTER(Table1[[#This Row],[VEHIDCODE]],"_")</f>
        <v>Australia_Victorian_Railways_E_Class</v>
      </c>
      <c r="C358" t="s">
        <v>741</v>
      </c>
      <c r="D358" t="b">
        <f>OR(ISNUMBER(SEARCH("wagon_",Table1[[#This Row],[FILENAMES_EXPECTED]])),ISNUMBER(SEARCH("coach_",Table1[[#This Row],[FILENAMES_EXPECTED]])))</f>
        <v>0</v>
      </c>
      <c r="E358" t="str">
        <f>"item_"&amp;Table1[[#This Row],[VEHIDCODE]]</f>
        <v>item_electric_Australia_Victorian_Railways_E_Class</v>
      </c>
      <c r="F358" t="str">
        <f>"str_"&amp;Table1[[#This Row],[VEHIDCODE]]</f>
        <v>str_electric_Australia_Victorian_Railways_E_Class</v>
      </c>
      <c r="G358">
        <v>7</v>
      </c>
      <c r="H358" t="s">
        <v>20</v>
      </c>
      <c r="I358">
        <v>0</v>
      </c>
      <c r="J358" t="s">
        <v>74</v>
      </c>
      <c r="K358">
        <v>0</v>
      </c>
      <c r="L358">
        <v>1923</v>
      </c>
      <c r="M358">
        <v>7</v>
      </c>
      <c r="N358" s="2" t="s">
        <v>20</v>
      </c>
      <c r="O358" t="b">
        <v>1</v>
      </c>
      <c r="Q358" s="2"/>
      <c r="R358">
        <v>45</v>
      </c>
      <c r="S358">
        <v>1</v>
      </c>
      <c r="T358">
        <v>620</v>
      </c>
      <c r="U358" t="s">
        <v>709</v>
      </c>
      <c r="V358">
        <v>65</v>
      </c>
      <c r="W358" s="2">
        <v>0.11</v>
      </c>
      <c r="AB358" t="b">
        <v>1</v>
      </c>
      <c r="AX358"/>
      <c r="BA358" s="2"/>
      <c r="BB358" s="2" t="b">
        <f>LEN(_xlfn.CONCAT(Table1[[#This Row],[TRACK_TYPE_STANDARD_GAUGE_RAILTYPE_OHLE]:[TRACK_TYPE_MTRO]]))&gt;0</f>
        <v>1</v>
      </c>
      <c r="BC358" s="7">
        <v>40</v>
      </c>
      <c r="BD358" t="s">
        <v>925</v>
      </c>
      <c r="BE358" t="s">
        <v>922</v>
      </c>
      <c r="BF358" t="s">
        <v>940</v>
      </c>
      <c r="BG3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8">
        <v>0</v>
      </c>
      <c r="BI358" t="s">
        <v>734</v>
      </c>
      <c r="BK358" s="11"/>
      <c r="BL358" s="11">
        <v>56</v>
      </c>
      <c r="BM358">
        <v>0</v>
      </c>
      <c r="BN358" t="s">
        <v>692</v>
      </c>
      <c r="BO358" t="s">
        <v>694</v>
      </c>
      <c r="BP358" t="s">
        <v>701</v>
      </c>
      <c r="BQ358" t="s">
        <v>705</v>
      </c>
      <c r="BR358" t="s">
        <v>706</v>
      </c>
      <c r="BS358" t="s">
        <v>707</v>
      </c>
    </row>
    <row r="359" spans="1:71" hidden="1" x14ac:dyDescent="0.4">
      <c r="A359" s="2" t="s">
        <v>385</v>
      </c>
      <c r="B359" t="str">
        <f>_xlfn.TEXTAFTER(Table1[[#This Row],[VEHIDCODE]],"_")</f>
        <v>UK_NER_ES1</v>
      </c>
      <c r="C359" t="s">
        <v>741</v>
      </c>
      <c r="D359" t="b">
        <f>OR(ISNUMBER(SEARCH("wagon_",Table1[[#This Row],[FILENAMES_EXPECTED]])),ISNUMBER(SEARCH("coach_",Table1[[#This Row],[FILENAMES_EXPECTED]])))</f>
        <v>0</v>
      </c>
      <c r="E359" t="str">
        <f>"item_"&amp;Table1[[#This Row],[VEHIDCODE]]</f>
        <v>item_electric_UK_NER_ES1</v>
      </c>
      <c r="F359" t="str">
        <f>"str_"&amp;Table1[[#This Row],[VEHIDCODE]]</f>
        <v>str_electric_UK_NER_ES1</v>
      </c>
      <c r="G359">
        <v>6</v>
      </c>
      <c r="H359" t="s">
        <v>20</v>
      </c>
      <c r="I359">
        <v>0</v>
      </c>
      <c r="J359" t="s">
        <v>74</v>
      </c>
      <c r="K359">
        <v>0</v>
      </c>
      <c r="L359">
        <v>1903</v>
      </c>
      <c r="M359">
        <v>6</v>
      </c>
      <c r="N359" s="2" t="s">
        <v>20</v>
      </c>
      <c r="O359" t="b">
        <v>1</v>
      </c>
      <c r="Q359" s="2"/>
      <c r="R359">
        <v>45</v>
      </c>
      <c r="S359">
        <v>0</v>
      </c>
      <c r="T359">
        <v>640</v>
      </c>
      <c r="U359" t="s">
        <v>709</v>
      </c>
      <c r="V359">
        <v>43</v>
      </c>
      <c r="W359" s="2">
        <v>0.19</v>
      </c>
      <c r="AB359" t="b">
        <v>1</v>
      </c>
      <c r="AX359"/>
      <c r="BA359" s="2"/>
      <c r="BB359" s="2" t="b">
        <f>LEN(_xlfn.CONCAT(Table1[[#This Row],[TRACK_TYPE_STANDARD_GAUGE_RAILTYPE_OHLE]:[TRACK_TYPE_MTRO]]))&gt;0</f>
        <v>1</v>
      </c>
      <c r="BC359" s="7">
        <v>40</v>
      </c>
      <c r="BD359" t="s">
        <v>927</v>
      </c>
      <c r="BE359" t="s">
        <v>922</v>
      </c>
      <c r="BF359" t="s">
        <v>940</v>
      </c>
      <c r="BG3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9">
        <v>0</v>
      </c>
      <c r="BI359" t="s">
        <v>734</v>
      </c>
      <c r="BK359" s="11"/>
      <c r="BL359" s="11">
        <v>57</v>
      </c>
      <c r="BM359">
        <v>0</v>
      </c>
      <c r="BN359" t="s">
        <v>692</v>
      </c>
      <c r="BO359" t="s">
        <v>694</v>
      </c>
      <c r="BP359" t="s">
        <v>701</v>
      </c>
      <c r="BQ359" t="s">
        <v>705</v>
      </c>
      <c r="BR359" t="s">
        <v>706</v>
      </c>
      <c r="BS359" t="s">
        <v>707</v>
      </c>
    </row>
    <row r="360" spans="1:71" hidden="1" x14ac:dyDescent="0.4">
      <c r="A360" s="2" t="s">
        <v>386</v>
      </c>
      <c r="B360" t="str">
        <f>_xlfn.TEXTAFTER(Table1[[#This Row],[VEHIDCODE]],"_")</f>
        <v>USA_NYC_S_motor</v>
      </c>
      <c r="C360" t="s">
        <v>741</v>
      </c>
      <c r="D360" t="b">
        <f>OR(ISNUMBER(SEARCH("wagon_",Table1[[#This Row],[FILENAMES_EXPECTED]])),ISNUMBER(SEARCH("coach_",Table1[[#This Row],[FILENAMES_EXPECTED]])))</f>
        <v>0</v>
      </c>
      <c r="E360" t="str">
        <f>"item_"&amp;Table1[[#This Row],[VEHIDCODE]]</f>
        <v>item_electric_USA_NYC_S_motor</v>
      </c>
      <c r="F360" t="str">
        <f>"str_"&amp;Table1[[#This Row],[VEHIDCODE]]</f>
        <v>str_electric_USA_NYC_S_motor</v>
      </c>
      <c r="G360">
        <v>7</v>
      </c>
      <c r="H360" t="s">
        <v>20</v>
      </c>
      <c r="I360">
        <v>0</v>
      </c>
      <c r="J360" t="s">
        <v>74</v>
      </c>
      <c r="K360">
        <v>0</v>
      </c>
      <c r="L360">
        <v>1903</v>
      </c>
      <c r="M360">
        <v>7</v>
      </c>
      <c r="N360" s="2" t="s">
        <v>20</v>
      </c>
      <c r="O360" t="b">
        <v>1</v>
      </c>
      <c r="Q360" s="2"/>
      <c r="R360">
        <v>45</v>
      </c>
      <c r="S360">
        <v>1</v>
      </c>
      <c r="T360">
        <v>1264</v>
      </c>
      <c r="U360" t="s">
        <v>709</v>
      </c>
      <c r="V360">
        <v>97</v>
      </c>
      <c r="W360" s="2">
        <v>0.16</v>
      </c>
      <c r="AB360" t="b">
        <v>1</v>
      </c>
      <c r="AX360"/>
      <c r="BA360" s="2"/>
      <c r="BB360" s="2" t="b">
        <f>LEN(_xlfn.CONCAT(Table1[[#This Row],[TRACK_TYPE_STANDARD_GAUGE_RAILTYPE_OHLE]:[TRACK_TYPE_MTRO]]))&gt;0</f>
        <v>1</v>
      </c>
      <c r="BC360" s="7">
        <v>40</v>
      </c>
      <c r="BD360" t="s">
        <v>928</v>
      </c>
      <c r="BE360" t="s">
        <v>922</v>
      </c>
      <c r="BF360" t="s">
        <v>940</v>
      </c>
      <c r="BG3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0">
        <v>0</v>
      </c>
      <c r="BI360" t="s">
        <v>734</v>
      </c>
      <c r="BK360" s="11"/>
      <c r="BL360" s="11">
        <v>103</v>
      </c>
      <c r="BM360">
        <v>0</v>
      </c>
      <c r="BN360" t="s">
        <v>692</v>
      </c>
      <c r="BO360" t="s">
        <v>694</v>
      </c>
      <c r="BP360" t="s">
        <v>701</v>
      </c>
      <c r="BQ360" t="s">
        <v>705</v>
      </c>
      <c r="BR360" t="s">
        <v>706</v>
      </c>
      <c r="BS360" t="s">
        <v>707</v>
      </c>
    </row>
    <row r="361" spans="1:71" hidden="1" x14ac:dyDescent="0.4">
      <c r="A361" s="2" t="s">
        <v>387</v>
      </c>
      <c r="B361" t="str">
        <f>_xlfn.TEXTAFTER(Table1[[#This Row],[VEHIDCODE]],"_")</f>
        <v>Japan_Aichi_Railroad_DeKi_400</v>
      </c>
      <c r="C361" t="s">
        <v>741</v>
      </c>
      <c r="D361" t="b">
        <f>OR(ISNUMBER(SEARCH("wagon_",Table1[[#This Row],[FILENAMES_EXPECTED]])),ISNUMBER(SEARCH("coach_",Table1[[#This Row],[FILENAMES_EXPECTED]])))</f>
        <v>0</v>
      </c>
      <c r="E361" t="str">
        <f>"item_"&amp;Table1[[#This Row],[VEHIDCODE]]</f>
        <v>item_electric_Japan_Aichi_Railroad_DeKi_400</v>
      </c>
      <c r="F361" t="str">
        <f>"str_"&amp;Table1[[#This Row],[VEHIDCODE]]</f>
        <v>str_electric_Japan_Aichi_Railroad_DeKi_400</v>
      </c>
      <c r="G361">
        <v>6</v>
      </c>
      <c r="H361" t="s">
        <v>20</v>
      </c>
      <c r="I361">
        <v>0</v>
      </c>
      <c r="J361" t="s">
        <v>74</v>
      </c>
      <c r="K361">
        <v>0</v>
      </c>
      <c r="L361">
        <v>1930</v>
      </c>
      <c r="M361">
        <v>6</v>
      </c>
      <c r="N361" s="2" t="s">
        <v>20</v>
      </c>
      <c r="O361" t="b">
        <v>1</v>
      </c>
      <c r="Q361" s="2"/>
      <c r="R361">
        <v>45</v>
      </c>
      <c r="S361">
        <v>1</v>
      </c>
      <c r="T361">
        <v>482</v>
      </c>
      <c r="U361" t="s">
        <v>709</v>
      </c>
      <c r="V361">
        <v>28</v>
      </c>
      <c r="W361" s="2">
        <v>0.12</v>
      </c>
      <c r="AB361" t="b">
        <v>1</v>
      </c>
      <c r="AX361"/>
      <c r="BA361" s="2"/>
      <c r="BB361" s="2" t="b">
        <f>LEN(_xlfn.CONCAT(Table1[[#This Row],[TRACK_TYPE_STANDARD_GAUGE_RAILTYPE_OHLE]:[TRACK_TYPE_MTRO]]))&gt;0</f>
        <v>1</v>
      </c>
      <c r="BC361" s="7">
        <v>40</v>
      </c>
      <c r="BD361" t="s">
        <v>931</v>
      </c>
      <c r="BE361" t="s">
        <v>922</v>
      </c>
      <c r="BF361" t="s">
        <v>940</v>
      </c>
      <c r="BG3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1">
        <v>0</v>
      </c>
      <c r="BI361" t="s">
        <v>734</v>
      </c>
      <c r="BK361" s="11"/>
      <c r="BL361" s="11">
        <v>40</v>
      </c>
      <c r="BM361">
        <v>0</v>
      </c>
      <c r="BN361" t="s">
        <v>692</v>
      </c>
      <c r="BO361" t="s">
        <v>694</v>
      </c>
      <c r="BP361" t="s">
        <v>701</v>
      </c>
      <c r="BQ361" t="s">
        <v>705</v>
      </c>
      <c r="BR361" t="s">
        <v>706</v>
      </c>
      <c r="BS361" t="s">
        <v>707</v>
      </c>
    </row>
    <row r="362" spans="1:71" hidden="1" x14ac:dyDescent="0.4">
      <c r="A362" s="2" t="s">
        <v>388</v>
      </c>
      <c r="B362" t="str">
        <f>_xlfn.TEXTAFTER(Table1[[#This Row],[VEHIDCODE]],"_")</f>
        <v>India_Indian_Railways_WCG_1</v>
      </c>
      <c r="C362" t="s">
        <v>741</v>
      </c>
      <c r="D362" t="b">
        <f>OR(ISNUMBER(SEARCH("wagon_",Table1[[#This Row],[FILENAMES_EXPECTED]])),ISNUMBER(SEARCH("coach_",Table1[[#This Row],[FILENAMES_EXPECTED]])))</f>
        <v>0</v>
      </c>
      <c r="E362" t="str">
        <f>"item_"&amp;Table1[[#This Row],[VEHIDCODE]]</f>
        <v>item_electric_India_Indian_Railways_WCG_1</v>
      </c>
      <c r="F362" t="str">
        <f>"str_"&amp;Table1[[#This Row],[VEHIDCODE]]</f>
        <v>str_electric_India_Indian_Railways_WCG_1</v>
      </c>
      <c r="G362">
        <v>8</v>
      </c>
      <c r="H362" t="s">
        <v>20</v>
      </c>
      <c r="I362">
        <v>0</v>
      </c>
      <c r="J362" t="s">
        <v>74</v>
      </c>
      <c r="K362">
        <v>0</v>
      </c>
      <c r="L362">
        <v>1928</v>
      </c>
      <c r="M362">
        <v>8</v>
      </c>
      <c r="N362" s="2" t="s">
        <v>20</v>
      </c>
      <c r="O362" t="b">
        <v>1</v>
      </c>
      <c r="Q362" s="2"/>
      <c r="R362">
        <v>45</v>
      </c>
      <c r="S362">
        <v>1</v>
      </c>
      <c r="T362">
        <v>2610</v>
      </c>
      <c r="U362" t="s">
        <v>709</v>
      </c>
      <c r="V362">
        <v>90</v>
      </c>
      <c r="W362" s="2">
        <v>0.6</v>
      </c>
      <c r="AB362" t="b">
        <v>1</v>
      </c>
      <c r="AX362"/>
      <c r="BA362" s="2"/>
      <c r="BB362" s="2" t="b">
        <f>LEN(_xlfn.CONCAT(Table1[[#This Row],[TRACK_TYPE_STANDARD_GAUGE_RAILTYPE_OHLE]:[TRACK_TYPE_MTRO]]))&gt;0</f>
        <v>1</v>
      </c>
      <c r="BC362" s="7">
        <v>40</v>
      </c>
      <c r="BD362" t="s">
        <v>931</v>
      </c>
      <c r="BE362" t="s">
        <v>922</v>
      </c>
      <c r="BF362" t="s">
        <v>940</v>
      </c>
      <c r="BG3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2">
        <v>-3</v>
      </c>
      <c r="BI362" t="s">
        <v>734</v>
      </c>
      <c r="BK362" s="11"/>
      <c r="BL362" s="11">
        <v>55</v>
      </c>
      <c r="BM362">
        <v>0</v>
      </c>
      <c r="BN362" t="s">
        <v>692</v>
      </c>
      <c r="BO362" t="s">
        <v>694</v>
      </c>
      <c r="BP362" t="s">
        <v>701</v>
      </c>
      <c r="BQ362" t="s">
        <v>705</v>
      </c>
      <c r="BR362" t="s">
        <v>706</v>
      </c>
      <c r="BS362" t="s">
        <v>707</v>
      </c>
    </row>
    <row r="363" spans="1:71" hidden="1" x14ac:dyDescent="0.4">
      <c r="A363" s="2" t="s">
        <v>389</v>
      </c>
      <c r="B363" t="str">
        <f>_xlfn.TEXTAFTER(Table1[[#This Row],[VEHIDCODE]],"_")</f>
        <v>France_SNCF_BB_9004</v>
      </c>
      <c r="C363" t="s">
        <v>741</v>
      </c>
      <c r="D363" t="b">
        <f>OR(ISNUMBER(SEARCH("wagon_",Table1[[#This Row],[FILENAMES_EXPECTED]])),ISNUMBER(SEARCH("coach_",Table1[[#This Row],[FILENAMES_EXPECTED]])))</f>
        <v>0</v>
      </c>
      <c r="E363" t="str">
        <f>"item_"&amp;Table1[[#This Row],[VEHIDCODE]]</f>
        <v>item_electric_France_SNCF_BB_9004</v>
      </c>
      <c r="F363" t="str">
        <f>"str_"&amp;Table1[[#This Row],[VEHIDCODE]]</f>
        <v>str_electric_France_SNCF_BB_9004</v>
      </c>
      <c r="G363">
        <v>8</v>
      </c>
      <c r="H363" t="s">
        <v>20</v>
      </c>
      <c r="I363">
        <v>0</v>
      </c>
      <c r="J363" t="s">
        <v>74</v>
      </c>
      <c r="K363">
        <v>0</v>
      </c>
      <c r="L363">
        <v>1954</v>
      </c>
      <c r="M363">
        <v>8</v>
      </c>
      <c r="N363" s="2" t="s">
        <v>20</v>
      </c>
      <c r="O363" t="b">
        <v>1</v>
      </c>
      <c r="Q363" s="2"/>
      <c r="R363">
        <v>45</v>
      </c>
      <c r="S363">
        <v>1</v>
      </c>
      <c r="T363">
        <v>4000</v>
      </c>
      <c r="U363" t="s">
        <v>709</v>
      </c>
      <c r="V363">
        <v>140</v>
      </c>
      <c r="W363" s="2">
        <v>0.25</v>
      </c>
      <c r="AB363" t="b">
        <v>1</v>
      </c>
      <c r="AX363"/>
      <c r="BA363" s="2"/>
      <c r="BB363" s="2" t="b">
        <f>LEN(_xlfn.CONCAT(Table1[[#This Row],[TRACK_TYPE_STANDARD_GAUGE_RAILTYPE_OHLE]:[TRACK_TYPE_MTRO]]))&gt;0</f>
        <v>1</v>
      </c>
      <c r="BC363" s="7">
        <v>40</v>
      </c>
      <c r="BD363" t="s">
        <v>923</v>
      </c>
      <c r="BE363" t="s">
        <v>922</v>
      </c>
      <c r="BF363" t="s">
        <v>940</v>
      </c>
      <c r="BG3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3">
        <v>-3</v>
      </c>
      <c r="BI363" t="s">
        <v>734</v>
      </c>
      <c r="BK363" s="11"/>
      <c r="BL363" s="11">
        <v>83</v>
      </c>
      <c r="BM363">
        <v>0</v>
      </c>
      <c r="BN363" t="s">
        <v>692</v>
      </c>
      <c r="BO363" t="s">
        <v>694</v>
      </c>
      <c r="BP363" t="s">
        <v>701</v>
      </c>
      <c r="BQ363" t="s">
        <v>705</v>
      </c>
      <c r="BR363" t="s">
        <v>706</v>
      </c>
      <c r="BS363" t="s">
        <v>707</v>
      </c>
    </row>
    <row r="364" spans="1:71" hidden="1" x14ac:dyDescent="0.4">
      <c r="A364" s="2" t="s">
        <v>390</v>
      </c>
      <c r="B364" t="str">
        <f>_xlfn.TEXTAFTER(Table1[[#This Row],[VEHIDCODE]],"_")</f>
        <v>Indonesia_ESS_3200</v>
      </c>
      <c r="C364" t="s">
        <v>741</v>
      </c>
      <c r="D364" t="b">
        <f>OR(ISNUMBER(SEARCH("wagon_",Table1[[#This Row],[FILENAMES_EXPECTED]])),ISNUMBER(SEARCH("coach_",Table1[[#This Row],[FILENAMES_EXPECTED]])))</f>
        <v>0</v>
      </c>
      <c r="E364" t="str">
        <f>"item_"&amp;Table1[[#This Row],[VEHIDCODE]]</f>
        <v>item_electric_Indonesia_ESS_3200</v>
      </c>
      <c r="F364" t="str">
        <f>"str_"&amp;Table1[[#This Row],[VEHIDCODE]]</f>
        <v>str_electric_Indonesia_ESS_3200</v>
      </c>
      <c r="G364">
        <v>6</v>
      </c>
      <c r="H364" t="s">
        <v>20</v>
      </c>
      <c r="I364">
        <v>0</v>
      </c>
      <c r="J364" t="s">
        <v>74</v>
      </c>
      <c r="K364">
        <v>0</v>
      </c>
      <c r="L364">
        <v>1925</v>
      </c>
      <c r="M364">
        <v>6</v>
      </c>
      <c r="N364" s="2" t="s">
        <v>20</v>
      </c>
      <c r="O364" t="b">
        <v>1</v>
      </c>
      <c r="Q364" s="2"/>
      <c r="R364">
        <v>45</v>
      </c>
      <c r="S364">
        <v>1</v>
      </c>
      <c r="T364">
        <v>765</v>
      </c>
      <c r="U364" t="s">
        <v>709</v>
      </c>
      <c r="V364">
        <v>120</v>
      </c>
      <c r="W364" s="2">
        <v>0.23</v>
      </c>
      <c r="AB364" t="b">
        <v>1</v>
      </c>
      <c r="AX364"/>
      <c r="BA364" s="2"/>
      <c r="BB364" s="2" t="b">
        <f>LEN(_xlfn.CONCAT(Table1[[#This Row],[TRACK_TYPE_STANDARD_GAUGE_RAILTYPE_OHLE]:[TRACK_TYPE_MTRO]]))&gt;0</f>
        <v>1</v>
      </c>
      <c r="BC364" s="7">
        <v>40</v>
      </c>
      <c r="BD364" t="s">
        <v>925</v>
      </c>
      <c r="BE364" t="s">
        <v>922</v>
      </c>
      <c r="BF364" t="s">
        <v>940</v>
      </c>
      <c r="BG3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4">
        <v>0</v>
      </c>
      <c r="BI364" t="s">
        <v>734</v>
      </c>
      <c r="BK364" s="11"/>
      <c r="BL364" s="11">
        <v>69</v>
      </c>
      <c r="BM364">
        <v>0</v>
      </c>
      <c r="BN364" t="s">
        <v>692</v>
      </c>
      <c r="BO364" t="s">
        <v>694</v>
      </c>
      <c r="BP364" t="s">
        <v>701</v>
      </c>
      <c r="BQ364" t="s">
        <v>705</v>
      </c>
      <c r="BR364" t="s">
        <v>706</v>
      </c>
      <c r="BS364" t="s">
        <v>707</v>
      </c>
    </row>
    <row r="365" spans="1:71" hidden="1" x14ac:dyDescent="0.4">
      <c r="A365" s="2" t="s">
        <v>391</v>
      </c>
      <c r="B365" t="str">
        <f>_xlfn.TEXTAFTER(Table1[[#This Row],[VEHIDCODE]],"_")</f>
        <v>UK_BR_77_Metrovic</v>
      </c>
      <c r="C365" t="s">
        <v>741</v>
      </c>
      <c r="D365" t="b">
        <f>OR(ISNUMBER(SEARCH("wagon_",Table1[[#This Row],[FILENAMES_EXPECTED]])),ISNUMBER(SEARCH("coach_",Table1[[#This Row],[FILENAMES_EXPECTED]])))</f>
        <v>0</v>
      </c>
      <c r="E365" t="str">
        <f>"item_"&amp;Table1[[#This Row],[VEHIDCODE]]</f>
        <v>item_electric_UK_BR_77_Metrovic</v>
      </c>
      <c r="F365" t="str">
        <f>"str_"&amp;Table1[[#This Row],[VEHIDCODE]]</f>
        <v>str_electric_UK_BR_77_Metrovic</v>
      </c>
      <c r="G365">
        <v>8</v>
      </c>
      <c r="H365" t="s">
        <v>20</v>
      </c>
      <c r="I365">
        <v>0</v>
      </c>
      <c r="J365" t="s">
        <v>74</v>
      </c>
      <c r="K365">
        <v>0</v>
      </c>
      <c r="L365">
        <v>1953</v>
      </c>
      <c r="M365">
        <v>8</v>
      </c>
      <c r="N365" s="2" t="s">
        <v>20</v>
      </c>
      <c r="O365" t="b">
        <v>1</v>
      </c>
      <c r="Q365" s="2"/>
      <c r="R365">
        <v>45</v>
      </c>
      <c r="S365">
        <v>1</v>
      </c>
      <c r="T365">
        <v>2490</v>
      </c>
      <c r="U365" t="s">
        <v>709</v>
      </c>
      <c r="V365">
        <v>145</v>
      </c>
      <c r="W365" s="2">
        <v>0.2</v>
      </c>
      <c r="AB365" t="b">
        <v>1</v>
      </c>
      <c r="AX365"/>
      <c r="BA365" s="2"/>
      <c r="BB365" s="2" t="b">
        <f>LEN(_xlfn.CONCAT(Table1[[#This Row],[TRACK_TYPE_STANDARD_GAUGE_RAILTYPE_OHLE]:[TRACK_TYPE_MTRO]]))&gt;0</f>
        <v>1</v>
      </c>
      <c r="BC365" s="7">
        <v>40</v>
      </c>
      <c r="BD365" t="s">
        <v>927</v>
      </c>
      <c r="BE365" t="s">
        <v>922</v>
      </c>
      <c r="BF365" t="s">
        <v>940</v>
      </c>
      <c r="BG3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5">
        <v>-3</v>
      </c>
      <c r="BI365" t="s">
        <v>734</v>
      </c>
      <c r="BK365" s="11"/>
      <c r="BL365" s="11">
        <v>102</v>
      </c>
      <c r="BM365">
        <v>0</v>
      </c>
      <c r="BN365" t="s">
        <v>692</v>
      </c>
      <c r="BO365" t="s">
        <v>694</v>
      </c>
      <c r="BP365" t="s">
        <v>701</v>
      </c>
      <c r="BQ365" t="s">
        <v>705</v>
      </c>
      <c r="BR365" t="s">
        <v>706</v>
      </c>
      <c r="BS365" t="s">
        <v>707</v>
      </c>
    </row>
    <row r="366" spans="1:71" hidden="1" x14ac:dyDescent="0.4">
      <c r="A366" s="2" t="s">
        <v>392</v>
      </c>
      <c r="B366" t="str">
        <f>_xlfn.TEXTAFTER(Table1[[#This Row],[VEHIDCODE]],"_")</f>
        <v>UK_NER_EE1</v>
      </c>
      <c r="C366" t="s">
        <v>741</v>
      </c>
      <c r="D366" t="b">
        <f>OR(ISNUMBER(SEARCH("wagon_",Table1[[#This Row],[FILENAMES_EXPECTED]])),ISNUMBER(SEARCH("coach_",Table1[[#This Row],[FILENAMES_EXPECTED]])))</f>
        <v>0</v>
      </c>
      <c r="E366" t="str">
        <f>"item_"&amp;Table1[[#This Row],[VEHIDCODE]]</f>
        <v>item_electric_UK_NER_EE1</v>
      </c>
      <c r="F366" t="str">
        <f>"str_"&amp;Table1[[#This Row],[VEHIDCODE]]</f>
        <v>str_electric_UK_NER_EE1</v>
      </c>
      <c r="G366">
        <v>8</v>
      </c>
      <c r="H366" t="s">
        <v>20</v>
      </c>
      <c r="I366">
        <v>0</v>
      </c>
      <c r="J366" t="s">
        <v>74</v>
      </c>
      <c r="K366">
        <v>0</v>
      </c>
      <c r="L366">
        <v>1922</v>
      </c>
      <c r="M366">
        <v>8</v>
      </c>
      <c r="N366" s="2" t="s">
        <v>20</v>
      </c>
      <c r="O366" t="b">
        <v>1</v>
      </c>
      <c r="Q366" s="2"/>
      <c r="R366">
        <v>45</v>
      </c>
      <c r="S366">
        <v>1</v>
      </c>
      <c r="T366">
        <v>1800</v>
      </c>
      <c r="U366" t="s">
        <v>709</v>
      </c>
      <c r="V366">
        <v>105</v>
      </c>
      <c r="W366" s="2">
        <v>0.11</v>
      </c>
      <c r="AB366" t="b">
        <v>1</v>
      </c>
      <c r="AX366"/>
      <c r="BA366" s="2"/>
      <c r="BB366" s="2" t="b">
        <f>LEN(_xlfn.CONCAT(Table1[[#This Row],[TRACK_TYPE_STANDARD_GAUGE_RAILTYPE_OHLE]:[TRACK_TYPE_MTRO]]))&gt;0</f>
        <v>1</v>
      </c>
      <c r="BC366" s="7">
        <v>40</v>
      </c>
      <c r="BD366" t="s">
        <v>927</v>
      </c>
      <c r="BE366" t="s">
        <v>922</v>
      </c>
      <c r="BF366" t="s">
        <v>940</v>
      </c>
      <c r="BG3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6">
        <v>0</v>
      </c>
      <c r="BI366" t="s">
        <v>734</v>
      </c>
      <c r="BK366" s="11"/>
      <c r="BL366" s="11">
        <v>111</v>
      </c>
      <c r="BM366">
        <v>0</v>
      </c>
      <c r="BN366" t="s">
        <v>692</v>
      </c>
      <c r="BO366" t="s">
        <v>694</v>
      </c>
      <c r="BP366" t="s">
        <v>701</v>
      </c>
      <c r="BQ366" t="s">
        <v>705</v>
      </c>
      <c r="BR366" t="s">
        <v>706</v>
      </c>
      <c r="BS366" t="s">
        <v>707</v>
      </c>
    </row>
    <row r="367" spans="1:71" hidden="1" x14ac:dyDescent="0.4">
      <c r="A367" s="2" t="s">
        <v>393</v>
      </c>
      <c r="B367" t="str">
        <f>_xlfn.TEXTAFTER(Table1[[#This Row],[VEHIDCODE]],"_")</f>
        <v>USA_Milwaukee_Road_ES_2</v>
      </c>
      <c r="C367" t="s">
        <v>741</v>
      </c>
      <c r="D367" t="b">
        <f>OR(ISNUMBER(SEARCH("wagon_",Table1[[#This Row],[FILENAMES_EXPECTED]])),ISNUMBER(SEARCH("coach_",Table1[[#This Row],[FILENAMES_EXPECTED]])))</f>
        <v>0</v>
      </c>
      <c r="E367" t="str">
        <f>"item_"&amp;Table1[[#This Row],[VEHIDCODE]]</f>
        <v>item_electric_USA_Milwaukee_Road_ES_2</v>
      </c>
      <c r="F367" t="str">
        <f>"str_"&amp;Table1[[#This Row],[VEHIDCODE]]</f>
        <v>str_electric_USA_Milwaukee_Road_ES_2</v>
      </c>
      <c r="G367">
        <v>6</v>
      </c>
      <c r="H367" t="s">
        <v>20</v>
      </c>
      <c r="I367">
        <v>0</v>
      </c>
      <c r="J367" t="s">
        <v>74</v>
      </c>
      <c r="K367">
        <v>0</v>
      </c>
      <c r="L367">
        <v>1916</v>
      </c>
      <c r="M367">
        <v>6</v>
      </c>
      <c r="N367" s="2" t="s">
        <v>20</v>
      </c>
      <c r="O367" t="b">
        <v>1</v>
      </c>
      <c r="Q367" s="2"/>
      <c r="R367">
        <v>45</v>
      </c>
      <c r="S367">
        <v>1</v>
      </c>
      <c r="T367">
        <v>670</v>
      </c>
      <c r="U367" t="s">
        <v>709</v>
      </c>
      <c r="V367">
        <v>72</v>
      </c>
      <c r="W367" s="2">
        <v>0.18</v>
      </c>
      <c r="AA367" t="b">
        <v>1</v>
      </c>
      <c r="AX367"/>
      <c r="BA367" s="2"/>
      <c r="BB367" s="2" t="b">
        <f>LEN(_xlfn.CONCAT(Table1[[#This Row],[TRACK_TYPE_STANDARD_GAUGE_RAILTYPE_OHLE]:[TRACK_TYPE_MTRO]]))&gt;0</f>
        <v>1</v>
      </c>
      <c r="BC367" s="7">
        <v>40</v>
      </c>
      <c r="BD367" t="s">
        <v>928</v>
      </c>
      <c r="BE367" t="s">
        <v>922</v>
      </c>
      <c r="BF367" t="s">
        <v>940</v>
      </c>
      <c r="BG3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7">
        <v>-3</v>
      </c>
      <c r="BI367" t="s">
        <v>734</v>
      </c>
      <c r="BK367" s="11"/>
      <c r="BL367" s="11">
        <v>74</v>
      </c>
      <c r="BM367">
        <v>0</v>
      </c>
      <c r="BN367" t="s">
        <v>692</v>
      </c>
      <c r="BO367" t="s">
        <v>694</v>
      </c>
      <c r="BP367" t="s">
        <v>701</v>
      </c>
      <c r="BQ367" t="s">
        <v>705</v>
      </c>
      <c r="BR367" t="s">
        <v>706</v>
      </c>
      <c r="BS367" t="s">
        <v>707</v>
      </c>
    </row>
    <row r="368" spans="1:71" hidden="1" x14ac:dyDescent="0.4">
      <c r="A368" s="2" t="s">
        <v>394</v>
      </c>
      <c r="B368" t="str">
        <f>_xlfn.TEXTAFTER(Table1[[#This Row],[VEHIDCODE]],"_")</f>
        <v>USA_Milwaukee_Road_EP_2_Bipolar</v>
      </c>
      <c r="C368" t="s">
        <v>741</v>
      </c>
      <c r="D368" t="b">
        <f>OR(ISNUMBER(SEARCH("wagon_",Table1[[#This Row],[FILENAMES_EXPECTED]])),ISNUMBER(SEARCH("coach_",Table1[[#This Row],[FILENAMES_EXPECTED]])))</f>
        <v>0</v>
      </c>
      <c r="E368" t="str">
        <f>"item_"&amp;Table1[[#This Row],[VEHIDCODE]]</f>
        <v>item_electric_USA_Milwaukee_Road_EP_2_Bipolar</v>
      </c>
      <c r="F368" t="str">
        <f>"str_"&amp;Table1[[#This Row],[VEHIDCODE]]</f>
        <v>str_electric_USA_Milwaukee_Road_EP_2_Bipolar</v>
      </c>
      <c r="G368">
        <v>4</v>
      </c>
      <c r="H368" t="s">
        <v>20</v>
      </c>
      <c r="I368">
        <v>0</v>
      </c>
      <c r="J368" t="s">
        <v>74</v>
      </c>
      <c r="K368">
        <v>0</v>
      </c>
      <c r="L368">
        <v>1919</v>
      </c>
      <c r="M368">
        <v>8</v>
      </c>
      <c r="N368" s="2" t="s">
        <v>20</v>
      </c>
      <c r="O368" t="b">
        <v>1</v>
      </c>
      <c r="Q368" s="2"/>
      <c r="R368">
        <v>45</v>
      </c>
      <c r="S368">
        <v>1</v>
      </c>
      <c r="T368">
        <v>4400</v>
      </c>
      <c r="U368" t="s">
        <v>709</v>
      </c>
      <c r="V368">
        <v>144</v>
      </c>
      <c r="W368" s="2">
        <v>0.17</v>
      </c>
      <c r="AA368" t="b">
        <v>1</v>
      </c>
      <c r="AX368"/>
      <c r="BA368" s="2"/>
      <c r="BB368" s="2" t="b">
        <f>LEN(_xlfn.CONCAT(Table1[[#This Row],[TRACK_TYPE_STANDARD_GAUGE_RAILTYPE_OHLE]:[TRACK_TYPE_MTRO]]))&gt;0</f>
        <v>1</v>
      </c>
      <c r="BC368" s="7">
        <v>40</v>
      </c>
      <c r="BD368" t="s">
        <v>928</v>
      </c>
      <c r="BE368" t="s">
        <v>922</v>
      </c>
      <c r="BF368" t="s">
        <v>940</v>
      </c>
      <c r="BG3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8">
        <v>0</v>
      </c>
      <c r="BI368" t="s">
        <v>734</v>
      </c>
      <c r="BK368" s="11"/>
      <c r="BL368" s="11">
        <v>240</v>
      </c>
      <c r="BM368">
        <v>0</v>
      </c>
      <c r="BN368" t="s">
        <v>692</v>
      </c>
      <c r="BO368" t="s">
        <v>694</v>
      </c>
      <c r="BP368" t="s">
        <v>701</v>
      </c>
      <c r="BQ368" t="s">
        <v>705</v>
      </c>
      <c r="BR368" t="s">
        <v>706</v>
      </c>
      <c r="BS368" t="s">
        <v>707</v>
      </c>
    </row>
    <row r="369" spans="1:71" hidden="1" x14ac:dyDescent="0.4">
      <c r="A369" s="2" t="s">
        <v>395</v>
      </c>
      <c r="B369" t="str">
        <f>_xlfn.TEXTAFTER(Table1[[#This Row],[VEHIDCODE]],"_")</f>
        <v>Chile_EFE_E_28</v>
      </c>
      <c r="C369" t="s">
        <v>741</v>
      </c>
      <c r="D369" t="b">
        <f>OR(ISNUMBER(SEARCH("wagon_",Table1[[#This Row],[FILENAMES_EXPECTED]])),ISNUMBER(SEARCH("coach_",Table1[[#This Row],[FILENAMES_EXPECTED]])))</f>
        <v>0</v>
      </c>
      <c r="E369" t="str">
        <f>"item_"&amp;Table1[[#This Row],[VEHIDCODE]]</f>
        <v>item_electric_Chile_EFE_E_28</v>
      </c>
      <c r="F369" t="str">
        <f>"str_"&amp;Table1[[#This Row],[VEHIDCODE]]</f>
        <v>str_electric_Chile_EFE_E_28</v>
      </c>
      <c r="G369">
        <v>8</v>
      </c>
      <c r="H369" t="s">
        <v>20</v>
      </c>
      <c r="I369">
        <v>0</v>
      </c>
      <c r="J369" t="s">
        <v>74</v>
      </c>
      <c r="K369">
        <v>0</v>
      </c>
      <c r="L369">
        <v>1922</v>
      </c>
      <c r="M369">
        <v>8</v>
      </c>
      <c r="N369" s="2" t="s">
        <v>20</v>
      </c>
      <c r="O369" t="b">
        <v>1</v>
      </c>
      <c r="Q369" s="2"/>
      <c r="R369">
        <v>45</v>
      </c>
      <c r="S369">
        <v>1</v>
      </c>
      <c r="T369">
        <v>2250</v>
      </c>
      <c r="U369" t="s">
        <v>709</v>
      </c>
      <c r="V369">
        <v>110</v>
      </c>
      <c r="W369" s="2">
        <v>0.19</v>
      </c>
      <c r="AA369" t="b">
        <v>1</v>
      </c>
      <c r="AX369"/>
      <c r="BA369" s="2"/>
      <c r="BB369" s="2" t="b">
        <f>LEN(_xlfn.CONCAT(Table1[[#This Row],[TRACK_TYPE_STANDARD_GAUGE_RAILTYPE_OHLE]:[TRACK_TYPE_MTRO]]))&gt;0</f>
        <v>1</v>
      </c>
      <c r="BC369" s="7">
        <v>40</v>
      </c>
      <c r="BD369" t="s">
        <v>930</v>
      </c>
      <c r="BE369" t="s">
        <v>922</v>
      </c>
      <c r="BF369" t="s">
        <v>940</v>
      </c>
      <c r="BG3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9">
        <v>-3</v>
      </c>
      <c r="BI369" t="s">
        <v>734</v>
      </c>
      <c r="BK369" s="11"/>
      <c r="BL369" s="11">
        <v>115</v>
      </c>
      <c r="BM369">
        <v>0</v>
      </c>
      <c r="BN369" t="s">
        <v>692</v>
      </c>
      <c r="BO369" t="s">
        <v>694</v>
      </c>
      <c r="BP369" t="s">
        <v>701</v>
      </c>
      <c r="BQ369" t="s">
        <v>705</v>
      </c>
      <c r="BR369" t="s">
        <v>706</v>
      </c>
      <c r="BS369" t="s">
        <v>707</v>
      </c>
    </row>
    <row r="370" spans="1:71" hidden="1" x14ac:dyDescent="0.4">
      <c r="A370" s="2" t="s">
        <v>396</v>
      </c>
      <c r="B370" t="str">
        <f>_xlfn.TEXTAFTER(Table1[[#This Row],[VEHIDCODE]],"_")</f>
        <v>Italy_FS_E428</v>
      </c>
      <c r="C370" t="s">
        <v>741</v>
      </c>
      <c r="D370" t="b">
        <f>OR(ISNUMBER(SEARCH("wagon_",Table1[[#This Row],[FILENAMES_EXPECTED]])),ISNUMBER(SEARCH("coach_",Table1[[#This Row],[FILENAMES_EXPECTED]])))</f>
        <v>0</v>
      </c>
      <c r="E370" t="str">
        <f>"item_"&amp;Table1[[#This Row],[VEHIDCODE]]</f>
        <v>item_electric_Italy_FS_E428</v>
      </c>
      <c r="F370" t="str">
        <f>"str_"&amp;Table1[[#This Row],[VEHIDCODE]]</f>
        <v>str_electric_Italy_FS_E428</v>
      </c>
      <c r="G370">
        <v>8</v>
      </c>
      <c r="H370" t="s">
        <v>20</v>
      </c>
      <c r="I370">
        <v>0</v>
      </c>
      <c r="J370" t="s">
        <v>74</v>
      </c>
      <c r="K370">
        <v>0</v>
      </c>
      <c r="L370">
        <v>1934</v>
      </c>
      <c r="M370">
        <v>8</v>
      </c>
      <c r="N370" s="2" t="s">
        <v>20</v>
      </c>
      <c r="O370" t="b">
        <v>1</v>
      </c>
      <c r="Q370" s="2"/>
      <c r="R370">
        <v>45</v>
      </c>
      <c r="S370">
        <v>1</v>
      </c>
      <c r="T370">
        <v>3750</v>
      </c>
      <c r="U370" t="s">
        <v>709</v>
      </c>
      <c r="V370">
        <v>130</v>
      </c>
      <c r="W370" s="2">
        <v>0.1</v>
      </c>
      <c r="AA370" t="b">
        <v>1</v>
      </c>
      <c r="AX370"/>
      <c r="BA370" s="2"/>
      <c r="BB370" s="2" t="b">
        <f>LEN(_xlfn.CONCAT(Table1[[#This Row],[TRACK_TYPE_STANDARD_GAUGE_RAILTYPE_OHLE]:[TRACK_TYPE_MTRO]]))&gt;0</f>
        <v>1</v>
      </c>
      <c r="BC370" s="7">
        <v>40</v>
      </c>
      <c r="BD370" t="s">
        <v>924</v>
      </c>
      <c r="BE370" t="s">
        <v>922</v>
      </c>
      <c r="BF370" t="s">
        <v>940</v>
      </c>
      <c r="BG3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0">
        <v>-3</v>
      </c>
      <c r="BI370" t="s">
        <v>734</v>
      </c>
      <c r="BK370" s="11"/>
      <c r="BL370" s="11">
        <v>135</v>
      </c>
      <c r="BM370">
        <v>0</v>
      </c>
      <c r="BN370" t="s">
        <v>692</v>
      </c>
      <c r="BO370" t="s">
        <v>694</v>
      </c>
      <c r="BP370" t="s">
        <v>701</v>
      </c>
      <c r="BQ370" t="s">
        <v>705</v>
      </c>
      <c r="BR370" t="s">
        <v>706</v>
      </c>
      <c r="BS370" t="s">
        <v>707</v>
      </c>
    </row>
    <row r="371" spans="1:71" hidden="1" x14ac:dyDescent="0.4">
      <c r="A371" s="2" t="s">
        <v>397</v>
      </c>
      <c r="B371" t="str">
        <f>_xlfn.TEXTAFTER(Table1[[#This Row],[VEHIDCODE]],"_")</f>
        <v>South_Africa_SAR_ES_Class</v>
      </c>
      <c r="C371" t="s">
        <v>741</v>
      </c>
      <c r="D371" t="b">
        <f>OR(ISNUMBER(SEARCH("wagon_",Table1[[#This Row],[FILENAMES_EXPECTED]])),ISNUMBER(SEARCH("coach_",Table1[[#This Row],[FILENAMES_EXPECTED]])))</f>
        <v>0</v>
      </c>
      <c r="E371" t="str">
        <f>"item_"&amp;Table1[[#This Row],[VEHIDCODE]]</f>
        <v>item_electric_South_Africa_SAR_ES_Class</v>
      </c>
      <c r="F371" t="str">
        <f>"str_"&amp;Table1[[#This Row],[VEHIDCODE]]</f>
        <v>str_electric_South_Africa_SAR_ES_Class</v>
      </c>
      <c r="G371">
        <v>8</v>
      </c>
      <c r="H371" t="s">
        <v>20</v>
      </c>
      <c r="I371">
        <v>0</v>
      </c>
      <c r="J371" t="s">
        <v>74</v>
      </c>
      <c r="K371">
        <v>0</v>
      </c>
      <c r="L371">
        <v>1936</v>
      </c>
      <c r="M371">
        <v>8</v>
      </c>
      <c r="N371" s="2" t="s">
        <v>20</v>
      </c>
      <c r="O371" t="b">
        <v>1</v>
      </c>
      <c r="Q371" s="2"/>
      <c r="R371">
        <v>45</v>
      </c>
      <c r="S371">
        <v>1</v>
      </c>
      <c r="T371">
        <v>1200</v>
      </c>
      <c r="U371" t="s">
        <v>709</v>
      </c>
      <c r="V371">
        <v>40</v>
      </c>
      <c r="W371" s="2">
        <v>0.26</v>
      </c>
      <c r="AA371" t="b">
        <v>1</v>
      </c>
      <c r="AX371"/>
      <c r="BA371" s="2"/>
      <c r="BB371" s="2" t="b">
        <f>LEN(_xlfn.CONCAT(Table1[[#This Row],[TRACK_TYPE_STANDARD_GAUGE_RAILTYPE_OHLE]:[TRACK_TYPE_MTRO]]))&gt;0</f>
        <v>1</v>
      </c>
      <c r="BC371" s="7">
        <v>40</v>
      </c>
      <c r="BD371" t="s">
        <v>926</v>
      </c>
      <c r="BE371" t="s">
        <v>922</v>
      </c>
      <c r="BF371" t="s">
        <v>940</v>
      </c>
      <c r="BG3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1">
        <v>-3</v>
      </c>
      <c r="BI371" t="s">
        <v>734</v>
      </c>
      <c r="BK371" s="11"/>
      <c r="BL371" s="11">
        <v>68</v>
      </c>
      <c r="BM371">
        <v>0</v>
      </c>
      <c r="BN371" t="s">
        <v>692</v>
      </c>
      <c r="BO371" t="s">
        <v>694</v>
      </c>
      <c r="BP371" t="s">
        <v>701</v>
      </c>
      <c r="BQ371" t="s">
        <v>705</v>
      </c>
      <c r="BR371" t="s">
        <v>706</v>
      </c>
      <c r="BS371" t="s">
        <v>707</v>
      </c>
    </row>
    <row r="372" spans="1:71" hidden="1" x14ac:dyDescent="0.4">
      <c r="A372" s="2" t="s">
        <v>398</v>
      </c>
      <c r="B372" t="str">
        <f>_xlfn.TEXTAFTER(Table1[[#This Row],[VEHIDCODE]],"_")</f>
        <v>Poland_PKP_EU06</v>
      </c>
      <c r="C372" t="s">
        <v>741</v>
      </c>
      <c r="D372" t="b">
        <f>OR(ISNUMBER(SEARCH("wagon_",Table1[[#This Row],[FILENAMES_EXPECTED]])),ISNUMBER(SEARCH("coach_",Table1[[#This Row],[FILENAMES_EXPECTED]])))</f>
        <v>0</v>
      </c>
      <c r="E372" t="str">
        <f>"item_"&amp;Table1[[#This Row],[VEHIDCODE]]</f>
        <v>item_electric_Poland_PKP_EU06</v>
      </c>
      <c r="F372" t="str">
        <f>"str_"&amp;Table1[[#This Row],[VEHIDCODE]]</f>
        <v>str_electric_Poland_PKP_EU06</v>
      </c>
      <c r="G372">
        <v>7</v>
      </c>
      <c r="H372" t="s">
        <v>20</v>
      </c>
      <c r="I372">
        <v>0</v>
      </c>
      <c r="J372" t="s">
        <v>74</v>
      </c>
      <c r="K372">
        <v>0</v>
      </c>
      <c r="L372">
        <v>1962</v>
      </c>
      <c r="M372">
        <v>7</v>
      </c>
      <c r="N372" s="2" t="s">
        <v>20</v>
      </c>
      <c r="O372" t="b">
        <v>1</v>
      </c>
      <c r="Q372" s="2"/>
      <c r="R372">
        <v>45</v>
      </c>
      <c r="S372">
        <v>1</v>
      </c>
      <c r="T372">
        <v>1500</v>
      </c>
      <c r="U372" t="s">
        <v>709</v>
      </c>
      <c r="V372">
        <v>126</v>
      </c>
      <c r="W372" s="2">
        <v>0.35</v>
      </c>
      <c r="AA372" t="b">
        <v>1</v>
      </c>
      <c r="AX372"/>
      <c r="BA372" s="2"/>
      <c r="BB372" s="2" t="b">
        <f>LEN(_xlfn.CONCAT(Table1[[#This Row],[TRACK_TYPE_STANDARD_GAUGE_RAILTYPE_OHLE]:[TRACK_TYPE_MTRO]]))&gt;0</f>
        <v>1</v>
      </c>
      <c r="BC372" s="7">
        <v>40</v>
      </c>
      <c r="BD372" t="s">
        <v>929</v>
      </c>
      <c r="BE372" t="s">
        <v>922</v>
      </c>
      <c r="BF372" t="s">
        <v>940</v>
      </c>
      <c r="BG3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2">
        <v>0</v>
      </c>
      <c r="BI372" t="s">
        <v>734</v>
      </c>
      <c r="BK372" s="11"/>
      <c r="BL372" s="11">
        <v>81</v>
      </c>
      <c r="BM372">
        <v>0</v>
      </c>
      <c r="BN372" t="s">
        <v>692</v>
      </c>
      <c r="BO372" t="s">
        <v>694</v>
      </c>
      <c r="BP372" t="s">
        <v>701</v>
      </c>
      <c r="BQ372" t="s">
        <v>705</v>
      </c>
      <c r="BR372" t="s">
        <v>706</v>
      </c>
      <c r="BS372" t="s">
        <v>707</v>
      </c>
    </row>
    <row r="373" spans="1:71" hidden="1" x14ac:dyDescent="0.4">
      <c r="A373" s="2" t="s">
        <v>399</v>
      </c>
      <c r="B373" t="str">
        <f>_xlfn.TEXTAFTER(Table1[[#This Row],[VEHIDCODE]],"_")</f>
        <v>Poland_PKP_ET41</v>
      </c>
      <c r="C373" t="s">
        <v>741</v>
      </c>
      <c r="D373" t="b">
        <f>OR(ISNUMBER(SEARCH("wagon_",Table1[[#This Row],[FILENAMES_EXPECTED]])),ISNUMBER(SEARCH("coach_",Table1[[#This Row],[FILENAMES_EXPECTED]])))</f>
        <v>0</v>
      </c>
      <c r="E373" t="str">
        <f>"item_"&amp;Table1[[#This Row],[VEHIDCODE]]</f>
        <v>item_electric_Poland_PKP_ET41</v>
      </c>
      <c r="F373" t="str">
        <f>"str_"&amp;Table1[[#This Row],[VEHIDCODE]]</f>
        <v>str_electric_Poland_PKP_ET41</v>
      </c>
      <c r="G373">
        <v>14</v>
      </c>
      <c r="H373" t="s">
        <v>20</v>
      </c>
      <c r="I373">
        <v>0</v>
      </c>
      <c r="J373" t="s">
        <v>74</v>
      </c>
      <c r="K373">
        <v>0</v>
      </c>
      <c r="L373">
        <v>1977</v>
      </c>
      <c r="M373">
        <v>7</v>
      </c>
      <c r="N373" s="2" t="s">
        <v>20</v>
      </c>
      <c r="O373" t="b">
        <v>1</v>
      </c>
      <c r="Q373" s="2"/>
      <c r="R373">
        <v>45</v>
      </c>
      <c r="S373">
        <v>0</v>
      </c>
      <c r="T373">
        <v>5400</v>
      </c>
      <c r="U373" t="s">
        <v>709</v>
      </c>
      <c r="V373">
        <v>125</v>
      </c>
      <c r="W373" s="2">
        <v>0.6</v>
      </c>
      <c r="AA373" t="b">
        <v>1</v>
      </c>
      <c r="AX373"/>
      <c r="BA373" s="2"/>
      <c r="BB373" s="2" t="b">
        <f>LEN(_xlfn.CONCAT(Table1[[#This Row],[TRACK_TYPE_STANDARD_GAUGE_RAILTYPE_OHLE]:[TRACK_TYPE_MTRO]]))&gt;0</f>
        <v>1</v>
      </c>
      <c r="BC373" s="7">
        <v>40</v>
      </c>
      <c r="BD373" t="s">
        <v>929</v>
      </c>
      <c r="BE373" t="s">
        <v>922</v>
      </c>
      <c r="BF373" t="s">
        <v>940</v>
      </c>
      <c r="BG3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3">
        <v>0</v>
      </c>
      <c r="BI373" t="s">
        <v>734</v>
      </c>
      <c r="BK373" s="11"/>
      <c r="BL373" s="11">
        <v>167</v>
      </c>
      <c r="BM373">
        <v>0</v>
      </c>
      <c r="BN373" t="s">
        <v>692</v>
      </c>
      <c r="BO373" t="s">
        <v>694</v>
      </c>
      <c r="BP373" t="s">
        <v>701</v>
      </c>
      <c r="BQ373" t="s">
        <v>705</v>
      </c>
      <c r="BR373" t="s">
        <v>706</v>
      </c>
      <c r="BS373" t="s">
        <v>707</v>
      </c>
    </row>
    <row r="374" spans="1:71" hidden="1" x14ac:dyDescent="0.4">
      <c r="A374" s="2" t="s">
        <v>400</v>
      </c>
      <c r="B374" t="str">
        <f>_xlfn.TEXTAFTER(Table1[[#This Row],[VEHIDCODE]],"_")</f>
        <v>Poland_PKP_EP09</v>
      </c>
      <c r="C374" t="s">
        <v>741</v>
      </c>
      <c r="D374" t="b">
        <f>OR(ISNUMBER(SEARCH("wagon_",Table1[[#This Row],[FILENAMES_EXPECTED]])),ISNUMBER(SEARCH("coach_",Table1[[#This Row],[FILENAMES_EXPECTED]])))</f>
        <v>0</v>
      </c>
      <c r="E374" t="str">
        <f>"item_"&amp;Table1[[#This Row],[VEHIDCODE]]</f>
        <v>item_electric_Poland_PKP_EP09</v>
      </c>
      <c r="F374" t="str">
        <f>"str_"&amp;Table1[[#This Row],[VEHIDCODE]]</f>
        <v>str_electric_Poland_PKP_EP09</v>
      </c>
      <c r="G374">
        <v>7</v>
      </c>
      <c r="H374" t="s">
        <v>20</v>
      </c>
      <c r="I374">
        <v>0</v>
      </c>
      <c r="J374" t="s">
        <v>74</v>
      </c>
      <c r="K374">
        <v>0</v>
      </c>
      <c r="L374">
        <v>1986</v>
      </c>
      <c r="M374">
        <v>7</v>
      </c>
      <c r="N374" s="2" t="s">
        <v>20</v>
      </c>
      <c r="O374" t="b">
        <v>1</v>
      </c>
      <c r="Q374" s="2"/>
      <c r="R374">
        <v>45</v>
      </c>
      <c r="S374">
        <v>1</v>
      </c>
      <c r="T374">
        <v>4452</v>
      </c>
      <c r="U374" t="s">
        <v>709</v>
      </c>
      <c r="V374">
        <v>160</v>
      </c>
      <c r="W374" s="2">
        <v>0.23</v>
      </c>
      <c r="AA374" t="b">
        <v>1</v>
      </c>
      <c r="AX374"/>
      <c r="BA374" s="2"/>
      <c r="BB374" s="2" t="b">
        <f>LEN(_xlfn.CONCAT(Table1[[#This Row],[TRACK_TYPE_STANDARD_GAUGE_RAILTYPE_OHLE]:[TRACK_TYPE_MTRO]]))&gt;0</f>
        <v>1</v>
      </c>
      <c r="BC374" s="7">
        <v>40</v>
      </c>
      <c r="BD374" t="s">
        <v>929</v>
      </c>
      <c r="BE374" t="s">
        <v>922</v>
      </c>
      <c r="BF374" t="s">
        <v>940</v>
      </c>
      <c r="BG3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4">
        <v>0</v>
      </c>
      <c r="BI374" t="s">
        <v>734</v>
      </c>
      <c r="BK374" s="11"/>
      <c r="BL374" s="11">
        <v>84</v>
      </c>
      <c r="BM374">
        <v>0</v>
      </c>
      <c r="BN374" t="s">
        <v>692</v>
      </c>
      <c r="BO374" t="s">
        <v>694</v>
      </c>
      <c r="BP374" t="s">
        <v>701</v>
      </c>
      <c r="BQ374" t="s">
        <v>705</v>
      </c>
      <c r="BR374" t="s">
        <v>706</v>
      </c>
      <c r="BS374" t="s">
        <v>707</v>
      </c>
    </row>
    <row r="375" spans="1:71" hidden="1" x14ac:dyDescent="0.4">
      <c r="A375" s="2" t="s">
        <v>401</v>
      </c>
      <c r="B375" t="str">
        <f>_xlfn.TEXTAFTER(Table1[[#This Row],[VEHIDCODE]],"_")</f>
        <v>Slovakia_ZSSK_162</v>
      </c>
      <c r="C375" t="s">
        <v>741</v>
      </c>
      <c r="D375" t="b">
        <f>OR(ISNUMBER(SEARCH("wagon_",Table1[[#This Row],[FILENAMES_EXPECTED]])),ISNUMBER(SEARCH("coach_",Table1[[#This Row],[FILENAMES_EXPECTED]])))</f>
        <v>0</v>
      </c>
      <c r="E375" t="str">
        <f>"item_"&amp;Table1[[#This Row],[VEHIDCODE]]</f>
        <v>item_electric_Slovakia_ZSSK_162</v>
      </c>
      <c r="F375" t="str">
        <f>"str_"&amp;Table1[[#This Row],[VEHIDCODE]]</f>
        <v>str_electric_Slovakia_ZSSK_162</v>
      </c>
      <c r="G375">
        <v>7</v>
      </c>
      <c r="H375" t="s">
        <v>20</v>
      </c>
      <c r="I375">
        <v>0</v>
      </c>
      <c r="J375" t="s">
        <v>74</v>
      </c>
      <c r="K375">
        <v>0</v>
      </c>
      <c r="L375">
        <v>1991</v>
      </c>
      <c r="M375">
        <v>7</v>
      </c>
      <c r="N375" s="2" t="s">
        <v>20</v>
      </c>
      <c r="O375" t="b">
        <v>1</v>
      </c>
      <c r="Q375" s="2"/>
      <c r="R375">
        <v>45</v>
      </c>
      <c r="S375">
        <v>1</v>
      </c>
      <c r="T375">
        <v>4872</v>
      </c>
      <c r="U375" t="s">
        <v>709</v>
      </c>
      <c r="V375">
        <v>140</v>
      </c>
      <c r="W375" s="2">
        <v>0.3</v>
      </c>
      <c r="AA375" t="b">
        <v>1</v>
      </c>
      <c r="AX375"/>
      <c r="BA375" s="2"/>
      <c r="BB375" s="2" t="b">
        <f>LEN(_xlfn.CONCAT(Table1[[#This Row],[TRACK_TYPE_STANDARD_GAUGE_RAILTYPE_OHLE]:[TRACK_TYPE_MTRO]]))&gt;0</f>
        <v>1</v>
      </c>
      <c r="BC375" s="7">
        <v>40</v>
      </c>
      <c r="BD375" t="s">
        <v>929</v>
      </c>
      <c r="BE375" t="s">
        <v>922</v>
      </c>
      <c r="BF375" t="s">
        <v>940</v>
      </c>
      <c r="BG3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5">
        <v>0</v>
      </c>
      <c r="BI375" t="s">
        <v>734</v>
      </c>
      <c r="BK375" s="11"/>
      <c r="BL375" s="11">
        <v>85</v>
      </c>
      <c r="BM375">
        <v>0</v>
      </c>
      <c r="BN375" t="s">
        <v>692</v>
      </c>
      <c r="BO375" t="s">
        <v>694</v>
      </c>
      <c r="BP375" t="s">
        <v>701</v>
      </c>
      <c r="BQ375" t="s">
        <v>705</v>
      </c>
      <c r="BR375" t="s">
        <v>706</v>
      </c>
      <c r="BS375" t="s">
        <v>707</v>
      </c>
    </row>
    <row r="376" spans="1:71" hidden="1" x14ac:dyDescent="0.4">
      <c r="A376" s="2" t="s">
        <v>402</v>
      </c>
      <c r="B376" t="str">
        <f>_xlfn.TEXTAFTER(Table1[[#This Row],[VEHIDCODE]],"_")</f>
        <v>Italy_FS_E646</v>
      </c>
      <c r="C376" t="s">
        <v>741</v>
      </c>
      <c r="D376" t="b">
        <f>OR(ISNUMBER(SEARCH("wagon_",Table1[[#This Row],[FILENAMES_EXPECTED]])),ISNUMBER(SEARCH("coach_",Table1[[#This Row],[FILENAMES_EXPECTED]])))</f>
        <v>0</v>
      </c>
      <c r="E376" t="str">
        <f>"item_"&amp;Table1[[#This Row],[VEHIDCODE]]</f>
        <v>item_electric_Italy_FS_E646</v>
      </c>
      <c r="F376" t="str">
        <f>"str_"&amp;Table1[[#This Row],[VEHIDCODE]]</f>
        <v>str_electric_Italy_FS_E646</v>
      </c>
      <c r="G376">
        <v>10</v>
      </c>
      <c r="H376" t="s">
        <v>20</v>
      </c>
      <c r="I376">
        <v>0</v>
      </c>
      <c r="J376" t="s">
        <v>74</v>
      </c>
      <c r="K376">
        <v>0</v>
      </c>
      <c r="L376">
        <v>1961</v>
      </c>
      <c r="M376">
        <v>5</v>
      </c>
      <c r="N376" s="2" t="s">
        <v>20</v>
      </c>
      <c r="O376" t="b">
        <v>1</v>
      </c>
      <c r="Q376" s="2"/>
      <c r="R376">
        <v>45</v>
      </c>
      <c r="S376">
        <v>1</v>
      </c>
      <c r="T376">
        <v>6610</v>
      </c>
      <c r="U376" t="s">
        <v>709</v>
      </c>
      <c r="V376">
        <v>140</v>
      </c>
      <c r="W376" s="2">
        <v>0.21</v>
      </c>
      <c r="AA376" t="b">
        <v>1</v>
      </c>
      <c r="AX376"/>
      <c r="BA376" s="2"/>
      <c r="BB376" s="2" t="b">
        <f>LEN(_xlfn.CONCAT(Table1[[#This Row],[TRACK_TYPE_STANDARD_GAUGE_RAILTYPE_OHLE]:[TRACK_TYPE_MTRO]]))&gt;0</f>
        <v>1</v>
      </c>
      <c r="BC376" s="7">
        <v>40</v>
      </c>
      <c r="BD376" t="s">
        <v>924</v>
      </c>
      <c r="BE376" t="s">
        <v>922</v>
      </c>
      <c r="BF376" t="s">
        <v>940</v>
      </c>
      <c r="BG3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6">
        <v>0</v>
      </c>
      <c r="BI376" t="s">
        <v>734</v>
      </c>
      <c r="BK376" s="11"/>
      <c r="BL376" s="11">
        <v>110</v>
      </c>
      <c r="BM376">
        <v>0</v>
      </c>
      <c r="BN376" t="s">
        <v>692</v>
      </c>
      <c r="BO376" t="s">
        <v>694</v>
      </c>
      <c r="BP376" t="s">
        <v>701</v>
      </c>
      <c r="BQ376" t="s">
        <v>705</v>
      </c>
      <c r="BR376" t="s">
        <v>706</v>
      </c>
      <c r="BS376" t="s">
        <v>707</v>
      </c>
    </row>
    <row r="377" spans="1:71" hidden="1" x14ac:dyDescent="0.4">
      <c r="A377" s="2" t="s">
        <v>403</v>
      </c>
      <c r="B377" t="str">
        <f>_xlfn.TEXTAFTER(Table1[[#This Row],[VEHIDCODE]],"_")</f>
        <v>Italy_FS_E424</v>
      </c>
      <c r="C377" t="s">
        <v>741</v>
      </c>
      <c r="D377" t="b">
        <f>OR(ISNUMBER(SEARCH("wagon_",Table1[[#This Row],[FILENAMES_EXPECTED]])),ISNUMBER(SEARCH("coach_",Table1[[#This Row],[FILENAMES_EXPECTED]])))</f>
        <v>0</v>
      </c>
      <c r="E377" t="str">
        <f>"item_"&amp;Table1[[#This Row],[VEHIDCODE]]</f>
        <v>item_electric_Italy_FS_E424</v>
      </c>
      <c r="F377" t="str">
        <f>"str_"&amp;Table1[[#This Row],[VEHIDCODE]]</f>
        <v>str_electric_Italy_FS_E424</v>
      </c>
      <c r="G377">
        <v>8</v>
      </c>
      <c r="H377" t="s">
        <v>20</v>
      </c>
      <c r="I377">
        <v>0</v>
      </c>
      <c r="J377" t="s">
        <v>74</v>
      </c>
      <c r="K377">
        <v>0</v>
      </c>
      <c r="L377">
        <v>1943</v>
      </c>
      <c r="M377">
        <v>8</v>
      </c>
      <c r="N377" s="2" t="s">
        <v>20</v>
      </c>
      <c r="O377" t="b">
        <v>1</v>
      </c>
      <c r="Q377" s="2"/>
      <c r="R377">
        <v>45</v>
      </c>
      <c r="S377">
        <v>1</v>
      </c>
      <c r="T377">
        <v>2000</v>
      </c>
      <c r="U377" t="s">
        <v>709</v>
      </c>
      <c r="V377">
        <v>120</v>
      </c>
      <c r="W377" s="2">
        <v>0.26</v>
      </c>
      <c r="AA377" t="b">
        <v>1</v>
      </c>
      <c r="AX377"/>
      <c r="BA377" s="2"/>
      <c r="BB377" s="2" t="b">
        <f>LEN(_xlfn.CONCAT(Table1[[#This Row],[TRACK_TYPE_STANDARD_GAUGE_RAILTYPE_OHLE]:[TRACK_TYPE_MTRO]]))&gt;0</f>
        <v>1</v>
      </c>
      <c r="BC377" s="7">
        <v>40</v>
      </c>
      <c r="BD377" t="s">
        <v>924</v>
      </c>
      <c r="BE377" t="s">
        <v>922</v>
      </c>
      <c r="BF377" t="s">
        <v>940</v>
      </c>
      <c r="BG3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7">
        <v>0</v>
      </c>
      <c r="BI377" t="s">
        <v>734</v>
      </c>
      <c r="BK377" s="11"/>
      <c r="BL377" s="11">
        <v>65</v>
      </c>
      <c r="BM377">
        <v>0</v>
      </c>
      <c r="BN377" t="s">
        <v>692</v>
      </c>
      <c r="BO377" t="s">
        <v>694</v>
      </c>
      <c r="BP377" t="s">
        <v>701</v>
      </c>
      <c r="BQ377" t="s">
        <v>705</v>
      </c>
      <c r="BR377" t="s">
        <v>706</v>
      </c>
      <c r="BS377" t="s">
        <v>707</v>
      </c>
    </row>
    <row r="378" spans="1:71" hidden="1" x14ac:dyDescent="0.4">
      <c r="A378" s="2" t="s">
        <v>404</v>
      </c>
      <c r="B378" t="str">
        <f>_xlfn.TEXTAFTER(Table1[[#This Row],[VEHIDCODE]],"_")</f>
        <v>Italy_FS_E444</v>
      </c>
      <c r="C378" t="s">
        <v>741</v>
      </c>
      <c r="D378" t="b">
        <f>OR(ISNUMBER(SEARCH("wagon_",Table1[[#This Row],[FILENAMES_EXPECTED]])),ISNUMBER(SEARCH("coach_",Table1[[#This Row],[FILENAMES_EXPECTED]])))</f>
        <v>0</v>
      </c>
      <c r="E378" t="str">
        <f>"item_"&amp;Table1[[#This Row],[VEHIDCODE]]</f>
        <v>item_electric_Italy_FS_E444</v>
      </c>
      <c r="F378" t="str">
        <f>"str_"&amp;Table1[[#This Row],[VEHIDCODE]]</f>
        <v>str_electric_Italy_FS_E444</v>
      </c>
      <c r="G378">
        <v>8</v>
      </c>
      <c r="H378" t="s">
        <v>20</v>
      </c>
      <c r="I378">
        <v>0</v>
      </c>
      <c r="J378" t="s">
        <v>74</v>
      </c>
      <c r="K378">
        <v>0</v>
      </c>
      <c r="L378">
        <v>1967</v>
      </c>
      <c r="M378">
        <v>8</v>
      </c>
      <c r="N378" s="2" t="s">
        <v>20</v>
      </c>
      <c r="O378" t="b">
        <v>1</v>
      </c>
      <c r="Q378" s="2"/>
      <c r="R378">
        <v>45</v>
      </c>
      <c r="S378">
        <v>1</v>
      </c>
      <c r="T378">
        <v>5729</v>
      </c>
      <c r="U378" t="s">
        <v>709</v>
      </c>
      <c r="V378">
        <v>200</v>
      </c>
      <c r="W378" s="2">
        <v>0.24</v>
      </c>
      <c r="AA378" t="b">
        <v>1</v>
      </c>
      <c r="AX378"/>
      <c r="BA378" s="2"/>
      <c r="BB378" s="2" t="b">
        <f>LEN(_xlfn.CONCAT(Table1[[#This Row],[TRACK_TYPE_STANDARD_GAUGE_RAILTYPE_OHLE]:[TRACK_TYPE_MTRO]]))&gt;0</f>
        <v>1</v>
      </c>
      <c r="BC378" s="7">
        <v>40</v>
      </c>
      <c r="BD378" t="s">
        <v>924</v>
      </c>
      <c r="BE378" t="s">
        <v>922</v>
      </c>
      <c r="BF378" t="s">
        <v>940</v>
      </c>
      <c r="BG3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8">
        <v>0</v>
      </c>
      <c r="BI378" t="s">
        <v>734</v>
      </c>
      <c r="BK378" s="11"/>
      <c r="BL378" s="11">
        <v>83</v>
      </c>
      <c r="BM378">
        <v>0</v>
      </c>
      <c r="BN378" t="s">
        <v>692</v>
      </c>
      <c r="BO378" t="s">
        <v>694</v>
      </c>
      <c r="BP378" t="s">
        <v>701</v>
      </c>
      <c r="BQ378" t="s">
        <v>705</v>
      </c>
      <c r="BR378" t="s">
        <v>706</v>
      </c>
      <c r="BS378" t="s">
        <v>707</v>
      </c>
    </row>
    <row r="379" spans="1:71" hidden="1" x14ac:dyDescent="0.4">
      <c r="A379" s="2" t="s">
        <v>405</v>
      </c>
      <c r="B379" t="str">
        <f>_xlfn.TEXTAFTER(Table1[[#This Row],[VEHIDCODE]],"_")</f>
        <v>Italy_FS_E633</v>
      </c>
      <c r="C379" t="s">
        <v>741</v>
      </c>
      <c r="D379" t="b">
        <f>OR(ISNUMBER(SEARCH("wagon_",Table1[[#This Row],[FILENAMES_EXPECTED]])),ISNUMBER(SEARCH("coach_",Table1[[#This Row],[FILENAMES_EXPECTED]])))</f>
        <v>0</v>
      </c>
      <c r="E379" t="str">
        <f>"item_"&amp;Table1[[#This Row],[VEHIDCODE]]</f>
        <v>item_electric_Italy_FS_E633</v>
      </c>
      <c r="F379" t="str">
        <f>"str_"&amp;Table1[[#This Row],[VEHIDCODE]]</f>
        <v>str_electric_Italy_FS_E633</v>
      </c>
      <c r="G379">
        <v>8</v>
      </c>
      <c r="H379" t="s">
        <v>20</v>
      </c>
      <c r="I379">
        <v>0</v>
      </c>
      <c r="J379" t="s">
        <v>74</v>
      </c>
      <c r="K379">
        <v>0</v>
      </c>
      <c r="L379">
        <v>1979</v>
      </c>
      <c r="M379">
        <v>8</v>
      </c>
      <c r="N379" s="2" t="s">
        <v>20</v>
      </c>
      <c r="O379" t="b">
        <v>1</v>
      </c>
      <c r="Q379" s="2"/>
      <c r="R379">
        <v>45</v>
      </c>
      <c r="S379">
        <v>1</v>
      </c>
      <c r="T379">
        <v>5600</v>
      </c>
      <c r="U379" t="s">
        <v>709</v>
      </c>
      <c r="V379">
        <v>130</v>
      </c>
      <c r="W379" s="2">
        <v>0.27</v>
      </c>
      <c r="AA379" t="b">
        <v>1</v>
      </c>
      <c r="AX379"/>
      <c r="BA379" s="2"/>
      <c r="BB379" s="2" t="b">
        <f>LEN(_xlfn.CONCAT(Table1[[#This Row],[TRACK_TYPE_STANDARD_GAUGE_RAILTYPE_OHLE]:[TRACK_TYPE_MTRO]]))&gt;0</f>
        <v>1</v>
      </c>
      <c r="BC379" s="7">
        <v>40</v>
      </c>
      <c r="BD379" t="s">
        <v>924</v>
      </c>
      <c r="BE379" t="s">
        <v>922</v>
      </c>
      <c r="BF379" t="s">
        <v>940</v>
      </c>
      <c r="BG3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9">
        <v>0</v>
      </c>
      <c r="BI379" t="s">
        <v>734</v>
      </c>
      <c r="BK379" s="11"/>
      <c r="BL379" s="11">
        <v>103</v>
      </c>
      <c r="BM379">
        <v>0</v>
      </c>
      <c r="BN379" t="s">
        <v>692</v>
      </c>
      <c r="BO379" t="s">
        <v>694</v>
      </c>
      <c r="BP379" t="s">
        <v>701</v>
      </c>
      <c r="BQ379" t="s">
        <v>705</v>
      </c>
      <c r="BR379" t="s">
        <v>706</v>
      </c>
      <c r="BS379" t="s">
        <v>707</v>
      </c>
    </row>
    <row r="380" spans="1:71" hidden="1" x14ac:dyDescent="0.4">
      <c r="A380" s="2" t="s">
        <v>406</v>
      </c>
      <c r="B380" t="str">
        <f>_xlfn.TEXTAFTER(Table1[[#This Row],[VEHIDCODE]],"_")</f>
        <v>Belgium_NMBS_Class_255</v>
      </c>
      <c r="C380" t="s">
        <v>741</v>
      </c>
      <c r="D380" t="b">
        <f>OR(ISNUMBER(SEARCH("wagon_",Table1[[#This Row],[FILENAMES_EXPECTED]])),ISNUMBER(SEARCH("coach_",Table1[[#This Row],[FILENAMES_EXPECTED]])))</f>
        <v>0</v>
      </c>
      <c r="E380" t="str">
        <f>"item_"&amp;Table1[[#This Row],[VEHIDCODE]]</f>
        <v>item_electric_Belgium_NMBS_Class_255</v>
      </c>
      <c r="F380" t="str">
        <f>"str_"&amp;Table1[[#This Row],[VEHIDCODE]]</f>
        <v>str_electric_Belgium_NMBS_Class_255</v>
      </c>
      <c r="G380">
        <v>8</v>
      </c>
      <c r="H380" t="s">
        <v>20</v>
      </c>
      <c r="I380">
        <v>0</v>
      </c>
      <c r="J380" t="s">
        <v>74</v>
      </c>
      <c r="K380">
        <v>0</v>
      </c>
      <c r="L380">
        <v>1960</v>
      </c>
      <c r="M380">
        <v>8</v>
      </c>
      <c r="N380" s="2" t="s">
        <v>20</v>
      </c>
      <c r="O380" t="b">
        <v>1</v>
      </c>
      <c r="Q380" s="2"/>
      <c r="R380">
        <v>45</v>
      </c>
      <c r="S380">
        <v>1</v>
      </c>
      <c r="T380">
        <v>2520</v>
      </c>
      <c r="U380" t="s">
        <v>709</v>
      </c>
      <c r="V380">
        <v>130</v>
      </c>
      <c r="W380" s="2">
        <v>0.23</v>
      </c>
      <c r="AA380" t="b">
        <v>1</v>
      </c>
      <c r="AX380"/>
      <c r="BA380" s="2"/>
      <c r="BB380" s="2" t="b">
        <f>LEN(_xlfn.CONCAT(Table1[[#This Row],[TRACK_TYPE_STANDARD_GAUGE_RAILTYPE_OHLE]:[TRACK_TYPE_MTRO]]))&gt;0</f>
        <v>1</v>
      </c>
      <c r="BC380" s="7">
        <v>40</v>
      </c>
      <c r="BD380" t="s">
        <v>923</v>
      </c>
      <c r="BE380" t="s">
        <v>922</v>
      </c>
      <c r="BF380" t="s">
        <v>940</v>
      </c>
      <c r="BG3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0">
        <v>0</v>
      </c>
      <c r="BI380" t="s">
        <v>734</v>
      </c>
      <c r="BK380" s="11"/>
      <c r="BL380" s="11">
        <v>85</v>
      </c>
      <c r="BM380">
        <v>0</v>
      </c>
      <c r="BN380" t="s">
        <v>692</v>
      </c>
      <c r="BO380" t="s">
        <v>694</v>
      </c>
      <c r="BP380" t="s">
        <v>701</v>
      </c>
      <c r="BQ380" t="s">
        <v>705</v>
      </c>
      <c r="BR380" t="s">
        <v>706</v>
      </c>
      <c r="BS380" t="s">
        <v>707</v>
      </c>
    </row>
    <row r="381" spans="1:71" hidden="1" x14ac:dyDescent="0.4">
      <c r="A381" s="2" t="s">
        <v>407</v>
      </c>
      <c r="B381" t="str">
        <f>_xlfn.TEXTAFTER(Table1[[#This Row],[VEHIDCODE]],"_")</f>
        <v>Spain_RENFE_250</v>
      </c>
      <c r="C381" t="s">
        <v>741</v>
      </c>
      <c r="D381" t="b">
        <f>OR(ISNUMBER(SEARCH("wagon_",Table1[[#This Row],[FILENAMES_EXPECTED]])),ISNUMBER(SEARCH("coach_",Table1[[#This Row],[FILENAMES_EXPECTED]])))</f>
        <v>0</v>
      </c>
      <c r="E381" t="str">
        <f>"item_"&amp;Table1[[#This Row],[VEHIDCODE]]</f>
        <v>item_electric_Spain_RENFE_250</v>
      </c>
      <c r="F381" t="str">
        <f>"str_"&amp;Table1[[#This Row],[VEHIDCODE]]</f>
        <v>str_electric_Spain_RENFE_250</v>
      </c>
      <c r="G381">
        <v>8</v>
      </c>
      <c r="H381" t="s">
        <v>20</v>
      </c>
      <c r="I381">
        <v>0</v>
      </c>
      <c r="J381" t="s">
        <v>74</v>
      </c>
      <c r="K381">
        <v>0</v>
      </c>
      <c r="L381">
        <v>1982</v>
      </c>
      <c r="M381">
        <v>8</v>
      </c>
      <c r="N381" s="2" t="s">
        <v>20</v>
      </c>
      <c r="O381" t="b">
        <v>1</v>
      </c>
      <c r="Q381" s="2"/>
      <c r="R381">
        <v>45</v>
      </c>
      <c r="S381">
        <v>1</v>
      </c>
      <c r="T381">
        <v>6440</v>
      </c>
      <c r="U381" t="s">
        <v>709</v>
      </c>
      <c r="V381">
        <v>160</v>
      </c>
      <c r="W381" s="2">
        <v>0.16</v>
      </c>
      <c r="AS381" t="b">
        <v>1</v>
      </c>
      <c r="AX381"/>
      <c r="BA381" s="2"/>
      <c r="BB381" s="2" t="b">
        <f>LEN(_xlfn.CONCAT(Table1[[#This Row],[TRACK_TYPE_STANDARD_GAUGE_RAILTYPE_OHLE]:[TRACK_TYPE_MTRO]]))&gt;0</f>
        <v>1</v>
      </c>
      <c r="BC381" s="7">
        <v>40</v>
      </c>
      <c r="BD381" t="s">
        <v>924</v>
      </c>
      <c r="BE381" t="s">
        <v>922</v>
      </c>
      <c r="BF381" t="s">
        <v>940</v>
      </c>
      <c r="BG3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1">
        <v>0</v>
      </c>
      <c r="BI381" t="s">
        <v>734</v>
      </c>
      <c r="BK381" s="11"/>
      <c r="BL381" s="11">
        <v>124</v>
      </c>
      <c r="BM381">
        <v>0</v>
      </c>
      <c r="BN381" t="s">
        <v>692</v>
      </c>
      <c r="BO381" t="s">
        <v>694</v>
      </c>
      <c r="BP381" t="s">
        <v>701</v>
      </c>
      <c r="BQ381" t="s">
        <v>705</v>
      </c>
      <c r="BR381" t="s">
        <v>706</v>
      </c>
      <c r="BS381" t="s">
        <v>707</v>
      </c>
    </row>
    <row r="382" spans="1:71" hidden="1" x14ac:dyDescent="0.4">
      <c r="A382" s="2" t="s">
        <v>408</v>
      </c>
      <c r="B382" t="str">
        <f>_xlfn.TEXTAFTER(Table1[[#This Row],[VEHIDCODE]],"_")</f>
        <v>Chile_EFE_E_29</v>
      </c>
      <c r="C382" t="s">
        <v>741</v>
      </c>
      <c r="D382" t="b">
        <f>OR(ISNUMBER(SEARCH("wagon_",Table1[[#This Row],[FILENAMES_EXPECTED]])),ISNUMBER(SEARCH("coach_",Table1[[#This Row],[FILENAMES_EXPECTED]])))</f>
        <v>0</v>
      </c>
      <c r="E382" t="str">
        <f>"item_"&amp;Table1[[#This Row],[VEHIDCODE]]</f>
        <v>item_electric_Chile_EFE_E_29</v>
      </c>
      <c r="F382" t="str">
        <f>"str_"&amp;Table1[[#This Row],[VEHIDCODE]]</f>
        <v>str_electric_Chile_EFE_E_29</v>
      </c>
      <c r="G382">
        <v>2</v>
      </c>
      <c r="H382" t="s">
        <v>20</v>
      </c>
      <c r="I382">
        <v>0</v>
      </c>
      <c r="J382" t="s">
        <v>74</v>
      </c>
      <c r="K382">
        <v>0</v>
      </c>
      <c r="L382">
        <v>1949</v>
      </c>
      <c r="M382">
        <v>8</v>
      </c>
      <c r="N382" s="2" t="s">
        <v>20</v>
      </c>
      <c r="O382" t="b">
        <v>1</v>
      </c>
      <c r="Q382" s="2"/>
      <c r="R382">
        <v>45</v>
      </c>
      <c r="S382">
        <v>1</v>
      </c>
      <c r="T382">
        <v>4500</v>
      </c>
      <c r="U382" t="s">
        <v>709</v>
      </c>
      <c r="V382">
        <v>120</v>
      </c>
      <c r="W382" s="2">
        <v>0.2</v>
      </c>
      <c r="AJ382" t="b">
        <v>1</v>
      </c>
      <c r="AX382"/>
      <c r="BA382" s="2"/>
      <c r="BB382" s="2" t="b">
        <f>LEN(_xlfn.CONCAT(Table1[[#This Row],[TRACK_TYPE_STANDARD_GAUGE_RAILTYPE_OHLE]:[TRACK_TYPE_MTRO]]))&gt;0</f>
        <v>1</v>
      </c>
      <c r="BC382" s="7">
        <v>40</v>
      </c>
      <c r="BD382" t="s">
        <v>930</v>
      </c>
      <c r="BE382" t="s">
        <v>922</v>
      </c>
      <c r="BF382" t="s">
        <v>940</v>
      </c>
      <c r="BG3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2">
        <v>0</v>
      </c>
      <c r="BI382" t="s">
        <v>734</v>
      </c>
      <c r="BK382" s="11"/>
      <c r="BL382" s="11">
        <v>210</v>
      </c>
      <c r="BM382">
        <v>0</v>
      </c>
      <c r="BN382" t="s">
        <v>692</v>
      </c>
      <c r="BO382" t="s">
        <v>694</v>
      </c>
      <c r="BP382" t="s">
        <v>701</v>
      </c>
      <c r="BQ382" t="s">
        <v>705</v>
      </c>
      <c r="BR382" t="s">
        <v>706</v>
      </c>
      <c r="BS382" t="s">
        <v>707</v>
      </c>
    </row>
    <row r="383" spans="1:71" hidden="1" x14ac:dyDescent="0.4">
      <c r="A383" s="2" t="s">
        <v>409</v>
      </c>
      <c r="B383" t="str">
        <f>_xlfn.TEXTAFTER(Table1[[#This Row],[VEHIDCODE]],"_")</f>
        <v>Chile_EFE_E_17</v>
      </c>
      <c r="C383" t="s">
        <v>741</v>
      </c>
      <c r="D383" t="b">
        <f>OR(ISNUMBER(SEARCH("wagon_",Table1[[#This Row],[FILENAMES_EXPECTED]])),ISNUMBER(SEARCH("coach_",Table1[[#This Row],[FILENAMES_EXPECTED]])))</f>
        <v>0</v>
      </c>
      <c r="E383" t="str">
        <f>"item_"&amp;Table1[[#This Row],[VEHIDCODE]]</f>
        <v>item_electric_Chile_EFE_E_17</v>
      </c>
      <c r="F383" t="str">
        <f>"str_"&amp;Table1[[#This Row],[VEHIDCODE]]</f>
        <v>str_electric_Chile_EFE_E_17</v>
      </c>
      <c r="G383">
        <v>6</v>
      </c>
      <c r="H383" t="s">
        <v>20</v>
      </c>
      <c r="I383">
        <v>0</v>
      </c>
      <c r="J383" t="s">
        <v>74</v>
      </c>
      <c r="K383">
        <v>0</v>
      </c>
      <c r="L383">
        <v>1974</v>
      </c>
      <c r="M383">
        <v>6</v>
      </c>
      <c r="N383" s="2" t="s">
        <v>24</v>
      </c>
      <c r="O383" t="b">
        <v>1</v>
      </c>
      <c r="Q383" s="2"/>
      <c r="R383">
        <v>45</v>
      </c>
      <c r="S383">
        <v>1</v>
      </c>
      <c r="T383">
        <v>1640</v>
      </c>
      <c r="U383" t="s">
        <v>709</v>
      </c>
      <c r="V383">
        <v>90</v>
      </c>
      <c r="W383" s="2">
        <v>0.24</v>
      </c>
      <c r="AJ383" t="b">
        <v>1</v>
      </c>
      <c r="AX383"/>
      <c r="BA383" s="2"/>
      <c r="BB383" s="2" t="b">
        <f>LEN(_xlfn.CONCAT(Table1[[#This Row],[TRACK_TYPE_STANDARD_GAUGE_RAILTYPE_OHLE]:[TRACK_TYPE_MTRO]]))&gt;0</f>
        <v>1</v>
      </c>
      <c r="BC383" s="7">
        <v>40</v>
      </c>
      <c r="BD383" t="s">
        <v>930</v>
      </c>
      <c r="BE383" t="s">
        <v>922</v>
      </c>
      <c r="BF383" t="s">
        <v>940</v>
      </c>
      <c r="BG3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3">
        <v>0</v>
      </c>
      <c r="BI383" t="s">
        <v>734</v>
      </c>
      <c r="BK383" s="11"/>
      <c r="BL383" s="11">
        <v>79</v>
      </c>
      <c r="BM383">
        <v>0</v>
      </c>
      <c r="BN383" t="s">
        <v>692</v>
      </c>
      <c r="BO383" t="s">
        <v>694</v>
      </c>
      <c r="BP383" t="s">
        <v>701</v>
      </c>
      <c r="BQ383" t="s">
        <v>705</v>
      </c>
      <c r="BR383" t="s">
        <v>706</v>
      </c>
      <c r="BS383" t="s">
        <v>707</v>
      </c>
    </row>
    <row r="384" spans="1:71" hidden="1" x14ac:dyDescent="0.4">
      <c r="A384" s="2" t="s">
        <v>410</v>
      </c>
      <c r="B384" t="str">
        <f>_xlfn.TEXTAFTER(Table1[[#This Row],[VEHIDCODE]],"_")</f>
        <v>Morocco_ONCF_E_700</v>
      </c>
      <c r="C384" t="s">
        <v>741</v>
      </c>
      <c r="D384" t="b">
        <f>OR(ISNUMBER(SEARCH("wagon_",Table1[[#This Row],[FILENAMES_EXPECTED]])),ISNUMBER(SEARCH("coach_",Table1[[#This Row],[FILENAMES_EXPECTED]])))</f>
        <v>0</v>
      </c>
      <c r="E384" t="str">
        <f>"item_"&amp;Table1[[#This Row],[VEHIDCODE]]</f>
        <v>item_electric_Morocco_ONCF_E_700</v>
      </c>
      <c r="F384" t="str">
        <f>"str_"&amp;Table1[[#This Row],[VEHIDCODE]]</f>
        <v>str_electric_Morocco_ONCF_E_700</v>
      </c>
      <c r="G384">
        <v>6</v>
      </c>
      <c r="H384" t="s">
        <v>20</v>
      </c>
      <c r="I384">
        <v>0</v>
      </c>
      <c r="J384" t="s">
        <v>74</v>
      </c>
      <c r="K384">
        <v>0</v>
      </c>
      <c r="L384">
        <v>1948</v>
      </c>
      <c r="M384">
        <v>6</v>
      </c>
      <c r="N384" s="2" t="s">
        <v>20</v>
      </c>
      <c r="O384" t="b">
        <v>1</v>
      </c>
      <c r="Q384" s="2"/>
      <c r="R384">
        <v>45</v>
      </c>
      <c r="S384">
        <v>1</v>
      </c>
      <c r="T384">
        <v>1710</v>
      </c>
      <c r="U384" t="s">
        <v>709</v>
      </c>
      <c r="V384">
        <v>115</v>
      </c>
      <c r="W384" s="2">
        <v>0.17</v>
      </c>
      <c r="AA384" t="b">
        <v>1</v>
      </c>
      <c r="AX384"/>
      <c r="BA384" s="2"/>
      <c r="BB384" s="2" t="b">
        <f>LEN(_xlfn.CONCAT(Table1[[#This Row],[TRACK_TYPE_STANDARD_GAUGE_RAILTYPE_OHLE]:[TRACK_TYPE_MTRO]]))&gt;0</f>
        <v>1</v>
      </c>
      <c r="BC384" s="7">
        <v>40</v>
      </c>
      <c r="BD384" t="s">
        <v>926</v>
      </c>
      <c r="BE384" t="s">
        <v>922</v>
      </c>
      <c r="BF384" t="s">
        <v>940</v>
      </c>
      <c r="BG3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4">
        <v>0</v>
      </c>
      <c r="BI384" t="s">
        <v>734</v>
      </c>
      <c r="BK384" s="11"/>
      <c r="BL384" s="11">
        <v>92</v>
      </c>
      <c r="BM384">
        <v>0</v>
      </c>
      <c r="BN384" t="s">
        <v>692</v>
      </c>
      <c r="BO384" t="s">
        <v>694</v>
      </c>
      <c r="BP384" t="s">
        <v>701</v>
      </c>
      <c r="BQ384" t="s">
        <v>705</v>
      </c>
      <c r="BR384" t="s">
        <v>706</v>
      </c>
      <c r="BS384" t="s">
        <v>707</v>
      </c>
    </row>
    <row r="385" spans="1:71" hidden="1" x14ac:dyDescent="0.4">
      <c r="A385" s="2" t="s">
        <v>411</v>
      </c>
      <c r="B385" t="str">
        <f>_xlfn.TEXTAFTER(Table1[[#This Row],[VEHIDCODE]],"_")</f>
        <v>India_Indian_Railways_WCM_1</v>
      </c>
      <c r="C385" t="s">
        <v>741</v>
      </c>
      <c r="D385" t="b">
        <f>OR(ISNUMBER(SEARCH("wagon_",Table1[[#This Row],[FILENAMES_EXPECTED]])),ISNUMBER(SEARCH("coach_",Table1[[#This Row],[FILENAMES_EXPECTED]])))</f>
        <v>0</v>
      </c>
      <c r="E385" t="str">
        <f>"item_"&amp;Table1[[#This Row],[VEHIDCODE]]</f>
        <v>item_electric_India_Indian_Railways_WCM_1</v>
      </c>
      <c r="F385" t="str">
        <f>"str_"&amp;Table1[[#This Row],[VEHIDCODE]]</f>
        <v>str_electric_India_Indian_Railways_WCM_1</v>
      </c>
      <c r="G385">
        <v>8</v>
      </c>
      <c r="H385" t="s">
        <v>20</v>
      </c>
      <c r="I385">
        <v>0</v>
      </c>
      <c r="J385" t="s">
        <v>74</v>
      </c>
      <c r="K385">
        <v>0</v>
      </c>
      <c r="L385">
        <v>1958</v>
      </c>
      <c r="M385">
        <v>8</v>
      </c>
      <c r="N385" s="2" t="s">
        <v>20</v>
      </c>
      <c r="O385" t="b">
        <v>1</v>
      </c>
      <c r="Q385" s="2"/>
      <c r="R385">
        <v>45</v>
      </c>
      <c r="S385">
        <v>1</v>
      </c>
      <c r="T385">
        <v>3700</v>
      </c>
      <c r="U385" t="s">
        <v>709</v>
      </c>
      <c r="V385">
        <v>104</v>
      </c>
      <c r="W385" s="2">
        <v>0.25</v>
      </c>
      <c r="AT385" t="b">
        <v>1</v>
      </c>
      <c r="AX385"/>
      <c r="BA385" s="2"/>
      <c r="BB385" s="2" t="b">
        <f>LEN(_xlfn.CONCAT(Table1[[#This Row],[TRACK_TYPE_STANDARD_GAUGE_RAILTYPE_OHLE]:[TRACK_TYPE_MTRO]]))&gt;0</f>
        <v>1</v>
      </c>
      <c r="BC385" s="7">
        <v>40</v>
      </c>
      <c r="BD385" t="s">
        <v>931</v>
      </c>
      <c r="BE385" t="s">
        <v>922</v>
      </c>
      <c r="BF385" t="s">
        <v>940</v>
      </c>
      <c r="BG3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5">
        <v>-3</v>
      </c>
      <c r="BI385" t="s">
        <v>734</v>
      </c>
      <c r="BK385" s="11"/>
      <c r="BL385" s="11">
        <v>124</v>
      </c>
      <c r="BM385">
        <v>0</v>
      </c>
      <c r="BN385" t="s">
        <v>692</v>
      </c>
      <c r="BO385" t="s">
        <v>694</v>
      </c>
      <c r="BP385" t="s">
        <v>701</v>
      </c>
      <c r="BQ385" t="s">
        <v>705</v>
      </c>
      <c r="BR385" t="s">
        <v>706</v>
      </c>
      <c r="BS385" t="s">
        <v>707</v>
      </c>
    </row>
    <row r="386" spans="1:71" hidden="1" x14ac:dyDescent="0.4">
      <c r="A386" s="2" t="s">
        <v>412</v>
      </c>
      <c r="B386" t="str">
        <f>_xlfn.TEXTAFTER(Table1[[#This Row],[VEHIDCODE]],"_")</f>
        <v>South_Africa_SAR_E38</v>
      </c>
      <c r="C386" t="s">
        <v>741</v>
      </c>
      <c r="D386" t="b">
        <f>OR(ISNUMBER(SEARCH("wagon_",Table1[[#This Row],[FILENAMES_EXPECTED]])),ISNUMBER(SEARCH("coach_",Table1[[#This Row],[FILENAMES_EXPECTED]])))</f>
        <v>0</v>
      </c>
      <c r="E386" t="str">
        <f>"item_"&amp;Table1[[#This Row],[VEHIDCODE]]</f>
        <v>item_electric_South_Africa_SAR_E38</v>
      </c>
      <c r="F386" t="str">
        <f>"str_"&amp;Table1[[#This Row],[VEHIDCODE]]</f>
        <v>str_electric_South_Africa_SAR_E38</v>
      </c>
      <c r="G386">
        <v>6</v>
      </c>
      <c r="H386" t="s">
        <v>20</v>
      </c>
      <c r="I386">
        <v>0</v>
      </c>
      <c r="J386" t="s">
        <v>74</v>
      </c>
      <c r="K386">
        <v>0</v>
      </c>
      <c r="L386">
        <v>1992</v>
      </c>
      <c r="M386">
        <v>6</v>
      </c>
      <c r="N386" s="2" t="s">
        <v>24</v>
      </c>
      <c r="O386" t="b">
        <v>1</v>
      </c>
      <c r="Q386" s="2"/>
      <c r="R386">
        <v>45</v>
      </c>
      <c r="S386">
        <v>1</v>
      </c>
      <c r="T386">
        <v>2028</v>
      </c>
      <c r="U386" t="s">
        <v>709</v>
      </c>
      <c r="V386">
        <v>100</v>
      </c>
      <c r="W386" s="2">
        <v>0.24</v>
      </c>
      <c r="AJ386" t="b">
        <v>1</v>
      </c>
      <c r="AX386"/>
      <c r="BA386" s="2"/>
      <c r="BB386" s="2" t="b">
        <f>LEN(_xlfn.CONCAT(Table1[[#This Row],[TRACK_TYPE_STANDARD_GAUGE_RAILTYPE_OHLE]:[TRACK_TYPE_MTRO]]))&gt;0</f>
        <v>1</v>
      </c>
      <c r="BC386" s="7">
        <v>40</v>
      </c>
      <c r="BD386" t="s">
        <v>926</v>
      </c>
      <c r="BE386" t="s">
        <v>922</v>
      </c>
      <c r="BF386" t="s">
        <v>940</v>
      </c>
      <c r="BG3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6">
        <v>0</v>
      </c>
      <c r="BI386" t="s">
        <v>734</v>
      </c>
      <c r="BK386" s="11"/>
      <c r="BL386" s="11">
        <v>74</v>
      </c>
      <c r="BM386">
        <v>0</v>
      </c>
      <c r="BN386" t="s">
        <v>692</v>
      </c>
      <c r="BO386" t="s">
        <v>694</v>
      </c>
      <c r="BP386" t="s">
        <v>701</v>
      </c>
      <c r="BQ386" t="s">
        <v>705</v>
      </c>
      <c r="BR386" t="s">
        <v>706</v>
      </c>
      <c r="BS386" t="s">
        <v>707</v>
      </c>
    </row>
    <row r="387" spans="1:71" hidden="1" x14ac:dyDescent="0.4">
      <c r="A387" s="2" t="s">
        <v>413</v>
      </c>
      <c r="B387" t="str">
        <f>_xlfn.TEXTAFTER(Table1[[#This Row],[VEHIDCODE]],"_")</f>
        <v>Chile_EFE_E_269</v>
      </c>
      <c r="C387" t="s">
        <v>741</v>
      </c>
      <c r="D387" t="b">
        <f>OR(ISNUMBER(SEARCH("wagon_",Table1[[#This Row],[FILENAMES_EXPECTED]])),ISNUMBER(SEARCH("coach_",Table1[[#This Row],[FILENAMES_EXPECTED]])))</f>
        <v>0</v>
      </c>
      <c r="E387" t="str">
        <f>"item_"&amp;Table1[[#This Row],[VEHIDCODE]]</f>
        <v>item_electric_Chile_EFE_E_269</v>
      </c>
      <c r="F387" t="str">
        <f>"str_"&amp;Table1[[#This Row],[VEHIDCODE]]</f>
        <v>str_electric_Chile_EFE_E_269</v>
      </c>
      <c r="G387">
        <v>7</v>
      </c>
      <c r="H387" t="s">
        <v>20</v>
      </c>
      <c r="I387">
        <v>0</v>
      </c>
      <c r="J387" t="s">
        <v>74</v>
      </c>
      <c r="K387">
        <v>0</v>
      </c>
      <c r="L387">
        <v>1980</v>
      </c>
      <c r="M387">
        <v>7</v>
      </c>
      <c r="N387" s="2" t="s">
        <v>20</v>
      </c>
      <c r="O387" t="b">
        <v>1</v>
      </c>
      <c r="Q387" s="2"/>
      <c r="R387">
        <v>45</v>
      </c>
      <c r="S387">
        <v>1</v>
      </c>
      <c r="T387">
        <v>4340</v>
      </c>
      <c r="U387" t="s">
        <v>709</v>
      </c>
      <c r="V387">
        <v>160</v>
      </c>
      <c r="W387" s="2">
        <v>0.16</v>
      </c>
      <c r="AS387" t="b">
        <v>1</v>
      </c>
      <c r="AX387"/>
      <c r="BA387" s="2"/>
      <c r="BB387" s="2" t="b">
        <f>LEN(_xlfn.CONCAT(Table1[[#This Row],[TRACK_TYPE_STANDARD_GAUGE_RAILTYPE_OHLE]:[TRACK_TYPE_MTRO]]))&gt;0</f>
        <v>1</v>
      </c>
      <c r="BC387" s="7">
        <v>40</v>
      </c>
      <c r="BD387" t="s">
        <v>930</v>
      </c>
      <c r="BE387" t="s">
        <v>922</v>
      </c>
      <c r="BF387" t="s">
        <v>940</v>
      </c>
      <c r="BG3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7">
        <v>0</v>
      </c>
      <c r="BI387" t="s">
        <v>734</v>
      </c>
      <c r="BK387" s="11"/>
      <c r="BL387" s="11">
        <v>88</v>
      </c>
      <c r="BM387">
        <v>0</v>
      </c>
      <c r="BN387" t="s">
        <v>692</v>
      </c>
      <c r="BO387" t="s">
        <v>694</v>
      </c>
      <c r="BP387" t="s">
        <v>701</v>
      </c>
      <c r="BQ387" t="s">
        <v>705</v>
      </c>
      <c r="BR387" t="s">
        <v>706</v>
      </c>
      <c r="BS387" t="s">
        <v>707</v>
      </c>
    </row>
    <row r="388" spans="1:71" hidden="1" x14ac:dyDescent="0.4">
      <c r="A388" s="2" t="s">
        <v>414</v>
      </c>
      <c r="B388" t="str">
        <f>_xlfn.TEXTAFTER(Table1[[#This Row],[VEHIDCODE]],"_")</f>
        <v>Czech_Republic_CD_363</v>
      </c>
      <c r="C388" t="s">
        <v>741</v>
      </c>
      <c r="D388" t="b">
        <f>OR(ISNUMBER(SEARCH("wagon_",Table1[[#This Row],[FILENAMES_EXPECTED]])),ISNUMBER(SEARCH("coach_",Table1[[#This Row],[FILENAMES_EXPECTED]])))</f>
        <v>0</v>
      </c>
      <c r="E388" t="str">
        <f>"item_"&amp;Table1[[#This Row],[VEHIDCODE]]</f>
        <v>item_electric_Czech_Republic_CD_363</v>
      </c>
      <c r="F388" t="str">
        <f>"str_"&amp;Table1[[#This Row],[VEHIDCODE]]</f>
        <v>str_electric_Czech_Republic_CD_363</v>
      </c>
      <c r="G388">
        <v>7</v>
      </c>
      <c r="H388" t="s">
        <v>20</v>
      </c>
      <c r="I388">
        <v>0</v>
      </c>
      <c r="J388" t="s">
        <v>74</v>
      </c>
      <c r="K388">
        <v>0</v>
      </c>
      <c r="L388">
        <v>1980</v>
      </c>
      <c r="M388">
        <v>7</v>
      </c>
      <c r="N388" s="2" t="s">
        <v>20</v>
      </c>
      <c r="O388" t="b">
        <v>1</v>
      </c>
      <c r="Q388" s="2"/>
      <c r="R388">
        <v>45</v>
      </c>
      <c r="S388">
        <v>1</v>
      </c>
      <c r="T388">
        <v>4667</v>
      </c>
      <c r="U388" t="s">
        <v>709</v>
      </c>
      <c r="V388">
        <v>120</v>
      </c>
      <c r="W388" s="2">
        <v>0.3</v>
      </c>
      <c r="AA388" t="b">
        <v>1</v>
      </c>
      <c r="AX388"/>
      <c r="BA388" s="2"/>
      <c r="BB388" s="2" t="b">
        <f>LEN(_xlfn.CONCAT(Table1[[#This Row],[TRACK_TYPE_STANDARD_GAUGE_RAILTYPE_OHLE]:[TRACK_TYPE_MTRO]]))&gt;0</f>
        <v>1</v>
      </c>
      <c r="BC388" s="7">
        <v>40</v>
      </c>
      <c r="BD388" t="s">
        <v>929</v>
      </c>
      <c r="BE388" t="s">
        <v>922</v>
      </c>
      <c r="BF388" t="s">
        <v>940</v>
      </c>
      <c r="BG3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8">
        <v>0</v>
      </c>
      <c r="BI388" t="s">
        <v>734</v>
      </c>
      <c r="BK388" s="11"/>
      <c r="BL388" s="11">
        <v>87</v>
      </c>
      <c r="BM388">
        <v>0</v>
      </c>
      <c r="BN388" t="s">
        <v>692</v>
      </c>
      <c r="BO388" t="s">
        <v>694</v>
      </c>
      <c r="BP388" t="s">
        <v>701</v>
      </c>
      <c r="BQ388" t="s">
        <v>705</v>
      </c>
      <c r="BR388" t="s">
        <v>706</v>
      </c>
      <c r="BS388" t="s">
        <v>707</v>
      </c>
    </row>
    <row r="389" spans="1:71" hidden="1" x14ac:dyDescent="0.4">
      <c r="A389" s="2" t="s">
        <v>415</v>
      </c>
      <c r="B389" t="str">
        <f>_xlfn.TEXTAFTER(Table1[[#This Row],[VEHIDCODE]],"_")</f>
        <v>Norway_NSB_EL7</v>
      </c>
      <c r="C389" t="s">
        <v>741</v>
      </c>
      <c r="D389" t="b">
        <f>OR(ISNUMBER(SEARCH("wagon_",Table1[[#This Row],[FILENAMES_EXPECTED]])),ISNUMBER(SEARCH("coach_",Table1[[#This Row],[FILENAMES_EXPECTED]])))</f>
        <v>0</v>
      </c>
      <c r="E389" t="str">
        <f>"item_"&amp;Table1[[#This Row],[VEHIDCODE]]</f>
        <v>item_electric_Norway_NSB_EL7</v>
      </c>
      <c r="F389" t="str">
        <f>"str_"&amp;Table1[[#This Row],[VEHIDCODE]]</f>
        <v>str_electric_Norway_NSB_EL7</v>
      </c>
      <c r="G389">
        <v>6</v>
      </c>
      <c r="H389" t="s">
        <v>20</v>
      </c>
      <c r="I389">
        <v>0</v>
      </c>
      <c r="J389" t="s">
        <v>74</v>
      </c>
      <c r="K389">
        <v>0</v>
      </c>
      <c r="L389">
        <v>1911</v>
      </c>
      <c r="M389">
        <v>6</v>
      </c>
      <c r="N389" s="2" t="s">
        <v>20</v>
      </c>
      <c r="O389" t="b">
        <v>1</v>
      </c>
      <c r="Q389" s="2"/>
      <c r="R389">
        <v>45</v>
      </c>
      <c r="S389">
        <v>0</v>
      </c>
      <c r="T389">
        <v>490</v>
      </c>
      <c r="U389" t="s">
        <v>709</v>
      </c>
      <c r="V389">
        <v>45</v>
      </c>
      <c r="W389" s="2">
        <v>0.22</v>
      </c>
      <c r="Z389" t="b">
        <v>1</v>
      </c>
      <c r="AX389"/>
      <c r="BA389" s="2"/>
      <c r="BB389" s="2" t="b">
        <f>LEN(_xlfn.CONCAT(Table1[[#This Row],[TRACK_TYPE_STANDARD_GAUGE_RAILTYPE_OHLE]:[TRACK_TYPE_MTRO]]))&gt;0</f>
        <v>1</v>
      </c>
      <c r="BC389" s="7">
        <v>40</v>
      </c>
      <c r="BD389" t="s">
        <v>927</v>
      </c>
      <c r="BE389" t="s">
        <v>922</v>
      </c>
      <c r="BF389" t="s">
        <v>940</v>
      </c>
      <c r="BG3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9">
        <v>-3</v>
      </c>
      <c r="BI389" t="s">
        <v>734</v>
      </c>
      <c r="BK389" s="11"/>
      <c r="BL389" s="11">
        <v>48</v>
      </c>
      <c r="BM389">
        <v>0</v>
      </c>
      <c r="BN389" t="s">
        <v>692</v>
      </c>
      <c r="BO389" t="s">
        <v>694</v>
      </c>
      <c r="BP389" t="s">
        <v>701</v>
      </c>
      <c r="BQ389" t="s">
        <v>705</v>
      </c>
      <c r="BR389" t="s">
        <v>706</v>
      </c>
      <c r="BS389" t="s">
        <v>707</v>
      </c>
    </row>
    <row r="390" spans="1:71" hidden="1" x14ac:dyDescent="0.4">
      <c r="A390" s="2" t="s">
        <v>416</v>
      </c>
      <c r="B390" t="str">
        <f>_xlfn.TEXTAFTER(Table1[[#This Row],[VEHIDCODE]],"_")</f>
        <v>USA_Pennsylvania_Railroad_FF_1</v>
      </c>
      <c r="C390" t="s">
        <v>741</v>
      </c>
      <c r="D390" t="b">
        <f>OR(ISNUMBER(SEARCH("wagon_",Table1[[#This Row],[FILENAMES_EXPECTED]])),ISNUMBER(SEARCH("coach_",Table1[[#This Row],[FILENAMES_EXPECTED]])))</f>
        <v>0</v>
      </c>
      <c r="E390" t="str">
        <f>"item_"&amp;Table1[[#This Row],[VEHIDCODE]]</f>
        <v>item_electric_USA_Pennsylvania_Railroad_FF_1</v>
      </c>
      <c r="F390" t="str">
        <f>"str_"&amp;Table1[[#This Row],[VEHIDCODE]]</f>
        <v>str_electric_USA_Pennsylvania_Railroad_FF_1</v>
      </c>
      <c r="G390">
        <v>4</v>
      </c>
      <c r="H390" t="s">
        <v>20</v>
      </c>
      <c r="I390">
        <v>0</v>
      </c>
      <c r="J390" t="s">
        <v>74</v>
      </c>
      <c r="K390">
        <v>0</v>
      </c>
      <c r="L390">
        <v>1916</v>
      </c>
      <c r="M390">
        <v>8</v>
      </c>
      <c r="N390" s="2" t="s">
        <v>20</v>
      </c>
      <c r="O390" t="b">
        <v>1</v>
      </c>
      <c r="Q390" s="2"/>
      <c r="R390">
        <v>45</v>
      </c>
      <c r="S390">
        <v>1</v>
      </c>
      <c r="T390">
        <v>4800</v>
      </c>
      <c r="U390" t="s">
        <v>709</v>
      </c>
      <c r="V390">
        <v>40</v>
      </c>
      <c r="W390" s="2">
        <v>0.17</v>
      </c>
      <c r="Z390" t="b">
        <v>1</v>
      </c>
      <c r="AX390"/>
      <c r="BA390" s="2"/>
      <c r="BB390" s="2" t="b">
        <f>LEN(_xlfn.CONCAT(Table1[[#This Row],[TRACK_TYPE_STANDARD_GAUGE_RAILTYPE_OHLE]:[TRACK_TYPE_MTRO]]))&gt;0</f>
        <v>1</v>
      </c>
      <c r="BC390" s="7">
        <v>40</v>
      </c>
      <c r="BD390" t="s">
        <v>928</v>
      </c>
      <c r="BE390" t="s">
        <v>922</v>
      </c>
      <c r="BF390" t="s">
        <v>940</v>
      </c>
      <c r="BG3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0">
        <v>0</v>
      </c>
      <c r="BI390" t="s">
        <v>734</v>
      </c>
      <c r="BK390" s="11"/>
      <c r="BL390" s="11">
        <v>234</v>
      </c>
      <c r="BM390">
        <v>0</v>
      </c>
      <c r="BN390" t="s">
        <v>692</v>
      </c>
      <c r="BO390" t="s">
        <v>694</v>
      </c>
      <c r="BP390" t="s">
        <v>701</v>
      </c>
      <c r="BQ390" t="s">
        <v>705</v>
      </c>
      <c r="BR390" t="s">
        <v>706</v>
      </c>
      <c r="BS390" t="s">
        <v>707</v>
      </c>
    </row>
    <row r="391" spans="1:71" hidden="1" x14ac:dyDescent="0.4">
      <c r="A391" s="2" t="s">
        <v>417</v>
      </c>
      <c r="B391" t="str">
        <f>_xlfn.TEXTAFTER(Table1[[#This Row],[VEHIDCODE]],"_")</f>
        <v>Austria_OBB_1161</v>
      </c>
      <c r="C391" t="s">
        <v>741</v>
      </c>
      <c r="D391" t="b">
        <f>OR(ISNUMBER(SEARCH("wagon_",Table1[[#This Row],[FILENAMES_EXPECTED]])),ISNUMBER(SEARCH("coach_",Table1[[#This Row],[FILENAMES_EXPECTED]])))</f>
        <v>0</v>
      </c>
      <c r="E391" t="str">
        <f>"item_"&amp;Table1[[#This Row],[VEHIDCODE]]</f>
        <v>item_electric_Austria_OBB_1161</v>
      </c>
      <c r="F391" t="str">
        <f>"str_"&amp;Table1[[#This Row],[VEHIDCODE]]</f>
        <v>str_electric_Austria_OBB_1161</v>
      </c>
      <c r="G391">
        <v>5</v>
      </c>
      <c r="H391" t="s">
        <v>20</v>
      </c>
      <c r="I391">
        <v>0</v>
      </c>
      <c r="J391" t="s">
        <v>74</v>
      </c>
      <c r="K391">
        <v>0</v>
      </c>
      <c r="L391">
        <v>1928</v>
      </c>
      <c r="M391">
        <v>5</v>
      </c>
      <c r="N391" s="2" t="s">
        <v>20</v>
      </c>
      <c r="O391" t="b">
        <v>1</v>
      </c>
      <c r="Q391" s="2"/>
      <c r="R391">
        <v>45</v>
      </c>
      <c r="S391">
        <v>1</v>
      </c>
      <c r="T391">
        <v>1000</v>
      </c>
      <c r="U391" t="s">
        <v>709</v>
      </c>
      <c r="V391">
        <v>40</v>
      </c>
      <c r="W391" s="2">
        <v>0.25</v>
      </c>
      <c r="Z391" t="b">
        <v>1</v>
      </c>
      <c r="AX391"/>
      <c r="BA391" s="2"/>
      <c r="BB391" s="2" t="b">
        <f>LEN(_xlfn.CONCAT(Table1[[#This Row],[TRACK_TYPE_STANDARD_GAUGE_RAILTYPE_OHLE]:[TRACK_TYPE_MTRO]]))&gt;0</f>
        <v>1</v>
      </c>
      <c r="BC391" s="7">
        <v>40</v>
      </c>
      <c r="BD391" t="s">
        <v>923</v>
      </c>
      <c r="BE391" t="s">
        <v>922</v>
      </c>
      <c r="BF391" t="s">
        <v>940</v>
      </c>
      <c r="BG3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1">
        <v>-3</v>
      </c>
      <c r="BI391" t="s">
        <v>734</v>
      </c>
      <c r="BK391" s="11"/>
      <c r="BL391" s="11">
        <v>55</v>
      </c>
      <c r="BM391">
        <v>0</v>
      </c>
      <c r="BN391" t="s">
        <v>692</v>
      </c>
      <c r="BO391" t="s">
        <v>694</v>
      </c>
      <c r="BP391" t="s">
        <v>701</v>
      </c>
      <c r="BQ391" t="s">
        <v>705</v>
      </c>
      <c r="BR391" t="s">
        <v>706</v>
      </c>
      <c r="BS391" t="s">
        <v>707</v>
      </c>
    </row>
    <row r="392" spans="1:71" hidden="1" x14ac:dyDescent="0.4">
      <c r="A392" s="2" t="s">
        <v>418</v>
      </c>
      <c r="B392" t="str">
        <f>_xlfn.TEXTAFTER(Table1[[#This Row],[VEHIDCODE]],"_")</f>
        <v>Germany_DB_169</v>
      </c>
      <c r="C392" t="s">
        <v>741</v>
      </c>
      <c r="D392" t="b">
        <f>OR(ISNUMBER(SEARCH("wagon_",Table1[[#This Row],[FILENAMES_EXPECTED]])),ISNUMBER(SEARCH("coach_",Table1[[#This Row],[FILENAMES_EXPECTED]])))</f>
        <v>0</v>
      </c>
      <c r="E392" t="str">
        <f>"item_"&amp;Table1[[#This Row],[VEHIDCODE]]</f>
        <v>item_electric_Germany_DB_169</v>
      </c>
      <c r="F392" t="str">
        <f>"str_"&amp;Table1[[#This Row],[VEHIDCODE]]</f>
        <v>str_electric_Germany_DB_169</v>
      </c>
      <c r="G392">
        <v>6</v>
      </c>
      <c r="H392" t="s">
        <v>20</v>
      </c>
      <c r="I392">
        <v>0</v>
      </c>
      <c r="J392" t="s">
        <v>74</v>
      </c>
      <c r="K392">
        <v>0</v>
      </c>
      <c r="L392">
        <v>1930</v>
      </c>
      <c r="M392">
        <v>6</v>
      </c>
      <c r="N392" s="2" t="s">
        <v>20</v>
      </c>
      <c r="O392" t="b">
        <v>1</v>
      </c>
      <c r="Q392" s="2"/>
      <c r="R392">
        <v>45</v>
      </c>
      <c r="S392">
        <v>1</v>
      </c>
      <c r="T392">
        <v>810</v>
      </c>
      <c r="U392" t="s">
        <v>709</v>
      </c>
      <c r="V392">
        <v>50</v>
      </c>
      <c r="W392" s="2">
        <v>0.28999999999999998</v>
      </c>
      <c r="Z392" t="b">
        <v>1</v>
      </c>
      <c r="AX392"/>
      <c r="BA392" s="2"/>
      <c r="BB392" s="2" t="b">
        <f>LEN(_xlfn.CONCAT(Table1[[#This Row],[TRACK_TYPE_STANDARD_GAUGE_RAILTYPE_OHLE]:[TRACK_TYPE_MTRO]]))&gt;0</f>
        <v>1</v>
      </c>
      <c r="BC392" s="7">
        <v>40</v>
      </c>
      <c r="BD392" t="s">
        <v>923</v>
      </c>
      <c r="BE392" t="s">
        <v>922</v>
      </c>
      <c r="BF392" t="s">
        <v>940</v>
      </c>
      <c r="BG3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2">
        <v>-3</v>
      </c>
      <c r="BI392" t="s">
        <v>734</v>
      </c>
      <c r="BK392" s="11"/>
      <c r="BL392" s="11">
        <v>32</v>
      </c>
      <c r="BM392">
        <v>0</v>
      </c>
      <c r="BN392" t="s">
        <v>692</v>
      </c>
      <c r="BO392" t="s">
        <v>694</v>
      </c>
      <c r="BP392" t="s">
        <v>701</v>
      </c>
      <c r="BQ392" t="s">
        <v>705</v>
      </c>
      <c r="BR392" t="s">
        <v>706</v>
      </c>
      <c r="BS392" t="s">
        <v>707</v>
      </c>
    </row>
    <row r="393" spans="1:71" hidden="1" x14ac:dyDescent="0.4">
      <c r="A393" s="2" t="s">
        <v>419</v>
      </c>
      <c r="B393" t="str">
        <f>_xlfn.TEXTAFTER(Table1[[#This Row],[VEHIDCODE]],"_")</f>
        <v>Norway_NSB_EL10</v>
      </c>
      <c r="C393" t="s">
        <v>741</v>
      </c>
      <c r="D393" t="b">
        <f>OR(ISNUMBER(SEARCH("wagon_",Table1[[#This Row],[FILENAMES_EXPECTED]])),ISNUMBER(SEARCH("coach_",Table1[[#This Row],[FILENAMES_EXPECTED]])))</f>
        <v>0</v>
      </c>
      <c r="E393" t="str">
        <f>"item_"&amp;Table1[[#This Row],[VEHIDCODE]]</f>
        <v>item_electric_Norway_NSB_EL10</v>
      </c>
      <c r="F393" t="str">
        <f>"str_"&amp;Table1[[#This Row],[VEHIDCODE]]</f>
        <v>str_electric_Norway_NSB_EL10</v>
      </c>
      <c r="G393">
        <v>6</v>
      </c>
      <c r="H393" t="s">
        <v>20</v>
      </c>
      <c r="I393">
        <v>0</v>
      </c>
      <c r="J393" t="s">
        <v>74</v>
      </c>
      <c r="K393">
        <v>0</v>
      </c>
      <c r="L393">
        <v>1931</v>
      </c>
      <c r="M393">
        <v>6</v>
      </c>
      <c r="N393" s="2" t="s">
        <v>20</v>
      </c>
      <c r="O393" t="b">
        <v>1</v>
      </c>
      <c r="Q393" s="2"/>
      <c r="R393">
        <v>45</v>
      </c>
      <c r="S393">
        <v>0</v>
      </c>
      <c r="T393">
        <v>690</v>
      </c>
      <c r="U393" t="s">
        <v>709</v>
      </c>
      <c r="V393">
        <v>45</v>
      </c>
      <c r="W393" s="2">
        <v>0.3</v>
      </c>
      <c r="Z393" t="b">
        <v>1</v>
      </c>
      <c r="AX393"/>
      <c r="BA393" s="2"/>
      <c r="BB393" s="2" t="b">
        <f>LEN(_xlfn.CONCAT(Table1[[#This Row],[TRACK_TYPE_STANDARD_GAUGE_RAILTYPE_OHLE]:[TRACK_TYPE_MTRO]]))&gt;0</f>
        <v>1</v>
      </c>
      <c r="BC393" s="7">
        <v>40</v>
      </c>
      <c r="BD393" t="s">
        <v>927</v>
      </c>
      <c r="BE393" t="s">
        <v>922</v>
      </c>
      <c r="BF393" t="s">
        <v>940</v>
      </c>
      <c r="BG3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3">
        <v>-3</v>
      </c>
      <c r="BI393" t="s">
        <v>734</v>
      </c>
      <c r="BK393" s="11"/>
      <c r="BL393" s="11">
        <v>47</v>
      </c>
      <c r="BM393">
        <v>0</v>
      </c>
      <c r="BN393" t="s">
        <v>692</v>
      </c>
      <c r="BO393" t="s">
        <v>694</v>
      </c>
      <c r="BP393" t="s">
        <v>701</v>
      </c>
      <c r="BQ393" t="s">
        <v>705</v>
      </c>
      <c r="BR393" t="s">
        <v>706</v>
      </c>
      <c r="BS393" t="s">
        <v>707</v>
      </c>
    </row>
    <row r="394" spans="1:71" hidden="1" x14ac:dyDescent="0.4">
      <c r="A394" s="2" t="s">
        <v>420</v>
      </c>
      <c r="B394" t="str">
        <f>_xlfn.TEXTAFTER(Table1[[#This Row],[VEHIDCODE]],"_")</f>
        <v>Germany_DB_104</v>
      </c>
      <c r="C394" t="s">
        <v>741</v>
      </c>
      <c r="D394" t="b">
        <f>OR(ISNUMBER(SEARCH("wagon_",Table1[[#This Row],[FILENAMES_EXPECTED]])),ISNUMBER(SEARCH("coach_",Table1[[#This Row],[FILENAMES_EXPECTED]])))</f>
        <v>0</v>
      </c>
      <c r="E394" t="str">
        <f>"item_"&amp;Table1[[#This Row],[VEHIDCODE]]</f>
        <v>item_electric_Germany_DB_104</v>
      </c>
      <c r="F394" t="str">
        <f>"str_"&amp;Table1[[#This Row],[VEHIDCODE]]</f>
        <v>str_electric_Germany_DB_104</v>
      </c>
      <c r="G394">
        <v>8</v>
      </c>
      <c r="H394" t="s">
        <v>20</v>
      </c>
      <c r="I394">
        <v>0</v>
      </c>
      <c r="J394" t="s">
        <v>74</v>
      </c>
      <c r="K394">
        <v>0</v>
      </c>
      <c r="L394">
        <v>1933</v>
      </c>
      <c r="M394">
        <v>8</v>
      </c>
      <c r="N394" s="2" t="s">
        <v>20</v>
      </c>
      <c r="O394" t="b">
        <v>1</v>
      </c>
      <c r="Q394" s="2"/>
      <c r="R394">
        <v>45</v>
      </c>
      <c r="S394">
        <v>1</v>
      </c>
      <c r="T394">
        <v>2935</v>
      </c>
      <c r="U394" t="s">
        <v>709</v>
      </c>
      <c r="V394">
        <v>110</v>
      </c>
      <c r="W394" s="2">
        <v>0.3</v>
      </c>
      <c r="Z394" t="b">
        <v>1</v>
      </c>
      <c r="AX394"/>
      <c r="BA394" s="2"/>
      <c r="BB394" s="2" t="b">
        <f>LEN(_xlfn.CONCAT(Table1[[#This Row],[TRACK_TYPE_STANDARD_GAUGE_RAILTYPE_OHLE]:[TRACK_TYPE_MTRO]]))&gt;0</f>
        <v>1</v>
      </c>
      <c r="BC394" s="7">
        <v>40</v>
      </c>
      <c r="BD394" t="s">
        <v>923</v>
      </c>
      <c r="BE394" t="s">
        <v>922</v>
      </c>
      <c r="BF394" t="s">
        <v>940</v>
      </c>
      <c r="BG3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4">
        <v>-3</v>
      </c>
      <c r="BI394" t="s">
        <v>734</v>
      </c>
      <c r="BK394" s="11"/>
      <c r="BL394" s="11">
        <v>92</v>
      </c>
      <c r="BM394">
        <v>0</v>
      </c>
      <c r="BN394" t="s">
        <v>692</v>
      </c>
      <c r="BO394" t="s">
        <v>694</v>
      </c>
      <c r="BP394" t="s">
        <v>701</v>
      </c>
      <c r="BQ394" t="s">
        <v>705</v>
      </c>
      <c r="BR394" t="s">
        <v>706</v>
      </c>
      <c r="BS394" t="s">
        <v>707</v>
      </c>
    </row>
    <row r="395" spans="1:71" hidden="1" x14ac:dyDescent="0.4">
      <c r="A395" s="2" t="s">
        <v>421</v>
      </c>
      <c r="B395" t="str">
        <f>_xlfn.TEXTAFTER(Table1[[#This Row],[VEHIDCODE]],"_")</f>
        <v>USA_Pennsylvania_Railroad_GG_1</v>
      </c>
      <c r="C395" t="s">
        <v>741</v>
      </c>
      <c r="D395" t="b">
        <f>OR(ISNUMBER(SEARCH("wagon_",Table1[[#This Row],[FILENAMES_EXPECTED]])),ISNUMBER(SEARCH("coach_",Table1[[#This Row],[FILENAMES_EXPECTED]])))</f>
        <v>0</v>
      </c>
      <c r="E395" t="str">
        <f>"item_"&amp;Table1[[#This Row],[VEHIDCODE]]</f>
        <v>item_electric_USA_Pennsylvania_Railroad_GG_1</v>
      </c>
      <c r="F395" t="str">
        <f>"str_"&amp;Table1[[#This Row],[VEHIDCODE]]</f>
        <v>str_electric_USA_Pennsylvania_Railroad_GG_1</v>
      </c>
      <c r="G395">
        <v>4</v>
      </c>
      <c r="H395" t="s">
        <v>20</v>
      </c>
      <c r="I395">
        <v>0</v>
      </c>
      <c r="J395" t="s">
        <v>74</v>
      </c>
      <c r="K395">
        <v>0</v>
      </c>
      <c r="L395">
        <v>1935</v>
      </c>
      <c r="M395">
        <v>8</v>
      </c>
      <c r="N395" s="2" t="s">
        <v>20</v>
      </c>
      <c r="O395" t="b">
        <v>1</v>
      </c>
      <c r="Q395" s="2"/>
      <c r="R395">
        <v>45</v>
      </c>
      <c r="S395">
        <v>1</v>
      </c>
      <c r="T395">
        <v>4620</v>
      </c>
      <c r="U395" t="s">
        <v>709</v>
      </c>
      <c r="V395">
        <v>160</v>
      </c>
      <c r="W395" s="2">
        <v>0.15</v>
      </c>
      <c r="Z395" t="b">
        <v>1</v>
      </c>
      <c r="AX395"/>
      <c r="BA395" s="2"/>
      <c r="BB395" s="2" t="b">
        <f>LEN(_xlfn.CONCAT(Table1[[#This Row],[TRACK_TYPE_STANDARD_GAUGE_RAILTYPE_OHLE]:[TRACK_TYPE_MTRO]]))&gt;0</f>
        <v>1</v>
      </c>
      <c r="BC395" s="7">
        <v>40</v>
      </c>
      <c r="BD395" t="s">
        <v>928</v>
      </c>
      <c r="BE395" t="s">
        <v>922</v>
      </c>
      <c r="BF395" t="s">
        <v>940</v>
      </c>
      <c r="BG3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5">
        <v>0</v>
      </c>
      <c r="BI395" t="s">
        <v>734</v>
      </c>
      <c r="BK395" s="11"/>
      <c r="BL395" s="11">
        <v>215</v>
      </c>
      <c r="BM395">
        <v>0</v>
      </c>
      <c r="BN395" t="s">
        <v>692</v>
      </c>
      <c r="BO395" t="s">
        <v>694</v>
      </c>
      <c r="BP395" t="s">
        <v>701</v>
      </c>
      <c r="BQ395" t="s">
        <v>705</v>
      </c>
      <c r="BR395" t="s">
        <v>706</v>
      </c>
      <c r="BS395" t="s">
        <v>707</v>
      </c>
    </row>
    <row r="396" spans="1:71" hidden="1" x14ac:dyDescent="0.4">
      <c r="A396" s="2" t="s">
        <v>422</v>
      </c>
      <c r="B396" t="str">
        <f>_xlfn.TEXTAFTER(Table1[[#This Row],[VEHIDCODE]],"_")</f>
        <v>Austria_OBB_1020_Crocodile</v>
      </c>
      <c r="C396" t="s">
        <v>741</v>
      </c>
      <c r="D396" t="b">
        <f>OR(ISNUMBER(SEARCH("wagon_",Table1[[#This Row],[FILENAMES_EXPECTED]])),ISNUMBER(SEARCH("coach_",Table1[[#This Row],[FILENAMES_EXPECTED]])))</f>
        <v>0</v>
      </c>
      <c r="E396" t="str">
        <f>"item_"&amp;Table1[[#This Row],[VEHIDCODE]]</f>
        <v>item_electric_Austria_OBB_1020_Crocodile</v>
      </c>
      <c r="F396" t="str">
        <f>"str_"&amp;Table1[[#This Row],[VEHIDCODE]]</f>
        <v>str_electric_Austria_OBB_1020_Crocodile</v>
      </c>
      <c r="G396">
        <v>8</v>
      </c>
      <c r="H396" t="s">
        <v>20</v>
      </c>
      <c r="I396">
        <v>0</v>
      </c>
      <c r="J396" t="s">
        <v>74</v>
      </c>
      <c r="K396">
        <v>0</v>
      </c>
      <c r="L396">
        <v>1940</v>
      </c>
      <c r="M396">
        <v>8</v>
      </c>
      <c r="N396" s="2" t="s">
        <v>20</v>
      </c>
      <c r="O396" t="b">
        <v>1</v>
      </c>
      <c r="Q396" s="2"/>
      <c r="R396">
        <v>45</v>
      </c>
      <c r="S396">
        <v>1</v>
      </c>
      <c r="T396">
        <v>4400</v>
      </c>
      <c r="U396" t="s">
        <v>709</v>
      </c>
      <c r="V396">
        <v>100</v>
      </c>
      <c r="W396" s="2">
        <v>0.31</v>
      </c>
      <c r="Z396" t="b">
        <v>1</v>
      </c>
      <c r="AX396"/>
      <c r="BA396" s="2"/>
      <c r="BB396" s="2" t="b">
        <f>LEN(_xlfn.CONCAT(Table1[[#This Row],[TRACK_TYPE_STANDARD_GAUGE_RAILTYPE_OHLE]:[TRACK_TYPE_MTRO]]))&gt;0</f>
        <v>1</v>
      </c>
      <c r="BC396" s="7">
        <v>40</v>
      </c>
      <c r="BD396" t="s">
        <v>923</v>
      </c>
      <c r="BE396" t="s">
        <v>922</v>
      </c>
      <c r="BF396" t="s">
        <v>940</v>
      </c>
      <c r="BG3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6">
        <v>-3</v>
      </c>
      <c r="BI396" t="s">
        <v>734</v>
      </c>
      <c r="BK396" s="11"/>
      <c r="BL396" s="11">
        <v>118</v>
      </c>
      <c r="BM396">
        <v>0</v>
      </c>
      <c r="BN396" t="s">
        <v>692</v>
      </c>
      <c r="BO396" t="s">
        <v>694</v>
      </c>
      <c r="BP396" t="s">
        <v>701</v>
      </c>
      <c r="BQ396" t="s">
        <v>705</v>
      </c>
      <c r="BR396" t="s">
        <v>706</v>
      </c>
      <c r="BS396" t="s">
        <v>707</v>
      </c>
    </row>
    <row r="397" spans="1:71" hidden="1" x14ac:dyDescent="0.4">
      <c r="A397" s="2" t="s">
        <v>423</v>
      </c>
      <c r="B397" t="str">
        <f>_xlfn.TEXTAFTER(Table1[[#This Row],[VEHIDCODE]],"_")</f>
        <v>Germany_DB_1031</v>
      </c>
      <c r="C397" t="s">
        <v>741</v>
      </c>
      <c r="D397" t="b">
        <f>OR(ISNUMBER(SEARCH("wagon_",Table1[[#This Row],[FILENAMES_EXPECTED]])),ISNUMBER(SEARCH("coach_",Table1[[#This Row],[FILENAMES_EXPECTED]])))</f>
        <v>0</v>
      </c>
      <c r="E397" t="str">
        <f>"item_"&amp;Table1[[#This Row],[VEHIDCODE]]</f>
        <v>item_electric_Germany_DB_1031</v>
      </c>
      <c r="F397" t="str">
        <f>"str_"&amp;Table1[[#This Row],[VEHIDCODE]]</f>
        <v>str_electric_Germany_DB_1031</v>
      </c>
      <c r="G397">
        <v>8</v>
      </c>
      <c r="H397" t="s">
        <v>20</v>
      </c>
      <c r="I397">
        <v>0</v>
      </c>
      <c r="J397" t="s">
        <v>74</v>
      </c>
      <c r="K397">
        <v>0</v>
      </c>
      <c r="L397">
        <v>1970</v>
      </c>
      <c r="M397">
        <v>8</v>
      </c>
      <c r="N397" s="2" t="s">
        <v>20</v>
      </c>
      <c r="O397" t="b">
        <v>1</v>
      </c>
      <c r="Q397" s="2"/>
      <c r="R397">
        <v>45</v>
      </c>
      <c r="S397">
        <v>1</v>
      </c>
      <c r="T397">
        <v>9980</v>
      </c>
      <c r="U397" t="s">
        <v>709</v>
      </c>
      <c r="V397">
        <v>200</v>
      </c>
      <c r="W397" s="2">
        <v>0.27</v>
      </c>
      <c r="Z397" t="b">
        <v>1</v>
      </c>
      <c r="AX397"/>
      <c r="BA397" s="2"/>
      <c r="BB397" s="2" t="b">
        <f>LEN(_xlfn.CONCAT(Table1[[#This Row],[TRACK_TYPE_STANDARD_GAUGE_RAILTYPE_OHLE]:[TRACK_TYPE_MTRO]]))&gt;0</f>
        <v>1</v>
      </c>
      <c r="BC397" s="7">
        <v>40</v>
      </c>
      <c r="BD397" t="s">
        <v>923</v>
      </c>
      <c r="BE397" t="s">
        <v>922</v>
      </c>
      <c r="BF397" t="s">
        <v>940</v>
      </c>
      <c r="BG3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7">
        <v>-3</v>
      </c>
      <c r="BI397" t="s">
        <v>734</v>
      </c>
      <c r="BK397" s="11"/>
      <c r="BL397" s="11">
        <v>114</v>
      </c>
      <c r="BM397">
        <v>0</v>
      </c>
      <c r="BN397" t="s">
        <v>692</v>
      </c>
      <c r="BO397" t="s">
        <v>694</v>
      </c>
      <c r="BP397" t="s">
        <v>701</v>
      </c>
      <c r="BQ397" t="s">
        <v>705</v>
      </c>
      <c r="BR397" t="s">
        <v>706</v>
      </c>
      <c r="BS397" t="s">
        <v>707</v>
      </c>
    </row>
    <row r="398" spans="1:71" hidden="1" x14ac:dyDescent="0.4">
      <c r="A398" s="2" t="s">
        <v>424</v>
      </c>
      <c r="B398" t="str">
        <f>_xlfn.TEXTAFTER(Table1[[#This Row],[VEHIDCODE]],"_")</f>
        <v>Germany_DB_E_919</v>
      </c>
      <c r="C398" t="s">
        <v>741</v>
      </c>
      <c r="D398" t="b">
        <f>OR(ISNUMBER(SEARCH("wagon_",Table1[[#This Row],[FILENAMES_EXPECTED]])),ISNUMBER(SEARCH("coach_",Table1[[#This Row],[FILENAMES_EXPECTED]])))</f>
        <v>0</v>
      </c>
      <c r="E398" t="str">
        <f>"item_"&amp;Table1[[#This Row],[VEHIDCODE]]</f>
        <v>item_electric_Germany_DB_E_919</v>
      </c>
      <c r="F398" t="str">
        <f>"str_"&amp;Table1[[#This Row],[VEHIDCODE]]</f>
        <v>str_electric_Germany_DB_E_919</v>
      </c>
      <c r="G398">
        <v>8</v>
      </c>
      <c r="H398" t="s">
        <v>20</v>
      </c>
      <c r="I398">
        <v>0</v>
      </c>
      <c r="J398" t="s">
        <v>74</v>
      </c>
      <c r="K398">
        <v>0</v>
      </c>
      <c r="L398">
        <v>1925</v>
      </c>
      <c r="M398">
        <v>8</v>
      </c>
      <c r="N398" s="2" t="s">
        <v>20</v>
      </c>
      <c r="O398" t="b">
        <v>1</v>
      </c>
      <c r="Q398" s="2"/>
      <c r="R398">
        <v>45</v>
      </c>
      <c r="S398">
        <v>1</v>
      </c>
      <c r="T398">
        <v>2230</v>
      </c>
      <c r="U398" t="s">
        <v>709</v>
      </c>
      <c r="V398">
        <v>55</v>
      </c>
      <c r="W398" s="2">
        <v>0.24</v>
      </c>
      <c r="Z398" t="b">
        <v>1</v>
      </c>
      <c r="AX398"/>
      <c r="BA398" s="2"/>
      <c r="BB398" s="2" t="b">
        <f>LEN(_xlfn.CONCAT(Table1[[#This Row],[TRACK_TYPE_STANDARD_GAUGE_RAILTYPE_OHLE]:[TRACK_TYPE_MTRO]]))&gt;0</f>
        <v>1</v>
      </c>
      <c r="BC398" s="7">
        <v>40</v>
      </c>
      <c r="BD398" t="s">
        <v>923</v>
      </c>
      <c r="BE398" t="s">
        <v>922</v>
      </c>
      <c r="BF398" t="s">
        <v>940</v>
      </c>
      <c r="BG3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8">
        <v>0</v>
      </c>
      <c r="BI398" t="s">
        <v>734</v>
      </c>
      <c r="BK398" s="11"/>
      <c r="BL398" s="11">
        <v>124</v>
      </c>
      <c r="BM398">
        <v>0</v>
      </c>
      <c r="BN398" t="s">
        <v>692</v>
      </c>
      <c r="BO398" t="s">
        <v>694</v>
      </c>
      <c r="BP398" t="s">
        <v>701</v>
      </c>
      <c r="BQ398" t="s">
        <v>705</v>
      </c>
      <c r="BR398" t="s">
        <v>706</v>
      </c>
      <c r="BS398" t="s">
        <v>707</v>
      </c>
    </row>
    <row r="399" spans="1:71" hidden="1" x14ac:dyDescent="0.4">
      <c r="A399" s="2" t="s">
        <v>425</v>
      </c>
      <c r="B399" t="str">
        <f>_xlfn.TEXTAFTER(Table1[[#This Row],[VEHIDCODE]],"_")</f>
        <v>Switzerland_BLS_Ce_4_4</v>
      </c>
      <c r="C399" t="s">
        <v>741</v>
      </c>
      <c r="D399" t="b">
        <f>OR(ISNUMBER(SEARCH("wagon_",Table1[[#This Row],[FILENAMES_EXPECTED]])),ISNUMBER(SEARCH("coach_",Table1[[#This Row],[FILENAMES_EXPECTED]])))</f>
        <v>0</v>
      </c>
      <c r="E399" t="str">
        <f>"item_"&amp;Table1[[#This Row],[VEHIDCODE]]</f>
        <v>item_electric_Switzerland_BLS_Ce_4_4</v>
      </c>
      <c r="F399" t="str">
        <f>"str_"&amp;Table1[[#This Row],[VEHIDCODE]]</f>
        <v>str_electric_Switzerland_BLS_Ce_4_4</v>
      </c>
      <c r="G399">
        <v>5</v>
      </c>
      <c r="H399" t="s">
        <v>20</v>
      </c>
      <c r="I399">
        <v>0</v>
      </c>
      <c r="J399" t="s">
        <v>74</v>
      </c>
      <c r="K399">
        <v>0</v>
      </c>
      <c r="L399">
        <v>1954</v>
      </c>
      <c r="M399">
        <v>5</v>
      </c>
      <c r="N399" s="2" t="s">
        <v>20</v>
      </c>
      <c r="O399" t="b">
        <v>1</v>
      </c>
      <c r="Q399" s="2"/>
      <c r="R399">
        <v>45</v>
      </c>
      <c r="S399">
        <v>1</v>
      </c>
      <c r="T399">
        <v>1001</v>
      </c>
      <c r="U399" t="s">
        <v>709</v>
      </c>
      <c r="V399">
        <v>65</v>
      </c>
      <c r="W399" s="2">
        <v>0.17</v>
      </c>
      <c r="Z399" t="b">
        <v>1</v>
      </c>
      <c r="AX399"/>
      <c r="BA399" s="2"/>
      <c r="BB399" s="2" t="b">
        <f>LEN(_xlfn.CONCAT(Table1[[#This Row],[TRACK_TYPE_STANDARD_GAUGE_RAILTYPE_OHLE]:[TRACK_TYPE_MTRO]]))&gt;0</f>
        <v>1</v>
      </c>
      <c r="BC399" s="7">
        <v>40</v>
      </c>
      <c r="BD399" t="s">
        <v>923</v>
      </c>
      <c r="BE399" t="s">
        <v>922</v>
      </c>
      <c r="BF399" t="s">
        <v>940</v>
      </c>
      <c r="BG3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9">
        <v>-3</v>
      </c>
      <c r="BI399" t="s">
        <v>734</v>
      </c>
      <c r="BK399" s="11"/>
      <c r="BL399" s="11">
        <v>65</v>
      </c>
      <c r="BM399">
        <v>0</v>
      </c>
      <c r="BN399" t="s">
        <v>692</v>
      </c>
      <c r="BO399" t="s">
        <v>694</v>
      </c>
      <c r="BP399" t="s">
        <v>701</v>
      </c>
      <c r="BQ399" t="s">
        <v>705</v>
      </c>
      <c r="BR399" t="s">
        <v>706</v>
      </c>
      <c r="BS399" t="s">
        <v>707</v>
      </c>
    </row>
    <row r="400" spans="1:71" hidden="1" x14ac:dyDescent="0.4">
      <c r="A400" s="2" t="s">
        <v>426</v>
      </c>
      <c r="B400" t="str">
        <f>_xlfn.TEXTAFTER(Table1[[#This Row],[VEHIDCODE]],"_")</f>
        <v>Switzerland_SBB_Ae_6_6</v>
      </c>
      <c r="C400" t="s">
        <v>741</v>
      </c>
      <c r="D400" t="b">
        <f>OR(ISNUMBER(SEARCH("wagon_",Table1[[#This Row],[FILENAMES_EXPECTED]])),ISNUMBER(SEARCH("coach_",Table1[[#This Row],[FILENAMES_EXPECTED]])))</f>
        <v>0</v>
      </c>
      <c r="E400" t="str">
        <f>"item_"&amp;Table1[[#This Row],[VEHIDCODE]]</f>
        <v>item_electric_Switzerland_SBB_Ae_6_6</v>
      </c>
      <c r="F400" t="str">
        <f>"str_"&amp;Table1[[#This Row],[VEHIDCODE]]</f>
        <v>str_electric_Switzerland_SBB_Ae_6_6</v>
      </c>
      <c r="G400">
        <v>8</v>
      </c>
      <c r="H400" t="s">
        <v>20</v>
      </c>
      <c r="I400">
        <v>0</v>
      </c>
      <c r="J400" t="s">
        <v>74</v>
      </c>
      <c r="K400">
        <v>0</v>
      </c>
      <c r="L400">
        <v>1955</v>
      </c>
      <c r="M400">
        <v>8</v>
      </c>
      <c r="N400" s="2" t="s">
        <v>20</v>
      </c>
      <c r="O400" t="b">
        <v>1</v>
      </c>
      <c r="Q400" s="2"/>
      <c r="R400">
        <v>45</v>
      </c>
      <c r="S400">
        <v>1</v>
      </c>
      <c r="T400">
        <v>5842</v>
      </c>
      <c r="U400" t="s">
        <v>709</v>
      </c>
      <c r="V400">
        <v>125</v>
      </c>
      <c r="W400" s="2">
        <v>0.33</v>
      </c>
      <c r="Z400" t="b">
        <v>1</v>
      </c>
      <c r="AX400"/>
      <c r="BA400" s="2"/>
      <c r="BB400" s="2" t="b">
        <f>LEN(_xlfn.CONCAT(Table1[[#This Row],[TRACK_TYPE_STANDARD_GAUGE_RAILTYPE_OHLE]:[TRACK_TYPE_MTRO]]))&gt;0</f>
        <v>1</v>
      </c>
      <c r="BC400" s="7">
        <v>40</v>
      </c>
      <c r="BD400" t="s">
        <v>923</v>
      </c>
      <c r="BE400" t="s">
        <v>922</v>
      </c>
      <c r="BF400" t="s">
        <v>940</v>
      </c>
      <c r="BG4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0">
        <v>-3</v>
      </c>
      <c r="BI400" t="s">
        <v>734</v>
      </c>
      <c r="BK400" s="11"/>
      <c r="BL400" s="11">
        <v>120</v>
      </c>
      <c r="BM400">
        <v>0</v>
      </c>
      <c r="BN400" t="s">
        <v>692</v>
      </c>
      <c r="BO400" t="s">
        <v>694</v>
      </c>
      <c r="BP400" t="s">
        <v>701</v>
      </c>
      <c r="BQ400" t="s">
        <v>705</v>
      </c>
      <c r="BR400" t="s">
        <v>706</v>
      </c>
      <c r="BS400" t="s">
        <v>707</v>
      </c>
    </row>
    <row r="401" spans="1:71" hidden="1" x14ac:dyDescent="0.4">
      <c r="A401" s="2" t="s">
        <v>427</v>
      </c>
      <c r="B401" t="str">
        <f>_xlfn.TEXTAFTER(Table1[[#This Row],[VEHIDCODE]],"_")</f>
        <v>Switzerland_SBB_Re460_Lok_2000</v>
      </c>
      <c r="C401" t="s">
        <v>741</v>
      </c>
      <c r="D401" t="b">
        <f>OR(ISNUMBER(SEARCH("wagon_",Table1[[#This Row],[FILENAMES_EXPECTED]])),ISNUMBER(SEARCH("coach_",Table1[[#This Row],[FILENAMES_EXPECTED]])))</f>
        <v>0</v>
      </c>
      <c r="E401" t="str">
        <f>"item_"&amp;Table1[[#This Row],[VEHIDCODE]]</f>
        <v>item_electric_Switzerland_SBB_Re460_Lok_2000</v>
      </c>
      <c r="F401" t="str">
        <f>"str_"&amp;Table1[[#This Row],[VEHIDCODE]]</f>
        <v>str_electric_Switzerland_SBB_Re460_Lok_2000</v>
      </c>
      <c r="G401">
        <v>8</v>
      </c>
      <c r="H401" t="s">
        <v>20</v>
      </c>
      <c r="I401">
        <v>0</v>
      </c>
      <c r="J401" t="s">
        <v>74</v>
      </c>
      <c r="K401">
        <v>0</v>
      </c>
      <c r="L401">
        <v>1991</v>
      </c>
      <c r="M401">
        <v>8</v>
      </c>
      <c r="N401" s="2" t="s">
        <v>20</v>
      </c>
      <c r="O401" t="b">
        <v>1</v>
      </c>
      <c r="Q401" s="2"/>
      <c r="R401" t="s">
        <v>21</v>
      </c>
      <c r="S401">
        <v>1</v>
      </c>
      <c r="T401">
        <v>8174</v>
      </c>
      <c r="U401" t="s">
        <v>709</v>
      </c>
      <c r="V401">
        <v>230</v>
      </c>
      <c r="W401" s="2">
        <v>0.36</v>
      </c>
      <c r="Z401" t="b">
        <v>1</v>
      </c>
      <c r="AX401"/>
      <c r="BA401" s="2"/>
      <c r="BB401" s="2" t="b">
        <f>LEN(_xlfn.CONCAT(Table1[[#This Row],[TRACK_TYPE_STANDARD_GAUGE_RAILTYPE_OHLE]:[TRACK_TYPE_MTRO]]))&gt;0</f>
        <v>1</v>
      </c>
      <c r="BC401" s="7">
        <v>40</v>
      </c>
      <c r="BD401" t="s">
        <v>923</v>
      </c>
      <c r="BE401" t="s">
        <v>922</v>
      </c>
      <c r="BF401" t="s">
        <v>940</v>
      </c>
      <c r="BG4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1">
        <v>-3</v>
      </c>
      <c r="BI401" t="s">
        <v>734</v>
      </c>
      <c r="BK401" s="11"/>
      <c r="BL401" s="11">
        <v>84</v>
      </c>
      <c r="BM401">
        <v>0</v>
      </c>
      <c r="BN401" t="s">
        <v>692</v>
      </c>
      <c r="BO401" t="s">
        <v>694</v>
      </c>
      <c r="BP401" t="s">
        <v>701</v>
      </c>
      <c r="BQ401" t="s">
        <v>705</v>
      </c>
      <c r="BR401" t="s">
        <v>706</v>
      </c>
      <c r="BS401" t="s">
        <v>707</v>
      </c>
    </row>
    <row r="402" spans="1:71" hidden="1" x14ac:dyDescent="0.4">
      <c r="A402" s="2" t="s">
        <v>428</v>
      </c>
      <c r="B402" t="str">
        <f>_xlfn.TEXTAFTER(Table1[[#This Row],[VEHIDCODE]],"_")</f>
        <v>Switzerland_SBB_Eem_923</v>
      </c>
      <c r="C402" t="s">
        <v>741</v>
      </c>
      <c r="D402" t="b">
        <f>OR(ISNUMBER(SEARCH("wagon_",Table1[[#This Row],[FILENAMES_EXPECTED]])),ISNUMBER(SEARCH("coach_",Table1[[#This Row],[FILENAMES_EXPECTED]])))</f>
        <v>0</v>
      </c>
      <c r="E402" t="str">
        <f>"item_"&amp;Table1[[#This Row],[VEHIDCODE]]</f>
        <v>item_electric_Switzerland_SBB_Eem_923</v>
      </c>
      <c r="F402" t="str">
        <f>"str_"&amp;Table1[[#This Row],[VEHIDCODE]]</f>
        <v>str_electric_Switzerland_SBB_Eem_923</v>
      </c>
      <c r="G402">
        <v>5</v>
      </c>
      <c r="H402" t="s">
        <v>20</v>
      </c>
      <c r="I402">
        <v>0</v>
      </c>
      <c r="J402" t="s">
        <v>74</v>
      </c>
      <c r="K402">
        <v>0</v>
      </c>
      <c r="L402">
        <v>2012</v>
      </c>
      <c r="M402">
        <v>5</v>
      </c>
      <c r="N402" s="2" t="s">
        <v>20</v>
      </c>
      <c r="O402" t="b">
        <v>1</v>
      </c>
      <c r="Q402" s="2"/>
      <c r="R402" t="s">
        <v>21</v>
      </c>
      <c r="S402">
        <v>1</v>
      </c>
      <c r="T402">
        <v>1000</v>
      </c>
      <c r="U402" t="s">
        <v>709</v>
      </c>
      <c r="V402">
        <v>100</v>
      </c>
      <c r="W402" s="2">
        <v>0.27</v>
      </c>
      <c r="Z402" t="b">
        <v>1</v>
      </c>
      <c r="AX402"/>
      <c r="BA402" s="2"/>
      <c r="BB402" s="2" t="b">
        <f>LEN(_xlfn.CONCAT(Table1[[#This Row],[TRACK_TYPE_STANDARD_GAUGE_RAILTYPE_OHLE]:[TRACK_TYPE_MTRO]]))&gt;0</f>
        <v>1</v>
      </c>
      <c r="BC402" s="7">
        <v>40</v>
      </c>
      <c r="BD402" t="s">
        <v>923</v>
      </c>
      <c r="BE402" t="s">
        <v>922</v>
      </c>
      <c r="BF402" t="s">
        <v>940</v>
      </c>
      <c r="BG4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2">
        <v>-3</v>
      </c>
      <c r="BI402" t="s">
        <v>734</v>
      </c>
      <c r="BK402" s="11"/>
      <c r="BL402" s="11">
        <v>45</v>
      </c>
      <c r="BM402">
        <v>0</v>
      </c>
      <c r="BN402" t="s">
        <v>692</v>
      </c>
      <c r="BO402" t="s">
        <v>694</v>
      </c>
      <c r="BP402" t="s">
        <v>701</v>
      </c>
      <c r="BQ402" t="s">
        <v>705</v>
      </c>
      <c r="BR402" t="s">
        <v>706</v>
      </c>
      <c r="BS402" t="s">
        <v>707</v>
      </c>
    </row>
    <row r="403" spans="1:71" hidden="1" x14ac:dyDescent="0.4">
      <c r="A403" s="2" t="s">
        <v>429</v>
      </c>
      <c r="B403" t="str">
        <f>_xlfn.TEXTAFTER(Table1[[#This Row],[VEHIDCODE]],"_")</f>
        <v>Austria_OBB_1044</v>
      </c>
      <c r="C403" t="s">
        <v>741</v>
      </c>
      <c r="D403" t="b">
        <f>OR(ISNUMBER(SEARCH("wagon_",Table1[[#This Row],[FILENAMES_EXPECTED]])),ISNUMBER(SEARCH("coach_",Table1[[#This Row],[FILENAMES_EXPECTED]])))</f>
        <v>0</v>
      </c>
      <c r="E403" t="str">
        <f>"item_"&amp;Table1[[#This Row],[VEHIDCODE]]</f>
        <v>item_electric_Austria_OBB_1044</v>
      </c>
      <c r="F403" t="str">
        <f>"str_"&amp;Table1[[#This Row],[VEHIDCODE]]</f>
        <v>str_electric_Austria_OBB_1044</v>
      </c>
      <c r="G403">
        <v>8</v>
      </c>
      <c r="H403" t="s">
        <v>20</v>
      </c>
      <c r="I403">
        <v>0</v>
      </c>
      <c r="J403" t="s">
        <v>74</v>
      </c>
      <c r="K403">
        <v>0</v>
      </c>
      <c r="L403">
        <v>1974</v>
      </c>
      <c r="M403">
        <v>8</v>
      </c>
      <c r="N403" s="2" t="s">
        <v>20</v>
      </c>
      <c r="O403" t="b">
        <v>1</v>
      </c>
      <c r="Q403" s="2"/>
      <c r="R403">
        <v>45</v>
      </c>
      <c r="S403">
        <v>1</v>
      </c>
      <c r="T403">
        <v>7000</v>
      </c>
      <c r="U403" t="s">
        <v>709</v>
      </c>
      <c r="V403">
        <v>160</v>
      </c>
      <c r="W403" s="2">
        <v>0.39</v>
      </c>
      <c r="Z403" t="b">
        <v>1</v>
      </c>
      <c r="AX403"/>
      <c r="BA403" s="2"/>
      <c r="BB403" s="2" t="b">
        <f>LEN(_xlfn.CONCAT(Table1[[#This Row],[TRACK_TYPE_STANDARD_GAUGE_RAILTYPE_OHLE]:[TRACK_TYPE_MTRO]]))&gt;0</f>
        <v>1</v>
      </c>
      <c r="BC403" s="7">
        <v>40</v>
      </c>
      <c r="BD403" t="s">
        <v>923</v>
      </c>
      <c r="BE403" t="s">
        <v>922</v>
      </c>
      <c r="BF403" t="s">
        <v>940</v>
      </c>
      <c r="BG4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3">
        <v>-3</v>
      </c>
      <c r="BI403" t="s">
        <v>734</v>
      </c>
      <c r="BK403" s="11"/>
      <c r="BL403" s="11">
        <v>84</v>
      </c>
      <c r="BM403">
        <v>0</v>
      </c>
      <c r="BN403" t="s">
        <v>692</v>
      </c>
      <c r="BO403" t="s">
        <v>694</v>
      </c>
      <c r="BP403" t="s">
        <v>701</v>
      </c>
      <c r="BQ403" t="s">
        <v>705</v>
      </c>
      <c r="BR403" t="s">
        <v>706</v>
      </c>
      <c r="BS403" t="s">
        <v>707</v>
      </c>
    </row>
    <row r="404" spans="1:71" hidden="1" x14ac:dyDescent="0.4">
      <c r="A404" s="2" t="s">
        <v>430</v>
      </c>
      <c r="B404" t="str">
        <f>_xlfn.TEXTAFTER(Table1[[#This Row],[VEHIDCODE]],"_")</f>
        <v>Austria_OBB_1063</v>
      </c>
      <c r="C404" t="s">
        <v>741</v>
      </c>
      <c r="D404" t="b">
        <f>OR(ISNUMBER(SEARCH("wagon_",Table1[[#This Row],[FILENAMES_EXPECTED]])),ISNUMBER(SEARCH("coach_",Table1[[#This Row],[FILENAMES_EXPECTED]])))</f>
        <v>0</v>
      </c>
      <c r="E404" t="str">
        <f>"item_"&amp;Table1[[#This Row],[VEHIDCODE]]</f>
        <v>item_electric_Austria_OBB_1063</v>
      </c>
      <c r="F404" t="str">
        <f>"str_"&amp;Table1[[#This Row],[VEHIDCODE]]</f>
        <v>str_electric_Austria_OBB_1063</v>
      </c>
      <c r="G404">
        <v>8</v>
      </c>
      <c r="H404" t="s">
        <v>20</v>
      </c>
      <c r="I404">
        <v>0</v>
      </c>
      <c r="J404" t="s">
        <v>74</v>
      </c>
      <c r="K404">
        <v>0</v>
      </c>
      <c r="L404">
        <v>1982</v>
      </c>
      <c r="M404">
        <v>8</v>
      </c>
      <c r="N404" s="2" t="s">
        <v>20</v>
      </c>
      <c r="O404" t="b">
        <v>1</v>
      </c>
      <c r="Q404" s="2"/>
      <c r="R404">
        <v>45</v>
      </c>
      <c r="S404">
        <v>1</v>
      </c>
      <c r="T404">
        <v>2680</v>
      </c>
      <c r="U404" t="s">
        <v>709</v>
      </c>
      <c r="V404">
        <v>100</v>
      </c>
      <c r="W404" s="2">
        <v>0.32</v>
      </c>
      <c r="Z404" t="b">
        <v>1</v>
      </c>
      <c r="AX404"/>
      <c r="BA404" s="2"/>
      <c r="BB404" s="2" t="b">
        <f>LEN(_xlfn.CONCAT(Table1[[#This Row],[TRACK_TYPE_STANDARD_GAUGE_RAILTYPE_OHLE]:[TRACK_TYPE_MTRO]]))&gt;0</f>
        <v>1</v>
      </c>
      <c r="BC404" s="7">
        <v>40</v>
      </c>
      <c r="BD404" t="s">
        <v>923</v>
      </c>
      <c r="BE404" t="s">
        <v>922</v>
      </c>
      <c r="BF404" t="s">
        <v>940</v>
      </c>
      <c r="BG4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4">
        <v>-3</v>
      </c>
      <c r="BI404" t="s">
        <v>734</v>
      </c>
      <c r="BK404" s="11"/>
      <c r="BL404" s="11">
        <v>82</v>
      </c>
      <c r="BM404">
        <v>0</v>
      </c>
      <c r="BN404" t="s">
        <v>692</v>
      </c>
      <c r="BO404" t="s">
        <v>694</v>
      </c>
      <c r="BP404" t="s">
        <v>701</v>
      </c>
      <c r="BQ404" t="s">
        <v>705</v>
      </c>
      <c r="BR404" t="s">
        <v>706</v>
      </c>
      <c r="BS404" t="s">
        <v>707</v>
      </c>
    </row>
    <row r="405" spans="1:71" hidden="1" x14ac:dyDescent="0.4">
      <c r="A405" s="2" t="s">
        <v>431</v>
      </c>
      <c r="B405" t="str">
        <f>_xlfn.TEXTAFTER(Table1[[#This Row],[VEHIDCODE]],"_")</f>
        <v>Sweden_MTAB_Dm3</v>
      </c>
      <c r="C405" t="s">
        <v>741</v>
      </c>
      <c r="D405" t="b">
        <f>OR(ISNUMBER(SEARCH("wagon_",Table1[[#This Row],[FILENAMES_EXPECTED]])),ISNUMBER(SEARCH("coach_",Table1[[#This Row],[FILENAMES_EXPECTED]])))</f>
        <v>0</v>
      </c>
      <c r="E405" t="str">
        <f>"item_"&amp;Table1[[#This Row],[VEHIDCODE]]</f>
        <v>item_electric_Sweden_MTAB_Dm3</v>
      </c>
      <c r="F405" t="str">
        <f>"str_"&amp;Table1[[#This Row],[VEHIDCODE]]</f>
        <v>str_electric_Sweden_MTAB_Dm3</v>
      </c>
      <c r="G405">
        <v>21</v>
      </c>
      <c r="H405" t="s">
        <v>20</v>
      </c>
      <c r="I405">
        <v>0</v>
      </c>
      <c r="J405" t="s">
        <v>74</v>
      </c>
      <c r="K405">
        <v>0</v>
      </c>
      <c r="L405">
        <v>1953</v>
      </c>
      <c r="M405">
        <v>7</v>
      </c>
      <c r="N405" s="2" t="s">
        <v>20</v>
      </c>
      <c r="O405" t="b">
        <v>1</v>
      </c>
      <c r="Q405" s="2"/>
      <c r="R405">
        <v>45</v>
      </c>
      <c r="S405">
        <v>0</v>
      </c>
      <c r="T405">
        <v>9648</v>
      </c>
      <c r="U405" t="s">
        <v>709</v>
      </c>
      <c r="V405">
        <v>75</v>
      </c>
      <c r="W405" s="2">
        <v>0.34</v>
      </c>
      <c r="Z405" t="b">
        <v>1</v>
      </c>
      <c r="AX405"/>
      <c r="BA405" s="2"/>
      <c r="BB405" s="2" t="b">
        <f>LEN(_xlfn.CONCAT(Table1[[#This Row],[TRACK_TYPE_STANDARD_GAUGE_RAILTYPE_OHLE]:[TRACK_TYPE_MTRO]]))&gt;0</f>
        <v>1</v>
      </c>
      <c r="BC405" s="7">
        <v>40</v>
      </c>
      <c r="BD405" t="s">
        <v>927</v>
      </c>
      <c r="BE405" t="s">
        <v>922</v>
      </c>
      <c r="BF405" t="s">
        <v>940</v>
      </c>
      <c r="BG4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5">
        <v>0</v>
      </c>
      <c r="BI405" t="s">
        <v>734</v>
      </c>
      <c r="BK405" s="11"/>
      <c r="BL405" s="11">
        <v>273</v>
      </c>
      <c r="BM405">
        <v>0</v>
      </c>
      <c r="BN405" t="s">
        <v>692</v>
      </c>
      <c r="BO405" t="s">
        <v>694</v>
      </c>
      <c r="BP405" t="s">
        <v>701</v>
      </c>
      <c r="BQ405" t="s">
        <v>705</v>
      </c>
      <c r="BR405" t="s">
        <v>706</v>
      </c>
      <c r="BS405" t="s">
        <v>707</v>
      </c>
    </row>
    <row r="406" spans="1:71" hidden="1" x14ac:dyDescent="0.4">
      <c r="A406" s="2" t="s">
        <v>432</v>
      </c>
      <c r="B406" t="str">
        <f>_xlfn.TEXTAFTER(Table1[[#This Row],[VEHIDCODE]],"_")</f>
        <v>Sweden_MTAB_IORE</v>
      </c>
      <c r="C406" t="s">
        <v>741</v>
      </c>
      <c r="D406" t="b">
        <f>OR(ISNUMBER(SEARCH("wagon_",Table1[[#This Row],[FILENAMES_EXPECTED]])),ISNUMBER(SEARCH("coach_",Table1[[#This Row],[FILENAMES_EXPECTED]])))</f>
        <v>0</v>
      </c>
      <c r="E406" t="str">
        <f>"item_"&amp;Table1[[#This Row],[VEHIDCODE]]</f>
        <v>item_electric_Sweden_MTAB_IORE</v>
      </c>
      <c r="F406" t="str">
        <f>"str_"&amp;Table1[[#This Row],[VEHIDCODE]]</f>
        <v>str_electric_Sweden_MTAB_IORE</v>
      </c>
      <c r="G406">
        <v>16</v>
      </c>
      <c r="H406" t="s">
        <v>20</v>
      </c>
      <c r="I406">
        <v>0</v>
      </c>
      <c r="J406" t="s">
        <v>74</v>
      </c>
      <c r="K406">
        <v>0</v>
      </c>
      <c r="L406">
        <v>2000</v>
      </c>
      <c r="M406">
        <v>8</v>
      </c>
      <c r="N406" s="2" t="s">
        <v>20</v>
      </c>
      <c r="O406" t="b">
        <v>1</v>
      </c>
      <c r="Q406" s="2"/>
      <c r="R406" t="s">
        <v>21</v>
      </c>
      <c r="S406">
        <v>0</v>
      </c>
      <c r="T406">
        <v>14478</v>
      </c>
      <c r="U406" t="s">
        <v>709</v>
      </c>
      <c r="V406">
        <v>80</v>
      </c>
      <c r="W406" s="2">
        <v>0.39</v>
      </c>
      <c r="Z406" t="b">
        <v>1</v>
      </c>
      <c r="AX406"/>
      <c r="BA406" s="2"/>
      <c r="BB406" s="2" t="b">
        <f>LEN(_xlfn.CONCAT(Table1[[#This Row],[TRACK_TYPE_STANDARD_GAUGE_RAILTYPE_OHLE]:[TRACK_TYPE_MTRO]]))&gt;0</f>
        <v>1</v>
      </c>
      <c r="BC406" s="7">
        <v>40</v>
      </c>
      <c r="BD406" t="s">
        <v>927</v>
      </c>
      <c r="BE406" t="s">
        <v>922</v>
      </c>
      <c r="BF406" t="s">
        <v>940</v>
      </c>
      <c r="BG4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6">
        <v>0</v>
      </c>
      <c r="BI406" t="s">
        <v>734</v>
      </c>
      <c r="BK406" s="11"/>
      <c r="BL406" s="11">
        <v>360</v>
      </c>
      <c r="BM406">
        <v>0</v>
      </c>
      <c r="BN406" t="s">
        <v>692</v>
      </c>
      <c r="BO406" t="s">
        <v>694</v>
      </c>
      <c r="BP406" t="s">
        <v>701</v>
      </c>
      <c r="BQ406" t="s">
        <v>705</v>
      </c>
      <c r="BR406" t="s">
        <v>706</v>
      </c>
      <c r="BS406" t="s">
        <v>707</v>
      </c>
    </row>
    <row r="407" spans="1:71" hidden="1" x14ac:dyDescent="0.4">
      <c r="A407" s="2" t="s">
        <v>433</v>
      </c>
      <c r="B407" t="str">
        <f>_xlfn.TEXTAFTER(Table1[[#This Row],[VEHIDCODE]],"_")</f>
        <v>Sweden_SJ_O_Class</v>
      </c>
      <c r="C407" t="s">
        <v>741</v>
      </c>
      <c r="D407" t="b">
        <f>OR(ISNUMBER(SEARCH("wagon_",Table1[[#This Row],[FILENAMES_EXPECTED]])),ISNUMBER(SEARCH("coach_",Table1[[#This Row],[FILENAMES_EXPECTED]])))</f>
        <v>0</v>
      </c>
      <c r="E407" t="str">
        <f>"item_"&amp;Table1[[#This Row],[VEHIDCODE]]</f>
        <v>item_electric_Sweden_SJ_O_Class</v>
      </c>
      <c r="F407" t="str">
        <f>"str_"&amp;Table1[[#This Row],[VEHIDCODE]]</f>
        <v>str_electric_Sweden_SJ_O_Class</v>
      </c>
      <c r="G407">
        <v>12</v>
      </c>
      <c r="H407" t="s">
        <v>20</v>
      </c>
      <c r="I407">
        <v>0</v>
      </c>
      <c r="J407" t="s">
        <v>74</v>
      </c>
      <c r="K407">
        <v>0</v>
      </c>
      <c r="L407">
        <v>1914</v>
      </c>
      <c r="M407">
        <v>6</v>
      </c>
      <c r="N407" s="2" t="s">
        <v>20</v>
      </c>
      <c r="O407" t="b">
        <v>1</v>
      </c>
      <c r="Q407" s="2"/>
      <c r="R407">
        <v>45</v>
      </c>
      <c r="S407">
        <v>0</v>
      </c>
      <c r="T407">
        <v>1600</v>
      </c>
      <c r="U407" t="s">
        <v>709</v>
      </c>
      <c r="V407">
        <v>60</v>
      </c>
      <c r="W407" s="2">
        <v>0.2</v>
      </c>
      <c r="Z407" t="b">
        <v>1</v>
      </c>
      <c r="AX407"/>
      <c r="BA407" s="2"/>
      <c r="BB407" s="2" t="b">
        <f>LEN(_xlfn.CONCAT(Table1[[#This Row],[TRACK_TYPE_STANDARD_GAUGE_RAILTYPE_OHLE]:[TRACK_TYPE_MTRO]]))&gt;0</f>
        <v>1</v>
      </c>
      <c r="BC407" s="7">
        <v>40</v>
      </c>
      <c r="BD407" t="s">
        <v>927</v>
      </c>
      <c r="BE407" t="s">
        <v>922</v>
      </c>
      <c r="BF407" t="s">
        <v>940</v>
      </c>
      <c r="BG4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7">
        <v>0</v>
      </c>
      <c r="BI407" t="s">
        <v>734</v>
      </c>
      <c r="BK407" s="11"/>
      <c r="BL407" s="11">
        <v>125</v>
      </c>
      <c r="BM407">
        <v>0</v>
      </c>
      <c r="BN407" t="s">
        <v>692</v>
      </c>
      <c r="BO407" t="s">
        <v>694</v>
      </c>
      <c r="BP407" t="s">
        <v>701</v>
      </c>
      <c r="BQ407" t="s">
        <v>705</v>
      </c>
      <c r="BR407" t="s">
        <v>706</v>
      </c>
      <c r="BS407" t="s">
        <v>707</v>
      </c>
    </row>
    <row r="408" spans="1:71" hidden="1" x14ac:dyDescent="0.4">
      <c r="A408" s="2" t="s">
        <v>434</v>
      </c>
      <c r="B408" t="str">
        <f>_xlfn.TEXTAFTER(Table1[[#This Row],[VEHIDCODE]],"_")</f>
        <v>Sweden_SJ_F_Class</v>
      </c>
      <c r="C408" t="s">
        <v>741</v>
      </c>
      <c r="D408" t="b">
        <f>OR(ISNUMBER(SEARCH("wagon_",Table1[[#This Row],[FILENAMES_EXPECTED]])),ISNUMBER(SEARCH("coach_",Table1[[#This Row],[FILENAMES_EXPECTED]])))</f>
        <v>0</v>
      </c>
      <c r="E408" t="str">
        <f>"item_"&amp;Table1[[#This Row],[VEHIDCODE]]</f>
        <v>item_electric_Sweden_SJ_F_Class</v>
      </c>
      <c r="F408" t="str">
        <f>"str_"&amp;Table1[[#This Row],[VEHIDCODE]]</f>
        <v>str_electric_Sweden_SJ_F_Class</v>
      </c>
      <c r="G408">
        <v>8</v>
      </c>
      <c r="H408" t="s">
        <v>20</v>
      </c>
      <c r="I408">
        <v>0</v>
      </c>
      <c r="J408" t="s">
        <v>74</v>
      </c>
      <c r="K408">
        <v>0</v>
      </c>
      <c r="L408">
        <v>1942</v>
      </c>
      <c r="M408">
        <v>8</v>
      </c>
      <c r="N408" s="2" t="s">
        <v>20</v>
      </c>
      <c r="O408" t="b">
        <v>1</v>
      </c>
      <c r="Q408" s="2"/>
      <c r="R408">
        <v>45</v>
      </c>
      <c r="S408">
        <v>1</v>
      </c>
      <c r="T408">
        <v>3460</v>
      </c>
      <c r="U408" t="s">
        <v>709</v>
      </c>
      <c r="V408">
        <v>135</v>
      </c>
      <c r="W408" s="2">
        <v>0.2</v>
      </c>
      <c r="Z408" t="b">
        <v>1</v>
      </c>
      <c r="AX408"/>
      <c r="BA408" s="2"/>
      <c r="BB408" s="2" t="b">
        <f>LEN(_xlfn.CONCAT(Table1[[#This Row],[TRACK_TYPE_STANDARD_GAUGE_RAILTYPE_OHLE]:[TRACK_TYPE_MTRO]]))&gt;0</f>
        <v>1</v>
      </c>
      <c r="BC408" s="7">
        <v>40</v>
      </c>
      <c r="BD408" t="s">
        <v>927</v>
      </c>
      <c r="BE408" t="s">
        <v>922</v>
      </c>
      <c r="BF408" t="s">
        <v>940</v>
      </c>
      <c r="BG4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8">
        <v>0</v>
      </c>
      <c r="BI408" t="s">
        <v>734</v>
      </c>
      <c r="BK408" s="11"/>
      <c r="BL408" s="11">
        <v>102</v>
      </c>
      <c r="BM408">
        <v>0</v>
      </c>
      <c r="BN408" t="s">
        <v>692</v>
      </c>
      <c r="BO408" t="s">
        <v>694</v>
      </c>
      <c r="BP408" t="s">
        <v>701</v>
      </c>
      <c r="BQ408" t="s">
        <v>705</v>
      </c>
      <c r="BR408" t="s">
        <v>706</v>
      </c>
      <c r="BS408" t="s">
        <v>707</v>
      </c>
    </row>
    <row r="409" spans="1:71" hidden="1" x14ac:dyDescent="0.4">
      <c r="A409" s="2" t="s">
        <v>435</v>
      </c>
      <c r="B409" t="str">
        <f>_xlfn.TEXTAFTER(Table1[[#This Row],[VEHIDCODE]],"_")</f>
        <v>Norway_NSB_EL17</v>
      </c>
      <c r="C409" t="s">
        <v>741</v>
      </c>
      <c r="D409" t="b">
        <f>OR(ISNUMBER(SEARCH("wagon_",Table1[[#This Row],[FILENAMES_EXPECTED]])),ISNUMBER(SEARCH("coach_",Table1[[#This Row],[FILENAMES_EXPECTED]])))</f>
        <v>0</v>
      </c>
      <c r="E409" t="str">
        <f>"item_"&amp;Table1[[#This Row],[VEHIDCODE]]</f>
        <v>item_electric_Norway_NSB_EL17</v>
      </c>
      <c r="F409" t="str">
        <f>"str_"&amp;Table1[[#This Row],[VEHIDCODE]]</f>
        <v>str_electric_Norway_NSB_EL17</v>
      </c>
      <c r="G409">
        <v>7</v>
      </c>
      <c r="H409" t="s">
        <v>20</v>
      </c>
      <c r="I409">
        <v>0</v>
      </c>
      <c r="J409" t="s">
        <v>74</v>
      </c>
      <c r="K409">
        <v>0</v>
      </c>
      <c r="L409">
        <v>1982</v>
      </c>
      <c r="M409">
        <v>7</v>
      </c>
      <c r="N409" s="2" t="s">
        <v>24</v>
      </c>
      <c r="O409" t="b">
        <v>1</v>
      </c>
      <c r="Q409" s="2"/>
      <c r="R409">
        <v>45</v>
      </c>
      <c r="S409">
        <v>1</v>
      </c>
      <c r="T409">
        <v>4000</v>
      </c>
      <c r="U409" t="s">
        <v>709</v>
      </c>
      <c r="V409">
        <v>150</v>
      </c>
      <c r="W409" s="2">
        <v>0.38</v>
      </c>
      <c r="Z409" t="b">
        <v>1</v>
      </c>
      <c r="AX409"/>
      <c r="BA409" s="2"/>
      <c r="BB409" s="2" t="b">
        <f>LEN(_xlfn.CONCAT(Table1[[#This Row],[TRACK_TYPE_STANDARD_GAUGE_RAILTYPE_OHLE]:[TRACK_TYPE_MTRO]]))&gt;0</f>
        <v>1</v>
      </c>
      <c r="BC409" s="7">
        <v>40</v>
      </c>
      <c r="BD409" t="s">
        <v>927</v>
      </c>
      <c r="BE409" t="s">
        <v>922</v>
      </c>
      <c r="BF409" t="s">
        <v>940</v>
      </c>
      <c r="BG4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9">
        <v>0</v>
      </c>
      <c r="BI409" t="s">
        <v>734</v>
      </c>
      <c r="BK409" s="11"/>
      <c r="BL409" s="11">
        <v>64</v>
      </c>
      <c r="BM409">
        <v>0</v>
      </c>
      <c r="BN409" t="s">
        <v>692</v>
      </c>
      <c r="BO409" t="s">
        <v>694</v>
      </c>
      <c r="BP409" t="s">
        <v>701</v>
      </c>
      <c r="BQ409" t="s">
        <v>705</v>
      </c>
      <c r="BR409" t="s">
        <v>706</v>
      </c>
      <c r="BS409" t="s">
        <v>707</v>
      </c>
    </row>
    <row r="410" spans="1:71" hidden="1" x14ac:dyDescent="0.4">
      <c r="A410" s="2" t="s">
        <v>436</v>
      </c>
      <c r="B410" t="str">
        <f>_xlfn.TEXTAFTER(Table1[[#This Row],[VEHIDCODE]],"_")</f>
        <v>Germany_Prussian_ES_6</v>
      </c>
      <c r="C410" t="s">
        <v>741</v>
      </c>
      <c r="D410" t="b">
        <f>OR(ISNUMBER(SEARCH("wagon_",Table1[[#This Row],[FILENAMES_EXPECTED]])),ISNUMBER(SEARCH("coach_",Table1[[#This Row],[FILENAMES_EXPECTED]])))</f>
        <v>0</v>
      </c>
      <c r="E410" t="str">
        <f>"item_"&amp;Table1[[#This Row],[VEHIDCODE]]</f>
        <v>item_electric_Germany_Prussian_ES_6</v>
      </c>
      <c r="F410" t="str">
        <f>"str_"&amp;Table1[[#This Row],[VEHIDCODE]]</f>
        <v>str_electric_Germany_Prussian_ES_6</v>
      </c>
      <c r="G410">
        <v>6</v>
      </c>
      <c r="H410" t="s">
        <v>20</v>
      </c>
      <c r="I410">
        <v>0</v>
      </c>
      <c r="J410" t="s">
        <v>74</v>
      </c>
      <c r="K410">
        <v>0</v>
      </c>
      <c r="L410">
        <v>1914</v>
      </c>
      <c r="M410">
        <v>6</v>
      </c>
      <c r="N410" s="2" t="s">
        <v>20</v>
      </c>
      <c r="O410" t="b">
        <v>1</v>
      </c>
      <c r="Q410" s="2"/>
      <c r="R410">
        <v>45</v>
      </c>
      <c r="S410">
        <v>1</v>
      </c>
      <c r="T410">
        <v>1186</v>
      </c>
      <c r="U410" t="s">
        <v>709</v>
      </c>
      <c r="V410">
        <v>100</v>
      </c>
      <c r="W410" s="2">
        <v>0.1</v>
      </c>
      <c r="Z410" t="b">
        <v>1</v>
      </c>
      <c r="AX410"/>
      <c r="BA410" s="2"/>
      <c r="BB410" s="2" t="b">
        <f>LEN(_xlfn.CONCAT(Table1[[#This Row],[TRACK_TYPE_STANDARD_GAUGE_RAILTYPE_OHLE]:[TRACK_TYPE_MTRO]]))&gt;0</f>
        <v>1</v>
      </c>
      <c r="BC410" s="7">
        <v>40</v>
      </c>
      <c r="BD410" t="s">
        <v>923</v>
      </c>
      <c r="BE410" t="s">
        <v>922</v>
      </c>
      <c r="BF410" t="s">
        <v>940</v>
      </c>
      <c r="BG4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0">
        <v>-3</v>
      </c>
      <c r="BI410" t="s">
        <v>734</v>
      </c>
      <c r="BK410" s="11"/>
      <c r="BL410" s="11">
        <v>81</v>
      </c>
      <c r="BM410">
        <v>0</v>
      </c>
      <c r="BN410" t="s">
        <v>692</v>
      </c>
      <c r="BO410" t="s">
        <v>694</v>
      </c>
      <c r="BP410" t="s">
        <v>701</v>
      </c>
      <c r="BQ410" t="s">
        <v>705</v>
      </c>
      <c r="BR410" t="s">
        <v>706</v>
      </c>
      <c r="BS410" t="s">
        <v>707</v>
      </c>
    </row>
    <row r="411" spans="1:71" hidden="1" x14ac:dyDescent="0.4">
      <c r="A411" s="2" t="s">
        <v>437</v>
      </c>
      <c r="B411" t="str">
        <f>_xlfn.TEXTAFTER(Table1[[#This Row],[VEHIDCODE]],"_")</f>
        <v>USA_Virginian_Railway_EL_2B</v>
      </c>
      <c r="C411" t="s">
        <v>741</v>
      </c>
      <c r="D411" t="b">
        <f>OR(ISNUMBER(SEARCH("wagon_",Table1[[#This Row],[FILENAMES_EXPECTED]])),ISNUMBER(SEARCH("coach_",Table1[[#This Row],[FILENAMES_EXPECTED]])))</f>
        <v>0</v>
      </c>
      <c r="E411" t="str">
        <f>"item_"&amp;Table1[[#This Row],[VEHIDCODE]]</f>
        <v>item_electric_USA_Virginian_Railway_EL_2B</v>
      </c>
      <c r="F411" t="str">
        <f>"str_"&amp;Table1[[#This Row],[VEHIDCODE]]</f>
        <v>str_electric_USA_Virginian_Railway_EL_2B</v>
      </c>
      <c r="G411">
        <v>16</v>
      </c>
      <c r="H411" t="s">
        <v>20</v>
      </c>
      <c r="I411">
        <v>0</v>
      </c>
      <c r="J411" t="s">
        <v>74</v>
      </c>
      <c r="K411">
        <v>0</v>
      </c>
      <c r="L411">
        <v>1948</v>
      </c>
      <c r="M411">
        <v>8</v>
      </c>
      <c r="N411" s="2" t="s">
        <v>20</v>
      </c>
      <c r="O411" t="b">
        <v>1</v>
      </c>
      <c r="Q411" s="2"/>
      <c r="R411">
        <v>45</v>
      </c>
      <c r="S411">
        <v>1</v>
      </c>
      <c r="T411">
        <v>6800</v>
      </c>
      <c r="U411" t="s">
        <v>709</v>
      </c>
      <c r="V411">
        <v>80</v>
      </c>
      <c r="W411" s="2">
        <v>0.16</v>
      </c>
      <c r="Z411" t="b">
        <v>1</v>
      </c>
      <c r="AX411"/>
      <c r="BA411" s="2"/>
      <c r="BB411" s="2" t="b">
        <f>LEN(_xlfn.CONCAT(Table1[[#This Row],[TRACK_TYPE_STANDARD_GAUGE_RAILTYPE_OHLE]:[TRACK_TYPE_MTRO]]))&gt;0</f>
        <v>1</v>
      </c>
      <c r="BC411" s="7">
        <v>40</v>
      </c>
      <c r="BD411" t="s">
        <v>928</v>
      </c>
      <c r="BE411" t="s">
        <v>922</v>
      </c>
      <c r="BF411" t="s">
        <v>940</v>
      </c>
      <c r="BG4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1">
        <v>0</v>
      </c>
      <c r="BI411" t="s">
        <v>734</v>
      </c>
      <c r="BK411" s="11"/>
      <c r="BL411" s="11">
        <v>450</v>
      </c>
      <c r="BM411">
        <v>0</v>
      </c>
      <c r="BN411" t="s">
        <v>692</v>
      </c>
      <c r="BO411" t="s">
        <v>694</v>
      </c>
      <c r="BP411" t="s">
        <v>701</v>
      </c>
      <c r="BQ411" t="s">
        <v>705</v>
      </c>
      <c r="BR411" t="s">
        <v>706</v>
      </c>
      <c r="BS411" t="s">
        <v>707</v>
      </c>
    </row>
    <row r="412" spans="1:71" hidden="1" x14ac:dyDescent="0.4">
      <c r="A412" s="2" t="s">
        <v>438</v>
      </c>
      <c r="B412" t="str">
        <f>_xlfn.TEXTAFTER(Table1[[#This Row],[VEHIDCODE]],"_")</f>
        <v>USA_GN_W_1</v>
      </c>
      <c r="C412" t="s">
        <v>741</v>
      </c>
      <c r="D412" t="b">
        <f>OR(ISNUMBER(SEARCH("wagon_",Table1[[#This Row],[FILENAMES_EXPECTED]])),ISNUMBER(SEARCH("coach_",Table1[[#This Row],[FILENAMES_EXPECTED]])))</f>
        <v>0</v>
      </c>
      <c r="E412" t="str">
        <f>"item_"&amp;Table1[[#This Row],[VEHIDCODE]]</f>
        <v>item_electric_USA_GN_W_1</v>
      </c>
      <c r="F412" t="str">
        <f>"str_"&amp;Table1[[#This Row],[VEHIDCODE]]</f>
        <v>str_electric_USA_GN_W_1</v>
      </c>
      <c r="G412">
        <v>8</v>
      </c>
      <c r="H412" t="s">
        <v>20</v>
      </c>
      <c r="I412">
        <v>0</v>
      </c>
      <c r="J412" t="s">
        <v>74</v>
      </c>
      <c r="K412">
        <v>0</v>
      </c>
      <c r="L412">
        <v>1947</v>
      </c>
      <c r="M412">
        <v>8</v>
      </c>
      <c r="N412" s="2" t="s">
        <v>20</v>
      </c>
      <c r="O412" t="b">
        <v>1</v>
      </c>
      <c r="Q412" s="2"/>
      <c r="R412">
        <v>45</v>
      </c>
      <c r="S412">
        <v>1</v>
      </c>
      <c r="T412">
        <v>5000</v>
      </c>
      <c r="U412" t="s">
        <v>709</v>
      </c>
      <c r="V412">
        <v>105</v>
      </c>
      <c r="W412" s="2">
        <v>0.16</v>
      </c>
      <c r="Z412" t="b">
        <v>1</v>
      </c>
      <c r="AX412"/>
      <c r="BA412" s="2"/>
      <c r="BB412" s="2" t="b">
        <f>LEN(_xlfn.CONCAT(Table1[[#This Row],[TRACK_TYPE_STANDARD_GAUGE_RAILTYPE_OHLE]:[TRACK_TYPE_MTRO]]))&gt;0</f>
        <v>1</v>
      </c>
      <c r="BC412" s="7">
        <v>40</v>
      </c>
      <c r="BD412" t="s">
        <v>928</v>
      </c>
      <c r="BE412" t="s">
        <v>922</v>
      </c>
      <c r="BF412" t="s">
        <v>940</v>
      </c>
      <c r="BG4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2">
        <v>0</v>
      </c>
      <c r="BI412" t="s">
        <v>734</v>
      </c>
      <c r="BK412" s="11"/>
      <c r="BL412" s="11">
        <v>330</v>
      </c>
      <c r="BM412">
        <v>0</v>
      </c>
      <c r="BN412" t="s">
        <v>692</v>
      </c>
      <c r="BO412" t="s">
        <v>694</v>
      </c>
      <c r="BP412" t="s">
        <v>701</v>
      </c>
      <c r="BQ412" t="s">
        <v>705</v>
      </c>
      <c r="BR412" t="s">
        <v>706</v>
      </c>
      <c r="BS412" t="s">
        <v>707</v>
      </c>
    </row>
    <row r="413" spans="1:71" hidden="1" x14ac:dyDescent="0.4">
      <c r="A413" s="2" t="s">
        <v>439</v>
      </c>
      <c r="B413" t="str">
        <f>_xlfn.TEXTAFTER(Table1[[#This Row],[VEHIDCODE]],"_")</f>
        <v>USA_PRR_B1</v>
      </c>
      <c r="C413" t="s">
        <v>741</v>
      </c>
      <c r="D413" t="b">
        <f>OR(ISNUMBER(SEARCH("wagon_",Table1[[#This Row],[FILENAMES_EXPECTED]])),ISNUMBER(SEARCH("coach_",Table1[[#This Row],[FILENAMES_EXPECTED]])))</f>
        <v>0</v>
      </c>
      <c r="E413" t="str">
        <f>"item_"&amp;Table1[[#This Row],[VEHIDCODE]]</f>
        <v>item_electric_USA_PRR_B1</v>
      </c>
      <c r="F413" t="str">
        <f>"str_"&amp;Table1[[#This Row],[VEHIDCODE]]</f>
        <v>str_electric_USA_PRR_B1</v>
      </c>
      <c r="G413">
        <v>4</v>
      </c>
      <c r="H413" t="s">
        <v>20</v>
      </c>
      <c r="I413">
        <v>0</v>
      </c>
      <c r="J413" t="s">
        <v>74</v>
      </c>
      <c r="K413">
        <v>0</v>
      </c>
      <c r="L413">
        <v>1926</v>
      </c>
      <c r="M413">
        <v>4</v>
      </c>
      <c r="N413" s="2" t="s">
        <v>24</v>
      </c>
      <c r="O413" t="b">
        <v>1</v>
      </c>
      <c r="Q413" s="2"/>
      <c r="R413">
        <v>45</v>
      </c>
      <c r="S413">
        <v>1</v>
      </c>
      <c r="T413">
        <v>700</v>
      </c>
      <c r="U413" t="s">
        <v>709</v>
      </c>
      <c r="V413">
        <v>40</v>
      </c>
      <c r="W413" s="2">
        <v>0.25</v>
      </c>
      <c r="Z413" t="b">
        <v>1</v>
      </c>
      <c r="AX413"/>
      <c r="BA413" s="2"/>
      <c r="BB413" s="2" t="b">
        <f>LEN(_xlfn.CONCAT(Table1[[#This Row],[TRACK_TYPE_STANDARD_GAUGE_RAILTYPE_OHLE]:[TRACK_TYPE_MTRO]]))&gt;0</f>
        <v>1</v>
      </c>
      <c r="BC413" s="7">
        <v>40</v>
      </c>
      <c r="BD413" t="s">
        <v>928</v>
      </c>
      <c r="BE413" t="s">
        <v>922</v>
      </c>
      <c r="BF413" t="s">
        <v>940</v>
      </c>
      <c r="BG4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3">
        <v>0</v>
      </c>
      <c r="BI413" t="s">
        <v>734</v>
      </c>
      <c r="BK413" s="11"/>
      <c r="BL413" s="11">
        <v>71</v>
      </c>
      <c r="BM413">
        <v>0</v>
      </c>
      <c r="BN413" t="s">
        <v>692</v>
      </c>
      <c r="BO413" t="s">
        <v>694</v>
      </c>
      <c r="BP413" t="s">
        <v>701</v>
      </c>
      <c r="BQ413" t="s">
        <v>705</v>
      </c>
      <c r="BR413" t="s">
        <v>706</v>
      </c>
      <c r="BS413" t="s">
        <v>707</v>
      </c>
    </row>
    <row r="414" spans="1:71" hidden="1" x14ac:dyDescent="0.4">
      <c r="A414" s="2" t="s">
        <v>440</v>
      </c>
      <c r="B414" t="str">
        <f>_xlfn.TEXTAFTER(Table1[[#This Row],[VEHIDCODE]],"_")</f>
        <v>Australia_Aurizon_E40_AG_V1</v>
      </c>
      <c r="C414" t="s">
        <v>741</v>
      </c>
      <c r="D414" t="b">
        <f>OR(ISNUMBER(SEARCH("wagon_",Table1[[#This Row],[FILENAMES_EXPECTED]])),ISNUMBER(SEARCH("coach_",Table1[[#This Row],[FILENAMES_EXPECTED]])))</f>
        <v>0</v>
      </c>
      <c r="E414" t="str">
        <f>"item_"&amp;Table1[[#This Row],[VEHIDCODE]]</f>
        <v>item_electric_Australia_Aurizon_E40_AG_V1</v>
      </c>
      <c r="F414" t="str">
        <f>"str_"&amp;Table1[[#This Row],[VEHIDCODE]]</f>
        <v>str_electric_Australia_Aurizon_E40_AG_V1</v>
      </c>
      <c r="G414">
        <v>8</v>
      </c>
      <c r="H414" t="s">
        <v>20</v>
      </c>
      <c r="I414">
        <v>0</v>
      </c>
      <c r="J414" t="s">
        <v>74</v>
      </c>
      <c r="K414">
        <v>0</v>
      </c>
      <c r="L414">
        <v>2008</v>
      </c>
      <c r="M414">
        <v>8</v>
      </c>
      <c r="N414" s="2" t="s">
        <v>20</v>
      </c>
      <c r="O414" t="b">
        <v>1</v>
      </c>
      <c r="Q414" s="2"/>
      <c r="R414" t="s">
        <v>21</v>
      </c>
      <c r="S414">
        <v>1</v>
      </c>
      <c r="T414">
        <v>5360</v>
      </c>
      <c r="U414" t="s">
        <v>709</v>
      </c>
      <c r="V414">
        <v>80</v>
      </c>
      <c r="W414" s="2">
        <v>0.41</v>
      </c>
      <c r="Y414" t="b">
        <v>1</v>
      </c>
      <c r="AX414"/>
      <c r="BA414" s="2"/>
      <c r="BB414" s="2" t="b">
        <f>LEN(_xlfn.CONCAT(Table1[[#This Row],[TRACK_TYPE_STANDARD_GAUGE_RAILTYPE_OHLE]:[TRACK_TYPE_MTRO]]))&gt;0</f>
        <v>1</v>
      </c>
      <c r="BC414" s="7">
        <v>40</v>
      </c>
      <c r="BD414" t="s">
        <v>925</v>
      </c>
      <c r="BE414" t="s">
        <v>922</v>
      </c>
      <c r="BF414" t="s">
        <v>940</v>
      </c>
      <c r="BG4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4">
        <v>0</v>
      </c>
      <c r="BI414" t="s">
        <v>734</v>
      </c>
      <c r="BK414" s="11"/>
      <c r="BL414" s="11">
        <v>109</v>
      </c>
      <c r="BM414">
        <v>0</v>
      </c>
      <c r="BN414" t="s">
        <v>692</v>
      </c>
      <c r="BO414" t="s">
        <v>694</v>
      </c>
      <c r="BP414" t="s">
        <v>701</v>
      </c>
      <c r="BQ414" t="s">
        <v>705</v>
      </c>
      <c r="BR414" t="s">
        <v>706</v>
      </c>
      <c r="BS414" t="s">
        <v>707</v>
      </c>
    </row>
    <row r="415" spans="1:71" hidden="1" x14ac:dyDescent="0.4">
      <c r="A415" s="2" t="s">
        <v>441</v>
      </c>
      <c r="B415" t="str">
        <f>_xlfn.TEXTAFTER(Table1[[#This Row],[VEHIDCODE]],"_")</f>
        <v>China_China_Railways_SS6</v>
      </c>
      <c r="C415" t="s">
        <v>741</v>
      </c>
      <c r="D415" t="b">
        <f>OR(ISNUMBER(SEARCH("wagon_",Table1[[#This Row],[FILENAMES_EXPECTED]])),ISNUMBER(SEARCH("coach_",Table1[[#This Row],[FILENAMES_EXPECTED]])))</f>
        <v>0</v>
      </c>
      <c r="E415" t="str">
        <f>"item_"&amp;Table1[[#This Row],[VEHIDCODE]]</f>
        <v>item_electric_China_China_Railways_SS6</v>
      </c>
      <c r="F415" t="str">
        <f>"str_"&amp;Table1[[#This Row],[VEHIDCODE]]</f>
        <v>str_electric_China_China_Railways_SS6</v>
      </c>
      <c r="G415">
        <v>8</v>
      </c>
      <c r="H415" t="s">
        <v>20</v>
      </c>
      <c r="I415">
        <v>0</v>
      </c>
      <c r="J415" t="s">
        <v>74</v>
      </c>
      <c r="K415">
        <v>0</v>
      </c>
      <c r="L415">
        <v>1991</v>
      </c>
      <c r="M415">
        <v>8</v>
      </c>
      <c r="N415" s="2" t="s">
        <v>20</v>
      </c>
      <c r="O415" t="b">
        <v>1</v>
      </c>
      <c r="Q415" s="2"/>
      <c r="R415" t="s">
        <v>21</v>
      </c>
      <c r="S415">
        <v>1</v>
      </c>
      <c r="T415">
        <v>6432</v>
      </c>
      <c r="U415" t="s">
        <v>709</v>
      </c>
      <c r="V415">
        <v>100</v>
      </c>
      <c r="W415" s="2">
        <v>0.35</v>
      </c>
      <c r="Y415" t="b">
        <v>1</v>
      </c>
      <c r="AX415"/>
      <c r="BA415" s="2"/>
      <c r="BB415" s="2" t="b">
        <f>LEN(_xlfn.CONCAT(Table1[[#This Row],[TRACK_TYPE_STANDARD_GAUGE_RAILTYPE_OHLE]:[TRACK_TYPE_MTRO]]))&gt;0</f>
        <v>1</v>
      </c>
      <c r="BC415" s="7">
        <v>40</v>
      </c>
      <c r="BD415" t="s">
        <v>931</v>
      </c>
      <c r="BE415" t="s">
        <v>922</v>
      </c>
      <c r="BF415" t="s">
        <v>940</v>
      </c>
      <c r="BG4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5">
        <v>-3</v>
      </c>
      <c r="BI415" t="s">
        <v>734</v>
      </c>
      <c r="BK415" s="11"/>
      <c r="BL415" s="11">
        <v>138</v>
      </c>
      <c r="BM415">
        <v>0</v>
      </c>
      <c r="BN415" t="s">
        <v>692</v>
      </c>
      <c r="BO415" t="s">
        <v>694</v>
      </c>
      <c r="BP415" t="s">
        <v>701</v>
      </c>
      <c r="BQ415" t="s">
        <v>705</v>
      </c>
      <c r="BR415" t="s">
        <v>706</v>
      </c>
      <c r="BS415" t="s">
        <v>707</v>
      </c>
    </row>
    <row r="416" spans="1:71" hidden="1" x14ac:dyDescent="0.4">
      <c r="A416" s="2" t="s">
        <v>442</v>
      </c>
      <c r="B416" t="str">
        <f>_xlfn.TEXTAFTER(Table1[[#This Row],[VEHIDCODE]],"_")</f>
        <v>China_China_Railways_SS3</v>
      </c>
      <c r="C416" t="s">
        <v>741</v>
      </c>
      <c r="D416" t="b">
        <f>OR(ISNUMBER(SEARCH("wagon_",Table1[[#This Row],[FILENAMES_EXPECTED]])),ISNUMBER(SEARCH("coach_",Table1[[#This Row],[FILENAMES_EXPECTED]])))</f>
        <v>0</v>
      </c>
      <c r="E416" t="str">
        <f>"item_"&amp;Table1[[#This Row],[VEHIDCODE]]</f>
        <v>item_electric_China_China_Railways_SS3</v>
      </c>
      <c r="F416" t="str">
        <f>"str_"&amp;Table1[[#This Row],[VEHIDCODE]]</f>
        <v>str_electric_China_China_Railways_SS3</v>
      </c>
      <c r="G416">
        <v>8</v>
      </c>
      <c r="H416" t="s">
        <v>20</v>
      </c>
      <c r="I416">
        <v>0</v>
      </c>
      <c r="J416" t="s">
        <v>74</v>
      </c>
      <c r="K416">
        <v>0</v>
      </c>
      <c r="L416">
        <v>1978</v>
      </c>
      <c r="M416">
        <v>8</v>
      </c>
      <c r="N416" s="2" t="s">
        <v>24</v>
      </c>
      <c r="O416" t="b">
        <v>1</v>
      </c>
      <c r="Q416" s="2"/>
      <c r="R416">
        <v>45</v>
      </c>
      <c r="S416">
        <v>1</v>
      </c>
      <c r="T416">
        <v>5793</v>
      </c>
      <c r="U416" t="s">
        <v>709</v>
      </c>
      <c r="V416">
        <v>100</v>
      </c>
      <c r="W416" s="2">
        <v>0.34</v>
      </c>
      <c r="Y416" t="b">
        <v>1</v>
      </c>
      <c r="AX416"/>
      <c r="BA416" s="2"/>
      <c r="BB416" s="2" t="b">
        <f>LEN(_xlfn.CONCAT(Table1[[#This Row],[TRACK_TYPE_STANDARD_GAUGE_RAILTYPE_OHLE]:[TRACK_TYPE_MTRO]]))&gt;0</f>
        <v>1</v>
      </c>
      <c r="BC416" s="7">
        <v>40</v>
      </c>
      <c r="BD416" t="s">
        <v>931</v>
      </c>
      <c r="BE416" t="s">
        <v>922</v>
      </c>
      <c r="BF416" t="s">
        <v>940</v>
      </c>
      <c r="BG4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6">
        <v>0</v>
      </c>
      <c r="BI416" t="s">
        <v>734</v>
      </c>
      <c r="BK416" s="11"/>
      <c r="BL416" s="11">
        <v>138</v>
      </c>
      <c r="BM416">
        <v>0</v>
      </c>
      <c r="BN416" t="s">
        <v>692</v>
      </c>
      <c r="BO416" t="s">
        <v>694</v>
      </c>
      <c r="BP416" t="s">
        <v>701</v>
      </c>
      <c r="BQ416" t="s">
        <v>705</v>
      </c>
      <c r="BR416" t="s">
        <v>706</v>
      </c>
      <c r="BS416" t="s">
        <v>707</v>
      </c>
    </row>
    <row r="417" spans="1:71" hidden="1" x14ac:dyDescent="0.4">
      <c r="A417" s="2" t="s">
        <v>443</v>
      </c>
      <c r="B417" t="str">
        <f>_xlfn.TEXTAFTER(Table1[[#This Row],[VEHIDCODE]],"_")</f>
        <v>China_China_Railways_HXD3</v>
      </c>
      <c r="C417" t="s">
        <v>741</v>
      </c>
      <c r="D417" t="b">
        <f>OR(ISNUMBER(SEARCH("wagon_",Table1[[#This Row],[FILENAMES_EXPECTED]])),ISNUMBER(SEARCH("coach_",Table1[[#This Row],[FILENAMES_EXPECTED]])))</f>
        <v>0</v>
      </c>
      <c r="E417" t="str">
        <f>"item_"&amp;Table1[[#This Row],[VEHIDCODE]]</f>
        <v>item_electric_China_China_Railways_HXD3</v>
      </c>
      <c r="F417" t="str">
        <f>"str_"&amp;Table1[[#This Row],[VEHIDCODE]]</f>
        <v>str_electric_China_China_Railways_HXD3</v>
      </c>
      <c r="G417">
        <v>8</v>
      </c>
      <c r="H417" t="s">
        <v>20</v>
      </c>
      <c r="I417">
        <v>0</v>
      </c>
      <c r="J417" t="s">
        <v>74</v>
      </c>
      <c r="K417">
        <v>0</v>
      </c>
      <c r="L417">
        <v>2006</v>
      </c>
      <c r="M417">
        <v>8</v>
      </c>
      <c r="N417" s="2" t="s">
        <v>20</v>
      </c>
      <c r="O417" t="b">
        <v>1</v>
      </c>
      <c r="Q417" s="2"/>
      <c r="R417" t="s">
        <v>21</v>
      </c>
      <c r="S417">
        <v>1</v>
      </c>
      <c r="T417">
        <v>12800</v>
      </c>
      <c r="U417" t="s">
        <v>709</v>
      </c>
      <c r="V417">
        <v>120</v>
      </c>
      <c r="W417" s="2">
        <v>0.27</v>
      </c>
      <c r="Y417" t="b">
        <v>1</v>
      </c>
      <c r="AX417"/>
      <c r="BA417" s="2"/>
      <c r="BB417" s="2" t="b">
        <f>LEN(_xlfn.CONCAT(Table1[[#This Row],[TRACK_TYPE_STANDARD_GAUGE_RAILTYPE_OHLE]:[TRACK_TYPE_MTRO]]))&gt;0</f>
        <v>1</v>
      </c>
      <c r="BC417" s="7">
        <v>40</v>
      </c>
      <c r="BD417" t="s">
        <v>931</v>
      </c>
      <c r="BE417" t="s">
        <v>922</v>
      </c>
      <c r="BF417" t="s">
        <v>940</v>
      </c>
      <c r="BG4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7">
        <v>-3</v>
      </c>
      <c r="BI417" t="s">
        <v>734</v>
      </c>
      <c r="BK417" s="11"/>
      <c r="BL417" s="11">
        <v>150</v>
      </c>
      <c r="BM417">
        <v>0</v>
      </c>
      <c r="BN417" t="s">
        <v>692</v>
      </c>
      <c r="BO417" t="s">
        <v>694</v>
      </c>
      <c r="BP417" t="s">
        <v>701</v>
      </c>
      <c r="BQ417" t="s">
        <v>705</v>
      </c>
      <c r="BR417" t="s">
        <v>706</v>
      </c>
      <c r="BS417" t="s">
        <v>707</v>
      </c>
    </row>
    <row r="418" spans="1:71" hidden="1" x14ac:dyDescent="0.4">
      <c r="A418" s="2" t="s">
        <v>444</v>
      </c>
      <c r="B418" t="str">
        <f>_xlfn.TEXTAFTER(Table1[[#This Row],[VEHIDCODE]],"_")</f>
        <v>China_China_Railways_HXD1D</v>
      </c>
      <c r="C418" t="s">
        <v>741</v>
      </c>
      <c r="D418" t="b">
        <f>OR(ISNUMBER(SEARCH("wagon_",Table1[[#This Row],[FILENAMES_EXPECTED]])),ISNUMBER(SEARCH("coach_",Table1[[#This Row],[FILENAMES_EXPECTED]])))</f>
        <v>0</v>
      </c>
      <c r="E418" t="str">
        <f>"item_"&amp;Table1[[#This Row],[VEHIDCODE]]</f>
        <v>item_electric_China_China_Railways_HXD1D</v>
      </c>
      <c r="F418" t="str">
        <f>"str_"&amp;Table1[[#This Row],[VEHIDCODE]]</f>
        <v>str_electric_China_China_Railways_HXD1D</v>
      </c>
      <c r="G418">
        <v>8</v>
      </c>
      <c r="H418" t="s">
        <v>20</v>
      </c>
      <c r="I418">
        <v>0</v>
      </c>
      <c r="J418" t="s">
        <v>74</v>
      </c>
      <c r="K418">
        <v>0</v>
      </c>
      <c r="L418">
        <v>2012</v>
      </c>
      <c r="M418">
        <v>8</v>
      </c>
      <c r="N418" s="2" t="s">
        <v>20</v>
      </c>
      <c r="O418" t="b">
        <v>1</v>
      </c>
      <c r="Q418" s="2"/>
      <c r="R418" t="s">
        <v>21</v>
      </c>
      <c r="S418">
        <v>1</v>
      </c>
      <c r="T418">
        <v>9700</v>
      </c>
      <c r="U418" t="s">
        <v>709</v>
      </c>
      <c r="V418">
        <v>160</v>
      </c>
      <c r="W418" s="2">
        <v>0.33</v>
      </c>
      <c r="Y418" t="b">
        <v>1</v>
      </c>
      <c r="AX418"/>
      <c r="BA418" s="2"/>
      <c r="BB418" s="2" t="b">
        <f>LEN(_xlfn.CONCAT(Table1[[#This Row],[TRACK_TYPE_STANDARD_GAUGE_RAILTYPE_OHLE]:[TRACK_TYPE_MTRO]]))&gt;0</f>
        <v>1</v>
      </c>
      <c r="BC418" s="7">
        <v>40</v>
      </c>
      <c r="BD418" t="s">
        <v>931</v>
      </c>
      <c r="BE418" t="s">
        <v>922</v>
      </c>
      <c r="BF418" t="s">
        <v>940</v>
      </c>
      <c r="BG4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8">
        <v>0</v>
      </c>
      <c r="BI418" t="s">
        <v>734</v>
      </c>
      <c r="BK418" s="11"/>
      <c r="BL418" s="11">
        <v>126</v>
      </c>
      <c r="BM418">
        <v>0</v>
      </c>
      <c r="BN418" t="s">
        <v>692</v>
      </c>
      <c r="BO418" t="s">
        <v>694</v>
      </c>
      <c r="BP418" t="s">
        <v>701</v>
      </c>
      <c r="BQ418" t="s">
        <v>705</v>
      </c>
      <c r="BR418" t="s">
        <v>706</v>
      </c>
      <c r="BS418" t="s">
        <v>707</v>
      </c>
    </row>
    <row r="419" spans="1:71" hidden="1" x14ac:dyDescent="0.4">
      <c r="A419" s="2" t="s">
        <v>445</v>
      </c>
      <c r="B419" t="str">
        <f>_xlfn.TEXTAFTER(Table1[[#This Row],[VEHIDCODE]],"_")</f>
        <v>China_China_Railways_6K</v>
      </c>
      <c r="C419" t="s">
        <v>741</v>
      </c>
      <c r="D419" t="b">
        <f>OR(ISNUMBER(SEARCH("wagon_",Table1[[#This Row],[FILENAMES_EXPECTED]])),ISNUMBER(SEARCH("coach_",Table1[[#This Row],[FILENAMES_EXPECTED]])))</f>
        <v>0</v>
      </c>
      <c r="E419" t="str">
        <f>"item_"&amp;Table1[[#This Row],[VEHIDCODE]]</f>
        <v>item_electric_China_China_Railways_6K</v>
      </c>
      <c r="F419" t="str">
        <f>"str_"&amp;Table1[[#This Row],[VEHIDCODE]]</f>
        <v>str_electric_China_China_Railways_6K</v>
      </c>
      <c r="G419">
        <v>8</v>
      </c>
      <c r="H419" t="s">
        <v>20</v>
      </c>
      <c r="I419">
        <v>0</v>
      </c>
      <c r="J419" t="s">
        <v>74</v>
      </c>
      <c r="K419">
        <v>0</v>
      </c>
      <c r="L419">
        <v>1986</v>
      </c>
      <c r="M419">
        <v>8</v>
      </c>
      <c r="N419" s="2" t="s">
        <v>20</v>
      </c>
      <c r="O419" t="b">
        <v>1</v>
      </c>
      <c r="Q419" s="2"/>
      <c r="R419">
        <v>45</v>
      </c>
      <c r="S419">
        <v>1</v>
      </c>
      <c r="T419">
        <v>6450</v>
      </c>
      <c r="U419" t="s">
        <v>709</v>
      </c>
      <c r="V419">
        <v>100</v>
      </c>
      <c r="W419" s="2">
        <v>0.35</v>
      </c>
      <c r="Y419" t="b">
        <v>1</v>
      </c>
      <c r="AX419"/>
      <c r="BA419" s="2"/>
      <c r="BB419" s="2" t="b">
        <f>LEN(_xlfn.CONCAT(Table1[[#This Row],[TRACK_TYPE_STANDARD_GAUGE_RAILTYPE_OHLE]:[TRACK_TYPE_MTRO]]))&gt;0</f>
        <v>1</v>
      </c>
      <c r="BC419" s="7">
        <v>40</v>
      </c>
      <c r="BD419" t="s">
        <v>931</v>
      </c>
      <c r="BE419" t="s">
        <v>922</v>
      </c>
      <c r="BF419" t="s">
        <v>940</v>
      </c>
      <c r="BG4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9">
        <v>-3</v>
      </c>
      <c r="BI419" t="s">
        <v>734</v>
      </c>
      <c r="BK419" s="11"/>
      <c r="BL419" s="11">
        <v>138</v>
      </c>
      <c r="BM419">
        <v>0</v>
      </c>
      <c r="BN419" t="s">
        <v>692</v>
      </c>
      <c r="BO419" t="s">
        <v>694</v>
      </c>
      <c r="BP419" t="s">
        <v>701</v>
      </c>
      <c r="BQ419" t="s">
        <v>705</v>
      </c>
      <c r="BR419" t="s">
        <v>706</v>
      </c>
      <c r="BS419" t="s">
        <v>707</v>
      </c>
    </row>
    <row r="420" spans="1:71" hidden="1" x14ac:dyDescent="0.4">
      <c r="A420" s="2" t="s">
        <v>446</v>
      </c>
      <c r="B420" t="str">
        <f>_xlfn.TEXTAFTER(Table1[[#This Row],[VEHIDCODE]],"_")</f>
        <v>USA_PRR_E44</v>
      </c>
      <c r="C420" t="s">
        <v>741</v>
      </c>
      <c r="D420" t="b">
        <f>OR(ISNUMBER(SEARCH("wagon_",Table1[[#This Row],[FILENAMES_EXPECTED]])),ISNUMBER(SEARCH("coach_",Table1[[#This Row],[FILENAMES_EXPECTED]])))</f>
        <v>0</v>
      </c>
      <c r="E420" t="str">
        <f>"item_"&amp;Table1[[#This Row],[VEHIDCODE]]</f>
        <v>item_electric_USA_PRR_E44</v>
      </c>
      <c r="F420" t="str">
        <f>"str_"&amp;Table1[[#This Row],[VEHIDCODE]]</f>
        <v>str_electric_USA_PRR_E44</v>
      </c>
      <c r="G420">
        <v>8</v>
      </c>
      <c r="H420" t="s">
        <v>20</v>
      </c>
      <c r="I420">
        <v>0</v>
      </c>
      <c r="J420" t="s">
        <v>74</v>
      </c>
      <c r="K420">
        <v>0</v>
      </c>
      <c r="L420">
        <v>1960</v>
      </c>
      <c r="M420">
        <v>8</v>
      </c>
      <c r="N420" s="2" t="s">
        <v>20</v>
      </c>
      <c r="O420" t="b">
        <v>1</v>
      </c>
      <c r="Q420" s="2"/>
      <c r="R420">
        <v>45</v>
      </c>
      <c r="S420">
        <v>1</v>
      </c>
      <c r="T420">
        <v>4400</v>
      </c>
      <c r="U420" t="s">
        <v>709</v>
      </c>
      <c r="V420">
        <v>113</v>
      </c>
      <c r="W420" s="2">
        <v>0.24</v>
      </c>
      <c r="Y420" t="b">
        <v>1</v>
      </c>
      <c r="AX420"/>
      <c r="BA420" s="2"/>
      <c r="BB420" s="2" t="b">
        <f>LEN(_xlfn.CONCAT(Table1[[#This Row],[TRACK_TYPE_STANDARD_GAUGE_RAILTYPE_OHLE]:[TRACK_TYPE_MTRO]]))&gt;0</f>
        <v>1</v>
      </c>
      <c r="BC420" s="7">
        <v>40</v>
      </c>
      <c r="BD420" t="s">
        <v>928</v>
      </c>
      <c r="BE420" t="s">
        <v>922</v>
      </c>
      <c r="BF420" t="s">
        <v>940</v>
      </c>
      <c r="BG4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0">
        <v>0</v>
      </c>
      <c r="BI420" t="s">
        <v>734</v>
      </c>
      <c r="BK420" s="11"/>
      <c r="BL420" s="11">
        <v>175</v>
      </c>
      <c r="BM420">
        <v>0</v>
      </c>
      <c r="BN420" t="s">
        <v>692</v>
      </c>
      <c r="BO420" t="s">
        <v>694</v>
      </c>
      <c r="BP420" t="s">
        <v>701</v>
      </c>
      <c r="BQ420" t="s">
        <v>705</v>
      </c>
      <c r="BR420" t="s">
        <v>706</v>
      </c>
      <c r="BS420" t="s">
        <v>707</v>
      </c>
    </row>
    <row r="421" spans="1:71" hidden="1" x14ac:dyDescent="0.4">
      <c r="A421" s="2" t="s">
        <v>447</v>
      </c>
      <c r="B421" t="str">
        <f>_xlfn.TEXTAFTER(Table1[[#This Row],[VEHIDCODE]],"_")</f>
        <v>Croatia_HZ_1141</v>
      </c>
      <c r="C421" t="s">
        <v>741</v>
      </c>
      <c r="D421" t="b">
        <f>OR(ISNUMBER(SEARCH("wagon_",Table1[[#This Row],[FILENAMES_EXPECTED]])),ISNUMBER(SEARCH("coach_",Table1[[#This Row],[FILENAMES_EXPECTED]])))</f>
        <v>0</v>
      </c>
      <c r="E421" t="str">
        <f>"item_"&amp;Table1[[#This Row],[VEHIDCODE]]</f>
        <v>item_electric_Croatia_HZ_1141</v>
      </c>
      <c r="F421" t="str">
        <f>"str_"&amp;Table1[[#This Row],[VEHIDCODE]]</f>
        <v>str_electric_Croatia_HZ_1141</v>
      </c>
      <c r="G421">
        <v>8</v>
      </c>
      <c r="H421" t="s">
        <v>20</v>
      </c>
      <c r="I421">
        <v>0</v>
      </c>
      <c r="J421" t="s">
        <v>74</v>
      </c>
      <c r="K421">
        <v>0</v>
      </c>
      <c r="L421">
        <v>1967</v>
      </c>
      <c r="M421">
        <v>8</v>
      </c>
      <c r="N421" s="2" t="s">
        <v>20</v>
      </c>
      <c r="O421" t="b">
        <v>1</v>
      </c>
      <c r="Q421" s="2"/>
      <c r="R421">
        <v>45</v>
      </c>
      <c r="S421">
        <v>1</v>
      </c>
      <c r="T421">
        <v>4624</v>
      </c>
      <c r="U421" t="s">
        <v>709</v>
      </c>
      <c r="V421">
        <v>120</v>
      </c>
      <c r="W421" s="2">
        <v>0.25</v>
      </c>
      <c r="Y421" t="b">
        <v>1</v>
      </c>
      <c r="AX421"/>
      <c r="BA421" s="2"/>
      <c r="BB421" s="2" t="b">
        <f>LEN(_xlfn.CONCAT(Table1[[#This Row],[TRACK_TYPE_STANDARD_GAUGE_RAILTYPE_OHLE]:[TRACK_TYPE_MTRO]]))&gt;0</f>
        <v>1</v>
      </c>
      <c r="BC421" s="7">
        <v>40</v>
      </c>
      <c r="BD421" t="s">
        <v>929</v>
      </c>
      <c r="BE421" t="s">
        <v>922</v>
      </c>
      <c r="BF421" t="s">
        <v>940</v>
      </c>
      <c r="BG4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1">
        <v>-3</v>
      </c>
      <c r="BI421" t="s">
        <v>734</v>
      </c>
      <c r="BK421" s="11"/>
      <c r="BL421" s="11">
        <v>78</v>
      </c>
      <c r="BM421">
        <v>0</v>
      </c>
      <c r="BN421" t="s">
        <v>692</v>
      </c>
      <c r="BO421" t="s">
        <v>694</v>
      </c>
      <c r="BP421" t="s">
        <v>701</v>
      </c>
      <c r="BQ421" t="s">
        <v>705</v>
      </c>
      <c r="BR421" t="s">
        <v>706</v>
      </c>
      <c r="BS421" t="s">
        <v>707</v>
      </c>
    </row>
    <row r="422" spans="1:71" hidden="1" x14ac:dyDescent="0.4">
      <c r="A422" s="2" t="s">
        <v>448</v>
      </c>
      <c r="B422" t="str">
        <f>_xlfn.TEXTAFTER(Table1[[#This Row],[VEHIDCODE]],"_")</f>
        <v>Hungary_MAV_Class_V43</v>
      </c>
      <c r="C422" t="s">
        <v>741</v>
      </c>
      <c r="D422" t="b">
        <f>OR(ISNUMBER(SEARCH("wagon_",Table1[[#This Row],[FILENAMES_EXPECTED]])),ISNUMBER(SEARCH("coach_",Table1[[#This Row],[FILENAMES_EXPECTED]])))</f>
        <v>0</v>
      </c>
      <c r="E422" t="str">
        <f>"item_"&amp;Table1[[#This Row],[VEHIDCODE]]</f>
        <v>item_electric_Hungary_MAV_Class_V43</v>
      </c>
      <c r="F422" t="str">
        <f>"str_"&amp;Table1[[#This Row],[VEHIDCODE]]</f>
        <v>str_electric_Hungary_MAV_Class_V43</v>
      </c>
      <c r="G422">
        <v>8</v>
      </c>
      <c r="H422" t="s">
        <v>20</v>
      </c>
      <c r="I422">
        <v>0</v>
      </c>
      <c r="J422" t="s">
        <v>74</v>
      </c>
      <c r="K422">
        <v>0</v>
      </c>
      <c r="L422">
        <v>1963</v>
      </c>
      <c r="M422">
        <v>8</v>
      </c>
      <c r="N422" s="2" t="s">
        <v>20</v>
      </c>
      <c r="O422" t="b">
        <v>1</v>
      </c>
      <c r="Q422" s="2"/>
      <c r="R422">
        <v>45</v>
      </c>
      <c r="S422">
        <v>0</v>
      </c>
      <c r="T422">
        <v>2950</v>
      </c>
      <c r="U422" t="s">
        <v>709</v>
      </c>
      <c r="V422">
        <v>120</v>
      </c>
      <c r="W422" s="2">
        <v>0.34</v>
      </c>
      <c r="Y422" t="b">
        <v>1</v>
      </c>
      <c r="AX422"/>
      <c r="BA422" s="2"/>
      <c r="BB422" s="2" t="b">
        <f>LEN(_xlfn.CONCAT(Table1[[#This Row],[TRACK_TYPE_STANDARD_GAUGE_RAILTYPE_OHLE]:[TRACK_TYPE_MTRO]]))&gt;0</f>
        <v>1</v>
      </c>
      <c r="BC422" s="7">
        <v>40</v>
      </c>
      <c r="BD422" t="s">
        <v>929</v>
      </c>
      <c r="BE422" t="s">
        <v>922</v>
      </c>
      <c r="BF422" t="s">
        <v>940</v>
      </c>
      <c r="BG4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2">
        <v>0</v>
      </c>
      <c r="BI422" t="s">
        <v>734</v>
      </c>
      <c r="BK422" s="11"/>
      <c r="BL422" s="11">
        <v>80</v>
      </c>
      <c r="BM422">
        <v>0</v>
      </c>
      <c r="BN422" t="s">
        <v>692</v>
      </c>
      <c r="BO422" t="s">
        <v>694</v>
      </c>
      <c r="BP422" t="s">
        <v>701</v>
      </c>
      <c r="BQ422" t="s">
        <v>705</v>
      </c>
      <c r="BR422" t="s">
        <v>706</v>
      </c>
      <c r="BS422" t="s">
        <v>707</v>
      </c>
    </row>
    <row r="423" spans="1:71" hidden="1" x14ac:dyDescent="0.4">
      <c r="A423" s="2" t="s">
        <v>449</v>
      </c>
      <c r="B423" t="str">
        <f>_xlfn.TEXTAFTER(Table1[[#This Row],[VEHIDCODE]],"_")</f>
        <v>Portugal_CP_2500</v>
      </c>
      <c r="C423" t="s">
        <v>741</v>
      </c>
      <c r="D423" t="b">
        <f>OR(ISNUMBER(SEARCH("wagon_",Table1[[#This Row],[FILENAMES_EXPECTED]])),ISNUMBER(SEARCH("coach_",Table1[[#This Row],[FILENAMES_EXPECTED]])))</f>
        <v>0</v>
      </c>
      <c r="E423" t="str">
        <f>"item_"&amp;Table1[[#This Row],[VEHIDCODE]]</f>
        <v>item_electric_Portugal_CP_2500</v>
      </c>
      <c r="F423" t="str">
        <f>"str_"&amp;Table1[[#This Row],[VEHIDCODE]]</f>
        <v>str_electric_Portugal_CP_2500</v>
      </c>
      <c r="G423">
        <v>6</v>
      </c>
      <c r="H423" t="s">
        <v>20</v>
      </c>
      <c r="I423">
        <v>0</v>
      </c>
      <c r="J423" t="s">
        <v>74</v>
      </c>
      <c r="K423">
        <v>0</v>
      </c>
      <c r="L423">
        <v>1956</v>
      </c>
      <c r="M423">
        <v>6</v>
      </c>
      <c r="N423" s="2" t="s">
        <v>20</v>
      </c>
      <c r="O423" t="b">
        <v>1</v>
      </c>
      <c r="Q423" s="2"/>
      <c r="R423">
        <v>45</v>
      </c>
      <c r="S423">
        <v>1</v>
      </c>
      <c r="T423">
        <v>2790</v>
      </c>
      <c r="U423" t="s">
        <v>709</v>
      </c>
      <c r="V423">
        <v>120</v>
      </c>
      <c r="W423" s="2">
        <v>0.27</v>
      </c>
      <c r="Y423" t="b">
        <v>1</v>
      </c>
      <c r="AX423"/>
      <c r="BA423" s="2"/>
      <c r="BB423" s="2" t="b">
        <f>LEN(_xlfn.CONCAT(Table1[[#This Row],[TRACK_TYPE_STANDARD_GAUGE_RAILTYPE_OHLE]:[TRACK_TYPE_MTRO]]))&gt;0</f>
        <v>1</v>
      </c>
      <c r="BC423" s="7">
        <v>40</v>
      </c>
      <c r="BD423" t="s">
        <v>924</v>
      </c>
      <c r="BE423" t="s">
        <v>922</v>
      </c>
      <c r="BF423" t="s">
        <v>940</v>
      </c>
      <c r="BG4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3">
        <v>-3</v>
      </c>
      <c r="BI423" t="s">
        <v>734</v>
      </c>
      <c r="BK423" s="11"/>
      <c r="BL423" s="11">
        <v>72</v>
      </c>
      <c r="BM423">
        <v>0</v>
      </c>
      <c r="BN423" t="s">
        <v>692</v>
      </c>
      <c r="BO423" t="s">
        <v>694</v>
      </c>
      <c r="BP423" t="s">
        <v>701</v>
      </c>
      <c r="BQ423" t="s">
        <v>705</v>
      </c>
      <c r="BR423" t="s">
        <v>706</v>
      </c>
      <c r="BS423" t="s">
        <v>707</v>
      </c>
    </row>
    <row r="424" spans="1:71" hidden="1" x14ac:dyDescent="0.4">
      <c r="A424" s="2" t="s">
        <v>450</v>
      </c>
      <c r="B424" t="str">
        <f>_xlfn.TEXTAFTER(Table1[[#This Row],[VEHIDCODE]],"_")</f>
        <v>Portugal_CP_2600</v>
      </c>
      <c r="C424" t="s">
        <v>741</v>
      </c>
      <c r="D424" t="b">
        <f>OR(ISNUMBER(SEARCH("wagon_",Table1[[#This Row],[FILENAMES_EXPECTED]])),ISNUMBER(SEARCH("coach_",Table1[[#This Row],[FILENAMES_EXPECTED]])))</f>
        <v>0</v>
      </c>
      <c r="E424" t="str">
        <f>"item_"&amp;Table1[[#This Row],[VEHIDCODE]]</f>
        <v>item_electric_Portugal_CP_2600</v>
      </c>
      <c r="F424" t="str">
        <f>"str_"&amp;Table1[[#This Row],[VEHIDCODE]]</f>
        <v>str_electric_Portugal_CP_2600</v>
      </c>
      <c r="G424">
        <v>8</v>
      </c>
      <c r="H424" t="s">
        <v>20</v>
      </c>
      <c r="I424">
        <v>0</v>
      </c>
      <c r="J424" t="s">
        <v>74</v>
      </c>
      <c r="K424">
        <v>0</v>
      </c>
      <c r="L424">
        <v>1974</v>
      </c>
      <c r="M424">
        <v>8</v>
      </c>
      <c r="N424" s="2" t="s">
        <v>20</v>
      </c>
      <c r="O424" t="b">
        <v>1</v>
      </c>
      <c r="Q424" s="2"/>
      <c r="R424">
        <v>45</v>
      </c>
      <c r="S424">
        <v>1</v>
      </c>
      <c r="T424">
        <v>4020</v>
      </c>
      <c r="U424" t="s">
        <v>709</v>
      </c>
      <c r="V424">
        <v>100</v>
      </c>
      <c r="W424" s="2">
        <v>0.32</v>
      </c>
      <c r="Y424" t="b">
        <v>1</v>
      </c>
      <c r="AX424"/>
      <c r="BA424" s="2"/>
      <c r="BB424" s="2" t="b">
        <f>LEN(_xlfn.CONCAT(Table1[[#This Row],[TRACK_TYPE_STANDARD_GAUGE_RAILTYPE_OHLE]:[TRACK_TYPE_MTRO]]))&gt;0</f>
        <v>1</v>
      </c>
      <c r="BC424" s="7">
        <v>40</v>
      </c>
      <c r="BD424" t="s">
        <v>924</v>
      </c>
      <c r="BE424" t="s">
        <v>922</v>
      </c>
      <c r="BF424" t="s">
        <v>940</v>
      </c>
      <c r="BG4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4">
        <v>0</v>
      </c>
      <c r="BI424" t="s">
        <v>734</v>
      </c>
      <c r="BK424" s="11"/>
      <c r="BL424" s="11">
        <v>78</v>
      </c>
      <c r="BM424">
        <v>0</v>
      </c>
      <c r="BN424" t="s">
        <v>692</v>
      </c>
      <c r="BO424" t="s">
        <v>694</v>
      </c>
      <c r="BP424" t="s">
        <v>701</v>
      </c>
      <c r="BQ424" t="s">
        <v>705</v>
      </c>
      <c r="BR424" t="s">
        <v>706</v>
      </c>
      <c r="BS424" t="s">
        <v>707</v>
      </c>
    </row>
    <row r="425" spans="1:71" hidden="1" x14ac:dyDescent="0.4">
      <c r="A425" s="2" t="s">
        <v>451</v>
      </c>
      <c r="B425" t="str">
        <f>_xlfn.TEXTAFTER(Table1[[#This Row],[VEHIDCODE]],"_")</f>
        <v>South_Africa_SAR_20E</v>
      </c>
      <c r="C425" t="s">
        <v>741</v>
      </c>
      <c r="D425" t="b">
        <f>OR(ISNUMBER(SEARCH("wagon_",Table1[[#This Row],[FILENAMES_EXPECTED]])),ISNUMBER(SEARCH("coach_",Table1[[#This Row],[FILENAMES_EXPECTED]])))</f>
        <v>0</v>
      </c>
      <c r="E425" t="str">
        <f>"item_"&amp;Table1[[#This Row],[VEHIDCODE]]</f>
        <v>item_electric_South_Africa_SAR_20E</v>
      </c>
      <c r="F425" t="str">
        <f>"str_"&amp;Table1[[#This Row],[VEHIDCODE]]</f>
        <v>str_electric_South_Africa_SAR_20E</v>
      </c>
      <c r="G425">
        <v>7</v>
      </c>
      <c r="H425" t="s">
        <v>20</v>
      </c>
      <c r="I425">
        <v>0</v>
      </c>
      <c r="J425" t="s">
        <v>74</v>
      </c>
      <c r="K425">
        <v>0</v>
      </c>
      <c r="L425">
        <v>2013</v>
      </c>
      <c r="M425">
        <v>7</v>
      </c>
      <c r="N425" s="2" t="s">
        <v>20</v>
      </c>
      <c r="O425" t="b">
        <v>1</v>
      </c>
      <c r="Q425" s="2"/>
      <c r="R425" t="s">
        <v>21</v>
      </c>
      <c r="S425">
        <v>1</v>
      </c>
      <c r="T425">
        <v>4155</v>
      </c>
      <c r="U425" t="s">
        <v>709</v>
      </c>
      <c r="V425">
        <v>100</v>
      </c>
      <c r="W425" s="2">
        <v>0.45</v>
      </c>
      <c r="Y425" t="b">
        <v>1</v>
      </c>
      <c r="AX425"/>
      <c r="BA425" s="2"/>
      <c r="BB425" s="2" t="b">
        <f>LEN(_xlfn.CONCAT(Table1[[#This Row],[TRACK_TYPE_STANDARD_GAUGE_RAILTYPE_OHLE]:[TRACK_TYPE_MTRO]]))&gt;0</f>
        <v>1</v>
      </c>
      <c r="BC425" s="7">
        <v>40</v>
      </c>
      <c r="BD425" t="s">
        <v>926</v>
      </c>
      <c r="BE425" t="s">
        <v>922</v>
      </c>
      <c r="BF425" t="s">
        <v>940</v>
      </c>
      <c r="BG4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5">
        <v>0</v>
      </c>
      <c r="BI425" t="s">
        <v>734</v>
      </c>
      <c r="BK425" s="11"/>
      <c r="BL425" s="11">
        <v>86</v>
      </c>
      <c r="BM425">
        <v>0</v>
      </c>
      <c r="BN425" t="s">
        <v>692</v>
      </c>
      <c r="BO425" t="s">
        <v>694</v>
      </c>
      <c r="BP425" t="s">
        <v>701</v>
      </c>
      <c r="BQ425" t="s">
        <v>705</v>
      </c>
      <c r="BR425" t="s">
        <v>706</v>
      </c>
      <c r="BS425" t="s">
        <v>707</v>
      </c>
    </row>
    <row r="426" spans="1:71" hidden="1" x14ac:dyDescent="0.4">
      <c r="A426" s="2" t="s">
        <v>452</v>
      </c>
      <c r="B426" t="str">
        <f>_xlfn.TEXTAFTER(Table1[[#This Row],[VEHIDCODE]],"_")</f>
        <v>South_Korea_Korail_8200</v>
      </c>
      <c r="C426" t="s">
        <v>741</v>
      </c>
      <c r="D426" t="b">
        <f>OR(ISNUMBER(SEARCH("wagon_",Table1[[#This Row],[FILENAMES_EXPECTED]])),ISNUMBER(SEARCH("coach_",Table1[[#This Row],[FILENAMES_EXPECTED]])))</f>
        <v>0</v>
      </c>
      <c r="E426" t="str">
        <f>"item_"&amp;Table1[[#This Row],[VEHIDCODE]]</f>
        <v>item_electric_South_Korea_Korail_8200</v>
      </c>
      <c r="F426" t="str">
        <f>"str_"&amp;Table1[[#This Row],[VEHIDCODE]]</f>
        <v>str_electric_South_Korea_Korail_8200</v>
      </c>
      <c r="G426">
        <v>8</v>
      </c>
      <c r="H426" t="s">
        <v>20</v>
      </c>
      <c r="I426">
        <v>0</v>
      </c>
      <c r="J426" t="s">
        <v>74</v>
      </c>
      <c r="K426">
        <v>0</v>
      </c>
      <c r="L426">
        <v>2003</v>
      </c>
      <c r="M426">
        <v>8</v>
      </c>
      <c r="N426" s="2" t="s">
        <v>20</v>
      </c>
      <c r="O426" t="b">
        <v>1</v>
      </c>
      <c r="Q426" s="2"/>
      <c r="R426" t="s">
        <v>21</v>
      </c>
      <c r="S426">
        <v>1</v>
      </c>
      <c r="T426">
        <v>7000</v>
      </c>
      <c r="U426" t="s">
        <v>709</v>
      </c>
      <c r="V426">
        <v>150</v>
      </c>
      <c r="W426" s="2">
        <v>0.38</v>
      </c>
      <c r="Y426" t="b">
        <v>1</v>
      </c>
      <c r="AX426"/>
      <c r="BA426" s="2"/>
      <c r="BB426" s="2" t="b">
        <f>LEN(_xlfn.CONCAT(Table1[[#This Row],[TRACK_TYPE_STANDARD_GAUGE_RAILTYPE_OHLE]:[TRACK_TYPE_MTRO]]))&gt;0</f>
        <v>1</v>
      </c>
      <c r="BC426" s="7">
        <v>40</v>
      </c>
      <c r="BD426" t="s">
        <v>931</v>
      </c>
      <c r="BE426" t="s">
        <v>922</v>
      </c>
      <c r="BF426" t="s">
        <v>940</v>
      </c>
      <c r="BG4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6">
        <v>-3</v>
      </c>
      <c r="BI426" t="s">
        <v>734</v>
      </c>
      <c r="BK426" s="11"/>
      <c r="BL426" s="11">
        <v>80</v>
      </c>
      <c r="BM426">
        <v>0</v>
      </c>
      <c r="BN426" t="s">
        <v>692</v>
      </c>
      <c r="BO426" t="s">
        <v>694</v>
      </c>
      <c r="BP426" t="s">
        <v>701</v>
      </c>
      <c r="BQ426" t="s">
        <v>705</v>
      </c>
      <c r="BR426" t="s">
        <v>706</v>
      </c>
      <c r="BS426" t="s">
        <v>707</v>
      </c>
    </row>
    <row r="427" spans="1:71" hidden="1" x14ac:dyDescent="0.4">
      <c r="A427" s="2" t="s">
        <v>453</v>
      </c>
      <c r="B427" t="str">
        <f>_xlfn.TEXTAFTER(Table1[[#This Row],[VEHIDCODE]],"_")</f>
        <v>Ukraine_UZ_DS3</v>
      </c>
      <c r="C427" t="s">
        <v>741</v>
      </c>
      <c r="D427" t="b">
        <f>OR(ISNUMBER(SEARCH("wagon_",Table1[[#This Row],[FILENAMES_EXPECTED]])),ISNUMBER(SEARCH("coach_",Table1[[#This Row],[FILENAMES_EXPECTED]])))</f>
        <v>0</v>
      </c>
      <c r="E427" t="str">
        <f>"item_"&amp;Table1[[#This Row],[VEHIDCODE]]</f>
        <v>item_electric_Ukraine_UZ_DS3</v>
      </c>
      <c r="F427" t="str">
        <f>"str_"&amp;Table1[[#This Row],[VEHIDCODE]]</f>
        <v>str_electric_Ukraine_UZ_DS3</v>
      </c>
      <c r="G427">
        <v>8</v>
      </c>
      <c r="H427" t="s">
        <v>20</v>
      </c>
      <c r="I427">
        <v>0</v>
      </c>
      <c r="J427" t="s">
        <v>74</v>
      </c>
      <c r="K427">
        <v>0</v>
      </c>
      <c r="L427">
        <v>2003</v>
      </c>
      <c r="M427">
        <v>8</v>
      </c>
      <c r="N427" s="2" t="s">
        <v>20</v>
      </c>
      <c r="O427" t="b">
        <v>1</v>
      </c>
      <c r="Q427" s="2"/>
      <c r="R427" t="s">
        <v>21</v>
      </c>
      <c r="S427">
        <v>1</v>
      </c>
      <c r="T427">
        <v>6450</v>
      </c>
      <c r="U427" t="s">
        <v>709</v>
      </c>
      <c r="V427">
        <v>160</v>
      </c>
      <c r="W427" s="2">
        <v>0.32</v>
      </c>
      <c r="Y427" t="b">
        <v>1</v>
      </c>
      <c r="AX427"/>
      <c r="BA427" s="2"/>
      <c r="BB427" s="2" t="b">
        <f>LEN(_xlfn.CONCAT(Table1[[#This Row],[TRACK_TYPE_STANDARD_GAUGE_RAILTYPE_OHLE]:[TRACK_TYPE_MTRO]]))&gt;0</f>
        <v>1</v>
      </c>
      <c r="BC427" s="7">
        <v>40</v>
      </c>
      <c r="BD427" t="s">
        <v>929</v>
      </c>
      <c r="BE427" t="s">
        <v>922</v>
      </c>
      <c r="BF427" t="s">
        <v>940</v>
      </c>
      <c r="BG4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7">
        <v>-3</v>
      </c>
      <c r="BI427" t="s">
        <v>734</v>
      </c>
      <c r="BK427" s="11"/>
      <c r="BL427" s="11">
        <v>90</v>
      </c>
      <c r="BM427">
        <v>0</v>
      </c>
      <c r="BN427" t="s">
        <v>692</v>
      </c>
      <c r="BO427" t="s">
        <v>694</v>
      </c>
      <c r="BP427" t="s">
        <v>701</v>
      </c>
      <c r="BQ427" t="s">
        <v>705</v>
      </c>
      <c r="BR427" t="s">
        <v>706</v>
      </c>
      <c r="BS427" t="s">
        <v>707</v>
      </c>
    </row>
    <row r="428" spans="1:71" hidden="1" x14ac:dyDescent="0.4">
      <c r="A428" s="2" t="s">
        <v>454</v>
      </c>
      <c r="B428" t="str">
        <f>_xlfn.TEXTAFTER(Table1[[#This Row],[VEHIDCODE]],"_")</f>
        <v>Czech_Republic_CD_S499</v>
      </c>
      <c r="C428" t="s">
        <v>741</v>
      </c>
      <c r="D428" t="b">
        <f>OR(ISNUMBER(SEARCH("wagon_",Table1[[#This Row],[FILENAMES_EXPECTED]])),ISNUMBER(SEARCH("coach_",Table1[[#This Row],[FILENAMES_EXPECTED]])))</f>
        <v>0</v>
      </c>
      <c r="E428" t="str">
        <f>"item_"&amp;Table1[[#This Row],[VEHIDCODE]]</f>
        <v>item_electric_Czech_Republic_CD_S499</v>
      </c>
      <c r="F428" t="str">
        <f>"str_"&amp;Table1[[#This Row],[VEHIDCODE]]</f>
        <v>str_electric_Czech_Republic_CD_S499</v>
      </c>
      <c r="G428">
        <v>8</v>
      </c>
      <c r="H428" t="s">
        <v>20</v>
      </c>
      <c r="I428">
        <v>0</v>
      </c>
      <c r="J428" t="s">
        <v>74</v>
      </c>
      <c r="K428">
        <v>0</v>
      </c>
      <c r="L428">
        <v>1966</v>
      </c>
      <c r="M428">
        <v>8</v>
      </c>
      <c r="N428" s="2" t="s">
        <v>20</v>
      </c>
      <c r="O428" t="b">
        <v>1</v>
      </c>
      <c r="Q428" s="2"/>
      <c r="R428">
        <v>45</v>
      </c>
      <c r="S428">
        <v>1</v>
      </c>
      <c r="T428">
        <v>4130</v>
      </c>
      <c r="U428" t="s">
        <v>709</v>
      </c>
      <c r="V428">
        <v>120</v>
      </c>
      <c r="W428" s="2">
        <v>0.28000000000000003</v>
      </c>
      <c r="Y428" t="b">
        <v>1</v>
      </c>
      <c r="AX428"/>
      <c r="BA428" s="2"/>
      <c r="BB428" s="2" t="b">
        <f>LEN(_xlfn.CONCAT(Table1[[#This Row],[TRACK_TYPE_STANDARD_GAUGE_RAILTYPE_OHLE]:[TRACK_TYPE_MTRO]]))&gt;0</f>
        <v>1</v>
      </c>
      <c r="BC428" s="7">
        <v>40</v>
      </c>
      <c r="BD428" t="s">
        <v>929</v>
      </c>
      <c r="BE428" t="s">
        <v>922</v>
      </c>
      <c r="BF428" t="s">
        <v>940</v>
      </c>
      <c r="BG4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8">
        <v>0</v>
      </c>
      <c r="BI428" t="s">
        <v>734</v>
      </c>
      <c r="BK428" s="11"/>
      <c r="BL428" s="11">
        <v>85</v>
      </c>
      <c r="BM428">
        <v>0</v>
      </c>
      <c r="BN428" t="s">
        <v>692</v>
      </c>
      <c r="BO428" t="s">
        <v>694</v>
      </c>
      <c r="BP428" t="s">
        <v>701</v>
      </c>
      <c r="BQ428" t="s">
        <v>705</v>
      </c>
      <c r="BR428" t="s">
        <v>706</v>
      </c>
      <c r="BS428" t="s">
        <v>707</v>
      </c>
    </row>
    <row r="429" spans="1:71" hidden="1" x14ac:dyDescent="0.4">
      <c r="A429" s="2" t="s">
        <v>455</v>
      </c>
      <c r="B429" t="str">
        <f>_xlfn.TEXTAFTER(Table1[[#This Row],[VEHIDCODE]],"_")</f>
        <v>Italy_FS_E491</v>
      </c>
      <c r="C429" t="s">
        <v>741</v>
      </c>
      <c r="D429" t="b">
        <f>OR(ISNUMBER(SEARCH("wagon_",Table1[[#This Row],[FILENAMES_EXPECTED]])),ISNUMBER(SEARCH("coach_",Table1[[#This Row],[FILENAMES_EXPECTED]])))</f>
        <v>0</v>
      </c>
      <c r="E429" t="str">
        <f>"item_"&amp;Table1[[#This Row],[VEHIDCODE]]</f>
        <v>item_electric_Italy_FS_E491</v>
      </c>
      <c r="F429" t="str">
        <f>"str_"&amp;Table1[[#This Row],[VEHIDCODE]]</f>
        <v>str_electric_Italy_FS_E491</v>
      </c>
      <c r="G429">
        <v>8</v>
      </c>
      <c r="H429" t="s">
        <v>20</v>
      </c>
      <c r="I429">
        <v>0</v>
      </c>
      <c r="J429" t="s">
        <v>74</v>
      </c>
      <c r="K429">
        <v>0</v>
      </c>
      <c r="L429">
        <v>1988</v>
      </c>
      <c r="M429">
        <v>8</v>
      </c>
      <c r="N429" s="2" t="s">
        <v>20</v>
      </c>
      <c r="O429" t="b">
        <v>1</v>
      </c>
      <c r="Q429" s="2"/>
      <c r="R429">
        <v>45</v>
      </c>
      <c r="S429">
        <v>1</v>
      </c>
      <c r="T429">
        <v>4600</v>
      </c>
      <c r="U429" t="s">
        <v>709</v>
      </c>
      <c r="V429">
        <v>140</v>
      </c>
      <c r="W429" s="2">
        <v>0.3</v>
      </c>
      <c r="Y429" t="b">
        <v>1</v>
      </c>
      <c r="AX429"/>
      <c r="BA429" s="2"/>
      <c r="BB429" s="2" t="b">
        <f>LEN(_xlfn.CONCAT(Table1[[#This Row],[TRACK_TYPE_STANDARD_GAUGE_RAILTYPE_OHLE]:[TRACK_TYPE_MTRO]]))&gt;0</f>
        <v>1</v>
      </c>
      <c r="BC429" s="7">
        <v>40</v>
      </c>
      <c r="BD429" t="s">
        <v>924</v>
      </c>
      <c r="BE429" t="s">
        <v>922</v>
      </c>
      <c r="BF429" t="s">
        <v>940</v>
      </c>
      <c r="BG4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9">
        <v>0</v>
      </c>
      <c r="BI429" t="s">
        <v>734</v>
      </c>
      <c r="BK429" s="11"/>
      <c r="BL429" s="11">
        <v>77</v>
      </c>
      <c r="BM429">
        <v>0</v>
      </c>
      <c r="BN429" t="s">
        <v>692</v>
      </c>
      <c r="BO429" t="s">
        <v>694</v>
      </c>
      <c r="BP429" t="s">
        <v>701</v>
      </c>
      <c r="BQ429" t="s">
        <v>705</v>
      </c>
      <c r="BR429" t="s">
        <v>706</v>
      </c>
      <c r="BS429" t="s">
        <v>707</v>
      </c>
    </row>
    <row r="430" spans="1:71" hidden="1" x14ac:dyDescent="0.4">
      <c r="A430" s="2" t="s">
        <v>456</v>
      </c>
      <c r="B430" t="str">
        <f>_xlfn.TEXTAFTER(Table1[[#This Row],[VEHIDCODE]],"_")</f>
        <v>Macedonia_Macedonian_Railways_462</v>
      </c>
      <c r="C430" t="s">
        <v>741</v>
      </c>
      <c r="D430" t="b">
        <f>OR(ISNUMBER(SEARCH("wagon_",Table1[[#This Row],[FILENAMES_EXPECTED]])),ISNUMBER(SEARCH("coach_",Table1[[#This Row],[FILENAMES_EXPECTED]])))</f>
        <v>0</v>
      </c>
      <c r="E430" t="str">
        <f>"item_"&amp;Table1[[#This Row],[VEHIDCODE]]</f>
        <v>item_electric_Macedonia_Macedonian_Railways_462</v>
      </c>
      <c r="F430" t="str">
        <f>"str_"&amp;Table1[[#This Row],[VEHIDCODE]]</f>
        <v>str_electric_Macedonia_Macedonian_Railways_462</v>
      </c>
      <c r="G430">
        <v>8</v>
      </c>
      <c r="H430" t="s">
        <v>20</v>
      </c>
      <c r="I430">
        <v>0</v>
      </c>
      <c r="J430" t="s">
        <v>74</v>
      </c>
      <c r="K430">
        <v>0</v>
      </c>
      <c r="L430">
        <v>1978</v>
      </c>
      <c r="M430">
        <v>8</v>
      </c>
      <c r="N430" s="2" t="s">
        <v>20</v>
      </c>
      <c r="O430" t="b">
        <v>1</v>
      </c>
      <c r="Q430" s="2"/>
      <c r="R430">
        <v>45</v>
      </c>
      <c r="S430">
        <v>1</v>
      </c>
      <c r="T430">
        <v>6834</v>
      </c>
      <c r="U430" t="s">
        <v>709</v>
      </c>
      <c r="V430">
        <v>120</v>
      </c>
      <c r="W430" s="2">
        <v>0.33</v>
      </c>
      <c r="Y430" t="b">
        <v>1</v>
      </c>
      <c r="AX430"/>
      <c r="BA430" s="2"/>
      <c r="BB430" s="2" t="b">
        <f>LEN(_xlfn.CONCAT(Table1[[#This Row],[TRACK_TYPE_STANDARD_GAUGE_RAILTYPE_OHLE]:[TRACK_TYPE_MTRO]]))&gt;0</f>
        <v>1</v>
      </c>
      <c r="BC430" s="7">
        <v>40</v>
      </c>
      <c r="BD430" t="s">
        <v>924</v>
      </c>
      <c r="BE430" t="s">
        <v>922</v>
      </c>
      <c r="BF430" t="s">
        <v>940</v>
      </c>
      <c r="BG4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0">
        <v>0</v>
      </c>
      <c r="BI430" t="s">
        <v>734</v>
      </c>
      <c r="BK430" s="11"/>
      <c r="BL430" s="11">
        <v>120</v>
      </c>
      <c r="BM430">
        <v>0</v>
      </c>
      <c r="BN430" t="s">
        <v>692</v>
      </c>
      <c r="BO430" t="s">
        <v>694</v>
      </c>
      <c r="BP430" t="s">
        <v>701</v>
      </c>
      <c r="BQ430" t="s">
        <v>705</v>
      </c>
      <c r="BR430" t="s">
        <v>706</v>
      </c>
      <c r="BS430" t="s">
        <v>707</v>
      </c>
    </row>
    <row r="431" spans="1:71" hidden="1" x14ac:dyDescent="0.4">
      <c r="A431" s="2" t="s">
        <v>457</v>
      </c>
      <c r="B431" t="str">
        <f>_xlfn.TEXTAFTER(Table1[[#This Row],[VEHIDCODE]],"_")</f>
        <v>Morocco_ONCFM_E_500</v>
      </c>
      <c r="C431" t="s">
        <v>741</v>
      </c>
      <c r="D431" t="b">
        <f>OR(ISNUMBER(SEARCH("wagon_",Table1[[#This Row],[FILENAMES_EXPECTED]])),ISNUMBER(SEARCH("coach_",Table1[[#This Row],[FILENAMES_EXPECTED]])))</f>
        <v>0</v>
      </c>
      <c r="E431" t="str">
        <f>"item_"&amp;Table1[[#This Row],[VEHIDCODE]]</f>
        <v>item_electric_Morocco_ONCFM_E_500</v>
      </c>
      <c r="F431" t="str">
        <f>"str_"&amp;Table1[[#This Row],[VEHIDCODE]]</f>
        <v>str_electric_Morocco_ONCFM_E_500</v>
      </c>
      <c r="G431">
        <v>5</v>
      </c>
      <c r="H431" t="s">
        <v>20</v>
      </c>
      <c r="I431">
        <v>0</v>
      </c>
      <c r="J431" t="s">
        <v>74</v>
      </c>
      <c r="K431">
        <v>0</v>
      </c>
      <c r="L431">
        <v>1926</v>
      </c>
      <c r="M431">
        <v>5</v>
      </c>
      <c r="N431" s="2" t="s">
        <v>24</v>
      </c>
      <c r="O431" t="b">
        <v>1</v>
      </c>
      <c r="Q431" s="2"/>
      <c r="R431">
        <v>45</v>
      </c>
      <c r="S431">
        <v>1</v>
      </c>
      <c r="T431">
        <v>986</v>
      </c>
      <c r="U431" t="s">
        <v>709</v>
      </c>
      <c r="V431">
        <v>90</v>
      </c>
      <c r="W431" s="2">
        <v>0.21</v>
      </c>
      <c r="Y431" t="b">
        <v>1</v>
      </c>
      <c r="AX431"/>
      <c r="BA431" s="2"/>
      <c r="BB431" s="2" t="b">
        <f>LEN(_xlfn.CONCAT(Table1[[#This Row],[TRACK_TYPE_STANDARD_GAUGE_RAILTYPE_OHLE]:[TRACK_TYPE_MTRO]]))&gt;0</f>
        <v>1</v>
      </c>
      <c r="BC431" s="7">
        <v>40</v>
      </c>
      <c r="BD431" t="s">
        <v>926</v>
      </c>
      <c r="BE431" t="s">
        <v>922</v>
      </c>
      <c r="BF431" t="s">
        <v>940</v>
      </c>
      <c r="BG4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1">
        <v>0</v>
      </c>
      <c r="BI431" t="s">
        <v>734</v>
      </c>
      <c r="BK431" s="11"/>
      <c r="BL431" s="11">
        <v>72</v>
      </c>
      <c r="BM431">
        <v>0</v>
      </c>
      <c r="BN431" t="s">
        <v>692</v>
      </c>
      <c r="BO431" t="s">
        <v>694</v>
      </c>
      <c r="BP431" t="s">
        <v>701</v>
      </c>
      <c r="BQ431" t="s">
        <v>705</v>
      </c>
      <c r="BR431" t="s">
        <v>706</v>
      </c>
      <c r="BS431" t="s">
        <v>707</v>
      </c>
    </row>
    <row r="432" spans="1:71" hidden="1" x14ac:dyDescent="0.4">
      <c r="A432" s="2" t="s">
        <v>458</v>
      </c>
      <c r="B432" t="str">
        <f>_xlfn.TEXTAFTER(Table1[[#This Row],[VEHIDCODE]],"_")</f>
        <v>UK_BR_85</v>
      </c>
      <c r="C432" t="s">
        <v>741</v>
      </c>
      <c r="D432" t="b">
        <f>OR(ISNUMBER(SEARCH("wagon_",Table1[[#This Row],[FILENAMES_EXPECTED]])),ISNUMBER(SEARCH("coach_",Table1[[#This Row],[FILENAMES_EXPECTED]])))</f>
        <v>0</v>
      </c>
      <c r="E432" t="str">
        <f>"item_"&amp;Table1[[#This Row],[VEHIDCODE]]</f>
        <v>item_electric_UK_BR_85</v>
      </c>
      <c r="F432" t="str">
        <f>"str_"&amp;Table1[[#This Row],[VEHIDCODE]]</f>
        <v>str_electric_UK_BR_85</v>
      </c>
      <c r="G432">
        <v>7</v>
      </c>
      <c r="H432" t="s">
        <v>20</v>
      </c>
      <c r="I432">
        <v>0</v>
      </c>
      <c r="J432" t="s">
        <v>74</v>
      </c>
      <c r="K432">
        <v>0</v>
      </c>
      <c r="L432">
        <v>1961</v>
      </c>
      <c r="M432">
        <v>7</v>
      </c>
      <c r="N432" s="2" t="s">
        <v>24</v>
      </c>
      <c r="O432" t="b">
        <v>1</v>
      </c>
      <c r="Q432" s="2"/>
      <c r="R432">
        <v>45</v>
      </c>
      <c r="S432">
        <v>1</v>
      </c>
      <c r="T432">
        <v>3200</v>
      </c>
      <c r="U432" t="s">
        <v>709</v>
      </c>
      <c r="V432">
        <v>160</v>
      </c>
      <c r="W432" s="2">
        <v>0.27</v>
      </c>
      <c r="Y432" t="b">
        <v>1</v>
      </c>
      <c r="AX432"/>
      <c r="BA432" s="2"/>
      <c r="BB432" s="2" t="b">
        <f>LEN(_xlfn.CONCAT(Table1[[#This Row],[TRACK_TYPE_STANDARD_GAUGE_RAILTYPE_OHLE]:[TRACK_TYPE_MTRO]]))&gt;0</f>
        <v>1</v>
      </c>
      <c r="BC432" s="7">
        <v>40</v>
      </c>
      <c r="BD432" t="s">
        <v>927</v>
      </c>
      <c r="BE432" t="s">
        <v>922</v>
      </c>
      <c r="BF432" t="s">
        <v>940</v>
      </c>
      <c r="BG4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2">
        <v>0</v>
      </c>
      <c r="BI432" t="s">
        <v>734</v>
      </c>
      <c r="BK432" s="11"/>
      <c r="BL432" s="11">
        <v>81</v>
      </c>
      <c r="BM432">
        <v>0</v>
      </c>
      <c r="BN432" t="s">
        <v>692</v>
      </c>
      <c r="BO432" t="s">
        <v>694</v>
      </c>
      <c r="BP432" t="s">
        <v>701</v>
      </c>
      <c r="BQ432" t="s">
        <v>705</v>
      </c>
      <c r="BR432" t="s">
        <v>706</v>
      </c>
      <c r="BS432" t="s">
        <v>707</v>
      </c>
    </row>
    <row r="433" spans="1:71" hidden="1" x14ac:dyDescent="0.4">
      <c r="A433" s="2" t="s">
        <v>459</v>
      </c>
      <c r="B433" t="str">
        <f>_xlfn.TEXTAFTER(Table1[[#This Row],[VEHIDCODE]],"_")</f>
        <v>Mexico_FNM_GE_E60C_2</v>
      </c>
      <c r="C433" t="s">
        <v>741</v>
      </c>
      <c r="D433" t="b">
        <f>OR(ISNUMBER(SEARCH("wagon_",Table1[[#This Row],[FILENAMES_EXPECTED]])),ISNUMBER(SEARCH("coach_",Table1[[#This Row],[FILENAMES_EXPECTED]])))</f>
        <v>0</v>
      </c>
      <c r="E433" t="str">
        <f>"item_"&amp;Table1[[#This Row],[VEHIDCODE]]</f>
        <v>item_electric_Mexico_FNM_GE_E60C_2</v>
      </c>
      <c r="F433" t="str">
        <f>"str_"&amp;Table1[[#This Row],[VEHIDCODE]]</f>
        <v>str_electric_Mexico_FNM_GE_E60C_2</v>
      </c>
      <c r="G433">
        <v>8</v>
      </c>
      <c r="H433" t="s">
        <v>20</v>
      </c>
      <c r="I433">
        <v>0</v>
      </c>
      <c r="J433" t="s">
        <v>74</v>
      </c>
      <c r="K433">
        <v>0</v>
      </c>
      <c r="L433">
        <v>1982</v>
      </c>
      <c r="M433">
        <v>8</v>
      </c>
      <c r="N433" s="2" t="s">
        <v>20</v>
      </c>
      <c r="O433" t="b">
        <v>1</v>
      </c>
      <c r="Q433" s="2"/>
      <c r="R433">
        <v>45</v>
      </c>
      <c r="S433">
        <v>1</v>
      </c>
      <c r="T433">
        <v>6000</v>
      </c>
      <c r="U433" t="s">
        <v>709</v>
      </c>
      <c r="V433">
        <v>145</v>
      </c>
      <c r="W433" s="2">
        <v>0.19</v>
      </c>
      <c r="Y433" t="b">
        <v>1</v>
      </c>
      <c r="AX433"/>
      <c r="BA433" s="2"/>
      <c r="BB433" s="2" t="b">
        <f>LEN(_xlfn.CONCAT(Table1[[#This Row],[TRACK_TYPE_STANDARD_GAUGE_RAILTYPE_OHLE]:[TRACK_TYPE_MTRO]]))&gt;0</f>
        <v>1</v>
      </c>
      <c r="BC433" s="7">
        <v>40</v>
      </c>
      <c r="BD433" t="s">
        <v>928</v>
      </c>
      <c r="BE433" t="s">
        <v>922</v>
      </c>
      <c r="BF433" t="s">
        <v>940</v>
      </c>
      <c r="BG4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3">
        <v>0</v>
      </c>
      <c r="BI433" t="s">
        <v>734</v>
      </c>
      <c r="BK433" s="11"/>
      <c r="BL433" s="11">
        <v>176</v>
      </c>
      <c r="BM433">
        <v>0</v>
      </c>
      <c r="BN433" t="s">
        <v>692</v>
      </c>
      <c r="BO433" t="s">
        <v>694</v>
      </c>
      <c r="BP433" t="s">
        <v>701</v>
      </c>
      <c r="BQ433" t="s">
        <v>705</v>
      </c>
      <c r="BR433" t="s">
        <v>706</v>
      </c>
      <c r="BS433" t="s">
        <v>707</v>
      </c>
    </row>
    <row r="434" spans="1:71" hidden="1" x14ac:dyDescent="0.4">
      <c r="A434" s="2" t="s">
        <v>460</v>
      </c>
      <c r="B434" t="str">
        <f>_xlfn.TEXTAFTER(Table1[[#This Row],[VEHIDCODE]],"_")</f>
        <v>Morocco_ONCF_E_1400_Prima_II</v>
      </c>
      <c r="C434" t="s">
        <v>741</v>
      </c>
      <c r="D434" t="b">
        <f>OR(ISNUMBER(SEARCH("wagon_",Table1[[#This Row],[FILENAMES_EXPECTED]])),ISNUMBER(SEARCH("coach_",Table1[[#This Row],[FILENAMES_EXPECTED]])))</f>
        <v>0</v>
      </c>
      <c r="E434" t="str">
        <f>"item_"&amp;Table1[[#This Row],[VEHIDCODE]]</f>
        <v>item_electric_Morocco_ONCF_E_1400_Prima_II</v>
      </c>
      <c r="F434" t="str">
        <f>"str_"&amp;Table1[[#This Row],[VEHIDCODE]]</f>
        <v>str_electric_Morocco_ONCF_E_1400_Prima_II</v>
      </c>
      <c r="G434">
        <v>8</v>
      </c>
      <c r="H434" t="s">
        <v>20</v>
      </c>
      <c r="I434">
        <v>0</v>
      </c>
      <c r="J434" t="s">
        <v>74</v>
      </c>
      <c r="K434">
        <v>0</v>
      </c>
      <c r="L434">
        <v>2010</v>
      </c>
      <c r="M434">
        <v>8</v>
      </c>
      <c r="N434" s="2" t="s">
        <v>20</v>
      </c>
      <c r="O434" t="b">
        <v>1</v>
      </c>
      <c r="Q434" s="2"/>
      <c r="R434" t="s">
        <v>21</v>
      </c>
      <c r="S434">
        <v>1</v>
      </c>
      <c r="T434">
        <v>7700</v>
      </c>
      <c r="U434" t="s">
        <v>709</v>
      </c>
      <c r="V434">
        <v>200</v>
      </c>
      <c r="W434" s="2">
        <v>0.35</v>
      </c>
      <c r="Y434" t="b">
        <v>1</v>
      </c>
      <c r="AX434"/>
      <c r="BA434" s="2"/>
      <c r="BB434" s="2" t="b">
        <f>LEN(_xlfn.CONCAT(Table1[[#This Row],[TRACK_TYPE_STANDARD_GAUGE_RAILTYPE_OHLE]:[TRACK_TYPE_MTRO]]))&gt;0</f>
        <v>1</v>
      </c>
      <c r="BC434" s="7">
        <v>40</v>
      </c>
      <c r="BD434" t="s">
        <v>926</v>
      </c>
      <c r="BE434" t="s">
        <v>922</v>
      </c>
      <c r="BF434" t="s">
        <v>940</v>
      </c>
      <c r="BG4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4">
        <v>0</v>
      </c>
      <c r="BI434" t="s">
        <v>734</v>
      </c>
      <c r="BK434" s="11"/>
      <c r="BL434" s="11">
        <v>91</v>
      </c>
      <c r="BM434">
        <v>0</v>
      </c>
      <c r="BN434" t="s">
        <v>692</v>
      </c>
      <c r="BO434" t="s">
        <v>694</v>
      </c>
      <c r="BP434" t="s">
        <v>701</v>
      </c>
      <c r="BQ434" t="s">
        <v>705</v>
      </c>
      <c r="BR434" t="s">
        <v>706</v>
      </c>
      <c r="BS434" t="s">
        <v>707</v>
      </c>
    </row>
    <row r="435" spans="1:71" hidden="1" x14ac:dyDescent="0.4">
      <c r="A435" s="2" t="s">
        <v>461</v>
      </c>
      <c r="B435" t="str">
        <f>_xlfn.TEXTAFTER(Table1[[#This Row],[VEHIDCODE]],"_")</f>
        <v>New_Zealand_NZR_EA</v>
      </c>
      <c r="C435" t="s">
        <v>741</v>
      </c>
      <c r="D435" t="b">
        <f>OR(ISNUMBER(SEARCH("wagon_",Table1[[#This Row],[FILENAMES_EXPECTED]])),ISNUMBER(SEARCH("coach_",Table1[[#This Row],[FILENAMES_EXPECTED]])))</f>
        <v>0</v>
      </c>
      <c r="E435" t="str">
        <f>"item_"&amp;Table1[[#This Row],[VEHIDCODE]]</f>
        <v>item_electric_New_Zealand_NZR_EA</v>
      </c>
      <c r="F435" t="str">
        <f>"str_"&amp;Table1[[#This Row],[VEHIDCODE]]</f>
        <v>str_electric_New_Zealand_NZR_EA</v>
      </c>
      <c r="G435">
        <v>6</v>
      </c>
      <c r="H435" t="s">
        <v>20</v>
      </c>
      <c r="I435">
        <v>0</v>
      </c>
      <c r="J435" t="s">
        <v>74</v>
      </c>
      <c r="K435">
        <v>0</v>
      </c>
      <c r="L435">
        <v>1968</v>
      </c>
      <c r="M435">
        <v>6</v>
      </c>
      <c r="N435" s="2" t="s">
        <v>20</v>
      </c>
      <c r="O435" t="b">
        <v>1</v>
      </c>
      <c r="Q435" s="2"/>
      <c r="R435">
        <v>45</v>
      </c>
      <c r="S435">
        <v>1</v>
      </c>
      <c r="T435">
        <v>1290</v>
      </c>
      <c r="U435" t="s">
        <v>709</v>
      </c>
      <c r="V435">
        <v>72</v>
      </c>
      <c r="W435" s="2">
        <v>0.32</v>
      </c>
      <c r="Y435" t="b">
        <v>1</v>
      </c>
      <c r="AX435"/>
      <c r="BA435" s="2"/>
      <c r="BB435" s="2" t="b">
        <f>LEN(_xlfn.CONCAT(Table1[[#This Row],[TRACK_TYPE_STANDARD_GAUGE_RAILTYPE_OHLE]:[TRACK_TYPE_MTRO]]))&gt;0</f>
        <v>1</v>
      </c>
      <c r="BC435" s="7">
        <v>40</v>
      </c>
      <c r="BD435" t="s">
        <v>925</v>
      </c>
      <c r="BE435" t="s">
        <v>922</v>
      </c>
      <c r="BF435" t="s">
        <v>940</v>
      </c>
      <c r="BG4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5">
        <v>0</v>
      </c>
      <c r="BI435" t="s">
        <v>734</v>
      </c>
      <c r="BK435" s="11"/>
      <c r="BL435" s="11">
        <v>55</v>
      </c>
      <c r="BM435">
        <v>0</v>
      </c>
      <c r="BN435" t="s">
        <v>692</v>
      </c>
      <c r="BO435" t="s">
        <v>694</v>
      </c>
      <c r="BP435" t="s">
        <v>701</v>
      </c>
      <c r="BQ435" t="s">
        <v>705</v>
      </c>
      <c r="BR435" t="s">
        <v>706</v>
      </c>
      <c r="BS435" t="s">
        <v>707</v>
      </c>
    </row>
    <row r="436" spans="1:71" hidden="1" x14ac:dyDescent="0.4">
      <c r="A436" s="2" t="s">
        <v>462</v>
      </c>
      <c r="B436" t="str">
        <f>_xlfn.TEXTAFTER(Table1[[#This Row],[VEHIDCODE]],"_")</f>
        <v>Canada_BC_Rail_GF6C</v>
      </c>
      <c r="C436" t="s">
        <v>741</v>
      </c>
      <c r="D436" t="b">
        <f>OR(ISNUMBER(SEARCH("wagon_",Table1[[#This Row],[FILENAMES_EXPECTED]])),ISNUMBER(SEARCH("coach_",Table1[[#This Row],[FILENAMES_EXPECTED]])))</f>
        <v>0</v>
      </c>
      <c r="E436" t="str">
        <f>"item_"&amp;Table1[[#This Row],[VEHIDCODE]]</f>
        <v>item_electric_Canada_BC_Rail_GF6C</v>
      </c>
      <c r="F436" t="str">
        <f>"str_"&amp;Table1[[#This Row],[VEHIDCODE]]</f>
        <v>str_electric_Canada_BC_Rail_GF6C</v>
      </c>
      <c r="G436">
        <v>8</v>
      </c>
      <c r="H436" t="s">
        <v>20</v>
      </c>
      <c r="I436">
        <v>0</v>
      </c>
      <c r="J436" t="s">
        <v>74</v>
      </c>
      <c r="K436">
        <v>0</v>
      </c>
      <c r="L436">
        <v>1983</v>
      </c>
      <c r="M436">
        <v>8</v>
      </c>
      <c r="N436" s="2" t="s">
        <v>20</v>
      </c>
      <c r="O436" t="b">
        <v>1</v>
      </c>
      <c r="Q436" s="2"/>
      <c r="R436">
        <v>45</v>
      </c>
      <c r="S436">
        <v>1</v>
      </c>
      <c r="T436">
        <v>6000</v>
      </c>
      <c r="U436" t="s">
        <v>709</v>
      </c>
      <c r="V436">
        <v>110</v>
      </c>
      <c r="W436" s="2">
        <v>0.22</v>
      </c>
      <c r="Y436" t="b">
        <v>1</v>
      </c>
      <c r="AX436"/>
      <c r="BA436" s="2"/>
      <c r="BB436" s="2" t="b">
        <f>LEN(_xlfn.CONCAT(Table1[[#This Row],[TRACK_TYPE_STANDARD_GAUGE_RAILTYPE_OHLE]:[TRACK_TYPE_MTRO]]))&gt;0</f>
        <v>1</v>
      </c>
      <c r="BC436" s="7">
        <v>40</v>
      </c>
      <c r="BD436" t="s">
        <v>928</v>
      </c>
      <c r="BE436" t="s">
        <v>922</v>
      </c>
      <c r="BF436" t="s">
        <v>940</v>
      </c>
      <c r="BG4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6">
        <v>0</v>
      </c>
      <c r="BI436" t="s">
        <v>734</v>
      </c>
      <c r="BK436" s="11"/>
      <c r="BL436" s="11">
        <v>180</v>
      </c>
      <c r="BM436">
        <v>0</v>
      </c>
      <c r="BN436" t="s">
        <v>692</v>
      </c>
      <c r="BO436" t="s">
        <v>694</v>
      </c>
      <c r="BP436" t="s">
        <v>701</v>
      </c>
      <c r="BQ436" t="s">
        <v>705</v>
      </c>
      <c r="BR436" t="s">
        <v>706</v>
      </c>
      <c r="BS436" t="s">
        <v>707</v>
      </c>
    </row>
    <row r="437" spans="1:71" hidden="1" x14ac:dyDescent="0.4">
      <c r="A437" s="2" t="s">
        <v>463</v>
      </c>
      <c r="B437" t="str">
        <f>_xlfn.TEXTAFTER(Table1[[#This Row],[VEHIDCODE]],"_")</f>
        <v>France_SNCF_BB_22200</v>
      </c>
      <c r="C437" t="s">
        <v>741</v>
      </c>
      <c r="D437" t="b">
        <f>OR(ISNUMBER(SEARCH("wagon_",Table1[[#This Row],[FILENAMES_EXPECTED]])),ISNUMBER(SEARCH("coach_",Table1[[#This Row],[FILENAMES_EXPECTED]])))</f>
        <v>0</v>
      </c>
      <c r="E437" t="str">
        <f>"item_"&amp;Table1[[#This Row],[VEHIDCODE]]</f>
        <v>item_electric_France_SNCF_BB_22200</v>
      </c>
      <c r="F437" t="str">
        <f>"str_"&amp;Table1[[#This Row],[VEHIDCODE]]</f>
        <v>str_electric_France_SNCF_BB_22200</v>
      </c>
      <c r="G437">
        <v>8</v>
      </c>
      <c r="H437" t="s">
        <v>20</v>
      </c>
      <c r="I437">
        <v>0</v>
      </c>
      <c r="J437" t="s">
        <v>74</v>
      </c>
      <c r="K437">
        <v>0</v>
      </c>
      <c r="L437">
        <v>1976</v>
      </c>
      <c r="M437">
        <v>8</v>
      </c>
      <c r="N437" s="2" t="s">
        <v>20</v>
      </c>
      <c r="O437" t="b">
        <v>1</v>
      </c>
      <c r="Q437" s="2"/>
      <c r="R437">
        <v>45</v>
      </c>
      <c r="S437">
        <v>1</v>
      </c>
      <c r="T437">
        <v>5842</v>
      </c>
      <c r="U437" t="s">
        <v>709</v>
      </c>
      <c r="V437">
        <v>160</v>
      </c>
      <c r="W437" s="2">
        <v>0.33</v>
      </c>
      <c r="X437" t="b">
        <v>1</v>
      </c>
      <c r="AX437"/>
      <c r="BA437" s="2"/>
      <c r="BB437" s="2" t="b">
        <f>LEN(_xlfn.CONCAT(Table1[[#This Row],[TRACK_TYPE_STANDARD_GAUGE_RAILTYPE_OHLE]:[TRACK_TYPE_MTRO]]))&gt;0</f>
        <v>1</v>
      </c>
      <c r="BC437" s="7">
        <v>40</v>
      </c>
      <c r="BD437" t="s">
        <v>923</v>
      </c>
      <c r="BE437" t="s">
        <v>922</v>
      </c>
      <c r="BF437" t="s">
        <v>940</v>
      </c>
      <c r="BG4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7">
        <v>-3</v>
      </c>
      <c r="BI437" t="s">
        <v>734</v>
      </c>
      <c r="BK437" s="11"/>
      <c r="BL437" s="11">
        <v>90</v>
      </c>
      <c r="BM437">
        <v>0</v>
      </c>
      <c r="BN437" t="s">
        <v>692</v>
      </c>
      <c r="BO437" t="s">
        <v>694</v>
      </c>
      <c r="BP437" t="s">
        <v>701</v>
      </c>
      <c r="BQ437" t="s">
        <v>705</v>
      </c>
      <c r="BR437" t="s">
        <v>706</v>
      </c>
      <c r="BS437" t="s">
        <v>707</v>
      </c>
    </row>
    <row r="438" spans="1:71" hidden="1" x14ac:dyDescent="0.4">
      <c r="A438" s="2" t="s">
        <v>464</v>
      </c>
      <c r="B438" t="str">
        <f>_xlfn.TEXTAFTER(Table1[[#This Row],[VEHIDCODE]],"_")</f>
        <v>France_SNCF_BB_26000</v>
      </c>
      <c r="C438" t="s">
        <v>741</v>
      </c>
      <c r="D438" t="b">
        <f>OR(ISNUMBER(SEARCH("wagon_",Table1[[#This Row],[FILENAMES_EXPECTED]])),ISNUMBER(SEARCH("coach_",Table1[[#This Row],[FILENAMES_EXPECTED]])))</f>
        <v>0</v>
      </c>
      <c r="E438" t="str">
        <f>"item_"&amp;Table1[[#This Row],[VEHIDCODE]]</f>
        <v>item_electric_France_SNCF_BB_26000</v>
      </c>
      <c r="F438" t="str">
        <f>"str_"&amp;Table1[[#This Row],[VEHIDCODE]]</f>
        <v>str_electric_France_SNCF_BB_26000</v>
      </c>
      <c r="G438">
        <v>8</v>
      </c>
      <c r="H438" t="s">
        <v>20</v>
      </c>
      <c r="I438">
        <v>0</v>
      </c>
      <c r="J438" t="s">
        <v>74</v>
      </c>
      <c r="K438">
        <v>0</v>
      </c>
      <c r="L438">
        <v>1989</v>
      </c>
      <c r="M438">
        <v>8</v>
      </c>
      <c r="N438" s="2" t="s">
        <v>20</v>
      </c>
      <c r="O438" t="b">
        <v>1</v>
      </c>
      <c r="Q438" s="2"/>
      <c r="R438" t="s">
        <v>21</v>
      </c>
      <c r="S438">
        <v>1</v>
      </c>
      <c r="T438">
        <v>7504</v>
      </c>
      <c r="U438" t="s">
        <v>709</v>
      </c>
      <c r="V438">
        <v>200</v>
      </c>
      <c r="W438" s="2">
        <v>0.36</v>
      </c>
      <c r="X438" t="b">
        <v>1</v>
      </c>
      <c r="AX438"/>
      <c r="BA438" s="2"/>
      <c r="BB438" s="2" t="b">
        <f>LEN(_xlfn.CONCAT(Table1[[#This Row],[TRACK_TYPE_STANDARD_GAUGE_RAILTYPE_OHLE]:[TRACK_TYPE_MTRO]]))&gt;0</f>
        <v>1</v>
      </c>
      <c r="BC438" s="7">
        <v>40</v>
      </c>
      <c r="BD438" t="s">
        <v>923</v>
      </c>
      <c r="BE438" t="s">
        <v>922</v>
      </c>
      <c r="BF438" t="s">
        <v>940</v>
      </c>
      <c r="BG4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8">
        <v>-3</v>
      </c>
      <c r="BI438" t="s">
        <v>734</v>
      </c>
      <c r="BK438" s="11"/>
      <c r="BL438" s="11">
        <v>90</v>
      </c>
      <c r="BM438">
        <v>0</v>
      </c>
      <c r="BN438" t="s">
        <v>692</v>
      </c>
      <c r="BO438" t="s">
        <v>694</v>
      </c>
      <c r="BP438" t="s">
        <v>701</v>
      </c>
      <c r="BQ438" t="s">
        <v>705</v>
      </c>
      <c r="BR438" t="s">
        <v>706</v>
      </c>
      <c r="BS438" t="s">
        <v>707</v>
      </c>
    </row>
    <row r="439" spans="1:71" hidden="1" x14ac:dyDescent="0.4">
      <c r="A439" s="2" t="s">
        <v>465</v>
      </c>
      <c r="B439" t="str">
        <f>_xlfn.TEXTAFTER(Table1[[#This Row],[VEHIDCODE]],"_")</f>
        <v>France_SNCF_BB_25500</v>
      </c>
      <c r="C439" t="s">
        <v>741</v>
      </c>
      <c r="D439" t="b">
        <f>OR(ISNUMBER(SEARCH("wagon_",Table1[[#This Row],[FILENAMES_EXPECTED]])),ISNUMBER(SEARCH("coach_",Table1[[#This Row],[FILENAMES_EXPECTED]])))</f>
        <v>0</v>
      </c>
      <c r="E439" t="str">
        <f>"item_"&amp;Table1[[#This Row],[VEHIDCODE]]</f>
        <v>item_electric_France_SNCF_BB_25500</v>
      </c>
      <c r="F439" t="str">
        <f>"str_"&amp;Table1[[#This Row],[VEHIDCODE]]</f>
        <v>str_electric_France_SNCF_BB_25500</v>
      </c>
      <c r="G439">
        <v>8</v>
      </c>
      <c r="H439" t="s">
        <v>20</v>
      </c>
      <c r="I439">
        <v>0</v>
      </c>
      <c r="J439" t="s">
        <v>74</v>
      </c>
      <c r="K439">
        <v>0</v>
      </c>
      <c r="L439">
        <v>1964</v>
      </c>
      <c r="M439">
        <v>8</v>
      </c>
      <c r="N439" s="2" t="s">
        <v>20</v>
      </c>
      <c r="O439" t="b">
        <v>1</v>
      </c>
      <c r="Q439" s="2"/>
      <c r="R439">
        <v>45</v>
      </c>
      <c r="S439">
        <v>1</v>
      </c>
      <c r="T439">
        <v>3940</v>
      </c>
      <c r="U439" t="s">
        <v>709</v>
      </c>
      <c r="V439">
        <v>100</v>
      </c>
      <c r="W439" s="2">
        <v>0.42</v>
      </c>
      <c r="X439" t="b">
        <v>1</v>
      </c>
      <c r="AX439"/>
      <c r="BA439" s="2"/>
      <c r="BB439" s="2" t="b">
        <f>LEN(_xlfn.CONCAT(Table1[[#This Row],[TRACK_TYPE_STANDARD_GAUGE_RAILTYPE_OHLE]:[TRACK_TYPE_MTRO]]))&gt;0</f>
        <v>1</v>
      </c>
      <c r="BC439" s="7">
        <v>40</v>
      </c>
      <c r="BD439" t="s">
        <v>923</v>
      </c>
      <c r="BE439" t="s">
        <v>922</v>
      </c>
      <c r="BF439" t="s">
        <v>940</v>
      </c>
      <c r="BG4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9">
        <v>0</v>
      </c>
      <c r="BI439" t="s">
        <v>734</v>
      </c>
      <c r="BK439" s="11"/>
      <c r="BL439" s="11">
        <v>79</v>
      </c>
      <c r="BM439">
        <v>0</v>
      </c>
      <c r="BN439" t="s">
        <v>692</v>
      </c>
      <c r="BO439" t="s">
        <v>694</v>
      </c>
      <c r="BP439" t="s">
        <v>701</v>
      </c>
      <c r="BQ439" t="s">
        <v>705</v>
      </c>
      <c r="BR439" t="s">
        <v>706</v>
      </c>
      <c r="BS439" t="s">
        <v>707</v>
      </c>
    </row>
    <row r="440" spans="1:71" hidden="1" x14ac:dyDescent="0.4">
      <c r="A440" s="2" t="s">
        <v>466</v>
      </c>
      <c r="B440" t="str">
        <f>_xlfn.TEXTAFTER(Table1[[#This Row],[VEHIDCODE]],"_")</f>
        <v>Germany_DB_182_ES64U_Taurus</v>
      </c>
      <c r="C440" t="s">
        <v>741</v>
      </c>
      <c r="D440" t="b">
        <f>OR(ISNUMBER(SEARCH("wagon_",Table1[[#This Row],[FILENAMES_EXPECTED]])),ISNUMBER(SEARCH("coach_",Table1[[#This Row],[FILENAMES_EXPECTED]])))</f>
        <v>0</v>
      </c>
      <c r="E440" t="str">
        <f>"item_"&amp;Table1[[#This Row],[VEHIDCODE]]</f>
        <v>item_electric_Germany_DB_182_ES64U_Taurus</v>
      </c>
      <c r="F440" t="str">
        <f>"str_"&amp;Table1[[#This Row],[VEHIDCODE]]</f>
        <v>str_electric_Germany_DB_182_ES64U_Taurus</v>
      </c>
      <c r="G440">
        <v>8</v>
      </c>
      <c r="H440" t="s">
        <v>20</v>
      </c>
      <c r="I440">
        <v>0</v>
      </c>
      <c r="J440" t="s">
        <v>74</v>
      </c>
      <c r="K440">
        <v>0</v>
      </c>
      <c r="L440">
        <v>2000</v>
      </c>
      <c r="M440">
        <v>8</v>
      </c>
      <c r="N440" s="2" t="s">
        <v>20</v>
      </c>
      <c r="O440" t="b">
        <v>1</v>
      </c>
      <c r="Q440" s="2"/>
      <c r="R440" t="s">
        <v>21</v>
      </c>
      <c r="S440">
        <v>1</v>
      </c>
      <c r="T440">
        <v>11266</v>
      </c>
      <c r="U440" t="s">
        <v>709</v>
      </c>
      <c r="V440">
        <v>230</v>
      </c>
      <c r="W440" s="2">
        <v>0.35</v>
      </c>
      <c r="X440" t="b">
        <v>1</v>
      </c>
      <c r="AX440"/>
      <c r="BA440" s="2"/>
      <c r="BB440" s="2" t="b">
        <f>LEN(_xlfn.CONCAT(Table1[[#This Row],[TRACK_TYPE_STANDARD_GAUGE_RAILTYPE_OHLE]:[TRACK_TYPE_MTRO]]))&gt;0</f>
        <v>1</v>
      </c>
      <c r="BC440" s="7">
        <v>40</v>
      </c>
      <c r="BD440" t="s">
        <v>923</v>
      </c>
      <c r="BE440" t="s">
        <v>922</v>
      </c>
      <c r="BF440" t="s">
        <v>940</v>
      </c>
      <c r="BG4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0">
        <v>-3</v>
      </c>
      <c r="BI440" t="s">
        <v>734</v>
      </c>
      <c r="BK440" s="11"/>
      <c r="BL440" s="11">
        <v>86</v>
      </c>
      <c r="BM440">
        <v>0</v>
      </c>
      <c r="BN440" t="s">
        <v>692</v>
      </c>
      <c r="BO440" t="s">
        <v>694</v>
      </c>
      <c r="BP440" t="s">
        <v>701</v>
      </c>
      <c r="BQ440" t="s">
        <v>705</v>
      </c>
      <c r="BR440" t="s">
        <v>706</v>
      </c>
      <c r="BS440" t="s">
        <v>707</v>
      </c>
    </row>
    <row r="441" spans="1:71" hidden="1" x14ac:dyDescent="0.4">
      <c r="A441" s="2" t="s">
        <v>467</v>
      </c>
      <c r="B441" t="str">
        <f>_xlfn.TEXTAFTER(Table1[[#This Row],[VEHIDCODE]],"_")</f>
        <v>Japan_JR_EH500</v>
      </c>
      <c r="C441" t="s">
        <v>741</v>
      </c>
      <c r="D441" t="b">
        <f>OR(ISNUMBER(SEARCH("wagon_",Table1[[#This Row],[FILENAMES_EXPECTED]])),ISNUMBER(SEARCH("coach_",Table1[[#This Row],[FILENAMES_EXPECTED]])))</f>
        <v>0</v>
      </c>
      <c r="E441" t="str">
        <f>"item_"&amp;Table1[[#This Row],[VEHIDCODE]]</f>
        <v>item_electric_Japan_JR_EH500</v>
      </c>
      <c r="F441" t="str">
        <f>"str_"&amp;Table1[[#This Row],[VEHIDCODE]]</f>
        <v>str_electric_Japan_JR_EH500</v>
      </c>
      <c r="G441">
        <v>16</v>
      </c>
      <c r="H441" t="s">
        <v>20</v>
      </c>
      <c r="I441">
        <v>0</v>
      </c>
      <c r="J441" t="s">
        <v>74</v>
      </c>
      <c r="K441">
        <v>0</v>
      </c>
      <c r="L441">
        <v>1997</v>
      </c>
      <c r="M441">
        <v>8</v>
      </c>
      <c r="N441" s="2" t="s">
        <v>20</v>
      </c>
      <c r="O441" t="b">
        <v>1</v>
      </c>
      <c r="Q441" s="2"/>
      <c r="R441" t="s">
        <v>21</v>
      </c>
      <c r="S441">
        <v>1</v>
      </c>
      <c r="T441">
        <v>5350</v>
      </c>
      <c r="U441" t="s">
        <v>709</v>
      </c>
      <c r="V441">
        <v>110</v>
      </c>
      <c r="W441" s="2">
        <v>0.18</v>
      </c>
      <c r="X441" t="b">
        <v>1</v>
      </c>
      <c r="AX441"/>
      <c r="BA441" s="2"/>
      <c r="BB441" s="2" t="b">
        <f>LEN(_xlfn.CONCAT(Table1[[#This Row],[TRACK_TYPE_STANDARD_GAUGE_RAILTYPE_OHLE]:[TRACK_TYPE_MTRO]]))&gt;0</f>
        <v>1</v>
      </c>
      <c r="BC441" s="7">
        <v>40</v>
      </c>
      <c r="BD441" t="s">
        <v>931</v>
      </c>
      <c r="BE441" t="s">
        <v>922</v>
      </c>
      <c r="BF441" t="s">
        <v>940</v>
      </c>
      <c r="BG4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1">
        <v>0</v>
      </c>
      <c r="BI441" t="s">
        <v>734</v>
      </c>
      <c r="BK441" s="11"/>
      <c r="BL441" s="11">
        <v>134</v>
      </c>
      <c r="BM441">
        <v>0</v>
      </c>
      <c r="BN441" t="s">
        <v>692</v>
      </c>
      <c r="BO441" t="s">
        <v>694</v>
      </c>
      <c r="BP441" t="s">
        <v>701</v>
      </c>
      <c r="BQ441" t="s">
        <v>705</v>
      </c>
      <c r="BR441" t="s">
        <v>706</v>
      </c>
      <c r="BS441" t="s">
        <v>707</v>
      </c>
    </row>
    <row r="442" spans="1:71" hidden="1" x14ac:dyDescent="0.4">
      <c r="A442" s="2" t="s">
        <v>468</v>
      </c>
      <c r="B442" t="str">
        <f>_xlfn.TEXTAFTER(Table1[[#This Row],[VEHIDCODE]],"_")</f>
        <v>USA_Amtrak_EMD_AEM_7</v>
      </c>
      <c r="C442" t="s">
        <v>741</v>
      </c>
      <c r="D442" t="b">
        <f>OR(ISNUMBER(SEARCH("wagon_",Table1[[#This Row],[FILENAMES_EXPECTED]])),ISNUMBER(SEARCH("coach_",Table1[[#This Row],[FILENAMES_EXPECTED]])))</f>
        <v>0</v>
      </c>
      <c r="E442" t="str">
        <f>"item_"&amp;Table1[[#This Row],[VEHIDCODE]]</f>
        <v>item_electric_USA_Amtrak_EMD_AEM_7</v>
      </c>
      <c r="F442" t="str">
        <f>"str_"&amp;Table1[[#This Row],[VEHIDCODE]]</f>
        <v>str_electric_USA_Amtrak_EMD_AEM_7</v>
      </c>
      <c r="G442">
        <v>7</v>
      </c>
      <c r="H442" t="s">
        <v>20</v>
      </c>
      <c r="I442">
        <v>0</v>
      </c>
      <c r="J442" t="s">
        <v>74</v>
      </c>
      <c r="K442">
        <v>0</v>
      </c>
      <c r="L442">
        <v>1978</v>
      </c>
      <c r="M442">
        <v>7</v>
      </c>
      <c r="N442" s="2" t="s">
        <v>20</v>
      </c>
      <c r="O442" t="b">
        <v>1</v>
      </c>
      <c r="Q442" s="2"/>
      <c r="R442">
        <v>45</v>
      </c>
      <c r="S442">
        <v>1</v>
      </c>
      <c r="T442">
        <v>5790</v>
      </c>
      <c r="U442" t="s">
        <v>709</v>
      </c>
      <c r="V442">
        <v>201</v>
      </c>
      <c r="W442" s="2">
        <v>0.26</v>
      </c>
      <c r="X442" t="b">
        <v>1</v>
      </c>
      <c r="AX442"/>
      <c r="BA442" s="2"/>
      <c r="BB442" s="2" t="b">
        <f>LEN(_xlfn.CONCAT(Table1[[#This Row],[TRACK_TYPE_STANDARD_GAUGE_RAILTYPE_OHLE]:[TRACK_TYPE_MTRO]]))&gt;0</f>
        <v>1</v>
      </c>
      <c r="BC442" s="7">
        <v>40</v>
      </c>
      <c r="BD442" t="s">
        <v>928</v>
      </c>
      <c r="BE442" t="s">
        <v>922</v>
      </c>
      <c r="BF442" t="s">
        <v>940</v>
      </c>
      <c r="BG4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2">
        <v>0</v>
      </c>
      <c r="BI442" t="s">
        <v>734</v>
      </c>
      <c r="BK442" s="11"/>
      <c r="BL442" s="11">
        <v>92</v>
      </c>
      <c r="BM442">
        <v>0</v>
      </c>
      <c r="BN442" t="s">
        <v>692</v>
      </c>
      <c r="BO442" t="s">
        <v>694</v>
      </c>
      <c r="BP442" t="s">
        <v>701</v>
      </c>
      <c r="BQ442" t="s">
        <v>705</v>
      </c>
      <c r="BR442" t="s">
        <v>706</v>
      </c>
      <c r="BS442" t="s">
        <v>707</v>
      </c>
    </row>
    <row r="443" spans="1:71" hidden="1" x14ac:dyDescent="0.4">
      <c r="A443" s="2" t="s">
        <v>469</v>
      </c>
      <c r="B443" t="str">
        <f>_xlfn.TEXTAFTER(Table1[[#This Row],[VEHIDCODE]],"_")</f>
        <v>USA_Amtrak_HHP_8</v>
      </c>
      <c r="C443" t="s">
        <v>741</v>
      </c>
      <c r="D443" t="b">
        <f>OR(ISNUMBER(SEARCH("wagon_",Table1[[#This Row],[FILENAMES_EXPECTED]])),ISNUMBER(SEARCH("coach_",Table1[[#This Row],[FILENAMES_EXPECTED]])))</f>
        <v>0</v>
      </c>
      <c r="E443" t="str">
        <f>"item_"&amp;Table1[[#This Row],[VEHIDCODE]]</f>
        <v>item_electric_USA_Amtrak_HHP_8</v>
      </c>
      <c r="F443" t="str">
        <f>"str_"&amp;Table1[[#This Row],[VEHIDCODE]]</f>
        <v>str_electric_USA_Amtrak_HHP_8</v>
      </c>
      <c r="G443">
        <v>8</v>
      </c>
      <c r="H443" t="s">
        <v>20</v>
      </c>
      <c r="I443">
        <v>0</v>
      </c>
      <c r="J443" t="s">
        <v>74</v>
      </c>
      <c r="K443">
        <v>0</v>
      </c>
      <c r="L443">
        <v>1999</v>
      </c>
      <c r="M443">
        <v>8</v>
      </c>
      <c r="N443" s="2" t="s">
        <v>24</v>
      </c>
      <c r="O443" t="b">
        <v>1</v>
      </c>
      <c r="Q443" s="2"/>
      <c r="R443">
        <v>45</v>
      </c>
      <c r="S443">
        <v>1</v>
      </c>
      <c r="T443">
        <v>8000</v>
      </c>
      <c r="U443" t="s">
        <v>709</v>
      </c>
      <c r="V443">
        <v>217</v>
      </c>
      <c r="W443" s="2">
        <v>0.25</v>
      </c>
      <c r="X443" t="b">
        <v>1</v>
      </c>
      <c r="AX443"/>
      <c r="BA443" s="2"/>
      <c r="BB443" s="2" t="b">
        <f>LEN(_xlfn.CONCAT(Table1[[#This Row],[TRACK_TYPE_STANDARD_GAUGE_RAILTYPE_OHLE]:[TRACK_TYPE_MTRO]]))&gt;0</f>
        <v>1</v>
      </c>
      <c r="BC443" s="7">
        <v>40</v>
      </c>
      <c r="BD443" t="s">
        <v>928</v>
      </c>
      <c r="BE443" t="s">
        <v>922</v>
      </c>
      <c r="BF443" t="s">
        <v>940</v>
      </c>
      <c r="BG4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3">
        <v>0</v>
      </c>
      <c r="BI443" t="s">
        <v>734</v>
      </c>
      <c r="BK443" s="11"/>
      <c r="BL443" s="11">
        <v>99</v>
      </c>
      <c r="BM443">
        <v>0</v>
      </c>
      <c r="BN443" t="s">
        <v>692</v>
      </c>
      <c r="BO443" t="s">
        <v>694</v>
      </c>
      <c r="BP443" t="s">
        <v>701</v>
      </c>
      <c r="BQ443" t="s">
        <v>705</v>
      </c>
      <c r="BR443" t="s">
        <v>706</v>
      </c>
      <c r="BS443" t="s">
        <v>707</v>
      </c>
    </row>
    <row r="444" spans="1:71" hidden="1" x14ac:dyDescent="0.4">
      <c r="A444" s="2" t="s">
        <v>470</v>
      </c>
      <c r="B444" t="str">
        <f>_xlfn.TEXTAFTER(Table1[[#This Row],[VEHIDCODE]],"_")</f>
        <v>Czech_Republic_CD_380</v>
      </c>
      <c r="C444" t="s">
        <v>741</v>
      </c>
      <c r="D444" t="b">
        <f>OR(ISNUMBER(SEARCH("wagon_",Table1[[#This Row],[FILENAMES_EXPECTED]])),ISNUMBER(SEARCH("coach_",Table1[[#This Row],[FILENAMES_EXPECTED]])))</f>
        <v>0</v>
      </c>
      <c r="E444" t="str">
        <f>"item_"&amp;Table1[[#This Row],[VEHIDCODE]]</f>
        <v>item_electric_Czech_Republic_CD_380</v>
      </c>
      <c r="F444" t="str">
        <f>"str_"&amp;Table1[[#This Row],[VEHIDCODE]]</f>
        <v>str_electric_Czech_Republic_CD_380</v>
      </c>
      <c r="G444">
        <v>8</v>
      </c>
      <c r="H444" t="s">
        <v>20</v>
      </c>
      <c r="I444">
        <v>0</v>
      </c>
      <c r="J444" t="s">
        <v>74</v>
      </c>
      <c r="K444">
        <v>0</v>
      </c>
      <c r="L444">
        <v>2008</v>
      </c>
      <c r="M444">
        <v>8</v>
      </c>
      <c r="N444" s="2" t="s">
        <v>20</v>
      </c>
      <c r="O444" t="b">
        <v>1</v>
      </c>
      <c r="Q444" s="2"/>
      <c r="R444" t="s">
        <v>21</v>
      </c>
      <c r="S444">
        <v>1</v>
      </c>
      <c r="T444">
        <v>8583</v>
      </c>
      <c r="U444" t="s">
        <v>709</v>
      </c>
      <c r="V444">
        <v>200</v>
      </c>
      <c r="W444" s="2">
        <v>0.34</v>
      </c>
      <c r="X444" t="b">
        <v>1</v>
      </c>
      <c r="AX444"/>
      <c r="BA444" s="2"/>
      <c r="BB444" s="2" t="b">
        <f>LEN(_xlfn.CONCAT(Table1[[#This Row],[TRACK_TYPE_STANDARD_GAUGE_RAILTYPE_OHLE]:[TRACK_TYPE_MTRO]]))&gt;0</f>
        <v>1</v>
      </c>
      <c r="BC444" s="7">
        <v>40</v>
      </c>
      <c r="BD444" t="s">
        <v>929</v>
      </c>
      <c r="BE444" t="s">
        <v>922</v>
      </c>
      <c r="BF444" t="s">
        <v>940</v>
      </c>
      <c r="BG4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4">
        <v>0</v>
      </c>
      <c r="BI444" t="s">
        <v>734</v>
      </c>
      <c r="BK444" s="11"/>
      <c r="BL444" s="11">
        <v>88</v>
      </c>
      <c r="BM444">
        <v>0</v>
      </c>
      <c r="BN444" t="s">
        <v>692</v>
      </c>
      <c r="BO444" t="s">
        <v>694</v>
      </c>
      <c r="BP444" t="s">
        <v>701</v>
      </c>
      <c r="BQ444" t="s">
        <v>705</v>
      </c>
      <c r="BR444" t="s">
        <v>706</v>
      </c>
      <c r="BS444" t="s">
        <v>707</v>
      </c>
    </row>
    <row r="445" spans="1:71" hidden="1" x14ac:dyDescent="0.4">
      <c r="A445" s="2" t="s">
        <v>471</v>
      </c>
      <c r="B445" t="str">
        <f>_xlfn.TEXTAFTER(Table1[[#This Row],[VEHIDCODE]],"_")</f>
        <v>Spain_RENFE_252</v>
      </c>
      <c r="C445" t="s">
        <v>741</v>
      </c>
      <c r="D445" t="b">
        <f>OR(ISNUMBER(SEARCH("wagon_",Table1[[#This Row],[FILENAMES_EXPECTED]])),ISNUMBER(SEARCH("coach_",Table1[[#This Row],[FILENAMES_EXPECTED]])))</f>
        <v>0</v>
      </c>
      <c r="E445" t="str">
        <f>"item_"&amp;Table1[[#This Row],[VEHIDCODE]]</f>
        <v>item_electric_Spain_RENFE_252</v>
      </c>
      <c r="F445" t="str">
        <f>"str_"&amp;Table1[[#This Row],[VEHIDCODE]]</f>
        <v>str_electric_Spain_RENFE_252</v>
      </c>
      <c r="G445">
        <v>8</v>
      </c>
      <c r="H445" t="s">
        <v>20</v>
      </c>
      <c r="I445">
        <v>0</v>
      </c>
      <c r="J445" t="s">
        <v>74</v>
      </c>
      <c r="K445">
        <v>0</v>
      </c>
      <c r="L445">
        <v>1992</v>
      </c>
      <c r="M445">
        <v>8</v>
      </c>
      <c r="N445" s="2" t="s">
        <v>20</v>
      </c>
      <c r="O445" t="b">
        <v>1</v>
      </c>
      <c r="Q445" s="2"/>
      <c r="R445">
        <v>45</v>
      </c>
      <c r="S445">
        <v>1</v>
      </c>
      <c r="T445">
        <v>7700</v>
      </c>
      <c r="U445" t="s">
        <v>709</v>
      </c>
      <c r="V445">
        <v>220</v>
      </c>
      <c r="W445" s="2">
        <v>0.33</v>
      </c>
      <c r="X445" t="b">
        <v>1</v>
      </c>
      <c r="AX445"/>
      <c r="BA445" s="2"/>
      <c r="BB445" s="2" t="b">
        <f>LEN(_xlfn.CONCAT(Table1[[#This Row],[TRACK_TYPE_STANDARD_GAUGE_RAILTYPE_OHLE]:[TRACK_TYPE_MTRO]]))&gt;0</f>
        <v>1</v>
      </c>
      <c r="BC445" s="7">
        <v>40</v>
      </c>
      <c r="BD445" t="s">
        <v>924</v>
      </c>
      <c r="BE445" t="s">
        <v>922</v>
      </c>
      <c r="BF445" t="s">
        <v>940</v>
      </c>
      <c r="BG4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5">
        <v>-3</v>
      </c>
      <c r="BI445" t="s">
        <v>734</v>
      </c>
      <c r="BK445" s="11"/>
      <c r="BL445" s="11">
        <v>90</v>
      </c>
      <c r="BM445">
        <v>0</v>
      </c>
      <c r="BN445" t="s">
        <v>692</v>
      </c>
      <c r="BO445" t="s">
        <v>694</v>
      </c>
      <c r="BP445" t="s">
        <v>701</v>
      </c>
      <c r="BQ445" t="s">
        <v>705</v>
      </c>
      <c r="BR445" t="s">
        <v>706</v>
      </c>
      <c r="BS445" t="s">
        <v>707</v>
      </c>
    </row>
    <row r="446" spans="1:71" hidden="1" x14ac:dyDescent="0.4">
      <c r="A446" s="2" t="s">
        <v>472</v>
      </c>
      <c r="B446" t="str">
        <f>_xlfn.TEXTAFTER(Table1[[#This Row],[VEHIDCODE]],"_")</f>
        <v>Germany_DB_185_TRAXX_F140</v>
      </c>
      <c r="C446" t="s">
        <v>741</v>
      </c>
      <c r="D446" t="b">
        <f>OR(ISNUMBER(SEARCH("wagon_",Table1[[#This Row],[FILENAMES_EXPECTED]])),ISNUMBER(SEARCH("coach_",Table1[[#This Row],[FILENAMES_EXPECTED]])))</f>
        <v>0</v>
      </c>
      <c r="E446" t="str">
        <f>"item_"&amp;Table1[[#This Row],[VEHIDCODE]]</f>
        <v>item_electric_Germany_DB_185_TRAXX_F140</v>
      </c>
      <c r="F446" t="str">
        <f>"str_"&amp;Table1[[#This Row],[VEHIDCODE]]</f>
        <v>str_electric_Germany_DB_185_TRAXX_F140</v>
      </c>
      <c r="G446">
        <v>8</v>
      </c>
      <c r="H446" t="s">
        <v>20</v>
      </c>
      <c r="I446">
        <v>0</v>
      </c>
      <c r="J446" t="s">
        <v>74</v>
      </c>
      <c r="K446">
        <v>0</v>
      </c>
      <c r="L446">
        <v>2000</v>
      </c>
      <c r="M446">
        <v>8</v>
      </c>
      <c r="N446" s="2" t="s">
        <v>20</v>
      </c>
      <c r="O446" t="b">
        <v>1</v>
      </c>
      <c r="Q446" s="2"/>
      <c r="R446" t="s">
        <v>21</v>
      </c>
      <c r="S446">
        <v>1</v>
      </c>
      <c r="T446">
        <v>5600</v>
      </c>
      <c r="U446" t="s">
        <v>709</v>
      </c>
      <c r="V446">
        <v>140</v>
      </c>
      <c r="W446" s="2">
        <v>0.35</v>
      </c>
      <c r="X446" t="b">
        <v>1</v>
      </c>
      <c r="AX446"/>
      <c r="BA446" s="2"/>
      <c r="BB446" s="2" t="b">
        <f>LEN(_xlfn.CONCAT(Table1[[#This Row],[TRACK_TYPE_STANDARD_GAUGE_RAILTYPE_OHLE]:[TRACK_TYPE_MTRO]]))&gt;0</f>
        <v>1</v>
      </c>
      <c r="BC446" s="7">
        <v>40</v>
      </c>
      <c r="BD446" t="s">
        <v>923</v>
      </c>
      <c r="BE446" t="s">
        <v>922</v>
      </c>
      <c r="BF446" t="s">
        <v>940</v>
      </c>
      <c r="BG4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6">
        <v>-3</v>
      </c>
      <c r="BI446" t="s">
        <v>734</v>
      </c>
      <c r="BK446" s="11"/>
      <c r="BL446" s="11">
        <v>84</v>
      </c>
      <c r="BM446">
        <v>0</v>
      </c>
      <c r="BN446" t="s">
        <v>692</v>
      </c>
      <c r="BO446" t="s">
        <v>694</v>
      </c>
      <c r="BP446" t="s">
        <v>701</v>
      </c>
      <c r="BQ446" t="s">
        <v>705</v>
      </c>
      <c r="BR446" t="s">
        <v>706</v>
      </c>
      <c r="BS446" t="s">
        <v>707</v>
      </c>
    </row>
    <row r="447" spans="1:71" hidden="1" x14ac:dyDescent="0.4">
      <c r="A447" s="2" t="s">
        <v>473</v>
      </c>
      <c r="B447" t="str">
        <f>_xlfn.TEXTAFTER(Table1[[#This Row],[VEHIDCODE]],"_")</f>
        <v>Italy_FS_E550</v>
      </c>
      <c r="C447" t="s">
        <v>741</v>
      </c>
      <c r="D447" t="b">
        <f>OR(ISNUMBER(SEARCH("wagon_",Table1[[#This Row],[FILENAMES_EXPECTED]])),ISNUMBER(SEARCH("coach_",Table1[[#This Row],[FILENAMES_EXPECTED]])))</f>
        <v>0</v>
      </c>
      <c r="E447" t="str">
        <f>"item_"&amp;Table1[[#This Row],[VEHIDCODE]]</f>
        <v>item_electric_Italy_FS_E550</v>
      </c>
      <c r="F447" t="str">
        <f>"str_"&amp;Table1[[#This Row],[VEHIDCODE]]</f>
        <v>str_electric_Italy_FS_E550</v>
      </c>
      <c r="G447">
        <v>6</v>
      </c>
      <c r="H447" t="s">
        <v>20</v>
      </c>
      <c r="I447">
        <v>0</v>
      </c>
      <c r="J447" t="s">
        <v>74</v>
      </c>
      <c r="K447">
        <v>0</v>
      </c>
      <c r="L447">
        <v>1908</v>
      </c>
      <c r="M447">
        <v>6</v>
      </c>
      <c r="N447" s="2" t="s">
        <v>20</v>
      </c>
      <c r="O447" t="b">
        <v>1</v>
      </c>
      <c r="Q447" s="2"/>
      <c r="R447">
        <v>45</v>
      </c>
      <c r="S447">
        <v>1</v>
      </c>
      <c r="T447">
        <v>2000</v>
      </c>
      <c r="U447" t="s">
        <v>709</v>
      </c>
      <c r="V447">
        <v>50</v>
      </c>
      <c r="W447" s="2">
        <v>0.16</v>
      </c>
      <c r="X447" t="b">
        <v>1</v>
      </c>
      <c r="AX447"/>
      <c r="BA447" s="2"/>
      <c r="BB447" s="2" t="b">
        <f>LEN(_xlfn.CONCAT(Table1[[#This Row],[TRACK_TYPE_STANDARD_GAUGE_RAILTYPE_OHLE]:[TRACK_TYPE_MTRO]]))&gt;0</f>
        <v>1</v>
      </c>
      <c r="BC447" s="7">
        <v>40</v>
      </c>
      <c r="BD447" t="s">
        <v>924</v>
      </c>
      <c r="BE447" t="s">
        <v>922</v>
      </c>
      <c r="BF447" t="s">
        <v>940</v>
      </c>
      <c r="BG4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7">
        <v>0</v>
      </c>
      <c r="BI447" t="s">
        <v>734</v>
      </c>
      <c r="BK447" s="11"/>
      <c r="BL447" s="11">
        <v>63</v>
      </c>
      <c r="BM447">
        <v>0</v>
      </c>
      <c r="BN447" t="s">
        <v>692</v>
      </c>
      <c r="BO447" t="s">
        <v>694</v>
      </c>
      <c r="BP447" t="s">
        <v>701</v>
      </c>
      <c r="BQ447" t="s">
        <v>705</v>
      </c>
      <c r="BR447" t="s">
        <v>706</v>
      </c>
      <c r="BS447" t="s">
        <v>707</v>
      </c>
    </row>
    <row r="448" spans="1:71" hidden="1" x14ac:dyDescent="0.4">
      <c r="A448" s="2" t="s">
        <v>474</v>
      </c>
      <c r="B448" t="str">
        <f>_xlfn.TEXTAFTER(Table1[[#This Row],[VEHIDCODE]],"_")</f>
        <v>Japan_JNR_EF81</v>
      </c>
      <c r="C448" t="s">
        <v>741</v>
      </c>
      <c r="D448" t="b">
        <f>OR(ISNUMBER(SEARCH("wagon_",Table1[[#This Row],[FILENAMES_EXPECTED]])),ISNUMBER(SEARCH("coach_",Table1[[#This Row],[FILENAMES_EXPECTED]])))</f>
        <v>0</v>
      </c>
      <c r="E448" t="str">
        <f>"item_"&amp;Table1[[#This Row],[VEHIDCODE]]</f>
        <v>item_electric_Japan_JNR_EF81</v>
      </c>
      <c r="F448" t="str">
        <f>"str_"&amp;Table1[[#This Row],[VEHIDCODE]]</f>
        <v>str_electric_Japan_JNR_EF81</v>
      </c>
      <c r="G448">
        <v>7</v>
      </c>
      <c r="H448" t="s">
        <v>20</v>
      </c>
      <c r="I448">
        <v>0</v>
      </c>
      <c r="J448" t="s">
        <v>74</v>
      </c>
      <c r="K448">
        <v>0</v>
      </c>
      <c r="L448">
        <v>1967</v>
      </c>
      <c r="M448">
        <v>7</v>
      </c>
      <c r="N448" s="2" t="s">
        <v>24</v>
      </c>
      <c r="O448" t="b">
        <v>1</v>
      </c>
      <c r="Q448" s="2"/>
      <c r="R448">
        <v>45</v>
      </c>
      <c r="S448">
        <v>1</v>
      </c>
      <c r="T448">
        <v>3420</v>
      </c>
      <c r="U448" t="s">
        <v>709</v>
      </c>
      <c r="V448">
        <v>110</v>
      </c>
      <c r="W448" s="2">
        <v>0.28999999999999998</v>
      </c>
      <c r="X448" t="b">
        <v>1</v>
      </c>
      <c r="AX448"/>
      <c r="BA448" s="2"/>
      <c r="BB448" s="2" t="b">
        <f>LEN(_xlfn.CONCAT(Table1[[#This Row],[TRACK_TYPE_STANDARD_GAUGE_RAILTYPE_OHLE]:[TRACK_TYPE_MTRO]]))&gt;0</f>
        <v>1</v>
      </c>
      <c r="BC448" s="7">
        <v>40</v>
      </c>
      <c r="BD448" t="s">
        <v>931</v>
      </c>
      <c r="BE448" t="s">
        <v>922</v>
      </c>
      <c r="BF448" t="s">
        <v>940</v>
      </c>
      <c r="BG4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8">
        <v>0</v>
      </c>
      <c r="BI448" t="s">
        <v>734</v>
      </c>
      <c r="BK448" s="11"/>
      <c r="BL448" s="11">
        <v>101</v>
      </c>
      <c r="BM448">
        <v>0</v>
      </c>
      <c r="BN448" t="s">
        <v>692</v>
      </c>
      <c r="BO448" t="s">
        <v>694</v>
      </c>
      <c r="BP448" t="s">
        <v>701</v>
      </c>
      <c r="BQ448" t="s">
        <v>705</v>
      </c>
      <c r="BR448" t="s">
        <v>706</v>
      </c>
      <c r="BS448" t="s">
        <v>707</v>
      </c>
    </row>
    <row r="449" spans="1:71" hidden="1" x14ac:dyDescent="0.4">
      <c r="A449" s="2" t="s">
        <v>475</v>
      </c>
      <c r="B449" t="str">
        <f>_xlfn.TEXTAFTER(Table1[[#This Row],[VEHIDCODE]],"_")</f>
        <v>UK_BR_92</v>
      </c>
      <c r="C449" t="s">
        <v>741</v>
      </c>
      <c r="D449" t="b">
        <f>OR(ISNUMBER(SEARCH("wagon_",Table1[[#This Row],[FILENAMES_EXPECTED]])),ISNUMBER(SEARCH("coach_",Table1[[#This Row],[FILENAMES_EXPECTED]])))</f>
        <v>0</v>
      </c>
      <c r="E449" t="str">
        <f>"item_"&amp;Table1[[#This Row],[VEHIDCODE]]</f>
        <v>item_electric_UK_BR_92</v>
      </c>
      <c r="F449" t="str">
        <f>"str_"&amp;Table1[[#This Row],[VEHIDCODE]]</f>
        <v>str_electric_UK_BR_92</v>
      </c>
      <c r="G449">
        <v>8</v>
      </c>
      <c r="H449" t="s">
        <v>20</v>
      </c>
      <c r="I449">
        <v>0</v>
      </c>
      <c r="J449" t="s">
        <v>74</v>
      </c>
      <c r="K449">
        <v>0</v>
      </c>
      <c r="L449">
        <v>1993</v>
      </c>
      <c r="M449">
        <v>8</v>
      </c>
      <c r="N449" s="2" t="s">
        <v>20</v>
      </c>
      <c r="O449" t="b">
        <v>1</v>
      </c>
      <c r="Q449" s="2"/>
      <c r="R449">
        <v>45</v>
      </c>
      <c r="S449">
        <v>0</v>
      </c>
      <c r="T449">
        <v>6760</v>
      </c>
      <c r="U449" t="s">
        <v>709</v>
      </c>
      <c r="V449">
        <v>140</v>
      </c>
      <c r="W449" s="2">
        <v>0.28999999999999998</v>
      </c>
      <c r="X449" t="b">
        <v>1</v>
      </c>
      <c r="AE449" t="b">
        <v>1</v>
      </c>
      <c r="AX449"/>
      <c r="BA449" s="2"/>
      <c r="BB449" s="2" t="b">
        <f>LEN(_xlfn.CONCAT(Table1[[#This Row],[TRACK_TYPE_STANDARD_GAUGE_RAILTYPE_OHLE]:[TRACK_TYPE_MTRO]]))&gt;0</f>
        <v>1</v>
      </c>
      <c r="BC449" s="7">
        <v>40</v>
      </c>
      <c r="BD449" t="s">
        <v>927</v>
      </c>
      <c r="BE449" t="s">
        <v>922</v>
      </c>
      <c r="BF449" t="s">
        <v>940</v>
      </c>
      <c r="BG4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9">
        <v>-3</v>
      </c>
      <c r="BI449" t="s">
        <v>734</v>
      </c>
      <c r="BK449" s="11"/>
      <c r="BL449" s="11">
        <v>126</v>
      </c>
      <c r="BM449">
        <v>0</v>
      </c>
      <c r="BN449" t="s">
        <v>692</v>
      </c>
      <c r="BO449" t="s">
        <v>694</v>
      </c>
      <c r="BP449" t="s">
        <v>701</v>
      </c>
      <c r="BQ449" t="s">
        <v>705</v>
      </c>
      <c r="BR449" t="s">
        <v>706</v>
      </c>
      <c r="BS449" t="s">
        <v>707</v>
      </c>
    </row>
    <row r="450" spans="1:71" hidden="1" x14ac:dyDescent="0.4">
      <c r="A450" s="2" t="s">
        <v>476</v>
      </c>
      <c r="B450" t="str">
        <f>_xlfn.TEXTAFTER(Table1[[#This Row],[VEHIDCODE]],"_")</f>
        <v>USA_Amtrak_ACS_64</v>
      </c>
      <c r="C450" t="s">
        <v>741</v>
      </c>
      <c r="D450" t="b">
        <f>OR(ISNUMBER(SEARCH("wagon_",Table1[[#This Row],[FILENAMES_EXPECTED]])),ISNUMBER(SEARCH("coach_",Table1[[#This Row],[FILENAMES_EXPECTED]])))</f>
        <v>0</v>
      </c>
      <c r="E450" t="str">
        <f>"item_"&amp;Table1[[#This Row],[VEHIDCODE]]</f>
        <v>item_electric_USA_Amtrak_ACS_64</v>
      </c>
      <c r="F450" t="str">
        <f>"str_"&amp;Table1[[#This Row],[VEHIDCODE]]</f>
        <v>str_electric_USA_Amtrak_ACS_64</v>
      </c>
      <c r="G450">
        <v>8</v>
      </c>
      <c r="H450" t="s">
        <v>20</v>
      </c>
      <c r="I450">
        <v>0</v>
      </c>
      <c r="J450" t="s">
        <v>74</v>
      </c>
      <c r="K450">
        <v>0</v>
      </c>
      <c r="L450">
        <v>2012</v>
      </c>
      <c r="M450">
        <v>8</v>
      </c>
      <c r="N450" s="2" t="s">
        <v>20</v>
      </c>
      <c r="O450" t="b">
        <v>1</v>
      </c>
      <c r="Q450" s="2"/>
      <c r="R450" t="s">
        <v>21</v>
      </c>
      <c r="S450">
        <v>1</v>
      </c>
      <c r="T450">
        <v>8600</v>
      </c>
      <c r="U450" t="s">
        <v>709</v>
      </c>
      <c r="V450">
        <v>220</v>
      </c>
      <c r="W450" s="2">
        <v>0.33</v>
      </c>
      <c r="X450" t="b">
        <v>1</v>
      </c>
      <c r="AE450" t="b">
        <v>1</v>
      </c>
      <c r="AX450"/>
      <c r="BA450" s="2"/>
      <c r="BB450" s="2" t="b">
        <f>LEN(_xlfn.CONCAT(Table1[[#This Row],[TRACK_TYPE_STANDARD_GAUGE_RAILTYPE_OHLE]:[TRACK_TYPE_MTRO]]))&gt;0</f>
        <v>1</v>
      </c>
      <c r="BC450" s="7">
        <v>40</v>
      </c>
      <c r="BD450" t="s">
        <v>928</v>
      </c>
      <c r="BE450" t="s">
        <v>922</v>
      </c>
      <c r="BF450" t="s">
        <v>940</v>
      </c>
      <c r="BG4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50">
        <v>0</v>
      </c>
      <c r="BI450" t="s">
        <v>734</v>
      </c>
      <c r="BK450" s="11"/>
      <c r="BL450" s="11">
        <v>98</v>
      </c>
      <c r="BM450">
        <v>0</v>
      </c>
      <c r="BN450" t="s">
        <v>692</v>
      </c>
      <c r="BO450" t="s">
        <v>694</v>
      </c>
      <c r="BP450" t="s">
        <v>701</v>
      </c>
      <c r="BQ450" t="s">
        <v>705</v>
      </c>
      <c r="BR450" t="s">
        <v>706</v>
      </c>
      <c r="BS450" t="s">
        <v>707</v>
      </c>
    </row>
    <row r="451" spans="1:71" hidden="1" x14ac:dyDescent="0.4">
      <c r="A451" s="2" t="s">
        <v>477</v>
      </c>
      <c r="B451" t="str">
        <f>_xlfn.TEXTAFTER(Table1[[#This Row],[VEHIDCODE]],"_")</f>
        <v>France_SNCF_CC_40100</v>
      </c>
      <c r="C451" t="s">
        <v>741</v>
      </c>
      <c r="D451" t="b">
        <f>OR(ISNUMBER(SEARCH("wagon_",Table1[[#This Row],[FILENAMES_EXPECTED]])),ISNUMBER(SEARCH("coach_",Table1[[#This Row],[FILENAMES_EXPECTED]])))</f>
        <v>0</v>
      </c>
      <c r="E451" t="str">
        <f>"item_"&amp;Table1[[#This Row],[VEHIDCODE]]</f>
        <v>item_electric_France_SNCF_CC_40100</v>
      </c>
      <c r="F451" t="str">
        <f>"str_"&amp;Table1[[#This Row],[VEHIDCODE]]</f>
        <v>str_electric_France_SNCF_CC_40100</v>
      </c>
      <c r="G451">
        <v>8</v>
      </c>
      <c r="H451" t="s">
        <v>20</v>
      </c>
      <c r="I451">
        <v>0</v>
      </c>
      <c r="J451" t="s">
        <v>74</v>
      </c>
      <c r="K451">
        <v>0</v>
      </c>
      <c r="L451">
        <v>1964</v>
      </c>
      <c r="M451">
        <v>8</v>
      </c>
      <c r="N451" s="2" t="s">
        <v>20</v>
      </c>
      <c r="O451" t="b">
        <v>1</v>
      </c>
      <c r="Q451" s="2"/>
      <c r="R451">
        <v>45</v>
      </c>
      <c r="S451">
        <v>1</v>
      </c>
      <c r="T451">
        <v>6000</v>
      </c>
      <c r="U451" t="s">
        <v>709</v>
      </c>
      <c r="V451">
        <v>240</v>
      </c>
      <c r="W451" s="2">
        <v>0.21</v>
      </c>
      <c r="X451" t="b">
        <v>1</v>
      </c>
      <c r="AE451" t="b">
        <v>1</v>
      </c>
      <c r="AX451"/>
      <c r="BA451" s="2"/>
      <c r="BB451" s="2" t="b">
        <f>LEN(_xlfn.CONCAT(Table1[[#This Row],[TRACK_TYPE_STANDARD_GAUGE_RAILTYPE_OHLE]:[TRACK_TYPE_MTRO]]))&gt;0</f>
        <v>1</v>
      </c>
      <c r="BC451" s="7">
        <v>40</v>
      </c>
      <c r="BD451" t="s">
        <v>923</v>
      </c>
      <c r="BE451" t="s">
        <v>922</v>
      </c>
      <c r="BF451" t="s">
        <v>940</v>
      </c>
      <c r="BG4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51">
        <v>-3</v>
      </c>
      <c r="BI451" t="s">
        <v>734</v>
      </c>
      <c r="BK451" s="11"/>
      <c r="BL451" s="11">
        <v>110</v>
      </c>
      <c r="BM451">
        <v>0</v>
      </c>
      <c r="BN451" t="s">
        <v>692</v>
      </c>
      <c r="BO451" t="s">
        <v>694</v>
      </c>
      <c r="BP451" t="s">
        <v>701</v>
      </c>
      <c r="BQ451" t="s">
        <v>705</v>
      </c>
      <c r="BR451" t="s">
        <v>706</v>
      </c>
      <c r="BS451" t="s">
        <v>707</v>
      </c>
    </row>
    <row r="452" spans="1:71" hidden="1" x14ac:dyDescent="0.4">
      <c r="A452" s="2" t="s">
        <v>478</v>
      </c>
      <c r="B452" t="str">
        <f>_xlfn.TEXTAFTER(Table1[[#This Row],[VEHIDCODE]],"_")</f>
        <v>Belgium_NMBS_SNCB_13_HLE</v>
      </c>
      <c r="C452" t="s">
        <v>741</v>
      </c>
      <c r="D452" t="b">
        <f>OR(ISNUMBER(SEARCH("wagon_",Table1[[#This Row],[FILENAMES_EXPECTED]])),ISNUMBER(SEARCH("coach_",Table1[[#This Row],[FILENAMES_EXPECTED]])))</f>
        <v>0</v>
      </c>
      <c r="E452" t="str">
        <f>"item_"&amp;Table1[[#This Row],[VEHIDCODE]]</f>
        <v>item_electric_Belgium_NMBS_SNCB_13_HLE</v>
      </c>
      <c r="F452" t="str">
        <f>"str_"&amp;Table1[[#This Row],[VEHIDCODE]]</f>
        <v>str_electric_Belgium_NMBS_SNCB_13_HLE</v>
      </c>
      <c r="G452">
        <v>8</v>
      </c>
      <c r="H452" t="s">
        <v>20</v>
      </c>
      <c r="I452">
        <v>0</v>
      </c>
      <c r="J452" t="s">
        <v>74</v>
      </c>
      <c r="K452">
        <v>0</v>
      </c>
      <c r="L452">
        <v>1997</v>
      </c>
      <c r="M452">
        <v>8</v>
      </c>
      <c r="N452" s="2" t="s">
        <v>20</v>
      </c>
      <c r="O452" t="b">
        <v>1</v>
      </c>
      <c r="Q452" s="2"/>
      <c r="R452" t="s">
        <v>21</v>
      </c>
      <c r="S452">
        <v>1</v>
      </c>
      <c r="T452">
        <v>6968</v>
      </c>
      <c r="U452" t="s">
        <v>709</v>
      </c>
      <c r="V452">
        <v>200</v>
      </c>
      <c r="W452" s="2">
        <v>0.32</v>
      </c>
      <c r="X452" t="b">
        <v>1</v>
      </c>
      <c r="AE452" t="b">
        <v>1</v>
      </c>
      <c r="AX452"/>
      <c r="BA452" s="2"/>
      <c r="BB452" s="2" t="b">
        <f>LEN(_xlfn.CONCAT(Table1[[#This Row],[TRACK_TYPE_STANDARD_GAUGE_RAILTYPE_OHLE]:[TRACK_TYPE_MTRO]]))&gt;0</f>
        <v>1</v>
      </c>
      <c r="BC452" s="7">
        <v>40</v>
      </c>
      <c r="BD452" t="s">
        <v>923</v>
      </c>
      <c r="BE452" t="s">
        <v>922</v>
      </c>
      <c r="BF452" t="s">
        <v>940</v>
      </c>
      <c r="BG4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52">
        <v>-3</v>
      </c>
      <c r="BI452" t="s">
        <v>734</v>
      </c>
      <c r="BK452" s="11"/>
      <c r="BL452" s="11">
        <v>90</v>
      </c>
      <c r="BM452">
        <v>0</v>
      </c>
      <c r="BN452" t="s">
        <v>692</v>
      </c>
      <c r="BO452" t="s">
        <v>694</v>
      </c>
      <c r="BP452" t="s">
        <v>701</v>
      </c>
      <c r="BQ452" t="s">
        <v>705</v>
      </c>
      <c r="BR452" t="s">
        <v>706</v>
      </c>
      <c r="BS452" t="s">
        <v>707</v>
      </c>
    </row>
    <row r="453" spans="1:71" hidden="1" x14ac:dyDescent="0.4">
      <c r="A453" s="2" t="s">
        <v>479</v>
      </c>
      <c r="B453" t="str">
        <f>_xlfn.TEXTAFTER(Table1[[#This Row],[VEHIDCODE]],"_")</f>
        <v>Germany_DB_VT_040_Flying_Hamburger</v>
      </c>
      <c r="C453" t="s">
        <v>742</v>
      </c>
      <c r="D453" t="b">
        <f>OR(ISNUMBER(SEARCH("wagon_",Table1[[#This Row],[FILENAMES_EXPECTED]])),ISNUMBER(SEARCH("coach_",Table1[[#This Row],[FILENAMES_EXPECTED]])))</f>
        <v>0</v>
      </c>
      <c r="E453" t="str">
        <f>"item_"&amp;Table1[[#This Row],[VEHIDCODE]]</f>
        <v>item_dmu_Germany_DB_VT_040_Flying_Hamburger</v>
      </c>
      <c r="F453" t="str">
        <f>"str_"&amp;Table1[[#This Row],[VEHIDCODE]]</f>
        <v>str_dmu_Germany_DB_VT_040_Flying_Hamburger</v>
      </c>
      <c r="G453">
        <v>8</v>
      </c>
      <c r="H453" t="s">
        <v>18</v>
      </c>
      <c r="I453">
        <v>1</v>
      </c>
      <c r="J453" t="s">
        <v>35</v>
      </c>
      <c r="K453">
        <v>50</v>
      </c>
      <c r="L453">
        <v>1932</v>
      </c>
      <c r="M453">
        <v>8</v>
      </c>
      <c r="N453" s="2" t="s">
        <v>480</v>
      </c>
      <c r="O453" t="b">
        <v>1</v>
      </c>
      <c r="P453" t="b">
        <v>1</v>
      </c>
      <c r="Q453" s="2"/>
      <c r="R453">
        <v>45</v>
      </c>
      <c r="S453">
        <v>1</v>
      </c>
      <c r="T453">
        <v>400</v>
      </c>
      <c r="U453" t="s">
        <v>711</v>
      </c>
      <c r="V453">
        <v>160</v>
      </c>
      <c r="W453" s="2">
        <v>0.19</v>
      </c>
      <c r="AF453" s="2" t="b">
        <v>1</v>
      </c>
      <c r="AX453"/>
      <c r="BA453" s="2"/>
      <c r="BB453" s="2" t="b">
        <f>LEN(_xlfn.CONCAT(Table1[[#This Row],[TRACK_TYPE_STANDARD_GAUGE_RAILTYPE_OHLE]:[TRACK_TYPE_MTRO]]))&gt;0</f>
        <v>1</v>
      </c>
      <c r="BC453" s="7">
        <v>25</v>
      </c>
      <c r="BD453" t="s">
        <v>923</v>
      </c>
      <c r="BE453" t="s">
        <v>922</v>
      </c>
      <c r="BF453" t="s">
        <v>940</v>
      </c>
      <c r="BG4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3">
        <v>0</v>
      </c>
      <c r="BI453" t="s">
        <v>734</v>
      </c>
      <c r="BJ453" s="11">
        <v>50</v>
      </c>
      <c r="BK453" s="11">
        <v>8</v>
      </c>
      <c r="BL453" s="11">
        <v>39</v>
      </c>
      <c r="BM453">
        <v>0</v>
      </c>
      <c r="BN453" t="s">
        <v>692</v>
      </c>
      <c r="BO453" t="s">
        <v>694</v>
      </c>
      <c r="BP453" t="s">
        <v>701</v>
      </c>
      <c r="BQ453" t="s">
        <v>705</v>
      </c>
      <c r="BR453" t="s">
        <v>706</v>
      </c>
      <c r="BS453" t="s">
        <v>707</v>
      </c>
    </row>
    <row r="454" spans="1:71" hidden="1" x14ac:dyDescent="0.4">
      <c r="A454" s="2" t="s">
        <v>481</v>
      </c>
      <c r="B454" t="str">
        <f>_xlfn.TEXTAFTER(Table1[[#This Row],[VEHIDCODE]],"_")</f>
        <v>Australia_NSWGR_Silver_City_Comet</v>
      </c>
      <c r="C454" t="s">
        <v>742</v>
      </c>
      <c r="D454" t="b">
        <f>OR(ISNUMBER(SEARCH("wagon_",Table1[[#This Row],[FILENAMES_EXPECTED]])),ISNUMBER(SEARCH("coach_",Table1[[#This Row],[FILENAMES_EXPECTED]])))</f>
        <v>0</v>
      </c>
      <c r="E454" t="str">
        <f>"item_"&amp;Table1[[#This Row],[VEHIDCODE]]</f>
        <v>item_dmu_Australia_NSWGR_Silver_City_Comet</v>
      </c>
      <c r="F454" t="str">
        <f>"str_"&amp;Table1[[#This Row],[VEHIDCODE]]</f>
        <v>str_dmu_Australia_NSWGR_Silver_City_Comet</v>
      </c>
      <c r="G454">
        <v>7</v>
      </c>
      <c r="H454" t="s">
        <v>18</v>
      </c>
      <c r="I454">
        <v>1</v>
      </c>
      <c r="J454" t="s">
        <v>35</v>
      </c>
      <c r="K454">
        <v>0</v>
      </c>
      <c r="L454">
        <v>1937</v>
      </c>
      <c r="M454">
        <v>7</v>
      </c>
      <c r="N454" s="2" t="s">
        <v>480</v>
      </c>
      <c r="O454" t="b">
        <v>1</v>
      </c>
      <c r="P454" t="b">
        <v>1</v>
      </c>
      <c r="Q454" s="2"/>
      <c r="R454">
        <v>45</v>
      </c>
      <c r="S454">
        <v>1</v>
      </c>
      <c r="T454">
        <v>660</v>
      </c>
      <c r="U454" t="s">
        <v>711</v>
      </c>
      <c r="V454">
        <v>160</v>
      </c>
      <c r="W454" s="2">
        <v>0.2</v>
      </c>
      <c r="AF454" s="2" t="b">
        <v>1</v>
      </c>
      <c r="AX454"/>
      <c r="BA454" s="2"/>
      <c r="BB454" s="2" t="b">
        <f>LEN(_xlfn.CONCAT(Table1[[#This Row],[TRACK_TYPE_STANDARD_GAUGE_RAILTYPE_OHLE]:[TRACK_TYPE_MTRO]]))&gt;0</f>
        <v>1</v>
      </c>
      <c r="BC454" s="7">
        <v>25</v>
      </c>
      <c r="BD454" t="s">
        <v>925</v>
      </c>
      <c r="BE454" t="s">
        <v>922</v>
      </c>
      <c r="BF454" t="s">
        <v>940</v>
      </c>
      <c r="BG4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4">
        <v>0</v>
      </c>
      <c r="BI454" t="s">
        <v>734</v>
      </c>
      <c r="BJ454" s="11">
        <v>45</v>
      </c>
      <c r="BK454" s="11">
        <v>7</v>
      </c>
      <c r="BL454" s="11">
        <v>55</v>
      </c>
      <c r="BM454">
        <v>0</v>
      </c>
      <c r="BN454" t="s">
        <v>692</v>
      </c>
      <c r="BO454" t="s">
        <v>694</v>
      </c>
      <c r="BP454" t="s">
        <v>701</v>
      </c>
      <c r="BQ454" t="s">
        <v>705</v>
      </c>
      <c r="BR454" t="s">
        <v>706</v>
      </c>
      <c r="BS454" t="s">
        <v>707</v>
      </c>
    </row>
    <row r="455" spans="1:71" hidden="1" x14ac:dyDescent="0.4">
      <c r="A455" s="2" t="s">
        <v>482</v>
      </c>
      <c r="B455" t="str">
        <f>_xlfn.TEXTAFTER(Table1[[#This Row],[VEHIDCODE]],"_")</f>
        <v>Czech_Republic_CD_M131</v>
      </c>
      <c r="C455" t="s">
        <v>742</v>
      </c>
      <c r="D455" t="b">
        <f>OR(ISNUMBER(SEARCH("wagon_",Table1[[#This Row],[FILENAMES_EXPECTED]])),ISNUMBER(SEARCH("coach_",Table1[[#This Row],[FILENAMES_EXPECTED]])))</f>
        <v>0</v>
      </c>
      <c r="E455" t="str">
        <f>"item_"&amp;Table1[[#This Row],[VEHIDCODE]]</f>
        <v>item_dmu_Czech_Republic_CD_M131</v>
      </c>
      <c r="F455" t="str">
        <f>"str_"&amp;Table1[[#This Row],[VEHIDCODE]]</f>
        <v>str_dmu_Czech_Republic_CD_M131</v>
      </c>
      <c r="G455">
        <v>6</v>
      </c>
      <c r="H455" t="s">
        <v>18</v>
      </c>
      <c r="I455">
        <v>1</v>
      </c>
      <c r="J455" t="s">
        <v>35</v>
      </c>
      <c r="K455">
        <v>48</v>
      </c>
      <c r="L455">
        <v>1948</v>
      </c>
      <c r="M455">
        <v>6</v>
      </c>
      <c r="N455" s="2" t="s">
        <v>480</v>
      </c>
      <c r="O455" t="b">
        <v>1</v>
      </c>
      <c r="P455" t="b">
        <v>1</v>
      </c>
      <c r="Q455" s="2"/>
      <c r="R455">
        <v>45</v>
      </c>
      <c r="S455">
        <v>1</v>
      </c>
      <c r="T455">
        <v>152</v>
      </c>
      <c r="U455" t="s">
        <v>711</v>
      </c>
      <c r="V455">
        <v>60</v>
      </c>
      <c r="W455" s="2">
        <v>0.21</v>
      </c>
      <c r="AF455" s="2" t="b">
        <v>1</v>
      </c>
      <c r="AX455"/>
      <c r="BA455" s="2"/>
      <c r="BB455" s="2" t="b">
        <f>LEN(_xlfn.CONCAT(Table1[[#This Row],[TRACK_TYPE_STANDARD_GAUGE_RAILTYPE_OHLE]:[TRACK_TYPE_MTRO]]))&gt;0</f>
        <v>1</v>
      </c>
      <c r="BC455" s="7">
        <v>25</v>
      </c>
      <c r="BD455" t="s">
        <v>929</v>
      </c>
      <c r="BE455" t="s">
        <v>922</v>
      </c>
      <c r="BF455" t="s">
        <v>940</v>
      </c>
      <c r="BG4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5">
        <v>0</v>
      </c>
      <c r="BI455" t="s">
        <v>734</v>
      </c>
      <c r="BJ455" s="11">
        <v>48</v>
      </c>
      <c r="BK455" s="11">
        <v>6</v>
      </c>
      <c r="BL455" s="11">
        <v>42</v>
      </c>
      <c r="BM455">
        <v>0</v>
      </c>
      <c r="BN455" t="s">
        <v>692</v>
      </c>
      <c r="BO455" t="s">
        <v>694</v>
      </c>
      <c r="BP455" t="s">
        <v>701</v>
      </c>
      <c r="BQ455" t="s">
        <v>705</v>
      </c>
      <c r="BR455" t="s">
        <v>706</v>
      </c>
      <c r="BS455" t="s">
        <v>707</v>
      </c>
    </row>
    <row r="456" spans="1:71" hidden="1" x14ac:dyDescent="0.4">
      <c r="A456" s="2" t="s">
        <v>483</v>
      </c>
      <c r="B456" t="str">
        <f>_xlfn.TEXTAFTER(Table1[[#This Row],[VEHIDCODE]],"_")</f>
        <v>Germany_DB_VT_085</v>
      </c>
      <c r="C456" t="s">
        <v>742</v>
      </c>
      <c r="D456" t="b">
        <f>OR(ISNUMBER(SEARCH("wagon_",Table1[[#This Row],[FILENAMES_EXPECTED]])),ISNUMBER(SEARCH("coach_",Table1[[#This Row],[FILENAMES_EXPECTED]])))</f>
        <v>0</v>
      </c>
      <c r="E456" t="str">
        <f>"item_"&amp;Table1[[#This Row],[VEHIDCODE]]</f>
        <v>item_dmu_Germany_DB_VT_085</v>
      </c>
      <c r="F456" t="str">
        <f>"str_"&amp;Table1[[#This Row],[VEHIDCODE]]</f>
        <v>str_dmu_Germany_DB_VT_085</v>
      </c>
      <c r="G456">
        <v>8</v>
      </c>
      <c r="H456" t="s">
        <v>18</v>
      </c>
      <c r="I456">
        <v>1</v>
      </c>
      <c r="J456" t="s">
        <v>35</v>
      </c>
      <c r="K456">
        <v>45</v>
      </c>
      <c r="L456">
        <v>1952</v>
      </c>
      <c r="M456">
        <v>8</v>
      </c>
      <c r="N456" s="2" t="s">
        <v>480</v>
      </c>
      <c r="O456" t="b">
        <v>1</v>
      </c>
      <c r="P456" t="b">
        <v>1</v>
      </c>
      <c r="Q456" s="2"/>
      <c r="R456">
        <v>45</v>
      </c>
      <c r="S456">
        <v>1</v>
      </c>
      <c r="T456">
        <v>986</v>
      </c>
      <c r="U456" t="s">
        <v>711</v>
      </c>
      <c r="V456">
        <v>140</v>
      </c>
      <c r="W456" s="2">
        <v>0.43</v>
      </c>
      <c r="AF456" s="2" t="b">
        <v>1</v>
      </c>
      <c r="AX456"/>
      <c r="BA456" s="2"/>
      <c r="BB456" s="2" t="b">
        <f>LEN(_xlfn.CONCAT(Table1[[#This Row],[TRACK_TYPE_STANDARD_GAUGE_RAILTYPE_OHLE]:[TRACK_TYPE_MTRO]]))&gt;0</f>
        <v>1</v>
      </c>
      <c r="BC456" s="7">
        <v>25</v>
      </c>
      <c r="BD456" t="s">
        <v>923</v>
      </c>
      <c r="BE456" t="s">
        <v>922</v>
      </c>
      <c r="BF456" t="s">
        <v>940</v>
      </c>
      <c r="BG4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6">
        <v>0</v>
      </c>
      <c r="BI456" t="s">
        <v>734</v>
      </c>
      <c r="BJ456" s="11">
        <v>45</v>
      </c>
      <c r="BK456" s="11">
        <v>8</v>
      </c>
      <c r="BL456" s="11">
        <v>42</v>
      </c>
      <c r="BM456">
        <v>0</v>
      </c>
      <c r="BN456" t="s">
        <v>692</v>
      </c>
      <c r="BO456" t="s">
        <v>694</v>
      </c>
      <c r="BP456" t="s">
        <v>701</v>
      </c>
      <c r="BQ456" t="s">
        <v>705</v>
      </c>
      <c r="BR456" t="s">
        <v>706</v>
      </c>
      <c r="BS456" t="s">
        <v>707</v>
      </c>
    </row>
    <row r="457" spans="1:71" hidden="1" x14ac:dyDescent="0.4">
      <c r="A457" s="2" t="s">
        <v>484</v>
      </c>
      <c r="B457" t="str">
        <f>_xlfn.TEXTAFTER(Table1[[#This Row],[VEHIDCODE]],"_")</f>
        <v>Australia_Queensland_Rail_400</v>
      </c>
      <c r="C457" t="s">
        <v>742</v>
      </c>
      <c r="D457" t="b">
        <f>OR(ISNUMBER(SEARCH("wagon_",Table1[[#This Row],[FILENAMES_EXPECTED]])),ISNUMBER(SEARCH("coach_",Table1[[#This Row],[FILENAMES_EXPECTED]])))</f>
        <v>0</v>
      </c>
      <c r="E457" t="str">
        <f>"item_"&amp;Table1[[#This Row],[VEHIDCODE]]</f>
        <v>item_dmu_Australia_Queensland_Rail_400</v>
      </c>
      <c r="F457" t="str">
        <f>"str_"&amp;Table1[[#This Row],[VEHIDCODE]]</f>
        <v>str_dmu_Australia_Queensland_Rail_400</v>
      </c>
      <c r="G457">
        <v>8</v>
      </c>
      <c r="H457" t="s">
        <v>18</v>
      </c>
      <c r="I457">
        <v>1</v>
      </c>
      <c r="J457" t="s">
        <v>35</v>
      </c>
      <c r="K457">
        <v>80</v>
      </c>
      <c r="L457">
        <v>1955</v>
      </c>
      <c r="M457">
        <v>8</v>
      </c>
      <c r="N457" s="2" t="s">
        <v>480</v>
      </c>
      <c r="O457" t="b">
        <v>1</v>
      </c>
      <c r="P457" t="b">
        <v>1</v>
      </c>
      <c r="Q457" s="2"/>
      <c r="R457">
        <v>45</v>
      </c>
      <c r="S457">
        <v>1</v>
      </c>
      <c r="T457">
        <v>220</v>
      </c>
      <c r="U457" t="s">
        <v>711</v>
      </c>
      <c r="V457">
        <v>90</v>
      </c>
      <c r="W457" s="2">
        <v>0.18</v>
      </c>
      <c r="AF457" s="2" t="b">
        <v>1</v>
      </c>
      <c r="AX457"/>
      <c r="BA457" s="2"/>
      <c r="BB457" s="2" t="b">
        <f>LEN(_xlfn.CONCAT(Table1[[#This Row],[TRACK_TYPE_STANDARD_GAUGE_RAILTYPE_OHLE]:[TRACK_TYPE_MTRO]]))&gt;0</f>
        <v>1</v>
      </c>
      <c r="BC457" s="7">
        <v>25</v>
      </c>
      <c r="BD457" t="s">
        <v>925</v>
      </c>
      <c r="BE457" t="s">
        <v>922</v>
      </c>
      <c r="BF457" t="s">
        <v>940</v>
      </c>
      <c r="BG4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7">
        <v>0</v>
      </c>
      <c r="BI457" t="s">
        <v>734</v>
      </c>
      <c r="BJ457" s="11">
        <v>80</v>
      </c>
      <c r="BK457" s="11">
        <v>8</v>
      </c>
      <c r="BL457" s="11">
        <v>43</v>
      </c>
      <c r="BM457">
        <v>0</v>
      </c>
      <c r="BN457" t="s">
        <v>692</v>
      </c>
      <c r="BO457" t="s">
        <v>694</v>
      </c>
      <c r="BP457" t="s">
        <v>701</v>
      </c>
      <c r="BQ457" t="s">
        <v>705</v>
      </c>
      <c r="BR457" t="s">
        <v>706</v>
      </c>
      <c r="BS457" t="s">
        <v>707</v>
      </c>
    </row>
    <row r="458" spans="1:71" hidden="1" x14ac:dyDescent="0.4">
      <c r="A458" s="2" t="s">
        <v>485</v>
      </c>
      <c r="B458" t="str">
        <f>_xlfn.TEXTAFTER(Table1[[#This Row],[VEHIDCODE]],"_")</f>
        <v>Germany_DB_VT_115</v>
      </c>
      <c r="C458" t="s">
        <v>742</v>
      </c>
      <c r="D458" t="b">
        <f>OR(ISNUMBER(SEARCH("wagon_",Table1[[#This Row],[FILENAMES_EXPECTED]])),ISNUMBER(SEARCH("coach_",Table1[[#This Row],[FILENAMES_EXPECTED]])))</f>
        <v>0</v>
      </c>
      <c r="E458" t="str">
        <f>"item_"&amp;Table1[[#This Row],[VEHIDCODE]]</f>
        <v>item_dmu_Germany_DB_VT_115</v>
      </c>
      <c r="F458" t="str">
        <f>"str_"&amp;Table1[[#This Row],[VEHIDCODE]]</f>
        <v>str_dmu_Germany_DB_VT_115</v>
      </c>
      <c r="G458">
        <v>8</v>
      </c>
      <c r="H458" t="s">
        <v>18</v>
      </c>
      <c r="I458">
        <v>1</v>
      </c>
      <c r="J458" t="s">
        <v>35</v>
      </c>
      <c r="K458">
        <v>0</v>
      </c>
      <c r="L458">
        <v>1957</v>
      </c>
      <c r="M458">
        <v>8</v>
      </c>
      <c r="N458" s="2" t="s">
        <v>480</v>
      </c>
      <c r="O458" t="b">
        <v>1</v>
      </c>
      <c r="P458" t="b">
        <v>1</v>
      </c>
      <c r="Q458" s="2"/>
      <c r="R458">
        <v>45</v>
      </c>
      <c r="S458">
        <v>1</v>
      </c>
      <c r="T458">
        <v>1475</v>
      </c>
      <c r="U458" t="s">
        <v>711</v>
      </c>
      <c r="V458">
        <v>160</v>
      </c>
      <c r="W458" s="2">
        <v>0.77</v>
      </c>
      <c r="AF458" s="2" t="b">
        <v>1</v>
      </c>
      <c r="AX458"/>
      <c r="BA458" s="2"/>
      <c r="BB458" s="2" t="b">
        <f>LEN(_xlfn.CONCAT(Table1[[#This Row],[TRACK_TYPE_STANDARD_GAUGE_RAILTYPE_OHLE]:[TRACK_TYPE_MTRO]]))&gt;0</f>
        <v>1</v>
      </c>
      <c r="BC458" s="7">
        <v>25</v>
      </c>
      <c r="BD458" t="s">
        <v>923</v>
      </c>
      <c r="BE458" t="s">
        <v>922</v>
      </c>
      <c r="BF458" t="s">
        <v>940</v>
      </c>
      <c r="BG4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8">
        <v>0</v>
      </c>
      <c r="BI458" t="s">
        <v>734</v>
      </c>
      <c r="BJ458" s="11">
        <v>34</v>
      </c>
      <c r="BK458" s="11">
        <v>8</v>
      </c>
      <c r="BL458" s="11">
        <v>33</v>
      </c>
      <c r="BM458">
        <v>0</v>
      </c>
      <c r="BN458" t="s">
        <v>692</v>
      </c>
      <c r="BO458" t="s">
        <v>694</v>
      </c>
      <c r="BP458" t="s">
        <v>701</v>
      </c>
      <c r="BQ458" t="s">
        <v>705</v>
      </c>
      <c r="BR458" t="s">
        <v>706</v>
      </c>
      <c r="BS458" t="s">
        <v>707</v>
      </c>
    </row>
    <row r="459" spans="1:71" hidden="1" x14ac:dyDescent="0.4">
      <c r="A459" s="2" t="s">
        <v>486</v>
      </c>
      <c r="B459" t="str">
        <f>_xlfn.TEXTAFTER(Table1[[#This Row],[VEHIDCODE]],"_")</f>
        <v>Netherlands_NS_Plan_U_DE_III</v>
      </c>
      <c r="C459" t="s">
        <v>742</v>
      </c>
      <c r="D459" t="b">
        <f>OR(ISNUMBER(SEARCH("wagon_",Table1[[#This Row],[FILENAMES_EXPECTED]])),ISNUMBER(SEARCH("coach_",Table1[[#This Row],[FILENAMES_EXPECTED]])))</f>
        <v>0</v>
      </c>
      <c r="E459" t="str">
        <f>"item_"&amp;Table1[[#This Row],[VEHIDCODE]]</f>
        <v>item_dmu_Netherlands_NS_Plan_U_DE_III</v>
      </c>
      <c r="F459" t="str">
        <f>"str_"&amp;Table1[[#This Row],[VEHIDCODE]]</f>
        <v>str_dmu_Netherlands_NS_Plan_U_DE_III</v>
      </c>
      <c r="G459">
        <v>8</v>
      </c>
      <c r="H459" t="s">
        <v>18</v>
      </c>
      <c r="I459">
        <v>1</v>
      </c>
      <c r="J459" t="s">
        <v>35</v>
      </c>
      <c r="K459">
        <v>64</v>
      </c>
      <c r="L459">
        <v>1960</v>
      </c>
      <c r="M459">
        <v>8</v>
      </c>
      <c r="N459" s="2" t="s">
        <v>24</v>
      </c>
      <c r="O459" t="b">
        <v>1</v>
      </c>
      <c r="P459" t="b">
        <v>1</v>
      </c>
      <c r="Q459" s="2"/>
      <c r="R459">
        <v>45</v>
      </c>
      <c r="S459">
        <v>1</v>
      </c>
      <c r="T459">
        <v>987</v>
      </c>
      <c r="U459" t="s">
        <v>711</v>
      </c>
      <c r="V459">
        <v>125</v>
      </c>
      <c r="W459" s="2">
        <v>0.21</v>
      </c>
      <c r="AF459" s="2" t="b">
        <v>1</v>
      </c>
      <c r="AX459"/>
      <c r="BA459" s="2"/>
      <c r="BB459" s="2" t="b">
        <f>LEN(_xlfn.CONCAT(Table1[[#This Row],[TRACK_TYPE_STANDARD_GAUGE_RAILTYPE_OHLE]:[TRACK_TYPE_MTRO]]))&gt;0</f>
        <v>1</v>
      </c>
      <c r="BC459" s="7">
        <v>25</v>
      </c>
      <c r="BD459" t="s">
        <v>923</v>
      </c>
      <c r="BE459" t="s">
        <v>922</v>
      </c>
      <c r="BF459" t="s">
        <v>940</v>
      </c>
      <c r="BG4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9">
        <v>0</v>
      </c>
      <c r="BI459" t="s">
        <v>734</v>
      </c>
      <c r="BJ459" s="11">
        <v>64</v>
      </c>
      <c r="BK459" s="11">
        <v>8</v>
      </c>
      <c r="BL459" s="11">
        <v>64</v>
      </c>
      <c r="BM459">
        <v>0</v>
      </c>
      <c r="BN459" t="s">
        <v>692</v>
      </c>
      <c r="BO459" t="s">
        <v>694</v>
      </c>
      <c r="BP459" t="s">
        <v>701</v>
      </c>
      <c r="BQ459" t="s">
        <v>705</v>
      </c>
      <c r="BR459" t="s">
        <v>706</v>
      </c>
      <c r="BS459" t="s">
        <v>707</v>
      </c>
    </row>
    <row r="460" spans="1:71" hidden="1" x14ac:dyDescent="0.4">
      <c r="A460" s="2" t="s">
        <v>487</v>
      </c>
      <c r="B460" t="str">
        <f>_xlfn.TEXTAFTER(Table1[[#This Row],[VEHIDCODE]],"_")</f>
        <v>Canada_CNR_Turbo_Train</v>
      </c>
      <c r="C460" t="s">
        <v>742</v>
      </c>
      <c r="D460" t="b">
        <f>OR(ISNUMBER(SEARCH("wagon_",Table1[[#This Row],[FILENAMES_EXPECTED]])),ISNUMBER(SEARCH("coach_",Table1[[#This Row],[FILENAMES_EXPECTED]])))</f>
        <v>0</v>
      </c>
      <c r="E460" t="str">
        <f>"item_"&amp;Table1[[#This Row],[VEHIDCODE]]</f>
        <v>item_dmu_Canada_CNR_Turbo_Train</v>
      </c>
      <c r="F460" t="str">
        <f>"str_"&amp;Table1[[#This Row],[VEHIDCODE]]</f>
        <v>str_dmu_Canada_CNR_Turbo_Train</v>
      </c>
      <c r="G460">
        <v>8</v>
      </c>
      <c r="H460" t="s">
        <v>18</v>
      </c>
      <c r="I460">
        <v>1</v>
      </c>
      <c r="J460" t="s">
        <v>35</v>
      </c>
      <c r="K460">
        <v>44</v>
      </c>
      <c r="L460">
        <v>1967</v>
      </c>
      <c r="M460">
        <v>8</v>
      </c>
      <c r="N460" s="2" t="s">
        <v>480</v>
      </c>
      <c r="O460" t="b">
        <v>1</v>
      </c>
      <c r="P460" t="b">
        <v>1</v>
      </c>
      <c r="Q460" s="2"/>
      <c r="R460">
        <v>45</v>
      </c>
      <c r="S460">
        <v>1</v>
      </c>
      <c r="T460">
        <v>2400</v>
      </c>
      <c r="U460" t="s">
        <v>711</v>
      </c>
      <c r="V460">
        <v>225</v>
      </c>
      <c r="W460" s="2">
        <v>0.45</v>
      </c>
      <c r="AF460" s="2" t="b">
        <v>1</v>
      </c>
      <c r="AX460"/>
      <c r="BA460" s="2"/>
      <c r="BB460" s="2" t="b">
        <f>LEN(_xlfn.CONCAT(Table1[[#This Row],[TRACK_TYPE_STANDARD_GAUGE_RAILTYPE_OHLE]:[TRACK_TYPE_MTRO]]))&gt;0</f>
        <v>1</v>
      </c>
      <c r="BC460" s="7">
        <v>25</v>
      </c>
      <c r="BD460" t="s">
        <v>928</v>
      </c>
      <c r="BE460" t="s">
        <v>922</v>
      </c>
      <c r="BF460" t="s">
        <v>940</v>
      </c>
      <c r="BG4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0">
        <v>0</v>
      </c>
      <c r="BI460" t="s">
        <v>734</v>
      </c>
      <c r="BJ460" s="11">
        <v>44</v>
      </c>
      <c r="BK460" s="11">
        <v>8</v>
      </c>
      <c r="BL460" s="11">
        <v>40</v>
      </c>
      <c r="BM460">
        <v>0</v>
      </c>
      <c r="BN460" t="s">
        <v>692</v>
      </c>
      <c r="BO460" t="s">
        <v>694</v>
      </c>
      <c r="BP460" t="s">
        <v>701</v>
      </c>
      <c r="BQ460" t="s">
        <v>705</v>
      </c>
      <c r="BR460" t="s">
        <v>706</v>
      </c>
      <c r="BS460" t="s">
        <v>707</v>
      </c>
    </row>
    <row r="461" spans="1:71" hidden="1" x14ac:dyDescent="0.4">
      <c r="A461" s="2" t="s">
        <v>488</v>
      </c>
      <c r="B461" t="str">
        <f>_xlfn.TEXTAFTER(Table1[[#This Row],[VEHIDCODE]],"_")</f>
        <v>Serbia_ZS_811</v>
      </c>
      <c r="C461" t="s">
        <v>742</v>
      </c>
      <c r="D461" t="b">
        <f>OR(ISNUMBER(SEARCH("wagon_",Table1[[#This Row],[FILENAMES_EXPECTED]])),ISNUMBER(SEARCH("coach_",Table1[[#This Row],[FILENAMES_EXPECTED]])))</f>
        <v>0</v>
      </c>
      <c r="E461" t="str">
        <f>"item_"&amp;Table1[[#This Row],[VEHIDCODE]]</f>
        <v>item_dmu_Serbia_ZS_811</v>
      </c>
      <c r="F461" t="str">
        <f>"str_"&amp;Table1[[#This Row],[VEHIDCODE]]</f>
        <v>str_dmu_Serbia_ZS_811</v>
      </c>
      <c r="G461">
        <v>8</v>
      </c>
      <c r="H461" t="s">
        <v>18</v>
      </c>
      <c r="I461">
        <v>1</v>
      </c>
      <c r="J461" t="s">
        <v>35</v>
      </c>
      <c r="K461">
        <v>38</v>
      </c>
      <c r="L461">
        <v>1974</v>
      </c>
      <c r="M461">
        <v>8</v>
      </c>
      <c r="N461" s="2" t="s">
        <v>24</v>
      </c>
      <c r="O461" t="b">
        <v>1</v>
      </c>
      <c r="P461" t="b">
        <v>1</v>
      </c>
      <c r="Q461" s="2"/>
      <c r="R461">
        <v>45</v>
      </c>
      <c r="S461">
        <v>1</v>
      </c>
      <c r="T461">
        <v>735</v>
      </c>
      <c r="U461" t="s">
        <v>711</v>
      </c>
      <c r="V461">
        <v>118</v>
      </c>
      <c r="W461" s="2">
        <v>0.2</v>
      </c>
      <c r="AF461" s="2" t="b">
        <v>1</v>
      </c>
      <c r="AX461"/>
      <c r="BA461" s="2"/>
      <c r="BB461" s="2" t="b">
        <f>LEN(_xlfn.CONCAT(Table1[[#This Row],[TRACK_TYPE_STANDARD_GAUGE_RAILTYPE_OHLE]:[TRACK_TYPE_MTRO]]))&gt;0</f>
        <v>1</v>
      </c>
      <c r="BC461" s="7">
        <v>20</v>
      </c>
      <c r="BD461" t="s">
        <v>929</v>
      </c>
      <c r="BE461" t="s">
        <v>922</v>
      </c>
      <c r="BF461" t="s">
        <v>940</v>
      </c>
      <c r="BG4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1">
        <v>0</v>
      </c>
      <c r="BI461" t="s">
        <v>734</v>
      </c>
      <c r="BJ461" s="11">
        <v>38</v>
      </c>
      <c r="BK461" s="11">
        <v>8</v>
      </c>
      <c r="BL461" s="11">
        <v>55</v>
      </c>
      <c r="BM461">
        <v>0</v>
      </c>
      <c r="BN461" t="s">
        <v>692</v>
      </c>
      <c r="BO461" t="s">
        <v>694</v>
      </c>
      <c r="BP461" t="s">
        <v>701</v>
      </c>
      <c r="BQ461" t="s">
        <v>705</v>
      </c>
      <c r="BR461" t="s">
        <v>706</v>
      </c>
      <c r="BS461" t="s">
        <v>707</v>
      </c>
    </row>
    <row r="462" spans="1:71" hidden="1" x14ac:dyDescent="0.4">
      <c r="A462" s="2" t="s">
        <v>489</v>
      </c>
      <c r="B462" t="str">
        <f>_xlfn.TEXTAFTER(Table1[[#This Row],[VEHIDCODE]],"_")</f>
        <v>UK_BR_43_IC125</v>
      </c>
      <c r="C462" t="s">
        <v>742</v>
      </c>
      <c r="D462" t="b">
        <f>OR(ISNUMBER(SEARCH("wagon_",Table1[[#This Row],[FILENAMES_EXPECTED]])),ISNUMBER(SEARCH("coach_",Table1[[#This Row],[FILENAMES_EXPECTED]])))</f>
        <v>0</v>
      </c>
      <c r="E462" t="str">
        <f>"item_"&amp;Table1[[#This Row],[VEHIDCODE]]</f>
        <v>item_dmu_UK_BR_43_IC125</v>
      </c>
      <c r="F462" t="str">
        <f>"str_"&amp;Table1[[#This Row],[VEHIDCODE]]</f>
        <v>str_dmu_UK_BR_43_IC125</v>
      </c>
      <c r="G462">
        <v>8</v>
      </c>
      <c r="H462" t="s">
        <v>18</v>
      </c>
      <c r="I462">
        <v>1</v>
      </c>
      <c r="J462" t="s">
        <v>35</v>
      </c>
      <c r="K462">
        <v>52</v>
      </c>
      <c r="L462">
        <v>1976</v>
      </c>
      <c r="M462">
        <v>8</v>
      </c>
      <c r="N462" s="2" t="s">
        <v>480</v>
      </c>
      <c r="O462" t="b">
        <v>1</v>
      </c>
      <c r="P462" t="b">
        <v>1</v>
      </c>
      <c r="Q462" s="2"/>
      <c r="R462">
        <v>45</v>
      </c>
      <c r="S462">
        <v>1</v>
      </c>
      <c r="T462">
        <v>4500</v>
      </c>
      <c r="U462" t="s">
        <v>711</v>
      </c>
      <c r="V462">
        <v>201</v>
      </c>
      <c r="W462" s="2">
        <v>0.57999999999999996</v>
      </c>
      <c r="AF462" s="2" t="b">
        <v>1</v>
      </c>
      <c r="AX462"/>
      <c r="BA462" s="2"/>
      <c r="BB462" s="2" t="b">
        <f>LEN(_xlfn.CONCAT(Table1[[#This Row],[TRACK_TYPE_STANDARD_GAUGE_RAILTYPE_OHLE]:[TRACK_TYPE_MTRO]]))&gt;0</f>
        <v>1</v>
      </c>
      <c r="BC462" s="7">
        <v>25</v>
      </c>
      <c r="BD462" t="s">
        <v>927</v>
      </c>
      <c r="BE462" t="s">
        <v>922</v>
      </c>
      <c r="BF462" t="s">
        <v>940</v>
      </c>
      <c r="BG4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2">
        <v>0</v>
      </c>
      <c r="BI462" t="s">
        <v>734</v>
      </c>
      <c r="BJ462" s="11">
        <v>52</v>
      </c>
      <c r="BK462" s="11">
        <v>8</v>
      </c>
      <c r="BL462" s="11">
        <v>70</v>
      </c>
      <c r="BM462">
        <v>0</v>
      </c>
      <c r="BN462" t="s">
        <v>692</v>
      </c>
      <c r="BO462" t="s">
        <v>694</v>
      </c>
      <c r="BP462" t="s">
        <v>701</v>
      </c>
      <c r="BQ462" t="s">
        <v>705</v>
      </c>
      <c r="BR462" t="s">
        <v>706</v>
      </c>
      <c r="BS462" t="s">
        <v>707</v>
      </c>
    </row>
    <row r="463" spans="1:71" hidden="1" x14ac:dyDescent="0.4">
      <c r="A463" s="2" t="s">
        <v>490</v>
      </c>
      <c r="B463" t="str">
        <f>_xlfn.TEXTAFTER(Table1[[#This Row],[VEHIDCODE]],"_")</f>
        <v>Canada_VIA_Rail_LRC</v>
      </c>
      <c r="C463" t="s">
        <v>742</v>
      </c>
      <c r="D463" t="b">
        <f>OR(ISNUMBER(SEARCH("wagon_",Table1[[#This Row],[FILENAMES_EXPECTED]])),ISNUMBER(SEARCH("coach_",Table1[[#This Row],[FILENAMES_EXPECTED]])))</f>
        <v>0</v>
      </c>
      <c r="E463" t="str">
        <f>"item_"&amp;Table1[[#This Row],[VEHIDCODE]]</f>
        <v>item_dmu_Canada_VIA_Rail_LRC</v>
      </c>
      <c r="F463" t="str">
        <f>"str_"&amp;Table1[[#This Row],[VEHIDCODE]]</f>
        <v>str_dmu_Canada_VIA_Rail_LRC</v>
      </c>
      <c r="G463">
        <v>8</v>
      </c>
      <c r="H463" t="s">
        <v>18</v>
      </c>
      <c r="I463">
        <v>1</v>
      </c>
      <c r="J463" t="s">
        <v>35</v>
      </c>
      <c r="K463">
        <v>0</v>
      </c>
      <c r="L463">
        <v>1980</v>
      </c>
      <c r="M463">
        <v>8</v>
      </c>
      <c r="N463" s="2" t="s">
        <v>480</v>
      </c>
      <c r="O463" t="b">
        <v>1</v>
      </c>
      <c r="P463" t="b">
        <v>1</v>
      </c>
      <c r="Q463" s="2"/>
      <c r="R463">
        <v>45</v>
      </c>
      <c r="S463">
        <v>1</v>
      </c>
      <c r="T463">
        <v>5400</v>
      </c>
      <c r="U463" t="s">
        <v>711</v>
      </c>
      <c r="V463">
        <v>180</v>
      </c>
      <c r="W463" s="2">
        <v>0.54</v>
      </c>
      <c r="AF463" s="2" t="b">
        <v>1</v>
      </c>
      <c r="AX463"/>
      <c r="BA463" s="2"/>
      <c r="BB463" s="2" t="b">
        <f>LEN(_xlfn.CONCAT(Table1[[#This Row],[TRACK_TYPE_STANDARD_GAUGE_RAILTYPE_OHLE]:[TRACK_TYPE_MTRO]]))&gt;0</f>
        <v>1</v>
      </c>
      <c r="BC463" s="7">
        <v>25</v>
      </c>
      <c r="BD463" t="s">
        <v>928</v>
      </c>
      <c r="BE463" t="s">
        <v>922</v>
      </c>
      <c r="BF463" t="s">
        <v>940</v>
      </c>
      <c r="BG4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3">
        <v>0</v>
      </c>
      <c r="BI463" t="s">
        <v>734</v>
      </c>
      <c r="BJ463" s="11">
        <v>55</v>
      </c>
      <c r="BK463" s="11">
        <v>8</v>
      </c>
      <c r="BL463" s="11">
        <v>65</v>
      </c>
      <c r="BM463">
        <v>0</v>
      </c>
      <c r="BN463" t="s">
        <v>692</v>
      </c>
      <c r="BO463" t="s">
        <v>694</v>
      </c>
      <c r="BP463" t="s">
        <v>701</v>
      </c>
      <c r="BQ463" t="s">
        <v>705</v>
      </c>
      <c r="BR463" t="s">
        <v>706</v>
      </c>
      <c r="BS463" t="s">
        <v>707</v>
      </c>
    </row>
    <row r="464" spans="1:71" hidden="1" x14ac:dyDescent="0.4">
      <c r="A464" s="2" t="s">
        <v>491</v>
      </c>
      <c r="B464" t="str">
        <f>_xlfn.TEXTAFTER(Table1[[#This Row],[VEHIDCODE]],"_")</f>
        <v>Sweden_SJ_Y2</v>
      </c>
      <c r="C464" t="s">
        <v>742</v>
      </c>
      <c r="D464" t="b">
        <f>OR(ISNUMBER(SEARCH("wagon_",Table1[[#This Row],[FILENAMES_EXPECTED]])),ISNUMBER(SEARCH("coach_",Table1[[#This Row],[FILENAMES_EXPECTED]])))</f>
        <v>0</v>
      </c>
      <c r="E464" t="str">
        <f>"item_"&amp;Table1[[#This Row],[VEHIDCODE]]</f>
        <v>item_dmu_Sweden_SJ_Y2</v>
      </c>
      <c r="F464" t="str">
        <f>"str_"&amp;Table1[[#This Row],[VEHIDCODE]]</f>
        <v>str_dmu_Sweden_SJ_Y2</v>
      </c>
      <c r="G464">
        <v>8</v>
      </c>
      <c r="H464" t="s">
        <v>18</v>
      </c>
      <c r="I464">
        <v>1</v>
      </c>
      <c r="J464" t="s">
        <v>35</v>
      </c>
      <c r="K464">
        <v>48</v>
      </c>
      <c r="L464">
        <v>1990</v>
      </c>
      <c r="M464">
        <v>8</v>
      </c>
      <c r="N464" s="2" t="s">
        <v>480</v>
      </c>
      <c r="O464" t="b">
        <v>1</v>
      </c>
      <c r="P464" t="b">
        <v>1</v>
      </c>
      <c r="Q464" s="2"/>
      <c r="R464" t="s">
        <v>21</v>
      </c>
      <c r="S464">
        <v>1</v>
      </c>
      <c r="T464">
        <v>600</v>
      </c>
      <c r="U464" t="s">
        <v>711</v>
      </c>
      <c r="V464">
        <v>180</v>
      </c>
      <c r="W464" s="2">
        <v>0.63</v>
      </c>
      <c r="AF464" s="2" t="b">
        <v>1</v>
      </c>
      <c r="AX464"/>
      <c r="BA464" s="2"/>
      <c r="BB464" s="2" t="b">
        <f>LEN(_xlfn.CONCAT(Table1[[#This Row],[TRACK_TYPE_STANDARD_GAUGE_RAILTYPE_OHLE]:[TRACK_TYPE_MTRO]]))&gt;0</f>
        <v>1</v>
      </c>
      <c r="BC464" s="7">
        <v>25</v>
      </c>
      <c r="BD464" t="s">
        <v>927</v>
      </c>
      <c r="BE464" t="s">
        <v>922</v>
      </c>
      <c r="BF464" t="s">
        <v>940</v>
      </c>
      <c r="BG4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4">
        <v>0</v>
      </c>
      <c r="BI464" t="s">
        <v>734</v>
      </c>
      <c r="BJ464" s="11">
        <v>48</v>
      </c>
      <c r="BK464" s="11">
        <v>8</v>
      </c>
      <c r="BL464" s="11">
        <v>32</v>
      </c>
      <c r="BM464">
        <v>0</v>
      </c>
      <c r="BN464" t="s">
        <v>692</v>
      </c>
      <c r="BO464" t="s">
        <v>694</v>
      </c>
      <c r="BP464" t="s">
        <v>701</v>
      </c>
      <c r="BQ464" t="s">
        <v>705</v>
      </c>
      <c r="BR464" t="s">
        <v>706</v>
      </c>
      <c r="BS464" t="s">
        <v>707</v>
      </c>
    </row>
    <row r="465" spans="1:71" hidden="1" x14ac:dyDescent="0.4">
      <c r="A465" s="2" t="s">
        <v>492</v>
      </c>
      <c r="B465" t="str">
        <f>_xlfn.TEXTAFTER(Table1[[#This Row],[VEHIDCODE]],"_")</f>
        <v>Spain_RENFE_594_TRD</v>
      </c>
      <c r="C465" t="s">
        <v>742</v>
      </c>
      <c r="D465" t="b">
        <f>OR(ISNUMBER(SEARCH("wagon_",Table1[[#This Row],[FILENAMES_EXPECTED]])),ISNUMBER(SEARCH("coach_",Table1[[#This Row],[FILENAMES_EXPECTED]])))</f>
        <v>0</v>
      </c>
      <c r="E465" t="str">
        <f>"item_"&amp;Table1[[#This Row],[VEHIDCODE]]</f>
        <v>item_dmu_Spain_RENFE_594_TRD</v>
      </c>
      <c r="F465" t="str">
        <f>"str_"&amp;Table1[[#This Row],[VEHIDCODE]]</f>
        <v>str_dmu_Spain_RENFE_594_TRD</v>
      </c>
      <c r="G465">
        <v>8</v>
      </c>
      <c r="H465" t="s">
        <v>18</v>
      </c>
      <c r="I465">
        <v>1</v>
      </c>
      <c r="J465" t="s">
        <v>35</v>
      </c>
      <c r="K465">
        <v>63</v>
      </c>
      <c r="L465">
        <v>1997</v>
      </c>
      <c r="M465">
        <v>8</v>
      </c>
      <c r="N465" s="2" t="s">
        <v>24</v>
      </c>
      <c r="O465" t="b">
        <v>1</v>
      </c>
      <c r="P465" t="b">
        <v>1</v>
      </c>
      <c r="Q465" s="2"/>
      <c r="R465">
        <v>45</v>
      </c>
      <c r="S465">
        <v>1</v>
      </c>
      <c r="T465">
        <v>804</v>
      </c>
      <c r="U465" t="s">
        <v>711</v>
      </c>
      <c r="V465">
        <v>160</v>
      </c>
      <c r="W465" s="2">
        <v>0.24</v>
      </c>
      <c r="AF465" s="2" t="b">
        <v>1</v>
      </c>
      <c r="AX465"/>
      <c r="BA465" s="2"/>
      <c r="BB465" s="2" t="b">
        <f>LEN(_xlfn.CONCAT(Table1[[#This Row],[TRACK_TYPE_STANDARD_GAUGE_RAILTYPE_OHLE]:[TRACK_TYPE_MTRO]]))&gt;0</f>
        <v>1</v>
      </c>
      <c r="BC465" s="7">
        <v>20</v>
      </c>
      <c r="BD465" t="s">
        <v>924</v>
      </c>
      <c r="BE465" t="s">
        <v>922</v>
      </c>
      <c r="BF465" t="s">
        <v>940</v>
      </c>
      <c r="BG4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5">
        <v>0</v>
      </c>
      <c r="BI465" t="s">
        <v>734</v>
      </c>
      <c r="BJ465" s="11">
        <v>63</v>
      </c>
      <c r="BK465" s="11">
        <v>8</v>
      </c>
      <c r="BL465" s="11">
        <v>49</v>
      </c>
      <c r="BM465">
        <v>0</v>
      </c>
      <c r="BN465" t="s">
        <v>692</v>
      </c>
      <c r="BO465" t="s">
        <v>694</v>
      </c>
      <c r="BP465" t="s">
        <v>701</v>
      </c>
      <c r="BQ465" t="s">
        <v>705</v>
      </c>
      <c r="BR465" t="s">
        <v>706</v>
      </c>
      <c r="BS465" t="s">
        <v>707</v>
      </c>
    </row>
    <row r="466" spans="1:71" hidden="1" x14ac:dyDescent="0.4">
      <c r="A466" s="2" t="s">
        <v>493</v>
      </c>
      <c r="B466" t="str">
        <f>_xlfn.TEXTAFTER(Table1[[#This Row],[VEHIDCODE]],"_")</f>
        <v>UK_BR_168</v>
      </c>
      <c r="C466" t="s">
        <v>742</v>
      </c>
      <c r="D466" t="b">
        <f>OR(ISNUMBER(SEARCH("wagon_",Table1[[#This Row],[FILENAMES_EXPECTED]])),ISNUMBER(SEARCH("coach_",Table1[[#This Row],[FILENAMES_EXPECTED]])))</f>
        <v>0</v>
      </c>
      <c r="E466" t="str">
        <f>"item_"&amp;Table1[[#This Row],[VEHIDCODE]]</f>
        <v>item_dmu_UK_BR_168</v>
      </c>
      <c r="F466" t="str">
        <f>"str_"&amp;Table1[[#This Row],[VEHIDCODE]]</f>
        <v>str_dmu_UK_BR_168</v>
      </c>
      <c r="G466">
        <v>8</v>
      </c>
      <c r="H466" t="s">
        <v>18</v>
      </c>
      <c r="I466">
        <v>1</v>
      </c>
      <c r="J466" t="s">
        <v>35</v>
      </c>
      <c r="K466">
        <v>42</v>
      </c>
      <c r="L466">
        <v>1997</v>
      </c>
      <c r="M466">
        <v>8</v>
      </c>
      <c r="N466" s="2" t="s">
        <v>24</v>
      </c>
      <c r="O466" t="b">
        <v>1</v>
      </c>
      <c r="P466" t="b">
        <v>1</v>
      </c>
      <c r="Q466" s="2"/>
      <c r="R466">
        <v>45</v>
      </c>
      <c r="S466">
        <v>1</v>
      </c>
      <c r="T466">
        <v>1300</v>
      </c>
      <c r="U466" t="s">
        <v>711</v>
      </c>
      <c r="V466">
        <v>160</v>
      </c>
      <c r="W466" s="2">
        <v>0.39</v>
      </c>
      <c r="AF466" s="2" t="b">
        <v>1</v>
      </c>
      <c r="AX466"/>
      <c r="BA466" s="2"/>
      <c r="BB466" s="2" t="b">
        <f>LEN(_xlfn.CONCAT(Table1[[#This Row],[TRACK_TYPE_STANDARD_GAUGE_RAILTYPE_OHLE]:[TRACK_TYPE_MTRO]]))&gt;0</f>
        <v>1</v>
      </c>
      <c r="BC466" s="7">
        <v>20</v>
      </c>
      <c r="BD466" t="s">
        <v>927</v>
      </c>
      <c r="BE466" t="s">
        <v>922</v>
      </c>
      <c r="BF466" t="s">
        <v>940</v>
      </c>
      <c r="BG4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6">
        <v>0</v>
      </c>
      <c r="BI466" t="s">
        <v>734</v>
      </c>
      <c r="BJ466" s="11">
        <v>42</v>
      </c>
      <c r="BK466" s="11">
        <v>8</v>
      </c>
      <c r="BL466" s="11">
        <v>50</v>
      </c>
      <c r="BM466">
        <v>0</v>
      </c>
      <c r="BN466" t="s">
        <v>692</v>
      </c>
      <c r="BO466" t="s">
        <v>694</v>
      </c>
      <c r="BP466" t="s">
        <v>701</v>
      </c>
      <c r="BQ466" t="s">
        <v>705</v>
      </c>
      <c r="BR466" t="s">
        <v>706</v>
      </c>
      <c r="BS466" t="s">
        <v>707</v>
      </c>
    </row>
    <row r="467" spans="1:71" hidden="1" x14ac:dyDescent="0.4">
      <c r="A467" s="2" t="s">
        <v>494</v>
      </c>
      <c r="B467" t="str">
        <f>_xlfn.TEXTAFTER(Table1[[#This Row],[VEHIDCODE]],"_")</f>
        <v>Germany_DB_612_Regio_Swinger</v>
      </c>
      <c r="C467" t="s">
        <v>742</v>
      </c>
      <c r="D467" t="b">
        <f>OR(ISNUMBER(SEARCH("wagon_",Table1[[#This Row],[FILENAMES_EXPECTED]])),ISNUMBER(SEARCH("coach_",Table1[[#This Row],[FILENAMES_EXPECTED]])))</f>
        <v>0</v>
      </c>
      <c r="E467" t="str">
        <f>"item_"&amp;Table1[[#This Row],[VEHIDCODE]]</f>
        <v>item_dmu_Germany_DB_612_Regio_Swinger</v>
      </c>
      <c r="F467" t="str">
        <f>"str_"&amp;Table1[[#This Row],[VEHIDCODE]]</f>
        <v>str_dmu_Germany_DB_612_Regio_Swinger</v>
      </c>
      <c r="G467">
        <v>8</v>
      </c>
      <c r="H467" t="s">
        <v>18</v>
      </c>
      <c r="I467">
        <v>1</v>
      </c>
      <c r="J467" t="s">
        <v>35</v>
      </c>
      <c r="K467">
        <v>73</v>
      </c>
      <c r="L467">
        <v>1998</v>
      </c>
      <c r="M467">
        <v>8</v>
      </c>
      <c r="N467" s="2" t="s">
        <v>24</v>
      </c>
      <c r="O467" t="b">
        <v>1</v>
      </c>
      <c r="P467" t="b">
        <v>1</v>
      </c>
      <c r="Q467" s="2"/>
      <c r="R467">
        <v>45</v>
      </c>
      <c r="S467">
        <v>1</v>
      </c>
      <c r="T467">
        <v>1520</v>
      </c>
      <c r="U467" t="s">
        <v>711</v>
      </c>
      <c r="V467">
        <v>160</v>
      </c>
      <c r="W467" s="2">
        <v>0.38</v>
      </c>
      <c r="AF467" s="2" t="b">
        <v>1</v>
      </c>
      <c r="AX467"/>
      <c r="BA467" s="2"/>
      <c r="BB467" s="2" t="b">
        <f>LEN(_xlfn.CONCAT(Table1[[#This Row],[TRACK_TYPE_STANDARD_GAUGE_RAILTYPE_OHLE]:[TRACK_TYPE_MTRO]]))&gt;0</f>
        <v>1</v>
      </c>
      <c r="BC467" s="7">
        <v>20</v>
      </c>
      <c r="BD467" t="s">
        <v>923</v>
      </c>
      <c r="BE467" t="s">
        <v>922</v>
      </c>
      <c r="BF467" t="s">
        <v>940</v>
      </c>
      <c r="BG4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7">
        <v>0</v>
      </c>
      <c r="BI467" t="s">
        <v>734</v>
      </c>
      <c r="BJ467" s="11">
        <v>73</v>
      </c>
      <c r="BK467" s="11">
        <v>8</v>
      </c>
      <c r="BL467" s="11">
        <v>58</v>
      </c>
      <c r="BM467">
        <v>0</v>
      </c>
      <c r="BN467" t="s">
        <v>692</v>
      </c>
      <c r="BO467" t="s">
        <v>694</v>
      </c>
      <c r="BP467" t="s">
        <v>701</v>
      </c>
      <c r="BQ467" t="s">
        <v>705</v>
      </c>
      <c r="BR467" t="s">
        <v>706</v>
      </c>
      <c r="BS467" t="s">
        <v>707</v>
      </c>
    </row>
    <row r="468" spans="1:71" hidden="1" x14ac:dyDescent="0.4">
      <c r="A468" s="2" t="s">
        <v>495</v>
      </c>
      <c r="B468" t="str">
        <f>_xlfn.TEXTAFTER(Table1[[#This Row],[VEHIDCODE]],"_")</f>
        <v>Germany_DB_642_Desiro</v>
      </c>
      <c r="C468" t="s">
        <v>742</v>
      </c>
      <c r="D468" t="b">
        <f>OR(ISNUMBER(SEARCH("wagon_",Table1[[#This Row],[FILENAMES_EXPECTED]])),ISNUMBER(SEARCH("coach_",Table1[[#This Row],[FILENAMES_EXPECTED]])))</f>
        <v>0</v>
      </c>
      <c r="E468" t="str">
        <f>"item_"&amp;Table1[[#This Row],[VEHIDCODE]]</f>
        <v>item_dmu_Germany_DB_642_Desiro</v>
      </c>
      <c r="F468" t="str">
        <f>"str_"&amp;Table1[[#This Row],[VEHIDCODE]]</f>
        <v>str_dmu_Germany_DB_642_Desiro</v>
      </c>
      <c r="G468">
        <v>8</v>
      </c>
      <c r="H468" t="s">
        <v>18</v>
      </c>
      <c r="I468">
        <v>1</v>
      </c>
      <c r="J468" t="s">
        <v>35</v>
      </c>
      <c r="K468">
        <v>55</v>
      </c>
      <c r="L468">
        <v>2000</v>
      </c>
      <c r="M468">
        <v>8</v>
      </c>
      <c r="N468" s="2" t="s">
        <v>24</v>
      </c>
      <c r="O468" t="b">
        <v>1</v>
      </c>
      <c r="P468" t="b">
        <v>1</v>
      </c>
      <c r="Q468" s="2"/>
      <c r="R468" t="s">
        <v>21</v>
      </c>
      <c r="S468">
        <v>1</v>
      </c>
      <c r="T468">
        <v>368</v>
      </c>
      <c r="U468" t="s">
        <v>711</v>
      </c>
      <c r="V468">
        <v>120</v>
      </c>
      <c r="W468" s="2">
        <v>0.18</v>
      </c>
      <c r="AF468" s="2" t="b">
        <v>1</v>
      </c>
      <c r="AX468"/>
      <c r="BA468" s="2"/>
      <c r="BB468" s="2" t="b">
        <f>LEN(_xlfn.CONCAT(Table1[[#This Row],[TRACK_TYPE_STANDARD_GAUGE_RAILTYPE_OHLE]:[TRACK_TYPE_MTRO]]))&gt;0</f>
        <v>1</v>
      </c>
      <c r="BC468" s="7">
        <v>25</v>
      </c>
      <c r="BD468" t="s">
        <v>923</v>
      </c>
      <c r="BE468" t="s">
        <v>922</v>
      </c>
      <c r="BF468" t="s">
        <v>940</v>
      </c>
      <c r="BG4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8">
        <v>0</v>
      </c>
      <c r="BI468" t="s">
        <v>734</v>
      </c>
      <c r="BJ468" s="11">
        <v>55</v>
      </c>
      <c r="BK468" s="11">
        <v>8</v>
      </c>
      <c r="BL468" s="11">
        <v>60</v>
      </c>
      <c r="BM468">
        <v>0</v>
      </c>
      <c r="BN468" t="s">
        <v>692</v>
      </c>
      <c r="BO468" t="s">
        <v>694</v>
      </c>
      <c r="BP468" t="s">
        <v>701</v>
      </c>
      <c r="BQ468" t="s">
        <v>705</v>
      </c>
      <c r="BR468" t="s">
        <v>706</v>
      </c>
      <c r="BS468" t="s">
        <v>707</v>
      </c>
    </row>
    <row r="469" spans="1:71" hidden="1" x14ac:dyDescent="0.4">
      <c r="A469" s="2" t="s">
        <v>496</v>
      </c>
      <c r="B469" t="str">
        <f>_xlfn.TEXTAFTER(Table1[[#This Row],[VEHIDCODE]],"_")</f>
        <v>Denmark_Arriva_Lint_41</v>
      </c>
      <c r="C469" t="s">
        <v>742</v>
      </c>
      <c r="D469" t="b">
        <f>OR(ISNUMBER(SEARCH("wagon_",Table1[[#This Row],[FILENAMES_EXPECTED]])),ISNUMBER(SEARCH("coach_",Table1[[#This Row],[FILENAMES_EXPECTED]])))</f>
        <v>0</v>
      </c>
      <c r="E469" t="str">
        <f>"item_"&amp;Table1[[#This Row],[VEHIDCODE]]</f>
        <v>item_dmu_Denmark_Arriva_Lint_41</v>
      </c>
      <c r="F469" t="str">
        <f>"str_"&amp;Table1[[#This Row],[VEHIDCODE]]</f>
        <v>str_dmu_Denmark_Arriva_Lint_41</v>
      </c>
      <c r="G469">
        <v>8</v>
      </c>
      <c r="H469" t="s">
        <v>18</v>
      </c>
      <c r="I469">
        <v>1</v>
      </c>
      <c r="J469" t="s">
        <v>35</v>
      </c>
      <c r="K469">
        <v>73</v>
      </c>
      <c r="L469">
        <v>2001</v>
      </c>
      <c r="M469">
        <v>8</v>
      </c>
      <c r="N469" s="2" t="s">
        <v>24</v>
      </c>
      <c r="O469" t="b">
        <v>1</v>
      </c>
      <c r="P469" t="b">
        <v>1</v>
      </c>
      <c r="Q469" s="2"/>
      <c r="R469" t="s">
        <v>21</v>
      </c>
      <c r="S469">
        <v>1</v>
      </c>
      <c r="T469">
        <v>422</v>
      </c>
      <c r="U469" t="s">
        <v>711</v>
      </c>
      <c r="V469">
        <v>120</v>
      </c>
      <c r="W469" s="2">
        <v>0.39</v>
      </c>
      <c r="AF469" s="2" t="b">
        <v>1</v>
      </c>
      <c r="AX469"/>
      <c r="BA469" s="2"/>
      <c r="BB469" s="2" t="b">
        <f>LEN(_xlfn.CONCAT(Table1[[#This Row],[TRACK_TYPE_STANDARD_GAUGE_RAILTYPE_OHLE]:[TRACK_TYPE_MTRO]]))&gt;0</f>
        <v>1</v>
      </c>
      <c r="BC469" s="7">
        <v>20</v>
      </c>
      <c r="BD469" t="s">
        <v>927</v>
      </c>
      <c r="BE469" t="s">
        <v>922</v>
      </c>
      <c r="BF469" t="s">
        <v>940</v>
      </c>
      <c r="BG4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9">
        <v>0</v>
      </c>
      <c r="BI469" t="s">
        <v>734</v>
      </c>
      <c r="BJ469" s="11">
        <v>73</v>
      </c>
      <c r="BK469" s="11">
        <v>8</v>
      </c>
      <c r="BL469" s="11">
        <v>31</v>
      </c>
      <c r="BM469">
        <v>0</v>
      </c>
      <c r="BN469" t="s">
        <v>692</v>
      </c>
      <c r="BO469" t="s">
        <v>694</v>
      </c>
      <c r="BP469" t="s">
        <v>701</v>
      </c>
      <c r="BQ469" t="s">
        <v>705</v>
      </c>
      <c r="BR469" t="s">
        <v>706</v>
      </c>
      <c r="BS469" t="s">
        <v>707</v>
      </c>
    </row>
    <row r="470" spans="1:71" hidden="1" x14ac:dyDescent="0.4">
      <c r="A470" s="2" t="s">
        <v>497</v>
      </c>
      <c r="B470" t="str">
        <f>_xlfn.TEXTAFTER(Table1[[#This Row],[VEHIDCODE]],"_")</f>
        <v>Norway_NSB_BM_93_Talent</v>
      </c>
      <c r="C470" t="s">
        <v>742</v>
      </c>
      <c r="D470" t="b">
        <f>OR(ISNUMBER(SEARCH("wagon_",Table1[[#This Row],[FILENAMES_EXPECTED]])),ISNUMBER(SEARCH("coach_",Table1[[#This Row],[FILENAMES_EXPECTED]])))</f>
        <v>0</v>
      </c>
      <c r="E470" t="str">
        <f>"item_"&amp;Table1[[#This Row],[VEHIDCODE]]</f>
        <v>item_dmu_Norway_NSB_BM_93_Talent</v>
      </c>
      <c r="F470" t="str">
        <f>"str_"&amp;Table1[[#This Row],[VEHIDCODE]]</f>
        <v>str_dmu_Norway_NSB_BM_93_Talent</v>
      </c>
      <c r="G470">
        <v>8</v>
      </c>
      <c r="H470" t="s">
        <v>18</v>
      </c>
      <c r="I470">
        <v>1</v>
      </c>
      <c r="J470" t="s">
        <v>35</v>
      </c>
      <c r="K470">
        <v>55</v>
      </c>
      <c r="L470">
        <v>2001</v>
      </c>
      <c r="M470">
        <v>8</v>
      </c>
      <c r="N470" s="2" t="s">
        <v>24</v>
      </c>
      <c r="O470" t="b">
        <v>1</v>
      </c>
      <c r="P470" t="b">
        <v>1</v>
      </c>
      <c r="Q470" s="2"/>
      <c r="R470">
        <v>45</v>
      </c>
      <c r="S470">
        <v>1</v>
      </c>
      <c r="T470">
        <v>410</v>
      </c>
      <c r="U470" t="s">
        <v>711</v>
      </c>
      <c r="V470">
        <v>140</v>
      </c>
      <c r="W470" s="2">
        <v>0.21</v>
      </c>
      <c r="AF470" s="2" t="b">
        <v>1</v>
      </c>
      <c r="AX470"/>
      <c r="BA470" s="2"/>
      <c r="BB470" s="2" t="b">
        <f>LEN(_xlfn.CONCAT(Table1[[#This Row],[TRACK_TYPE_STANDARD_GAUGE_RAILTYPE_OHLE]:[TRACK_TYPE_MTRO]]))&gt;0</f>
        <v>1</v>
      </c>
      <c r="BC470" s="7">
        <v>20</v>
      </c>
      <c r="BD470" t="s">
        <v>927</v>
      </c>
      <c r="BE470" t="s">
        <v>922</v>
      </c>
      <c r="BF470" t="s">
        <v>940</v>
      </c>
      <c r="BG4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0">
        <v>0</v>
      </c>
      <c r="BI470" t="s">
        <v>734</v>
      </c>
      <c r="BJ470" s="11">
        <v>55</v>
      </c>
      <c r="BK470" s="11">
        <v>8</v>
      </c>
      <c r="BL470" s="11">
        <v>29</v>
      </c>
      <c r="BM470">
        <v>0</v>
      </c>
      <c r="BN470" t="s">
        <v>692</v>
      </c>
      <c r="BO470" t="s">
        <v>694</v>
      </c>
      <c r="BP470" t="s">
        <v>701</v>
      </c>
      <c r="BQ470" t="s">
        <v>705</v>
      </c>
      <c r="BR470" t="s">
        <v>706</v>
      </c>
      <c r="BS470" t="s">
        <v>707</v>
      </c>
    </row>
    <row r="471" spans="1:71" hidden="1" x14ac:dyDescent="0.4">
      <c r="A471" s="2" t="s">
        <v>498</v>
      </c>
      <c r="B471" t="str">
        <f>_xlfn.TEXTAFTER(Table1[[#This Row],[VEHIDCODE]],"_")</f>
        <v>Australia_Transwa_Prospector</v>
      </c>
      <c r="C471" t="s">
        <v>742</v>
      </c>
      <c r="D471" t="b">
        <f>OR(ISNUMBER(SEARCH("wagon_",Table1[[#This Row],[FILENAMES_EXPECTED]])),ISNUMBER(SEARCH("coach_",Table1[[#This Row],[FILENAMES_EXPECTED]])))</f>
        <v>0</v>
      </c>
      <c r="E471" t="str">
        <f>"item_"&amp;Table1[[#This Row],[VEHIDCODE]]</f>
        <v>item_dmu_Australia_Transwa_Prospector</v>
      </c>
      <c r="F471" t="str">
        <f>"str_"&amp;Table1[[#This Row],[VEHIDCODE]]</f>
        <v>str_dmu_Australia_Transwa_Prospector</v>
      </c>
      <c r="G471">
        <v>8</v>
      </c>
      <c r="H471" t="s">
        <v>18</v>
      </c>
      <c r="I471">
        <v>1</v>
      </c>
      <c r="J471" t="s">
        <v>35</v>
      </c>
      <c r="K471">
        <v>68</v>
      </c>
      <c r="L471">
        <v>2004</v>
      </c>
      <c r="M471">
        <v>8</v>
      </c>
      <c r="N471" s="2" t="s">
        <v>480</v>
      </c>
      <c r="O471" t="b">
        <v>1</v>
      </c>
      <c r="P471" t="b">
        <v>1</v>
      </c>
      <c r="Q471" s="2"/>
      <c r="R471" t="s">
        <v>21</v>
      </c>
      <c r="S471">
        <v>1</v>
      </c>
      <c r="T471">
        <v>520</v>
      </c>
      <c r="U471" t="s">
        <v>711</v>
      </c>
      <c r="V471">
        <v>200</v>
      </c>
      <c r="W471" s="2">
        <v>0.33</v>
      </c>
      <c r="AF471" s="2" t="b">
        <v>1</v>
      </c>
      <c r="AX471"/>
      <c r="BA471" s="2"/>
      <c r="BB471" s="2" t="b">
        <f>LEN(_xlfn.CONCAT(Table1[[#This Row],[TRACK_TYPE_STANDARD_GAUGE_RAILTYPE_OHLE]:[TRACK_TYPE_MTRO]]))&gt;0</f>
        <v>1</v>
      </c>
      <c r="BC471" s="7">
        <v>25</v>
      </c>
      <c r="BD471" t="s">
        <v>925</v>
      </c>
      <c r="BE471" t="s">
        <v>922</v>
      </c>
      <c r="BF471" t="s">
        <v>940</v>
      </c>
      <c r="BG4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1">
        <v>0</v>
      </c>
      <c r="BI471" t="s">
        <v>734</v>
      </c>
      <c r="BJ471" s="11">
        <v>68</v>
      </c>
      <c r="BK471" s="11">
        <v>8</v>
      </c>
      <c r="BL471" s="11">
        <v>33</v>
      </c>
      <c r="BM471">
        <v>0</v>
      </c>
      <c r="BN471" t="s">
        <v>692</v>
      </c>
      <c r="BO471" t="s">
        <v>694</v>
      </c>
      <c r="BP471" t="s">
        <v>701</v>
      </c>
      <c r="BQ471" t="s">
        <v>705</v>
      </c>
      <c r="BR471" t="s">
        <v>706</v>
      </c>
      <c r="BS471" t="s">
        <v>707</v>
      </c>
    </row>
    <row r="472" spans="1:71" hidden="1" x14ac:dyDescent="0.4">
      <c r="A472" s="2" t="s">
        <v>499</v>
      </c>
      <c r="B472" t="str">
        <f>_xlfn.TEXTAFTER(Table1[[#This Row],[VEHIDCODE]],"_")</f>
        <v>Australia_CityRail_Hunter_Railcar</v>
      </c>
      <c r="C472" t="s">
        <v>742</v>
      </c>
      <c r="D472" t="b">
        <f>OR(ISNUMBER(SEARCH("wagon_",Table1[[#This Row],[FILENAMES_EXPECTED]])),ISNUMBER(SEARCH("coach_",Table1[[#This Row],[FILENAMES_EXPECTED]])))</f>
        <v>0</v>
      </c>
      <c r="E472" t="str">
        <f>"item_"&amp;Table1[[#This Row],[VEHIDCODE]]</f>
        <v>item_dmu_Australia_CityRail_Hunter_Railcar</v>
      </c>
      <c r="F472" t="str">
        <f>"str_"&amp;Table1[[#This Row],[VEHIDCODE]]</f>
        <v>str_dmu_Australia_CityRail_Hunter_Railcar</v>
      </c>
      <c r="G472">
        <v>8</v>
      </c>
      <c r="H472" t="s">
        <v>18</v>
      </c>
      <c r="I472">
        <v>1</v>
      </c>
      <c r="J472" t="s">
        <v>35</v>
      </c>
      <c r="K472">
        <v>70</v>
      </c>
      <c r="L472">
        <v>2006</v>
      </c>
      <c r="M472">
        <v>8</v>
      </c>
      <c r="N472" s="2" t="s">
        <v>24</v>
      </c>
      <c r="O472" t="b">
        <v>1</v>
      </c>
      <c r="P472" t="b">
        <v>1</v>
      </c>
      <c r="Q472" s="2"/>
      <c r="R472" t="s">
        <v>21</v>
      </c>
      <c r="S472">
        <v>1</v>
      </c>
      <c r="T472">
        <v>750</v>
      </c>
      <c r="U472" t="s">
        <v>711</v>
      </c>
      <c r="V472">
        <v>160</v>
      </c>
      <c r="W472" s="2">
        <v>0.33</v>
      </c>
      <c r="AF472" s="2" t="b">
        <v>1</v>
      </c>
      <c r="AX472"/>
      <c r="BA472" s="2"/>
      <c r="BB472" s="2" t="b">
        <f>LEN(_xlfn.CONCAT(Table1[[#This Row],[TRACK_TYPE_STANDARD_GAUGE_RAILTYPE_OHLE]:[TRACK_TYPE_MTRO]]))&gt;0</f>
        <v>1</v>
      </c>
      <c r="BC472" s="7">
        <v>25</v>
      </c>
      <c r="BD472" t="s">
        <v>925</v>
      </c>
      <c r="BE472" t="s">
        <v>922</v>
      </c>
      <c r="BF472" t="s">
        <v>940</v>
      </c>
      <c r="BG4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2">
        <v>0</v>
      </c>
      <c r="BI472" t="s">
        <v>734</v>
      </c>
      <c r="BJ472" s="11">
        <v>70</v>
      </c>
      <c r="BK472" s="11">
        <v>8</v>
      </c>
      <c r="BL472" s="11">
        <v>30</v>
      </c>
      <c r="BM472">
        <v>0</v>
      </c>
      <c r="BN472" t="s">
        <v>692</v>
      </c>
      <c r="BO472" t="s">
        <v>694</v>
      </c>
      <c r="BP472" t="s">
        <v>701</v>
      </c>
      <c r="BQ472" t="s">
        <v>705</v>
      </c>
      <c r="BR472" t="s">
        <v>706</v>
      </c>
      <c r="BS472" t="s">
        <v>707</v>
      </c>
    </row>
    <row r="473" spans="1:71" hidden="1" x14ac:dyDescent="0.4">
      <c r="A473" s="2" t="s">
        <v>500</v>
      </c>
      <c r="B473" t="str">
        <f>_xlfn.TEXTAFTER(Table1[[#This Row],[VEHIDCODE]],"_")</f>
        <v>Russia_RZD_RA2</v>
      </c>
      <c r="C473" t="s">
        <v>742</v>
      </c>
      <c r="D473" t="b">
        <f>OR(ISNUMBER(SEARCH("wagon_",Table1[[#This Row],[FILENAMES_EXPECTED]])),ISNUMBER(SEARCH("coach_",Table1[[#This Row],[FILENAMES_EXPECTED]])))</f>
        <v>0</v>
      </c>
      <c r="E473" t="str">
        <f>"item_"&amp;Table1[[#This Row],[VEHIDCODE]]</f>
        <v>item_dmu_Russia_RZD_RA2</v>
      </c>
      <c r="F473" t="str">
        <f>"str_"&amp;Table1[[#This Row],[VEHIDCODE]]</f>
        <v>str_dmu_Russia_RZD_RA2</v>
      </c>
      <c r="G473">
        <v>8</v>
      </c>
      <c r="H473" t="s">
        <v>18</v>
      </c>
      <c r="I473">
        <v>1</v>
      </c>
      <c r="J473" t="s">
        <v>35</v>
      </c>
      <c r="K473">
        <v>74</v>
      </c>
      <c r="L473">
        <v>2006</v>
      </c>
      <c r="M473">
        <v>8</v>
      </c>
      <c r="N473" s="2" t="s">
        <v>24</v>
      </c>
      <c r="O473" t="b">
        <v>1</v>
      </c>
      <c r="P473" t="b">
        <v>1</v>
      </c>
      <c r="Q473" s="2"/>
      <c r="R473" t="s">
        <v>21</v>
      </c>
      <c r="S473">
        <v>1</v>
      </c>
      <c r="T473">
        <v>840</v>
      </c>
      <c r="U473" t="s">
        <v>711</v>
      </c>
      <c r="V473">
        <v>100</v>
      </c>
      <c r="W473" s="2">
        <v>0.28000000000000003</v>
      </c>
      <c r="AF473" s="2" t="b">
        <v>1</v>
      </c>
      <c r="AX473"/>
      <c r="BA473" s="2"/>
      <c r="BB473" s="2" t="b">
        <f>LEN(_xlfn.CONCAT(Table1[[#This Row],[TRACK_TYPE_STANDARD_GAUGE_RAILTYPE_OHLE]:[TRACK_TYPE_MTRO]]))&gt;0</f>
        <v>1</v>
      </c>
      <c r="BC473" s="7">
        <v>25</v>
      </c>
      <c r="BD473" t="s">
        <v>931</v>
      </c>
      <c r="BE473" t="s">
        <v>922</v>
      </c>
      <c r="BF473" t="s">
        <v>940</v>
      </c>
      <c r="BG4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3">
        <v>0</v>
      </c>
      <c r="BI473" t="s">
        <v>734</v>
      </c>
      <c r="BJ473" s="11">
        <v>74</v>
      </c>
      <c r="BK473" s="11">
        <v>8</v>
      </c>
      <c r="BL473" s="11">
        <v>44</v>
      </c>
      <c r="BM473">
        <v>0</v>
      </c>
      <c r="BN473" t="s">
        <v>692</v>
      </c>
      <c r="BO473" t="s">
        <v>694</v>
      </c>
      <c r="BP473" t="s">
        <v>701</v>
      </c>
      <c r="BQ473" t="s">
        <v>705</v>
      </c>
      <c r="BR473" t="s">
        <v>706</v>
      </c>
      <c r="BS473" t="s">
        <v>707</v>
      </c>
    </row>
    <row r="474" spans="1:71" hidden="1" x14ac:dyDescent="0.4">
      <c r="A474" s="2" t="s">
        <v>501</v>
      </c>
      <c r="B474" t="str">
        <f>_xlfn.TEXTAFTER(Table1[[#This Row],[VEHIDCODE]],"_")</f>
        <v>Denmark_DSB_IC4</v>
      </c>
      <c r="C474" t="s">
        <v>742</v>
      </c>
      <c r="D474" t="b">
        <f>OR(ISNUMBER(SEARCH("wagon_",Table1[[#This Row],[FILENAMES_EXPECTED]])),ISNUMBER(SEARCH("coach_",Table1[[#This Row],[FILENAMES_EXPECTED]])))</f>
        <v>0</v>
      </c>
      <c r="E474" t="str">
        <f>"item_"&amp;Table1[[#This Row],[VEHIDCODE]]</f>
        <v>item_dmu_Denmark_DSB_IC4</v>
      </c>
      <c r="F474" t="str">
        <f>"str_"&amp;Table1[[#This Row],[VEHIDCODE]]</f>
        <v>str_dmu_Denmark_DSB_IC4</v>
      </c>
      <c r="G474">
        <v>8</v>
      </c>
      <c r="H474" t="s">
        <v>18</v>
      </c>
      <c r="I474">
        <v>1</v>
      </c>
      <c r="J474" t="s">
        <v>35</v>
      </c>
      <c r="K474">
        <v>52</v>
      </c>
      <c r="L474">
        <v>2007</v>
      </c>
      <c r="M474">
        <v>8</v>
      </c>
      <c r="N474" s="2" t="s">
        <v>480</v>
      </c>
      <c r="O474" t="b">
        <v>1</v>
      </c>
      <c r="P474" t="b">
        <v>1</v>
      </c>
      <c r="Q474" s="2"/>
      <c r="R474" t="s">
        <v>21</v>
      </c>
      <c r="S474">
        <v>1</v>
      </c>
      <c r="T474">
        <v>750</v>
      </c>
      <c r="U474" t="s">
        <v>711</v>
      </c>
      <c r="V474">
        <v>200</v>
      </c>
      <c r="W474" s="2">
        <v>0.62</v>
      </c>
      <c r="AF474" s="2" t="b">
        <v>1</v>
      </c>
      <c r="AX474"/>
      <c r="BA474" s="2"/>
      <c r="BB474" s="2" t="b">
        <f>LEN(_xlfn.CONCAT(Table1[[#This Row],[TRACK_TYPE_STANDARD_GAUGE_RAILTYPE_OHLE]:[TRACK_TYPE_MTRO]]))&gt;0</f>
        <v>1</v>
      </c>
      <c r="BC474" s="7">
        <v>25</v>
      </c>
      <c r="BD474" t="s">
        <v>927</v>
      </c>
      <c r="BE474" t="s">
        <v>922</v>
      </c>
      <c r="BF474" t="s">
        <v>940</v>
      </c>
      <c r="BG4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4">
        <v>0</v>
      </c>
      <c r="BI474" t="s">
        <v>734</v>
      </c>
      <c r="BJ474" s="11">
        <v>52</v>
      </c>
      <c r="BK474" s="11">
        <v>8</v>
      </c>
      <c r="BL474" s="11">
        <v>36</v>
      </c>
      <c r="BM474">
        <v>0</v>
      </c>
      <c r="BN474" t="s">
        <v>692</v>
      </c>
      <c r="BO474" t="s">
        <v>694</v>
      </c>
      <c r="BP474" t="s">
        <v>701</v>
      </c>
      <c r="BQ474" t="s">
        <v>705</v>
      </c>
      <c r="BR474" t="s">
        <v>706</v>
      </c>
      <c r="BS474" t="s">
        <v>707</v>
      </c>
    </row>
    <row r="475" spans="1:71" hidden="1" x14ac:dyDescent="0.4">
      <c r="A475" s="2" t="s">
        <v>502</v>
      </c>
      <c r="B475" t="str">
        <f>_xlfn.TEXTAFTER(Table1[[#This Row],[VEHIDCODE]],"_")</f>
        <v>Croatia_HZ_7022</v>
      </c>
      <c r="C475" t="s">
        <v>742</v>
      </c>
      <c r="D475" t="b">
        <f>OR(ISNUMBER(SEARCH("wagon_",Table1[[#This Row],[FILENAMES_EXPECTED]])),ISNUMBER(SEARCH("coach_",Table1[[#This Row],[FILENAMES_EXPECTED]])))</f>
        <v>0</v>
      </c>
      <c r="E475" t="str">
        <f>"item_"&amp;Table1[[#This Row],[VEHIDCODE]]</f>
        <v>item_dmu_Croatia_HZ_7022</v>
      </c>
      <c r="F475" t="str">
        <f>"str_"&amp;Table1[[#This Row],[VEHIDCODE]]</f>
        <v>str_dmu_Croatia_HZ_7022</v>
      </c>
      <c r="G475">
        <v>8</v>
      </c>
      <c r="H475" t="s">
        <v>18</v>
      </c>
      <c r="I475">
        <v>1</v>
      </c>
      <c r="J475" t="s">
        <v>35</v>
      </c>
      <c r="K475">
        <v>66</v>
      </c>
      <c r="L475">
        <v>2011</v>
      </c>
      <c r="M475">
        <v>8</v>
      </c>
      <c r="N475" s="2" t="s">
        <v>480</v>
      </c>
      <c r="O475" t="b">
        <v>1</v>
      </c>
      <c r="P475" t="b">
        <v>1</v>
      </c>
      <c r="Q475" s="2"/>
      <c r="R475" t="s">
        <v>21</v>
      </c>
      <c r="S475">
        <v>1</v>
      </c>
      <c r="T475">
        <v>1350</v>
      </c>
      <c r="U475" t="s">
        <v>711</v>
      </c>
      <c r="V475">
        <v>160</v>
      </c>
      <c r="W475" s="2">
        <v>0.53</v>
      </c>
      <c r="AF475" s="2" t="b">
        <v>1</v>
      </c>
      <c r="AX475"/>
      <c r="BA475" s="2"/>
      <c r="BB475" s="2" t="b">
        <f>LEN(_xlfn.CONCAT(Table1[[#This Row],[TRACK_TYPE_STANDARD_GAUGE_RAILTYPE_OHLE]:[TRACK_TYPE_MTRO]]))&gt;0</f>
        <v>1</v>
      </c>
      <c r="BC475" s="7">
        <v>25</v>
      </c>
      <c r="BD475" t="s">
        <v>929</v>
      </c>
      <c r="BE475" t="s">
        <v>922</v>
      </c>
      <c r="BF475" t="s">
        <v>940</v>
      </c>
      <c r="BG4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5">
        <v>0</v>
      </c>
      <c r="BI475" t="s">
        <v>734</v>
      </c>
      <c r="BJ475" s="11">
        <v>66</v>
      </c>
      <c r="BK475" s="11">
        <v>8</v>
      </c>
      <c r="BL475" s="11">
        <v>38</v>
      </c>
      <c r="BM475">
        <v>0</v>
      </c>
      <c r="BN475" t="s">
        <v>692</v>
      </c>
      <c r="BO475" t="s">
        <v>694</v>
      </c>
      <c r="BP475" t="s">
        <v>701</v>
      </c>
      <c r="BQ475" t="s">
        <v>705</v>
      </c>
      <c r="BR475" t="s">
        <v>706</v>
      </c>
      <c r="BS475" t="s">
        <v>707</v>
      </c>
    </row>
    <row r="476" spans="1:71" hidden="1" x14ac:dyDescent="0.4">
      <c r="A476" s="2" t="s">
        <v>503</v>
      </c>
      <c r="B476" t="str">
        <f>_xlfn.TEXTAFTER(Table1[[#This Row],[VEHIDCODE]],"_")</f>
        <v>Turkey_TCDD_MT_5500</v>
      </c>
      <c r="C476" t="s">
        <v>742</v>
      </c>
      <c r="D476" t="b">
        <f>OR(ISNUMBER(SEARCH("wagon_",Table1[[#This Row],[FILENAMES_EXPECTED]])),ISNUMBER(SEARCH("coach_",Table1[[#This Row],[FILENAMES_EXPECTED]])))</f>
        <v>0</v>
      </c>
      <c r="E476" t="str">
        <f>"item_"&amp;Table1[[#This Row],[VEHIDCODE]]</f>
        <v>item_dmu_Turkey_TCDD_MT_5500</v>
      </c>
      <c r="F476" t="str">
        <f>"str_"&amp;Table1[[#This Row],[VEHIDCODE]]</f>
        <v>str_dmu_Turkey_TCDD_MT_5500</v>
      </c>
      <c r="G476">
        <v>8</v>
      </c>
      <c r="H476" t="s">
        <v>18</v>
      </c>
      <c r="I476">
        <v>1</v>
      </c>
      <c r="J476" t="s">
        <v>35</v>
      </c>
      <c r="K476">
        <v>76</v>
      </c>
      <c r="L476">
        <v>1961</v>
      </c>
      <c r="M476">
        <v>8</v>
      </c>
      <c r="N476" s="2" t="s">
        <v>24</v>
      </c>
      <c r="O476" t="b">
        <v>1</v>
      </c>
      <c r="P476" t="b">
        <v>1</v>
      </c>
      <c r="Q476" s="2"/>
      <c r="R476">
        <v>45</v>
      </c>
      <c r="S476">
        <v>1</v>
      </c>
      <c r="T476">
        <v>390</v>
      </c>
      <c r="U476" t="s">
        <v>711</v>
      </c>
      <c r="V476">
        <v>90</v>
      </c>
      <c r="W476" s="2">
        <v>0.23</v>
      </c>
      <c r="AF476" s="2" t="b">
        <v>1</v>
      </c>
      <c r="AX476"/>
      <c r="BA476" s="2"/>
      <c r="BB476" s="2" t="b">
        <f>LEN(_xlfn.CONCAT(Table1[[#This Row],[TRACK_TYPE_STANDARD_GAUGE_RAILTYPE_OHLE]:[TRACK_TYPE_MTRO]]))&gt;0</f>
        <v>1</v>
      </c>
      <c r="BC476" s="7">
        <v>20</v>
      </c>
      <c r="BD476" t="s">
        <v>931</v>
      </c>
      <c r="BE476" t="s">
        <v>922</v>
      </c>
      <c r="BF476" t="s">
        <v>940</v>
      </c>
      <c r="BG4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6">
        <v>0</v>
      </c>
      <c r="BI476" t="s">
        <v>734</v>
      </c>
      <c r="BJ476" s="11">
        <v>76</v>
      </c>
      <c r="BK476" s="11">
        <v>8</v>
      </c>
      <c r="BL476" s="11">
        <v>35</v>
      </c>
      <c r="BM476">
        <v>0</v>
      </c>
      <c r="BN476" t="s">
        <v>692</v>
      </c>
      <c r="BO476" t="s">
        <v>694</v>
      </c>
      <c r="BP476" t="s">
        <v>701</v>
      </c>
      <c r="BQ476" t="s">
        <v>705</v>
      </c>
      <c r="BR476" t="s">
        <v>706</v>
      </c>
      <c r="BS476" t="s">
        <v>707</v>
      </c>
    </row>
    <row r="477" spans="1:71" hidden="1" x14ac:dyDescent="0.4">
      <c r="A477" s="2" t="s">
        <v>504</v>
      </c>
      <c r="B477" t="str">
        <f>_xlfn.TEXTAFTER(Table1[[#This Row],[VEHIDCODE]],"_")</f>
        <v>Japan_JNR_KiHa_181</v>
      </c>
      <c r="C477" t="s">
        <v>742</v>
      </c>
      <c r="D477" t="b">
        <f>OR(ISNUMBER(SEARCH("wagon_",Table1[[#This Row],[FILENAMES_EXPECTED]])),ISNUMBER(SEARCH("coach_",Table1[[#This Row],[FILENAMES_EXPECTED]])))</f>
        <v>0</v>
      </c>
      <c r="E477" t="str">
        <f>"item_"&amp;Table1[[#This Row],[VEHIDCODE]]</f>
        <v>item_dmu_Japan_JNR_KiHa_181</v>
      </c>
      <c r="F477" t="str">
        <f>"str_"&amp;Table1[[#This Row],[VEHIDCODE]]</f>
        <v>str_dmu_Japan_JNR_KiHa_181</v>
      </c>
      <c r="G477">
        <v>8</v>
      </c>
      <c r="H477" t="s">
        <v>18</v>
      </c>
      <c r="I477">
        <v>1</v>
      </c>
      <c r="J477" t="s">
        <v>35</v>
      </c>
      <c r="K477">
        <v>52</v>
      </c>
      <c r="L477">
        <v>1968</v>
      </c>
      <c r="M477">
        <v>8</v>
      </c>
      <c r="N477" s="2" t="s">
        <v>24</v>
      </c>
      <c r="O477" t="b">
        <v>1</v>
      </c>
      <c r="P477" t="b">
        <v>1</v>
      </c>
      <c r="Q477" s="2"/>
      <c r="R477">
        <v>45</v>
      </c>
      <c r="S477">
        <v>1</v>
      </c>
      <c r="T477">
        <v>500</v>
      </c>
      <c r="U477" t="s">
        <v>711</v>
      </c>
      <c r="V477">
        <v>120</v>
      </c>
      <c r="W477" s="2">
        <v>0.34</v>
      </c>
      <c r="AF477" s="2" t="b">
        <v>1</v>
      </c>
      <c r="AX477"/>
      <c r="BA477" s="2"/>
      <c r="BB477" s="2" t="b">
        <f>LEN(_xlfn.CONCAT(Table1[[#This Row],[TRACK_TYPE_STANDARD_GAUGE_RAILTYPE_OHLE]:[TRACK_TYPE_MTRO]]))&gt;0</f>
        <v>1</v>
      </c>
      <c r="BC477" s="7">
        <v>20</v>
      </c>
      <c r="BD477" t="s">
        <v>931</v>
      </c>
      <c r="BE477" t="s">
        <v>922</v>
      </c>
      <c r="BF477" t="s">
        <v>940</v>
      </c>
      <c r="BG4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7">
        <v>0</v>
      </c>
      <c r="BI477" t="s">
        <v>734</v>
      </c>
      <c r="BJ477" s="11">
        <v>52</v>
      </c>
      <c r="BK477" s="11">
        <v>8</v>
      </c>
      <c r="BL477" s="11">
        <v>44</v>
      </c>
      <c r="BM477">
        <v>0</v>
      </c>
      <c r="BN477" t="s">
        <v>692</v>
      </c>
      <c r="BO477" t="s">
        <v>694</v>
      </c>
      <c r="BP477" t="s">
        <v>701</v>
      </c>
      <c r="BQ477" t="s">
        <v>705</v>
      </c>
      <c r="BR477" t="s">
        <v>706</v>
      </c>
      <c r="BS477" t="s">
        <v>707</v>
      </c>
    </row>
    <row r="478" spans="1:71" hidden="1" x14ac:dyDescent="0.4">
      <c r="A478" s="2" t="s">
        <v>505</v>
      </c>
      <c r="B478" t="str">
        <f>_xlfn.TEXTAFTER(Table1[[#This Row],[VEHIDCODE]],"_")</f>
        <v>Czech_Republic_CD_814</v>
      </c>
      <c r="C478" t="s">
        <v>742</v>
      </c>
      <c r="D478" t="b">
        <f>OR(ISNUMBER(SEARCH("wagon_",Table1[[#This Row],[FILENAMES_EXPECTED]])),ISNUMBER(SEARCH("coach_",Table1[[#This Row],[FILENAMES_EXPECTED]])))</f>
        <v>0</v>
      </c>
      <c r="E478" t="str">
        <f>"item_"&amp;Table1[[#This Row],[VEHIDCODE]]</f>
        <v>item_dmu_Czech_Republic_CD_814</v>
      </c>
      <c r="F478" t="str">
        <f>"str_"&amp;Table1[[#This Row],[VEHIDCODE]]</f>
        <v>str_dmu_Czech_Republic_CD_814</v>
      </c>
      <c r="G478">
        <v>6</v>
      </c>
      <c r="H478" t="s">
        <v>18</v>
      </c>
      <c r="I478">
        <v>1</v>
      </c>
      <c r="J478" t="s">
        <v>35</v>
      </c>
      <c r="K478">
        <v>42</v>
      </c>
      <c r="L478">
        <v>1973</v>
      </c>
      <c r="M478">
        <v>6</v>
      </c>
      <c r="N478" s="2" t="s">
        <v>24</v>
      </c>
      <c r="O478" t="b">
        <v>1</v>
      </c>
      <c r="P478" t="b">
        <v>1</v>
      </c>
      <c r="Q478" s="2"/>
      <c r="R478">
        <v>45</v>
      </c>
      <c r="S478">
        <v>1</v>
      </c>
      <c r="T478">
        <v>325</v>
      </c>
      <c r="U478" t="s">
        <v>711</v>
      </c>
      <c r="V478">
        <v>80</v>
      </c>
      <c r="W478" s="2">
        <v>0.25</v>
      </c>
      <c r="AF478" s="2" t="b">
        <v>1</v>
      </c>
      <c r="AX478"/>
      <c r="BA478" s="2"/>
      <c r="BB478" s="2" t="b">
        <f>LEN(_xlfn.CONCAT(Table1[[#This Row],[TRACK_TYPE_STANDARD_GAUGE_RAILTYPE_OHLE]:[TRACK_TYPE_MTRO]]))&gt;0</f>
        <v>1</v>
      </c>
      <c r="BC478" s="7">
        <v>20</v>
      </c>
      <c r="BD478" t="s">
        <v>929</v>
      </c>
      <c r="BE478" t="s">
        <v>922</v>
      </c>
      <c r="BF478" t="s">
        <v>940</v>
      </c>
      <c r="BG4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8">
        <v>0</v>
      </c>
      <c r="BI478" t="s">
        <v>734</v>
      </c>
      <c r="BJ478" s="11">
        <v>42</v>
      </c>
      <c r="BK478" s="11">
        <v>6</v>
      </c>
      <c r="BL478" s="11">
        <v>22</v>
      </c>
      <c r="BM478">
        <v>0</v>
      </c>
      <c r="BN478" t="s">
        <v>692</v>
      </c>
      <c r="BO478" t="s">
        <v>694</v>
      </c>
      <c r="BP478" t="s">
        <v>701</v>
      </c>
      <c r="BQ478" t="s">
        <v>705</v>
      </c>
      <c r="BR478" t="s">
        <v>706</v>
      </c>
      <c r="BS478" t="s">
        <v>707</v>
      </c>
    </row>
    <row r="479" spans="1:71" hidden="1" x14ac:dyDescent="0.4">
      <c r="A479" s="2" t="s">
        <v>506</v>
      </c>
      <c r="B479" t="str">
        <f>_xlfn.TEXTAFTER(Table1[[#This Row],[VEHIDCODE]],"_")</f>
        <v>UK_BR_150_0_Sprinter</v>
      </c>
      <c r="C479" t="s">
        <v>742</v>
      </c>
      <c r="D479" t="b">
        <f>OR(ISNUMBER(SEARCH("wagon_",Table1[[#This Row],[FILENAMES_EXPECTED]])),ISNUMBER(SEARCH("coach_",Table1[[#This Row],[FILENAMES_EXPECTED]])))</f>
        <v>0</v>
      </c>
      <c r="E479" t="str">
        <f>"item_"&amp;Table1[[#This Row],[VEHIDCODE]]</f>
        <v>item_dmu_UK_BR_150_0_Sprinter</v>
      </c>
      <c r="F479" t="str">
        <f>"str_"&amp;Table1[[#This Row],[VEHIDCODE]]</f>
        <v>str_dmu_UK_BR_150_0_Sprinter</v>
      </c>
      <c r="G479">
        <v>7</v>
      </c>
      <c r="H479" t="s">
        <v>18</v>
      </c>
      <c r="I479">
        <v>1</v>
      </c>
      <c r="J479" t="s">
        <v>35</v>
      </c>
      <c r="K479">
        <v>80</v>
      </c>
      <c r="L479">
        <v>1984</v>
      </c>
      <c r="M479">
        <v>7</v>
      </c>
      <c r="N479" s="2" t="s">
        <v>24</v>
      </c>
      <c r="O479" t="b">
        <v>1</v>
      </c>
      <c r="P479" t="b">
        <v>1</v>
      </c>
      <c r="Q479" s="2"/>
      <c r="R479">
        <v>45</v>
      </c>
      <c r="S479">
        <v>1</v>
      </c>
      <c r="T479">
        <v>389</v>
      </c>
      <c r="U479" t="s">
        <v>711</v>
      </c>
      <c r="V479">
        <v>121</v>
      </c>
      <c r="W479" s="2">
        <v>0.26</v>
      </c>
      <c r="AF479" s="2" t="b">
        <v>1</v>
      </c>
      <c r="AX479"/>
      <c r="BA479" s="2"/>
      <c r="BB479" s="2" t="b">
        <f>LEN(_xlfn.CONCAT(Table1[[#This Row],[TRACK_TYPE_STANDARD_GAUGE_RAILTYPE_OHLE]:[TRACK_TYPE_MTRO]]))&gt;0</f>
        <v>1</v>
      </c>
      <c r="BC479" s="7">
        <v>20</v>
      </c>
      <c r="BD479" t="s">
        <v>927</v>
      </c>
      <c r="BE479" t="s">
        <v>922</v>
      </c>
      <c r="BF479" t="s">
        <v>940</v>
      </c>
      <c r="BG4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9">
        <v>0</v>
      </c>
      <c r="BI479" t="s">
        <v>734</v>
      </c>
      <c r="BJ479" s="11">
        <v>80</v>
      </c>
      <c r="BK479" s="11">
        <v>7</v>
      </c>
      <c r="BL479" s="11">
        <v>36</v>
      </c>
      <c r="BM479">
        <v>0</v>
      </c>
      <c r="BN479" t="s">
        <v>692</v>
      </c>
      <c r="BO479" t="s">
        <v>694</v>
      </c>
      <c r="BP479" t="s">
        <v>701</v>
      </c>
      <c r="BQ479" t="s">
        <v>705</v>
      </c>
      <c r="BR479" t="s">
        <v>706</v>
      </c>
      <c r="BS479" t="s">
        <v>707</v>
      </c>
    </row>
    <row r="480" spans="1:71" hidden="1" x14ac:dyDescent="0.4">
      <c r="A480" s="2" t="s">
        <v>507</v>
      </c>
      <c r="B480" t="str">
        <f>_xlfn.TEXTAFTER(Table1[[#This Row],[VEHIDCODE]],"_")</f>
        <v>Iran_RAI_141_Pacer</v>
      </c>
      <c r="C480" t="s">
        <v>742</v>
      </c>
      <c r="D480" t="b">
        <f>OR(ISNUMBER(SEARCH("wagon_",Table1[[#This Row],[FILENAMES_EXPECTED]])),ISNUMBER(SEARCH("coach_",Table1[[#This Row],[FILENAMES_EXPECTED]])))</f>
        <v>0</v>
      </c>
      <c r="E480" t="str">
        <f>"item_"&amp;Table1[[#This Row],[VEHIDCODE]]</f>
        <v>item_dmu_Iran_RAI_141_Pacer</v>
      </c>
      <c r="F480" t="str">
        <f>"str_"&amp;Table1[[#This Row],[VEHIDCODE]]</f>
        <v>str_dmu_Iran_RAI_141_Pacer</v>
      </c>
      <c r="G480">
        <v>6</v>
      </c>
      <c r="H480" t="s">
        <v>18</v>
      </c>
      <c r="I480">
        <v>1</v>
      </c>
      <c r="J480" t="s">
        <v>35</v>
      </c>
      <c r="K480">
        <v>47</v>
      </c>
      <c r="L480">
        <v>1984</v>
      </c>
      <c r="M480">
        <v>6</v>
      </c>
      <c r="N480" s="2" t="s">
        <v>24</v>
      </c>
      <c r="O480" t="b">
        <v>1</v>
      </c>
      <c r="P480" t="b">
        <v>1</v>
      </c>
      <c r="Q480" s="2"/>
      <c r="R480">
        <v>45</v>
      </c>
      <c r="S480">
        <v>1</v>
      </c>
      <c r="T480">
        <v>204</v>
      </c>
      <c r="U480" t="s">
        <v>711</v>
      </c>
      <c r="V480">
        <v>121</v>
      </c>
      <c r="W480" s="2">
        <v>0.21</v>
      </c>
      <c r="AF480" s="2" t="b">
        <v>1</v>
      </c>
      <c r="AX480"/>
      <c r="BA480" s="2"/>
      <c r="BB480" s="2" t="b">
        <f>LEN(_xlfn.CONCAT(Table1[[#This Row],[TRACK_TYPE_STANDARD_GAUGE_RAILTYPE_OHLE]:[TRACK_TYPE_MTRO]]))&gt;0</f>
        <v>1</v>
      </c>
      <c r="BC480" s="7">
        <v>20</v>
      </c>
      <c r="BD480" t="s">
        <v>931</v>
      </c>
      <c r="BE480" t="s">
        <v>922</v>
      </c>
      <c r="BF480" t="s">
        <v>940</v>
      </c>
      <c r="BG4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0">
        <v>0</v>
      </c>
      <c r="BI480" t="s">
        <v>734</v>
      </c>
      <c r="BJ480" s="11">
        <v>47</v>
      </c>
      <c r="BK480" s="11">
        <v>6</v>
      </c>
      <c r="BL480" s="11">
        <v>42</v>
      </c>
      <c r="BM480">
        <v>0</v>
      </c>
      <c r="BN480" t="s">
        <v>692</v>
      </c>
      <c r="BO480" t="s">
        <v>694</v>
      </c>
      <c r="BP480" t="s">
        <v>701</v>
      </c>
      <c r="BQ480" t="s">
        <v>705</v>
      </c>
      <c r="BR480" t="s">
        <v>706</v>
      </c>
      <c r="BS480" t="s">
        <v>707</v>
      </c>
    </row>
    <row r="481" spans="1:71" hidden="1" x14ac:dyDescent="0.4">
      <c r="A481" s="2" t="s">
        <v>508</v>
      </c>
      <c r="B481" t="str">
        <f>_xlfn.TEXTAFTER(Table1[[#This Row],[VEHIDCODE]],"_")</f>
        <v>Israel_Israel_Railways_IC3</v>
      </c>
      <c r="C481" t="s">
        <v>742</v>
      </c>
      <c r="D481" t="b">
        <f>OR(ISNUMBER(SEARCH("wagon_",Table1[[#This Row],[FILENAMES_EXPECTED]])),ISNUMBER(SEARCH("coach_",Table1[[#This Row],[FILENAMES_EXPECTED]])))</f>
        <v>0</v>
      </c>
      <c r="E481" t="str">
        <f>"item_"&amp;Table1[[#This Row],[VEHIDCODE]]</f>
        <v>item_dmu_Israel_Israel_Railways_IC3</v>
      </c>
      <c r="F481" t="str">
        <f>"str_"&amp;Table1[[#This Row],[VEHIDCODE]]</f>
        <v>str_dmu_Israel_Israel_Railways_IC3</v>
      </c>
      <c r="G481">
        <v>8</v>
      </c>
      <c r="H481" t="s">
        <v>18</v>
      </c>
      <c r="I481">
        <v>1</v>
      </c>
      <c r="J481" t="s">
        <v>35</v>
      </c>
      <c r="K481">
        <v>46</v>
      </c>
      <c r="L481">
        <v>1986</v>
      </c>
      <c r="M481">
        <v>8</v>
      </c>
      <c r="N481" s="2" t="s">
        <v>24</v>
      </c>
      <c r="O481" t="b">
        <v>1</v>
      </c>
      <c r="P481" t="b">
        <v>1</v>
      </c>
      <c r="Q481" s="2"/>
      <c r="R481">
        <v>45</v>
      </c>
      <c r="S481">
        <v>1</v>
      </c>
      <c r="T481">
        <v>540</v>
      </c>
      <c r="U481" t="s">
        <v>711</v>
      </c>
      <c r="V481">
        <v>180</v>
      </c>
      <c r="W481" s="2">
        <v>0.31</v>
      </c>
      <c r="AF481" s="2" t="b">
        <v>1</v>
      </c>
      <c r="AX481"/>
      <c r="BA481" s="2"/>
      <c r="BB481" s="2" t="b">
        <f>LEN(_xlfn.CONCAT(Table1[[#This Row],[TRACK_TYPE_STANDARD_GAUGE_RAILTYPE_OHLE]:[TRACK_TYPE_MTRO]]))&gt;0</f>
        <v>1</v>
      </c>
      <c r="BC481" s="7">
        <v>20</v>
      </c>
      <c r="BD481" t="s">
        <v>931</v>
      </c>
      <c r="BE481" t="s">
        <v>922</v>
      </c>
      <c r="BF481" t="s">
        <v>940</v>
      </c>
      <c r="BG4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1">
        <v>0</v>
      </c>
      <c r="BI481" t="s">
        <v>734</v>
      </c>
      <c r="BJ481" s="11">
        <v>46</v>
      </c>
      <c r="BK481" s="11">
        <v>8</v>
      </c>
      <c r="BL481" s="11">
        <v>34</v>
      </c>
      <c r="BM481">
        <v>0</v>
      </c>
      <c r="BN481" t="s">
        <v>692</v>
      </c>
      <c r="BO481" t="s">
        <v>694</v>
      </c>
      <c r="BP481" t="s">
        <v>701</v>
      </c>
      <c r="BQ481" t="s">
        <v>705</v>
      </c>
      <c r="BR481" t="s">
        <v>706</v>
      </c>
      <c r="BS481" t="s">
        <v>707</v>
      </c>
    </row>
    <row r="482" spans="1:71" hidden="1" x14ac:dyDescent="0.4">
      <c r="A482" s="2" t="s">
        <v>509</v>
      </c>
      <c r="B482" t="str">
        <f>_xlfn.TEXTAFTER(Table1[[#This Row],[VEHIDCODE]],"_")</f>
        <v>Australia_TransAdelaide_3100</v>
      </c>
      <c r="C482" t="s">
        <v>742</v>
      </c>
      <c r="D482" t="b">
        <f>OR(ISNUMBER(SEARCH("wagon_",Table1[[#This Row],[FILENAMES_EXPECTED]])),ISNUMBER(SEARCH("coach_",Table1[[#This Row],[FILENAMES_EXPECTED]])))</f>
        <v>0</v>
      </c>
      <c r="E482" t="str">
        <f>"item_"&amp;Table1[[#This Row],[VEHIDCODE]]</f>
        <v>item_dmu_Australia_TransAdelaide_3100</v>
      </c>
      <c r="F482" t="str">
        <f>"str_"&amp;Table1[[#This Row],[VEHIDCODE]]</f>
        <v>str_dmu_Australia_TransAdelaide_3100</v>
      </c>
      <c r="G482">
        <v>7</v>
      </c>
      <c r="H482" t="s">
        <v>18</v>
      </c>
      <c r="I482">
        <v>1</v>
      </c>
      <c r="J482" t="s">
        <v>35</v>
      </c>
      <c r="K482">
        <v>53</v>
      </c>
      <c r="L482">
        <v>1987</v>
      </c>
      <c r="M482">
        <v>7</v>
      </c>
      <c r="N482" s="2" t="s">
        <v>24</v>
      </c>
      <c r="O482" t="b">
        <v>1</v>
      </c>
      <c r="P482" t="b">
        <v>1</v>
      </c>
      <c r="Q482" s="2"/>
      <c r="R482">
        <v>45</v>
      </c>
      <c r="S482">
        <v>1</v>
      </c>
      <c r="T482">
        <v>475</v>
      </c>
      <c r="U482" t="s">
        <v>711</v>
      </c>
      <c r="V482">
        <v>90</v>
      </c>
      <c r="W482" s="2">
        <v>0.22</v>
      </c>
      <c r="AF482" s="2" t="b">
        <v>1</v>
      </c>
      <c r="AX482"/>
      <c r="BA482" s="2"/>
      <c r="BB482" s="2" t="b">
        <f>LEN(_xlfn.CONCAT(Table1[[#This Row],[TRACK_TYPE_STANDARD_GAUGE_RAILTYPE_OHLE]:[TRACK_TYPE_MTRO]]))&gt;0</f>
        <v>1</v>
      </c>
      <c r="BC482" s="7">
        <v>20</v>
      </c>
      <c r="BD482" t="s">
        <v>925</v>
      </c>
      <c r="BE482" t="s">
        <v>922</v>
      </c>
      <c r="BF482" t="s">
        <v>940</v>
      </c>
      <c r="BG4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2">
        <v>0</v>
      </c>
      <c r="BI482" t="s">
        <v>734</v>
      </c>
      <c r="BJ482" s="11">
        <v>53</v>
      </c>
      <c r="BK482" s="11">
        <v>7</v>
      </c>
      <c r="BL482" s="11">
        <v>48</v>
      </c>
      <c r="BM482">
        <v>0</v>
      </c>
      <c r="BN482" t="s">
        <v>692</v>
      </c>
      <c r="BO482" t="s">
        <v>694</v>
      </c>
      <c r="BP482" t="s">
        <v>701</v>
      </c>
      <c r="BQ482" t="s">
        <v>705</v>
      </c>
      <c r="BR482" t="s">
        <v>706</v>
      </c>
      <c r="BS482" t="s">
        <v>707</v>
      </c>
    </row>
    <row r="483" spans="1:71" hidden="1" x14ac:dyDescent="0.4">
      <c r="A483" s="2" t="s">
        <v>510</v>
      </c>
      <c r="B483" t="str">
        <f>_xlfn.TEXTAFTER(Table1[[#This Row],[VEHIDCODE]],"_")</f>
        <v>Australia_NSWGR_Xplorer</v>
      </c>
      <c r="C483" t="s">
        <v>742</v>
      </c>
      <c r="D483" t="b">
        <f>OR(ISNUMBER(SEARCH("wagon_",Table1[[#This Row],[FILENAMES_EXPECTED]])),ISNUMBER(SEARCH("coach_",Table1[[#This Row],[FILENAMES_EXPECTED]])))</f>
        <v>0</v>
      </c>
      <c r="E483" t="str">
        <f>"item_"&amp;Table1[[#This Row],[VEHIDCODE]]</f>
        <v>item_dmu_Australia_NSWGR_Xplorer</v>
      </c>
      <c r="F483" t="str">
        <f>"str_"&amp;Table1[[#This Row],[VEHIDCODE]]</f>
        <v>str_dmu_Australia_NSWGR_Xplorer</v>
      </c>
      <c r="G483">
        <v>8</v>
      </c>
      <c r="H483" t="s">
        <v>18</v>
      </c>
      <c r="I483">
        <v>1</v>
      </c>
      <c r="J483" t="s">
        <v>35</v>
      </c>
      <c r="K483">
        <v>66</v>
      </c>
      <c r="L483">
        <v>1993</v>
      </c>
      <c r="M483">
        <v>8</v>
      </c>
      <c r="N483" s="2" t="s">
        <v>24</v>
      </c>
      <c r="O483" t="b">
        <v>1</v>
      </c>
      <c r="P483" t="b">
        <v>1</v>
      </c>
      <c r="Q483" s="2"/>
      <c r="R483">
        <v>45</v>
      </c>
      <c r="S483">
        <v>1</v>
      </c>
      <c r="T483">
        <v>514</v>
      </c>
      <c r="U483" t="s">
        <v>711</v>
      </c>
      <c r="V483">
        <v>160</v>
      </c>
      <c r="W483" s="2">
        <v>0.13</v>
      </c>
      <c r="AF483" s="2" t="b">
        <v>1</v>
      </c>
      <c r="AX483"/>
      <c r="BA483" s="2"/>
      <c r="BB483" s="2" t="b">
        <f>LEN(_xlfn.CONCAT(Table1[[#This Row],[TRACK_TYPE_STANDARD_GAUGE_RAILTYPE_OHLE]:[TRACK_TYPE_MTRO]]))&gt;0</f>
        <v>1</v>
      </c>
      <c r="BC483" s="7">
        <v>20</v>
      </c>
      <c r="BD483" t="s">
        <v>925</v>
      </c>
      <c r="BE483" t="s">
        <v>922</v>
      </c>
      <c r="BF483" t="s">
        <v>940</v>
      </c>
      <c r="BG4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3">
        <v>0</v>
      </c>
      <c r="BI483" t="s">
        <v>734</v>
      </c>
      <c r="BJ483" s="11">
        <v>66</v>
      </c>
      <c r="BK483" s="11">
        <v>8</v>
      </c>
      <c r="BL483" s="11">
        <v>57</v>
      </c>
      <c r="BM483">
        <v>0</v>
      </c>
      <c r="BN483" t="s">
        <v>692</v>
      </c>
      <c r="BO483" t="s">
        <v>694</v>
      </c>
      <c r="BP483" t="s">
        <v>701</v>
      </c>
      <c r="BQ483" t="s">
        <v>705</v>
      </c>
      <c r="BR483" t="s">
        <v>706</v>
      </c>
      <c r="BS483" t="s">
        <v>707</v>
      </c>
    </row>
    <row r="484" spans="1:71" hidden="1" x14ac:dyDescent="0.4">
      <c r="A484" s="2" t="s">
        <v>511</v>
      </c>
      <c r="B484" t="str">
        <f>_xlfn.TEXTAFTER(Table1[[#This Row],[VEHIDCODE]],"_")</f>
        <v>Japan_JR_KiHa_189</v>
      </c>
      <c r="C484" t="s">
        <v>742</v>
      </c>
      <c r="D484" t="b">
        <f>OR(ISNUMBER(SEARCH("wagon_",Table1[[#This Row],[FILENAMES_EXPECTED]])),ISNUMBER(SEARCH("coach_",Table1[[#This Row],[FILENAMES_EXPECTED]])))</f>
        <v>0</v>
      </c>
      <c r="E484" t="str">
        <f>"item_"&amp;Table1[[#This Row],[VEHIDCODE]]</f>
        <v>item_dmu_Japan_JR_KiHa_189</v>
      </c>
      <c r="F484" t="str">
        <f>"str_"&amp;Table1[[#This Row],[VEHIDCODE]]</f>
        <v>str_dmu_Japan_JR_KiHa_189</v>
      </c>
      <c r="G484">
        <v>7</v>
      </c>
      <c r="H484" t="s">
        <v>18</v>
      </c>
      <c r="I484">
        <v>1</v>
      </c>
      <c r="J484" t="s">
        <v>35</v>
      </c>
      <c r="K484">
        <v>56</v>
      </c>
      <c r="L484">
        <v>2010</v>
      </c>
      <c r="M484">
        <v>7</v>
      </c>
      <c r="N484" s="2" t="s">
        <v>24</v>
      </c>
      <c r="O484" t="b">
        <v>1</v>
      </c>
      <c r="P484" t="b">
        <v>1</v>
      </c>
      <c r="Q484" s="2"/>
      <c r="R484" t="s">
        <v>21</v>
      </c>
      <c r="S484">
        <v>1</v>
      </c>
      <c r="T484">
        <v>900</v>
      </c>
      <c r="U484" t="s">
        <v>711</v>
      </c>
      <c r="V484">
        <v>130</v>
      </c>
      <c r="W484" s="2">
        <v>0.21</v>
      </c>
      <c r="AF484" s="2" t="b">
        <v>1</v>
      </c>
      <c r="AX484"/>
      <c r="BA484" s="2"/>
      <c r="BB484" s="2" t="b">
        <f>LEN(_xlfn.CONCAT(Table1[[#This Row],[TRACK_TYPE_STANDARD_GAUGE_RAILTYPE_OHLE]:[TRACK_TYPE_MTRO]]))&gt;0</f>
        <v>1</v>
      </c>
      <c r="BC484" s="7">
        <v>20</v>
      </c>
      <c r="BD484" t="s">
        <v>931</v>
      </c>
      <c r="BE484" t="s">
        <v>922</v>
      </c>
      <c r="BF484" t="s">
        <v>940</v>
      </c>
      <c r="BG4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4">
        <v>0</v>
      </c>
      <c r="BI484" t="s">
        <v>734</v>
      </c>
      <c r="BJ484" s="11">
        <v>56</v>
      </c>
      <c r="BK484" s="11">
        <v>7</v>
      </c>
      <c r="BL484" s="11">
        <v>49</v>
      </c>
      <c r="BM484">
        <v>0</v>
      </c>
      <c r="BN484" t="s">
        <v>692</v>
      </c>
      <c r="BO484" t="s">
        <v>694</v>
      </c>
      <c r="BP484" t="s">
        <v>701</v>
      </c>
      <c r="BQ484" t="s">
        <v>705</v>
      </c>
      <c r="BR484" t="s">
        <v>706</v>
      </c>
      <c r="BS484" t="s">
        <v>707</v>
      </c>
    </row>
    <row r="485" spans="1:71" hidden="1" x14ac:dyDescent="0.4">
      <c r="A485" s="2" t="s">
        <v>512</v>
      </c>
      <c r="B485" t="str">
        <f>_xlfn.TEXTAFTER(Table1[[#This Row],[VEHIDCODE]],"_")</f>
        <v>Sri_Lanka_Sri_Lanka_Railways_S11</v>
      </c>
      <c r="C485" t="s">
        <v>742</v>
      </c>
      <c r="D485" t="b">
        <f>OR(ISNUMBER(SEARCH("wagon_",Table1[[#This Row],[FILENAMES_EXPECTED]])),ISNUMBER(SEARCH("coach_",Table1[[#This Row],[FILENAMES_EXPECTED]])))</f>
        <v>0</v>
      </c>
      <c r="E485" t="str">
        <f>"item_"&amp;Table1[[#This Row],[VEHIDCODE]]</f>
        <v>item_dmu_Sri_Lanka_Sri_Lanka_Railways_S11</v>
      </c>
      <c r="F485" t="str">
        <f>"str_"&amp;Table1[[#This Row],[VEHIDCODE]]</f>
        <v>str_dmu_Sri_Lanka_Sri_Lanka_Railways_S11</v>
      </c>
      <c r="G485">
        <v>8</v>
      </c>
      <c r="H485" t="s">
        <v>18</v>
      </c>
      <c r="I485">
        <v>1</v>
      </c>
      <c r="J485" t="s">
        <v>35</v>
      </c>
      <c r="K485">
        <v>72</v>
      </c>
      <c r="L485">
        <v>2011</v>
      </c>
      <c r="M485">
        <v>8</v>
      </c>
      <c r="N485" s="2" t="s">
        <v>24</v>
      </c>
      <c r="O485" t="b">
        <v>1</v>
      </c>
      <c r="P485" t="b">
        <v>1</v>
      </c>
      <c r="Q485" s="2"/>
      <c r="R485" t="s">
        <v>21</v>
      </c>
      <c r="S485">
        <v>1</v>
      </c>
      <c r="T485">
        <v>680</v>
      </c>
      <c r="U485" t="s">
        <v>711</v>
      </c>
      <c r="V485">
        <v>110</v>
      </c>
      <c r="W485" s="2">
        <v>0.57999999999999996</v>
      </c>
      <c r="AF485" s="2" t="b">
        <v>1</v>
      </c>
      <c r="AX485"/>
      <c r="BA485" s="2"/>
      <c r="BB485" s="2" t="b">
        <f>LEN(_xlfn.CONCAT(Table1[[#This Row],[TRACK_TYPE_STANDARD_GAUGE_RAILTYPE_OHLE]:[TRACK_TYPE_MTRO]]))&gt;0</f>
        <v>1</v>
      </c>
      <c r="BC485" s="7">
        <v>20</v>
      </c>
      <c r="BD485" t="s">
        <v>931</v>
      </c>
      <c r="BE485" t="s">
        <v>922</v>
      </c>
      <c r="BF485" t="s">
        <v>940</v>
      </c>
      <c r="BG4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5">
        <v>0</v>
      </c>
      <c r="BI485" t="s">
        <v>734</v>
      </c>
      <c r="BJ485" s="11">
        <v>72</v>
      </c>
      <c r="BK485" s="11">
        <v>8</v>
      </c>
      <c r="BL485" s="11">
        <v>20</v>
      </c>
      <c r="BM485">
        <v>0</v>
      </c>
      <c r="BN485" t="s">
        <v>692</v>
      </c>
      <c r="BO485" t="s">
        <v>694</v>
      </c>
      <c r="BP485" t="s">
        <v>701</v>
      </c>
      <c r="BQ485" t="s">
        <v>705</v>
      </c>
      <c r="BR485" t="s">
        <v>706</v>
      </c>
      <c r="BS485" t="s">
        <v>707</v>
      </c>
    </row>
    <row r="486" spans="1:71" hidden="1" x14ac:dyDescent="0.4">
      <c r="A486" s="2" t="s">
        <v>513</v>
      </c>
      <c r="B486" t="str">
        <f>_xlfn.TEXTAFTER(Table1[[#This Row],[VEHIDCODE]],"_")</f>
        <v>Slovakia_ZSSK_861</v>
      </c>
      <c r="C486" t="s">
        <v>742</v>
      </c>
      <c r="D486" t="b">
        <f>OR(ISNUMBER(SEARCH("wagon_",Table1[[#This Row],[FILENAMES_EXPECTED]])),ISNUMBER(SEARCH("coach_",Table1[[#This Row],[FILENAMES_EXPECTED]])))</f>
        <v>0</v>
      </c>
      <c r="E486" t="str">
        <f>"item_"&amp;Table1[[#This Row],[VEHIDCODE]]</f>
        <v>item_dmu_Slovakia_ZSSK_861</v>
      </c>
      <c r="F486" t="str">
        <f>"str_"&amp;Table1[[#This Row],[VEHIDCODE]]</f>
        <v>str_dmu_Slovakia_ZSSK_861</v>
      </c>
      <c r="G486">
        <v>8</v>
      </c>
      <c r="H486" t="s">
        <v>18</v>
      </c>
      <c r="I486">
        <v>1</v>
      </c>
      <c r="J486" t="s">
        <v>35</v>
      </c>
      <c r="K486">
        <v>60</v>
      </c>
      <c r="L486">
        <v>2011</v>
      </c>
      <c r="M486">
        <v>8</v>
      </c>
      <c r="N486" s="2" t="s">
        <v>24</v>
      </c>
      <c r="O486" t="b">
        <v>1</v>
      </c>
      <c r="P486" t="b">
        <v>1</v>
      </c>
      <c r="Q486" s="2"/>
      <c r="R486" t="s">
        <v>21</v>
      </c>
      <c r="S486">
        <v>1</v>
      </c>
      <c r="T486">
        <v>1580</v>
      </c>
      <c r="U486" t="s">
        <v>711</v>
      </c>
      <c r="V486">
        <v>140</v>
      </c>
      <c r="W486" s="2">
        <v>0.34</v>
      </c>
      <c r="AF486" s="2" t="b">
        <v>1</v>
      </c>
      <c r="AX486"/>
      <c r="BA486" s="2"/>
      <c r="BB486" s="2" t="b">
        <f>LEN(_xlfn.CONCAT(Table1[[#This Row],[TRACK_TYPE_STANDARD_GAUGE_RAILTYPE_OHLE]:[TRACK_TYPE_MTRO]]))&gt;0</f>
        <v>1</v>
      </c>
      <c r="BC486" s="7">
        <v>20</v>
      </c>
      <c r="BD486" t="s">
        <v>929</v>
      </c>
      <c r="BE486" t="s">
        <v>922</v>
      </c>
      <c r="BF486" t="s">
        <v>940</v>
      </c>
      <c r="BG4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6">
        <v>0</v>
      </c>
      <c r="BI486" t="s">
        <v>734</v>
      </c>
      <c r="BJ486" s="11">
        <v>60</v>
      </c>
      <c r="BK486" s="11">
        <v>7</v>
      </c>
      <c r="BL486" s="11">
        <v>45</v>
      </c>
      <c r="BM486">
        <v>0</v>
      </c>
      <c r="BN486" t="s">
        <v>692</v>
      </c>
      <c r="BO486" t="s">
        <v>694</v>
      </c>
      <c r="BP486" t="s">
        <v>701</v>
      </c>
      <c r="BQ486" t="s">
        <v>705</v>
      </c>
      <c r="BR486" t="s">
        <v>706</v>
      </c>
      <c r="BS486" t="s">
        <v>707</v>
      </c>
    </row>
    <row r="487" spans="1:71" hidden="1" x14ac:dyDescent="0.4">
      <c r="A487" s="2" t="s">
        <v>514</v>
      </c>
      <c r="B487" t="str">
        <f>_xlfn.TEXTAFTER(Table1[[#This Row],[VEHIDCODE]],"_")</f>
        <v>Chile_EFE_TLD_500</v>
      </c>
      <c r="C487" t="s">
        <v>742</v>
      </c>
      <c r="D487" t="b">
        <f>OR(ISNUMBER(SEARCH("wagon_",Table1[[#This Row],[FILENAMES_EXPECTED]])),ISNUMBER(SEARCH("coach_",Table1[[#This Row],[FILENAMES_EXPECTED]])))</f>
        <v>0</v>
      </c>
      <c r="E487" t="str">
        <f>"item_"&amp;Table1[[#This Row],[VEHIDCODE]]</f>
        <v>item_dmu_Chile_EFE_TLD_500</v>
      </c>
      <c r="F487" t="str">
        <f>"str_"&amp;Table1[[#This Row],[VEHIDCODE]]</f>
        <v>str_dmu_Chile_EFE_TLD_500</v>
      </c>
      <c r="G487">
        <v>8</v>
      </c>
      <c r="H487" t="s">
        <v>18</v>
      </c>
      <c r="I487">
        <v>1</v>
      </c>
      <c r="J487" t="s">
        <v>35</v>
      </c>
      <c r="K487">
        <v>84</v>
      </c>
      <c r="L487">
        <v>1982</v>
      </c>
      <c r="M487">
        <v>8</v>
      </c>
      <c r="N487" s="2" t="s">
        <v>24</v>
      </c>
      <c r="O487" t="b">
        <v>1</v>
      </c>
      <c r="P487" t="b">
        <v>1</v>
      </c>
      <c r="Q487" s="2"/>
      <c r="R487">
        <v>45</v>
      </c>
      <c r="S487">
        <v>1</v>
      </c>
      <c r="T487">
        <v>220</v>
      </c>
      <c r="U487" t="s">
        <v>711</v>
      </c>
      <c r="V487">
        <v>120</v>
      </c>
      <c r="W487" s="2">
        <v>0.13</v>
      </c>
      <c r="AF487" s="2" t="b">
        <v>1</v>
      </c>
      <c r="AX487"/>
      <c r="BA487" s="2"/>
      <c r="BB487" s="2" t="b">
        <f>LEN(_xlfn.CONCAT(Table1[[#This Row],[TRACK_TYPE_STANDARD_GAUGE_RAILTYPE_OHLE]:[TRACK_TYPE_MTRO]]))&gt;0</f>
        <v>1</v>
      </c>
      <c r="BC487" s="7">
        <v>40</v>
      </c>
      <c r="BD487" t="s">
        <v>930</v>
      </c>
      <c r="BE487" t="s">
        <v>922</v>
      </c>
      <c r="BF487" t="s">
        <v>940</v>
      </c>
      <c r="BG4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7">
        <v>0</v>
      </c>
      <c r="BI487" t="s">
        <v>734</v>
      </c>
      <c r="BJ487" s="11">
        <v>84</v>
      </c>
      <c r="BK487" s="11">
        <v>8</v>
      </c>
      <c r="BL487" s="11">
        <v>68</v>
      </c>
      <c r="BM487">
        <v>0</v>
      </c>
      <c r="BN487" t="s">
        <v>692</v>
      </c>
      <c r="BO487" t="s">
        <v>694</v>
      </c>
      <c r="BP487" t="s">
        <v>701</v>
      </c>
      <c r="BQ487" t="s">
        <v>705</v>
      </c>
      <c r="BR487" t="s">
        <v>706</v>
      </c>
      <c r="BS487" t="s">
        <v>707</v>
      </c>
    </row>
    <row r="488" spans="1:71" hidden="1" x14ac:dyDescent="0.4">
      <c r="A488" s="2" t="s">
        <v>515</v>
      </c>
      <c r="B488" t="str">
        <f>_xlfn.TEXTAFTER(Table1[[#This Row],[VEHIDCODE]],"_")</f>
        <v>Cameroon_Camrail_ZE_500</v>
      </c>
      <c r="C488" t="s">
        <v>742</v>
      </c>
      <c r="D488" t="b">
        <f>OR(ISNUMBER(SEARCH("wagon_",Table1[[#This Row],[FILENAMES_EXPECTED]])),ISNUMBER(SEARCH("coach_",Table1[[#This Row],[FILENAMES_EXPECTED]])))</f>
        <v>0</v>
      </c>
      <c r="E488" t="str">
        <f>"item_"&amp;Table1[[#This Row],[VEHIDCODE]]</f>
        <v>item_dmu_Cameroon_Camrail_ZE_500</v>
      </c>
      <c r="F488" t="str">
        <f>"str_"&amp;Table1[[#This Row],[VEHIDCODE]]</f>
        <v>str_dmu_Cameroon_Camrail_ZE_500</v>
      </c>
      <c r="G488">
        <v>8</v>
      </c>
      <c r="H488" t="s">
        <v>18</v>
      </c>
      <c r="I488">
        <v>1</v>
      </c>
      <c r="J488" t="s">
        <v>35</v>
      </c>
      <c r="K488">
        <v>62</v>
      </c>
      <c r="L488">
        <v>1976</v>
      </c>
      <c r="M488">
        <v>8</v>
      </c>
      <c r="N488" s="2" t="s">
        <v>24</v>
      </c>
      <c r="O488" t="b">
        <v>1</v>
      </c>
      <c r="P488" t="b">
        <v>1</v>
      </c>
      <c r="Q488" s="2"/>
      <c r="R488">
        <v>45</v>
      </c>
      <c r="S488">
        <v>1</v>
      </c>
      <c r="T488">
        <v>400</v>
      </c>
      <c r="U488" t="s">
        <v>711</v>
      </c>
      <c r="V488">
        <v>90</v>
      </c>
      <c r="W488" s="2">
        <v>0.22</v>
      </c>
      <c r="AF488" s="2" t="b">
        <v>1</v>
      </c>
      <c r="AX488"/>
      <c r="BA488" s="2"/>
      <c r="BB488" s="2" t="b">
        <f>LEN(_xlfn.CONCAT(Table1[[#This Row],[TRACK_TYPE_STANDARD_GAUGE_RAILTYPE_OHLE]:[TRACK_TYPE_MTRO]]))&gt;0</f>
        <v>1</v>
      </c>
      <c r="BC488" s="7">
        <v>40</v>
      </c>
      <c r="BD488" t="s">
        <v>926</v>
      </c>
      <c r="BE488" t="s">
        <v>922</v>
      </c>
      <c r="BF488" t="s">
        <v>940</v>
      </c>
      <c r="BG4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8">
        <v>0</v>
      </c>
      <c r="BI488" t="s">
        <v>734</v>
      </c>
      <c r="BJ488" s="11">
        <v>62</v>
      </c>
      <c r="BK488" s="11">
        <v>8</v>
      </c>
      <c r="BL488" s="11">
        <v>38</v>
      </c>
      <c r="BM488">
        <v>0</v>
      </c>
      <c r="BN488" t="s">
        <v>692</v>
      </c>
      <c r="BO488" t="s">
        <v>694</v>
      </c>
      <c r="BP488" t="s">
        <v>701</v>
      </c>
      <c r="BQ488" t="s">
        <v>705</v>
      </c>
      <c r="BR488" t="s">
        <v>706</v>
      </c>
      <c r="BS488" t="s">
        <v>707</v>
      </c>
    </row>
    <row r="489" spans="1:71" hidden="1" x14ac:dyDescent="0.4">
      <c r="A489" s="2" t="s">
        <v>516</v>
      </c>
      <c r="B489" t="str">
        <f>_xlfn.TEXTAFTER(Table1[[#This Row],[VEHIDCODE]],"_")</f>
        <v>UK_BR_251_Blue_Pullman</v>
      </c>
      <c r="C489" t="s">
        <v>742</v>
      </c>
      <c r="D489" t="b">
        <f>OR(ISNUMBER(SEARCH("wagon_",Table1[[#This Row],[FILENAMES_EXPECTED]])),ISNUMBER(SEARCH("coach_",Table1[[#This Row],[FILENAMES_EXPECTED]])))</f>
        <v>0</v>
      </c>
      <c r="E489" t="str">
        <f>"item_"&amp;Table1[[#This Row],[VEHIDCODE]]</f>
        <v>item_dmu_UK_BR_251_Blue_Pullman</v>
      </c>
      <c r="F489" t="str">
        <f>"str_"&amp;Table1[[#This Row],[VEHIDCODE]]</f>
        <v>str_dmu_UK_BR_251_Blue_Pullman</v>
      </c>
      <c r="G489">
        <v>7</v>
      </c>
      <c r="H489" t="s">
        <v>18</v>
      </c>
      <c r="I489">
        <v>1</v>
      </c>
      <c r="J489" t="s">
        <v>35</v>
      </c>
      <c r="K489">
        <v>42</v>
      </c>
      <c r="L489">
        <v>1960</v>
      </c>
      <c r="M489">
        <v>7</v>
      </c>
      <c r="N489" s="2" t="s">
        <v>24</v>
      </c>
      <c r="O489" t="b">
        <v>1</v>
      </c>
      <c r="P489" t="b">
        <v>1</v>
      </c>
      <c r="Q489" s="2"/>
      <c r="R489">
        <v>45</v>
      </c>
      <c r="S489">
        <v>1</v>
      </c>
      <c r="T489">
        <v>398</v>
      </c>
      <c r="U489" t="s">
        <v>711</v>
      </c>
      <c r="V489">
        <v>145</v>
      </c>
      <c r="W489" s="2">
        <v>0.24</v>
      </c>
      <c r="AF489" s="2" t="b">
        <v>1</v>
      </c>
      <c r="AX489"/>
      <c r="BA489" s="2"/>
      <c r="BB489" s="2" t="b">
        <f>LEN(_xlfn.CONCAT(Table1[[#This Row],[TRACK_TYPE_STANDARD_GAUGE_RAILTYPE_OHLE]:[TRACK_TYPE_MTRO]]))&gt;0</f>
        <v>1</v>
      </c>
      <c r="BC489" s="7">
        <v>40</v>
      </c>
      <c r="BD489" t="s">
        <v>927</v>
      </c>
      <c r="BE489" t="s">
        <v>922</v>
      </c>
      <c r="BF489" t="s">
        <v>940</v>
      </c>
      <c r="BG4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9">
        <v>0</v>
      </c>
      <c r="BI489" t="s">
        <v>734</v>
      </c>
      <c r="BJ489" s="11">
        <v>42</v>
      </c>
      <c r="BK489" s="11">
        <v>7</v>
      </c>
      <c r="BL489" s="11">
        <v>50</v>
      </c>
      <c r="BM489">
        <v>0</v>
      </c>
      <c r="BN489" t="s">
        <v>692</v>
      </c>
      <c r="BO489" t="s">
        <v>694</v>
      </c>
      <c r="BP489" t="s">
        <v>701</v>
      </c>
      <c r="BQ489" t="s">
        <v>705</v>
      </c>
      <c r="BR489" t="s">
        <v>706</v>
      </c>
      <c r="BS489" t="s">
        <v>707</v>
      </c>
    </row>
    <row r="490" spans="1:71" hidden="1" x14ac:dyDescent="0.4">
      <c r="A490" s="2" t="s">
        <v>517</v>
      </c>
      <c r="B490" t="str">
        <f>_xlfn.TEXTAFTER(Table1[[#This Row],[VEHIDCODE]],"_")</f>
        <v>Australia_WAGR_ADK_ADB</v>
      </c>
      <c r="C490" t="s">
        <v>742</v>
      </c>
      <c r="D490" t="b">
        <f>OR(ISNUMBER(SEARCH("wagon_",Table1[[#This Row],[FILENAMES_EXPECTED]])),ISNUMBER(SEARCH("coach_",Table1[[#This Row],[FILENAMES_EXPECTED]])))</f>
        <v>0</v>
      </c>
      <c r="E490" t="str">
        <f>"item_"&amp;Table1[[#This Row],[VEHIDCODE]]</f>
        <v>item_dmu_Australia_WAGR_ADK_ADB</v>
      </c>
      <c r="F490" t="str">
        <f>"str_"&amp;Table1[[#This Row],[VEHIDCODE]]</f>
        <v>str_dmu_Australia_WAGR_ADK_ADB</v>
      </c>
      <c r="G490">
        <v>8</v>
      </c>
      <c r="H490" t="s">
        <v>18</v>
      </c>
      <c r="I490">
        <v>1</v>
      </c>
      <c r="J490" t="s">
        <v>35</v>
      </c>
      <c r="K490">
        <v>56</v>
      </c>
      <c r="L490">
        <v>1967</v>
      </c>
      <c r="M490">
        <v>8</v>
      </c>
      <c r="N490" s="2" t="s">
        <v>24</v>
      </c>
      <c r="O490" t="b">
        <v>1</v>
      </c>
      <c r="P490" t="b">
        <v>1</v>
      </c>
      <c r="Q490" s="2"/>
      <c r="R490">
        <v>45</v>
      </c>
      <c r="S490">
        <v>1</v>
      </c>
      <c r="T490">
        <v>416</v>
      </c>
      <c r="U490" t="s">
        <v>711</v>
      </c>
      <c r="V490">
        <v>90</v>
      </c>
      <c r="W490" s="2">
        <v>0.44</v>
      </c>
      <c r="AF490" s="2" t="b">
        <v>1</v>
      </c>
      <c r="AX490"/>
      <c r="BA490" s="2"/>
      <c r="BB490" s="2" t="b">
        <f>LEN(_xlfn.CONCAT(Table1[[#This Row],[TRACK_TYPE_STANDARD_GAUGE_RAILTYPE_OHLE]:[TRACK_TYPE_MTRO]]))&gt;0</f>
        <v>1</v>
      </c>
      <c r="BC490" s="7">
        <v>40</v>
      </c>
      <c r="BD490" t="s">
        <v>925</v>
      </c>
      <c r="BE490" t="s">
        <v>922</v>
      </c>
      <c r="BF490" t="s">
        <v>940</v>
      </c>
      <c r="BG4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0">
        <v>0</v>
      </c>
      <c r="BI490" t="s">
        <v>734</v>
      </c>
      <c r="BJ490" s="11">
        <v>56</v>
      </c>
      <c r="BK490" s="11">
        <v>7</v>
      </c>
      <c r="BL490" s="11">
        <v>33</v>
      </c>
      <c r="BM490">
        <v>0</v>
      </c>
      <c r="BN490" t="s">
        <v>692</v>
      </c>
      <c r="BO490" t="s">
        <v>694</v>
      </c>
      <c r="BP490" t="s">
        <v>701</v>
      </c>
      <c r="BQ490" t="s">
        <v>705</v>
      </c>
      <c r="BR490" t="s">
        <v>706</v>
      </c>
      <c r="BS490" t="s">
        <v>707</v>
      </c>
    </row>
    <row r="491" spans="1:71" hidden="1" x14ac:dyDescent="0.4">
      <c r="A491" s="2" t="s">
        <v>518</v>
      </c>
      <c r="B491" t="str">
        <f>_xlfn.TEXTAFTER(Table1[[#This Row],[VEHIDCODE]],"_")</f>
        <v>France_SNCF_X_4630</v>
      </c>
      <c r="C491" t="s">
        <v>742</v>
      </c>
      <c r="D491" t="b">
        <f>OR(ISNUMBER(SEARCH("wagon_",Table1[[#This Row],[FILENAMES_EXPECTED]])),ISNUMBER(SEARCH("coach_",Table1[[#This Row],[FILENAMES_EXPECTED]])))</f>
        <v>0</v>
      </c>
      <c r="E491" t="str">
        <f>"item_"&amp;Table1[[#This Row],[VEHIDCODE]]</f>
        <v>item_dmu_France_SNCF_X_4630</v>
      </c>
      <c r="F491" t="str">
        <f>"str_"&amp;Table1[[#This Row],[VEHIDCODE]]</f>
        <v>str_dmu_France_SNCF_X_4630</v>
      </c>
      <c r="G491">
        <v>8</v>
      </c>
      <c r="H491" t="s">
        <v>18</v>
      </c>
      <c r="I491">
        <v>1</v>
      </c>
      <c r="J491" t="s">
        <v>35</v>
      </c>
      <c r="K491">
        <v>72</v>
      </c>
      <c r="L491">
        <v>1971</v>
      </c>
      <c r="M491">
        <v>8</v>
      </c>
      <c r="N491" s="2" t="s">
        <v>24</v>
      </c>
      <c r="O491" t="b">
        <v>1</v>
      </c>
      <c r="P491" t="b">
        <v>1</v>
      </c>
      <c r="Q491" s="2"/>
      <c r="R491">
        <v>45</v>
      </c>
      <c r="S491">
        <v>1</v>
      </c>
      <c r="T491">
        <v>396</v>
      </c>
      <c r="U491" t="s">
        <v>711</v>
      </c>
      <c r="V491">
        <v>120</v>
      </c>
      <c r="W491" s="2">
        <v>0.2</v>
      </c>
      <c r="AF491" s="2" t="b">
        <v>1</v>
      </c>
      <c r="AX491"/>
      <c r="BA491" s="2"/>
      <c r="BB491" s="2" t="b">
        <f>LEN(_xlfn.CONCAT(Table1[[#This Row],[TRACK_TYPE_STANDARD_GAUGE_RAILTYPE_OHLE]:[TRACK_TYPE_MTRO]]))&gt;0</f>
        <v>1</v>
      </c>
      <c r="BC491" s="7">
        <v>40</v>
      </c>
      <c r="BD491" t="s">
        <v>923</v>
      </c>
      <c r="BE491" t="s">
        <v>922</v>
      </c>
      <c r="BF491" t="s">
        <v>940</v>
      </c>
      <c r="BG4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1">
        <v>0</v>
      </c>
      <c r="BI491" t="s">
        <v>734</v>
      </c>
      <c r="BJ491" s="11">
        <v>72</v>
      </c>
      <c r="BK491" s="11">
        <v>8</v>
      </c>
      <c r="BL491" s="11">
        <v>62</v>
      </c>
      <c r="BM491">
        <v>0</v>
      </c>
      <c r="BN491" t="s">
        <v>692</v>
      </c>
      <c r="BO491" t="s">
        <v>694</v>
      </c>
      <c r="BP491" t="s">
        <v>701</v>
      </c>
      <c r="BQ491" t="s">
        <v>705</v>
      </c>
      <c r="BR491" t="s">
        <v>706</v>
      </c>
      <c r="BS491" t="s">
        <v>707</v>
      </c>
    </row>
    <row r="492" spans="1:71" hidden="1" x14ac:dyDescent="0.4">
      <c r="A492" s="2" t="s">
        <v>519</v>
      </c>
      <c r="B492" t="str">
        <f>_xlfn.TEXTAFTER(Table1[[#This Row],[VEHIDCODE]],"_")</f>
        <v>France_SNCF_T_2000</v>
      </c>
      <c r="C492" t="s">
        <v>742</v>
      </c>
      <c r="D492" t="b">
        <f>OR(ISNUMBER(SEARCH("wagon_",Table1[[#This Row],[FILENAMES_EXPECTED]])),ISNUMBER(SEARCH("coach_",Table1[[#This Row],[FILENAMES_EXPECTED]])))</f>
        <v>0</v>
      </c>
      <c r="E492" t="str">
        <f>"item_"&amp;Table1[[#This Row],[VEHIDCODE]]</f>
        <v>item_dmu_France_SNCF_T_2000</v>
      </c>
      <c r="F492" t="str">
        <f>"str_"&amp;Table1[[#This Row],[VEHIDCODE]]</f>
        <v>str_dmu_France_SNCF_T_2000</v>
      </c>
      <c r="G492">
        <v>8</v>
      </c>
      <c r="H492" t="s">
        <v>18</v>
      </c>
      <c r="I492">
        <v>1</v>
      </c>
      <c r="J492" t="s">
        <v>35</v>
      </c>
      <c r="K492">
        <v>60</v>
      </c>
      <c r="L492">
        <v>1972</v>
      </c>
      <c r="M492">
        <v>8</v>
      </c>
      <c r="N492" s="2" t="s">
        <v>24</v>
      </c>
      <c r="O492" t="b">
        <v>1</v>
      </c>
      <c r="P492" t="b">
        <v>1</v>
      </c>
      <c r="Q492" s="2"/>
      <c r="R492">
        <v>45</v>
      </c>
      <c r="S492">
        <v>1</v>
      </c>
      <c r="T492">
        <v>1036</v>
      </c>
      <c r="U492" t="s">
        <v>711</v>
      </c>
      <c r="V492">
        <v>160</v>
      </c>
      <c r="W492" s="2">
        <v>0.38</v>
      </c>
      <c r="AF492" s="2" t="b">
        <v>1</v>
      </c>
      <c r="AX492"/>
      <c r="BA492" s="2"/>
      <c r="BB492" s="2" t="b">
        <f>LEN(_xlfn.CONCAT(Table1[[#This Row],[TRACK_TYPE_STANDARD_GAUGE_RAILTYPE_OHLE]:[TRACK_TYPE_MTRO]]))&gt;0</f>
        <v>1</v>
      </c>
      <c r="BC492" s="7">
        <v>40</v>
      </c>
      <c r="BD492" t="s">
        <v>923</v>
      </c>
      <c r="BE492" t="s">
        <v>922</v>
      </c>
      <c r="BF492" t="s">
        <v>940</v>
      </c>
      <c r="BG4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2">
        <v>0</v>
      </c>
      <c r="BI492" t="s">
        <v>734</v>
      </c>
      <c r="BJ492" s="11">
        <v>60</v>
      </c>
      <c r="BK492" s="11">
        <v>8</v>
      </c>
      <c r="BL492" s="11">
        <v>49</v>
      </c>
      <c r="BM492">
        <v>0</v>
      </c>
      <c r="BN492" t="s">
        <v>692</v>
      </c>
      <c r="BO492" t="s">
        <v>694</v>
      </c>
      <c r="BP492" t="s">
        <v>701</v>
      </c>
      <c r="BQ492" t="s">
        <v>705</v>
      </c>
      <c r="BR492" t="s">
        <v>706</v>
      </c>
      <c r="BS492" t="s">
        <v>707</v>
      </c>
    </row>
    <row r="493" spans="1:71" hidden="1" x14ac:dyDescent="0.4">
      <c r="A493" s="2" t="s">
        <v>520</v>
      </c>
      <c r="B493" t="str">
        <f>_xlfn.TEXTAFTER(Table1[[#This Row],[VEHIDCODE]],"_")</f>
        <v>Netherlands_NS_DH2</v>
      </c>
      <c r="C493" t="s">
        <v>742</v>
      </c>
      <c r="D493" t="b">
        <f>OR(ISNUMBER(SEARCH("wagon_",Table1[[#This Row],[FILENAMES_EXPECTED]])),ISNUMBER(SEARCH("coach_",Table1[[#This Row],[FILENAMES_EXPECTED]])))</f>
        <v>0</v>
      </c>
      <c r="E493" t="str">
        <f>"item_"&amp;Table1[[#This Row],[VEHIDCODE]]</f>
        <v>item_dmu_Netherlands_NS_DH2</v>
      </c>
      <c r="F493" t="str">
        <f>"str_"&amp;Table1[[#This Row],[VEHIDCODE]]</f>
        <v>str_dmu_Netherlands_NS_DH2</v>
      </c>
      <c r="G493">
        <v>8</v>
      </c>
      <c r="H493" t="s">
        <v>18</v>
      </c>
      <c r="I493">
        <v>1</v>
      </c>
      <c r="J493" t="s">
        <v>35</v>
      </c>
      <c r="K493">
        <v>80</v>
      </c>
      <c r="L493">
        <v>1981</v>
      </c>
      <c r="M493">
        <v>8</v>
      </c>
      <c r="N493" s="2" t="s">
        <v>24</v>
      </c>
      <c r="O493" t="b">
        <v>1</v>
      </c>
      <c r="P493" t="b">
        <v>1</v>
      </c>
      <c r="Q493" s="2"/>
      <c r="R493">
        <v>45</v>
      </c>
      <c r="S493">
        <v>1</v>
      </c>
      <c r="T493">
        <v>562</v>
      </c>
      <c r="U493" t="s">
        <v>711</v>
      </c>
      <c r="V493">
        <v>101</v>
      </c>
      <c r="W493" s="2">
        <v>0.3</v>
      </c>
      <c r="AF493" s="2" t="b">
        <v>1</v>
      </c>
      <c r="AX493"/>
      <c r="BA493" s="2"/>
      <c r="BB493" s="2" t="b">
        <f>LEN(_xlfn.CONCAT(Table1[[#This Row],[TRACK_TYPE_STANDARD_GAUGE_RAILTYPE_OHLE]:[TRACK_TYPE_MTRO]]))&gt;0</f>
        <v>1</v>
      </c>
      <c r="BC493" s="7">
        <v>40</v>
      </c>
      <c r="BD493" t="s">
        <v>923</v>
      </c>
      <c r="BE493" t="s">
        <v>922</v>
      </c>
      <c r="BF493" t="s">
        <v>940</v>
      </c>
      <c r="BG4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3">
        <v>0</v>
      </c>
      <c r="BI493" t="s">
        <v>734</v>
      </c>
      <c r="BJ493" s="11">
        <v>80</v>
      </c>
      <c r="BK493" s="11">
        <v>8</v>
      </c>
      <c r="BL493" s="11">
        <v>34</v>
      </c>
      <c r="BM493">
        <v>0</v>
      </c>
      <c r="BN493" t="s">
        <v>692</v>
      </c>
      <c r="BO493" t="s">
        <v>694</v>
      </c>
      <c r="BP493" t="s">
        <v>701</v>
      </c>
      <c r="BQ493" t="s">
        <v>705</v>
      </c>
      <c r="BR493" t="s">
        <v>706</v>
      </c>
      <c r="BS493" t="s">
        <v>707</v>
      </c>
    </row>
    <row r="494" spans="1:71" hidden="1" x14ac:dyDescent="0.4">
      <c r="A494" s="2" t="s">
        <v>521</v>
      </c>
      <c r="B494" t="str">
        <f>_xlfn.TEXTAFTER(Table1[[#This Row],[VEHIDCODE]],"_")</f>
        <v>Germany_DB_6282</v>
      </c>
      <c r="C494" t="s">
        <v>742</v>
      </c>
      <c r="D494" t="b">
        <f>OR(ISNUMBER(SEARCH("wagon_",Table1[[#This Row],[FILENAMES_EXPECTED]])),ISNUMBER(SEARCH("coach_",Table1[[#This Row],[FILENAMES_EXPECTED]])))</f>
        <v>0</v>
      </c>
      <c r="E494" t="str">
        <f>"item_"&amp;Table1[[#This Row],[VEHIDCODE]]</f>
        <v>item_dmu_Germany_DB_6282</v>
      </c>
      <c r="F494" t="str">
        <f>"str_"&amp;Table1[[#This Row],[VEHIDCODE]]</f>
        <v>str_dmu_Germany_DB_6282</v>
      </c>
      <c r="G494">
        <v>8</v>
      </c>
      <c r="H494" t="s">
        <v>18</v>
      </c>
      <c r="I494">
        <v>1</v>
      </c>
      <c r="J494" t="s">
        <v>35</v>
      </c>
      <c r="K494">
        <v>74</v>
      </c>
      <c r="L494">
        <v>1986</v>
      </c>
      <c r="M494">
        <v>8</v>
      </c>
      <c r="N494" s="2" t="s">
        <v>24</v>
      </c>
      <c r="O494" t="b">
        <v>1</v>
      </c>
      <c r="P494" t="b">
        <v>1</v>
      </c>
      <c r="Q494" s="2"/>
      <c r="R494">
        <v>45</v>
      </c>
      <c r="S494">
        <v>1</v>
      </c>
      <c r="T494">
        <v>570</v>
      </c>
      <c r="U494" t="s">
        <v>711</v>
      </c>
      <c r="V494">
        <v>120</v>
      </c>
      <c r="W494" s="2">
        <v>0.27</v>
      </c>
      <c r="AF494" s="2" t="b">
        <v>1</v>
      </c>
      <c r="AX494"/>
      <c r="BA494" s="2"/>
      <c r="BB494" s="2" t="b">
        <f>LEN(_xlfn.CONCAT(Table1[[#This Row],[TRACK_TYPE_STANDARD_GAUGE_RAILTYPE_OHLE]:[TRACK_TYPE_MTRO]]))&gt;0</f>
        <v>1</v>
      </c>
      <c r="BC494" s="7">
        <v>40</v>
      </c>
      <c r="BD494" t="s">
        <v>923</v>
      </c>
      <c r="BE494" t="s">
        <v>922</v>
      </c>
      <c r="BF494" t="s">
        <v>940</v>
      </c>
      <c r="BG4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4">
        <v>0</v>
      </c>
      <c r="BI494" t="s">
        <v>734</v>
      </c>
      <c r="BJ494" s="11">
        <v>74</v>
      </c>
      <c r="BK494" s="11">
        <v>8</v>
      </c>
      <c r="BL494" s="11">
        <v>42</v>
      </c>
      <c r="BM494">
        <v>0</v>
      </c>
      <c r="BN494" t="s">
        <v>692</v>
      </c>
      <c r="BO494" t="s">
        <v>694</v>
      </c>
      <c r="BP494" t="s">
        <v>701</v>
      </c>
      <c r="BQ494" t="s">
        <v>705</v>
      </c>
      <c r="BR494" t="s">
        <v>706</v>
      </c>
      <c r="BS494" t="s">
        <v>707</v>
      </c>
    </row>
    <row r="495" spans="1:71" hidden="1" x14ac:dyDescent="0.4">
      <c r="A495" s="2" t="s">
        <v>522</v>
      </c>
      <c r="B495" t="str">
        <f>_xlfn.TEXTAFTER(Table1[[#This Row],[VEHIDCODE]],"_")</f>
        <v>Algeria_SNTF_ZZ_2200_Autorail</v>
      </c>
      <c r="C495" t="s">
        <v>742</v>
      </c>
      <c r="D495" t="b">
        <f>OR(ISNUMBER(SEARCH("wagon_",Table1[[#This Row],[FILENAMES_EXPECTED]])),ISNUMBER(SEARCH("coach_",Table1[[#This Row],[FILENAMES_EXPECTED]])))</f>
        <v>0</v>
      </c>
      <c r="E495" t="str">
        <f>"item_"&amp;Table1[[#This Row],[VEHIDCODE]]</f>
        <v>item_dmu_Algeria_SNTF_ZZ_2200_Autorail</v>
      </c>
      <c r="F495" t="str">
        <f>"str_"&amp;Table1[[#This Row],[VEHIDCODE]]</f>
        <v>str_dmu_Algeria_SNTF_ZZ_2200_Autorail</v>
      </c>
      <c r="G495">
        <v>8</v>
      </c>
      <c r="H495" t="s">
        <v>18</v>
      </c>
      <c r="I495">
        <v>1</v>
      </c>
      <c r="J495" t="s">
        <v>35</v>
      </c>
      <c r="K495">
        <v>66</v>
      </c>
      <c r="L495">
        <v>2007</v>
      </c>
      <c r="M495">
        <v>8</v>
      </c>
      <c r="N495" s="2" t="s">
        <v>24</v>
      </c>
      <c r="O495" t="b">
        <v>1</v>
      </c>
      <c r="P495" t="b">
        <v>1</v>
      </c>
      <c r="Q495" s="2"/>
      <c r="R495" t="s">
        <v>21</v>
      </c>
      <c r="S495">
        <v>1</v>
      </c>
      <c r="T495">
        <v>1810</v>
      </c>
      <c r="U495" t="s">
        <v>711</v>
      </c>
      <c r="V495">
        <v>160</v>
      </c>
      <c r="W495" s="2">
        <v>0.37</v>
      </c>
      <c r="AF495" s="2" t="b">
        <v>1</v>
      </c>
      <c r="AX495"/>
      <c r="BA495" s="2"/>
      <c r="BB495" s="2" t="b">
        <f>LEN(_xlfn.CONCAT(Table1[[#This Row],[TRACK_TYPE_STANDARD_GAUGE_RAILTYPE_OHLE]:[TRACK_TYPE_MTRO]]))&gt;0</f>
        <v>1</v>
      </c>
      <c r="BC495" s="7">
        <v>40</v>
      </c>
      <c r="BD495" t="s">
        <v>926</v>
      </c>
      <c r="BE495" t="s">
        <v>922</v>
      </c>
      <c r="BF495" t="s">
        <v>940</v>
      </c>
      <c r="BG4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5">
        <v>0</v>
      </c>
      <c r="BI495" t="s">
        <v>734</v>
      </c>
      <c r="BJ495" s="11">
        <v>66</v>
      </c>
      <c r="BK495" s="11">
        <v>8</v>
      </c>
      <c r="BL495" s="11">
        <v>53</v>
      </c>
      <c r="BM495">
        <v>0</v>
      </c>
      <c r="BN495" t="s">
        <v>692</v>
      </c>
      <c r="BO495" t="s">
        <v>694</v>
      </c>
      <c r="BP495" t="s">
        <v>701</v>
      </c>
      <c r="BQ495" t="s">
        <v>705</v>
      </c>
      <c r="BR495" t="s">
        <v>706</v>
      </c>
      <c r="BS495" t="s">
        <v>707</v>
      </c>
    </row>
    <row r="496" spans="1:71" hidden="1" x14ac:dyDescent="0.4">
      <c r="A496" s="2" t="s">
        <v>523</v>
      </c>
      <c r="B496" t="str">
        <f>_xlfn.TEXTAFTER(Table1[[#This Row],[VEHIDCODE]],"_")</f>
        <v>Tunisia_SNCFT_AMT_800</v>
      </c>
      <c r="C496" t="s">
        <v>742</v>
      </c>
      <c r="D496" t="b">
        <f>OR(ISNUMBER(SEARCH("wagon_",Table1[[#This Row],[FILENAMES_EXPECTED]])),ISNUMBER(SEARCH("coach_",Table1[[#This Row],[FILENAMES_EXPECTED]])))</f>
        <v>0</v>
      </c>
      <c r="E496" t="str">
        <f>"item_"&amp;Table1[[#This Row],[VEHIDCODE]]</f>
        <v>item_dmu_Tunisia_SNCFT_AMT_800</v>
      </c>
      <c r="F496" t="str">
        <f>"str_"&amp;Table1[[#This Row],[VEHIDCODE]]</f>
        <v>str_dmu_Tunisia_SNCFT_AMT_800</v>
      </c>
      <c r="G496">
        <v>8</v>
      </c>
      <c r="H496" t="s">
        <v>18</v>
      </c>
      <c r="I496">
        <v>1</v>
      </c>
      <c r="J496" t="s">
        <v>35</v>
      </c>
      <c r="K496">
        <v>55</v>
      </c>
      <c r="L496">
        <v>2008</v>
      </c>
      <c r="M496">
        <v>8</v>
      </c>
      <c r="N496" s="2" t="s">
        <v>24</v>
      </c>
      <c r="O496" t="b">
        <v>1</v>
      </c>
      <c r="P496" t="b">
        <v>1</v>
      </c>
      <c r="Q496" s="2"/>
      <c r="R496" t="s">
        <v>21</v>
      </c>
      <c r="S496">
        <v>1</v>
      </c>
      <c r="T496">
        <v>1232</v>
      </c>
      <c r="U496" t="s">
        <v>711</v>
      </c>
      <c r="V496">
        <v>130</v>
      </c>
      <c r="W496" s="2">
        <v>0.52</v>
      </c>
      <c r="AF496" s="2" t="b">
        <v>1</v>
      </c>
      <c r="AX496"/>
      <c r="BA496" s="2"/>
      <c r="BB496" s="2" t="b">
        <f>LEN(_xlfn.CONCAT(Table1[[#This Row],[TRACK_TYPE_STANDARD_GAUGE_RAILTYPE_OHLE]:[TRACK_TYPE_MTRO]]))&gt;0</f>
        <v>1</v>
      </c>
      <c r="BC496" s="7">
        <v>40</v>
      </c>
      <c r="BD496" t="s">
        <v>926</v>
      </c>
      <c r="BE496" t="s">
        <v>922</v>
      </c>
      <c r="BF496" t="s">
        <v>940</v>
      </c>
      <c r="BG4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6">
        <v>0</v>
      </c>
      <c r="BI496" t="s">
        <v>734</v>
      </c>
      <c r="BJ496" s="11">
        <v>55</v>
      </c>
      <c r="BK496" s="11">
        <v>8</v>
      </c>
      <c r="BL496" s="11">
        <v>35</v>
      </c>
      <c r="BM496">
        <v>0</v>
      </c>
      <c r="BN496" t="s">
        <v>692</v>
      </c>
      <c r="BO496" t="s">
        <v>694</v>
      </c>
      <c r="BP496" t="s">
        <v>701</v>
      </c>
      <c r="BQ496" t="s">
        <v>705</v>
      </c>
      <c r="BR496" t="s">
        <v>706</v>
      </c>
      <c r="BS496" t="s">
        <v>707</v>
      </c>
    </row>
    <row r="497" spans="1:71" hidden="1" x14ac:dyDescent="0.4">
      <c r="A497" s="2" t="s">
        <v>524</v>
      </c>
      <c r="B497" t="str">
        <f>_xlfn.TEXTAFTER(Table1[[#This Row],[VEHIDCODE]],"_")</f>
        <v>Ghana_Ghana_Railways_DEMU</v>
      </c>
      <c r="C497" t="s">
        <v>742</v>
      </c>
      <c r="D497" t="b">
        <f>OR(ISNUMBER(SEARCH("wagon_",Table1[[#This Row],[FILENAMES_EXPECTED]])),ISNUMBER(SEARCH("coach_",Table1[[#This Row],[FILENAMES_EXPECTED]])))</f>
        <v>0</v>
      </c>
      <c r="E497" t="str">
        <f>"item_"&amp;Table1[[#This Row],[VEHIDCODE]]</f>
        <v>item_dmu_Ghana_Ghana_Railways_DEMU</v>
      </c>
      <c r="F497" t="str">
        <f>"str_"&amp;Table1[[#This Row],[VEHIDCODE]]</f>
        <v>str_dmu_Ghana_Ghana_Railways_DEMU</v>
      </c>
      <c r="G497">
        <v>7</v>
      </c>
      <c r="H497" t="s">
        <v>18</v>
      </c>
      <c r="I497">
        <v>1</v>
      </c>
      <c r="J497" t="s">
        <v>35</v>
      </c>
      <c r="K497">
        <v>102</v>
      </c>
      <c r="L497">
        <v>2009</v>
      </c>
      <c r="M497">
        <v>7</v>
      </c>
      <c r="N497" s="2" t="s">
        <v>24</v>
      </c>
      <c r="O497" t="b">
        <v>1</v>
      </c>
      <c r="P497" t="b">
        <v>1</v>
      </c>
      <c r="Q497" s="2"/>
      <c r="R497" t="s">
        <v>21</v>
      </c>
      <c r="S497">
        <v>1</v>
      </c>
      <c r="T497">
        <v>1656</v>
      </c>
      <c r="U497" t="s">
        <v>711</v>
      </c>
      <c r="V497">
        <v>90</v>
      </c>
      <c r="W497" s="2">
        <v>0.3</v>
      </c>
      <c r="AF497" s="2" t="b">
        <v>1</v>
      </c>
      <c r="AX497"/>
      <c r="BA497" s="2"/>
      <c r="BB497" s="2" t="b">
        <f>LEN(_xlfn.CONCAT(Table1[[#This Row],[TRACK_TYPE_STANDARD_GAUGE_RAILTYPE_OHLE]:[TRACK_TYPE_MTRO]]))&gt;0</f>
        <v>1</v>
      </c>
      <c r="BC497" s="7">
        <v>40</v>
      </c>
      <c r="BD497" t="s">
        <v>926</v>
      </c>
      <c r="BE497" t="s">
        <v>922</v>
      </c>
      <c r="BF497" t="s">
        <v>940</v>
      </c>
      <c r="BG4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7">
        <v>0</v>
      </c>
      <c r="BI497" t="s">
        <v>734</v>
      </c>
      <c r="BJ497" s="11">
        <v>102</v>
      </c>
      <c r="BK497" s="11">
        <v>7</v>
      </c>
      <c r="BL497" s="11">
        <v>48</v>
      </c>
      <c r="BM497">
        <v>0</v>
      </c>
      <c r="BN497" t="s">
        <v>692</v>
      </c>
      <c r="BO497" t="s">
        <v>694</v>
      </c>
      <c r="BP497" t="s">
        <v>701</v>
      </c>
      <c r="BQ497" t="s">
        <v>705</v>
      </c>
      <c r="BR497" t="s">
        <v>706</v>
      </c>
      <c r="BS497" t="s">
        <v>707</v>
      </c>
    </row>
    <row r="498" spans="1:71" hidden="1" x14ac:dyDescent="0.4">
      <c r="A498" s="2" t="s">
        <v>525</v>
      </c>
      <c r="B498" t="str">
        <f>_xlfn.TEXTAFTER(Table1[[#This Row],[VEHIDCODE]],"_")</f>
        <v>Australia_Queensland_Rail_Diesel_Tilt_Train</v>
      </c>
      <c r="C498" t="s">
        <v>742</v>
      </c>
      <c r="D498" t="b">
        <f>OR(ISNUMBER(SEARCH("wagon_",Table1[[#This Row],[FILENAMES_EXPECTED]])),ISNUMBER(SEARCH("coach_",Table1[[#This Row],[FILENAMES_EXPECTED]])))</f>
        <v>0</v>
      </c>
      <c r="E498" t="str">
        <f>"item_"&amp;Table1[[#This Row],[VEHIDCODE]]</f>
        <v>item_dmu_Australia_Queensland_Rail_Diesel_Tilt_Train</v>
      </c>
      <c r="F498" t="str">
        <f>"str_"&amp;Table1[[#This Row],[VEHIDCODE]]</f>
        <v>str_dmu_Australia_Queensland_Rail_Diesel_Tilt_Train</v>
      </c>
      <c r="G498">
        <v>8</v>
      </c>
      <c r="H498" t="s">
        <v>18</v>
      </c>
      <c r="I498">
        <v>1</v>
      </c>
      <c r="J498" t="s">
        <v>35</v>
      </c>
      <c r="K498">
        <v>0</v>
      </c>
      <c r="L498">
        <v>2003</v>
      </c>
      <c r="M498">
        <v>8</v>
      </c>
      <c r="N498" s="2" t="s">
        <v>24</v>
      </c>
      <c r="O498" t="b">
        <v>1</v>
      </c>
      <c r="P498" t="b">
        <v>1</v>
      </c>
      <c r="Q498" s="2"/>
      <c r="R498" t="s">
        <v>21</v>
      </c>
      <c r="S498">
        <v>1</v>
      </c>
      <c r="T498">
        <v>7240</v>
      </c>
      <c r="U498" t="s">
        <v>711</v>
      </c>
      <c r="V498">
        <v>160</v>
      </c>
      <c r="W498" s="2">
        <v>0.21</v>
      </c>
      <c r="AF498" s="2" t="b">
        <v>1</v>
      </c>
      <c r="AX498"/>
      <c r="BA498" s="2"/>
      <c r="BB498" s="2" t="b">
        <f>LEN(_xlfn.CONCAT(Table1[[#This Row],[TRACK_TYPE_STANDARD_GAUGE_RAILTYPE_OHLE]:[TRACK_TYPE_MTRO]]))&gt;0</f>
        <v>1</v>
      </c>
      <c r="BC498" s="7">
        <v>40</v>
      </c>
      <c r="BD498" t="s">
        <v>925</v>
      </c>
      <c r="BE498" t="s">
        <v>922</v>
      </c>
      <c r="BF498" t="s">
        <v>940</v>
      </c>
      <c r="BG4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8">
        <v>0</v>
      </c>
      <c r="BI498" t="s">
        <v>734</v>
      </c>
      <c r="BJ498" s="11">
        <v>56</v>
      </c>
      <c r="BK498" s="11">
        <v>8</v>
      </c>
      <c r="BL498" s="11">
        <v>60</v>
      </c>
      <c r="BM498">
        <v>0</v>
      </c>
      <c r="BN498" t="s">
        <v>692</v>
      </c>
      <c r="BO498" t="s">
        <v>694</v>
      </c>
      <c r="BP498" t="s">
        <v>701</v>
      </c>
      <c r="BQ498" t="s">
        <v>705</v>
      </c>
      <c r="BR498" t="s">
        <v>706</v>
      </c>
      <c r="BS498" t="s">
        <v>707</v>
      </c>
    </row>
    <row r="499" spans="1:71" hidden="1" x14ac:dyDescent="0.4">
      <c r="A499" s="2" t="s">
        <v>526</v>
      </c>
      <c r="B499" t="str">
        <f>_xlfn.TEXTAFTER(Table1[[#This Row],[VEHIDCODE]],"_")</f>
        <v>Canada_UP_Express_Nippon_Sharyo_DMU</v>
      </c>
      <c r="C499" t="s">
        <v>742</v>
      </c>
      <c r="D499" t="b">
        <f>OR(ISNUMBER(SEARCH("wagon_",Table1[[#This Row],[FILENAMES_EXPECTED]])),ISNUMBER(SEARCH("coach_",Table1[[#This Row],[FILENAMES_EXPECTED]])))</f>
        <v>0</v>
      </c>
      <c r="E499" t="str">
        <f>"item_"&amp;Table1[[#This Row],[VEHIDCODE]]</f>
        <v>item_dmu_Canada_UP_Express_Nippon_Sharyo_DMU</v>
      </c>
      <c r="F499" t="str">
        <f>"str_"&amp;Table1[[#This Row],[VEHIDCODE]]</f>
        <v>str_dmu_Canada_UP_Express_Nippon_Sharyo_DMU</v>
      </c>
      <c r="G499">
        <v>8</v>
      </c>
      <c r="H499" t="s">
        <v>18</v>
      </c>
      <c r="I499">
        <v>1</v>
      </c>
      <c r="J499" t="s">
        <v>35</v>
      </c>
      <c r="K499">
        <v>80</v>
      </c>
      <c r="L499">
        <v>2013</v>
      </c>
      <c r="M499">
        <v>8</v>
      </c>
      <c r="N499" s="2" t="s">
        <v>24</v>
      </c>
      <c r="O499" t="b">
        <v>1</v>
      </c>
      <c r="P499" t="b">
        <v>1</v>
      </c>
      <c r="Q499" s="2"/>
      <c r="R499" t="s">
        <v>21</v>
      </c>
      <c r="S499">
        <v>1</v>
      </c>
      <c r="T499">
        <v>1520</v>
      </c>
      <c r="U499" t="s">
        <v>711</v>
      </c>
      <c r="V499">
        <v>128</v>
      </c>
      <c r="W499" s="2">
        <v>0.28999999999999998</v>
      </c>
      <c r="AF499" s="2" t="b">
        <v>1</v>
      </c>
      <c r="AX499"/>
      <c r="BA499" s="2"/>
      <c r="BB499" s="2" t="b">
        <f>LEN(_xlfn.CONCAT(Table1[[#This Row],[TRACK_TYPE_STANDARD_GAUGE_RAILTYPE_OHLE]:[TRACK_TYPE_MTRO]]))&gt;0</f>
        <v>1</v>
      </c>
      <c r="BC499" s="7">
        <v>40</v>
      </c>
      <c r="BD499" t="s">
        <v>928</v>
      </c>
      <c r="BE499" t="s">
        <v>922</v>
      </c>
      <c r="BF499" t="s">
        <v>940</v>
      </c>
      <c r="BG4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9">
        <v>0</v>
      </c>
      <c r="BI499" t="s">
        <v>734</v>
      </c>
      <c r="BJ499" s="11">
        <v>80</v>
      </c>
      <c r="BK499" s="11">
        <v>8</v>
      </c>
      <c r="BL499" s="11">
        <v>74</v>
      </c>
      <c r="BM499">
        <v>0</v>
      </c>
      <c r="BN499" t="s">
        <v>692</v>
      </c>
      <c r="BO499" t="s">
        <v>694</v>
      </c>
      <c r="BP499" t="s">
        <v>701</v>
      </c>
      <c r="BQ499" t="s">
        <v>705</v>
      </c>
      <c r="BR499" t="s">
        <v>706</v>
      </c>
      <c r="BS499" t="s">
        <v>707</v>
      </c>
    </row>
    <row r="500" spans="1:71" hidden="1" x14ac:dyDescent="0.4">
      <c r="A500" s="2" t="s">
        <v>527</v>
      </c>
      <c r="B500" t="str">
        <f>_xlfn.TEXTAFTER(Table1[[#This Row],[VEHIDCODE]],"_")</f>
        <v>Argentina_FCGU_CMM_400_2</v>
      </c>
      <c r="C500" t="s">
        <v>742</v>
      </c>
      <c r="D500" t="b">
        <f>OR(ISNUMBER(SEARCH("wagon_",Table1[[#This Row],[FILENAMES_EXPECTED]])),ISNUMBER(SEARCH("coach_",Table1[[#This Row],[FILENAMES_EXPECTED]])))</f>
        <v>0</v>
      </c>
      <c r="E500" t="str">
        <f>"item_"&amp;Table1[[#This Row],[VEHIDCODE]]</f>
        <v>item_dmu_Argentina_FCGU_CMM_400_2</v>
      </c>
      <c r="F500" t="str">
        <f>"str_"&amp;Table1[[#This Row],[VEHIDCODE]]</f>
        <v>str_dmu_Argentina_FCGU_CMM_400_2</v>
      </c>
      <c r="G500">
        <v>8</v>
      </c>
      <c r="H500" t="s">
        <v>18</v>
      </c>
      <c r="I500">
        <v>1</v>
      </c>
      <c r="J500" t="s">
        <v>35</v>
      </c>
      <c r="K500">
        <v>88</v>
      </c>
      <c r="L500">
        <v>2015</v>
      </c>
      <c r="M500">
        <v>8</v>
      </c>
      <c r="N500" s="2" t="s">
        <v>24</v>
      </c>
      <c r="O500" t="b">
        <v>1</v>
      </c>
      <c r="P500" t="b">
        <v>1</v>
      </c>
      <c r="Q500" s="2"/>
      <c r="R500" t="s">
        <v>21</v>
      </c>
      <c r="S500">
        <v>1</v>
      </c>
      <c r="T500">
        <v>800</v>
      </c>
      <c r="U500" t="s">
        <v>711</v>
      </c>
      <c r="V500">
        <v>160</v>
      </c>
      <c r="W500" s="2">
        <v>0.39</v>
      </c>
      <c r="AF500" s="2" t="b">
        <v>1</v>
      </c>
      <c r="AX500"/>
      <c r="BA500" s="2"/>
      <c r="BB500" s="2" t="b">
        <f>LEN(_xlfn.CONCAT(Table1[[#This Row],[TRACK_TYPE_STANDARD_GAUGE_RAILTYPE_OHLE]:[TRACK_TYPE_MTRO]]))&gt;0</f>
        <v>1</v>
      </c>
      <c r="BC500" s="7">
        <v>40</v>
      </c>
      <c r="BD500" t="s">
        <v>930</v>
      </c>
      <c r="BE500" t="s">
        <v>922</v>
      </c>
      <c r="BF500" t="s">
        <v>940</v>
      </c>
      <c r="BG5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0">
        <v>0</v>
      </c>
      <c r="BI500" t="s">
        <v>734</v>
      </c>
      <c r="BJ500" s="11">
        <v>88</v>
      </c>
      <c r="BK500" s="11">
        <v>8</v>
      </c>
      <c r="BL500" s="11">
        <v>48</v>
      </c>
      <c r="BM500">
        <v>0</v>
      </c>
      <c r="BN500" t="s">
        <v>692</v>
      </c>
      <c r="BO500" t="s">
        <v>694</v>
      </c>
      <c r="BP500" t="s">
        <v>701</v>
      </c>
      <c r="BQ500" t="s">
        <v>705</v>
      </c>
      <c r="BR500" t="s">
        <v>706</v>
      </c>
      <c r="BS500" t="s">
        <v>707</v>
      </c>
    </row>
    <row r="501" spans="1:71" hidden="1" x14ac:dyDescent="0.4">
      <c r="A501" s="2" t="s">
        <v>528</v>
      </c>
      <c r="B501" t="str">
        <f>_xlfn.TEXTAFTER(Table1[[#This Row],[VEHIDCODE]],"_")</f>
        <v>Italy_FS_ALn_442_448</v>
      </c>
      <c r="C501" t="s">
        <v>742</v>
      </c>
      <c r="D501" t="b">
        <f>OR(ISNUMBER(SEARCH("wagon_",Table1[[#This Row],[FILENAMES_EXPECTED]])),ISNUMBER(SEARCH("coach_",Table1[[#This Row],[FILENAMES_EXPECTED]])))</f>
        <v>0</v>
      </c>
      <c r="E501" t="str">
        <f>"item_"&amp;Table1[[#This Row],[VEHIDCODE]]</f>
        <v>item_dmu_Italy_FS_ALn_442_448</v>
      </c>
      <c r="F501" t="str">
        <f>"str_"&amp;Table1[[#This Row],[VEHIDCODE]]</f>
        <v>str_dmu_Italy_FS_ALn_442_448</v>
      </c>
      <c r="G501">
        <v>8</v>
      </c>
      <c r="H501" t="s">
        <v>18</v>
      </c>
      <c r="I501">
        <v>1</v>
      </c>
      <c r="J501" t="s">
        <v>35</v>
      </c>
      <c r="K501">
        <v>48</v>
      </c>
      <c r="L501">
        <v>1955</v>
      </c>
      <c r="M501">
        <v>8</v>
      </c>
      <c r="N501" s="2" t="s">
        <v>24</v>
      </c>
      <c r="O501" t="b">
        <v>1</v>
      </c>
      <c r="P501" t="b">
        <v>1</v>
      </c>
      <c r="Q501" s="2"/>
      <c r="R501">
        <v>45</v>
      </c>
      <c r="S501">
        <v>1</v>
      </c>
      <c r="T501">
        <v>980</v>
      </c>
      <c r="U501" t="s">
        <v>711</v>
      </c>
      <c r="V501">
        <v>140</v>
      </c>
      <c r="W501" s="2">
        <v>0.13</v>
      </c>
      <c r="AF501" s="2" t="b">
        <v>1</v>
      </c>
      <c r="AX501"/>
      <c r="BA501" s="2"/>
      <c r="BB501" s="2" t="b">
        <f>LEN(_xlfn.CONCAT(Table1[[#This Row],[TRACK_TYPE_STANDARD_GAUGE_RAILTYPE_OHLE]:[TRACK_TYPE_MTRO]]))&gt;0</f>
        <v>1</v>
      </c>
      <c r="BC501" s="7">
        <v>40</v>
      </c>
      <c r="BD501" t="s">
        <v>924</v>
      </c>
      <c r="BE501" t="s">
        <v>922</v>
      </c>
      <c r="BF501" t="s">
        <v>940</v>
      </c>
      <c r="BG5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1">
        <v>0</v>
      </c>
      <c r="BI501" t="s">
        <v>734</v>
      </c>
      <c r="BJ501" s="11">
        <v>48</v>
      </c>
      <c r="BK501" s="11">
        <v>8</v>
      </c>
      <c r="BL501" s="11">
        <v>52</v>
      </c>
      <c r="BM501">
        <v>0</v>
      </c>
      <c r="BN501" t="s">
        <v>692</v>
      </c>
      <c r="BO501" t="s">
        <v>694</v>
      </c>
      <c r="BP501" t="s">
        <v>701</v>
      </c>
      <c r="BQ501" t="s">
        <v>705</v>
      </c>
      <c r="BR501" t="s">
        <v>706</v>
      </c>
      <c r="BS501" t="s">
        <v>707</v>
      </c>
    </row>
    <row r="502" spans="1:71" hidden="1" x14ac:dyDescent="0.4">
      <c r="A502" s="2" t="s">
        <v>529</v>
      </c>
      <c r="B502" t="str">
        <f>_xlfn.TEXTAFTER(Table1[[#This Row],[VEHIDCODE]],"_")</f>
        <v>Portugal_CP_0400</v>
      </c>
      <c r="C502" t="s">
        <v>742</v>
      </c>
      <c r="D502" t="b">
        <f>OR(ISNUMBER(SEARCH("wagon_",Table1[[#This Row],[FILENAMES_EXPECTED]])),ISNUMBER(SEARCH("coach_",Table1[[#This Row],[FILENAMES_EXPECTED]])))</f>
        <v>0</v>
      </c>
      <c r="E502" t="str">
        <f>"item_"&amp;Table1[[#This Row],[VEHIDCODE]]</f>
        <v>item_dmu_Portugal_CP_0400</v>
      </c>
      <c r="F502" t="str">
        <f>"str_"&amp;Table1[[#This Row],[VEHIDCODE]]</f>
        <v>str_dmu_Portugal_CP_0400</v>
      </c>
      <c r="G502">
        <v>8</v>
      </c>
      <c r="H502" t="s">
        <v>18</v>
      </c>
      <c r="I502">
        <v>1</v>
      </c>
      <c r="J502" t="s">
        <v>35</v>
      </c>
      <c r="K502">
        <v>82</v>
      </c>
      <c r="L502">
        <v>1965</v>
      </c>
      <c r="M502">
        <v>8</v>
      </c>
      <c r="N502" s="2" t="s">
        <v>24</v>
      </c>
      <c r="O502" t="b">
        <v>1</v>
      </c>
      <c r="P502" t="b">
        <v>1</v>
      </c>
      <c r="Q502" s="2"/>
      <c r="R502">
        <v>45</v>
      </c>
      <c r="S502">
        <v>1</v>
      </c>
      <c r="T502">
        <v>1320</v>
      </c>
      <c r="U502" t="s">
        <v>711</v>
      </c>
      <c r="V502">
        <v>120</v>
      </c>
      <c r="W502" s="2">
        <v>0.13</v>
      </c>
      <c r="AF502" s="2" t="b">
        <v>1</v>
      </c>
      <c r="AX502"/>
      <c r="BA502" s="2"/>
      <c r="BB502" s="2" t="b">
        <f>LEN(_xlfn.CONCAT(Table1[[#This Row],[TRACK_TYPE_STANDARD_GAUGE_RAILTYPE_OHLE]:[TRACK_TYPE_MTRO]]))&gt;0</f>
        <v>1</v>
      </c>
      <c r="BC502" s="7">
        <v>40</v>
      </c>
      <c r="BD502" t="s">
        <v>924</v>
      </c>
      <c r="BE502" t="s">
        <v>922</v>
      </c>
      <c r="BF502" t="s">
        <v>940</v>
      </c>
      <c r="BG5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2">
        <v>0</v>
      </c>
      <c r="BI502" t="s">
        <v>734</v>
      </c>
      <c r="BJ502" s="11">
        <v>82</v>
      </c>
      <c r="BK502" s="11">
        <v>8</v>
      </c>
      <c r="BL502" s="11">
        <v>49</v>
      </c>
      <c r="BM502">
        <v>0</v>
      </c>
      <c r="BN502" t="s">
        <v>692</v>
      </c>
      <c r="BO502" t="s">
        <v>694</v>
      </c>
      <c r="BP502" t="s">
        <v>701</v>
      </c>
      <c r="BQ502" t="s">
        <v>705</v>
      </c>
      <c r="BR502" t="s">
        <v>706</v>
      </c>
      <c r="BS502" t="s">
        <v>707</v>
      </c>
    </row>
    <row r="503" spans="1:71" hidden="1" x14ac:dyDescent="0.4">
      <c r="A503" s="2" t="s">
        <v>530</v>
      </c>
      <c r="B503" t="str">
        <f>_xlfn.TEXTAFTER(Table1[[#This Row],[VEHIDCODE]],"_")</f>
        <v>Portugal_CP_0600</v>
      </c>
      <c r="C503" t="s">
        <v>742</v>
      </c>
      <c r="D503" t="b">
        <f>OR(ISNUMBER(SEARCH("wagon_",Table1[[#This Row],[FILENAMES_EXPECTED]])),ISNUMBER(SEARCH("coach_",Table1[[#This Row],[FILENAMES_EXPECTED]])))</f>
        <v>0</v>
      </c>
      <c r="E503" t="str">
        <f>"item_"&amp;Table1[[#This Row],[VEHIDCODE]]</f>
        <v>item_dmu_Portugal_CP_0600</v>
      </c>
      <c r="F503" t="str">
        <f>"str_"&amp;Table1[[#This Row],[VEHIDCODE]]</f>
        <v>str_dmu_Portugal_CP_0600</v>
      </c>
      <c r="G503">
        <v>8</v>
      </c>
      <c r="H503" t="s">
        <v>18</v>
      </c>
      <c r="I503">
        <v>1</v>
      </c>
      <c r="J503" t="s">
        <v>35</v>
      </c>
      <c r="K503">
        <v>116</v>
      </c>
      <c r="L503">
        <v>1979</v>
      </c>
      <c r="M503">
        <v>8</v>
      </c>
      <c r="N503" s="2" t="s">
        <v>24</v>
      </c>
      <c r="O503" t="b">
        <v>1</v>
      </c>
      <c r="P503" t="b">
        <v>1</v>
      </c>
      <c r="Q503" s="2"/>
      <c r="R503">
        <v>45</v>
      </c>
      <c r="S503">
        <v>1</v>
      </c>
      <c r="T503">
        <v>1650</v>
      </c>
      <c r="U503" t="s">
        <v>711</v>
      </c>
      <c r="V503">
        <v>120</v>
      </c>
      <c r="W503" s="2">
        <v>0.21</v>
      </c>
      <c r="AF503" s="2" t="b">
        <v>1</v>
      </c>
      <c r="AX503"/>
      <c r="BA503" s="2"/>
      <c r="BB503" s="2" t="b">
        <f>LEN(_xlfn.CONCAT(Table1[[#This Row],[TRACK_TYPE_STANDARD_GAUGE_RAILTYPE_OHLE]:[TRACK_TYPE_MTRO]]))&gt;0</f>
        <v>1</v>
      </c>
      <c r="BC503" s="7">
        <v>40</v>
      </c>
      <c r="BD503" t="s">
        <v>924</v>
      </c>
      <c r="BE503" t="s">
        <v>922</v>
      </c>
      <c r="BF503" t="s">
        <v>940</v>
      </c>
      <c r="BG5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3">
        <v>0</v>
      </c>
      <c r="BI503" t="s">
        <v>734</v>
      </c>
      <c r="BJ503" s="11">
        <v>116</v>
      </c>
      <c r="BK503" s="11">
        <v>8</v>
      </c>
      <c r="BL503" s="11">
        <v>53</v>
      </c>
      <c r="BM503">
        <v>0</v>
      </c>
      <c r="BN503" t="s">
        <v>692</v>
      </c>
      <c r="BO503" t="s">
        <v>694</v>
      </c>
      <c r="BP503" t="s">
        <v>701</v>
      </c>
      <c r="BQ503" t="s">
        <v>705</v>
      </c>
      <c r="BR503" t="s">
        <v>706</v>
      </c>
      <c r="BS503" t="s">
        <v>707</v>
      </c>
    </row>
    <row r="504" spans="1:71" hidden="1" x14ac:dyDescent="0.4">
      <c r="A504" s="2" t="s">
        <v>531</v>
      </c>
      <c r="B504" t="str">
        <f>_xlfn.TEXTAFTER(Table1[[#This Row],[VEHIDCODE]],"_")</f>
        <v>Spain_FEVE_2400_Apollos</v>
      </c>
      <c r="C504" t="s">
        <v>742</v>
      </c>
      <c r="D504" t="b">
        <f>OR(ISNUMBER(SEARCH("wagon_",Table1[[#This Row],[FILENAMES_EXPECTED]])),ISNUMBER(SEARCH("coach_",Table1[[#This Row],[FILENAMES_EXPECTED]])))</f>
        <v>0</v>
      </c>
      <c r="E504" t="str">
        <f>"item_"&amp;Table1[[#This Row],[VEHIDCODE]]</f>
        <v>item_dmu_Spain_FEVE_2400_Apollos</v>
      </c>
      <c r="F504" t="str">
        <f>"str_"&amp;Table1[[#This Row],[VEHIDCODE]]</f>
        <v>str_dmu_Spain_FEVE_2400_Apollos</v>
      </c>
      <c r="G504">
        <v>7</v>
      </c>
      <c r="H504" t="s">
        <v>18</v>
      </c>
      <c r="I504">
        <v>1</v>
      </c>
      <c r="J504" t="s">
        <v>35</v>
      </c>
      <c r="K504">
        <v>50</v>
      </c>
      <c r="L504">
        <v>1983</v>
      </c>
      <c r="M504">
        <v>7</v>
      </c>
      <c r="N504" s="2" t="s">
        <v>24</v>
      </c>
      <c r="O504" t="b">
        <v>1</v>
      </c>
      <c r="P504" t="b">
        <v>1</v>
      </c>
      <c r="Q504" s="2"/>
      <c r="R504">
        <v>45</v>
      </c>
      <c r="S504">
        <v>1</v>
      </c>
      <c r="T504">
        <v>720</v>
      </c>
      <c r="U504" t="s">
        <v>711</v>
      </c>
      <c r="V504">
        <v>100</v>
      </c>
      <c r="W504" s="2">
        <v>0.2</v>
      </c>
      <c r="AF504" s="2" t="b">
        <v>1</v>
      </c>
      <c r="AX504"/>
      <c r="BA504" s="2"/>
      <c r="BB504" s="2" t="b">
        <f>LEN(_xlfn.CONCAT(Table1[[#This Row],[TRACK_TYPE_STANDARD_GAUGE_RAILTYPE_OHLE]:[TRACK_TYPE_MTRO]]))&gt;0</f>
        <v>1</v>
      </c>
      <c r="BC504" s="7">
        <v>40</v>
      </c>
      <c r="BD504" t="s">
        <v>924</v>
      </c>
      <c r="BE504" t="s">
        <v>922</v>
      </c>
      <c r="BF504" t="s">
        <v>940</v>
      </c>
      <c r="BG5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4">
        <v>0</v>
      </c>
      <c r="BI504" t="s">
        <v>734</v>
      </c>
      <c r="BJ504" s="11">
        <v>50</v>
      </c>
      <c r="BK504" s="11">
        <v>7</v>
      </c>
      <c r="BL504" s="11">
        <v>44</v>
      </c>
      <c r="BM504">
        <v>0</v>
      </c>
      <c r="BN504" t="s">
        <v>692</v>
      </c>
      <c r="BO504" t="s">
        <v>694</v>
      </c>
      <c r="BP504" t="s">
        <v>701</v>
      </c>
      <c r="BQ504" t="s">
        <v>705</v>
      </c>
      <c r="BR504" t="s">
        <v>706</v>
      </c>
      <c r="BS504" t="s">
        <v>707</v>
      </c>
    </row>
    <row r="505" spans="1:71" hidden="1" x14ac:dyDescent="0.4">
      <c r="A505" s="2" t="s">
        <v>532</v>
      </c>
      <c r="B505" t="str">
        <f>_xlfn.TEXTAFTER(Table1[[#This Row],[VEHIDCODE]],"_")</f>
        <v>Germany_DB_691_CargoSprinter</v>
      </c>
      <c r="C505" t="s">
        <v>743</v>
      </c>
      <c r="D505" t="b">
        <f>OR(ISNUMBER(SEARCH("wagon_",Table1[[#This Row],[FILENAMES_EXPECTED]])),ISNUMBER(SEARCH("coach_",Table1[[#This Row],[FILENAMES_EXPECTED]])))</f>
        <v>0</v>
      </c>
      <c r="E505" t="str">
        <f>"item_"&amp;Table1[[#This Row],[VEHIDCODE]]</f>
        <v>item_cargodmu_Germany_DB_691_CargoSprinter</v>
      </c>
      <c r="F505" t="str">
        <f>"str_"&amp;Table1[[#This Row],[VEHIDCODE]]</f>
        <v>str_cargodmu_Germany_DB_691_CargoSprinter</v>
      </c>
      <c r="G505">
        <v>8</v>
      </c>
      <c r="H505" t="s">
        <v>533</v>
      </c>
      <c r="I505">
        <v>1</v>
      </c>
      <c r="J505" t="s">
        <v>35</v>
      </c>
      <c r="K505">
        <v>40</v>
      </c>
      <c r="L505">
        <v>1996</v>
      </c>
      <c r="M505">
        <v>8</v>
      </c>
      <c r="N505" s="2" t="s">
        <v>33</v>
      </c>
      <c r="O505" t="b">
        <v>1</v>
      </c>
      <c r="P505" t="b">
        <v>1</v>
      </c>
      <c r="Q505" s="2"/>
      <c r="R505" t="s">
        <v>21</v>
      </c>
      <c r="S505">
        <v>0</v>
      </c>
      <c r="T505">
        <v>710</v>
      </c>
      <c r="U505" t="s">
        <v>711</v>
      </c>
      <c r="V505">
        <v>140</v>
      </c>
      <c r="W505" s="2">
        <v>0.17</v>
      </c>
      <c r="AF505" s="2" t="b">
        <v>1</v>
      </c>
      <c r="AX505"/>
      <c r="BA505" s="2"/>
      <c r="BB505" s="2" t="b">
        <f>LEN(_xlfn.CONCAT(Table1[[#This Row],[TRACK_TYPE_STANDARD_GAUGE_RAILTYPE_OHLE]:[TRACK_TYPE_MTRO]]))&gt;0</f>
        <v>1</v>
      </c>
      <c r="BC505" s="7">
        <v>25</v>
      </c>
      <c r="BD505" t="s">
        <v>923</v>
      </c>
      <c r="BE505" t="s">
        <v>922</v>
      </c>
      <c r="BF505" t="s">
        <v>940</v>
      </c>
      <c r="BG5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5">
        <v>0</v>
      </c>
      <c r="BI505" t="s">
        <v>734</v>
      </c>
      <c r="BJ505" s="11">
        <v>40</v>
      </c>
      <c r="BK505" s="11">
        <v>7</v>
      </c>
      <c r="BL505" s="11">
        <v>56</v>
      </c>
      <c r="BM505">
        <v>0</v>
      </c>
      <c r="BN505" t="s">
        <v>692</v>
      </c>
      <c r="BO505" t="s">
        <v>694</v>
      </c>
      <c r="BP505" t="s">
        <v>701</v>
      </c>
      <c r="BQ505" t="s">
        <v>705</v>
      </c>
      <c r="BR505" t="s">
        <v>706</v>
      </c>
      <c r="BS505" t="s">
        <v>707</v>
      </c>
    </row>
    <row r="506" spans="1:71" hidden="1" x14ac:dyDescent="0.4">
      <c r="A506" s="2" t="s">
        <v>534</v>
      </c>
      <c r="B506" t="str">
        <f>_xlfn.TEXTAFTER(Table1[[#This Row],[VEHIDCODE]],"_")</f>
        <v>Australia_Sydney_Trains_A_Set_Waratah</v>
      </c>
      <c r="C506" t="s">
        <v>744</v>
      </c>
      <c r="D506" t="b">
        <f>OR(ISNUMBER(SEARCH("wagon_",Table1[[#This Row],[FILENAMES_EXPECTED]])),ISNUMBER(SEARCH("coach_",Table1[[#This Row],[FILENAMES_EXPECTED]])))</f>
        <v>0</v>
      </c>
      <c r="E506" t="str">
        <f>"item_"&amp;Table1[[#This Row],[VEHIDCODE]]</f>
        <v>item_emu_Australia_Sydney_Trains_A_Set_Waratah</v>
      </c>
      <c r="F506" t="str">
        <f>"str_"&amp;Table1[[#This Row],[VEHIDCODE]]</f>
        <v>str_emu_Australia_Sydney_Trains_A_Set_Waratah</v>
      </c>
      <c r="G506">
        <v>8</v>
      </c>
      <c r="H506" t="s">
        <v>18</v>
      </c>
      <c r="I506">
        <v>1</v>
      </c>
      <c r="J506" t="s">
        <v>74</v>
      </c>
      <c r="K506">
        <v>110</v>
      </c>
      <c r="L506">
        <v>2011</v>
      </c>
      <c r="M506">
        <v>8</v>
      </c>
      <c r="N506" s="2" t="s">
        <v>24</v>
      </c>
      <c r="O506" t="b">
        <v>1</v>
      </c>
      <c r="P506" t="b">
        <v>1</v>
      </c>
      <c r="Q506" s="2"/>
      <c r="R506" t="s">
        <v>21</v>
      </c>
      <c r="S506">
        <v>1</v>
      </c>
      <c r="T506">
        <v>1120</v>
      </c>
      <c r="U506" t="s">
        <v>709</v>
      </c>
      <c r="V506">
        <v>130</v>
      </c>
      <c r="W506" s="2">
        <v>0.25</v>
      </c>
      <c r="AB506" t="b">
        <v>1</v>
      </c>
      <c r="AX506"/>
      <c r="BA506" s="2"/>
      <c r="BB506" s="2" t="b">
        <f>LEN(_xlfn.CONCAT(Table1[[#This Row],[TRACK_TYPE_STANDARD_GAUGE_RAILTYPE_OHLE]:[TRACK_TYPE_MTRO]]))&gt;0</f>
        <v>1</v>
      </c>
      <c r="BC506" s="7">
        <v>25</v>
      </c>
      <c r="BD506" t="s">
        <v>925</v>
      </c>
      <c r="BE506" t="s">
        <v>922</v>
      </c>
      <c r="BF506" t="s">
        <v>940</v>
      </c>
      <c r="BG5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6">
        <v>0</v>
      </c>
      <c r="BI506" t="s">
        <v>734</v>
      </c>
      <c r="BJ506" s="11">
        <v>110</v>
      </c>
      <c r="BK506" s="11">
        <v>8</v>
      </c>
      <c r="BL506" s="11">
        <v>51</v>
      </c>
      <c r="BM506">
        <v>0</v>
      </c>
      <c r="BN506" t="s">
        <v>692</v>
      </c>
      <c r="BO506" t="s">
        <v>694</v>
      </c>
      <c r="BP506" t="s">
        <v>701</v>
      </c>
      <c r="BQ506" t="s">
        <v>705</v>
      </c>
      <c r="BR506" t="s">
        <v>706</v>
      </c>
      <c r="BS506" t="s">
        <v>707</v>
      </c>
    </row>
    <row r="507" spans="1:71" hidden="1" x14ac:dyDescent="0.4">
      <c r="A507" s="2" t="s">
        <v>535</v>
      </c>
      <c r="B507" t="str">
        <f>_xlfn.TEXTAFTER(Table1[[#This Row],[VEHIDCODE]],"_")</f>
        <v>Denmark_DSB_S_Tog_II</v>
      </c>
      <c r="C507" t="s">
        <v>744</v>
      </c>
      <c r="D507" t="b">
        <f>OR(ISNUMBER(SEARCH("wagon_",Table1[[#This Row],[FILENAMES_EXPECTED]])),ISNUMBER(SEARCH("coach_",Table1[[#This Row],[FILENAMES_EXPECTED]])))</f>
        <v>0</v>
      </c>
      <c r="E507" t="str">
        <f>"item_"&amp;Table1[[#This Row],[VEHIDCODE]]</f>
        <v>item_emu_Denmark_DSB_S_Tog_II</v>
      </c>
      <c r="F507" t="str">
        <f>"str_"&amp;Table1[[#This Row],[VEHIDCODE]]</f>
        <v>str_emu_Denmark_DSB_S_Tog_II</v>
      </c>
      <c r="G507">
        <v>8</v>
      </c>
      <c r="H507" t="s">
        <v>18</v>
      </c>
      <c r="I507">
        <v>1</v>
      </c>
      <c r="J507" t="s">
        <v>74</v>
      </c>
      <c r="K507">
        <v>56</v>
      </c>
      <c r="L507">
        <v>1966</v>
      </c>
      <c r="M507">
        <v>8</v>
      </c>
      <c r="N507" s="2" t="s">
        <v>24</v>
      </c>
      <c r="O507" t="b">
        <v>1</v>
      </c>
      <c r="P507" t="b">
        <v>1</v>
      </c>
      <c r="Q507" s="2"/>
      <c r="R507">
        <v>45</v>
      </c>
      <c r="S507">
        <v>1</v>
      </c>
      <c r="T507">
        <v>200</v>
      </c>
      <c r="U507" t="s">
        <v>709</v>
      </c>
      <c r="V507">
        <v>100</v>
      </c>
      <c r="W507" s="2">
        <v>0.14000000000000001</v>
      </c>
      <c r="AB507" t="b">
        <v>1</v>
      </c>
      <c r="AX507"/>
      <c r="BA507" s="2"/>
      <c r="BB507" s="2" t="b">
        <f>LEN(_xlfn.CONCAT(Table1[[#This Row],[TRACK_TYPE_STANDARD_GAUGE_RAILTYPE_OHLE]:[TRACK_TYPE_MTRO]]))&gt;0</f>
        <v>1</v>
      </c>
      <c r="BC507" s="7">
        <v>25</v>
      </c>
      <c r="BD507" t="s">
        <v>927</v>
      </c>
      <c r="BE507" t="s">
        <v>922</v>
      </c>
      <c r="BF507" t="s">
        <v>940</v>
      </c>
      <c r="BG5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7">
        <v>0</v>
      </c>
      <c r="BI507" t="s">
        <v>734</v>
      </c>
      <c r="BJ507" s="11">
        <v>42</v>
      </c>
      <c r="BK507" s="11">
        <v>8</v>
      </c>
      <c r="BL507" s="11">
        <v>45</v>
      </c>
      <c r="BM507">
        <v>0</v>
      </c>
      <c r="BN507" t="s">
        <v>692</v>
      </c>
      <c r="BO507" t="s">
        <v>694</v>
      </c>
      <c r="BP507" t="s">
        <v>701</v>
      </c>
      <c r="BQ507" t="s">
        <v>705</v>
      </c>
      <c r="BR507" t="s">
        <v>706</v>
      </c>
      <c r="BS507" t="s">
        <v>707</v>
      </c>
    </row>
    <row r="508" spans="1:71" hidden="1" x14ac:dyDescent="0.4">
      <c r="A508" s="2" t="s">
        <v>536</v>
      </c>
      <c r="B508" t="str">
        <f>_xlfn.TEXTAFTER(Table1[[#This Row],[VEHIDCODE]],"_")</f>
        <v>Denmark_DSB_S_Tog_IV</v>
      </c>
      <c r="C508" t="s">
        <v>744</v>
      </c>
      <c r="D508" t="b">
        <f>OR(ISNUMBER(SEARCH("wagon_",Table1[[#This Row],[FILENAMES_EXPECTED]])),ISNUMBER(SEARCH("coach_",Table1[[#This Row],[FILENAMES_EXPECTED]])))</f>
        <v>0</v>
      </c>
      <c r="E508" t="str">
        <f>"item_"&amp;Table1[[#This Row],[VEHIDCODE]]</f>
        <v>item_emu_Denmark_DSB_S_Tog_IV</v>
      </c>
      <c r="F508" t="str">
        <f>"str_"&amp;Table1[[#This Row],[VEHIDCODE]]</f>
        <v>str_emu_Denmark_DSB_S_Tog_IV</v>
      </c>
      <c r="G508">
        <v>5</v>
      </c>
      <c r="H508" t="s">
        <v>18</v>
      </c>
      <c r="I508">
        <v>1</v>
      </c>
      <c r="J508" t="s">
        <v>74</v>
      </c>
      <c r="K508">
        <v>42</v>
      </c>
      <c r="L508">
        <v>1996</v>
      </c>
      <c r="M508">
        <v>5</v>
      </c>
      <c r="N508" s="2" t="s">
        <v>24</v>
      </c>
      <c r="O508" t="b">
        <v>1</v>
      </c>
      <c r="P508" t="b">
        <v>1</v>
      </c>
      <c r="Q508" s="2"/>
      <c r="R508" t="s">
        <v>21</v>
      </c>
      <c r="S508">
        <v>1</v>
      </c>
      <c r="T508">
        <v>290</v>
      </c>
      <c r="U508" t="s">
        <v>709</v>
      </c>
      <c r="V508">
        <v>120</v>
      </c>
      <c r="W508" s="2">
        <v>0.47</v>
      </c>
      <c r="AB508" t="b">
        <v>1</v>
      </c>
      <c r="AX508"/>
      <c r="BA508" s="2"/>
      <c r="BB508" s="2" t="b">
        <f>LEN(_xlfn.CONCAT(Table1[[#This Row],[TRACK_TYPE_STANDARD_GAUGE_RAILTYPE_OHLE]:[TRACK_TYPE_MTRO]]))&gt;0</f>
        <v>1</v>
      </c>
      <c r="BC508" s="7">
        <v>25</v>
      </c>
      <c r="BD508" t="s">
        <v>927</v>
      </c>
      <c r="BE508" t="s">
        <v>922</v>
      </c>
      <c r="BF508" t="s">
        <v>940</v>
      </c>
      <c r="BG5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8">
        <v>0</v>
      </c>
      <c r="BI508" t="s">
        <v>734</v>
      </c>
      <c r="BJ508" s="11">
        <v>42</v>
      </c>
      <c r="BK508" s="11">
        <v>5</v>
      </c>
      <c r="BL508" s="11">
        <v>16</v>
      </c>
      <c r="BM508">
        <v>0</v>
      </c>
      <c r="BN508" t="s">
        <v>692</v>
      </c>
      <c r="BO508" t="s">
        <v>694</v>
      </c>
      <c r="BP508" t="s">
        <v>701</v>
      </c>
      <c r="BQ508" t="s">
        <v>705</v>
      </c>
      <c r="BR508" t="s">
        <v>706</v>
      </c>
      <c r="BS508" t="s">
        <v>707</v>
      </c>
    </row>
    <row r="509" spans="1:71" hidden="1" x14ac:dyDescent="0.4">
      <c r="A509" s="2" t="s">
        <v>537</v>
      </c>
      <c r="B509" t="str">
        <f>_xlfn.TEXTAFTER(Table1[[#This Row],[VEHIDCODE]],"_")</f>
        <v>Italy_ATAC_ECD_21_30</v>
      </c>
      <c r="C509" t="s">
        <v>744</v>
      </c>
      <c r="D509" t="b">
        <f>OR(ISNUMBER(SEARCH("wagon_",Table1[[#This Row],[FILENAMES_EXPECTED]])),ISNUMBER(SEARCH("coach_",Table1[[#This Row],[FILENAMES_EXPECTED]])))</f>
        <v>0</v>
      </c>
      <c r="E509" t="str">
        <f>"item_"&amp;Table1[[#This Row],[VEHIDCODE]]</f>
        <v>item_emu_Italy_ATAC_ECD_21_30</v>
      </c>
      <c r="F509" t="str">
        <f>"str_"&amp;Table1[[#This Row],[VEHIDCODE]]</f>
        <v>str_emu_Italy_ATAC_ECD_21_30</v>
      </c>
      <c r="G509">
        <v>8</v>
      </c>
      <c r="H509" t="s">
        <v>18</v>
      </c>
      <c r="I509">
        <v>1</v>
      </c>
      <c r="J509" t="s">
        <v>74</v>
      </c>
      <c r="K509">
        <v>34</v>
      </c>
      <c r="L509">
        <v>1932</v>
      </c>
      <c r="M509">
        <v>8</v>
      </c>
      <c r="N509" s="2" t="s">
        <v>24</v>
      </c>
      <c r="O509" t="b">
        <v>1</v>
      </c>
      <c r="P509" t="b">
        <v>1</v>
      </c>
      <c r="Q509" s="2"/>
      <c r="R509">
        <v>45</v>
      </c>
      <c r="S509">
        <v>1</v>
      </c>
      <c r="T509">
        <v>650</v>
      </c>
      <c r="U509" t="s">
        <v>709</v>
      </c>
      <c r="V509">
        <v>72</v>
      </c>
      <c r="W509" s="2">
        <v>0.34</v>
      </c>
      <c r="AB509" t="b">
        <v>1</v>
      </c>
      <c r="AX509"/>
      <c r="BA509" s="2"/>
      <c r="BB509" s="2" t="b">
        <f>LEN(_xlfn.CONCAT(Table1[[#This Row],[TRACK_TYPE_STANDARD_GAUGE_RAILTYPE_OHLE]:[TRACK_TYPE_MTRO]]))&gt;0</f>
        <v>1</v>
      </c>
      <c r="BC509" s="7">
        <v>25</v>
      </c>
      <c r="BD509" t="s">
        <v>924</v>
      </c>
      <c r="BE509" t="s">
        <v>922</v>
      </c>
      <c r="BF509" t="s">
        <v>940</v>
      </c>
      <c r="BG5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9">
        <v>0</v>
      </c>
      <c r="BI509" t="s">
        <v>734</v>
      </c>
      <c r="BJ509" s="11">
        <v>34</v>
      </c>
      <c r="BK509" s="11">
        <v>8</v>
      </c>
      <c r="BL509" s="11">
        <v>31</v>
      </c>
      <c r="BM509">
        <v>0</v>
      </c>
      <c r="BN509" t="s">
        <v>692</v>
      </c>
      <c r="BO509" t="s">
        <v>694</v>
      </c>
      <c r="BP509" t="s">
        <v>701</v>
      </c>
      <c r="BQ509" t="s">
        <v>705</v>
      </c>
      <c r="BR509" t="s">
        <v>706</v>
      </c>
      <c r="BS509" t="s">
        <v>707</v>
      </c>
    </row>
    <row r="510" spans="1:71" hidden="1" x14ac:dyDescent="0.4">
      <c r="A510" s="2" t="s">
        <v>538</v>
      </c>
      <c r="B510" t="str">
        <f>_xlfn.TEXTAFTER(Table1[[#This Row],[VEHIDCODE]],"_")</f>
        <v>Netherlands_NS_Mat24</v>
      </c>
      <c r="C510" t="s">
        <v>744</v>
      </c>
      <c r="D510" t="b">
        <f>OR(ISNUMBER(SEARCH("wagon_",Table1[[#This Row],[FILENAMES_EXPECTED]])),ISNUMBER(SEARCH("coach_",Table1[[#This Row],[FILENAMES_EXPECTED]])))</f>
        <v>0</v>
      </c>
      <c r="E510" t="str">
        <f>"item_"&amp;Table1[[#This Row],[VEHIDCODE]]</f>
        <v>item_emu_Netherlands_NS_Mat24</v>
      </c>
      <c r="F510" t="str">
        <f>"str_"&amp;Table1[[#This Row],[VEHIDCODE]]</f>
        <v>str_emu_Netherlands_NS_Mat24</v>
      </c>
      <c r="G510">
        <v>8</v>
      </c>
      <c r="H510" t="s">
        <v>18</v>
      </c>
      <c r="I510">
        <v>1</v>
      </c>
      <c r="J510" t="s">
        <v>74</v>
      </c>
      <c r="K510">
        <v>30</v>
      </c>
      <c r="L510">
        <v>1924</v>
      </c>
      <c r="M510">
        <v>8</v>
      </c>
      <c r="N510" s="2" t="s">
        <v>24</v>
      </c>
      <c r="O510" t="b">
        <v>1</v>
      </c>
      <c r="P510" t="b">
        <v>1</v>
      </c>
      <c r="Q510" s="2"/>
      <c r="R510">
        <v>45</v>
      </c>
      <c r="S510">
        <v>1</v>
      </c>
      <c r="T510">
        <v>709</v>
      </c>
      <c r="U510" t="s">
        <v>709</v>
      </c>
      <c r="V510">
        <v>100</v>
      </c>
      <c r="W510" s="2">
        <v>0.41</v>
      </c>
      <c r="AB510" t="b">
        <v>1</v>
      </c>
      <c r="AX510"/>
      <c r="BA510" s="2"/>
      <c r="BB510" s="2" t="b">
        <f>LEN(_xlfn.CONCAT(Table1[[#This Row],[TRACK_TYPE_STANDARD_GAUGE_RAILTYPE_OHLE]:[TRACK_TYPE_MTRO]]))&gt;0</f>
        <v>1</v>
      </c>
      <c r="BC510" s="7">
        <v>25</v>
      </c>
      <c r="BD510" t="s">
        <v>923</v>
      </c>
      <c r="BE510" t="s">
        <v>922</v>
      </c>
      <c r="BF510" t="s">
        <v>940</v>
      </c>
      <c r="BG5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0">
        <v>0</v>
      </c>
      <c r="BI510" t="s">
        <v>734</v>
      </c>
      <c r="BJ510" s="11">
        <v>30</v>
      </c>
      <c r="BK510" s="11">
        <v>8</v>
      </c>
      <c r="BL510" s="11">
        <v>30</v>
      </c>
      <c r="BM510">
        <v>0</v>
      </c>
      <c r="BN510" t="s">
        <v>692</v>
      </c>
      <c r="BO510" t="s">
        <v>694</v>
      </c>
      <c r="BP510" t="s">
        <v>701</v>
      </c>
      <c r="BQ510" t="s">
        <v>705</v>
      </c>
      <c r="BR510" t="s">
        <v>706</v>
      </c>
      <c r="BS510" t="s">
        <v>707</v>
      </c>
    </row>
    <row r="511" spans="1:71" hidden="1" x14ac:dyDescent="0.4">
      <c r="A511" s="2" t="s">
        <v>539</v>
      </c>
      <c r="B511" t="str">
        <f>_xlfn.TEXTAFTER(Table1[[#This Row],[VEHIDCODE]],"_")</f>
        <v>Netherlands_NS_Mat36</v>
      </c>
      <c r="C511" t="s">
        <v>744</v>
      </c>
      <c r="D511" t="b">
        <f>OR(ISNUMBER(SEARCH("wagon_",Table1[[#This Row],[FILENAMES_EXPECTED]])),ISNUMBER(SEARCH("coach_",Table1[[#This Row],[FILENAMES_EXPECTED]])))</f>
        <v>0</v>
      </c>
      <c r="E511" t="str">
        <f>"item_"&amp;Table1[[#This Row],[VEHIDCODE]]</f>
        <v>item_emu_Netherlands_NS_Mat36</v>
      </c>
      <c r="F511" t="str">
        <f>"str_"&amp;Table1[[#This Row],[VEHIDCODE]]</f>
        <v>str_emu_Netherlands_NS_Mat36</v>
      </c>
      <c r="G511">
        <v>8</v>
      </c>
      <c r="H511" t="s">
        <v>18</v>
      </c>
      <c r="I511">
        <v>1</v>
      </c>
      <c r="J511" t="s">
        <v>74</v>
      </c>
      <c r="K511">
        <v>52</v>
      </c>
      <c r="L511">
        <v>1936</v>
      </c>
      <c r="M511">
        <v>8</v>
      </c>
      <c r="N511" s="2" t="s">
        <v>24</v>
      </c>
      <c r="O511" t="b">
        <v>1</v>
      </c>
      <c r="P511" t="b">
        <v>1</v>
      </c>
      <c r="Q511" s="2"/>
      <c r="R511">
        <v>45</v>
      </c>
      <c r="S511">
        <v>1</v>
      </c>
      <c r="T511">
        <v>533</v>
      </c>
      <c r="U511" t="s">
        <v>709</v>
      </c>
      <c r="V511">
        <v>125</v>
      </c>
      <c r="W511" s="2">
        <v>0.38</v>
      </c>
      <c r="AB511" t="b">
        <v>1</v>
      </c>
      <c r="AX511"/>
      <c r="BA511" s="2"/>
      <c r="BB511" s="2" t="b">
        <f>LEN(_xlfn.CONCAT(Table1[[#This Row],[TRACK_TYPE_STANDARD_GAUGE_RAILTYPE_OHLE]:[TRACK_TYPE_MTRO]]))&gt;0</f>
        <v>1</v>
      </c>
      <c r="BC511" s="7">
        <v>25</v>
      </c>
      <c r="BD511" t="s">
        <v>923</v>
      </c>
      <c r="BE511" t="s">
        <v>922</v>
      </c>
      <c r="BF511" t="s">
        <v>940</v>
      </c>
      <c r="BG5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1">
        <v>0</v>
      </c>
      <c r="BI511" t="s">
        <v>734</v>
      </c>
      <c r="BJ511" s="11">
        <v>52</v>
      </c>
      <c r="BK511" s="11">
        <v>8</v>
      </c>
      <c r="BL511" s="11">
        <v>45</v>
      </c>
      <c r="BM511">
        <v>0</v>
      </c>
      <c r="BN511" t="s">
        <v>692</v>
      </c>
      <c r="BO511" t="s">
        <v>694</v>
      </c>
      <c r="BP511" t="s">
        <v>701</v>
      </c>
      <c r="BQ511" t="s">
        <v>705</v>
      </c>
      <c r="BR511" t="s">
        <v>706</v>
      </c>
      <c r="BS511" t="s">
        <v>707</v>
      </c>
    </row>
    <row r="512" spans="1:71" hidden="1" x14ac:dyDescent="0.4">
      <c r="A512" s="2" t="s">
        <v>540</v>
      </c>
      <c r="B512" t="str">
        <f>_xlfn.TEXTAFTER(Table1[[#This Row],[VEHIDCODE]],"_")</f>
        <v>Netherlands_NS_Mat54</v>
      </c>
      <c r="C512" t="s">
        <v>744</v>
      </c>
      <c r="D512" t="b">
        <f>OR(ISNUMBER(SEARCH("wagon_",Table1[[#This Row],[FILENAMES_EXPECTED]])),ISNUMBER(SEARCH("coach_",Table1[[#This Row],[FILENAMES_EXPECTED]])))</f>
        <v>0</v>
      </c>
      <c r="E512" t="str">
        <f>"item_"&amp;Table1[[#This Row],[VEHIDCODE]]</f>
        <v>item_emu_Netherlands_NS_Mat54</v>
      </c>
      <c r="F512" t="str">
        <f>"str_"&amp;Table1[[#This Row],[VEHIDCODE]]</f>
        <v>str_emu_Netherlands_NS_Mat54</v>
      </c>
      <c r="G512">
        <v>8</v>
      </c>
      <c r="H512" t="s">
        <v>18</v>
      </c>
      <c r="I512">
        <v>1</v>
      </c>
      <c r="J512" t="s">
        <v>74</v>
      </c>
      <c r="K512">
        <v>60</v>
      </c>
      <c r="L512">
        <v>1954</v>
      </c>
      <c r="M512">
        <v>8</v>
      </c>
      <c r="N512" s="2" t="s">
        <v>24</v>
      </c>
      <c r="O512" t="b">
        <v>1</v>
      </c>
      <c r="P512" t="b">
        <v>1</v>
      </c>
      <c r="Q512" s="2"/>
      <c r="R512">
        <v>45</v>
      </c>
      <c r="S512">
        <v>1</v>
      </c>
      <c r="T512">
        <v>910</v>
      </c>
      <c r="U512" t="s">
        <v>709</v>
      </c>
      <c r="V512">
        <v>140</v>
      </c>
      <c r="W512" s="2">
        <v>0.28000000000000003</v>
      </c>
      <c r="AB512" t="b">
        <v>1</v>
      </c>
      <c r="AX512"/>
      <c r="BA512" s="2"/>
      <c r="BB512" s="2" t="b">
        <f>LEN(_xlfn.CONCAT(Table1[[#This Row],[TRACK_TYPE_STANDARD_GAUGE_RAILTYPE_OHLE]:[TRACK_TYPE_MTRO]]))&gt;0</f>
        <v>1</v>
      </c>
      <c r="BC512" s="7">
        <v>25</v>
      </c>
      <c r="BD512" t="s">
        <v>923</v>
      </c>
      <c r="BE512" t="s">
        <v>922</v>
      </c>
      <c r="BF512" t="s">
        <v>940</v>
      </c>
      <c r="BG5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2">
        <v>0</v>
      </c>
      <c r="BI512" t="s">
        <v>734</v>
      </c>
      <c r="BJ512" s="11">
        <v>60</v>
      </c>
      <c r="BK512" s="11">
        <v>8</v>
      </c>
      <c r="BL512" s="11">
        <v>55</v>
      </c>
      <c r="BM512">
        <v>0</v>
      </c>
      <c r="BN512" t="s">
        <v>692</v>
      </c>
      <c r="BO512" t="s">
        <v>694</v>
      </c>
      <c r="BP512" t="s">
        <v>701</v>
      </c>
      <c r="BQ512" t="s">
        <v>705</v>
      </c>
      <c r="BR512" t="s">
        <v>706</v>
      </c>
      <c r="BS512" t="s">
        <v>707</v>
      </c>
    </row>
    <row r="513" spans="1:71" hidden="1" x14ac:dyDescent="0.4">
      <c r="A513" s="2" t="s">
        <v>541</v>
      </c>
      <c r="B513" t="str">
        <f>_xlfn.TEXTAFTER(Table1[[#This Row],[VEHIDCODE]],"_")</f>
        <v>Netherlands_NS_Plan_Y</v>
      </c>
      <c r="C513" t="s">
        <v>744</v>
      </c>
      <c r="D513" t="b">
        <f>OR(ISNUMBER(SEARCH("wagon_",Table1[[#This Row],[FILENAMES_EXPECTED]])),ISNUMBER(SEARCH("coach_",Table1[[#This Row],[FILENAMES_EXPECTED]])))</f>
        <v>0</v>
      </c>
      <c r="E513" t="str">
        <f>"item_"&amp;Table1[[#This Row],[VEHIDCODE]]</f>
        <v>item_emu_Netherlands_NS_Plan_Y</v>
      </c>
      <c r="F513" t="str">
        <f>"str_"&amp;Table1[[#This Row],[VEHIDCODE]]</f>
        <v>str_emu_Netherlands_NS_Plan_Y</v>
      </c>
      <c r="G513">
        <v>8</v>
      </c>
      <c r="H513" t="s">
        <v>18</v>
      </c>
      <c r="I513">
        <v>1</v>
      </c>
      <c r="J513" t="s">
        <v>74</v>
      </c>
      <c r="K513">
        <v>66</v>
      </c>
      <c r="L513">
        <v>1975</v>
      </c>
      <c r="M513">
        <v>8</v>
      </c>
      <c r="N513" s="2" t="s">
        <v>24</v>
      </c>
      <c r="O513" t="b">
        <v>1</v>
      </c>
      <c r="P513" t="b">
        <v>1</v>
      </c>
      <c r="Q513" s="2"/>
      <c r="R513">
        <v>45</v>
      </c>
      <c r="S513">
        <v>1</v>
      </c>
      <c r="T513">
        <v>572</v>
      </c>
      <c r="U513" t="s">
        <v>709</v>
      </c>
      <c r="V513">
        <v>125</v>
      </c>
      <c r="W513" s="2">
        <v>0.19</v>
      </c>
      <c r="AB513" t="b">
        <v>1</v>
      </c>
      <c r="AX513"/>
      <c r="BA513" s="2"/>
      <c r="BB513" s="2" t="b">
        <f>LEN(_xlfn.CONCAT(Table1[[#This Row],[TRACK_TYPE_STANDARD_GAUGE_RAILTYPE_OHLE]:[TRACK_TYPE_MTRO]]))&gt;0</f>
        <v>1</v>
      </c>
      <c r="BC513" s="7">
        <v>25</v>
      </c>
      <c r="BD513" t="s">
        <v>923</v>
      </c>
      <c r="BE513" t="s">
        <v>922</v>
      </c>
      <c r="BF513" t="s">
        <v>940</v>
      </c>
      <c r="BG5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3">
        <v>0</v>
      </c>
      <c r="BI513" t="s">
        <v>734</v>
      </c>
      <c r="BJ513" s="11">
        <v>66</v>
      </c>
      <c r="BK513" s="11">
        <v>8</v>
      </c>
      <c r="BL513" s="11">
        <v>53</v>
      </c>
      <c r="BM513">
        <v>0</v>
      </c>
      <c r="BN513" t="s">
        <v>692</v>
      </c>
      <c r="BO513" t="s">
        <v>694</v>
      </c>
      <c r="BP513" t="s">
        <v>701</v>
      </c>
      <c r="BQ513" t="s">
        <v>705</v>
      </c>
      <c r="BR513" t="s">
        <v>706</v>
      </c>
      <c r="BS513" t="s">
        <v>707</v>
      </c>
    </row>
    <row r="514" spans="1:71" hidden="1" x14ac:dyDescent="0.4">
      <c r="A514" s="2" t="s">
        <v>542</v>
      </c>
      <c r="B514" t="str">
        <f>_xlfn.TEXTAFTER(Table1[[#This Row],[VEHIDCODE]],"_")</f>
        <v>Netherlands_NS_ICM_4000</v>
      </c>
      <c r="C514" t="s">
        <v>744</v>
      </c>
      <c r="D514" t="b">
        <f>OR(ISNUMBER(SEARCH("wagon_",Table1[[#This Row],[FILENAMES_EXPECTED]])),ISNUMBER(SEARCH("coach_",Table1[[#This Row],[FILENAMES_EXPECTED]])))</f>
        <v>0</v>
      </c>
      <c r="E514" t="str">
        <f>"item_"&amp;Table1[[#This Row],[VEHIDCODE]]</f>
        <v>item_emu_Netherlands_NS_ICM_4000</v>
      </c>
      <c r="F514" t="str">
        <f>"str_"&amp;Table1[[#This Row],[VEHIDCODE]]</f>
        <v>str_emu_Netherlands_NS_ICM_4000</v>
      </c>
      <c r="G514">
        <v>8</v>
      </c>
      <c r="H514" t="s">
        <v>18</v>
      </c>
      <c r="I514">
        <v>1</v>
      </c>
      <c r="J514" t="s">
        <v>74</v>
      </c>
      <c r="K514">
        <v>61</v>
      </c>
      <c r="L514">
        <v>1979</v>
      </c>
      <c r="M514">
        <v>8</v>
      </c>
      <c r="N514" s="2" t="s">
        <v>24</v>
      </c>
      <c r="O514" t="b">
        <v>1</v>
      </c>
      <c r="P514" t="b">
        <v>1</v>
      </c>
      <c r="Q514" s="2"/>
      <c r="R514">
        <v>45</v>
      </c>
      <c r="S514">
        <v>1</v>
      </c>
      <c r="T514">
        <v>600</v>
      </c>
      <c r="U514" t="s">
        <v>709</v>
      </c>
      <c r="V514">
        <v>160</v>
      </c>
      <c r="W514" s="2">
        <v>0.48</v>
      </c>
      <c r="AB514" t="b">
        <v>1</v>
      </c>
      <c r="AX514"/>
      <c r="BA514" s="2"/>
      <c r="BB514" s="2" t="b">
        <f>LEN(_xlfn.CONCAT(Table1[[#This Row],[TRACK_TYPE_STANDARD_GAUGE_RAILTYPE_OHLE]:[TRACK_TYPE_MTRO]]))&gt;0</f>
        <v>1</v>
      </c>
      <c r="BC514" s="7">
        <v>25</v>
      </c>
      <c r="BD514" t="s">
        <v>923</v>
      </c>
      <c r="BE514" t="s">
        <v>922</v>
      </c>
      <c r="BF514" t="s">
        <v>940</v>
      </c>
      <c r="BG5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4">
        <v>0</v>
      </c>
      <c r="BI514" t="s">
        <v>734</v>
      </c>
      <c r="BJ514" s="11">
        <v>61</v>
      </c>
      <c r="BK514" s="11">
        <v>8</v>
      </c>
      <c r="BL514" s="11">
        <v>49</v>
      </c>
      <c r="BM514">
        <v>0</v>
      </c>
      <c r="BN514" t="s">
        <v>692</v>
      </c>
      <c r="BO514" t="s">
        <v>694</v>
      </c>
      <c r="BP514" t="s">
        <v>701</v>
      </c>
      <c r="BQ514" t="s">
        <v>705</v>
      </c>
      <c r="BR514" t="s">
        <v>706</v>
      </c>
      <c r="BS514" t="s">
        <v>707</v>
      </c>
    </row>
    <row r="515" spans="1:71" hidden="1" x14ac:dyDescent="0.4">
      <c r="A515" s="2" t="s">
        <v>543</v>
      </c>
      <c r="B515" t="str">
        <f>_xlfn.TEXTAFTER(Table1[[#This Row],[VEHIDCODE]],"_")</f>
        <v>Netherlands_NS_DD_IRM_VIRM</v>
      </c>
      <c r="C515" t="s">
        <v>744</v>
      </c>
      <c r="D515" t="b">
        <f>OR(ISNUMBER(SEARCH("wagon_",Table1[[#This Row],[FILENAMES_EXPECTED]])),ISNUMBER(SEARCH("coach_",Table1[[#This Row],[FILENAMES_EXPECTED]])))</f>
        <v>0</v>
      </c>
      <c r="E515" t="str">
        <f>"item_"&amp;Table1[[#This Row],[VEHIDCODE]]</f>
        <v>item_emu_Netherlands_NS_DD_IRM_VIRM</v>
      </c>
      <c r="F515" t="str">
        <f>"str_"&amp;Table1[[#This Row],[VEHIDCODE]]</f>
        <v>str_emu_Netherlands_NS_DD_IRM_VIRM</v>
      </c>
      <c r="G515">
        <v>8</v>
      </c>
      <c r="H515" t="s">
        <v>18</v>
      </c>
      <c r="I515">
        <v>1</v>
      </c>
      <c r="J515" t="s">
        <v>74</v>
      </c>
      <c r="K515">
        <v>91</v>
      </c>
      <c r="L515">
        <v>1994</v>
      </c>
      <c r="M515">
        <v>8</v>
      </c>
      <c r="N515" s="2" t="s">
        <v>24</v>
      </c>
      <c r="O515" t="b">
        <v>1</v>
      </c>
      <c r="P515" t="b">
        <v>1</v>
      </c>
      <c r="Q515" s="2"/>
      <c r="R515" t="s">
        <v>21</v>
      </c>
      <c r="S515">
        <v>1</v>
      </c>
      <c r="T515">
        <v>718</v>
      </c>
      <c r="U515" t="s">
        <v>709</v>
      </c>
      <c r="V515">
        <v>160</v>
      </c>
      <c r="W515" s="2">
        <v>0.26</v>
      </c>
      <c r="AB515" t="b">
        <v>1</v>
      </c>
      <c r="AX515"/>
      <c r="BA515" s="2"/>
      <c r="BB515" s="2" t="b">
        <f>LEN(_xlfn.CONCAT(Table1[[#This Row],[TRACK_TYPE_STANDARD_GAUGE_RAILTYPE_OHLE]:[TRACK_TYPE_MTRO]]))&gt;0</f>
        <v>1</v>
      </c>
      <c r="BC515" s="7">
        <v>25</v>
      </c>
      <c r="BD515" t="s">
        <v>923</v>
      </c>
      <c r="BE515" t="s">
        <v>922</v>
      </c>
      <c r="BF515" t="s">
        <v>940</v>
      </c>
      <c r="BG5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5">
        <v>0</v>
      </c>
      <c r="BI515" t="s">
        <v>734</v>
      </c>
      <c r="BJ515" s="11">
        <v>91</v>
      </c>
      <c r="BK515" s="11">
        <v>8</v>
      </c>
      <c r="BL515" s="11">
        <v>59</v>
      </c>
      <c r="BM515">
        <v>0</v>
      </c>
      <c r="BN515" t="s">
        <v>692</v>
      </c>
      <c r="BO515" t="s">
        <v>694</v>
      </c>
      <c r="BP515" t="s">
        <v>701</v>
      </c>
      <c r="BQ515" t="s">
        <v>705</v>
      </c>
      <c r="BR515" t="s">
        <v>706</v>
      </c>
      <c r="BS515" t="s">
        <v>707</v>
      </c>
    </row>
    <row r="516" spans="1:71" hidden="1" x14ac:dyDescent="0.4">
      <c r="A516" s="2" t="s">
        <v>544</v>
      </c>
      <c r="B516" t="str">
        <f>_xlfn.TEXTAFTER(Table1[[#This Row],[VEHIDCODE]],"_")</f>
        <v>Netherlands_NS_mDDm_390</v>
      </c>
      <c r="C516" t="s">
        <v>744</v>
      </c>
      <c r="D516" t="b">
        <f>OR(ISNUMBER(SEARCH("wagon_",Table1[[#This Row],[FILENAMES_EXPECTED]])),ISNUMBER(SEARCH("coach_",Table1[[#This Row],[FILENAMES_EXPECTED]])))</f>
        <v>0</v>
      </c>
      <c r="E516" t="str">
        <f>"item_"&amp;Table1[[#This Row],[VEHIDCODE]]</f>
        <v>item_emu_Netherlands_NS_mDDm_390</v>
      </c>
      <c r="F516" t="str">
        <f>"str_"&amp;Table1[[#This Row],[VEHIDCODE]]</f>
        <v>str_emu_Netherlands_NS_mDDm_390</v>
      </c>
      <c r="G516">
        <v>8</v>
      </c>
      <c r="H516" t="s">
        <v>18</v>
      </c>
      <c r="I516">
        <v>1</v>
      </c>
      <c r="J516" t="s">
        <v>74</v>
      </c>
      <c r="K516">
        <v>48</v>
      </c>
      <c r="L516">
        <v>1997</v>
      </c>
      <c r="M516">
        <v>8</v>
      </c>
      <c r="N516" s="2" t="s">
        <v>24</v>
      </c>
      <c r="O516" t="b">
        <v>1</v>
      </c>
      <c r="P516" t="b">
        <v>1</v>
      </c>
      <c r="Q516" s="2"/>
      <c r="R516" t="s">
        <v>21</v>
      </c>
      <c r="S516">
        <v>1</v>
      </c>
      <c r="T516">
        <v>3219</v>
      </c>
      <c r="U516" t="s">
        <v>709</v>
      </c>
      <c r="V516">
        <v>160</v>
      </c>
      <c r="W516" s="2">
        <v>0.31</v>
      </c>
      <c r="AB516" t="b">
        <v>1</v>
      </c>
      <c r="AX516"/>
      <c r="BA516" s="2"/>
      <c r="BB516" s="2" t="b">
        <f>LEN(_xlfn.CONCAT(Table1[[#This Row],[TRACK_TYPE_STANDARD_GAUGE_RAILTYPE_OHLE]:[TRACK_TYPE_MTRO]]))&gt;0</f>
        <v>1</v>
      </c>
      <c r="BC516" s="7">
        <v>25</v>
      </c>
      <c r="BD516" t="s">
        <v>923</v>
      </c>
      <c r="BE516" t="s">
        <v>922</v>
      </c>
      <c r="BF516" t="s">
        <v>940</v>
      </c>
      <c r="BG5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6">
        <v>0</v>
      </c>
      <c r="BI516" t="s">
        <v>734</v>
      </c>
      <c r="BJ516" s="11">
        <v>95</v>
      </c>
      <c r="BK516" s="11">
        <v>8</v>
      </c>
      <c r="BL516" s="11">
        <v>76</v>
      </c>
      <c r="BM516">
        <v>0</v>
      </c>
      <c r="BN516" t="s">
        <v>692</v>
      </c>
      <c r="BO516" t="s">
        <v>694</v>
      </c>
      <c r="BP516" t="s">
        <v>701</v>
      </c>
      <c r="BQ516" t="s">
        <v>705</v>
      </c>
      <c r="BR516" t="s">
        <v>706</v>
      </c>
      <c r="BS516" t="s">
        <v>707</v>
      </c>
    </row>
    <row r="517" spans="1:71" hidden="1" x14ac:dyDescent="0.4">
      <c r="A517" s="2" t="s">
        <v>545</v>
      </c>
      <c r="B517" t="str">
        <f>_xlfn.TEXTAFTER(Table1[[#This Row],[VEHIDCODE]],"_")</f>
        <v>Poland_PKP_EW90</v>
      </c>
      <c r="C517" t="s">
        <v>744</v>
      </c>
      <c r="D517" t="b">
        <f>OR(ISNUMBER(SEARCH("wagon_",Table1[[#This Row],[FILENAMES_EXPECTED]])),ISNUMBER(SEARCH("coach_",Table1[[#This Row],[FILENAMES_EXPECTED]])))</f>
        <v>0</v>
      </c>
      <c r="E517" t="str">
        <f>"item_"&amp;Table1[[#This Row],[VEHIDCODE]]</f>
        <v>item_emu_Poland_PKP_EW90</v>
      </c>
      <c r="F517" t="str">
        <f>"str_"&amp;Table1[[#This Row],[VEHIDCODE]]</f>
        <v>str_emu_Poland_PKP_EW90</v>
      </c>
      <c r="G517">
        <v>8</v>
      </c>
      <c r="H517" t="s">
        <v>18</v>
      </c>
      <c r="I517">
        <v>1</v>
      </c>
      <c r="J517" t="s">
        <v>74</v>
      </c>
      <c r="K517">
        <v>65</v>
      </c>
      <c r="L517">
        <v>1924</v>
      </c>
      <c r="M517">
        <v>8</v>
      </c>
      <c r="N517" s="2" t="s">
        <v>24</v>
      </c>
      <c r="O517" t="b">
        <v>1</v>
      </c>
      <c r="P517" t="b">
        <v>1</v>
      </c>
      <c r="Q517" s="2"/>
      <c r="R517">
        <v>45</v>
      </c>
      <c r="S517">
        <v>1</v>
      </c>
      <c r="T517">
        <v>413</v>
      </c>
      <c r="U517" t="s">
        <v>709</v>
      </c>
      <c r="V517">
        <v>80</v>
      </c>
      <c r="W517" s="2">
        <v>0.11</v>
      </c>
      <c r="AB517" t="b">
        <v>1</v>
      </c>
      <c r="AX517"/>
      <c r="BA517" s="2"/>
      <c r="BB517" s="2" t="b">
        <f>LEN(_xlfn.CONCAT(Table1[[#This Row],[TRACK_TYPE_STANDARD_GAUGE_RAILTYPE_OHLE]:[TRACK_TYPE_MTRO]]))&gt;0</f>
        <v>1</v>
      </c>
      <c r="BC517" s="7">
        <v>25</v>
      </c>
      <c r="BD517" t="s">
        <v>929</v>
      </c>
      <c r="BE517" t="s">
        <v>922</v>
      </c>
      <c r="BF517" t="s">
        <v>940</v>
      </c>
      <c r="BG5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7">
        <v>0</v>
      </c>
      <c r="BI517" t="s">
        <v>734</v>
      </c>
      <c r="BJ517" s="11">
        <v>65</v>
      </c>
      <c r="BK517" s="11">
        <v>8</v>
      </c>
      <c r="BL517" s="11">
        <v>38</v>
      </c>
      <c r="BM517">
        <v>0</v>
      </c>
      <c r="BN517" t="s">
        <v>692</v>
      </c>
      <c r="BO517" t="s">
        <v>694</v>
      </c>
      <c r="BP517" t="s">
        <v>701</v>
      </c>
      <c r="BQ517" t="s">
        <v>705</v>
      </c>
      <c r="BR517" t="s">
        <v>706</v>
      </c>
      <c r="BS517" t="s">
        <v>707</v>
      </c>
    </row>
    <row r="518" spans="1:71" hidden="1" x14ac:dyDescent="0.4">
      <c r="A518" s="2" t="s">
        <v>546</v>
      </c>
      <c r="B518" t="str">
        <f>_xlfn.TEXTAFTER(Table1[[#This Row],[VEHIDCODE]],"_")</f>
        <v>Italy_FS_ETR200</v>
      </c>
      <c r="C518" t="s">
        <v>744</v>
      </c>
      <c r="D518" t="b">
        <f>OR(ISNUMBER(SEARCH("wagon_",Table1[[#This Row],[FILENAMES_EXPECTED]])),ISNUMBER(SEARCH("coach_",Table1[[#This Row],[FILENAMES_EXPECTED]])))</f>
        <v>0</v>
      </c>
      <c r="E518" t="str">
        <f>"item_"&amp;Table1[[#This Row],[VEHIDCODE]]</f>
        <v>item_emu_Italy_FS_ETR200</v>
      </c>
      <c r="F518" t="str">
        <f>"str_"&amp;Table1[[#This Row],[VEHIDCODE]]</f>
        <v>str_emu_Italy_FS_ETR200</v>
      </c>
      <c r="G518">
        <v>8</v>
      </c>
      <c r="H518" t="s">
        <v>18</v>
      </c>
      <c r="I518">
        <v>1</v>
      </c>
      <c r="J518" t="s">
        <v>74</v>
      </c>
      <c r="K518">
        <v>35</v>
      </c>
      <c r="L518">
        <v>1937</v>
      </c>
      <c r="M518">
        <v>8</v>
      </c>
      <c r="N518" s="2" t="s">
        <v>480</v>
      </c>
      <c r="O518" t="b">
        <v>1</v>
      </c>
      <c r="P518" t="b">
        <v>1</v>
      </c>
      <c r="Q518" s="2"/>
      <c r="R518">
        <v>45</v>
      </c>
      <c r="S518">
        <v>1</v>
      </c>
      <c r="T518">
        <v>482</v>
      </c>
      <c r="U518" t="s">
        <v>709</v>
      </c>
      <c r="V518">
        <v>160</v>
      </c>
      <c r="W518" s="2">
        <v>0.18</v>
      </c>
      <c r="AA518" t="b">
        <v>1</v>
      </c>
      <c r="AX518"/>
      <c r="BA518" s="2"/>
      <c r="BB518" s="2" t="b">
        <f>LEN(_xlfn.CONCAT(Table1[[#This Row],[TRACK_TYPE_STANDARD_GAUGE_RAILTYPE_OHLE]:[TRACK_TYPE_MTRO]]))&gt;0</f>
        <v>1</v>
      </c>
      <c r="BC518" s="7">
        <v>25</v>
      </c>
      <c r="BD518" t="s">
        <v>924</v>
      </c>
      <c r="BE518" t="s">
        <v>922</v>
      </c>
      <c r="BF518" t="s">
        <v>940</v>
      </c>
      <c r="BG5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8">
        <v>0</v>
      </c>
      <c r="BI518" t="s">
        <v>734</v>
      </c>
      <c r="BJ518" s="11">
        <v>35</v>
      </c>
      <c r="BK518" s="11">
        <v>8</v>
      </c>
      <c r="BL518" s="11">
        <v>41</v>
      </c>
      <c r="BM518">
        <v>0</v>
      </c>
      <c r="BN518" t="s">
        <v>692</v>
      </c>
      <c r="BO518" t="s">
        <v>694</v>
      </c>
      <c r="BP518" t="s">
        <v>701</v>
      </c>
      <c r="BQ518" t="s">
        <v>705</v>
      </c>
      <c r="BR518" t="s">
        <v>706</v>
      </c>
      <c r="BS518" t="s">
        <v>707</v>
      </c>
    </row>
    <row r="519" spans="1:71" hidden="1" x14ac:dyDescent="0.4">
      <c r="A519" s="2" t="s">
        <v>547</v>
      </c>
      <c r="B519" t="str">
        <f>_xlfn.TEXTAFTER(Table1[[#This Row],[VEHIDCODE]],"_")</f>
        <v>Italy_FS_ETR300_Settebello</v>
      </c>
      <c r="C519" t="s">
        <v>744</v>
      </c>
      <c r="D519" t="b">
        <f>OR(ISNUMBER(SEARCH("wagon_",Table1[[#This Row],[FILENAMES_EXPECTED]])),ISNUMBER(SEARCH("coach_",Table1[[#This Row],[FILENAMES_EXPECTED]])))</f>
        <v>0</v>
      </c>
      <c r="E519" t="str">
        <f>"item_"&amp;Table1[[#This Row],[VEHIDCODE]]</f>
        <v>item_emu_Italy_FS_ETR300_Settebello</v>
      </c>
      <c r="F519" t="str">
        <f>"str_"&amp;Table1[[#This Row],[VEHIDCODE]]</f>
        <v>str_emu_Italy_FS_ETR300_Settebello</v>
      </c>
      <c r="G519">
        <v>8</v>
      </c>
      <c r="H519" t="s">
        <v>18</v>
      </c>
      <c r="I519">
        <v>1</v>
      </c>
      <c r="J519" t="s">
        <v>74</v>
      </c>
      <c r="K519">
        <v>28</v>
      </c>
      <c r="L519">
        <v>1952</v>
      </c>
      <c r="M519">
        <v>8</v>
      </c>
      <c r="N519" s="2" t="s">
        <v>480</v>
      </c>
      <c r="O519" t="b">
        <v>1</v>
      </c>
      <c r="P519" t="b">
        <v>1</v>
      </c>
      <c r="Q519" s="2"/>
      <c r="R519">
        <v>45</v>
      </c>
      <c r="S519">
        <v>1</v>
      </c>
      <c r="T519">
        <v>500</v>
      </c>
      <c r="U519" t="s">
        <v>709</v>
      </c>
      <c r="V519">
        <v>200</v>
      </c>
      <c r="W519" s="2">
        <v>0.36</v>
      </c>
      <c r="AA519" t="b">
        <v>1</v>
      </c>
      <c r="AX519"/>
      <c r="BA519" s="2"/>
      <c r="BB519" s="2" t="b">
        <f>LEN(_xlfn.CONCAT(Table1[[#This Row],[TRACK_TYPE_STANDARD_GAUGE_RAILTYPE_OHLE]:[TRACK_TYPE_MTRO]]))&gt;0</f>
        <v>1</v>
      </c>
      <c r="BC519" s="7">
        <v>25</v>
      </c>
      <c r="BD519" t="s">
        <v>924</v>
      </c>
      <c r="BE519" t="s">
        <v>922</v>
      </c>
      <c r="BF519" t="s">
        <v>940</v>
      </c>
      <c r="BG5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9">
        <v>0</v>
      </c>
      <c r="BI519" t="s">
        <v>734</v>
      </c>
      <c r="BJ519" s="11">
        <v>28</v>
      </c>
      <c r="BK519" s="11">
        <v>8</v>
      </c>
      <c r="BL519" s="11">
        <v>52</v>
      </c>
      <c r="BM519">
        <v>0</v>
      </c>
      <c r="BN519" t="s">
        <v>692</v>
      </c>
      <c r="BO519" t="s">
        <v>694</v>
      </c>
      <c r="BP519" t="s">
        <v>701</v>
      </c>
      <c r="BQ519" t="s">
        <v>705</v>
      </c>
      <c r="BR519" t="s">
        <v>706</v>
      </c>
      <c r="BS519" t="s">
        <v>707</v>
      </c>
    </row>
    <row r="520" spans="1:71" hidden="1" x14ac:dyDescent="0.4">
      <c r="A520" s="2" t="s">
        <v>548</v>
      </c>
      <c r="B520" t="str">
        <f>_xlfn.TEXTAFTER(Table1[[#This Row],[VEHIDCODE]],"_")</f>
        <v>Italy_FS_ETR500</v>
      </c>
      <c r="C520" t="s">
        <v>744</v>
      </c>
      <c r="D520" t="b">
        <f>OR(ISNUMBER(SEARCH("wagon_",Table1[[#This Row],[FILENAMES_EXPECTED]])),ISNUMBER(SEARCH("coach_",Table1[[#This Row],[FILENAMES_EXPECTED]])))</f>
        <v>0</v>
      </c>
      <c r="E520" t="str">
        <f>"item_"&amp;Table1[[#This Row],[VEHIDCODE]]</f>
        <v>item_emu_Italy_FS_ETR500</v>
      </c>
      <c r="F520" t="str">
        <f>"str_"&amp;Table1[[#This Row],[VEHIDCODE]]</f>
        <v>str_emu_Italy_FS_ETR500</v>
      </c>
      <c r="G520">
        <v>8</v>
      </c>
      <c r="H520" t="s">
        <v>18</v>
      </c>
      <c r="I520">
        <v>1</v>
      </c>
      <c r="J520" t="s">
        <v>74</v>
      </c>
      <c r="K520">
        <v>0</v>
      </c>
      <c r="L520">
        <v>1993</v>
      </c>
      <c r="M520">
        <v>8</v>
      </c>
      <c r="N520" s="2" t="s">
        <v>480</v>
      </c>
      <c r="O520" t="b">
        <v>1</v>
      </c>
      <c r="P520" t="b">
        <v>1</v>
      </c>
      <c r="Q520" s="2"/>
      <c r="R520" t="s">
        <v>21</v>
      </c>
      <c r="S520">
        <v>1</v>
      </c>
      <c r="T520">
        <v>11800</v>
      </c>
      <c r="U520" t="s">
        <v>709</v>
      </c>
      <c r="V520">
        <v>250</v>
      </c>
      <c r="W520" s="2">
        <v>0.46</v>
      </c>
      <c r="AA520" t="b">
        <v>1</v>
      </c>
      <c r="AX520"/>
      <c r="BA520" s="2"/>
      <c r="BB520" s="2" t="b">
        <f>LEN(_xlfn.CONCAT(Table1[[#This Row],[TRACK_TYPE_STANDARD_GAUGE_RAILTYPE_OHLE]:[TRACK_TYPE_MTRO]]))&gt;0</f>
        <v>1</v>
      </c>
      <c r="BC520" s="7">
        <v>25</v>
      </c>
      <c r="BD520" t="s">
        <v>924</v>
      </c>
      <c r="BE520" t="s">
        <v>922</v>
      </c>
      <c r="BF520" t="s">
        <v>940</v>
      </c>
      <c r="BG5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0">
        <v>0</v>
      </c>
      <c r="BI520" t="s">
        <v>734</v>
      </c>
      <c r="BJ520" s="11">
        <v>60</v>
      </c>
      <c r="BK520" s="11">
        <v>8</v>
      </c>
      <c r="BL520" s="11">
        <v>54</v>
      </c>
      <c r="BM520">
        <v>0</v>
      </c>
      <c r="BN520" t="s">
        <v>692</v>
      </c>
      <c r="BO520" t="s">
        <v>694</v>
      </c>
      <c r="BP520" t="s">
        <v>701</v>
      </c>
      <c r="BQ520" t="s">
        <v>705</v>
      </c>
      <c r="BR520" t="s">
        <v>706</v>
      </c>
      <c r="BS520" t="s">
        <v>707</v>
      </c>
    </row>
    <row r="521" spans="1:71" hidden="1" x14ac:dyDescent="0.4">
      <c r="A521" s="2" t="s">
        <v>549</v>
      </c>
      <c r="B521" t="str">
        <f>_xlfn.TEXTAFTER(Table1[[#This Row],[VEHIDCODE]],"_")</f>
        <v>Italy_FS_ALe426</v>
      </c>
      <c r="C521" t="s">
        <v>744</v>
      </c>
      <c r="D521" t="b">
        <f>OR(ISNUMBER(SEARCH("wagon_",Table1[[#This Row],[FILENAMES_EXPECTED]])),ISNUMBER(SEARCH("coach_",Table1[[#This Row],[FILENAMES_EXPECTED]])))</f>
        <v>0</v>
      </c>
      <c r="E521" t="str">
        <f>"item_"&amp;Table1[[#This Row],[VEHIDCODE]]</f>
        <v>item_emu_Italy_FS_ALe426</v>
      </c>
      <c r="F521" t="str">
        <f>"str_"&amp;Table1[[#This Row],[VEHIDCODE]]</f>
        <v>str_emu_Italy_FS_ALe426</v>
      </c>
      <c r="G521">
        <v>8</v>
      </c>
      <c r="H521" t="s">
        <v>18</v>
      </c>
      <c r="I521">
        <v>1</v>
      </c>
      <c r="J521" t="s">
        <v>74</v>
      </c>
      <c r="K521">
        <v>115</v>
      </c>
      <c r="L521">
        <v>1996</v>
      </c>
      <c r="M521">
        <v>8</v>
      </c>
      <c r="N521" s="2" t="s">
        <v>24</v>
      </c>
      <c r="O521" t="b">
        <v>1</v>
      </c>
      <c r="P521" t="b">
        <v>1</v>
      </c>
      <c r="Q521" s="2"/>
      <c r="R521">
        <v>45</v>
      </c>
      <c r="S521">
        <v>1</v>
      </c>
      <c r="T521">
        <v>1219</v>
      </c>
      <c r="U521" t="s">
        <v>709</v>
      </c>
      <c r="V521">
        <v>140</v>
      </c>
      <c r="W521" s="2">
        <v>0.31</v>
      </c>
      <c r="AA521" t="b">
        <v>1</v>
      </c>
      <c r="AX521"/>
      <c r="BA521" s="2"/>
      <c r="BB521" s="2" t="b">
        <f>LEN(_xlfn.CONCAT(Table1[[#This Row],[TRACK_TYPE_STANDARD_GAUGE_RAILTYPE_OHLE]:[TRACK_TYPE_MTRO]]))&gt;0</f>
        <v>1</v>
      </c>
      <c r="BC521" s="7">
        <v>25</v>
      </c>
      <c r="BD521" t="s">
        <v>924</v>
      </c>
      <c r="BE521" t="s">
        <v>922</v>
      </c>
      <c r="BF521" t="s">
        <v>940</v>
      </c>
      <c r="BG5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1">
        <v>0</v>
      </c>
      <c r="BI521" t="s">
        <v>734</v>
      </c>
      <c r="BJ521" s="11">
        <v>115</v>
      </c>
      <c r="BK521" s="11">
        <v>8</v>
      </c>
      <c r="BL521" s="11">
        <v>68</v>
      </c>
      <c r="BM521">
        <v>0</v>
      </c>
      <c r="BN521" t="s">
        <v>692</v>
      </c>
      <c r="BO521" t="s">
        <v>694</v>
      </c>
      <c r="BP521" t="s">
        <v>701</v>
      </c>
      <c r="BQ521" t="s">
        <v>705</v>
      </c>
      <c r="BR521" t="s">
        <v>706</v>
      </c>
      <c r="BS521" t="s">
        <v>707</v>
      </c>
    </row>
    <row r="522" spans="1:71" hidden="1" x14ac:dyDescent="0.4">
      <c r="A522" s="2" t="s">
        <v>550</v>
      </c>
      <c r="B522" t="str">
        <f>_xlfn.TEXTAFTER(Table1[[#This Row],[VEHIDCODE]],"_")</f>
        <v>Morocco_ONCF_ZMC</v>
      </c>
      <c r="C522" t="s">
        <v>744</v>
      </c>
      <c r="D522" t="b">
        <f>OR(ISNUMBER(SEARCH("wagon_",Table1[[#This Row],[FILENAMES_EXPECTED]])),ISNUMBER(SEARCH("coach_",Table1[[#This Row],[FILENAMES_EXPECTED]])))</f>
        <v>0</v>
      </c>
      <c r="E522" t="str">
        <f>"item_"&amp;Table1[[#This Row],[VEHIDCODE]]</f>
        <v>item_emu_Morocco_ONCF_ZMC</v>
      </c>
      <c r="F522" t="str">
        <f>"str_"&amp;Table1[[#This Row],[VEHIDCODE]]</f>
        <v>str_emu_Morocco_ONCF_ZMC</v>
      </c>
      <c r="G522">
        <v>8</v>
      </c>
      <c r="H522" t="s">
        <v>18</v>
      </c>
      <c r="I522">
        <v>1</v>
      </c>
      <c r="J522" t="s">
        <v>74</v>
      </c>
      <c r="K522">
        <v>90</v>
      </c>
      <c r="L522">
        <v>1984</v>
      </c>
      <c r="M522">
        <v>8</v>
      </c>
      <c r="N522" s="2" t="s">
        <v>24</v>
      </c>
      <c r="O522" t="b">
        <v>1</v>
      </c>
      <c r="P522" t="b">
        <v>1</v>
      </c>
      <c r="Q522" s="2"/>
      <c r="R522">
        <v>45</v>
      </c>
      <c r="S522">
        <v>1</v>
      </c>
      <c r="T522">
        <v>1900</v>
      </c>
      <c r="U522" t="s">
        <v>709</v>
      </c>
      <c r="V522">
        <v>160</v>
      </c>
      <c r="W522" s="2">
        <v>0.21</v>
      </c>
      <c r="AA522" t="b">
        <v>1</v>
      </c>
      <c r="AX522"/>
      <c r="BA522" s="2"/>
      <c r="BB522" s="2" t="b">
        <f>LEN(_xlfn.CONCAT(Table1[[#This Row],[TRACK_TYPE_STANDARD_GAUGE_RAILTYPE_OHLE]:[TRACK_TYPE_MTRO]]))&gt;0</f>
        <v>1</v>
      </c>
      <c r="BC522" s="7">
        <v>40</v>
      </c>
      <c r="BD522" t="s">
        <v>926</v>
      </c>
      <c r="BE522" t="s">
        <v>922</v>
      </c>
      <c r="BF522" t="s">
        <v>940</v>
      </c>
      <c r="BG5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2">
        <v>0</v>
      </c>
      <c r="BI522" t="s">
        <v>734</v>
      </c>
      <c r="BJ522" s="11">
        <v>90</v>
      </c>
      <c r="BK522" s="11">
        <v>8</v>
      </c>
      <c r="BL522" s="11">
        <v>48</v>
      </c>
      <c r="BM522">
        <v>0</v>
      </c>
      <c r="BN522" t="s">
        <v>692</v>
      </c>
      <c r="BO522" t="s">
        <v>694</v>
      </c>
      <c r="BP522" t="s">
        <v>701</v>
      </c>
      <c r="BQ522" t="s">
        <v>705</v>
      </c>
      <c r="BR522" t="s">
        <v>706</v>
      </c>
      <c r="BS522" t="s">
        <v>707</v>
      </c>
    </row>
    <row r="523" spans="1:71" hidden="1" x14ac:dyDescent="0.4">
      <c r="A523" s="2" t="s">
        <v>551</v>
      </c>
      <c r="B523" t="str">
        <f>_xlfn.TEXTAFTER(Table1[[#This Row],[VEHIDCODE]],"_")</f>
        <v>Poland_PKP_EW54</v>
      </c>
      <c r="C523" t="s">
        <v>744</v>
      </c>
      <c r="D523" t="b">
        <f>OR(ISNUMBER(SEARCH("wagon_",Table1[[#This Row],[FILENAMES_EXPECTED]])),ISNUMBER(SEARCH("coach_",Table1[[#This Row],[FILENAMES_EXPECTED]])))</f>
        <v>0</v>
      </c>
      <c r="E523" t="str">
        <f>"item_"&amp;Table1[[#This Row],[VEHIDCODE]]</f>
        <v>item_emu_Poland_PKP_EW54</v>
      </c>
      <c r="F523" t="str">
        <f>"str_"&amp;Table1[[#This Row],[VEHIDCODE]]</f>
        <v>str_emu_Poland_PKP_EW54</v>
      </c>
      <c r="G523">
        <v>8</v>
      </c>
      <c r="H523" t="s">
        <v>18</v>
      </c>
      <c r="I523">
        <v>1</v>
      </c>
      <c r="J523" t="s">
        <v>74</v>
      </c>
      <c r="K523">
        <v>80</v>
      </c>
      <c r="L523">
        <v>1950</v>
      </c>
      <c r="M523">
        <v>8</v>
      </c>
      <c r="N523" s="2" t="s">
        <v>24</v>
      </c>
      <c r="O523" t="b">
        <v>1</v>
      </c>
      <c r="P523" t="b">
        <v>1</v>
      </c>
      <c r="Q523" s="2"/>
      <c r="R523">
        <v>45</v>
      </c>
      <c r="S523">
        <v>1</v>
      </c>
      <c r="T523">
        <v>642</v>
      </c>
      <c r="U523" t="s">
        <v>709</v>
      </c>
      <c r="V523">
        <v>100</v>
      </c>
      <c r="W523" s="2">
        <v>0.25</v>
      </c>
      <c r="AA523" t="b">
        <v>1</v>
      </c>
      <c r="AX523"/>
      <c r="BA523" s="2"/>
      <c r="BB523" s="2" t="b">
        <f>LEN(_xlfn.CONCAT(Table1[[#This Row],[TRACK_TYPE_STANDARD_GAUGE_RAILTYPE_OHLE]:[TRACK_TYPE_MTRO]]))&gt;0</f>
        <v>1</v>
      </c>
      <c r="BC523" s="7">
        <v>40</v>
      </c>
      <c r="BD523" t="s">
        <v>929</v>
      </c>
      <c r="BE523" t="s">
        <v>922</v>
      </c>
      <c r="BF523" t="s">
        <v>940</v>
      </c>
      <c r="BG5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3">
        <v>0</v>
      </c>
      <c r="BI523" t="s">
        <v>734</v>
      </c>
      <c r="BJ523" s="11">
        <v>80</v>
      </c>
      <c r="BK523" s="11">
        <v>8</v>
      </c>
      <c r="BL523" s="11">
        <v>40</v>
      </c>
      <c r="BM523">
        <v>0</v>
      </c>
      <c r="BN523" t="s">
        <v>692</v>
      </c>
      <c r="BO523" t="s">
        <v>694</v>
      </c>
      <c r="BP523" t="s">
        <v>701</v>
      </c>
      <c r="BQ523" t="s">
        <v>705</v>
      </c>
      <c r="BR523" t="s">
        <v>706</v>
      </c>
      <c r="BS523" t="s">
        <v>707</v>
      </c>
    </row>
    <row r="524" spans="1:71" hidden="1" x14ac:dyDescent="0.4">
      <c r="A524" s="2" t="s">
        <v>552</v>
      </c>
      <c r="B524" t="str">
        <f>_xlfn.TEXTAFTER(Table1[[#This Row],[VEHIDCODE]],"_")</f>
        <v>Italy_FS_ALe_801</v>
      </c>
      <c r="C524" t="s">
        <v>744</v>
      </c>
      <c r="D524" t="b">
        <f>OR(ISNUMBER(SEARCH("wagon_",Table1[[#This Row],[FILENAMES_EXPECTED]])),ISNUMBER(SEARCH("coach_",Table1[[#This Row],[FILENAMES_EXPECTED]])))</f>
        <v>0</v>
      </c>
      <c r="E524" t="str">
        <f>"item_"&amp;Table1[[#This Row],[VEHIDCODE]]</f>
        <v>item_emu_Italy_FS_ALe_801</v>
      </c>
      <c r="F524" t="str">
        <f>"str_"&amp;Table1[[#This Row],[VEHIDCODE]]</f>
        <v>str_emu_Italy_FS_ALe_801</v>
      </c>
      <c r="G524">
        <v>7</v>
      </c>
      <c r="H524" t="s">
        <v>18</v>
      </c>
      <c r="I524">
        <v>1</v>
      </c>
      <c r="J524" t="s">
        <v>74</v>
      </c>
      <c r="K524">
        <v>108</v>
      </c>
      <c r="L524">
        <v>1975</v>
      </c>
      <c r="M524">
        <v>7</v>
      </c>
      <c r="N524" s="2" t="s">
        <v>24</v>
      </c>
      <c r="O524" t="b">
        <v>1</v>
      </c>
      <c r="P524" t="b">
        <v>1</v>
      </c>
      <c r="Q524" s="2"/>
      <c r="R524">
        <v>45</v>
      </c>
      <c r="S524">
        <v>1</v>
      </c>
      <c r="T524">
        <v>702</v>
      </c>
      <c r="U524" t="s">
        <v>709</v>
      </c>
      <c r="V524">
        <v>150</v>
      </c>
      <c r="W524" s="2">
        <v>0.15</v>
      </c>
      <c r="AA524" t="b">
        <v>1</v>
      </c>
      <c r="AX524"/>
      <c r="BA524" s="2"/>
      <c r="BB524" s="2" t="b">
        <f>LEN(_xlfn.CONCAT(Table1[[#This Row],[TRACK_TYPE_STANDARD_GAUGE_RAILTYPE_OHLE]:[TRACK_TYPE_MTRO]]))&gt;0</f>
        <v>1</v>
      </c>
      <c r="BC524" s="7">
        <v>25</v>
      </c>
      <c r="BD524" t="s">
        <v>924</v>
      </c>
      <c r="BE524" t="s">
        <v>922</v>
      </c>
      <c r="BF524" t="s">
        <v>940</v>
      </c>
      <c r="BG5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4">
        <v>0</v>
      </c>
      <c r="BI524" t="s">
        <v>734</v>
      </c>
      <c r="BJ524" s="11">
        <v>108</v>
      </c>
      <c r="BK524" s="11">
        <v>7</v>
      </c>
      <c r="BL524" s="11">
        <v>70</v>
      </c>
      <c r="BM524">
        <v>0</v>
      </c>
      <c r="BN524" t="s">
        <v>692</v>
      </c>
      <c r="BO524" t="s">
        <v>694</v>
      </c>
      <c r="BP524" t="s">
        <v>701</v>
      </c>
      <c r="BQ524" t="s">
        <v>705</v>
      </c>
      <c r="BR524" t="s">
        <v>706</v>
      </c>
      <c r="BS524" t="s">
        <v>707</v>
      </c>
    </row>
    <row r="525" spans="1:71" hidden="1" x14ac:dyDescent="0.4">
      <c r="A525" s="2" t="s">
        <v>553</v>
      </c>
      <c r="B525" t="str">
        <f>_xlfn.TEXTAFTER(Table1[[#This Row],[VEHIDCODE]],"_")</f>
        <v>Austria_OBB_4030</v>
      </c>
      <c r="C525" t="s">
        <v>744</v>
      </c>
      <c r="D525" t="b">
        <f>OR(ISNUMBER(SEARCH("wagon_",Table1[[#This Row],[FILENAMES_EXPECTED]])),ISNUMBER(SEARCH("coach_",Table1[[#This Row],[FILENAMES_EXPECTED]])))</f>
        <v>0</v>
      </c>
      <c r="E525" t="str">
        <f>"item_"&amp;Table1[[#This Row],[VEHIDCODE]]</f>
        <v>item_emu_Austria_OBB_4030</v>
      </c>
      <c r="F525" t="str">
        <f>"str_"&amp;Table1[[#This Row],[VEHIDCODE]]</f>
        <v>str_emu_Austria_OBB_4030</v>
      </c>
      <c r="G525">
        <v>7</v>
      </c>
      <c r="H525" t="s">
        <v>18</v>
      </c>
      <c r="I525">
        <v>1</v>
      </c>
      <c r="J525" t="s">
        <v>74</v>
      </c>
      <c r="K525">
        <v>54</v>
      </c>
      <c r="L525">
        <v>1956</v>
      </c>
      <c r="M525">
        <v>7</v>
      </c>
      <c r="N525" s="2" t="s">
        <v>24</v>
      </c>
      <c r="O525" t="b">
        <v>1</v>
      </c>
      <c r="P525" t="b">
        <v>1</v>
      </c>
      <c r="Q525" s="2"/>
      <c r="R525">
        <v>45</v>
      </c>
      <c r="S525">
        <v>1</v>
      </c>
      <c r="T525">
        <v>1340</v>
      </c>
      <c r="U525" t="s">
        <v>709</v>
      </c>
      <c r="V525">
        <v>130</v>
      </c>
      <c r="W525" s="2">
        <v>0.27</v>
      </c>
      <c r="Z525" t="b">
        <v>1</v>
      </c>
      <c r="AX525"/>
      <c r="BA525" s="2"/>
      <c r="BB525" s="2" t="b">
        <f>LEN(_xlfn.CONCAT(Table1[[#This Row],[TRACK_TYPE_STANDARD_GAUGE_RAILTYPE_OHLE]:[TRACK_TYPE_MTRO]]))&gt;0</f>
        <v>1</v>
      </c>
      <c r="BC525" s="7">
        <v>25</v>
      </c>
      <c r="BD525" t="s">
        <v>923</v>
      </c>
      <c r="BE525" t="s">
        <v>922</v>
      </c>
      <c r="BF525" t="s">
        <v>940</v>
      </c>
      <c r="BG5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5">
        <v>0</v>
      </c>
      <c r="BI525" t="s">
        <v>734</v>
      </c>
      <c r="BJ525" s="11">
        <v>54</v>
      </c>
      <c r="BK525" s="11">
        <v>7</v>
      </c>
      <c r="BL525" s="11">
        <v>48</v>
      </c>
      <c r="BM525">
        <v>0</v>
      </c>
      <c r="BN525" t="s">
        <v>692</v>
      </c>
      <c r="BO525" t="s">
        <v>694</v>
      </c>
      <c r="BP525" t="s">
        <v>701</v>
      </c>
      <c r="BQ525" t="s">
        <v>705</v>
      </c>
      <c r="BR525" t="s">
        <v>706</v>
      </c>
      <c r="BS525" t="s">
        <v>707</v>
      </c>
    </row>
    <row r="526" spans="1:71" hidden="1" x14ac:dyDescent="0.4">
      <c r="A526" s="2" t="s">
        <v>554</v>
      </c>
      <c r="B526" t="str">
        <f>_xlfn.TEXTAFTER(Table1[[#This Row],[VEHIDCODE]],"_")</f>
        <v>Austria_OBB_4041</v>
      </c>
      <c r="C526" t="s">
        <v>744</v>
      </c>
      <c r="D526" t="b">
        <f>OR(ISNUMBER(SEARCH("wagon_",Table1[[#This Row],[FILENAMES_EXPECTED]])),ISNUMBER(SEARCH("coach_",Table1[[#This Row],[FILENAMES_EXPECTED]])))</f>
        <v>0</v>
      </c>
      <c r="E526" t="str">
        <f>"item_"&amp;Table1[[#This Row],[VEHIDCODE]]</f>
        <v>item_emu_Austria_OBB_4041</v>
      </c>
      <c r="F526" t="str">
        <f>"str_"&amp;Table1[[#This Row],[VEHIDCODE]]</f>
        <v>str_emu_Austria_OBB_4041</v>
      </c>
      <c r="G526">
        <v>8</v>
      </c>
      <c r="H526" t="s">
        <v>18</v>
      </c>
      <c r="I526">
        <v>1</v>
      </c>
      <c r="J526" t="s">
        <v>74</v>
      </c>
      <c r="K526">
        <v>40</v>
      </c>
      <c r="L526">
        <v>1929</v>
      </c>
      <c r="M526">
        <v>8</v>
      </c>
      <c r="N526" s="2" t="s">
        <v>24</v>
      </c>
      <c r="O526" t="b">
        <v>1</v>
      </c>
      <c r="P526" t="b">
        <v>1</v>
      </c>
      <c r="Q526" s="2"/>
      <c r="R526">
        <v>45</v>
      </c>
      <c r="S526">
        <v>1</v>
      </c>
      <c r="T526">
        <v>555</v>
      </c>
      <c r="U526" t="s">
        <v>709</v>
      </c>
      <c r="V526">
        <v>80</v>
      </c>
      <c r="W526" s="2">
        <v>0.08</v>
      </c>
      <c r="Z526" t="b">
        <v>1</v>
      </c>
      <c r="AX526"/>
      <c r="BA526" s="2"/>
      <c r="BB526" s="2" t="b">
        <f>LEN(_xlfn.CONCAT(Table1[[#This Row],[TRACK_TYPE_STANDARD_GAUGE_RAILTYPE_OHLE]:[TRACK_TYPE_MTRO]]))&gt;0</f>
        <v>1</v>
      </c>
      <c r="BC526" s="7">
        <v>25</v>
      </c>
      <c r="BD526" t="s">
        <v>923</v>
      </c>
      <c r="BE526" t="s">
        <v>922</v>
      </c>
      <c r="BF526" t="s">
        <v>940</v>
      </c>
      <c r="BG5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6">
        <v>0</v>
      </c>
      <c r="BI526" t="s">
        <v>734</v>
      </c>
      <c r="BJ526" s="11">
        <v>40</v>
      </c>
      <c r="BK526" s="11">
        <v>8</v>
      </c>
      <c r="BL526" s="11">
        <v>73</v>
      </c>
      <c r="BM526">
        <v>0</v>
      </c>
      <c r="BN526" t="s">
        <v>692</v>
      </c>
      <c r="BO526" t="s">
        <v>694</v>
      </c>
      <c r="BP526" t="s">
        <v>701</v>
      </c>
      <c r="BQ526" t="s">
        <v>705</v>
      </c>
      <c r="BR526" t="s">
        <v>706</v>
      </c>
      <c r="BS526" t="s">
        <v>707</v>
      </c>
    </row>
    <row r="527" spans="1:71" hidden="1" x14ac:dyDescent="0.4">
      <c r="A527" s="2" t="s">
        <v>555</v>
      </c>
      <c r="B527" t="str">
        <f>_xlfn.TEXTAFTER(Table1[[#This Row],[VEHIDCODE]],"_")</f>
        <v>Austria_WESTbahn_4010_KISS</v>
      </c>
      <c r="C527" t="s">
        <v>744</v>
      </c>
      <c r="D527" t="b">
        <f>OR(ISNUMBER(SEARCH("wagon_",Table1[[#This Row],[FILENAMES_EXPECTED]])),ISNUMBER(SEARCH("coach_",Table1[[#This Row],[FILENAMES_EXPECTED]])))</f>
        <v>0</v>
      </c>
      <c r="E527" t="str">
        <f>"item_"&amp;Table1[[#This Row],[VEHIDCODE]]</f>
        <v>item_emu_Austria_WESTbahn_4010_KISS</v>
      </c>
      <c r="F527" t="str">
        <f>"str_"&amp;Table1[[#This Row],[VEHIDCODE]]</f>
        <v>str_emu_Austria_WESTbahn_4010_KISS</v>
      </c>
      <c r="G527">
        <v>8</v>
      </c>
      <c r="H527" t="s">
        <v>18</v>
      </c>
      <c r="I527">
        <v>1</v>
      </c>
      <c r="J527" t="s">
        <v>74</v>
      </c>
      <c r="K527">
        <v>84</v>
      </c>
      <c r="L527">
        <v>2011</v>
      </c>
      <c r="M527">
        <v>8</v>
      </c>
      <c r="N527" s="2" t="s">
        <v>24</v>
      </c>
      <c r="O527" t="b">
        <v>1</v>
      </c>
      <c r="P527" t="b">
        <v>1</v>
      </c>
      <c r="Q527" s="2"/>
      <c r="R527" t="s">
        <v>21</v>
      </c>
      <c r="S527">
        <v>1</v>
      </c>
      <c r="T527">
        <v>5340</v>
      </c>
      <c r="U527" t="s">
        <v>709</v>
      </c>
      <c r="V527">
        <v>200</v>
      </c>
      <c r="W527" s="2">
        <v>0.62</v>
      </c>
      <c r="Z527" t="b">
        <v>1</v>
      </c>
      <c r="AX527"/>
      <c r="BA527" s="2"/>
      <c r="BB527" s="2" t="b">
        <f>LEN(_xlfn.CONCAT(Table1[[#This Row],[TRACK_TYPE_STANDARD_GAUGE_RAILTYPE_OHLE]:[TRACK_TYPE_MTRO]]))&gt;0</f>
        <v>1</v>
      </c>
      <c r="BC527" s="7">
        <v>40</v>
      </c>
      <c r="BD527" t="s">
        <v>923</v>
      </c>
      <c r="BE527" t="s">
        <v>922</v>
      </c>
      <c r="BF527" t="s">
        <v>940</v>
      </c>
      <c r="BG5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7">
        <v>0</v>
      </c>
      <c r="BI527" t="s">
        <v>734</v>
      </c>
      <c r="BJ527" s="11">
        <v>84</v>
      </c>
      <c r="BK527" s="11">
        <v>8</v>
      </c>
      <c r="BL527" s="11">
        <v>52</v>
      </c>
      <c r="BM527">
        <v>0</v>
      </c>
      <c r="BN527" t="s">
        <v>692</v>
      </c>
      <c r="BO527" t="s">
        <v>694</v>
      </c>
      <c r="BP527" t="s">
        <v>701</v>
      </c>
      <c r="BQ527" t="s">
        <v>705</v>
      </c>
      <c r="BR527" t="s">
        <v>706</v>
      </c>
      <c r="BS527" t="s">
        <v>707</v>
      </c>
    </row>
    <row r="528" spans="1:71" hidden="1" x14ac:dyDescent="0.4">
      <c r="A528" s="2" t="s">
        <v>556</v>
      </c>
      <c r="B528" t="str">
        <f>_xlfn.TEXTAFTER(Table1[[#This Row],[VEHIDCODE]],"_")</f>
        <v>Germany_DB_ET420</v>
      </c>
      <c r="C528" t="s">
        <v>744</v>
      </c>
      <c r="D528" t="b">
        <f>OR(ISNUMBER(SEARCH("wagon_",Table1[[#This Row],[FILENAMES_EXPECTED]])),ISNUMBER(SEARCH("coach_",Table1[[#This Row],[FILENAMES_EXPECTED]])))</f>
        <v>0</v>
      </c>
      <c r="E528" t="str">
        <f>"item_"&amp;Table1[[#This Row],[VEHIDCODE]]</f>
        <v>item_emu_Germany_DB_ET420</v>
      </c>
      <c r="F528" t="str">
        <f>"str_"&amp;Table1[[#This Row],[VEHIDCODE]]</f>
        <v>str_emu_Germany_DB_ET420</v>
      </c>
      <c r="G528">
        <v>8</v>
      </c>
      <c r="H528" t="s">
        <v>18</v>
      </c>
      <c r="I528">
        <v>1</v>
      </c>
      <c r="J528" t="s">
        <v>74</v>
      </c>
      <c r="K528">
        <v>76</v>
      </c>
      <c r="L528">
        <v>1969</v>
      </c>
      <c r="M528">
        <v>8</v>
      </c>
      <c r="N528" s="2" t="s">
        <v>24</v>
      </c>
      <c r="O528" t="b">
        <v>1</v>
      </c>
      <c r="P528" t="b">
        <v>1</v>
      </c>
      <c r="Q528" s="2"/>
      <c r="R528">
        <v>45</v>
      </c>
      <c r="S528">
        <v>1</v>
      </c>
      <c r="T528">
        <v>1000</v>
      </c>
      <c r="U528" t="s">
        <v>709</v>
      </c>
      <c r="V528">
        <v>125</v>
      </c>
      <c r="W528" s="2">
        <v>0.31</v>
      </c>
      <c r="Z528" t="b">
        <v>1</v>
      </c>
      <c r="AX528"/>
      <c r="BA528" s="2"/>
      <c r="BB528" s="2" t="b">
        <f>LEN(_xlfn.CONCAT(Table1[[#This Row],[TRACK_TYPE_STANDARD_GAUGE_RAILTYPE_OHLE]:[TRACK_TYPE_MTRO]]))&gt;0</f>
        <v>1</v>
      </c>
      <c r="BC528" s="7">
        <v>25</v>
      </c>
      <c r="BD528" t="s">
        <v>923</v>
      </c>
      <c r="BE528" t="s">
        <v>922</v>
      </c>
      <c r="BF528" t="s">
        <v>940</v>
      </c>
      <c r="BG5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8">
        <v>0</v>
      </c>
      <c r="BI528" t="s">
        <v>734</v>
      </c>
      <c r="BJ528" s="11">
        <v>76</v>
      </c>
      <c r="BK528" s="11">
        <v>8</v>
      </c>
      <c r="BL528" s="11">
        <v>46</v>
      </c>
      <c r="BM528">
        <v>0</v>
      </c>
      <c r="BN528" t="s">
        <v>692</v>
      </c>
      <c r="BO528" t="s">
        <v>694</v>
      </c>
      <c r="BP528" t="s">
        <v>701</v>
      </c>
      <c r="BQ528" t="s">
        <v>705</v>
      </c>
      <c r="BR528" t="s">
        <v>706</v>
      </c>
      <c r="BS528" t="s">
        <v>707</v>
      </c>
    </row>
    <row r="529" spans="1:71" hidden="1" x14ac:dyDescent="0.4">
      <c r="A529" s="2" t="s">
        <v>557</v>
      </c>
      <c r="B529" t="str">
        <f>_xlfn.TEXTAFTER(Table1[[#This Row],[VEHIDCODE]],"_")</f>
        <v>Norway_NSB_BM73</v>
      </c>
      <c r="C529" t="s">
        <v>744</v>
      </c>
      <c r="D529" t="b">
        <f>OR(ISNUMBER(SEARCH("wagon_",Table1[[#This Row],[FILENAMES_EXPECTED]])),ISNUMBER(SEARCH("coach_",Table1[[#This Row],[FILENAMES_EXPECTED]])))</f>
        <v>0</v>
      </c>
      <c r="E529" t="str">
        <f>"item_"&amp;Table1[[#This Row],[VEHIDCODE]]</f>
        <v>item_emu_Norway_NSB_BM73</v>
      </c>
      <c r="F529" t="str">
        <f>"str_"&amp;Table1[[#This Row],[VEHIDCODE]]</f>
        <v>str_emu_Norway_NSB_BM73</v>
      </c>
      <c r="G529">
        <v>8</v>
      </c>
      <c r="H529" t="s">
        <v>18</v>
      </c>
      <c r="I529">
        <v>1</v>
      </c>
      <c r="J529" t="s">
        <v>74</v>
      </c>
      <c r="K529">
        <v>40</v>
      </c>
      <c r="L529">
        <v>1998</v>
      </c>
      <c r="M529">
        <v>8</v>
      </c>
      <c r="N529" s="2" t="s">
        <v>480</v>
      </c>
      <c r="O529" t="b">
        <v>1</v>
      </c>
      <c r="P529" t="b">
        <v>1</v>
      </c>
      <c r="Q529" s="2"/>
      <c r="R529" t="s">
        <v>21</v>
      </c>
      <c r="S529">
        <v>1</v>
      </c>
      <c r="T529">
        <v>1200</v>
      </c>
      <c r="U529" t="s">
        <v>709</v>
      </c>
      <c r="V529">
        <v>220</v>
      </c>
      <c r="W529" s="2">
        <v>0.69</v>
      </c>
      <c r="Z529" t="b">
        <v>1</v>
      </c>
      <c r="AX529"/>
      <c r="BA529" s="2"/>
      <c r="BB529" s="2" t="b">
        <f>LEN(_xlfn.CONCAT(Table1[[#This Row],[TRACK_TYPE_STANDARD_GAUGE_RAILTYPE_OHLE]:[TRACK_TYPE_MTRO]]))&gt;0</f>
        <v>1</v>
      </c>
      <c r="BC529" s="7">
        <v>25</v>
      </c>
      <c r="BD529" t="s">
        <v>927</v>
      </c>
      <c r="BE529" t="s">
        <v>922</v>
      </c>
      <c r="BF529" t="s">
        <v>940</v>
      </c>
      <c r="BG5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9">
        <v>0</v>
      </c>
      <c r="BI529" t="s">
        <v>734</v>
      </c>
      <c r="BJ529" s="11">
        <v>40</v>
      </c>
      <c r="BK529" s="11">
        <v>8</v>
      </c>
      <c r="BL529" s="11">
        <v>54</v>
      </c>
      <c r="BM529">
        <v>0</v>
      </c>
      <c r="BN529" t="s">
        <v>692</v>
      </c>
      <c r="BO529" t="s">
        <v>694</v>
      </c>
      <c r="BP529" t="s">
        <v>701</v>
      </c>
      <c r="BQ529" t="s">
        <v>705</v>
      </c>
      <c r="BR529" t="s">
        <v>706</v>
      </c>
      <c r="BS529" t="s">
        <v>707</v>
      </c>
    </row>
    <row r="530" spans="1:71" hidden="1" x14ac:dyDescent="0.4">
      <c r="A530" s="2" t="s">
        <v>558</v>
      </c>
      <c r="B530" t="str">
        <f>_xlfn.TEXTAFTER(Table1[[#This Row],[VEHIDCODE]],"_")</f>
        <v>Norway_NSB_BM65</v>
      </c>
      <c r="C530" t="s">
        <v>744</v>
      </c>
      <c r="D530" t="b">
        <f>OR(ISNUMBER(SEARCH("wagon_",Table1[[#This Row],[FILENAMES_EXPECTED]])),ISNUMBER(SEARCH("coach_",Table1[[#This Row],[FILENAMES_EXPECTED]])))</f>
        <v>0</v>
      </c>
      <c r="E530" t="str">
        <f>"item_"&amp;Table1[[#This Row],[VEHIDCODE]]</f>
        <v>item_emu_Norway_NSB_BM65</v>
      </c>
      <c r="F530" t="str">
        <f>"str_"&amp;Table1[[#This Row],[VEHIDCODE]]</f>
        <v>str_emu_Norway_NSB_BM65</v>
      </c>
      <c r="G530">
        <v>8</v>
      </c>
      <c r="H530" t="s">
        <v>18</v>
      </c>
      <c r="I530">
        <v>1</v>
      </c>
      <c r="J530" t="s">
        <v>74</v>
      </c>
      <c r="K530">
        <v>50</v>
      </c>
      <c r="L530">
        <v>1942</v>
      </c>
      <c r="M530">
        <v>8</v>
      </c>
      <c r="N530" s="2" t="s">
        <v>24</v>
      </c>
      <c r="O530" t="b">
        <v>1</v>
      </c>
      <c r="P530" t="b">
        <v>1</v>
      </c>
      <c r="Q530" s="2"/>
      <c r="R530">
        <v>45</v>
      </c>
      <c r="S530">
        <v>1</v>
      </c>
      <c r="T530">
        <v>632</v>
      </c>
      <c r="U530" t="s">
        <v>709</v>
      </c>
      <c r="V530">
        <v>70</v>
      </c>
      <c r="W530" s="2">
        <v>0.23</v>
      </c>
      <c r="Z530" t="b">
        <v>1</v>
      </c>
      <c r="AX530"/>
      <c r="BA530" s="2"/>
      <c r="BB530" s="2" t="b">
        <f>LEN(_xlfn.CONCAT(Table1[[#This Row],[TRACK_TYPE_STANDARD_GAUGE_RAILTYPE_OHLE]:[TRACK_TYPE_MTRO]]))&gt;0</f>
        <v>1</v>
      </c>
      <c r="BC530" s="7">
        <v>25</v>
      </c>
      <c r="BD530" t="s">
        <v>927</v>
      </c>
      <c r="BE530" t="s">
        <v>922</v>
      </c>
      <c r="BF530" t="s">
        <v>940</v>
      </c>
      <c r="BG5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0">
        <v>0</v>
      </c>
      <c r="BI530" t="s">
        <v>734</v>
      </c>
      <c r="BJ530" s="11">
        <v>50</v>
      </c>
      <c r="BK530" s="11">
        <v>7</v>
      </c>
      <c r="BL530" s="11">
        <v>38</v>
      </c>
      <c r="BM530">
        <v>0</v>
      </c>
      <c r="BN530" t="s">
        <v>692</v>
      </c>
      <c r="BO530" t="s">
        <v>694</v>
      </c>
      <c r="BP530" t="s">
        <v>701</v>
      </c>
      <c r="BQ530" t="s">
        <v>705</v>
      </c>
      <c r="BR530" t="s">
        <v>706</v>
      </c>
      <c r="BS530" t="s">
        <v>707</v>
      </c>
    </row>
    <row r="531" spans="1:71" hidden="1" x14ac:dyDescent="0.4">
      <c r="A531" s="2" t="s">
        <v>559</v>
      </c>
      <c r="B531" t="str">
        <f>_xlfn.TEXTAFTER(Table1[[#This Row],[VEHIDCODE]],"_")</f>
        <v>Sweden_SJ_X2000</v>
      </c>
      <c r="C531" t="s">
        <v>744</v>
      </c>
      <c r="D531" t="b">
        <f>OR(ISNUMBER(SEARCH("wagon_",Table1[[#This Row],[FILENAMES_EXPECTED]])),ISNUMBER(SEARCH("coach_",Table1[[#This Row],[FILENAMES_EXPECTED]])))</f>
        <v>0</v>
      </c>
      <c r="E531" t="str">
        <f>"item_"&amp;Table1[[#This Row],[VEHIDCODE]]</f>
        <v>item_emu_Sweden_SJ_X2000</v>
      </c>
      <c r="F531" t="str">
        <f>"str_"&amp;Table1[[#This Row],[VEHIDCODE]]</f>
        <v>str_emu_Sweden_SJ_X2000</v>
      </c>
      <c r="G531">
        <v>8</v>
      </c>
      <c r="H531" t="s">
        <v>18</v>
      </c>
      <c r="I531">
        <v>1</v>
      </c>
      <c r="J531" t="s">
        <v>74</v>
      </c>
      <c r="K531">
        <v>0</v>
      </c>
      <c r="L531">
        <v>1990</v>
      </c>
      <c r="M531">
        <v>8</v>
      </c>
      <c r="N531" s="2" t="s">
        <v>480</v>
      </c>
      <c r="O531" t="b">
        <v>1</v>
      </c>
      <c r="P531" t="b">
        <v>1</v>
      </c>
      <c r="Q531" s="2"/>
      <c r="R531">
        <v>45</v>
      </c>
      <c r="S531">
        <v>1</v>
      </c>
      <c r="T531">
        <v>4400</v>
      </c>
      <c r="U531" t="s">
        <v>709</v>
      </c>
      <c r="V531">
        <v>210</v>
      </c>
      <c r="W531" s="2">
        <v>0.49</v>
      </c>
      <c r="Z531" t="b">
        <v>1</v>
      </c>
      <c r="AX531"/>
      <c r="BA531" s="2"/>
      <c r="BB531" s="2" t="b">
        <f>LEN(_xlfn.CONCAT(Table1[[#This Row],[TRACK_TYPE_STANDARD_GAUGE_RAILTYPE_OHLE]:[TRACK_TYPE_MTRO]]))&gt;0</f>
        <v>1</v>
      </c>
      <c r="BC531" s="7">
        <v>25</v>
      </c>
      <c r="BD531" t="s">
        <v>927</v>
      </c>
      <c r="BE531" t="s">
        <v>922</v>
      </c>
      <c r="BF531" t="s">
        <v>940</v>
      </c>
      <c r="BG5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1">
        <v>0</v>
      </c>
      <c r="BI531" t="s">
        <v>734</v>
      </c>
      <c r="BJ531" s="11">
        <v>42</v>
      </c>
      <c r="BK531" s="11">
        <v>8</v>
      </c>
      <c r="BL531" s="11">
        <v>50</v>
      </c>
      <c r="BM531">
        <v>0</v>
      </c>
      <c r="BN531" t="s">
        <v>692</v>
      </c>
      <c r="BO531" t="s">
        <v>694</v>
      </c>
      <c r="BP531" t="s">
        <v>701</v>
      </c>
      <c r="BQ531" t="s">
        <v>705</v>
      </c>
      <c r="BR531" t="s">
        <v>706</v>
      </c>
      <c r="BS531" t="s">
        <v>707</v>
      </c>
    </row>
    <row r="532" spans="1:71" hidden="1" x14ac:dyDescent="0.4">
      <c r="A532" s="2" t="s">
        <v>560</v>
      </c>
      <c r="B532" t="str">
        <f>_xlfn.TEXTAFTER(Table1[[#This Row],[VEHIDCODE]],"_")</f>
        <v>Switzerland_SBB_RABDe_510</v>
      </c>
      <c r="C532" t="s">
        <v>744</v>
      </c>
      <c r="D532" t="b">
        <f>OR(ISNUMBER(SEARCH("wagon_",Table1[[#This Row],[FILENAMES_EXPECTED]])),ISNUMBER(SEARCH("coach_",Table1[[#This Row],[FILENAMES_EXPECTED]])))</f>
        <v>0</v>
      </c>
      <c r="E532" t="str">
        <f>"item_"&amp;Table1[[#This Row],[VEHIDCODE]]</f>
        <v>item_emu_Switzerland_SBB_RABDe_510</v>
      </c>
      <c r="F532" t="str">
        <f>"str_"&amp;Table1[[#This Row],[VEHIDCODE]]</f>
        <v>str_emu_Switzerland_SBB_RABDe_510</v>
      </c>
      <c r="G532">
        <v>8</v>
      </c>
      <c r="H532" t="s">
        <v>18</v>
      </c>
      <c r="I532">
        <v>1</v>
      </c>
      <c r="J532" t="s">
        <v>74</v>
      </c>
      <c r="K532">
        <v>56</v>
      </c>
      <c r="L532">
        <v>1965</v>
      </c>
      <c r="M532">
        <v>8</v>
      </c>
      <c r="N532" s="2" t="s">
        <v>24</v>
      </c>
      <c r="O532" t="b">
        <v>1</v>
      </c>
      <c r="P532" t="b">
        <v>1</v>
      </c>
      <c r="Q532" s="2"/>
      <c r="R532">
        <v>45</v>
      </c>
      <c r="S532">
        <v>1</v>
      </c>
      <c r="T532">
        <v>1090</v>
      </c>
      <c r="U532" t="s">
        <v>709</v>
      </c>
      <c r="V532">
        <v>125</v>
      </c>
      <c r="W532" s="2">
        <v>0.43</v>
      </c>
      <c r="Z532" t="b">
        <v>1</v>
      </c>
      <c r="AX532"/>
      <c r="BA532" s="2"/>
      <c r="BB532" s="2" t="b">
        <f>LEN(_xlfn.CONCAT(Table1[[#This Row],[TRACK_TYPE_STANDARD_GAUGE_RAILTYPE_OHLE]:[TRACK_TYPE_MTRO]]))&gt;0</f>
        <v>1</v>
      </c>
      <c r="BC532" s="7">
        <v>25</v>
      </c>
      <c r="BD532" t="s">
        <v>923</v>
      </c>
      <c r="BE532" t="s">
        <v>922</v>
      </c>
      <c r="BF532" t="s">
        <v>940</v>
      </c>
      <c r="BG5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2">
        <v>0</v>
      </c>
      <c r="BI532" t="s">
        <v>734</v>
      </c>
      <c r="BJ532" s="11">
        <v>56</v>
      </c>
      <c r="BK532" s="11">
        <v>8</v>
      </c>
      <c r="BL532" s="11">
        <v>56</v>
      </c>
      <c r="BM532">
        <v>0</v>
      </c>
      <c r="BN532" t="s">
        <v>692</v>
      </c>
      <c r="BO532" t="s">
        <v>694</v>
      </c>
      <c r="BP532" t="s">
        <v>701</v>
      </c>
      <c r="BQ532" t="s">
        <v>705</v>
      </c>
      <c r="BR532" t="s">
        <v>706</v>
      </c>
      <c r="BS532" t="s">
        <v>707</v>
      </c>
    </row>
    <row r="533" spans="1:71" hidden="1" x14ac:dyDescent="0.4">
      <c r="A533" s="2" t="s">
        <v>561</v>
      </c>
      <c r="B533" t="str">
        <f>_xlfn.TEXTAFTER(Table1[[#This Row],[VEHIDCODE]],"_")</f>
        <v>Switzerland_SBB_RBDe_560</v>
      </c>
      <c r="C533" t="s">
        <v>744</v>
      </c>
      <c r="D533" t="b">
        <f>OR(ISNUMBER(SEARCH("wagon_",Table1[[#This Row],[FILENAMES_EXPECTED]])),ISNUMBER(SEARCH("coach_",Table1[[#This Row],[FILENAMES_EXPECTED]])))</f>
        <v>0</v>
      </c>
      <c r="E533" t="str">
        <f>"item_"&amp;Table1[[#This Row],[VEHIDCODE]]</f>
        <v>item_emu_Switzerland_SBB_RBDe_560</v>
      </c>
      <c r="F533" t="str">
        <f>"str_"&amp;Table1[[#This Row],[VEHIDCODE]]</f>
        <v>str_emu_Switzerland_SBB_RBDe_560</v>
      </c>
      <c r="G533">
        <v>8</v>
      </c>
      <c r="H533" t="s">
        <v>18</v>
      </c>
      <c r="I533">
        <v>1</v>
      </c>
      <c r="J533" t="s">
        <v>74</v>
      </c>
      <c r="K533">
        <v>56</v>
      </c>
      <c r="L533">
        <v>1984</v>
      </c>
      <c r="M533">
        <v>8</v>
      </c>
      <c r="N533" s="2" t="s">
        <v>24</v>
      </c>
      <c r="O533" t="b">
        <v>1</v>
      </c>
      <c r="P533" t="b">
        <v>1</v>
      </c>
      <c r="Q533" s="2"/>
      <c r="R533">
        <v>45</v>
      </c>
      <c r="S533">
        <v>1</v>
      </c>
      <c r="T533">
        <v>1100</v>
      </c>
      <c r="U533" t="s">
        <v>709</v>
      </c>
      <c r="V533">
        <v>140</v>
      </c>
      <c r="W533" s="2">
        <v>0.52</v>
      </c>
      <c r="Z533" t="b">
        <v>1</v>
      </c>
      <c r="AX533"/>
      <c r="BA533" s="2"/>
      <c r="BB533" s="2" t="b">
        <f>LEN(_xlfn.CONCAT(Table1[[#This Row],[TRACK_TYPE_STANDARD_GAUGE_RAILTYPE_OHLE]:[TRACK_TYPE_MTRO]]))&gt;0</f>
        <v>1</v>
      </c>
      <c r="BC533" s="7">
        <v>25</v>
      </c>
      <c r="BD533" t="s">
        <v>923</v>
      </c>
      <c r="BE533" t="s">
        <v>922</v>
      </c>
      <c r="BF533" t="s">
        <v>940</v>
      </c>
      <c r="BG5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3">
        <v>0</v>
      </c>
      <c r="BI533" t="s">
        <v>734</v>
      </c>
      <c r="BJ533" s="11">
        <v>56</v>
      </c>
      <c r="BK533" s="11">
        <v>8</v>
      </c>
      <c r="BL533" s="11">
        <v>35</v>
      </c>
      <c r="BM533">
        <v>0</v>
      </c>
      <c r="BN533" t="s">
        <v>692</v>
      </c>
      <c r="BO533" t="s">
        <v>694</v>
      </c>
      <c r="BP533" t="s">
        <v>701</v>
      </c>
      <c r="BQ533" t="s">
        <v>705</v>
      </c>
      <c r="BR533" t="s">
        <v>706</v>
      </c>
      <c r="BS533" t="s">
        <v>707</v>
      </c>
    </row>
    <row r="534" spans="1:71" hidden="1" x14ac:dyDescent="0.4">
      <c r="A534" s="2" t="s">
        <v>562</v>
      </c>
      <c r="B534" t="str">
        <f>_xlfn.TEXTAFTER(Table1[[#This Row],[VEHIDCODE]],"_")</f>
        <v>Switzerland_SBB_RABe_523_Flirt</v>
      </c>
      <c r="C534" t="s">
        <v>744</v>
      </c>
      <c r="D534" t="b">
        <f>OR(ISNUMBER(SEARCH("wagon_",Table1[[#This Row],[FILENAMES_EXPECTED]])),ISNUMBER(SEARCH("coach_",Table1[[#This Row],[FILENAMES_EXPECTED]])))</f>
        <v>0</v>
      </c>
      <c r="E534" t="str">
        <f>"item_"&amp;Table1[[#This Row],[VEHIDCODE]]</f>
        <v>item_emu_Switzerland_SBB_RABe_523_Flirt</v>
      </c>
      <c r="F534" t="str">
        <f>"str_"&amp;Table1[[#This Row],[VEHIDCODE]]</f>
        <v>str_emu_Switzerland_SBB_RABe_523_Flirt</v>
      </c>
      <c r="G534">
        <v>8</v>
      </c>
      <c r="H534" t="s">
        <v>18</v>
      </c>
      <c r="I534">
        <v>1</v>
      </c>
      <c r="J534" t="s">
        <v>74</v>
      </c>
      <c r="K534">
        <v>50</v>
      </c>
      <c r="L534">
        <v>2004</v>
      </c>
      <c r="M534">
        <v>8</v>
      </c>
      <c r="N534" s="2" t="s">
        <v>24</v>
      </c>
      <c r="O534" t="b">
        <v>1</v>
      </c>
      <c r="P534" t="b">
        <v>1</v>
      </c>
      <c r="Q534" s="2"/>
      <c r="R534" t="s">
        <v>21</v>
      </c>
      <c r="S534">
        <v>1</v>
      </c>
      <c r="T534">
        <v>670</v>
      </c>
      <c r="U534" t="s">
        <v>709</v>
      </c>
      <c r="V534">
        <v>160</v>
      </c>
      <c r="W534" s="2">
        <v>0.65</v>
      </c>
      <c r="Z534" t="b">
        <v>1</v>
      </c>
      <c r="AX534"/>
      <c r="BA534" s="2"/>
      <c r="BB534" s="2" t="b">
        <f>LEN(_xlfn.CONCAT(Table1[[#This Row],[TRACK_TYPE_STANDARD_GAUGE_RAILTYPE_OHLE]:[TRACK_TYPE_MTRO]]))&gt;0</f>
        <v>1</v>
      </c>
      <c r="BC534" s="7">
        <v>25</v>
      </c>
      <c r="BD534" t="s">
        <v>923</v>
      </c>
      <c r="BE534" t="s">
        <v>922</v>
      </c>
      <c r="BF534" t="s">
        <v>940</v>
      </c>
      <c r="BG5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4">
        <v>0</v>
      </c>
      <c r="BI534" t="s">
        <v>734</v>
      </c>
      <c r="BJ534" s="11">
        <v>50</v>
      </c>
      <c r="BK534" s="11">
        <v>7</v>
      </c>
      <c r="BL534" s="11">
        <v>31</v>
      </c>
      <c r="BM534">
        <v>0</v>
      </c>
      <c r="BN534" t="s">
        <v>692</v>
      </c>
      <c r="BO534" t="s">
        <v>694</v>
      </c>
      <c r="BP534" t="s">
        <v>701</v>
      </c>
      <c r="BQ534" t="s">
        <v>705</v>
      </c>
      <c r="BR534" t="s">
        <v>706</v>
      </c>
      <c r="BS534" t="s">
        <v>707</v>
      </c>
    </row>
    <row r="535" spans="1:71" hidden="1" x14ac:dyDescent="0.4">
      <c r="A535" s="2" t="s">
        <v>563</v>
      </c>
      <c r="B535" t="str">
        <f>_xlfn.TEXTAFTER(Table1[[#This Row],[VEHIDCODE]],"_")</f>
        <v>USA_Amtrak_Budd_Metroliner</v>
      </c>
      <c r="C535" t="s">
        <v>744</v>
      </c>
      <c r="D535" t="b">
        <f>OR(ISNUMBER(SEARCH("wagon_",Table1[[#This Row],[FILENAMES_EXPECTED]])),ISNUMBER(SEARCH("coach_",Table1[[#This Row],[FILENAMES_EXPECTED]])))</f>
        <v>0</v>
      </c>
      <c r="E535" t="str">
        <f>"item_"&amp;Table1[[#This Row],[VEHIDCODE]]</f>
        <v>item_emu_USA_Amtrak_Budd_Metroliner</v>
      </c>
      <c r="F535" t="str">
        <f>"str_"&amp;Table1[[#This Row],[VEHIDCODE]]</f>
        <v>str_emu_USA_Amtrak_Budd_Metroliner</v>
      </c>
      <c r="G535">
        <v>8</v>
      </c>
      <c r="H535" t="s">
        <v>18</v>
      </c>
      <c r="I535">
        <v>1</v>
      </c>
      <c r="J535" t="s">
        <v>74</v>
      </c>
      <c r="K535">
        <v>40</v>
      </c>
      <c r="L535">
        <v>1969</v>
      </c>
      <c r="M535">
        <v>8</v>
      </c>
      <c r="N535" s="2" t="s">
        <v>24</v>
      </c>
      <c r="O535" t="b">
        <v>1</v>
      </c>
      <c r="P535" t="b">
        <v>1</v>
      </c>
      <c r="Q535" s="2"/>
      <c r="R535">
        <v>45</v>
      </c>
      <c r="S535">
        <v>1</v>
      </c>
      <c r="T535">
        <v>2400</v>
      </c>
      <c r="U535" t="s">
        <v>709</v>
      </c>
      <c r="V535">
        <v>201</v>
      </c>
      <c r="W535" s="2">
        <v>0.15</v>
      </c>
      <c r="Z535" t="b">
        <v>1</v>
      </c>
      <c r="AX535"/>
      <c r="BA535" s="2"/>
      <c r="BB535" s="2" t="b">
        <f>LEN(_xlfn.CONCAT(Table1[[#This Row],[TRACK_TYPE_STANDARD_GAUGE_RAILTYPE_OHLE]:[TRACK_TYPE_MTRO]]))&gt;0</f>
        <v>1</v>
      </c>
      <c r="BC535" s="7">
        <v>40</v>
      </c>
      <c r="BD535" t="s">
        <v>928</v>
      </c>
      <c r="BE535" t="s">
        <v>922</v>
      </c>
      <c r="BF535" t="s">
        <v>940</v>
      </c>
      <c r="BG5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5">
        <v>0</v>
      </c>
      <c r="BI535" t="s">
        <v>734</v>
      </c>
      <c r="BJ535" s="11">
        <v>40</v>
      </c>
      <c r="BK535" s="11">
        <v>8</v>
      </c>
      <c r="BL535" s="11">
        <v>75</v>
      </c>
      <c r="BM535">
        <v>0</v>
      </c>
      <c r="BN535" t="s">
        <v>692</v>
      </c>
      <c r="BO535" t="s">
        <v>694</v>
      </c>
      <c r="BP535" t="s">
        <v>701</v>
      </c>
      <c r="BQ535" t="s">
        <v>705</v>
      </c>
      <c r="BR535" t="s">
        <v>706</v>
      </c>
      <c r="BS535" t="s">
        <v>707</v>
      </c>
    </row>
    <row r="536" spans="1:71" hidden="1" x14ac:dyDescent="0.4">
      <c r="A536" s="2" t="s">
        <v>564</v>
      </c>
      <c r="B536" t="str">
        <f>_xlfn.TEXTAFTER(Table1[[#This Row],[VEHIDCODE]],"_")</f>
        <v>Germany_DB_403_ICE_3</v>
      </c>
      <c r="C536" t="s">
        <v>744</v>
      </c>
      <c r="D536" t="b">
        <f>OR(ISNUMBER(SEARCH("wagon_",Table1[[#This Row],[FILENAMES_EXPECTED]])),ISNUMBER(SEARCH("coach_",Table1[[#This Row],[FILENAMES_EXPECTED]])))</f>
        <v>0</v>
      </c>
      <c r="E536" t="str">
        <f>"item_"&amp;Table1[[#This Row],[VEHIDCODE]]</f>
        <v>item_emu_Germany_DB_403_ICE_3</v>
      </c>
      <c r="F536" t="str">
        <f>"str_"&amp;Table1[[#This Row],[VEHIDCODE]]</f>
        <v>str_emu_Germany_DB_403_ICE_3</v>
      </c>
      <c r="G536">
        <v>7</v>
      </c>
      <c r="H536" t="s">
        <v>18</v>
      </c>
      <c r="I536">
        <v>1</v>
      </c>
      <c r="J536" t="s">
        <v>74</v>
      </c>
      <c r="K536">
        <v>45</v>
      </c>
      <c r="L536">
        <v>2000</v>
      </c>
      <c r="M536">
        <v>7</v>
      </c>
      <c r="N536" s="2" t="s">
        <v>480</v>
      </c>
      <c r="O536" t="b">
        <v>1</v>
      </c>
      <c r="P536" t="b">
        <v>1</v>
      </c>
      <c r="Q536" s="2"/>
      <c r="R536" t="s">
        <v>21</v>
      </c>
      <c r="S536">
        <v>1</v>
      </c>
      <c r="T536">
        <v>1400</v>
      </c>
      <c r="U536" t="s">
        <v>709</v>
      </c>
      <c r="V536">
        <v>328</v>
      </c>
      <c r="W536" s="2">
        <v>0.98</v>
      </c>
      <c r="Z536" t="b">
        <v>1</v>
      </c>
      <c r="AX536"/>
      <c r="BA536" s="2"/>
      <c r="BB536" s="2" t="b">
        <f>LEN(_xlfn.CONCAT(Table1[[#This Row],[TRACK_TYPE_STANDARD_GAUGE_RAILTYPE_OHLE]:[TRACK_TYPE_MTRO]]))&gt;0</f>
        <v>1</v>
      </c>
      <c r="BC536" s="7">
        <v>25</v>
      </c>
      <c r="BD536" t="s">
        <v>923</v>
      </c>
      <c r="BE536" t="s">
        <v>922</v>
      </c>
      <c r="BF536" t="s">
        <v>940</v>
      </c>
      <c r="BG5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6">
        <v>0</v>
      </c>
      <c r="BI536" t="s">
        <v>734</v>
      </c>
      <c r="BJ536" s="11">
        <v>45</v>
      </c>
      <c r="BK536" s="11">
        <v>8</v>
      </c>
      <c r="BL536" s="11">
        <v>51</v>
      </c>
      <c r="BM536">
        <v>0</v>
      </c>
      <c r="BN536" t="s">
        <v>692</v>
      </c>
      <c r="BO536" t="s">
        <v>694</v>
      </c>
      <c r="BP536" t="s">
        <v>701</v>
      </c>
      <c r="BQ536" t="s">
        <v>705</v>
      </c>
      <c r="BR536" t="s">
        <v>706</v>
      </c>
      <c r="BS536" t="s">
        <v>707</v>
      </c>
    </row>
    <row r="537" spans="1:71" hidden="1" x14ac:dyDescent="0.4">
      <c r="A537" s="2" t="s">
        <v>565</v>
      </c>
      <c r="B537" t="str">
        <f>_xlfn.TEXTAFTER(Table1[[#This Row],[VEHIDCODE]],"_")</f>
        <v>Bulgaria_BDZ_10_Desiro</v>
      </c>
      <c r="C537" t="s">
        <v>744</v>
      </c>
      <c r="D537" t="b">
        <f>OR(ISNUMBER(SEARCH("wagon_",Table1[[#This Row],[FILENAMES_EXPECTED]])),ISNUMBER(SEARCH("coach_",Table1[[#This Row],[FILENAMES_EXPECTED]])))</f>
        <v>0</v>
      </c>
      <c r="E537" t="str">
        <f>"item_"&amp;Table1[[#This Row],[VEHIDCODE]]</f>
        <v>item_emu_Bulgaria_BDZ_10_Desiro</v>
      </c>
      <c r="F537" t="str">
        <f>"str_"&amp;Table1[[#This Row],[VEHIDCODE]]</f>
        <v>str_emu_Bulgaria_BDZ_10_Desiro</v>
      </c>
      <c r="G537">
        <v>8</v>
      </c>
      <c r="H537" t="s">
        <v>18</v>
      </c>
      <c r="I537">
        <v>1</v>
      </c>
      <c r="J537" t="s">
        <v>74</v>
      </c>
      <c r="K537">
        <v>62</v>
      </c>
      <c r="L537">
        <v>2005</v>
      </c>
      <c r="M537">
        <v>8</v>
      </c>
      <c r="N537" s="2" t="s">
        <v>24</v>
      </c>
      <c r="O537" t="b">
        <v>1</v>
      </c>
      <c r="P537" t="b">
        <v>1</v>
      </c>
      <c r="Q537" s="2"/>
      <c r="R537" t="s">
        <v>21</v>
      </c>
      <c r="S537">
        <v>1</v>
      </c>
      <c r="T537">
        <v>550</v>
      </c>
      <c r="U537" t="s">
        <v>709</v>
      </c>
      <c r="V537">
        <v>140</v>
      </c>
      <c r="W537" s="2">
        <v>0.21</v>
      </c>
      <c r="Y537" t="b">
        <v>1</v>
      </c>
      <c r="AX537"/>
      <c r="BA537" s="2"/>
      <c r="BB537" s="2" t="b">
        <f>LEN(_xlfn.CONCAT(Table1[[#This Row],[TRACK_TYPE_STANDARD_GAUGE_RAILTYPE_OHLE]:[TRACK_TYPE_MTRO]]))&gt;0</f>
        <v>1</v>
      </c>
      <c r="BC537" s="7">
        <v>25</v>
      </c>
      <c r="BD537" t="s">
        <v>929</v>
      </c>
      <c r="BE537" t="s">
        <v>922</v>
      </c>
      <c r="BF537" t="s">
        <v>940</v>
      </c>
      <c r="BG5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7">
        <v>0</v>
      </c>
      <c r="BI537" t="s">
        <v>734</v>
      </c>
      <c r="BJ537" s="11">
        <v>62</v>
      </c>
      <c r="BK537" s="11">
        <v>8</v>
      </c>
      <c r="BL537" s="11">
        <v>57</v>
      </c>
      <c r="BM537">
        <v>0</v>
      </c>
      <c r="BN537" t="s">
        <v>692</v>
      </c>
      <c r="BO537" t="s">
        <v>694</v>
      </c>
      <c r="BP537" t="s">
        <v>701</v>
      </c>
      <c r="BQ537" t="s">
        <v>705</v>
      </c>
      <c r="BR537" t="s">
        <v>706</v>
      </c>
      <c r="BS537" t="s">
        <v>707</v>
      </c>
    </row>
    <row r="538" spans="1:71" hidden="1" x14ac:dyDescent="0.4">
      <c r="A538" s="2" t="s">
        <v>566</v>
      </c>
      <c r="B538" t="str">
        <f>_xlfn.TEXTAFTER(Table1[[#This Row],[VEHIDCODE]],"_")</f>
        <v>Finland_VR_Sm2</v>
      </c>
      <c r="C538" t="s">
        <v>744</v>
      </c>
      <c r="D538" t="b">
        <f>OR(ISNUMBER(SEARCH("wagon_",Table1[[#This Row],[FILENAMES_EXPECTED]])),ISNUMBER(SEARCH("coach_",Table1[[#This Row],[FILENAMES_EXPECTED]])))</f>
        <v>0</v>
      </c>
      <c r="E538" t="str">
        <f>"item_"&amp;Table1[[#This Row],[VEHIDCODE]]</f>
        <v>item_emu_Finland_VR_Sm2</v>
      </c>
      <c r="F538" t="str">
        <f>"str_"&amp;Table1[[#This Row],[VEHIDCODE]]</f>
        <v>str_emu_Finland_VR_Sm2</v>
      </c>
      <c r="G538">
        <v>8</v>
      </c>
      <c r="H538" t="s">
        <v>18</v>
      </c>
      <c r="I538">
        <v>1</v>
      </c>
      <c r="J538" t="s">
        <v>74</v>
      </c>
      <c r="K538">
        <v>70</v>
      </c>
      <c r="L538">
        <v>1975</v>
      </c>
      <c r="M538">
        <v>8</v>
      </c>
      <c r="N538" s="2" t="s">
        <v>24</v>
      </c>
      <c r="O538" t="b">
        <v>1</v>
      </c>
      <c r="P538" t="b">
        <v>1</v>
      </c>
      <c r="Q538" s="2"/>
      <c r="R538">
        <v>45</v>
      </c>
      <c r="S538">
        <v>1</v>
      </c>
      <c r="T538">
        <v>831</v>
      </c>
      <c r="U538" t="s">
        <v>709</v>
      </c>
      <c r="V538">
        <v>120</v>
      </c>
      <c r="W538" s="2">
        <v>0.22</v>
      </c>
      <c r="Y538" t="b">
        <v>1</v>
      </c>
      <c r="AX538"/>
      <c r="BA538" s="2"/>
      <c r="BB538" s="2" t="b">
        <f>LEN(_xlfn.CONCAT(Table1[[#This Row],[TRACK_TYPE_STANDARD_GAUGE_RAILTYPE_OHLE]:[TRACK_TYPE_MTRO]]))&gt;0</f>
        <v>1</v>
      </c>
      <c r="BC538" s="7">
        <v>25</v>
      </c>
      <c r="BD538" t="s">
        <v>927</v>
      </c>
      <c r="BE538" t="s">
        <v>922</v>
      </c>
      <c r="BF538" t="s">
        <v>940</v>
      </c>
      <c r="BG5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8">
        <v>0</v>
      </c>
      <c r="BI538" t="s">
        <v>734</v>
      </c>
      <c r="BJ538" s="11">
        <v>70</v>
      </c>
      <c r="BK538" s="11">
        <v>8</v>
      </c>
      <c r="BL538" s="11">
        <v>38</v>
      </c>
      <c r="BM538">
        <v>0</v>
      </c>
      <c r="BN538" t="s">
        <v>692</v>
      </c>
      <c r="BO538" t="s">
        <v>694</v>
      </c>
      <c r="BP538" t="s">
        <v>701</v>
      </c>
      <c r="BQ538" t="s">
        <v>705</v>
      </c>
      <c r="BR538" t="s">
        <v>706</v>
      </c>
      <c r="BS538" t="s">
        <v>707</v>
      </c>
    </row>
    <row r="539" spans="1:71" hidden="1" x14ac:dyDescent="0.4">
      <c r="A539" s="2" t="s">
        <v>567</v>
      </c>
      <c r="B539" t="str">
        <f>_xlfn.TEXTAFTER(Table1[[#This Row],[VEHIDCODE]],"_")</f>
        <v>Finland_VR_Sm4</v>
      </c>
      <c r="C539" t="s">
        <v>744</v>
      </c>
      <c r="D539" t="b">
        <f>OR(ISNUMBER(SEARCH("wagon_",Table1[[#This Row],[FILENAMES_EXPECTED]])),ISNUMBER(SEARCH("coach_",Table1[[#This Row],[FILENAMES_EXPECTED]])))</f>
        <v>0</v>
      </c>
      <c r="E539" t="str">
        <f>"item_"&amp;Table1[[#This Row],[VEHIDCODE]]</f>
        <v>item_emu_Finland_VR_Sm4</v>
      </c>
      <c r="F539" t="str">
        <f>"str_"&amp;Table1[[#This Row],[VEHIDCODE]]</f>
        <v>str_emu_Finland_VR_Sm4</v>
      </c>
      <c r="G539">
        <v>8</v>
      </c>
      <c r="H539" t="s">
        <v>18</v>
      </c>
      <c r="I539">
        <v>1</v>
      </c>
      <c r="J539" t="s">
        <v>74</v>
      </c>
      <c r="K539">
        <v>100</v>
      </c>
      <c r="L539">
        <v>1999</v>
      </c>
      <c r="M539">
        <v>8</v>
      </c>
      <c r="N539" s="2" t="s">
        <v>24</v>
      </c>
      <c r="O539" t="b">
        <v>1</v>
      </c>
      <c r="P539" t="b">
        <v>1</v>
      </c>
      <c r="Q539" s="2"/>
      <c r="R539" t="s">
        <v>21</v>
      </c>
      <c r="S539">
        <v>1</v>
      </c>
      <c r="T539">
        <v>800</v>
      </c>
      <c r="U539" t="s">
        <v>709</v>
      </c>
      <c r="V539">
        <v>160</v>
      </c>
      <c r="W539" s="2">
        <v>0.18</v>
      </c>
      <c r="Y539" t="b">
        <v>1</v>
      </c>
      <c r="AX539"/>
      <c r="BA539" s="2"/>
      <c r="BB539" s="2" t="b">
        <f>LEN(_xlfn.CONCAT(Table1[[#This Row],[TRACK_TYPE_STANDARD_GAUGE_RAILTYPE_OHLE]:[TRACK_TYPE_MTRO]]))&gt;0</f>
        <v>1</v>
      </c>
      <c r="BC539" s="7">
        <v>25</v>
      </c>
      <c r="BD539" t="s">
        <v>927</v>
      </c>
      <c r="BE539" t="s">
        <v>922</v>
      </c>
      <c r="BF539" t="s">
        <v>940</v>
      </c>
      <c r="BG5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9">
        <v>0</v>
      </c>
      <c r="BI539" t="s">
        <v>734</v>
      </c>
      <c r="BJ539" s="11">
        <v>100</v>
      </c>
      <c r="BK539" s="11">
        <v>8</v>
      </c>
      <c r="BL539" s="11">
        <v>57</v>
      </c>
      <c r="BM539">
        <v>0</v>
      </c>
      <c r="BN539" t="s">
        <v>692</v>
      </c>
      <c r="BO539" t="s">
        <v>694</v>
      </c>
      <c r="BP539" t="s">
        <v>701</v>
      </c>
      <c r="BQ539" t="s">
        <v>705</v>
      </c>
      <c r="BR539" t="s">
        <v>706</v>
      </c>
      <c r="BS539" t="s">
        <v>707</v>
      </c>
    </row>
    <row r="540" spans="1:71" hidden="1" x14ac:dyDescent="0.4">
      <c r="A540" s="2" t="s">
        <v>568</v>
      </c>
      <c r="B540" t="str">
        <f>_xlfn.TEXTAFTER(Table1[[#This Row],[VEHIDCODE]],"_")</f>
        <v>Hungary_MAV_BDVmot</v>
      </c>
      <c r="C540" t="s">
        <v>744</v>
      </c>
      <c r="D540" t="b">
        <f>OR(ISNUMBER(SEARCH("wagon_",Table1[[#This Row],[FILENAMES_EXPECTED]])),ISNUMBER(SEARCH("coach_",Table1[[#This Row],[FILENAMES_EXPECTED]])))</f>
        <v>0</v>
      </c>
      <c r="E540" t="str">
        <f>"item_"&amp;Table1[[#This Row],[VEHIDCODE]]</f>
        <v>item_emu_Hungary_MAV_BDVmot</v>
      </c>
      <c r="F540" t="str">
        <f>"str_"&amp;Table1[[#This Row],[VEHIDCODE]]</f>
        <v>str_emu_Hungary_MAV_BDVmot</v>
      </c>
      <c r="G540">
        <v>8</v>
      </c>
      <c r="H540" t="s">
        <v>18</v>
      </c>
      <c r="I540">
        <v>1</v>
      </c>
      <c r="J540" t="s">
        <v>74</v>
      </c>
      <c r="K540">
        <v>75</v>
      </c>
      <c r="L540">
        <v>1988</v>
      </c>
      <c r="M540">
        <v>8</v>
      </c>
      <c r="N540" s="2" t="s">
        <v>24</v>
      </c>
      <c r="O540" t="b">
        <v>1</v>
      </c>
      <c r="P540" t="b">
        <v>1</v>
      </c>
      <c r="Q540" s="2"/>
      <c r="R540" t="s">
        <v>21</v>
      </c>
      <c r="S540">
        <v>1</v>
      </c>
      <c r="T540">
        <v>2040</v>
      </c>
      <c r="U540" t="s">
        <v>709</v>
      </c>
      <c r="V540">
        <v>120</v>
      </c>
      <c r="W540" s="2">
        <v>0.11</v>
      </c>
      <c r="Y540" t="b">
        <v>1</v>
      </c>
      <c r="AX540"/>
      <c r="BA540" s="2"/>
      <c r="BB540" s="2" t="b">
        <f>LEN(_xlfn.CONCAT(Table1[[#This Row],[TRACK_TYPE_STANDARD_GAUGE_RAILTYPE_OHLE]:[TRACK_TYPE_MTRO]]))&gt;0</f>
        <v>1</v>
      </c>
      <c r="BC540" s="7">
        <v>25</v>
      </c>
      <c r="BD540" t="s">
        <v>929</v>
      </c>
      <c r="BE540" t="s">
        <v>922</v>
      </c>
      <c r="BF540" t="s">
        <v>940</v>
      </c>
      <c r="BG5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0">
        <v>0</v>
      </c>
      <c r="BI540" t="s">
        <v>734</v>
      </c>
      <c r="BJ540" s="11">
        <v>75</v>
      </c>
      <c r="BK540" s="11">
        <v>8</v>
      </c>
      <c r="BL540" s="11">
        <v>66</v>
      </c>
      <c r="BM540">
        <v>0</v>
      </c>
      <c r="BN540" t="s">
        <v>692</v>
      </c>
      <c r="BO540" t="s">
        <v>694</v>
      </c>
      <c r="BP540" t="s">
        <v>701</v>
      </c>
      <c r="BQ540" t="s">
        <v>705</v>
      </c>
      <c r="BR540" t="s">
        <v>706</v>
      </c>
      <c r="BS540" t="s">
        <v>707</v>
      </c>
    </row>
    <row r="541" spans="1:71" hidden="1" x14ac:dyDescent="0.4">
      <c r="A541" s="2" t="s">
        <v>569</v>
      </c>
      <c r="B541" t="str">
        <f>_xlfn.TEXTAFTER(Table1[[#This Row],[VEHIDCODE]],"_")</f>
        <v>Europe_Sureot</v>
      </c>
      <c r="C541" t="s">
        <v>744</v>
      </c>
      <c r="D541" t="b">
        <f>OR(ISNUMBER(SEARCH("wagon_",Table1[[#This Row],[FILENAMES_EXPECTED]])),ISNUMBER(SEARCH("coach_",Table1[[#This Row],[FILENAMES_EXPECTED]])))</f>
        <v>0</v>
      </c>
      <c r="E541" t="str">
        <f>"item_"&amp;Table1[[#This Row],[VEHIDCODE]]</f>
        <v>item_emu_Europe_Sureot</v>
      </c>
      <c r="F541" t="str">
        <f>"str_"&amp;Table1[[#This Row],[VEHIDCODE]]</f>
        <v>str_emu_Europe_Sureot</v>
      </c>
      <c r="G541">
        <v>8</v>
      </c>
      <c r="H541" t="s">
        <v>18</v>
      </c>
      <c r="I541">
        <v>1</v>
      </c>
      <c r="J541" t="s">
        <v>74</v>
      </c>
      <c r="K541">
        <v>85</v>
      </c>
      <c r="L541">
        <v>2030</v>
      </c>
      <c r="M541">
        <v>8</v>
      </c>
      <c r="N541" s="2" t="s">
        <v>480</v>
      </c>
      <c r="O541" t="b">
        <v>1</v>
      </c>
      <c r="P541" t="b">
        <v>1</v>
      </c>
      <c r="Q541" s="2"/>
      <c r="R541" t="s">
        <v>21</v>
      </c>
      <c r="S541">
        <v>1</v>
      </c>
      <c r="T541">
        <v>16000</v>
      </c>
      <c r="U541" t="s">
        <v>709</v>
      </c>
      <c r="V541">
        <v>300</v>
      </c>
      <c r="W541" s="2">
        <v>0.22</v>
      </c>
      <c r="Y541" t="b">
        <v>1</v>
      </c>
      <c r="AX541"/>
      <c r="BA541" s="2"/>
      <c r="BB541" s="2" t="b">
        <f>LEN(_xlfn.CONCAT(Table1[[#This Row],[TRACK_TYPE_STANDARD_GAUGE_RAILTYPE_OHLE]:[TRACK_TYPE_MTRO]]))&gt;0</f>
        <v>1</v>
      </c>
      <c r="BC541" s="7">
        <v>25</v>
      </c>
      <c r="BD541" t="s">
        <v>932</v>
      </c>
      <c r="BE541" t="s">
        <v>922</v>
      </c>
      <c r="BF541" t="s">
        <v>941</v>
      </c>
      <c r="BG5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1">
        <v>0</v>
      </c>
      <c r="BI541" t="s">
        <v>734</v>
      </c>
      <c r="BJ541" s="11">
        <v>85</v>
      </c>
      <c r="BK541" s="11">
        <v>8</v>
      </c>
      <c r="BL541" s="11">
        <v>50</v>
      </c>
      <c r="BM541">
        <v>0</v>
      </c>
      <c r="BN541" t="s">
        <v>692</v>
      </c>
      <c r="BO541" t="s">
        <v>694</v>
      </c>
      <c r="BP541" t="s">
        <v>701</v>
      </c>
      <c r="BQ541" t="s">
        <v>705</v>
      </c>
      <c r="BR541" t="s">
        <v>706</v>
      </c>
      <c r="BS541" t="s">
        <v>707</v>
      </c>
    </row>
    <row r="542" spans="1:71" hidden="1" x14ac:dyDescent="0.4">
      <c r="A542" s="2" t="s">
        <v>570</v>
      </c>
      <c r="B542" t="str">
        <f>_xlfn.TEXTAFTER(Table1[[#This Row],[VEHIDCODE]],"_")</f>
        <v>Japan_JNR_Shinkansen_Series_0</v>
      </c>
      <c r="C542" t="s">
        <v>744</v>
      </c>
      <c r="D542" t="b">
        <f>OR(ISNUMBER(SEARCH("wagon_",Table1[[#This Row],[FILENAMES_EXPECTED]])),ISNUMBER(SEARCH("coach_",Table1[[#This Row],[FILENAMES_EXPECTED]])))</f>
        <v>0</v>
      </c>
      <c r="E542" t="str">
        <f>"item_"&amp;Table1[[#This Row],[VEHIDCODE]]</f>
        <v>item_emu_Japan_JNR_Shinkansen_Series_0</v>
      </c>
      <c r="F542" t="str">
        <f>"str_"&amp;Table1[[#This Row],[VEHIDCODE]]</f>
        <v>str_emu_Japan_JNR_Shinkansen_Series_0</v>
      </c>
      <c r="G542">
        <v>8</v>
      </c>
      <c r="H542" t="s">
        <v>18</v>
      </c>
      <c r="I542">
        <v>1</v>
      </c>
      <c r="J542" t="s">
        <v>74</v>
      </c>
      <c r="K542">
        <v>50</v>
      </c>
      <c r="L542">
        <v>1964</v>
      </c>
      <c r="M542">
        <v>8</v>
      </c>
      <c r="N542" s="2" t="s">
        <v>480</v>
      </c>
      <c r="O542" t="b">
        <v>1</v>
      </c>
      <c r="P542" t="b">
        <v>1</v>
      </c>
      <c r="Q542" s="2"/>
      <c r="R542">
        <v>45</v>
      </c>
      <c r="S542">
        <v>1</v>
      </c>
      <c r="T542">
        <v>1000</v>
      </c>
      <c r="U542" t="s">
        <v>709</v>
      </c>
      <c r="V542">
        <v>210</v>
      </c>
      <c r="W542" s="2">
        <v>0.3</v>
      </c>
      <c r="Y542" t="b">
        <v>1</v>
      </c>
      <c r="AX542"/>
      <c r="BA542" s="2"/>
      <c r="BB542" s="2" t="b">
        <f>LEN(_xlfn.CONCAT(Table1[[#This Row],[TRACK_TYPE_STANDARD_GAUGE_RAILTYPE_OHLE]:[TRACK_TYPE_MTRO]]))&gt;0</f>
        <v>1</v>
      </c>
      <c r="BC542" s="7">
        <v>44</v>
      </c>
      <c r="BD542" t="s">
        <v>931</v>
      </c>
      <c r="BE542" t="s">
        <v>922</v>
      </c>
      <c r="BF542" t="s">
        <v>940</v>
      </c>
      <c r="BG5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2">
        <v>-3</v>
      </c>
      <c r="BI542" t="s">
        <v>734</v>
      </c>
      <c r="BJ542" s="11">
        <v>50</v>
      </c>
      <c r="BK542" s="11">
        <v>8</v>
      </c>
      <c r="BL542" s="11">
        <v>54</v>
      </c>
      <c r="BM542">
        <v>0</v>
      </c>
      <c r="BN542" t="s">
        <v>692</v>
      </c>
      <c r="BO542" t="s">
        <v>694</v>
      </c>
      <c r="BP542" t="s">
        <v>701</v>
      </c>
      <c r="BQ542" t="s">
        <v>705</v>
      </c>
      <c r="BR542" t="s">
        <v>706</v>
      </c>
      <c r="BS542" t="s">
        <v>707</v>
      </c>
    </row>
    <row r="543" spans="1:71" hidden="1" x14ac:dyDescent="0.4">
      <c r="A543" s="2" t="s">
        <v>571</v>
      </c>
      <c r="B543" t="str">
        <f>_xlfn.TEXTAFTER(Table1[[#This Row],[VEHIDCODE]],"_")</f>
        <v>Japan_JR_Shinkansen_Series_700</v>
      </c>
      <c r="C543" t="s">
        <v>744</v>
      </c>
      <c r="D543" t="b">
        <f>OR(ISNUMBER(SEARCH("wagon_",Table1[[#This Row],[FILENAMES_EXPECTED]])),ISNUMBER(SEARCH("coach_",Table1[[#This Row],[FILENAMES_EXPECTED]])))</f>
        <v>0</v>
      </c>
      <c r="E543" t="str">
        <f>"item_"&amp;Table1[[#This Row],[VEHIDCODE]]</f>
        <v>item_emu_Japan_JR_Shinkansen_Series_700</v>
      </c>
      <c r="F543" t="str">
        <f>"str_"&amp;Table1[[#This Row],[VEHIDCODE]]</f>
        <v>str_emu_Japan_JR_Shinkansen_Series_700</v>
      </c>
      <c r="G543">
        <v>8</v>
      </c>
      <c r="H543" t="s">
        <v>18</v>
      </c>
      <c r="I543">
        <v>1</v>
      </c>
      <c r="J543" t="s">
        <v>74</v>
      </c>
      <c r="K543">
        <v>83</v>
      </c>
      <c r="L543">
        <v>1997</v>
      </c>
      <c r="M543">
        <v>8</v>
      </c>
      <c r="N543" s="2" t="s">
        <v>480</v>
      </c>
      <c r="O543" t="b">
        <v>1</v>
      </c>
      <c r="P543" t="b">
        <v>1</v>
      </c>
      <c r="Q543" s="2"/>
      <c r="R543" t="s">
        <v>21</v>
      </c>
      <c r="S543">
        <v>1</v>
      </c>
      <c r="T543">
        <v>1441</v>
      </c>
      <c r="U543" t="s">
        <v>709</v>
      </c>
      <c r="V543">
        <v>270</v>
      </c>
      <c r="W543" s="2">
        <v>0.56000000000000005</v>
      </c>
      <c r="Y543" t="b">
        <v>1</v>
      </c>
      <c r="AX543"/>
      <c r="BA543" s="2"/>
      <c r="BB543" s="2" t="b">
        <f>LEN(_xlfn.CONCAT(Table1[[#This Row],[TRACK_TYPE_STANDARD_GAUGE_RAILTYPE_OHLE]:[TRACK_TYPE_MTRO]]))&gt;0</f>
        <v>1</v>
      </c>
      <c r="BC543" s="7">
        <v>25</v>
      </c>
      <c r="BD543" t="s">
        <v>931</v>
      </c>
      <c r="BE543" t="s">
        <v>922</v>
      </c>
      <c r="BF543" t="s">
        <v>940</v>
      </c>
      <c r="BG5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3">
        <v>0</v>
      </c>
      <c r="BI543" t="s">
        <v>734</v>
      </c>
      <c r="BJ543" s="11">
        <v>83</v>
      </c>
      <c r="BK543" s="11">
        <v>8</v>
      </c>
      <c r="BL543" s="11">
        <v>45</v>
      </c>
      <c r="BM543">
        <v>0</v>
      </c>
      <c r="BN543" t="s">
        <v>692</v>
      </c>
      <c r="BO543" t="s">
        <v>694</v>
      </c>
      <c r="BP543" t="s">
        <v>701</v>
      </c>
      <c r="BQ543" t="s">
        <v>705</v>
      </c>
      <c r="BR543" t="s">
        <v>706</v>
      </c>
      <c r="BS543" t="s">
        <v>707</v>
      </c>
    </row>
    <row r="544" spans="1:71" hidden="1" x14ac:dyDescent="0.4">
      <c r="A544" s="2" t="s">
        <v>572</v>
      </c>
      <c r="B544" t="str">
        <f>_xlfn.TEXTAFTER(Table1[[#This Row],[VEHIDCODE]],"_")</f>
        <v>Japan_JR_Shinkansen_Series_E1_Max</v>
      </c>
      <c r="C544" t="s">
        <v>744</v>
      </c>
      <c r="D544" t="b">
        <f>OR(ISNUMBER(SEARCH("wagon_",Table1[[#This Row],[FILENAMES_EXPECTED]])),ISNUMBER(SEARCH("coach_",Table1[[#This Row],[FILENAMES_EXPECTED]])))</f>
        <v>0</v>
      </c>
      <c r="E544" t="str">
        <f>"item_"&amp;Table1[[#This Row],[VEHIDCODE]]</f>
        <v>item_emu_Japan_JR_Shinkansen_Series_E1_Max</v>
      </c>
      <c r="F544" t="str">
        <f>"str_"&amp;Table1[[#This Row],[VEHIDCODE]]</f>
        <v>str_emu_Japan_JR_Shinkansen_Series_E1_Max</v>
      </c>
      <c r="G544">
        <v>8</v>
      </c>
      <c r="H544" t="s">
        <v>18</v>
      </c>
      <c r="I544">
        <v>1</v>
      </c>
      <c r="J544" t="s">
        <v>74</v>
      </c>
      <c r="K544">
        <v>100</v>
      </c>
      <c r="L544">
        <v>1994</v>
      </c>
      <c r="M544">
        <v>8</v>
      </c>
      <c r="N544" s="2" t="s">
        <v>24</v>
      </c>
      <c r="O544" t="b">
        <v>1</v>
      </c>
      <c r="P544" t="b">
        <v>1</v>
      </c>
      <c r="Q544" s="2"/>
      <c r="R544">
        <v>45</v>
      </c>
      <c r="S544">
        <v>1</v>
      </c>
      <c r="T544">
        <v>1704</v>
      </c>
      <c r="U544" t="s">
        <v>709</v>
      </c>
      <c r="V544">
        <v>240</v>
      </c>
      <c r="W544" s="2">
        <v>0.3</v>
      </c>
      <c r="Y544" t="b">
        <v>1</v>
      </c>
      <c r="AX544"/>
      <c r="BA544" s="2"/>
      <c r="BB544" s="2" t="b">
        <f>LEN(_xlfn.CONCAT(Table1[[#This Row],[TRACK_TYPE_STANDARD_GAUGE_RAILTYPE_OHLE]:[TRACK_TYPE_MTRO]]))&gt;0</f>
        <v>1</v>
      </c>
      <c r="BC544" s="7">
        <v>40</v>
      </c>
      <c r="BD544" t="s">
        <v>931</v>
      </c>
      <c r="BE544" t="s">
        <v>922</v>
      </c>
      <c r="BF544" t="s">
        <v>940</v>
      </c>
      <c r="BG5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4">
        <v>0</v>
      </c>
      <c r="BI544" t="s">
        <v>734</v>
      </c>
      <c r="BJ544" s="11">
        <v>100</v>
      </c>
      <c r="BK544" s="11">
        <v>8</v>
      </c>
      <c r="BL544" s="11">
        <v>58</v>
      </c>
      <c r="BM544">
        <v>0</v>
      </c>
      <c r="BN544" t="s">
        <v>692</v>
      </c>
      <c r="BO544" t="s">
        <v>694</v>
      </c>
      <c r="BP544" t="s">
        <v>701</v>
      </c>
      <c r="BQ544" t="s">
        <v>705</v>
      </c>
      <c r="BR544" t="s">
        <v>706</v>
      </c>
      <c r="BS544" t="s">
        <v>707</v>
      </c>
    </row>
    <row r="545" spans="1:71" hidden="1" x14ac:dyDescent="0.4">
      <c r="A545" s="2" t="s">
        <v>573</v>
      </c>
      <c r="B545" t="str">
        <f>_xlfn.TEXTAFTER(Table1[[#This Row],[VEHIDCODE]],"_")</f>
        <v>Luxembourg_CFL_2200_Coradia_Duplex</v>
      </c>
      <c r="C545" t="s">
        <v>744</v>
      </c>
      <c r="D545" t="b">
        <f>OR(ISNUMBER(SEARCH("wagon_",Table1[[#This Row],[FILENAMES_EXPECTED]])),ISNUMBER(SEARCH("coach_",Table1[[#This Row],[FILENAMES_EXPECTED]])))</f>
        <v>0</v>
      </c>
      <c r="E545" t="str">
        <f>"item_"&amp;Table1[[#This Row],[VEHIDCODE]]</f>
        <v>item_emu_Luxembourg_CFL_2200_Coradia_Duplex</v>
      </c>
      <c r="F545" t="str">
        <f>"str_"&amp;Table1[[#This Row],[VEHIDCODE]]</f>
        <v>str_emu_Luxembourg_CFL_2200_Coradia_Duplex</v>
      </c>
      <c r="G545">
        <v>8</v>
      </c>
      <c r="H545" t="s">
        <v>18</v>
      </c>
      <c r="I545">
        <v>1</v>
      </c>
      <c r="J545" t="s">
        <v>74</v>
      </c>
      <c r="K545">
        <v>111</v>
      </c>
      <c r="L545">
        <v>1999</v>
      </c>
      <c r="M545">
        <v>8</v>
      </c>
      <c r="N545" s="2" t="s">
        <v>24</v>
      </c>
      <c r="O545" t="b">
        <v>1</v>
      </c>
      <c r="P545" t="b">
        <v>1</v>
      </c>
      <c r="Q545" s="2"/>
      <c r="R545" t="s">
        <v>21</v>
      </c>
      <c r="S545">
        <v>1</v>
      </c>
      <c r="T545">
        <v>1050</v>
      </c>
      <c r="U545" t="s">
        <v>709</v>
      </c>
      <c r="V545">
        <v>160</v>
      </c>
      <c r="W545" s="2">
        <v>0.26</v>
      </c>
      <c r="Y545" t="b">
        <v>1</v>
      </c>
      <c r="AX545"/>
      <c r="BA545" s="2"/>
      <c r="BB545" s="2" t="b">
        <f>LEN(_xlfn.CONCAT(Table1[[#This Row],[TRACK_TYPE_STANDARD_GAUGE_RAILTYPE_OHLE]:[TRACK_TYPE_MTRO]]))&gt;0</f>
        <v>1</v>
      </c>
      <c r="BC545" s="7">
        <v>25</v>
      </c>
      <c r="BD545" t="s">
        <v>923</v>
      </c>
      <c r="BE545" t="s">
        <v>922</v>
      </c>
      <c r="BF545" t="s">
        <v>940</v>
      </c>
      <c r="BG5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5">
        <v>0</v>
      </c>
      <c r="BI545" t="s">
        <v>734</v>
      </c>
      <c r="BJ545" s="11">
        <v>111</v>
      </c>
      <c r="BK545" s="11">
        <v>8</v>
      </c>
      <c r="BL545" s="11">
        <v>53</v>
      </c>
      <c r="BM545">
        <v>0</v>
      </c>
      <c r="BN545" t="s">
        <v>692</v>
      </c>
      <c r="BO545" t="s">
        <v>694</v>
      </c>
      <c r="BP545" t="s">
        <v>701</v>
      </c>
      <c r="BQ545" t="s">
        <v>705</v>
      </c>
      <c r="BR545" t="s">
        <v>706</v>
      </c>
      <c r="BS545" t="s">
        <v>707</v>
      </c>
    </row>
    <row r="546" spans="1:71" hidden="1" x14ac:dyDescent="0.4">
      <c r="A546" s="2" t="s">
        <v>574</v>
      </c>
      <c r="B546" t="str">
        <f>_xlfn.TEXTAFTER(Table1[[#This Row],[VEHIDCODE]],"_")</f>
        <v>Macedonia_Macedonian_Railways_412</v>
      </c>
      <c r="C546" t="s">
        <v>744</v>
      </c>
      <c r="D546" t="b">
        <f>OR(ISNUMBER(SEARCH("wagon_",Table1[[#This Row],[FILENAMES_EXPECTED]])),ISNUMBER(SEARCH("coach_",Table1[[#This Row],[FILENAMES_EXPECTED]])))</f>
        <v>0</v>
      </c>
      <c r="E546" t="str">
        <f>"item_"&amp;Table1[[#This Row],[VEHIDCODE]]</f>
        <v>item_emu_Macedonia_Macedonian_Railways_412</v>
      </c>
      <c r="F546" t="str">
        <f>"str_"&amp;Table1[[#This Row],[VEHIDCODE]]</f>
        <v>str_emu_Macedonia_Macedonian_Railways_412</v>
      </c>
      <c r="G546">
        <v>8</v>
      </c>
      <c r="H546" t="s">
        <v>18</v>
      </c>
      <c r="I546">
        <v>1</v>
      </c>
      <c r="J546" t="s">
        <v>74</v>
      </c>
      <c r="K546">
        <v>68</v>
      </c>
      <c r="L546">
        <v>1980</v>
      </c>
      <c r="M546">
        <v>8</v>
      </c>
      <c r="N546" s="2" t="s">
        <v>24</v>
      </c>
      <c r="O546" t="b">
        <v>1</v>
      </c>
      <c r="P546" t="b">
        <v>1</v>
      </c>
      <c r="Q546" s="2"/>
      <c r="R546">
        <v>45</v>
      </c>
      <c r="S546">
        <v>1</v>
      </c>
      <c r="T546">
        <v>340</v>
      </c>
      <c r="U546" t="s">
        <v>709</v>
      </c>
      <c r="V546">
        <v>120</v>
      </c>
      <c r="W546" s="2">
        <v>0.15</v>
      </c>
      <c r="Y546" t="b">
        <v>1</v>
      </c>
      <c r="AX546"/>
      <c r="BA546" s="2"/>
      <c r="BB546" s="2" t="b">
        <f>LEN(_xlfn.CONCAT(Table1[[#This Row],[TRACK_TYPE_STANDARD_GAUGE_RAILTYPE_OHLE]:[TRACK_TYPE_MTRO]]))&gt;0</f>
        <v>1</v>
      </c>
      <c r="BC546" s="7">
        <v>25</v>
      </c>
      <c r="BD546" t="s">
        <v>924</v>
      </c>
      <c r="BE546" t="s">
        <v>922</v>
      </c>
      <c r="BF546" t="s">
        <v>940</v>
      </c>
      <c r="BG5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6">
        <v>0</v>
      </c>
      <c r="BI546" t="s">
        <v>734</v>
      </c>
      <c r="BJ546" s="11">
        <v>68</v>
      </c>
      <c r="BK546" s="11">
        <v>8</v>
      </c>
      <c r="BL546" s="11">
        <v>60</v>
      </c>
      <c r="BM546">
        <v>0</v>
      </c>
      <c r="BN546" t="s">
        <v>692</v>
      </c>
      <c r="BO546" t="s">
        <v>694</v>
      </c>
      <c r="BP546" t="s">
        <v>701</v>
      </c>
      <c r="BQ546" t="s">
        <v>705</v>
      </c>
      <c r="BR546" t="s">
        <v>706</v>
      </c>
      <c r="BS546" t="s">
        <v>707</v>
      </c>
    </row>
    <row r="547" spans="1:71" hidden="1" x14ac:dyDescent="0.4">
      <c r="A547" s="2" t="s">
        <v>575</v>
      </c>
      <c r="B547" t="str">
        <f>_xlfn.TEXTAFTER(Table1[[#This Row],[VEHIDCODE]],"_")</f>
        <v>Romania_CFR_58</v>
      </c>
      <c r="C547" t="s">
        <v>744</v>
      </c>
      <c r="D547" t="b">
        <f>OR(ISNUMBER(SEARCH("wagon_",Table1[[#This Row],[FILENAMES_EXPECTED]])),ISNUMBER(SEARCH("coach_",Table1[[#This Row],[FILENAMES_EXPECTED]])))</f>
        <v>0</v>
      </c>
      <c r="E547" t="str">
        <f>"item_"&amp;Table1[[#This Row],[VEHIDCODE]]</f>
        <v>item_emu_Romania_CFR_58</v>
      </c>
      <c r="F547" t="str">
        <f>"str_"&amp;Table1[[#This Row],[VEHIDCODE]]</f>
        <v>str_emu_Romania_CFR_58</v>
      </c>
      <c r="G547">
        <v>8</v>
      </c>
      <c r="H547" t="s">
        <v>18</v>
      </c>
      <c r="I547">
        <v>1</v>
      </c>
      <c r="J547" t="s">
        <v>74</v>
      </c>
      <c r="K547">
        <v>100</v>
      </c>
      <c r="L547">
        <v>1965</v>
      </c>
      <c r="M547">
        <v>8</v>
      </c>
      <c r="N547" s="2" t="s">
        <v>24</v>
      </c>
      <c r="O547" t="b">
        <v>1</v>
      </c>
      <c r="P547" t="b">
        <v>1</v>
      </c>
      <c r="Q547" s="2"/>
      <c r="R547">
        <v>45</v>
      </c>
      <c r="S547">
        <v>1</v>
      </c>
      <c r="T547">
        <v>824</v>
      </c>
      <c r="U547" t="s">
        <v>709</v>
      </c>
      <c r="V547">
        <v>120</v>
      </c>
      <c r="W547" s="2">
        <v>0.42</v>
      </c>
      <c r="Y547" t="b">
        <v>1</v>
      </c>
      <c r="AX547"/>
      <c r="BA547" s="2"/>
      <c r="BB547" s="2" t="b">
        <f>LEN(_xlfn.CONCAT(Table1[[#This Row],[TRACK_TYPE_STANDARD_GAUGE_RAILTYPE_OHLE]:[TRACK_TYPE_MTRO]]))&gt;0</f>
        <v>1</v>
      </c>
      <c r="BC547" s="7">
        <v>40</v>
      </c>
      <c r="BD547" t="s">
        <v>929</v>
      </c>
      <c r="BE547" t="s">
        <v>922</v>
      </c>
      <c r="BF547" t="s">
        <v>940</v>
      </c>
      <c r="BG5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7">
        <v>0</v>
      </c>
      <c r="BI547" t="s">
        <v>734</v>
      </c>
      <c r="BJ547" s="11">
        <v>100</v>
      </c>
      <c r="BK547" s="11">
        <v>8</v>
      </c>
      <c r="BL547" s="11">
        <v>35</v>
      </c>
      <c r="BM547">
        <v>0</v>
      </c>
      <c r="BN547" t="s">
        <v>692</v>
      </c>
      <c r="BO547" t="s">
        <v>694</v>
      </c>
      <c r="BP547" t="s">
        <v>701</v>
      </c>
      <c r="BQ547" t="s">
        <v>705</v>
      </c>
      <c r="BR547" t="s">
        <v>706</v>
      </c>
      <c r="BS547" t="s">
        <v>707</v>
      </c>
    </row>
    <row r="548" spans="1:71" hidden="1" x14ac:dyDescent="0.4">
      <c r="A548" s="2" t="s">
        <v>576</v>
      </c>
      <c r="B548" t="str">
        <f>_xlfn.TEXTAFTER(Table1[[#This Row],[VEHIDCODE]],"_")</f>
        <v>South_Africa_Gautrain_Electrostar</v>
      </c>
      <c r="C548" t="s">
        <v>744</v>
      </c>
      <c r="D548" t="b">
        <f>OR(ISNUMBER(SEARCH("wagon_",Table1[[#This Row],[FILENAMES_EXPECTED]])),ISNUMBER(SEARCH("coach_",Table1[[#This Row],[FILENAMES_EXPECTED]])))</f>
        <v>0</v>
      </c>
      <c r="E548" t="str">
        <f>"item_"&amp;Table1[[#This Row],[VEHIDCODE]]</f>
        <v>item_emu_South_Africa_Gautrain_Electrostar</v>
      </c>
      <c r="F548" t="str">
        <f>"str_"&amp;Table1[[#This Row],[VEHIDCODE]]</f>
        <v>str_emu_South_Africa_Gautrain_Electrostar</v>
      </c>
      <c r="G548">
        <v>8</v>
      </c>
      <c r="H548" t="s">
        <v>18</v>
      </c>
      <c r="I548">
        <v>1</v>
      </c>
      <c r="J548" t="s">
        <v>74</v>
      </c>
      <c r="K548">
        <v>52</v>
      </c>
      <c r="L548">
        <v>2010</v>
      </c>
      <c r="M548">
        <v>8</v>
      </c>
      <c r="N548" s="2" t="s">
        <v>480</v>
      </c>
      <c r="O548" t="b">
        <v>1</v>
      </c>
      <c r="P548" t="b">
        <v>1</v>
      </c>
      <c r="Q548" s="2"/>
      <c r="R548" t="s">
        <v>21</v>
      </c>
      <c r="S548">
        <v>1</v>
      </c>
      <c r="T548">
        <v>553</v>
      </c>
      <c r="U548" t="s">
        <v>709</v>
      </c>
      <c r="V548">
        <v>160</v>
      </c>
      <c r="W548" s="2">
        <v>0.3</v>
      </c>
      <c r="Y548" t="b">
        <v>1</v>
      </c>
      <c r="AX548"/>
      <c r="BA548" s="2"/>
      <c r="BB548" s="2" t="b">
        <f>LEN(_xlfn.CONCAT(Table1[[#This Row],[TRACK_TYPE_STANDARD_GAUGE_RAILTYPE_OHLE]:[TRACK_TYPE_MTRO]]))&gt;0</f>
        <v>1</v>
      </c>
      <c r="BC548" s="7">
        <v>25</v>
      </c>
      <c r="BD548" t="s">
        <v>926</v>
      </c>
      <c r="BE548" t="s">
        <v>922</v>
      </c>
      <c r="BF548" t="s">
        <v>940</v>
      </c>
      <c r="BG5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8">
        <v>0</v>
      </c>
      <c r="BI548" t="s">
        <v>734</v>
      </c>
      <c r="BJ548" s="11">
        <v>52</v>
      </c>
      <c r="BK548" s="11">
        <v>8</v>
      </c>
      <c r="BL548" s="11">
        <v>42</v>
      </c>
      <c r="BM548">
        <v>0</v>
      </c>
      <c r="BN548" t="s">
        <v>692</v>
      </c>
      <c r="BO548" t="s">
        <v>694</v>
      </c>
      <c r="BP548" t="s">
        <v>701</v>
      </c>
      <c r="BQ548" t="s">
        <v>705</v>
      </c>
      <c r="BR548" t="s">
        <v>706</v>
      </c>
      <c r="BS548" t="s">
        <v>707</v>
      </c>
    </row>
    <row r="549" spans="1:71" hidden="1" x14ac:dyDescent="0.4">
      <c r="A549" s="2" t="s">
        <v>577</v>
      </c>
      <c r="B549" t="str">
        <f>_xlfn.TEXTAFTER(Table1[[#This Row],[VEHIDCODE]],"_")</f>
        <v>Turkey_TCDD_E8000</v>
      </c>
      <c r="C549" t="s">
        <v>744</v>
      </c>
      <c r="D549" t="b">
        <f>OR(ISNUMBER(SEARCH("wagon_",Table1[[#This Row],[FILENAMES_EXPECTED]])),ISNUMBER(SEARCH("coach_",Table1[[#This Row],[FILENAMES_EXPECTED]])))</f>
        <v>0</v>
      </c>
      <c r="E549" t="str">
        <f>"item_"&amp;Table1[[#This Row],[VEHIDCODE]]</f>
        <v>item_emu_Turkey_TCDD_E8000</v>
      </c>
      <c r="F549" t="str">
        <f>"str_"&amp;Table1[[#This Row],[VEHIDCODE]]</f>
        <v>str_emu_Turkey_TCDD_E8000</v>
      </c>
      <c r="G549">
        <v>8</v>
      </c>
      <c r="H549" t="s">
        <v>18</v>
      </c>
      <c r="I549">
        <v>1</v>
      </c>
      <c r="J549" t="s">
        <v>74</v>
      </c>
      <c r="K549">
        <v>81</v>
      </c>
      <c r="L549">
        <v>1955</v>
      </c>
      <c r="M549">
        <v>8</v>
      </c>
      <c r="N549" s="2" t="s">
        <v>24</v>
      </c>
      <c r="O549" t="b">
        <v>1</v>
      </c>
      <c r="P549" t="b">
        <v>1</v>
      </c>
      <c r="Q549" s="2"/>
      <c r="R549">
        <v>45</v>
      </c>
      <c r="S549">
        <v>1</v>
      </c>
      <c r="T549">
        <v>550</v>
      </c>
      <c r="U549" t="s">
        <v>709</v>
      </c>
      <c r="V549">
        <v>110</v>
      </c>
      <c r="W549" s="2">
        <v>0.2</v>
      </c>
      <c r="Y549" t="b">
        <v>1</v>
      </c>
      <c r="AX549"/>
      <c r="BA549" s="2"/>
      <c r="BB549" s="2" t="b">
        <f>LEN(_xlfn.CONCAT(Table1[[#This Row],[TRACK_TYPE_STANDARD_GAUGE_RAILTYPE_OHLE]:[TRACK_TYPE_MTRO]]))&gt;0</f>
        <v>1</v>
      </c>
      <c r="BC549" s="7">
        <v>25</v>
      </c>
      <c r="BD549" t="s">
        <v>931</v>
      </c>
      <c r="BE549" t="s">
        <v>922</v>
      </c>
      <c r="BF549" t="s">
        <v>940</v>
      </c>
      <c r="BG5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9">
        <v>0</v>
      </c>
      <c r="BI549" t="s">
        <v>734</v>
      </c>
      <c r="BJ549" s="11">
        <v>81</v>
      </c>
      <c r="BK549" s="11">
        <v>8</v>
      </c>
      <c r="BL549" s="11">
        <v>40</v>
      </c>
      <c r="BM549">
        <v>0</v>
      </c>
      <c r="BN549" t="s">
        <v>692</v>
      </c>
      <c r="BO549" t="s">
        <v>694</v>
      </c>
      <c r="BP549" t="s">
        <v>701</v>
      </c>
      <c r="BQ549" t="s">
        <v>705</v>
      </c>
      <c r="BR549" t="s">
        <v>706</v>
      </c>
      <c r="BS549" t="s">
        <v>707</v>
      </c>
    </row>
    <row r="550" spans="1:71" hidden="1" x14ac:dyDescent="0.4">
      <c r="A550" s="2" t="s">
        <v>578</v>
      </c>
      <c r="B550" t="str">
        <f>_xlfn.TEXTAFTER(Table1[[#This Row],[VEHIDCODE]],"_")</f>
        <v>China_Railways_CHR380A</v>
      </c>
      <c r="C550" t="s">
        <v>744</v>
      </c>
      <c r="D550" t="b">
        <f>OR(ISNUMBER(SEARCH("wagon_",Table1[[#This Row],[FILENAMES_EXPECTED]])),ISNUMBER(SEARCH("coach_",Table1[[#This Row],[FILENAMES_EXPECTED]])))</f>
        <v>0</v>
      </c>
      <c r="E550" t="str">
        <f>"item_"&amp;Table1[[#This Row],[VEHIDCODE]]</f>
        <v>item_emu_China_Railways_CHR380A</v>
      </c>
      <c r="F550" t="str">
        <f>"str_"&amp;Table1[[#This Row],[VEHIDCODE]]</f>
        <v>str_emu_China_Railways_CHR380A</v>
      </c>
      <c r="G550">
        <v>8</v>
      </c>
      <c r="H550" t="s">
        <v>18</v>
      </c>
      <c r="I550">
        <v>1</v>
      </c>
      <c r="J550" t="s">
        <v>74</v>
      </c>
      <c r="K550">
        <v>70</v>
      </c>
      <c r="L550">
        <v>2010</v>
      </c>
      <c r="M550">
        <v>8</v>
      </c>
      <c r="N550" s="2" t="s">
        <v>24</v>
      </c>
      <c r="O550" t="b">
        <v>1</v>
      </c>
      <c r="P550" t="b">
        <v>1</v>
      </c>
      <c r="Q550" s="2"/>
      <c r="R550" t="s">
        <v>21</v>
      </c>
      <c r="S550">
        <v>1</v>
      </c>
      <c r="T550">
        <v>6450</v>
      </c>
      <c r="U550" t="s">
        <v>709</v>
      </c>
      <c r="V550">
        <v>380</v>
      </c>
      <c r="W550" s="2">
        <v>0.14000000000000001</v>
      </c>
      <c r="Y550" t="b">
        <v>1</v>
      </c>
      <c r="AX550"/>
      <c r="BA550" s="2"/>
      <c r="BB550" s="2" t="b">
        <f>LEN(_xlfn.CONCAT(Table1[[#This Row],[TRACK_TYPE_STANDARD_GAUGE_RAILTYPE_OHLE]:[TRACK_TYPE_MTRO]]))&gt;0</f>
        <v>1</v>
      </c>
      <c r="BC550" s="7">
        <v>25</v>
      </c>
      <c r="BD550" t="s">
        <v>931</v>
      </c>
      <c r="BE550" t="s">
        <v>922</v>
      </c>
      <c r="BF550" t="s">
        <v>940</v>
      </c>
      <c r="BG5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0">
        <v>0</v>
      </c>
      <c r="BI550" t="s">
        <v>734</v>
      </c>
      <c r="BJ550" s="11">
        <v>70</v>
      </c>
      <c r="BK550" s="11">
        <v>8</v>
      </c>
      <c r="BL550" s="11">
        <v>48</v>
      </c>
      <c r="BM550">
        <v>0</v>
      </c>
      <c r="BN550" t="s">
        <v>692</v>
      </c>
      <c r="BO550" t="s">
        <v>694</v>
      </c>
      <c r="BP550" t="s">
        <v>701</v>
      </c>
      <c r="BQ550" t="s">
        <v>705</v>
      </c>
      <c r="BR550" t="s">
        <v>706</v>
      </c>
      <c r="BS550" t="s">
        <v>707</v>
      </c>
    </row>
    <row r="551" spans="1:71" hidden="1" x14ac:dyDescent="0.4">
      <c r="A551" s="2" t="s">
        <v>579</v>
      </c>
      <c r="B551" t="str">
        <f>_xlfn.TEXTAFTER(Table1[[#This Row],[VEHIDCODE]],"_")</f>
        <v>USA_PRR_MP54</v>
      </c>
      <c r="C551" t="s">
        <v>744</v>
      </c>
      <c r="D551" t="b">
        <f>OR(ISNUMBER(SEARCH("wagon_",Table1[[#This Row],[FILENAMES_EXPECTED]])),ISNUMBER(SEARCH("coach_",Table1[[#This Row],[FILENAMES_EXPECTED]])))</f>
        <v>0</v>
      </c>
      <c r="E551" t="str">
        <f>"item_"&amp;Table1[[#This Row],[VEHIDCODE]]</f>
        <v>item_emu_USA_PRR_MP54</v>
      </c>
      <c r="F551" t="str">
        <f>"str_"&amp;Table1[[#This Row],[VEHIDCODE]]</f>
        <v>str_emu_USA_PRR_MP54</v>
      </c>
      <c r="G551">
        <v>8</v>
      </c>
      <c r="H551" t="s">
        <v>18</v>
      </c>
      <c r="I551">
        <v>1</v>
      </c>
      <c r="J551" t="s">
        <v>74</v>
      </c>
      <c r="K551">
        <v>72</v>
      </c>
      <c r="L551">
        <v>1908</v>
      </c>
      <c r="M551">
        <v>8</v>
      </c>
      <c r="N551" s="2" t="s">
        <v>24</v>
      </c>
      <c r="O551" t="b">
        <v>1</v>
      </c>
      <c r="P551" t="b">
        <v>1</v>
      </c>
      <c r="Q551" s="2"/>
      <c r="R551">
        <v>45</v>
      </c>
      <c r="S551">
        <v>1</v>
      </c>
      <c r="T551">
        <v>450</v>
      </c>
      <c r="U551" t="s">
        <v>709</v>
      </c>
      <c r="V551">
        <v>105</v>
      </c>
      <c r="W551" s="2">
        <v>0.22</v>
      </c>
      <c r="X551" t="b">
        <v>1</v>
      </c>
      <c r="AE551" t="b">
        <v>1</v>
      </c>
      <c r="AX551"/>
      <c r="BA551" s="2"/>
      <c r="BB551" s="2" t="b">
        <f>LEN(_xlfn.CONCAT(Table1[[#This Row],[TRACK_TYPE_STANDARD_GAUGE_RAILTYPE_OHLE]:[TRACK_TYPE_MTRO]]))&gt;0</f>
        <v>1</v>
      </c>
      <c r="BC551" s="7">
        <v>25</v>
      </c>
      <c r="BD551" t="s">
        <v>928</v>
      </c>
      <c r="BE551" t="s">
        <v>922</v>
      </c>
      <c r="BF551" t="s">
        <v>940</v>
      </c>
      <c r="BG5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1">
        <v>0</v>
      </c>
      <c r="BI551" t="s">
        <v>734</v>
      </c>
      <c r="BJ551" s="11">
        <v>72</v>
      </c>
      <c r="BK551" s="11">
        <v>8</v>
      </c>
      <c r="BL551" s="11">
        <v>68</v>
      </c>
      <c r="BM551">
        <v>0</v>
      </c>
      <c r="BN551" t="s">
        <v>692</v>
      </c>
      <c r="BO551" t="s">
        <v>694</v>
      </c>
      <c r="BP551" t="s">
        <v>701</v>
      </c>
      <c r="BQ551" t="s">
        <v>705</v>
      </c>
      <c r="BR551" t="s">
        <v>706</v>
      </c>
      <c r="BS551" t="s">
        <v>707</v>
      </c>
    </row>
    <row r="552" spans="1:71" hidden="1" x14ac:dyDescent="0.4">
      <c r="A552" s="2" t="s">
        <v>580</v>
      </c>
      <c r="B552" t="str">
        <f>_xlfn.TEXTAFTER(Table1[[#This Row],[VEHIDCODE]],"_")</f>
        <v>Italy_NTV_AGV</v>
      </c>
      <c r="C552" t="s">
        <v>744</v>
      </c>
      <c r="D552" t="b">
        <f>OR(ISNUMBER(SEARCH("wagon_",Table1[[#This Row],[FILENAMES_EXPECTED]])),ISNUMBER(SEARCH("coach_",Table1[[#This Row],[FILENAMES_EXPECTED]])))</f>
        <v>0</v>
      </c>
      <c r="E552" t="str">
        <f>"item_"&amp;Table1[[#This Row],[VEHIDCODE]]</f>
        <v>item_emu_Italy_NTV_AGV</v>
      </c>
      <c r="F552" t="str">
        <f>"str_"&amp;Table1[[#This Row],[VEHIDCODE]]</f>
        <v>str_emu_Italy_NTV_AGV</v>
      </c>
      <c r="G552">
        <v>8</v>
      </c>
      <c r="H552" t="s">
        <v>18</v>
      </c>
      <c r="I552">
        <v>1</v>
      </c>
      <c r="J552" t="s">
        <v>74</v>
      </c>
      <c r="K552">
        <v>42</v>
      </c>
      <c r="L552">
        <v>2011</v>
      </c>
      <c r="M552">
        <v>8</v>
      </c>
      <c r="N552" s="2" t="s">
        <v>480</v>
      </c>
      <c r="O552" t="b">
        <v>1</v>
      </c>
      <c r="P552" t="b">
        <v>1</v>
      </c>
      <c r="Q552" s="2"/>
      <c r="R552" t="s">
        <v>21</v>
      </c>
      <c r="S552">
        <v>1</v>
      </c>
      <c r="T552">
        <v>1150</v>
      </c>
      <c r="U552" t="s">
        <v>709</v>
      </c>
      <c r="V552">
        <v>360</v>
      </c>
      <c r="W552" s="2">
        <v>0.9</v>
      </c>
      <c r="X552" t="b">
        <v>1</v>
      </c>
      <c r="AX552"/>
      <c r="BA552" s="2"/>
      <c r="BB552" s="2" t="b">
        <f>LEN(_xlfn.CONCAT(Table1[[#This Row],[TRACK_TYPE_STANDARD_GAUGE_RAILTYPE_OHLE]:[TRACK_TYPE_MTRO]]))&gt;0</f>
        <v>1</v>
      </c>
      <c r="BC552" s="7">
        <v>25</v>
      </c>
      <c r="BD552" t="s">
        <v>924</v>
      </c>
      <c r="BE552" t="s">
        <v>922</v>
      </c>
      <c r="BF552" t="s">
        <v>940</v>
      </c>
      <c r="BG5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2">
        <v>0</v>
      </c>
      <c r="BI552" t="s">
        <v>734</v>
      </c>
      <c r="BJ552" s="11">
        <v>42</v>
      </c>
      <c r="BK552" s="11">
        <v>7</v>
      </c>
      <c r="BL552" s="11">
        <v>30</v>
      </c>
      <c r="BM552">
        <v>0</v>
      </c>
      <c r="BN552" t="s">
        <v>692</v>
      </c>
      <c r="BO552" t="s">
        <v>694</v>
      </c>
      <c r="BP552" t="s">
        <v>701</v>
      </c>
      <c r="BQ552" t="s">
        <v>705</v>
      </c>
      <c r="BR552" t="s">
        <v>706</v>
      </c>
      <c r="BS552" t="s">
        <v>707</v>
      </c>
    </row>
    <row r="553" spans="1:71" hidden="1" x14ac:dyDescent="0.4">
      <c r="A553" s="2" t="s">
        <v>581</v>
      </c>
      <c r="B553" t="str">
        <f>_xlfn.TEXTAFTER(Table1[[#This Row],[VEHIDCODE]],"_")</f>
        <v>Italy_NTV_AGV_Duplex</v>
      </c>
      <c r="C553" t="s">
        <v>744</v>
      </c>
      <c r="D553" t="b">
        <f>OR(ISNUMBER(SEARCH("wagon_",Table1[[#This Row],[FILENAMES_EXPECTED]])),ISNUMBER(SEARCH("coach_",Table1[[#This Row],[FILENAMES_EXPECTED]])))</f>
        <v>0</v>
      </c>
      <c r="E553" t="str">
        <f>"item_"&amp;Table1[[#This Row],[VEHIDCODE]]</f>
        <v>item_emu_Italy_NTV_AGV_Duplex</v>
      </c>
      <c r="F553" t="str">
        <f>"str_"&amp;Table1[[#This Row],[VEHIDCODE]]</f>
        <v>str_emu_Italy_NTV_AGV_Duplex</v>
      </c>
      <c r="G553">
        <v>8</v>
      </c>
      <c r="H553" t="s">
        <v>18</v>
      </c>
      <c r="I553">
        <v>1</v>
      </c>
      <c r="J553" t="s">
        <v>74</v>
      </c>
      <c r="K553">
        <v>67</v>
      </c>
      <c r="L553">
        <v>2015</v>
      </c>
      <c r="M553">
        <v>8</v>
      </c>
      <c r="N553" s="2" t="s">
        <v>480</v>
      </c>
      <c r="O553" t="b">
        <v>1</v>
      </c>
      <c r="P553" t="b">
        <v>1</v>
      </c>
      <c r="Q553" s="2"/>
      <c r="R553" t="s">
        <v>21</v>
      </c>
      <c r="S553">
        <v>1</v>
      </c>
      <c r="T553">
        <v>1750</v>
      </c>
      <c r="U553" t="s">
        <v>709</v>
      </c>
      <c r="V553">
        <v>360</v>
      </c>
      <c r="W553" s="2">
        <v>0.83</v>
      </c>
      <c r="X553" t="b">
        <v>1</v>
      </c>
      <c r="AX553"/>
      <c r="BA553" s="2"/>
      <c r="BB553" s="2" t="b">
        <f>LEN(_xlfn.CONCAT(Table1[[#This Row],[TRACK_TYPE_STANDARD_GAUGE_RAILTYPE_OHLE]:[TRACK_TYPE_MTRO]]))&gt;0</f>
        <v>1</v>
      </c>
      <c r="BC553" s="7">
        <v>25</v>
      </c>
      <c r="BD553" t="s">
        <v>924</v>
      </c>
      <c r="BE553" t="s">
        <v>922</v>
      </c>
      <c r="BF553" t="s">
        <v>940</v>
      </c>
      <c r="BG5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3">
        <v>0</v>
      </c>
      <c r="BI553" t="s">
        <v>734</v>
      </c>
      <c r="BJ553" s="11">
        <v>67</v>
      </c>
      <c r="BK553" s="11">
        <v>7</v>
      </c>
      <c r="BL553" s="11">
        <v>44</v>
      </c>
      <c r="BM553">
        <v>0</v>
      </c>
      <c r="BN553" t="s">
        <v>692</v>
      </c>
      <c r="BO553" t="s">
        <v>694</v>
      </c>
      <c r="BP553" t="s">
        <v>701</v>
      </c>
      <c r="BQ553" t="s">
        <v>705</v>
      </c>
      <c r="BR553" t="s">
        <v>706</v>
      </c>
      <c r="BS553" t="s">
        <v>707</v>
      </c>
    </row>
    <row r="554" spans="1:71" hidden="1" x14ac:dyDescent="0.4">
      <c r="A554" s="2" t="s">
        <v>582</v>
      </c>
      <c r="B554" t="str">
        <f>_xlfn.TEXTAFTER(Table1[[#This Row],[VEHIDCODE]],"_")</f>
        <v>Netherlands_NS_Hispeed_V250_Albatros</v>
      </c>
      <c r="C554" t="s">
        <v>744</v>
      </c>
      <c r="D554" t="b">
        <f>OR(ISNUMBER(SEARCH("wagon_",Table1[[#This Row],[FILENAMES_EXPECTED]])),ISNUMBER(SEARCH("coach_",Table1[[#This Row],[FILENAMES_EXPECTED]])))</f>
        <v>0</v>
      </c>
      <c r="E554" t="str">
        <f>"item_"&amp;Table1[[#This Row],[VEHIDCODE]]</f>
        <v>item_emu_Netherlands_NS_Hispeed_V250_Albatros</v>
      </c>
      <c r="F554" t="str">
        <f>"str_"&amp;Table1[[#This Row],[VEHIDCODE]]</f>
        <v>str_emu_Netherlands_NS_Hispeed_V250_Albatros</v>
      </c>
      <c r="G554">
        <v>8</v>
      </c>
      <c r="H554" t="s">
        <v>18</v>
      </c>
      <c r="I554">
        <v>1</v>
      </c>
      <c r="J554" t="s">
        <v>74</v>
      </c>
      <c r="K554">
        <v>71</v>
      </c>
      <c r="L554">
        <v>2012</v>
      </c>
      <c r="M554">
        <v>8</v>
      </c>
      <c r="N554" s="2" t="s">
        <v>24</v>
      </c>
      <c r="O554" t="b">
        <v>1</v>
      </c>
      <c r="P554" t="b">
        <v>1</v>
      </c>
      <c r="Q554" s="2"/>
      <c r="R554" t="s">
        <v>21</v>
      </c>
      <c r="S554">
        <v>1</v>
      </c>
      <c r="T554">
        <v>1850</v>
      </c>
      <c r="U554" t="s">
        <v>709</v>
      </c>
      <c r="V554">
        <v>251</v>
      </c>
      <c r="W554" s="2">
        <v>0.52</v>
      </c>
      <c r="X554" t="b">
        <v>1</v>
      </c>
      <c r="AX554"/>
      <c r="BA554" s="2"/>
      <c r="BB554" s="2" t="b">
        <f>LEN(_xlfn.CONCAT(Table1[[#This Row],[TRACK_TYPE_STANDARD_GAUGE_RAILTYPE_OHLE]:[TRACK_TYPE_MTRO]]))&gt;0</f>
        <v>1</v>
      </c>
      <c r="BC554" s="7">
        <v>25</v>
      </c>
      <c r="BD554" t="s">
        <v>923</v>
      </c>
      <c r="BE554" t="s">
        <v>922</v>
      </c>
      <c r="BF554" t="s">
        <v>940</v>
      </c>
      <c r="BG5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4">
        <v>0</v>
      </c>
      <c r="BI554" t="s">
        <v>734</v>
      </c>
      <c r="BJ554" s="11">
        <v>71</v>
      </c>
      <c r="BK554" s="11">
        <v>8</v>
      </c>
      <c r="BL554" s="11">
        <v>58</v>
      </c>
      <c r="BM554">
        <v>0</v>
      </c>
      <c r="BN554" t="s">
        <v>692</v>
      </c>
      <c r="BO554" t="s">
        <v>694</v>
      </c>
      <c r="BP554" t="s">
        <v>701</v>
      </c>
      <c r="BQ554" t="s">
        <v>705</v>
      </c>
      <c r="BR554" t="s">
        <v>706</v>
      </c>
      <c r="BS554" t="s">
        <v>707</v>
      </c>
    </row>
    <row r="555" spans="1:71" hidden="1" x14ac:dyDescent="0.4">
      <c r="A555" s="2" t="s">
        <v>583</v>
      </c>
      <c r="B555" t="str">
        <f>_xlfn.TEXTAFTER(Table1[[#This Row],[VEHIDCODE]],"_")</f>
        <v>Netherlands_NS_4800_HSA</v>
      </c>
      <c r="C555" t="s">
        <v>744</v>
      </c>
      <c r="D555" t="b">
        <f>OR(ISNUMBER(SEARCH("wagon_",Table1[[#This Row],[FILENAMES_EXPECTED]])),ISNUMBER(SEARCH("coach_",Table1[[#This Row],[FILENAMES_EXPECTED]])))</f>
        <v>0</v>
      </c>
      <c r="E555" t="str">
        <f>"item_"&amp;Table1[[#This Row],[VEHIDCODE]]</f>
        <v>item_emu_Netherlands_NS_4800_HSA</v>
      </c>
      <c r="F555" t="str">
        <f>"str_"&amp;Table1[[#This Row],[VEHIDCODE]]</f>
        <v>str_emu_Netherlands_NS_4800_HSA</v>
      </c>
      <c r="G555">
        <v>8</v>
      </c>
      <c r="H555" t="s">
        <v>18</v>
      </c>
      <c r="I555">
        <v>1</v>
      </c>
      <c r="J555" t="s">
        <v>74</v>
      </c>
      <c r="K555">
        <v>42</v>
      </c>
      <c r="L555">
        <v>2012</v>
      </c>
      <c r="M555">
        <v>8</v>
      </c>
      <c r="N555" s="2" t="s">
        <v>480</v>
      </c>
      <c r="O555" t="b">
        <v>1</v>
      </c>
      <c r="P555" t="b">
        <v>1</v>
      </c>
      <c r="Q555" s="2"/>
      <c r="R555" t="s">
        <v>21</v>
      </c>
      <c r="S555">
        <v>1</v>
      </c>
      <c r="T555">
        <v>1000</v>
      </c>
      <c r="U555" t="s">
        <v>709</v>
      </c>
      <c r="V555">
        <v>300</v>
      </c>
      <c r="W555" s="2">
        <v>0.8</v>
      </c>
      <c r="X555" t="b">
        <v>1</v>
      </c>
      <c r="AX555"/>
      <c r="BA555" s="2"/>
      <c r="BB555" s="2" t="b">
        <f>LEN(_xlfn.CONCAT(Table1[[#This Row],[TRACK_TYPE_STANDARD_GAUGE_RAILTYPE_OHLE]:[TRACK_TYPE_MTRO]]))&gt;0</f>
        <v>1</v>
      </c>
      <c r="BC555" s="7">
        <v>25</v>
      </c>
      <c r="BD555" t="s">
        <v>923</v>
      </c>
      <c r="BE555" t="s">
        <v>922</v>
      </c>
      <c r="BF555" t="s">
        <v>941</v>
      </c>
      <c r="BG5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5">
        <v>0</v>
      </c>
      <c r="BI555" t="s">
        <v>734</v>
      </c>
      <c r="BJ555" s="11">
        <v>42</v>
      </c>
      <c r="BK555" s="11">
        <v>8</v>
      </c>
      <c r="BL555" s="11">
        <v>35</v>
      </c>
      <c r="BM555">
        <v>0</v>
      </c>
      <c r="BN555" t="s">
        <v>692</v>
      </c>
      <c r="BO555" t="s">
        <v>694</v>
      </c>
      <c r="BP555" t="s">
        <v>701</v>
      </c>
      <c r="BQ555" t="s">
        <v>705</v>
      </c>
      <c r="BR555" t="s">
        <v>706</v>
      </c>
      <c r="BS555" t="s">
        <v>707</v>
      </c>
    </row>
    <row r="556" spans="1:71" hidden="1" x14ac:dyDescent="0.4">
      <c r="A556" s="2" t="s">
        <v>584</v>
      </c>
      <c r="B556" t="str">
        <f>_xlfn.TEXTAFTER(Table1[[#This Row],[VEHIDCODE]],"_")</f>
        <v>Switzerland_SBB_Rae_TEE_II</v>
      </c>
      <c r="C556" t="s">
        <v>744</v>
      </c>
      <c r="D556" t="b">
        <f>OR(ISNUMBER(SEARCH("wagon_",Table1[[#This Row],[FILENAMES_EXPECTED]])),ISNUMBER(SEARCH("coach_",Table1[[#This Row],[FILENAMES_EXPECTED]])))</f>
        <v>0</v>
      </c>
      <c r="E556" t="str">
        <f>"item_"&amp;Table1[[#This Row],[VEHIDCODE]]</f>
        <v>item_emu_Switzerland_SBB_Rae_TEE_II</v>
      </c>
      <c r="F556" t="str">
        <f>"str_"&amp;Table1[[#This Row],[VEHIDCODE]]</f>
        <v>str_emu_Switzerland_SBB_Rae_TEE_II</v>
      </c>
      <c r="G556">
        <v>8</v>
      </c>
      <c r="H556" t="s">
        <v>18</v>
      </c>
      <c r="I556">
        <v>1</v>
      </c>
      <c r="J556" t="s">
        <v>74</v>
      </c>
      <c r="K556">
        <v>60</v>
      </c>
      <c r="L556">
        <v>1961</v>
      </c>
      <c r="M556">
        <v>8</v>
      </c>
      <c r="N556" s="2" t="s">
        <v>480</v>
      </c>
      <c r="O556" t="b">
        <v>1</v>
      </c>
      <c r="P556" t="b">
        <v>1</v>
      </c>
      <c r="Q556" s="2"/>
      <c r="R556">
        <v>45</v>
      </c>
      <c r="S556">
        <v>1</v>
      </c>
      <c r="T556">
        <v>425</v>
      </c>
      <c r="U556" t="s">
        <v>709</v>
      </c>
      <c r="V556">
        <v>160</v>
      </c>
      <c r="W556" s="2">
        <v>0.26</v>
      </c>
      <c r="X556" t="b">
        <v>1</v>
      </c>
      <c r="AX556"/>
      <c r="BA556" s="2"/>
      <c r="BB556" s="2" t="b">
        <f>LEN(_xlfn.CONCAT(Table1[[#This Row],[TRACK_TYPE_STANDARD_GAUGE_RAILTYPE_OHLE]:[TRACK_TYPE_MTRO]]))&gt;0</f>
        <v>1</v>
      </c>
      <c r="BC556" s="7">
        <v>25</v>
      </c>
      <c r="BD556" t="s">
        <v>923</v>
      </c>
      <c r="BE556" t="s">
        <v>922</v>
      </c>
      <c r="BF556" t="s">
        <v>940</v>
      </c>
      <c r="BG5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6">
        <v>0</v>
      </c>
      <c r="BI556" t="s">
        <v>734</v>
      </c>
      <c r="BJ556" s="11">
        <v>60</v>
      </c>
      <c r="BK556" s="11">
        <v>8</v>
      </c>
      <c r="BL556" s="11">
        <v>47</v>
      </c>
      <c r="BM556">
        <v>0</v>
      </c>
      <c r="BN556" t="s">
        <v>692</v>
      </c>
      <c r="BO556" t="s">
        <v>694</v>
      </c>
      <c r="BP556" t="s">
        <v>701</v>
      </c>
      <c r="BQ556" t="s">
        <v>705</v>
      </c>
      <c r="BR556" t="s">
        <v>706</v>
      </c>
      <c r="BS556" t="s">
        <v>707</v>
      </c>
    </row>
    <row r="557" spans="1:71" hidden="1" x14ac:dyDescent="0.4">
      <c r="A557" s="2" t="s">
        <v>585</v>
      </c>
      <c r="B557" t="str">
        <f>_xlfn.TEXTAFTER(Table1[[#This Row],[VEHIDCODE]],"_")</f>
        <v>USA_Erie_Lackawanna_MU_Cars</v>
      </c>
      <c r="C557" t="s">
        <v>744</v>
      </c>
      <c r="D557" t="b">
        <f>OR(ISNUMBER(SEARCH("wagon_",Table1[[#This Row],[FILENAMES_EXPECTED]])),ISNUMBER(SEARCH("coach_",Table1[[#This Row],[FILENAMES_EXPECTED]])))</f>
        <v>0</v>
      </c>
      <c r="E557" t="str">
        <f>"item_"&amp;Table1[[#This Row],[VEHIDCODE]]</f>
        <v>item_emu_USA_Erie_Lackawanna_MU_Cars</v>
      </c>
      <c r="F557" t="str">
        <f>"str_"&amp;Table1[[#This Row],[VEHIDCODE]]</f>
        <v>str_emu_USA_Erie_Lackawanna_MU_Cars</v>
      </c>
      <c r="G557">
        <v>8</v>
      </c>
      <c r="H557" t="s">
        <v>18</v>
      </c>
      <c r="I557">
        <v>1</v>
      </c>
      <c r="J557" t="s">
        <v>74</v>
      </c>
      <c r="K557">
        <v>58</v>
      </c>
      <c r="L557">
        <v>1930</v>
      </c>
      <c r="M557">
        <v>8</v>
      </c>
      <c r="N557" s="2" t="s">
        <v>24</v>
      </c>
      <c r="O557" t="b">
        <v>1</v>
      </c>
      <c r="P557" t="b">
        <v>1</v>
      </c>
      <c r="Q557" s="2"/>
      <c r="R557">
        <v>45</v>
      </c>
      <c r="S557">
        <v>1</v>
      </c>
      <c r="T557">
        <v>510</v>
      </c>
      <c r="U557" t="s">
        <v>709</v>
      </c>
      <c r="V557">
        <v>101</v>
      </c>
      <c r="W557" s="2">
        <v>0.25</v>
      </c>
      <c r="X557" t="b">
        <v>1</v>
      </c>
      <c r="AX557"/>
      <c r="BA557" s="2"/>
      <c r="BB557" s="2" t="b">
        <f>LEN(_xlfn.CONCAT(Table1[[#This Row],[TRACK_TYPE_STANDARD_GAUGE_RAILTYPE_OHLE]:[TRACK_TYPE_MTRO]]))&gt;0</f>
        <v>1</v>
      </c>
      <c r="BC557" s="7">
        <v>25</v>
      </c>
      <c r="BD557" t="s">
        <v>928</v>
      </c>
      <c r="BE557" t="s">
        <v>922</v>
      </c>
      <c r="BF557" t="s">
        <v>940</v>
      </c>
      <c r="BG5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7">
        <v>0</v>
      </c>
      <c r="BI557" t="s">
        <v>734</v>
      </c>
      <c r="BJ557" s="11">
        <v>58</v>
      </c>
      <c r="BK557" s="11">
        <v>8</v>
      </c>
      <c r="BL557" s="11">
        <v>51</v>
      </c>
      <c r="BM557">
        <v>0</v>
      </c>
      <c r="BN557" t="s">
        <v>692</v>
      </c>
      <c r="BO557" t="s">
        <v>694</v>
      </c>
      <c r="BP557" t="s">
        <v>701</v>
      </c>
      <c r="BQ557" t="s">
        <v>705</v>
      </c>
      <c r="BR557" t="s">
        <v>706</v>
      </c>
      <c r="BS557" t="s">
        <v>707</v>
      </c>
    </row>
    <row r="558" spans="1:71" hidden="1" x14ac:dyDescent="0.4">
      <c r="A558" s="2" t="s">
        <v>586</v>
      </c>
      <c r="B558" t="str">
        <f>_xlfn.TEXTAFTER(Table1[[#This Row],[VEHIDCODE]],"_")</f>
        <v>France_SNCF_TGV_Sud_Est</v>
      </c>
      <c r="C558" t="s">
        <v>744</v>
      </c>
      <c r="D558" t="b">
        <f>OR(ISNUMBER(SEARCH("wagon_",Table1[[#This Row],[FILENAMES_EXPECTED]])),ISNUMBER(SEARCH("coach_",Table1[[#This Row],[FILENAMES_EXPECTED]])))</f>
        <v>0</v>
      </c>
      <c r="E558" t="str">
        <f>"item_"&amp;Table1[[#This Row],[VEHIDCODE]]</f>
        <v>item_emu_France_SNCF_TGV_Sud_Est</v>
      </c>
      <c r="F558" t="str">
        <f>"str_"&amp;Table1[[#This Row],[VEHIDCODE]]</f>
        <v>str_emu_France_SNCF_TGV_Sud_Est</v>
      </c>
      <c r="G558">
        <v>8</v>
      </c>
      <c r="H558" t="s">
        <v>18</v>
      </c>
      <c r="I558">
        <v>1</v>
      </c>
      <c r="J558" t="s">
        <v>74</v>
      </c>
      <c r="K558">
        <v>0</v>
      </c>
      <c r="L558">
        <v>1981</v>
      </c>
      <c r="M558">
        <v>8</v>
      </c>
      <c r="N558" s="2" t="s">
        <v>480</v>
      </c>
      <c r="O558" t="b">
        <v>1</v>
      </c>
      <c r="P558" t="b">
        <v>1</v>
      </c>
      <c r="Q558" s="2"/>
      <c r="R558">
        <v>45</v>
      </c>
      <c r="S558">
        <v>1</v>
      </c>
      <c r="T558">
        <v>9000</v>
      </c>
      <c r="U558" t="s">
        <v>709</v>
      </c>
      <c r="V558">
        <v>240</v>
      </c>
      <c r="W558" s="2">
        <v>0.92</v>
      </c>
      <c r="X558" t="b">
        <v>1</v>
      </c>
      <c r="AX558"/>
      <c r="BA558" s="2"/>
      <c r="BB558" s="2" t="b">
        <f>LEN(_xlfn.CONCAT(Table1[[#This Row],[TRACK_TYPE_STANDARD_GAUGE_RAILTYPE_OHLE]:[TRACK_TYPE_MTRO]]))&gt;0</f>
        <v>1</v>
      </c>
      <c r="BC558" s="7">
        <v>25</v>
      </c>
      <c r="BD558" t="s">
        <v>923</v>
      </c>
      <c r="BE558" t="s">
        <v>922</v>
      </c>
      <c r="BF558" t="s">
        <v>940</v>
      </c>
      <c r="BG5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8">
        <v>0</v>
      </c>
      <c r="BI558" t="s">
        <v>734</v>
      </c>
      <c r="BJ558" s="11">
        <v>43</v>
      </c>
      <c r="BK558" s="11">
        <v>6</v>
      </c>
      <c r="BL558" s="11">
        <v>38</v>
      </c>
      <c r="BM558">
        <v>0</v>
      </c>
      <c r="BN558" t="s">
        <v>692</v>
      </c>
      <c r="BO558" t="s">
        <v>694</v>
      </c>
      <c r="BP558" t="s">
        <v>701</v>
      </c>
      <c r="BQ558" t="s">
        <v>705</v>
      </c>
      <c r="BR558" t="s">
        <v>706</v>
      </c>
      <c r="BS558" t="s">
        <v>707</v>
      </c>
    </row>
    <row r="559" spans="1:71" hidden="1" x14ac:dyDescent="0.4">
      <c r="A559" s="2" t="s">
        <v>587</v>
      </c>
      <c r="B559" t="str">
        <f>_xlfn.TEXTAFTER(Table1[[#This Row],[VEHIDCODE]],"_")</f>
        <v>France_SNCF_TGV_Duplex</v>
      </c>
      <c r="C559" t="s">
        <v>744</v>
      </c>
      <c r="D559" t="b">
        <f>OR(ISNUMBER(SEARCH("wagon_",Table1[[#This Row],[FILENAMES_EXPECTED]])),ISNUMBER(SEARCH("coach_",Table1[[#This Row],[FILENAMES_EXPECTED]])))</f>
        <v>0</v>
      </c>
      <c r="E559" t="str">
        <f>"item_"&amp;Table1[[#This Row],[VEHIDCODE]]</f>
        <v>item_emu_France_SNCF_TGV_Duplex</v>
      </c>
      <c r="F559" t="str">
        <f>"str_"&amp;Table1[[#This Row],[VEHIDCODE]]</f>
        <v>str_emu_France_SNCF_TGV_Duplex</v>
      </c>
      <c r="G559">
        <v>8</v>
      </c>
      <c r="H559" t="s">
        <v>18</v>
      </c>
      <c r="I559">
        <v>1</v>
      </c>
      <c r="J559" t="s">
        <v>74</v>
      </c>
      <c r="K559">
        <v>0</v>
      </c>
      <c r="L559">
        <v>1995</v>
      </c>
      <c r="M559">
        <v>8</v>
      </c>
      <c r="N559" s="2" t="s">
        <v>480</v>
      </c>
      <c r="O559" t="b">
        <v>1</v>
      </c>
      <c r="P559" t="b">
        <v>1</v>
      </c>
      <c r="Q559" s="2"/>
      <c r="R559" t="s">
        <v>21</v>
      </c>
      <c r="S559">
        <v>1</v>
      </c>
      <c r="T559">
        <v>12800</v>
      </c>
      <c r="U559" t="s">
        <v>709</v>
      </c>
      <c r="V559">
        <v>320</v>
      </c>
      <c r="W559" s="2">
        <v>0.81</v>
      </c>
      <c r="X559" t="b">
        <v>1</v>
      </c>
      <c r="AX559"/>
      <c r="BA559" s="2"/>
      <c r="BB559" s="2" t="b">
        <f>LEN(_xlfn.CONCAT(Table1[[#This Row],[TRACK_TYPE_STANDARD_GAUGE_RAILTYPE_OHLE]:[TRACK_TYPE_MTRO]]))&gt;0</f>
        <v>1</v>
      </c>
      <c r="BC559" s="7">
        <v>25</v>
      </c>
      <c r="BD559" t="s">
        <v>923</v>
      </c>
      <c r="BE559" t="s">
        <v>922</v>
      </c>
      <c r="BF559" t="s">
        <v>940</v>
      </c>
      <c r="BG5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9">
        <v>-3</v>
      </c>
      <c r="BI559" t="s">
        <v>734</v>
      </c>
      <c r="BJ559" s="11">
        <v>72</v>
      </c>
      <c r="BK559" s="11">
        <v>6</v>
      </c>
      <c r="BL559" s="11">
        <v>43</v>
      </c>
      <c r="BM559">
        <v>0</v>
      </c>
      <c r="BN559" t="s">
        <v>692</v>
      </c>
      <c r="BO559" t="s">
        <v>694</v>
      </c>
      <c r="BP559" t="s">
        <v>701</v>
      </c>
      <c r="BQ559" t="s">
        <v>705</v>
      </c>
      <c r="BR559" t="s">
        <v>706</v>
      </c>
      <c r="BS559" t="s">
        <v>707</v>
      </c>
    </row>
    <row r="560" spans="1:71" hidden="1" x14ac:dyDescent="0.4">
      <c r="A560" s="2" t="s">
        <v>588</v>
      </c>
      <c r="B560" t="str">
        <f>_xlfn.TEXTAFTER(Table1[[#This Row],[VEHIDCODE]],"_")</f>
        <v>France_Thalys_PBKA</v>
      </c>
      <c r="C560" t="s">
        <v>744</v>
      </c>
      <c r="D560" t="b">
        <f>OR(ISNUMBER(SEARCH("wagon_",Table1[[#This Row],[FILENAMES_EXPECTED]])),ISNUMBER(SEARCH("coach_",Table1[[#This Row],[FILENAMES_EXPECTED]])))</f>
        <v>0</v>
      </c>
      <c r="E560" t="str">
        <f>"item_"&amp;Table1[[#This Row],[VEHIDCODE]]</f>
        <v>item_emu_France_Thalys_PBKA</v>
      </c>
      <c r="F560" t="str">
        <f>"str_"&amp;Table1[[#This Row],[VEHIDCODE]]</f>
        <v>str_emu_France_Thalys_PBKA</v>
      </c>
      <c r="G560">
        <v>8</v>
      </c>
      <c r="H560" t="s">
        <v>18</v>
      </c>
      <c r="I560">
        <v>1</v>
      </c>
      <c r="J560" t="s">
        <v>74</v>
      </c>
      <c r="K560">
        <v>0</v>
      </c>
      <c r="L560">
        <v>1995</v>
      </c>
      <c r="M560">
        <v>8</v>
      </c>
      <c r="N560" s="2" t="s">
        <v>480</v>
      </c>
      <c r="O560" t="b">
        <v>1</v>
      </c>
      <c r="P560" t="b">
        <v>1</v>
      </c>
      <c r="Q560" s="2"/>
      <c r="R560" t="s">
        <v>21</v>
      </c>
      <c r="S560">
        <v>1</v>
      </c>
      <c r="T560">
        <v>12000</v>
      </c>
      <c r="U560" t="s">
        <v>709</v>
      </c>
      <c r="V560">
        <v>300</v>
      </c>
      <c r="W560" s="2">
        <v>0.85</v>
      </c>
      <c r="X560" t="b">
        <v>1</v>
      </c>
      <c r="AX560"/>
      <c r="BA560" s="2"/>
      <c r="BB560" s="2" t="b">
        <f>LEN(_xlfn.CONCAT(Table1[[#This Row],[TRACK_TYPE_STANDARD_GAUGE_RAILTYPE_OHLE]:[TRACK_TYPE_MTRO]]))&gt;0</f>
        <v>1</v>
      </c>
      <c r="BC560" s="7">
        <v>25</v>
      </c>
      <c r="BD560" t="s">
        <v>923</v>
      </c>
      <c r="BE560" t="s">
        <v>922</v>
      </c>
      <c r="BF560" t="s">
        <v>940</v>
      </c>
      <c r="BG5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0">
        <v>0</v>
      </c>
      <c r="BI560" t="s">
        <v>734</v>
      </c>
      <c r="BJ560" s="11">
        <v>47</v>
      </c>
      <c r="BK560" s="11">
        <v>6</v>
      </c>
      <c r="BL560" s="11">
        <v>41</v>
      </c>
      <c r="BM560">
        <v>0</v>
      </c>
      <c r="BN560" t="s">
        <v>692</v>
      </c>
      <c r="BO560" t="s">
        <v>694</v>
      </c>
      <c r="BP560" t="s">
        <v>701</v>
      </c>
      <c r="BQ560" t="s">
        <v>705</v>
      </c>
      <c r="BR560" t="s">
        <v>706</v>
      </c>
      <c r="BS560" t="s">
        <v>707</v>
      </c>
    </row>
    <row r="561" spans="1:71" hidden="1" x14ac:dyDescent="0.4">
      <c r="A561" s="2" t="s">
        <v>589</v>
      </c>
      <c r="B561" t="str">
        <f>_xlfn.TEXTAFTER(Table1[[#This Row],[VEHIDCODE]],"_")</f>
        <v>Czech_Republic_CD_680_Pendolino</v>
      </c>
      <c r="C561" t="s">
        <v>744</v>
      </c>
      <c r="D561" t="b">
        <f>OR(ISNUMBER(SEARCH("wagon_",Table1[[#This Row],[FILENAMES_EXPECTED]])),ISNUMBER(SEARCH("coach_",Table1[[#This Row],[FILENAMES_EXPECTED]])))</f>
        <v>0</v>
      </c>
      <c r="E561" t="str">
        <f>"item_"&amp;Table1[[#This Row],[VEHIDCODE]]</f>
        <v>item_emu_Czech_Republic_CD_680_Pendolino</v>
      </c>
      <c r="F561" t="str">
        <f>"str_"&amp;Table1[[#This Row],[VEHIDCODE]]</f>
        <v>str_emu_Czech_Republic_CD_680_Pendolino</v>
      </c>
      <c r="G561">
        <v>8</v>
      </c>
      <c r="H561" t="s">
        <v>18</v>
      </c>
      <c r="I561">
        <v>1</v>
      </c>
      <c r="J561" t="s">
        <v>74</v>
      </c>
      <c r="K561">
        <v>47</v>
      </c>
      <c r="L561">
        <v>1999</v>
      </c>
      <c r="M561">
        <v>8</v>
      </c>
      <c r="N561" s="2" t="s">
        <v>480</v>
      </c>
      <c r="O561" t="b">
        <v>1</v>
      </c>
      <c r="P561" t="b">
        <v>1</v>
      </c>
      <c r="Q561" s="2"/>
      <c r="R561" t="s">
        <v>21</v>
      </c>
      <c r="S561">
        <v>1</v>
      </c>
      <c r="T561">
        <v>750</v>
      </c>
      <c r="U561" t="s">
        <v>709</v>
      </c>
      <c r="V561">
        <v>230</v>
      </c>
      <c r="W561" s="2">
        <v>0.67</v>
      </c>
      <c r="X561" t="b">
        <v>1</v>
      </c>
      <c r="AX561"/>
      <c r="BA561" s="2"/>
      <c r="BB561" s="2" t="b">
        <f>LEN(_xlfn.CONCAT(Table1[[#This Row],[TRACK_TYPE_STANDARD_GAUGE_RAILTYPE_OHLE]:[TRACK_TYPE_MTRO]]))&gt;0</f>
        <v>1</v>
      </c>
      <c r="BC561" s="7">
        <v>25</v>
      </c>
      <c r="BD561" t="s">
        <v>929</v>
      </c>
      <c r="BE561" t="s">
        <v>922</v>
      </c>
      <c r="BF561" t="s">
        <v>940</v>
      </c>
      <c r="BG5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1">
        <v>0</v>
      </c>
      <c r="BI561" t="s">
        <v>734</v>
      </c>
      <c r="BJ561" s="11">
        <v>47</v>
      </c>
      <c r="BK561" s="11">
        <v>8</v>
      </c>
      <c r="BL561" s="11">
        <v>55</v>
      </c>
      <c r="BM561">
        <v>0</v>
      </c>
      <c r="BN561" t="s">
        <v>692</v>
      </c>
      <c r="BO561" t="s">
        <v>694</v>
      </c>
      <c r="BP561" t="s">
        <v>701</v>
      </c>
      <c r="BQ561" t="s">
        <v>705</v>
      </c>
      <c r="BR561" t="s">
        <v>706</v>
      </c>
      <c r="BS561" t="s">
        <v>707</v>
      </c>
    </row>
    <row r="562" spans="1:71" hidden="1" x14ac:dyDescent="0.4">
      <c r="A562" s="2" t="s">
        <v>590</v>
      </c>
      <c r="B562" t="str">
        <f>_xlfn.TEXTAFTER(Table1[[#This Row],[VEHIDCODE]],"_")</f>
        <v>Spain_RENFE_120</v>
      </c>
      <c r="C562" t="s">
        <v>744</v>
      </c>
      <c r="D562" t="b">
        <f>OR(ISNUMBER(SEARCH("wagon_",Table1[[#This Row],[FILENAMES_EXPECTED]])),ISNUMBER(SEARCH("coach_",Table1[[#This Row],[FILENAMES_EXPECTED]])))</f>
        <v>0</v>
      </c>
      <c r="E562" t="str">
        <f>"item_"&amp;Table1[[#This Row],[VEHIDCODE]]</f>
        <v>item_emu_Spain_RENFE_120</v>
      </c>
      <c r="F562" t="str">
        <f>"str_"&amp;Table1[[#This Row],[VEHIDCODE]]</f>
        <v>str_emu_Spain_RENFE_120</v>
      </c>
      <c r="G562">
        <v>8</v>
      </c>
      <c r="H562" t="s">
        <v>18</v>
      </c>
      <c r="I562">
        <v>1</v>
      </c>
      <c r="J562" t="s">
        <v>74</v>
      </c>
      <c r="K562">
        <v>60</v>
      </c>
      <c r="L562">
        <v>2001</v>
      </c>
      <c r="M562">
        <v>8</v>
      </c>
      <c r="N562" s="2" t="s">
        <v>24</v>
      </c>
      <c r="O562" t="b">
        <v>1</v>
      </c>
      <c r="P562" t="b">
        <v>1</v>
      </c>
      <c r="Q562" s="2"/>
      <c r="R562" t="s">
        <v>21</v>
      </c>
      <c r="S562">
        <v>1</v>
      </c>
      <c r="T562">
        <v>1340</v>
      </c>
      <c r="U562" t="s">
        <v>709</v>
      </c>
      <c r="V562">
        <v>250</v>
      </c>
      <c r="W562" s="2">
        <v>0.36</v>
      </c>
      <c r="X562" t="b">
        <v>1</v>
      </c>
      <c r="AX562"/>
      <c r="BA562" s="2"/>
      <c r="BB562" s="2" t="b">
        <f>LEN(_xlfn.CONCAT(Table1[[#This Row],[TRACK_TYPE_STANDARD_GAUGE_RAILTYPE_OHLE]:[TRACK_TYPE_MTRO]]))&gt;0</f>
        <v>1</v>
      </c>
      <c r="BC562" s="7">
        <v>25</v>
      </c>
      <c r="BD562" t="s">
        <v>924</v>
      </c>
      <c r="BE562" t="s">
        <v>922</v>
      </c>
      <c r="BF562" t="s">
        <v>940</v>
      </c>
      <c r="BG5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2">
        <v>0</v>
      </c>
      <c r="BI562" t="s">
        <v>734</v>
      </c>
      <c r="BJ562" s="11">
        <v>60</v>
      </c>
      <c r="BK562" s="11">
        <v>8</v>
      </c>
      <c r="BL562" s="11">
        <v>56</v>
      </c>
      <c r="BM562">
        <v>0</v>
      </c>
      <c r="BN562" t="s">
        <v>692</v>
      </c>
      <c r="BO562" t="s">
        <v>694</v>
      </c>
      <c r="BP562" t="s">
        <v>701</v>
      </c>
      <c r="BQ562" t="s">
        <v>705</v>
      </c>
      <c r="BR562" t="s">
        <v>706</v>
      </c>
      <c r="BS562" t="s">
        <v>707</v>
      </c>
    </row>
    <row r="563" spans="1:71" hidden="1" x14ac:dyDescent="0.4">
      <c r="A563" s="2" t="s">
        <v>591</v>
      </c>
      <c r="B563" t="str">
        <f>_xlfn.TEXTAFTER(Table1[[#This Row],[VEHIDCODE]],"_")</f>
        <v>USA_Amtrak_Acela_Express</v>
      </c>
      <c r="C563" t="s">
        <v>744</v>
      </c>
      <c r="D563" t="b">
        <f>OR(ISNUMBER(SEARCH("wagon_",Table1[[#This Row],[FILENAMES_EXPECTED]])),ISNUMBER(SEARCH("coach_",Table1[[#This Row],[FILENAMES_EXPECTED]])))</f>
        <v>0</v>
      </c>
      <c r="E563" t="str">
        <f>"item_"&amp;Table1[[#This Row],[VEHIDCODE]]</f>
        <v>item_emu_USA_Amtrak_Acela_Express</v>
      </c>
      <c r="F563" t="str">
        <f>"str_"&amp;Table1[[#This Row],[VEHIDCODE]]</f>
        <v>str_emu_USA_Amtrak_Acela_Express</v>
      </c>
      <c r="G563">
        <v>8</v>
      </c>
      <c r="H563" t="s">
        <v>18</v>
      </c>
      <c r="I563">
        <v>1</v>
      </c>
      <c r="J563" t="s">
        <v>74</v>
      </c>
      <c r="K563">
        <v>0</v>
      </c>
      <c r="L563">
        <v>1999</v>
      </c>
      <c r="M563">
        <v>8</v>
      </c>
      <c r="N563" s="2" t="s">
        <v>24</v>
      </c>
      <c r="O563" t="b">
        <v>1</v>
      </c>
      <c r="P563" t="b">
        <v>1</v>
      </c>
      <c r="Q563" s="2"/>
      <c r="R563">
        <v>45</v>
      </c>
      <c r="S563">
        <v>1</v>
      </c>
      <c r="T563">
        <v>12400</v>
      </c>
      <c r="U563" t="s">
        <v>709</v>
      </c>
      <c r="V563">
        <v>266</v>
      </c>
      <c r="W563" s="2">
        <v>0.24</v>
      </c>
      <c r="X563" t="b">
        <v>1</v>
      </c>
      <c r="AX563"/>
      <c r="BA563" s="2"/>
      <c r="BB563" s="2" t="b">
        <f>LEN(_xlfn.CONCAT(Table1[[#This Row],[TRACK_TYPE_STANDARD_GAUGE_RAILTYPE_OHLE]:[TRACK_TYPE_MTRO]]))&gt;0</f>
        <v>1</v>
      </c>
      <c r="BC563" s="7">
        <v>40</v>
      </c>
      <c r="BD563" t="s">
        <v>928</v>
      </c>
      <c r="BE563" t="s">
        <v>922</v>
      </c>
      <c r="BF563" t="s">
        <v>940</v>
      </c>
      <c r="BG5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3">
        <v>0</v>
      </c>
      <c r="BI563" t="s">
        <v>734</v>
      </c>
      <c r="BJ563" s="11">
        <v>50</v>
      </c>
      <c r="BK563" s="11">
        <v>8</v>
      </c>
      <c r="BL563" s="11">
        <v>93</v>
      </c>
      <c r="BM563">
        <v>0</v>
      </c>
      <c r="BN563" t="s">
        <v>692</v>
      </c>
      <c r="BO563" t="s">
        <v>694</v>
      </c>
      <c r="BP563" t="s">
        <v>701</v>
      </c>
      <c r="BQ563" t="s">
        <v>705</v>
      </c>
      <c r="BR563" t="s">
        <v>706</v>
      </c>
      <c r="BS563" t="s">
        <v>707</v>
      </c>
    </row>
    <row r="564" spans="1:71" hidden="1" x14ac:dyDescent="0.4">
      <c r="A564" s="2" t="s">
        <v>592</v>
      </c>
      <c r="B564" t="str">
        <f>_xlfn.TEXTAFTER(Table1[[#This Row],[VEHIDCODE]],"_")</f>
        <v>USA_Brooklyn_Union_Gate_Car</v>
      </c>
      <c r="C564" t="s">
        <v>745</v>
      </c>
      <c r="D564" t="b">
        <f>OR(ISNUMBER(SEARCH("wagon_",Table1[[#This Row],[FILENAMES_EXPECTED]])),ISNUMBER(SEARCH("coach_",Table1[[#This Row],[FILENAMES_EXPECTED]])))</f>
        <v>0</v>
      </c>
      <c r="E564" t="str">
        <f>"item_"&amp;Table1[[#This Row],[VEHIDCODE]]</f>
        <v>item_singlemtro_USA_Brooklyn_Union_Gate_Car</v>
      </c>
      <c r="F564" t="str">
        <f>"str_"&amp;Table1[[#This Row],[VEHIDCODE]]</f>
        <v>str_singlemtro_USA_Brooklyn_Union_Gate_Car</v>
      </c>
      <c r="G564">
        <v>7</v>
      </c>
      <c r="H564" t="s">
        <v>326</v>
      </c>
      <c r="I564">
        <v>0</v>
      </c>
      <c r="J564" t="s">
        <v>19</v>
      </c>
      <c r="K564">
        <v>60</v>
      </c>
      <c r="L564">
        <v>1880</v>
      </c>
      <c r="M564">
        <v>7</v>
      </c>
      <c r="N564" s="2" t="s">
        <v>327</v>
      </c>
      <c r="O564" t="b">
        <v>1</v>
      </c>
      <c r="Q564" s="2"/>
      <c r="R564">
        <v>45</v>
      </c>
      <c r="S564">
        <v>1</v>
      </c>
      <c r="T564">
        <v>200</v>
      </c>
      <c r="U564" t="s">
        <v>709</v>
      </c>
      <c r="V564">
        <v>60</v>
      </c>
      <c r="W564" s="2">
        <v>0.5</v>
      </c>
      <c r="AC564" t="b">
        <v>1</v>
      </c>
      <c r="AX564"/>
      <c r="BA564" s="2"/>
      <c r="BB564" s="2" t="b">
        <f>LEN(_xlfn.CONCAT(Table1[[#This Row],[TRACK_TYPE_STANDARD_GAUGE_RAILTYPE_OHLE]:[TRACK_TYPE_MTRO]]))&gt;0</f>
        <v>1</v>
      </c>
      <c r="BC564" s="7">
        <v>60</v>
      </c>
      <c r="BD564" t="s">
        <v>928</v>
      </c>
      <c r="BE564" t="s">
        <v>922</v>
      </c>
      <c r="BF564" t="s">
        <v>940</v>
      </c>
      <c r="BG5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4">
        <v>0</v>
      </c>
      <c r="BI564" t="s">
        <v>734</v>
      </c>
      <c r="BK564" s="11"/>
      <c r="BL564" s="11">
        <v>20</v>
      </c>
      <c r="BM564">
        <v>0</v>
      </c>
      <c r="BN564" t="s">
        <v>692</v>
      </c>
      <c r="BO564" t="s">
        <v>694</v>
      </c>
      <c r="BP564" t="s">
        <v>701</v>
      </c>
      <c r="BQ564" t="s">
        <v>705</v>
      </c>
      <c r="BR564" t="s">
        <v>706</v>
      </c>
      <c r="BS564" t="s">
        <v>707</v>
      </c>
    </row>
    <row r="565" spans="1:71" hidden="1" x14ac:dyDescent="0.4">
      <c r="A565" s="2" t="s">
        <v>593</v>
      </c>
      <c r="B565" t="str">
        <f>_xlfn.TEXTAFTER(Table1[[#This Row],[VEHIDCODE]],"_")</f>
        <v>Hungary_Budapest_1894_Stock</v>
      </c>
      <c r="C565" t="s">
        <v>745</v>
      </c>
      <c r="D565" t="b">
        <f>OR(ISNUMBER(SEARCH("wagon_",Table1[[#This Row],[FILENAMES_EXPECTED]])),ISNUMBER(SEARCH("coach_",Table1[[#This Row],[FILENAMES_EXPECTED]])))</f>
        <v>0</v>
      </c>
      <c r="E565" t="str">
        <f>"item_"&amp;Table1[[#This Row],[VEHIDCODE]]</f>
        <v>item_singlemtro_Hungary_Budapest_1894_Stock</v>
      </c>
      <c r="F565" t="str">
        <f>"str_"&amp;Table1[[#This Row],[VEHIDCODE]]</f>
        <v>str_singlemtro_Hungary_Budapest_1894_Stock</v>
      </c>
      <c r="G565">
        <v>8</v>
      </c>
      <c r="H565" t="s">
        <v>326</v>
      </c>
      <c r="I565">
        <v>0</v>
      </c>
      <c r="J565" t="s">
        <v>19</v>
      </c>
      <c r="K565">
        <v>100</v>
      </c>
      <c r="L565">
        <v>1894</v>
      </c>
      <c r="M565">
        <v>8</v>
      </c>
      <c r="N565" s="2" t="s">
        <v>327</v>
      </c>
      <c r="O565" t="b">
        <v>1</v>
      </c>
      <c r="Q565" s="2"/>
      <c r="R565">
        <v>45</v>
      </c>
      <c r="S565">
        <v>1</v>
      </c>
      <c r="T565">
        <v>200</v>
      </c>
      <c r="U565" t="s">
        <v>709</v>
      </c>
      <c r="V565">
        <v>60</v>
      </c>
      <c r="W565" s="2">
        <v>0.32</v>
      </c>
      <c r="AC565" t="b">
        <v>1</v>
      </c>
      <c r="AX565"/>
      <c r="BA565" s="2"/>
      <c r="BB565" s="2" t="b">
        <f>LEN(_xlfn.CONCAT(Table1[[#This Row],[TRACK_TYPE_STANDARD_GAUGE_RAILTYPE_OHLE]:[TRACK_TYPE_MTRO]]))&gt;0</f>
        <v>1</v>
      </c>
      <c r="BC565" s="7">
        <v>60</v>
      </c>
      <c r="BD565" t="s">
        <v>929</v>
      </c>
      <c r="BE565" t="s">
        <v>922</v>
      </c>
      <c r="BF565" t="s">
        <v>940</v>
      </c>
      <c r="BG5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5">
        <v>0</v>
      </c>
      <c r="BI565" t="s">
        <v>734</v>
      </c>
      <c r="BK565" s="11"/>
      <c r="BL565" s="11">
        <v>25</v>
      </c>
      <c r="BM565">
        <v>0</v>
      </c>
      <c r="BN565" t="s">
        <v>692</v>
      </c>
      <c r="BO565" t="s">
        <v>694</v>
      </c>
      <c r="BP565" t="s">
        <v>701</v>
      </c>
      <c r="BQ565" t="s">
        <v>705</v>
      </c>
      <c r="BR565" t="s">
        <v>706</v>
      </c>
      <c r="BS565" t="s">
        <v>707</v>
      </c>
    </row>
    <row r="566" spans="1:71" hidden="1" x14ac:dyDescent="0.4">
      <c r="A566" s="2" t="s">
        <v>594</v>
      </c>
      <c r="B566" t="str">
        <f>_xlfn.TEXTAFTER(Table1[[#This Row],[VEHIDCODE]],"_")</f>
        <v>USA_Chicago_L_Northwest_Elevated_1907_Stock</v>
      </c>
      <c r="C566" t="s">
        <v>745</v>
      </c>
      <c r="D566" t="b">
        <f>OR(ISNUMBER(SEARCH("wagon_",Table1[[#This Row],[FILENAMES_EXPECTED]])),ISNUMBER(SEARCH("coach_",Table1[[#This Row],[FILENAMES_EXPECTED]])))</f>
        <v>0</v>
      </c>
      <c r="E566" t="str">
        <f>"item_"&amp;Table1[[#This Row],[VEHIDCODE]]</f>
        <v>item_singlemtro_USA_Chicago_L_Northwest_Elevated_1907_Stock</v>
      </c>
      <c r="F566" t="str">
        <f>"str_"&amp;Table1[[#This Row],[VEHIDCODE]]</f>
        <v>str_singlemtro_USA_Chicago_L_Northwest_Elevated_1907_Stock</v>
      </c>
      <c r="G566">
        <v>8</v>
      </c>
      <c r="H566" t="s">
        <v>326</v>
      </c>
      <c r="I566">
        <v>0</v>
      </c>
      <c r="J566" t="s">
        <v>19</v>
      </c>
      <c r="K566">
        <v>130</v>
      </c>
      <c r="L566">
        <v>1907</v>
      </c>
      <c r="M566">
        <v>8</v>
      </c>
      <c r="N566" s="2" t="s">
        <v>327</v>
      </c>
      <c r="O566" t="b">
        <v>1</v>
      </c>
      <c r="Q566" s="2"/>
      <c r="R566">
        <v>45</v>
      </c>
      <c r="S566">
        <v>1</v>
      </c>
      <c r="T566">
        <v>250</v>
      </c>
      <c r="U566" t="s">
        <v>709</v>
      </c>
      <c r="V566">
        <v>70</v>
      </c>
      <c r="W566" s="2">
        <v>0.1</v>
      </c>
      <c r="AC566" t="b">
        <v>1</v>
      </c>
      <c r="AX566"/>
      <c r="BA566" s="2"/>
      <c r="BB566" s="2" t="b">
        <f>LEN(_xlfn.CONCAT(Table1[[#This Row],[TRACK_TYPE_STANDARD_GAUGE_RAILTYPE_OHLE]:[TRACK_TYPE_MTRO]]))&gt;0</f>
        <v>1</v>
      </c>
      <c r="BC566" s="7">
        <v>60</v>
      </c>
      <c r="BD566" t="s">
        <v>928</v>
      </c>
      <c r="BE566" t="s">
        <v>922</v>
      </c>
      <c r="BF566" t="s">
        <v>940</v>
      </c>
      <c r="BG5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6">
        <v>0</v>
      </c>
      <c r="BI566" t="s">
        <v>734</v>
      </c>
      <c r="BK566" s="11"/>
      <c r="BL566" s="11">
        <v>50</v>
      </c>
      <c r="BM566">
        <v>0</v>
      </c>
      <c r="BN566" t="s">
        <v>692</v>
      </c>
      <c r="BO566" t="s">
        <v>694</v>
      </c>
      <c r="BP566" t="s">
        <v>701</v>
      </c>
      <c r="BQ566" t="s">
        <v>705</v>
      </c>
      <c r="BR566" t="s">
        <v>706</v>
      </c>
      <c r="BS566" t="s">
        <v>707</v>
      </c>
    </row>
    <row r="567" spans="1:71" hidden="1" x14ac:dyDescent="0.4">
      <c r="A567" s="2" t="s">
        <v>595</v>
      </c>
      <c r="B567" t="str">
        <f>_xlfn.TEXTAFTER(Table1[[#This Row],[VEHIDCODE]],"_")</f>
        <v>Germany_Berlin_U_Bahn_C_II</v>
      </c>
      <c r="C567" t="s">
        <v>745</v>
      </c>
      <c r="D567" t="b">
        <f>OR(ISNUMBER(SEARCH("wagon_",Table1[[#This Row],[FILENAMES_EXPECTED]])),ISNUMBER(SEARCH("coach_",Table1[[#This Row],[FILENAMES_EXPECTED]])))</f>
        <v>0</v>
      </c>
      <c r="E567" t="str">
        <f>"item_"&amp;Table1[[#This Row],[VEHIDCODE]]</f>
        <v>item_singlemtro_Germany_Berlin_U_Bahn_C_II</v>
      </c>
      <c r="F567" t="str">
        <f>"str_"&amp;Table1[[#This Row],[VEHIDCODE]]</f>
        <v>str_singlemtro_Germany_Berlin_U_Bahn_C_II</v>
      </c>
      <c r="G567">
        <v>8</v>
      </c>
      <c r="H567" t="s">
        <v>326</v>
      </c>
      <c r="I567">
        <v>0</v>
      </c>
      <c r="J567" t="s">
        <v>19</v>
      </c>
      <c r="K567">
        <v>157</v>
      </c>
      <c r="L567">
        <v>1929</v>
      </c>
      <c r="M567">
        <v>8</v>
      </c>
      <c r="N567" s="2" t="s">
        <v>327</v>
      </c>
      <c r="O567" t="b">
        <v>1</v>
      </c>
      <c r="Q567" s="2"/>
      <c r="R567">
        <v>45</v>
      </c>
      <c r="S567">
        <v>1</v>
      </c>
      <c r="T567">
        <v>375</v>
      </c>
      <c r="U567" t="s">
        <v>709</v>
      </c>
      <c r="V567">
        <v>60</v>
      </c>
      <c r="W567" s="2">
        <v>7.0000000000000007E-2</v>
      </c>
      <c r="AC567" t="b">
        <v>1</v>
      </c>
      <c r="AX567"/>
      <c r="BA567" s="2"/>
      <c r="BB567" s="2" t="b">
        <f>LEN(_xlfn.CONCAT(Table1[[#This Row],[TRACK_TYPE_STANDARD_GAUGE_RAILTYPE_OHLE]:[TRACK_TYPE_MTRO]]))&gt;0</f>
        <v>1</v>
      </c>
      <c r="BC567" s="7">
        <v>60</v>
      </c>
      <c r="BD567" t="s">
        <v>923</v>
      </c>
      <c r="BE567" t="s">
        <v>922</v>
      </c>
      <c r="BF567" t="s">
        <v>940</v>
      </c>
      <c r="BG5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7">
        <v>0</v>
      </c>
      <c r="BI567" t="s">
        <v>734</v>
      </c>
      <c r="BK567" s="11"/>
      <c r="BL567" s="11">
        <v>50</v>
      </c>
      <c r="BM567">
        <v>0</v>
      </c>
      <c r="BN567" t="s">
        <v>692</v>
      </c>
      <c r="BO567" t="s">
        <v>694</v>
      </c>
      <c r="BP567" t="s">
        <v>701</v>
      </c>
      <c r="BQ567" t="s">
        <v>705</v>
      </c>
      <c r="BR567" t="s">
        <v>706</v>
      </c>
      <c r="BS567" t="s">
        <v>707</v>
      </c>
    </row>
    <row r="568" spans="1:71" hidden="1" x14ac:dyDescent="0.4">
      <c r="A568" s="2" t="s">
        <v>596</v>
      </c>
      <c r="B568" t="str">
        <f>_xlfn.TEXTAFTER(Table1[[#This Row],[VEHIDCODE]],"_")</f>
        <v>World_Turbobus</v>
      </c>
      <c r="C568" t="s">
        <v>746</v>
      </c>
      <c r="D568" t="b">
        <f>OR(ISNUMBER(SEARCH("wagon_",Table1[[#This Row],[FILENAMES_EXPECTED]])),ISNUMBER(SEARCH("coach_",Table1[[#This Row],[FILENAMES_EXPECTED]])))</f>
        <v>0</v>
      </c>
      <c r="E568" t="str">
        <f>"item_"&amp;Table1[[#This Row],[VEHIDCODE]]</f>
        <v>item_rbm_World_Turbobus</v>
      </c>
      <c r="F568" t="str">
        <f>"str_"&amp;Table1[[#This Row],[VEHIDCODE]]</f>
        <v>str_rbm_World_Turbobus</v>
      </c>
      <c r="G568">
        <v>4</v>
      </c>
      <c r="H568" t="s">
        <v>18</v>
      </c>
      <c r="I568">
        <v>0</v>
      </c>
      <c r="J568" t="s">
        <v>19</v>
      </c>
      <c r="K568">
        <v>45</v>
      </c>
      <c r="L568">
        <v>2040</v>
      </c>
      <c r="M568">
        <v>8</v>
      </c>
      <c r="N568" s="2" t="s">
        <v>24</v>
      </c>
      <c r="O568" t="b">
        <v>1</v>
      </c>
      <c r="Q568" s="2"/>
      <c r="R568" t="s">
        <v>21</v>
      </c>
      <c r="S568">
        <v>1</v>
      </c>
      <c r="T568">
        <v>5070</v>
      </c>
      <c r="U568" t="s">
        <v>709</v>
      </c>
      <c r="V568">
        <v>753</v>
      </c>
      <c r="W568" s="2">
        <v>0.28999999999999998</v>
      </c>
      <c r="AX568"/>
      <c r="AZ568" t="b">
        <v>1</v>
      </c>
      <c r="BA568" s="2"/>
      <c r="BB568" s="2" t="b">
        <f>LEN(_xlfn.CONCAT(Table1[[#This Row],[TRACK_TYPE_STANDARD_GAUGE_RAILTYPE_OHLE]:[TRACK_TYPE_MTRO]]))&gt;0</f>
        <v>1</v>
      </c>
      <c r="BC568" s="7">
        <v>15</v>
      </c>
      <c r="BD568" t="s">
        <v>936</v>
      </c>
      <c r="BE568" t="s">
        <v>922</v>
      </c>
      <c r="BF568" t="s">
        <v>941</v>
      </c>
      <c r="BG5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8">
        <v>0</v>
      </c>
      <c r="BI568" t="s">
        <v>734</v>
      </c>
      <c r="BK568" s="11"/>
      <c r="BL568" s="11">
        <v>30</v>
      </c>
      <c r="BM568">
        <v>0</v>
      </c>
      <c r="BN568" t="s">
        <v>692</v>
      </c>
      <c r="BO568" t="s">
        <v>694</v>
      </c>
      <c r="BP568" t="s">
        <v>701</v>
      </c>
      <c r="BQ568" t="s">
        <v>705</v>
      </c>
      <c r="BR568" t="s">
        <v>706</v>
      </c>
      <c r="BS568" t="s">
        <v>707</v>
      </c>
    </row>
    <row r="569" spans="1:71" hidden="1" x14ac:dyDescent="0.4">
      <c r="A569" s="2" t="s">
        <v>597</v>
      </c>
      <c r="B569" t="str">
        <f>_xlfn.TEXTAFTER(Table1[[#This Row],[VEHIDCODE]],"_")</f>
        <v>Germany_DB_182_ES64UM_Mutus</v>
      </c>
      <c r="C569" t="s">
        <v>747</v>
      </c>
      <c r="D569" t="b">
        <f>OR(ISNUMBER(SEARCH("wagon_",Table1[[#This Row],[FILENAMES_EXPECTED]])),ISNUMBER(SEARCH("coach_",Table1[[#This Row],[FILENAMES_EXPECTED]])))</f>
        <v>0</v>
      </c>
      <c r="E569" t="str">
        <f>"item_"&amp;Table1[[#This Row],[VEHIDCODE]]</f>
        <v>item_mglv_Germany_DB_182_ES64UM_Mutus</v>
      </c>
      <c r="F569" t="str">
        <f>"str_"&amp;Table1[[#This Row],[VEHIDCODE]]</f>
        <v>str_mglv_Germany_DB_182_ES64UM_Mutus</v>
      </c>
      <c r="G569">
        <v>8</v>
      </c>
      <c r="H569" t="s">
        <v>20</v>
      </c>
      <c r="I569">
        <v>0</v>
      </c>
      <c r="J569" t="s">
        <v>19</v>
      </c>
      <c r="K569">
        <v>0</v>
      </c>
      <c r="L569">
        <v>2005</v>
      </c>
      <c r="M569">
        <v>8</v>
      </c>
      <c r="N569" s="2" t="s">
        <v>20</v>
      </c>
      <c r="O569" t="b">
        <v>1</v>
      </c>
      <c r="Q569" s="2"/>
      <c r="R569" t="s">
        <v>21</v>
      </c>
      <c r="S569">
        <v>1</v>
      </c>
      <c r="T569">
        <v>11266</v>
      </c>
      <c r="U569" t="s">
        <v>709</v>
      </c>
      <c r="V569">
        <v>230</v>
      </c>
      <c r="W569" s="2">
        <v>0.35</v>
      </c>
      <c r="AX569"/>
      <c r="AZ569" t="b">
        <v>1</v>
      </c>
      <c r="BA569" s="2"/>
      <c r="BB569" s="2" t="b">
        <f>LEN(_xlfn.CONCAT(Table1[[#This Row],[TRACK_TYPE_STANDARD_GAUGE_RAILTYPE_OHLE]:[TRACK_TYPE_MTRO]]))&gt;0</f>
        <v>1</v>
      </c>
      <c r="BC569" s="7">
        <v>40</v>
      </c>
      <c r="BD569" t="s">
        <v>923</v>
      </c>
      <c r="BE569" t="s">
        <v>922</v>
      </c>
      <c r="BF569" t="s">
        <v>941</v>
      </c>
      <c r="BG5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9">
        <v>0</v>
      </c>
      <c r="BI569" t="s">
        <v>734</v>
      </c>
      <c r="BK569" s="11"/>
      <c r="BL569" s="11">
        <v>86</v>
      </c>
      <c r="BM569">
        <v>0</v>
      </c>
      <c r="BN569" t="s">
        <v>692</v>
      </c>
      <c r="BO569" t="s">
        <v>694</v>
      </c>
      <c r="BP569" t="s">
        <v>701</v>
      </c>
      <c r="BQ569" t="s">
        <v>705</v>
      </c>
      <c r="BR569" t="s">
        <v>706</v>
      </c>
      <c r="BS569" t="s">
        <v>707</v>
      </c>
    </row>
    <row r="570" spans="1:71" hidden="1" x14ac:dyDescent="0.4">
      <c r="A570" s="2" t="s">
        <v>598</v>
      </c>
      <c r="B570" t="str">
        <f>_xlfn.TEXTAFTER(Table1[[#This Row],[VEHIDCODE]],"_")</f>
        <v>China_Transrapid</v>
      </c>
      <c r="C570" t="s">
        <v>747</v>
      </c>
      <c r="D570" t="b">
        <f>OR(ISNUMBER(SEARCH("wagon_",Table1[[#This Row],[FILENAMES_EXPECTED]])),ISNUMBER(SEARCH("coach_",Table1[[#This Row],[FILENAMES_EXPECTED]])))</f>
        <v>0</v>
      </c>
      <c r="E570" t="str">
        <f>"item_"&amp;Table1[[#This Row],[VEHIDCODE]]</f>
        <v>item_mglv_China_Transrapid</v>
      </c>
      <c r="F570" t="str">
        <f>"str_"&amp;Table1[[#This Row],[VEHIDCODE]]</f>
        <v>str_mglv_China_Transrapid</v>
      </c>
      <c r="G570">
        <v>8</v>
      </c>
      <c r="H570" t="s">
        <v>18</v>
      </c>
      <c r="I570">
        <v>1</v>
      </c>
      <c r="J570" t="s">
        <v>19</v>
      </c>
      <c r="K570">
        <v>50</v>
      </c>
      <c r="L570">
        <v>2004</v>
      </c>
      <c r="M570">
        <v>8</v>
      </c>
      <c r="N570" s="2" t="s">
        <v>480</v>
      </c>
      <c r="O570" t="b">
        <v>1</v>
      </c>
      <c r="P570" t="b">
        <v>1</v>
      </c>
      <c r="Q570" s="2"/>
      <c r="R570" t="s">
        <v>21</v>
      </c>
      <c r="S570">
        <v>1</v>
      </c>
      <c r="T570">
        <v>2028</v>
      </c>
      <c r="U570" t="s">
        <v>709</v>
      </c>
      <c r="V570">
        <v>433</v>
      </c>
      <c r="W570" s="2">
        <v>0.3</v>
      </c>
      <c r="AX570"/>
      <c r="AZ570" t="b">
        <v>1</v>
      </c>
      <c r="BA570" s="2"/>
      <c r="BB570" s="2" t="b">
        <f>LEN(_xlfn.CONCAT(Table1[[#This Row],[TRACK_TYPE_STANDARD_GAUGE_RAILTYPE_OHLE]:[TRACK_TYPE_MTRO]]))&gt;0</f>
        <v>1</v>
      </c>
      <c r="BC570" s="7">
        <v>25</v>
      </c>
      <c r="BD570" t="s">
        <v>931</v>
      </c>
      <c r="BE570" t="s">
        <v>922</v>
      </c>
      <c r="BF570" t="s">
        <v>940</v>
      </c>
      <c r="BG5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0">
        <v>0</v>
      </c>
      <c r="BI570" t="s">
        <v>734</v>
      </c>
      <c r="BJ570" s="11">
        <v>55</v>
      </c>
      <c r="BK570" s="11">
        <v>8</v>
      </c>
      <c r="BL570" s="11">
        <v>30</v>
      </c>
      <c r="BM570">
        <v>0</v>
      </c>
      <c r="BN570" t="s">
        <v>692</v>
      </c>
      <c r="BO570" t="s">
        <v>694</v>
      </c>
      <c r="BP570" t="s">
        <v>701</v>
      </c>
      <c r="BQ570" t="s">
        <v>705</v>
      </c>
      <c r="BR570" t="s">
        <v>706</v>
      </c>
      <c r="BS570" t="s">
        <v>707</v>
      </c>
    </row>
    <row r="571" spans="1:71" hidden="1" x14ac:dyDescent="0.4">
      <c r="A571" s="2" t="s">
        <v>599</v>
      </c>
      <c r="B571" t="str">
        <f>_xlfn.TEXTAFTER(Table1[[#This Row],[VEHIDCODE]],"_")</f>
        <v>Japan_MLX01_901</v>
      </c>
      <c r="C571" t="s">
        <v>747</v>
      </c>
      <c r="D571" t="b">
        <f>OR(ISNUMBER(SEARCH("wagon_",Table1[[#This Row],[FILENAMES_EXPECTED]])),ISNUMBER(SEARCH("coach_",Table1[[#This Row],[FILENAMES_EXPECTED]])))</f>
        <v>0</v>
      </c>
      <c r="E571" t="str">
        <f>"item_"&amp;Table1[[#This Row],[VEHIDCODE]]</f>
        <v>item_mglv_Japan_MLX01_901</v>
      </c>
      <c r="F571" t="str">
        <f>"str_"&amp;Table1[[#This Row],[VEHIDCODE]]</f>
        <v>str_mglv_Japan_MLX01_901</v>
      </c>
      <c r="G571">
        <v>8</v>
      </c>
      <c r="H571" t="s">
        <v>18</v>
      </c>
      <c r="I571">
        <v>1</v>
      </c>
      <c r="J571" t="s">
        <v>19</v>
      </c>
      <c r="K571">
        <v>55</v>
      </c>
      <c r="L571">
        <v>2025</v>
      </c>
      <c r="M571">
        <v>8</v>
      </c>
      <c r="N571" s="2" t="s">
        <v>480</v>
      </c>
      <c r="O571" t="b">
        <v>1</v>
      </c>
      <c r="P571" t="b">
        <v>1</v>
      </c>
      <c r="Q571" s="2"/>
      <c r="R571" t="s">
        <v>21</v>
      </c>
      <c r="S571">
        <v>1</v>
      </c>
      <c r="T571">
        <v>3042</v>
      </c>
      <c r="U571" t="s">
        <v>709</v>
      </c>
      <c r="V571">
        <v>603</v>
      </c>
      <c r="W571" s="2">
        <v>0.3</v>
      </c>
      <c r="AX571"/>
      <c r="AZ571" t="b">
        <v>1</v>
      </c>
      <c r="BA571" s="2"/>
      <c r="BB571" s="2" t="b">
        <f>LEN(_xlfn.CONCAT(Table1[[#This Row],[TRACK_TYPE_STANDARD_GAUGE_RAILTYPE_OHLE]:[TRACK_TYPE_MTRO]]))&gt;0</f>
        <v>1</v>
      </c>
      <c r="BC571" s="7">
        <v>25</v>
      </c>
      <c r="BD571" t="s">
        <v>931</v>
      </c>
      <c r="BE571" t="s">
        <v>922</v>
      </c>
      <c r="BF571" t="s">
        <v>941</v>
      </c>
      <c r="BG5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1">
        <v>0</v>
      </c>
      <c r="BI571" t="s">
        <v>734</v>
      </c>
      <c r="BJ571" s="11">
        <v>55</v>
      </c>
      <c r="BK571" s="11">
        <v>8</v>
      </c>
      <c r="BL571" s="11">
        <v>72</v>
      </c>
      <c r="BM571">
        <v>0</v>
      </c>
      <c r="BN571" t="s">
        <v>692</v>
      </c>
      <c r="BO571" t="s">
        <v>694</v>
      </c>
      <c r="BP571" t="s">
        <v>701</v>
      </c>
      <c r="BQ571" t="s">
        <v>705</v>
      </c>
      <c r="BR571" t="s">
        <v>706</v>
      </c>
      <c r="BS571" t="s">
        <v>707</v>
      </c>
    </row>
    <row r="572" spans="1:71" x14ac:dyDescent="0.4">
      <c r="A572" s="2" t="s">
        <v>920</v>
      </c>
      <c r="B572" t="str">
        <f>_xlfn.TEXTAFTER(Table1[[#This Row],[VEHIDCODE]],"_")</f>
        <v>Wagon_Gen7M_Boxcar_Type1</v>
      </c>
      <c r="C572" t="s">
        <v>769</v>
      </c>
      <c r="D572" t="b">
        <f>OR(ISNUMBER(SEARCH("wagon_",Table1[[#This Row],[FILENAMES_EXPECTED]])),ISNUMBER(SEARCH("coach_",Table1[[#This Row],[FILENAMES_EXPECTED]])))</f>
        <v>1</v>
      </c>
      <c r="E572" t="str">
        <f>"item_"&amp;Table1[[#This Row],[VEHIDCODE]]</f>
        <v>item_mglv_Wagon_Gen7M_Boxcar_Type1</v>
      </c>
      <c r="F572" t="str">
        <f>"str_"&amp;Table1[[#This Row],[VEHIDCODE]]</f>
        <v>str_mglv_Wagon_Gen7M_Boxcar_Type1</v>
      </c>
      <c r="G572">
        <v>8</v>
      </c>
      <c r="H572" t="s">
        <v>600</v>
      </c>
      <c r="I572">
        <v>0</v>
      </c>
      <c r="J572" t="s">
        <v>19</v>
      </c>
      <c r="K572">
        <v>74</v>
      </c>
      <c r="L572">
        <v>2010</v>
      </c>
      <c r="M572">
        <v>8</v>
      </c>
      <c r="N572" s="2" t="s">
        <v>33</v>
      </c>
      <c r="O572" t="b">
        <v>1</v>
      </c>
      <c r="Q572" s="2" t="b">
        <v>1</v>
      </c>
      <c r="R572" t="s">
        <v>21</v>
      </c>
      <c r="S572">
        <v>0</v>
      </c>
      <c r="T572">
        <v>0</v>
      </c>
      <c r="U572" t="s">
        <v>709</v>
      </c>
      <c r="V572">
        <v>160</v>
      </c>
      <c r="W572" s="2">
        <v>0.3</v>
      </c>
      <c r="AZ572" t="b">
        <v>1</v>
      </c>
      <c r="BA572" s="2"/>
      <c r="BB572" s="2" t="b">
        <f>LEN(_xlfn.CONCAT(Table1[[#This Row],[TRACK_TYPE_STANDARD_GAUGE_RAILTYPE_OHLE]:[TRACK_TYPE_MTRO]]))&gt;0</f>
        <v>1</v>
      </c>
      <c r="BC572" s="7">
        <v>25</v>
      </c>
      <c r="BD572" t="s">
        <v>933</v>
      </c>
      <c r="BE572" t="s">
        <v>922</v>
      </c>
      <c r="BF572" t="s">
        <v>941</v>
      </c>
      <c r="BG5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2">
        <v>0</v>
      </c>
      <c r="BI572" t="s">
        <v>734</v>
      </c>
      <c r="BK572" s="11"/>
      <c r="BL572" s="11">
        <v>27</v>
      </c>
      <c r="BM572">
        <v>0</v>
      </c>
      <c r="BN572" t="s">
        <v>692</v>
      </c>
      <c r="BO572" t="s">
        <v>694</v>
      </c>
      <c r="BP572" t="s">
        <v>701</v>
      </c>
      <c r="BQ572" t="s">
        <v>705</v>
      </c>
      <c r="BR572" t="s">
        <v>706</v>
      </c>
      <c r="BS572" t="s">
        <v>707</v>
      </c>
    </row>
    <row r="573" spans="1:71" x14ac:dyDescent="0.4">
      <c r="A573" s="2" t="s">
        <v>903</v>
      </c>
      <c r="B573" t="str">
        <f>_xlfn.TEXTAFTER(Table1[[#This Row],[VEHIDCODE]],"_")</f>
        <v>Wagon_Gen7M_Boxcar_Type2</v>
      </c>
      <c r="C573" t="s">
        <v>769</v>
      </c>
      <c r="D573" t="b">
        <f>OR(ISNUMBER(SEARCH("wagon_",Table1[[#This Row],[FILENAMES_EXPECTED]])),ISNUMBER(SEARCH("coach_",Table1[[#This Row],[FILENAMES_EXPECTED]])))</f>
        <v>1</v>
      </c>
      <c r="E573" t="str">
        <f>"item_"&amp;Table1[[#This Row],[VEHIDCODE]]</f>
        <v>item_mglv_Wagon_Gen7M_Boxcar_Type2</v>
      </c>
      <c r="F573" t="str">
        <f>"str_"&amp;Table1[[#This Row],[VEHIDCODE]]</f>
        <v>str_mglv_Wagon_Gen7M_Boxcar_Type2</v>
      </c>
      <c r="G573">
        <v>8</v>
      </c>
      <c r="H573" t="s">
        <v>600</v>
      </c>
      <c r="I573">
        <v>0</v>
      </c>
      <c r="J573" t="s">
        <v>19</v>
      </c>
      <c r="K573">
        <v>74</v>
      </c>
      <c r="L573">
        <v>2010</v>
      </c>
      <c r="M573">
        <v>8</v>
      </c>
      <c r="N573" s="2" t="s">
        <v>33</v>
      </c>
      <c r="O573" t="b">
        <v>1</v>
      </c>
      <c r="Q573" s="2" t="b">
        <v>1</v>
      </c>
      <c r="R573" t="s">
        <v>21</v>
      </c>
      <c r="S573">
        <v>0</v>
      </c>
      <c r="T573">
        <v>0</v>
      </c>
      <c r="U573" t="s">
        <v>709</v>
      </c>
      <c r="V573">
        <v>160</v>
      </c>
      <c r="W573" s="2">
        <v>0.3</v>
      </c>
      <c r="AZ573" t="b">
        <v>1</v>
      </c>
      <c r="BA573" s="2"/>
      <c r="BB573" s="2" t="b">
        <f>LEN(_xlfn.CONCAT(Table1[[#This Row],[TRACK_TYPE_STANDARD_GAUGE_RAILTYPE_OHLE]:[TRACK_TYPE_MTRO]]))&gt;0</f>
        <v>1</v>
      </c>
      <c r="BC573" s="7">
        <v>25</v>
      </c>
      <c r="BD573" t="s">
        <v>934</v>
      </c>
      <c r="BE573" t="s">
        <v>922</v>
      </c>
      <c r="BF573" t="s">
        <v>941</v>
      </c>
      <c r="BG5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3">
        <v>0</v>
      </c>
      <c r="BI573" t="s">
        <v>734</v>
      </c>
      <c r="BK573" s="11"/>
      <c r="BL573" s="11">
        <v>27</v>
      </c>
      <c r="BM573">
        <v>0</v>
      </c>
      <c r="BN573" t="s">
        <v>692</v>
      </c>
      <c r="BO573" t="s">
        <v>694</v>
      </c>
      <c r="BP573" t="s">
        <v>701</v>
      </c>
      <c r="BQ573" t="s">
        <v>705</v>
      </c>
      <c r="BR573" t="s">
        <v>706</v>
      </c>
      <c r="BS573" t="s">
        <v>707</v>
      </c>
    </row>
    <row r="574" spans="1:71" x14ac:dyDescent="0.4">
      <c r="A574" s="2" t="s">
        <v>904</v>
      </c>
      <c r="B574" t="str">
        <f>_xlfn.TEXTAFTER(Table1[[#This Row],[VEHIDCODE]],"_")</f>
        <v>Wagon_Gen7M_Car_Transporter</v>
      </c>
      <c r="C574" t="s">
        <v>769</v>
      </c>
      <c r="D574" t="b">
        <f>OR(ISNUMBER(SEARCH("wagon_",Table1[[#This Row],[FILENAMES_EXPECTED]])),ISNUMBER(SEARCH("coach_",Table1[[#This Row],[FILENAMES_EXPECTED]])))</f>
        <v>1</v>
      </c>
      <c r="E574" t="str">
        <f>"item_"&amp;Table1[[#This Row],[VEHIDCODE]]</f>
        <v>item_mglv_Wagon_Gen7M_Car_Transporter</v>
      </c>
      <c r="F574" t="str">
        <f>"str_"&amp;Table1[[#This Row],[VEHIDCODE]]</f>
        <v>str_mglv_Wagon_Gen7M_Car_Transporter</v>
      </c>
      <c r="G574">
        <v>8</v>
      </c>
      <c r="H574" t="s">
        <v>601</v>
      </c>
      <c r="I574">
        <v>0</v>
      </c>
      <c r="J574" t="s">
        <v>19</v>
      </c>
      <c r="K574">
        <v>20</v>
      </c>
      <c r="L574">
        <v>2020</v>
      </c>
      <c r="M574">
        <v>8</v>
      </c>
      <c r="N574" s="2" t="s">
        <v>33</v>
      </c>
      <c r="O574" t="b">
        <v>1</v>
      </c>
      <c r="Q574" s="2" t="b">
        <v>1</v>
      </c>
      <c r="R574" t="s">
        <v>21</v>
      </c>
      <c r="S574">
        <v>0</v>
      </c>
      <c r="T574">
        <v>0</v>
      </c>
      <c r="U574" t="s">
        <v>709</v>
      </c>
      <c r="V574">
        <v>160</v>
      </c>
      <c r="W574" s="2">
        <v>0.3</v>
      </c>
      <c r="AZ574" t="b">
        <v>1</v>
      </c>
      <c r="BA574" s="2"/>
      <c r="BB574" s="2" t="b">
        <f>LEN(_xlfn.CONCAT(Table1[[#This Row],[TRACK_TYPE_STANDARD_GAUGE_RAILTYPE_OHLE]:[TRACK_TYPE_MTRO]]))&gt;0</f>
        <v>1</v>
      </c>
      <c r="BC574" s="7">
        <v>25</v>
      </c>
      <c r="BD574" t="s">
        <v>936</v>
      </c>
      <c r="BE574" t="s">
        <v>922</v>
      </c>
      <c r="BF574" t="s">
        <v>941</v>
      </c>
      <c r="BG5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4">
        <v>0</v>
      </c>
      <c r="BI574" t="s">
        <v>734</v>
      </c>
      <c r="BK574" s="11"/>
      <c r="BL574" s="11">
        <v>28</v>
      </c>
      <c r="BM574">
        <v>0</v>
      </c>
      <c r="BN574" t="s">
        <v>692</v>
      </c>
      <c r="BO574" t="s">
        <v>694</v>
      </c>
      <c r="BP574" t="s">
        <v>701</v>
      </c>
      <c r="BQ574" t="s">
        <v>705</v>
      </c>
      <c r="BR574" t="s">
        <v>706</v>
      </c>
      <c r="BS574" t="s">
        <v>707</v>
      </c>
    </row>
    <row r="575" spans="1:71" x14ac:dyDescent="0.4">
      <c r="A575" s="2" t="s">
        <v>905</v>
      </c>
      <c r="B575" t="str">
        <f>_xlfn.TEXTAFTER(Table1[[#This Row],[VEHIDCODE]],"_")</f>
        <v>Wagon_Gen7M_Centerbeam</v>
      </c>
      <c r="C575" t="s">
        <v>769</v>
      </c>
      <c r="D575" t="b">
        <f>OR(ISNUMBER(SEARCH("wagon_",Table1[[#This Row],[FILENAMES_EXPECTED]])),ISNUMBER(SEARCH("coach_",Table1[[#This Row],[FILENAMES_EXPECTED]])))</f>
        <v>1</v>
      </c>
      <c r="E575" t="str">
        <f>"item_"&amp;Table1[[#This Row],[VEHIDCODE]]</f>
        <v>item_mglv_Wagon_Gen7M_Centerbeam</v>
      </c>
      <c r="F575" t="str">
        <f>"str_"&amp;Table1[[#This Row],[VEHIDCODE]]</f>
        <v>str_mglv_Wagon_Gen7M_Centerbeam</v>
      </c>
      <c r="G575">
        <v>8</v>
      </c>
      <c r="H575" t="s">
        <v>602</v>
      </c>
      <c r="I575">
        <v>0</v>
      </c>
      <c r="J575" t="s">
        <v>19</v>
      </c>
      <c r="K575">
        <v>65</v>
      </c>
      <c r="L575">
        <v>2010</v>
      </c>
      <c r="M575">
        <v>8</v>
      </c>
      <c r="N575" s="2" t="s">
        <v>33</v>
      </c>
      <c r="O575" t="b">
        <v>1</v>
      </c>
      <c r="Q575" s="2" t="b">
        <v>1</v>
      </c>
      <c r="R575" t="s">
        <v>21</v>
      </c>
      <c r="S575">
        <v>0</v>
      </c>
      <c r="T575">
        <v>0</v>
      </c>
      <c r="U575" t="s">
        <v>709</v>
      </c>
      <c r="V575">
        <v>160</v>
      </c>
      <c r="W575" s="2">
        <v>0.3</v>
      </c>
      <c r="AZ575" t="b">
        <v>1</v>
      </c>
      <c r="BA575" s="2"/>
      <c r="BB575" s="2" t="b">
        <f>LEN(_xlfn.CONCAT(Table1[[#This Row],[TRACK_TYPE_STANDARD_GAUGE_RAILTYPE_OHLE]:[TRACK_TYPE_MTRO]]))&gt;0</f>
        <v>1</v>
      </c>
      <c r="BC575" s="7">
        <v>25</v>
      </c>
      <c r="BD575" t="s">
        <v>936</v>
      </c>
      <c r="BE575" t="s">
        <v>922</v>
      </c>
      <c r="BF575" t="s">
        <v>941</v>
      </c>
      <c r="BG5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5">
        <v>0</v>
      </c>
      <c r="BI575" t="s">
        <v>734</v>
      </c>
      <c r="BK575" s="11"/>
      <c r="BL575" s="11">
        <v>40</v>
      </c>
      <c r="BM575">
        <v>0</v>
      </c>
      <c r="BN575" t="s">
        <v>692</v>
      </c>
      <c r="BO575" t="s">
        <v>694</v>
      </c>
      <c r="BP575" t="s">
        <v>701</v>
      </c>
      <c r="BQ575" t="s">
        <v>705</v>
      </c>
      <c r="BR575" t="s">
        <v>706</v>
      </c>
      <c r="BS575" t="s">
        <v>707</v>
      </c>
    </row>
    <row r="576" spans="1:71" x14ac:dyDescent="0.4">
      <c r="A576" s="2" t="s">
        <v>906</v>
      </c>
      <c r="B576" t="str">
        <f>_xlfn.TEXTAFTER(Table1[[#This Row],[VEHIDCODE]],"_")</f>
        <v>Wagon_Gen7M_Container_Carrier</v>
      </c>
      <c r="C576" t="s">
        <v>769</v>
      </c>
      <c r="D576" t="b">
        <f>OR(ISNUMBER(SEARCH("wagon_",Table1[[#This Row],[FILENAMES_EXPECTED]])),ISNUMBER(SEARCH("coach_",Table1[[#This Row],[FILENAMES_EXPECTED]])))</f>
        <v>1</v>
      </c>
      <c r="E576" t="str">
        <f>"item_"&amp;Table1[[#This Row],[VEHIDCODE]]</f>
        <v>item_mglv_Wagon_Gen7M_Container_Carrier</v>
      </c>
      <c r="F576" t="str">
        <f>"str_"&amp;Table1[[#This Row],[VEHIDCODE]]</f>
        <v>str_mglv_Wagon_Gen7M_Container_Carrier</v>
      </c>
      <c r="G576">
        <v>8</v>
      </c>
      <c r="H576" t="s">
        <v>533</v>
      </c>
      <c r="I576">
        <v>0</v>
      </c>
      <c r="J576" t="s">
        <v>19</v>
      </c>
      <c r="K576">
        <v>60</v>
      </c>
      <c r="L576">
        <v>2010</v>
      </c>
      <c r="M576">
        <v>8</v>
      </c>
      <c r="N576" s="2" t="s">
        <v>33</v>
      </c>
      <c r="O576" t="b">
        <v>1</v>
      </c>
      <c r="Q576" s="2" t="b">
        <v>1</v>
      </c>
      <c r="R576" t="s">
        <v>21</v>
      </c>
      <c r="S576">
        <v>0</v>
      </c>
      <c r="T576">
        <v>0</v>
      </c>
      <c r="U576" t="s">
        <v>709</v>
      </c>
      <c r="V576">
        <v>160</v>
      </c>
      <c r="W576" s="2">
        <v>0.3</v>
      </c>
      <c r="AZ576" t="b">
        <v>1</v>
      </c>
      <c r="BA576" s="2"/>
      <c r="BB576" s="2" t="b">
        <f>LEN(_xlfn.CONCAT(Table1[[#This Row],[TRACK_TYPE_STANDARD_GAUGE_RAILTYPE_OHLE]:[TRACK_TYPE_MTRO]]))&gt;0</f>
        <v>1</v>
      </c>
      <c r="BC576" s="7">
        <v>25</v>
      </c>
      <c r="BD576" t="s">
        <v>936</v>
      </c>
      <c r="BE576" t="s">
        <v>922</v>
      </c>
      <c r="BF576" t="s">
        <v>941</v>
      </c>
      <c r="BG5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6">
        <v>0</v>
      </c>
      <c r="BI576" t="s">
        <v>734</v>
      </c>
      <c r="BK576" s="11"/>
      <c r="BL576" s="11">
        <v>22</v>
      </c>
      <c r="BM576">
        <v>0</v>
      </c>
      <c r="BN576" t="s">
        <v>692</v>
      </c>
      <c r="BO576" t="s">
        <v>694</v>
      </c>
      <c r="BP576" t="s">
        <v>701</v>
      </c>
      <c r="BQ576" t="s">
        <v>705</v>
      </c>
      <c r="BR576" t="s">
        <v>706</v>
      </c>
      <c r="BS576" t="s">
        <v>707</v>
      </c>
    </row>
    <row r="577" spans="1:71" x14ac:dyDescent="0.4">
      <c r="A577" s="2" t="s">
        <v>907</v>
      </c>
      <c r="B577" t="str">
        <f>_xlfn.TEXTAFTER(Table1[[#This Row],[VEHIDCODE]],"_")</f>
        <v>Wagon_Gen7M_Container_Doublestack</v>
      </c>
      <c r="C577" t="s">
        <v>769</v>
      </c>
      <c r="D577" t="b">
        <f>OR(ISNUMBER(SEARCH("wagon_",Table1[[#This Row],[FILENAMES_EXPECTED]])),ISNUMBER(SEARCH("coach_",Table1[[#This Row],[FILENAMES_EXPECTED]])))</f>
        <v>1</v>
      </c>
      <c r="E577" t="str">
        <f>"item_"&amp;Table1[[#This Row],[VEHIDCODE]]</f>
        <v>item_mglv_Wagon_Gen7M_Container_Doublestack</v>
      </c>
      <c r="F577" t="str">
        <f>"str_"&amp;Table1[[#This Row],[VEHIDCODE]]</f>
        <v>str_mglv_Wagon_Gen7M_Container_Doublestack</v>
      </c>
      <c r="G577">
        <v>8</v>
      </c>
      <c r="H577" t="s">
        <v>603</v>
      </c>
      <c r="I577">
        <v>0</v>
      </c>
      <c r="J577" t="s">
        <v>19</v>
      </c>
      <c r="K577">
        <v>75</v>
      </c>
      <c r="L577">
        <v>2000</v>
      </c>
      <c r="M577">
        <v>8</v>
      </c>
      <c r="N577" s="2" t="s">
        <v>33</v>
      </c>
      <c r="O577" t="b">
        <v>1</v>
      </c>
      <c r="Q577" s="2" t="b">
        <v>1</v>
      </c>
      <c r="R577" t="s">
        <v>21</v>
      </c>
      <c r="S577">
        <v>0</v>
      </c>
      <c r="T577">
        <v>0</v>
      </c>
      <c r="U577" t="s">
        <v>709</v>
      </c>
      <c r="V577">
        <v>160</v>
      </c>
      <c r="W577" s="2">
        <v>0.3</v>
      </c>
      <c r="AZ577" t="b">
        <v>1</v>
      </c>
      <c r="BA577" s="2"/>
      <c r="BB577" s="2" t="b">
        <f>LEN(_xlfn.CONCAT(Table1[[#This Row],[TRACK_TYPE_STANDARD_GAUGE_RAILTYPE_OHLE]:[TRACK_TYPE_MTRO]]))&gt;0</f>
        <v>1</v>
      </c>
      <c r="BC577" s="7">
        <v>25</v>
      </c>
      <c r="BD577" t="s">
        <v>936</v>
      </c>
      <c r="BE577" t="s">
        <v>922</v>
      </c>
      <c r="BF577" t="s">
        <v>941</v>
      </c>
      <c r="BG5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7">
        <v>0</v>
      </c>
      <c r="BI577" t="s">
        <v>734</v>
      </c>
      <c r="BK577" s="11"/>
      <c r="BL577" s="11">
        <v>25</v>
      </c>
      <c r="BM577">
        <v>0</v>
      </c>
      <c r="BN577" t="s">
        <v>692</v>
      </c>
      <c r="BO577" t="s">
        <v>694</v>
      </c>
      <c r="BP577" t="s">
        <v>701</v>
      </c>
      <c r="BQ577" t="s">
        <v>705</v>
      </c>
      <c r="BR577" t="s">
        <v>706</v>
      </c>
      <c r="BS577" t="s">
        <v>707</v>
      </c>
    </row>
    <row r="578" spans="1:71" x14ac:dyDescent="0.4">
      <c r="A578" s="2" t="s">
        <v>908</v>
      </c>
      <c r="B578" t="str">
        <f>_xlfn.TEXTAFTER(Table1[[#This Row],[VEHIDCODE]],"_")</f>
        <v>Wagon_Gen7M_Flatcar</v>
      </c>
      <c r="C578" t="s">
        <v>769</v>
      </c>
      <c r="D578" t="b">
        <f>OR(ISNUMBER(SEARCH("wagon_",Table1[[#This Row],[FILENAMES_EXPECTED]])),ISNUMBER(SEARCH("coach_",Table1[[#This Row],[FILENAMES_EXPECTED]])))</f>
        <v>1</v>
      </c>
      <c r="E578" t="str">
        <f>"item_"&amp;Table1[[#This Row],[VEHIDCODE]]</f>
        <v>item_mglv_Wagon_Gen7M_Flatcar</v>
      </c>
      <c r="F578" t="str">
        <f>"str_"&amp;Table1[[#This Row],[VEHIDCODE]]</f>
        <v>str_mglv_Wagon_Gen7M_Flatcar</v>
      </c>
      <c r="G578">
        <v>8</v>
      </c>
      <c r="H578" t="s">
        <v>604</v>
      </c>
      <c r="I578">
        <v>0</v>
      </c>
      <c r="J578" t="s">
        <v>19</v>
      </c>
      <c r="K578">
        <v>72</v>
      </c>
      <c r="L578">
        <v>2010</v>
      </c>
      <c r="M578">
        <v>8</v>
      </c>
      <c r="N578" s="2" t="s">
        <v>33</v>
      </c>
      <c r="O578" t="b">
        <v>1</v>
      </c>
      <c r="Q578" s="2" t="b">
        <v>1</v>
      </c>
      <c r="R578" t="s">
        <v>21</v>
      </c>
      <c r="S578">
        <v>0</v>
      </c>
      <c r="T578">
        <v>0</v>
      </c>
      <c r="U578" t="s">
        <v>709</v>
      </c>
      <c r="V578">
        <v>160</v>
      </c>
      <c r="W578" s="2">
        <v>0.3</v>
      </c>
      <c r="AZ578" t="b">
        <v>1</v>
      </c>
      <c r="BA578" s="2"/>
      <c r="BB578" s="2" t="b">
        <f>LEN(_xlfn.CONCAT(Table1[[#This Row],[TRACK_TYPE_STANDARD_GAUGE_RAILTYPE_OHLE]:[TRACK_TYPE_MTRO]]))&gt;0</f>
        <v>1</v>
      </c>
      <c r="BC578" s="7">
        <v>25</v>
      </c>
      <c r="BD578" t="s">
        <v>936</v>
      </c>
      <c r="BE578" t="s">
        <v>922</v>
      </c>
      <c r="BF578" t="s">
        <v>941</v>
      </c>
      <c r="BG5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8">
        <v>0</v>
      </c>
      <c r="BI578" t="s">
        <v>734</v>
      </c>
      <c r="BK578" s="11"/>
      <c r="BL578" s="11">
        <v>23</v>
      </c>
      <c r="BM578">
        <v>0</v>
      </c>
      <c r="BN578" t="s">
        <v>692</v>
      </c>
      <c r="BO578" t="s">
        <v>694</v>
      </c>
      <c r="BP578" t="s">
        <v>701</v>
      </c>
      <c r="BQ578" t="s">
        <v>705</v>
      </c>
      <c r="BR578" t="s">
        <v>706</v>
      </c>
      <c r="BS578" t="s">
        <v>707</v>
      </c>
    </row>
    <row r="579" spans="1:71" x14ac:dyDescent="0.4">
      <c r="A579" s="2" t="s">
        <v>909</v>
      </c>
      <c r="B579" t="str">
        <f>_xlfn.TEXTAFTER(Table1[[#This Row],[VEHIDCODE]],"_")</f>
        <v>Wagon_Gen7M_Gondola</v>
      </c>
      <c r="C579" t="s">
        <v>769</v>
      </c>
      <c r="D579" t="b">
        <f>OR(ISNUMBER(SEARCH("wagon_",Table1[[#This Row],[FILENAMES_EXPECTED]])),ISNUMBER(SEARCH("coach_",Table1[[#This Row],[FILENAMES_EXPECTED]])))</f>
        <v>1</v>
      </c>
      <c r="E579" t="str">
        <f>"item_"&amp;Table1[[#This Row],[VEHIDCODE]]</f>
        <v>item_mglv_Wagon_Gen7M_Gondola</v>
      </c>
      <c r="F579" t="str">
        <f>"str_"&amp;Table1[[#This Row],[VEHIDCODE]]</f>
        <v>str_mglv_Wagon_Gen7M_Gondola</v>
      </c>
      <c r="G579">
        <v>8</v>
      </c>
      <c r="H579" t="s">
        <v>605</v>
      </c>
      <c r="I579">
        <v>0</v>
      </c>
      <c r="J579" t="s">
        <v>19</v>
      </c>
      <c r="K579">
        <v>75</v>
      </c>
      <c r="L579">
        <v>2010</v>
      </c>
      <c r="M579">
        <v>8</v>
      </c>
      <c r="N579" s="2" t="s">
        <v>33</v>
      </c>
      <c r="O579" t="b">
        <v>1</v>
      </c>
      <c r="Q579" s="2" t="b">
        <v>1</v>
      </c>
      <c r="R579" t="s">
        <v>21</v>
      </c>
      <c r="S579">
        <v>0</v>
      </c>
      <c r="T579">
        <v>0</v>
      </c>
      <c r="U579" t="s">
        <v>709</v>
      </c>
      <c r="V579">
        <v>160</v>
      </c>
      <c r="W579" s="2">
        <v>0.3</v>
      </c>
      <c r="AZ579" t="b">
        <v>1</v>
      </c>
      <c r="BA579" s="2"/>
      <c r="BB579" s="2" t="b">
        <f>LEN(_xlfn.CONCAT(Table1[[#This Row],[TRACK_TYPE_STANDARD_GAUGE_RAILTYPE_OHLE]:[TRACK_TYPE_MTRO]]))&gt;0</f>
        <v>1</v>
      </c>
      <c r="BC579" s="7">
        <v>25</v>
      </c>
      <c r="BD579" t="s">
        <v>936</v>
      </c>
      <c r="BE579" t="s">
        <v>922</v>
      </c>
      <c r="BF579" t="s">
        <v>941</v>
      </c>
      <c r="BG5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9">
        <v>0</v>
      </c>
      <c r="BI579" t="s">
        <v>734</v>
      </c>
      <c r="BK579" s="11"/>
      <c r="BL579" s="11">
        <v>22</v>
      </c>
      <c r="BM579">
        <v>0</v>
      </c>
      <c r="BN579" t="s">
        <v>692</v>
      </c>
      <c r="BO579" t="s">
        <v>694</v>
      </c>
      <c r="BP579" t="s">
        <v>701</v>
      </c>
      <c r="BQ579" t="s">
        <v>705</v>
      </c>
      <c r="BR579" t="s">
        <v>706</v>
      </c>
      <c r="BS579" t="s">
        <v>707</v>
      </c>
    </row>
    <row r="580" spans="1:71" x14ac:dyDescent="0.4">
      <c r="A580" s="2" t="s">
        <v>910</v>
      </c>
      <c r="B580" t="str">
        <f>_xlfn.TEXTAFTER(Table1[[#This Row],[VEHIDCODE]],"_")</f>
        <v>Wagon_Gen7M_Heavy_Flatcar</v>
      </c>
      <c r="C580" t="s">
        <v>769</v>
      </c>
      <c r="D580" t="b">
        <f>OR(ISNUMBER(SEARCH("wagon_",Table1[[#This Row],[FILENAMES_EXPECTED]])),ISNUMBER(SEARCH("coach_",Table1[[#This Row],[FILENAMES_EXPECTED]])))</f>
        <v>1</v>
      </c>
      <c r="E580" t="str">
        <f>"item_"&amp;Table1[[#This Row],[VEHIDCODE]]</f>
        <v>item_mglv_Wagon_Gen7M_Heavy_Flatcar</v>
      </c>
      <c r="F580" t="str">
        <f>"str_"&amp;Table1[[#This Row],[VEHIDCODE]]</f>
        <v>str_mglv_Wagon_Gen7M_Heavy_Flatcar</v>
      </c>
      <c r="G580">
        <v>8</v>
      </c>
      <c r="H580" t="s">
        <v>606</v>
      </c>
      <c r="I580">
        <v>0</v>
      </c>
      <c r="J580" t="s">
        <v>19</v>
      </c>
      <c r="K580">
        <v>96</v>
      </c>
      <c r="L580">
        <v>2020</v>
      </c>
      <c r="M580">
        <v>8</v>
      </c>
      <c r="N580" s="2" t="s">
        <v>33</v>
      </c>
      <c r="O580" t="b">
        <v>1</v>
      </c>
      <c r="Q580" s="2" t="b">
        <v>1</v>
      </c>
      <c r="R580" t="s">
        <v>21</v>
      </c>
      <c r="S580">
        <v>0</v>
      </c>
      <c r="T580">
        <v>0</v>
      </c>
      <c r="U580" t="s">
        <v>709</v>
      </c>
      <c r="V580">
        <v>140</v>
      </c>
      <c r="W580" s="2">
        <v>0.3</v>
      </c>
      <c r="AZ580" t="b">
        <v>1</v>
      </c>
      <c r="BA580" s="2"/>
      <c r="BB580" s="2" t="b">
        <f>LEN(_xlfn.CONCAT(Table1[[#This Row],[TRACK_TYPE_STANDARD_GAUGE_RAILTYPE_OHLE]:[TRACK_TYPE_MTRO]]))&gt;0</f>
        <v>1</v>
      </c>
      <c r="BC580" s="7">
        <v>25</v>
      </c>
      <c r="BD580" t="s">
        <v>936</v>
      </c>
      <c r="BE580" t="s">
        <v>922</v>
      </c>
      <c r="BF580" t="s">
        <v>941</v>
      </c>
      <c r="BG5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0">
        <v>0</v>
      </c>
      <c r="BI580" t="s">
        <v>734</v>
      </c>
      <c r="BK580" s="11"/>
      <c r="BL580" s="11">
        <v>42</v>
      </c>
      <c r="BM580">
        <v>0</v>
      </c>
      <c r="BN580" t="s">
        <v>692</v>
      </c>
      <c r="BO580" t="s">
        <v>694</v>
      </c>
      <c r="BP580" t="s">
        <v>701</v>
      </c>
      <c r="BQ580" t="s">
        <v>705</v>
      </c>
      <c r="BR580" t="s">
        <v>706</v>
      </c>
      <c r="BS580" t="s">
        <v>707</v>
      </c>
    </row>
    <row r="581" spans="1:71" x14ac:dyDescent="0.4">
      <c r="A581" s="2" t="s">
        <v>911</v>
      </c>
      <c r="B581" t="str">
        <f>_xlfn.TEXTAFTER(Table1[[#This Row],[VEHIDCODE]],"_")</f>
        <v>Wagon_Gen7M_Hopper_Type1</v>
      </c>
      <c r="C581" t="s">
        <v>769</v>
      </c>
      <c r="D581" t="b">
        <f>OR(ISNUMBER(SEARCH("wagon_",Table1[[#This Row],[FILENAMES_EXPECTED]])),ISNUMBER(SEARCH("coach_",Table1[[#This Row],[FILENAMES_EXPECTED]])))</f>
        <v>1</v>
      </c>
      <c r="E581" t="str">
        <f>"item_"&amp;Table1[[#This Row],[VEHIDCODE]]</f>
        <v>item_mglv_Wagon_Gen7M_Hopper_Type1</v>
      </c>
      <c r="F581" t="str">
        <f>"str_"&amp;Table1[[#This Row],[VEHIDCODE]]</f>
        <v>str_mglv_Wagon_Gen7M_Hopper_Type1</v>
      </c>
      <c r="G581">
        <v>8</v>
      </c>
      <c r="H581" t="s">
        <v>607</v>
      </c>
      <c r="I581">
        <v>0</v>
      </c>
      <c r="J581" t="s">
        <v>19</v>
      </c>
      <c r="K581">
        <v>75</v>
      </c>
      <c r="L581">
        <v>2020</v>
      </c>
      <c r="M581">
        <v>8</v>
      </c>
      <c r="N581" s="2" t="s">
        <v>33</v>
      </c>
      <c r="O581" t="b">
        <v>1</v>
      </c>
      <c r="Q581" s="2" t="b">
        <v>1</v>
      </c>
      <c r="R581" t="s">
        <v>21</v>
      </c>
      <c r="S581">
        <v>0</v>
      </c>
      <c r="T581">
        <v>0</v>
      </c>
      <c r="U581" t="s">
        <v>709</v>
      </c>
      <c r="V581">
        <v>160</v>
      </c>
      <c r="W581" s="2">
        <v>0.3</v>
      </c>
      <c r="AZ581" t="b">
        <v>1</v>
      </c>
      <c r="BA581" s="2"/>
      <c r="BB581" s="2" t="b">
        <f>LEN(_xlfn.CONCAT(Table1[[#This Row],[TRACK_TYPE_STANDARD_GAUGE_RAILTYPE_OHLE]:[TRACK_TYPE_MTRO]]))&gt;0</f>
        <v>1</v>
      </c>
      <c r="BC581" s="7">
        <v>25</v>
      </c>
      <c r="BD581" t="s">
        <v>933</v>
      </c>
      <c r="BE581" t="s">
        <v>922</v>
      </c>
      <c r="BF581" t="s">
        <v>941</v>
      </c>
      <c r="BG5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1">
        <v>0</v>
      </c>
      <c r="BI581" t="s">
        <v>734</v>
      </c>
      <c r="BK581" s="11"/>
      <c r="BL581" s="11">
        <v>26</v>
      </c>
      <c r="BM581">
        <v>0</v>
      </c>
      <c r="BN581" t="s">
        <v>692</v>
      </c>
      <c r="BO581" t="s">
        <v>694</v>
      </c>
      <c r="BP581" t="s">
        <v>701</v>
      </c>
      <c r="BQ581" t="s">
        <v>705</v>
      </c>
      <c r="BR581" t="s">
        <v>706</v>
      </c>
      <c r="BS581" t="s">
        <v>707</v>
      </c>
    </row>
    <row r="582" spans="1:71" x14ac:dyDescent="0.4">
      <c r="A582" s="2" t="s">
        <v>912</v>
      </c>
      <c r="B582" t="str">
        <f>_xlfn.TEXTAFTER(Table1[[#This Row],[VEHIDCODE]],"_")</f>
        <v>Wagon_Gen7M_Hopper_Type2</v>
      </c>
      <c r="C582" t="s">
        <v>769</v>
      </c>
      <c r="D582" t="b">
        <f>OR(ISNUMBER(SEARCH("wagon_",Table1[[#This Row],[FILENAMES_EXPECTED]])),ISNUMBER(SEARCH("coach_",Table1[[#This Row],[FILENAMES_EXPECTED]])))</f>
        <v>1</v>
      </c>
      <c r="E582" t="str">
        <f>"item_"&amp;Table1[[#This Row],[VEHIDCODE]]</f>
        <v>item_mglv_Wagon_Gen7M_Hopper_Type2</v>
      </c>
      <c r="F582" t="str">
        <f>"str_"&amp;Table1[[#This Row],[VEHIDCODE]]</f>
        <v>str_mglv_Wagon_Gen7M_Hopper_Type2</v>
      </c>
      <c r="G582">
        <v>8</v>
      </c>
      <c r="H582" t="s">
        <v>607</v>
      </c>
      <c r="I582">
        <v>0</v>
      </c>
      <c r="J582" t="s">
        <v>19</v>
      </c>
      <c r="K582">
        <v>75</v>
      </c>
      <c r="L582">
        <v>2020</v>
      </c>
      <c r="M582">
        <v>8</v>
      </c>
      <c r="N582" s="2" t="s">
        <v>33</v>
      </c>
      <c r="O582" t="b">
        <v>1</v>
      </c>
      <c r="Q582" s="2" t="b">
        <v>1</v>
      </c>
      <c r="R582" t="s">
        <v>21</v>
      </c>
      <c r="S582">
        <v>0</v>
      </c>
      <c r="T582">
        <v>0</v>
      </c>
      <c r="U582" t="s">
        <v>709</v>
      </c>
      <c r="V582">
        <v>160</v>
      </c>
      <c r="W582" s="2">
        <v>0.3</v>
      </c>
      <c r="AZ582" t="b">
        <v>1</v>
      </c>
      <c r="BA582" s="2"/>
      <c r="BB582" s="2" t="b">
        <f>LEN(_xlfn.CONCAT(Table1[[#This Row],[TRACK_TYPE_STANDARD_GAUGE_RAILTYPE_OHLE]:[TRACK_TYPE_MTRO]]))&gt;0</f>
        <v>1</v>
      </c>
      <c r="BC582" s="7">
        <v>25</v>
      </c>
      <c r="BD582" t="s">
        <v>936</v>
      </c>
      <c r="BE582" t="s">
        <v>922</v>
      </c>
      <c r="BF582" t="s">
        <v>941</v>
      </c>
      <c r="BG5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2">
        <v>0</v>
      </c>
      <c r="BI582" t="s">
        <v>734</v>
      </c>
      <c r="BK582" s="11"/>
      <c r="BL582" s="11">
        <v>26</v>
      </c>
      <c r="BM582">
        <v>0</v>
      </c>
      <c r="BN582" t="s">
        <v>692</v>
      </c>
      <c r="BO582" t="s">
        <v>694</v>
      </c>
      <c r="BP582" t="s">
        <v>701</v>
      </c>
      <c r="BQ582" t="s">
        <v>705</v>
      </c>
      <c r="BR582" t="s">
        <v>706</v>
      </c>
      <c r="BS582" t="s">
        <v>707</v>
      </c>
    </row>
    <row r="583" spans="1:71" x14ac:dyDescent="0.4">
      <c r="A583" s="2" t="s">
        <v>913</v>
      </c>
      <c r="B583" t="str">
        <f>_xlfn.TEXTAFTER(Table1[[#This Row],[VEHIDCODE]],"_")</f>
        <v>Wagon_Gen7M_Silo_Type1</v>
      </c>
      <c r="C583" t="s">
        <v>769</v>
      </c>
      <c r="D583" t="b">
        <f>OR(ISNUMBER(SEARCH("wagon_",Table1[[#This Row],[FILENAMES_EXPECTED]])),ISNUMBER(SEARCH("coach_",Table1[[#This Row],[FILENAMES_EXPECTED]])))</f>
        <v>1</v>
      </c>
      <c r="E583" t="str">
        <f>"item_"&amp;Table1[[#This Row],[VEHIDCODE]]</f>
        <v>item_mglv_Wagon_Gen7M_Silo_Type1</v>
      </c>
      <c r="F583" t="str">
        <f>"str_"&amp;Table1[[#This Row],[VEHIDCODE]]</f>
        <v>str_mglv_Wagon_Gen7M_Silo_Type1</v>
      </c>
      <c r="G583">
        <v>8</v>
      </c>
      <c r="H583" t="s">
        <v>608</v>
      </c>
      <c r="I583">
        <v>0</v>
      </c>
      <c r="J583" t="s">
        <v>19</v>
      </c>
      <c r="K583">
        <v>75</v>
      </c>
      <c r="L583">
        <v>2020</v>
      </c>
      <c r="M583">
        <v>8</v>
      </c>
      <c r="N583" s="2" t="s">
        <v>33</v>
      </c>
      <c r="O583" t="b">
        <v>1</v>
      </c>
      <c r="Q583" s="2" t="b">
        <v>1</v>
      </c>
      <c r="R583" t="s">
        <v>21</v>
      </c>
      <c r="S583">
        <v>0</v>
      </c>
      <c r="T583">
        <v>0</v>
      </c>
      <c r="U583" t="s">
        <v>709</v>
      </c>
      <c r="V583">
        <v>160</v>
      </c>
      <c r="W583" s="2">
        <v>0.3</v>
      </c>
      <c r="AZ583" t="b">
        <v>1</v>
      </c>
      <c r="BA583" s="2"/>
      <c r="BB583" s="2" t="b">
        <f>LEN(_xlfn.CONCAT(Table1[[#This Row],[TRACK_TYPE_STANDARD_GAUGE_RAILTYPE_OHLE]:[TRACK_TYPE_MTRO]]))&gt;0</f>
        <v>1</v>
      </c>
      <c r="BC583" s="7">
        <v>25</v>
      </c>
      <c r="BD583" t="s">
        <v>933</v>
      </c>
      <c r="BE583" t="s">
        <v>922</v>
      </c>
      <c r="BF583" t="s">
        <v>941</v>
      </c>
      <c r="BG5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3">
        <v>0</v>
      </c>
      <c r="BI583" t="s">
        <v>734</v>
      </c>
      <c r="BK583" s="11"/>
      <c r="BL583" s="11">
        <v>27</v>
      </c>
      <c r="BM583">
        <v>0</v>
      </c>
      <c r="BN583" t="s">
        <v>692</v>
      </c>
      <c r="BO583" t="s">
        <v>694</v>
      </c>
      <c r="BP583" t="s">
        <v>701</v>
      </c>
      <c r="BQ583" t="s">
        <v>705</v>
      </c>
      <c r="BR583" t="s">
        <v>706</v>
      </c>
      <c r="BS583" t="s">
        <v>707</v>
      </c>
    </row>
    <row r="584" spans="1:71" x14ac:dyDescent="0.4">
      <c r="A584" s="2" t="s">
        <v>914</v>
      </c>
      <c r="B584" t="str">
        <f>_xlfn.TEXTAFTER(Table1[[#This Row],[VEHIDCODE]],"_")</f>
        <v>Wagon_Gen7M_Silo_Type2</v>
      </c>
      <c r="C584" t="s">
        <v>769</v>
      </c>
      <c r="D584" t="b">
        <f>OR(ISNUMBER(SEARCH("wagon_",Table1[[#This Row],[FILENAMES_EXPECTED]])),ISNUMBER(SEARCH("coach_",Table1[[#This Row],[FILENAMES_EXPECTED]])))</f>
        <v>1</v>
      </c>
      <c r="E584" t="str">
        <f>"item_"&amp;Table1[[#This Row],[VEHIDCODE]]</f>
        <v>item_mglv_Wagon_Gen7M_Silo_Type2</v>
      </c>
      <c r="F584" t="str">
        <f>"str_"&amp;Table1[[#This Row],[VEHIDCODE]]</f>
        <v>str_mglv_Wagon_Gen7M_Silo_Type2</v>
      </c>
      <c r="G584">
        <v>8</v>
      </c>
      <c r="H584" t="s">
        <v>608</v>
      </c>
      <c r="I584">
        <v>0</v>
      </c>
      <c r="J584" t="s">
        <v>19</v>
      </c>
      <c r="K584">
        <v>75</v>
      </c>
      <c r="L584">
        <v>2020</v>
      </c>
      <c r="M584">
        <v>8</v>
      </c>
      <c r="N584" s="2" t="s">
        <v>33</v>
      </c>
      <c r="O584" t="b">
        <v>1</v>
      </c>
      <c r="Q584" s="2" t="b">
        <v>1</v>
      </c>
      <c r="R584" t="s">
        <v>21</v>
      </c>
      <c r="S584">
        <v>0</v>
      </c>
      <c r="T584">
        <v>0</v>
      </c>
      <c r="U584" t="s">
        <v>709</v>
      </c>
      <c r="V584">
        <v>160</v>
      </c>
      <c r="W584" s="2">
        <v>0.3</v>
      </c>
      <c r="AZ584" t="b">
        <v>1</v>
      </c>
      <c r="BA584" s="2"/>
      <c r="BB584" s="2" t="b">
        <f>LEN(_xlfn.CONCAT(Table1[[#This Row],[TRACK_TYPE_STANDARD_GAUGE_RAILTYPE_OHLE]:[TRACK_TYPE_MTRO]]))&gt;0</f>
        <v>1</v>
      </c>
      <c r="BC584" s="7">
        <v>25</v>
      </c>
      <c r="BD584" t="s">
        <v>934</v>
      </c>
      <c r="BE584" t="s">
        <v>922</v>
      </c>
      <c r="BF584" t="s">
        <v>941</v>
      </c>
      <c r="BG5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4">
        <v>0</v>
      </c>
      <c r="BI584" t="s">
        <v>734</v>
      </c>
      <c r="BK584" s="11"/>
      <c r="BL584" s="11">
        <v>27</v>
      </c>
      <c r="BM584">
        <v>0</v>
      </c>
      <c r="BN584" t="s">
        <v>692</v>
      </c>
      <c r="BO584" t="s">
        <v>694</v>
      </c>
      <c r="BP584" t="s">
        <v>701</v>
      </c>
      <c r="BQ584" t="s">
        <v>705</v>
      </c>
      <c r="BR584" t="s">
        <v>706</v>
      </c>
      <c r="BS584" t="s">
        <v>707</v>
      </c>
    </row>
    <row r="585" spans="1:71" x14ac:dyDescent="0.4">
      <c r="A585" s="2" t="s">
        <v>915</v>
      </c>
      <c r="B585" t="str">
        <f>_xlfn.TEXTAFTER(Table1[[#This Row],[VEHIDCODE]],"_")</f>
        <v>Wagon_Gen7M_Superheavy_Flatcar</v>
      </c>
      <c r="C585" t="s">
        <v>769</v>
      </c>
      <c r="D585" t="b">
        <f>OR(ISNUMBER(SEARCH("wagon_",Table1[[#This Row],[FILENAMES_EXPECTED]])),ISNUMBER(SEARCH("coach_",Table1[[#This Row],[FILENAMES_EXPECTED]])))</f>
        <v>1</v>
      </c>
      <c r="E585" t="str">
        <f>"item_"&amp;Table1[[#This Row],[VEHIDCODE]]</f>
        <v>item_mglv_Wagon_Gen7M_Superheavy_Flatcar</v>
      </c>
      <c r="F585" t="str">
        <f>"str_"&amp;Table1[[#This Row],[VEHIDCODE]]</f>
        <v>str_mglv_Wagon_Gen7M_Superheavy_Flatcar</v>
      </c>
      <c r="G585">
        <v>12</v>
      </c>
      <c r="H585" t="s">
        <v>609</v>
      </c>
      <c r="I585">
        <v>0</v>
      </c>
      <c r="J585" t="s">
        <v>19</v>
      </c>
      <c r="K585">
        <v>65</v>
      </c>
      <c r="L585">
        <v>2010</v>
      </c>
      <c r="M585">
        <v>4</v>
      </c>
      <c r="N585" s="2" t="s">
        <v>33</v>
      </c>
      <c r="O585" t="b">
        <v>1</v>
      </c>
      <c r="Q585" s="2" t="b">
        <v>1</v>
      </c>
      <c r="R585" t="s">
        <v>21</v>
      </c>
      <c r="S585">
        <v>0</v>
      </c>
      <c r="T585">
        <v>0</v>
      </c>
      <c r="U585" t="s">
        <v>709</v>
      </c>
      <c r="V585">
        <v>140</v>
      </c>
      <c r="W585" s="2">
        <v>0.3</v>
      </c>
      <c r="AZ585" t="b">
        <v>1</v>
      </c>
      <c r="BA585" s="2"/>
      <c r="BB585" s="2" t="b">
        <f>LEN(_xlfn.CONCAT(Table1[[#This Row],[TRACK_TYPE_STANDARD_GAUGE_RAILTYPE_OHLE]:[TRACK_TYPE_MTRO]]))&gt;0</f>
        <v>1</v>
      </c>
      <c r="BC585" s="7">
        <v>25</v>
      </c>
      <c r="BD585" t="s">
        <v>936</v>
      </c>
      <c r="BE585" t="s">
        <v>922</v>
      </c>
      <c r="BF585" t="s">
        <v>941</v>
      </c>
      <c r="BG5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5">
        <v>0</v>
      </c>
      <c r="BI585" t="s">
        <v>734</v>
      </c>
      <c r="BK585" s="11"/>
      <c r="BL585" s="11">
        <v>50</v>
      </c>
      <c r="BM585">
        <v>0</v>
      </c>
      <c r="BN585" t="s">
        <v>692</v>
      </c>
      <c r="BO585" t="s">
        <v>694</v>
      </c>
      <c r="BP585" t="s">
        <v>701</v>
      </c>
      <c r="BQ585" t="s">
        <v>705</v>
      </c>
      <c r="BR585" t="s">
        <v>706</v>
      </c>
      <c r="BS585" t="s">
        <v>707</v>
      </c>
    </row>
    <row r="586" spans="1:71" x14ac:dyDescent="0.4">
      <c r="A586" s="2" t="s">
        <v>916</v>
      </c>
      <c r="B586" t="str">
        <f>_xlfn.TEXTAFTER(Table1[[#This Row],[VEHIDCODE]],"_")</f>
        <v>Wagon_Gen7M_Tanker</v>
      </c>
      <c r="C586" t="s">
        <v>769</v>
      </c>
      <c r="D586" t="b">
        <f>OR(ISNUMBER(SEARCH("wagon_",Table1[[#This Row],[FILENAMES_EXPECTED]])),ISNUMBER(SEARCH("coach_",Table1[[#This Row],[FILENAMES_EXPECTED]])))</f>
        <v>1</v>
      </c>
      <c r="E586" t="str">
        <f>"item_"&amp;Table1[[#This Row],[VEHIDCODE]]</f>
        <v>item_mglv_Wagon_Gen7M_Tanker</v>
      </c>
      <c r="F586" t="str">
        <f>"str_"&amp;Table1[[#This Row],[VEHIDCODE]]</f>
        <v>str_mglv_Wagon_Gen7M_Tanker</v>
      </c>
      <c r="G586">
        <v>8</v>
      </c>
      <c r="H586" t="s">
        <v>610</v>
      </c>
      <c r="I586">
        <v>0</v>
      </c>
      <c r="J586" t="s">
        <v>19</v>
      </c>
      <c r="K586">
        <v>105</v>
      </c>
      <c r="L586">
        <v>2020</v>
      </c>
      <c r="M586">
        <v>8</v>
      </c>
      <c r="N586" s="2" t="s">
        <v>33</v>
      </c>
      <c r="O586" t="b">
        <v>1</v>
      </c>
      <c r="Q586" s="2" t="b">
        <v>1</v>
      </c>
      <c r="R586" t="s">
        <v>21</v>
      </c>
      <c r="S586">
        <v>0</v>
      </c>
      <c r="T586">
        <v>0</v>
      </c>
      <c r="U586" t="s">
        <v>709</v>
      </c>
      <c r="V586">
        <v>160</v>
      </c>
      <c r="W586" s="2">
        <v>0.3</v>
      </c>
      <c r="AZ586" t="b">
        <v>1</v>
      </c>
      <c r="BA586" s="2"/>
      <c r="BB586" s="2" t="b">
        <f>LEN(_xlfn.CONCAT(Table1[[#This Row],[TRACK_TYPE_STANDARD_GAUGE_RAILTYPE_OHLE]:[TRACK_TYPE_MTRO]]))&gt;0</f>
        <v>1</v>
      </c>
      <c r="BC586" s="7">
        <v>25</v>
      </c>
      <c r="BD586" t="s">
        <v>936</v>
      </c>
      <c r="BE586" t="s">
        <v>922</v>
      </c>
      <c r="BF586" t="s">
        <v>941</v>
      </c>
      <c r="BG5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6">
        <v>0</v>
      </c>
      <c r="BI586" t="s">
        <v>734</v>
      </c>
      <c r="BK586" s="11"/>
      <c r="BL586" s="11">
        <v>24</v>
      </c>
      <c r="BM586">
        <v>0</v>
      </c>
      <c r="BN586" t="s">
        <v>692</v>
      </c>
      <c r="BO586" t="s">
        <v>694</v>
      </c>
      <c r="BP586" t="s">
        <v>701</v>
      </c>
      <c r="BQ586" t="s">
        <v>705</v>
      </c>
      <c r="BR586" t="s">
        <v>706</v>
      </c>
      <c r="BS586" t="s">
        <v>707</v>
      </c>
    </row>
    <row r="587" spans="1:71" hidden="1" x14ac:dyDescent="0.4">
      <c r="A587" s="2" t="s">
        <v>611</v>
      </c>
      <c r="B587" t="str">
        <f>_xlfn.TEXTAFTER(Table1[[#This Row],[VEHIDCODE]],"_")</f>
        <v>Japan_JR_Shikoku_1000</v>
      </c>
      <c r="C587" t="s">
        <v>737</v>
      </c>
      <c r="D587" t="b">
        <f>OR(ISNUMBER(SEARCH("wagon_",Table1[[#This Row],[FILENAMES_EXPECTED]])),ISNUMBER(SEARCH("coach_",Table1[[#This Row],[FILENAMES_EXPECTED]])))</f>
        <v>0</v>
      </c>
      <c r="E587" t="str">
        <f>"item_"&amp;Table1[[#This Row],[VEHIDCODE]]</f>
        <v>item_rbd_Japan_JR_Shikoku_1000</v>
      </c>
      <c r="F587" t="str">
        <f>"str_"&amp;Table1[[#This Row],[VEHIDCODE]]</f>
        <v>str_rbd_Japan_JR_Shikoku_1000</v>
      </c>
      <c r="G587">
        <v>7</v>
      </c>
      <c r="H587" t="s">
        <v>18</v>
      </c>
      <c r="I587">
        <v>0</v>
      </c>
      <c r="J587" t="s">
        <v>35</v>
      </c>
      <c r="K587">
        <v>70</v>
      </c>
      <c r="L587">
        <v>1990</v>
      </c>
      <c r="M587">
        <v>7</v>
      </c>
      <c r="N587" s="2" t="s">
        <v>24</v>
      </c>
      <c r="O587" t="b">
        <v>1</v>
      </c>
      <c r="Q587" s="2"/>
      <c r="R587">
        <v>45</v>
      </c>
      <c r="S587">
        <v>1</v>
      </c>
      <c r="T587">
        <v>400</v>
      </c>
      <c r="U587" t="s">
        <v>711</v>
      </c>
      <c r="V587">
        <v>110</v>
      </c>
      <c r="W587" s="2">
        <v>0.34</v>
      </c>
      <c r="AO587" s="2" t="b">
        <v>1</v>
      </c>
      <c r="AX587"/>
      <c r="BA587" s="2"/>
      <c r="BB587" s="2" t="b">
        <f>LEN(_xlfn.CONCAT(Table1[[#This Row],[TRACK_TYPE_STANDARD_GAUGE_RAILTYPE_OHLE]:[TRACK_TYPE_MTRO]]))&gt;0</f>
        <v>1</v>
      </c>
      <c r="BC587" s="7">
        <v>15</v>
      </c>
      <c r="BD587" t="s">
        <v>931</v>
      </c>
      <c r="BE587" t="s">
        <v>922</v>
      </c>
      <c r="BF587" t="s">
        <v>940</v>
      </c>
      <c r="BG5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87">
        <v>0</v>
      </c>
      <c r="BI587" t="s">
        <v>734</v>
      </c>
      <c r="BK587" s="11"/>
      <c r="BL587" s="11">
        <v>32</v>
      </c>
      <c r="BM587">
        <v>0</v>
      </c>
      <c r="BN587" t="s">
        <v>692</v>
      </c>
      <c r="BO587" t="s">
        <v>694</v>
      </c>
      <c r="BP587" t="s">
        <v>701</v>
      </c>
      <c r="BQ587" t="s">
        <v>705</v>
      </c>
      <c r="BR587" t="s">
        <v>706</v>
      </c>
      <c r="BS587" t="s">
        <v>707</v>
      </c>
    </row>
    <row r="588" spans="1:71" hidden="1" x14ac:dyDescent="0.4">
      <c r="A588" s="2" t="s">
        <v>612</v>
      </c>
      <c r="B588" t="str">
        <f>_xlfn.TEXTAFTER(Table1[[#This Row],[VEHIDCODE]],"_")</f>
        <v>Japan_JR_KiHa_E120</v>
      </c>
      <c r="C588" t="s">
        <v>737</v>
      </c>
      <c r="D588" t="b">
        <f>OR(ISNUMBER(SEARCH("wagon_",Table1[[#This Row],[FILENAMES_EXPECTED]])),ISNUMBER(SEARCH("coach_",Table1[[#This Row],[FILENAMES_EXPECTED]])))</f>
        <v>0</v>
      </c>
      <c r="E588" t="str">
        <f>"item_"&amp;Table1[[#This Row],[VEHIDCODE]]</f>
        <v>item_rbd_Japan_JR_KiHa_E120</v>
      </c>
      <c r="F588" t="str">
        <f>"str_"&amp;Table1[[#This Row],[VEHIDCODE]]</f>
        <v>str_rbd_Japan_JR_KiHa_E120</v>
      </c>
      <c r="G588">
        <v>8</v>
      </c>
      <c r="H588" t="s">
        <v>18</v>
      </c>
      <c r="I588">
        <v>0</v>
      </c>
      <c r="J588" t="s">
        <v>35</v>
      </c>
      <c r="K588">
        <v>39</v>
      </c>
      <c r="L588">
        <v>2008</v>
      </c>
      <c r="M588">
        <v>8</v>
      </c>
      <c r="N588" s="2" t="s">
        <v>24</v>
      </c>
      <c r="O588" t="b">
        <v>1</v>
      </c>
      <c r="Q588" s="2"/>
      <c r="R588" t="s">
        <v>21</v>
      </c>
      <c r="S588">
        <v>1</v>
      </c>
      <c r="T588">
        <v>444</v>
      </c>
      <c r="U588" t="s">
        <v>711</v>
      </c>
      <c r="V588">
        <v>100</v>
      </c>
      <c r="W588" s="2">
        <v>0.26</v>
      </c>
      <c r="AO588" s="2" t="b">
        <v>1</v>
      </c>
      <c r="AX588"/>
      <c r="BA588" s="2"/>
      <c r="BB588" s="2" t="b">
        <f>LEN(_xlfn.CONCAT(Table1[[#This Row],[TRACK_TYPE_STANDARD_GAUGE_RAILTYPE_OHLE]:[TRACK_TYPE_MTRO]]))&gt;0</f>
        <v>1</v>
      </c>
      <c r="BC588" s="7">
        <v>15</v>
      </c>
      <c r="BD588" t="s">
        <v>931</v>
      </c>
      <c r="BE588" t="s">
        <v>922</v>
      </c>
      <c r="BF588" t="s">
        <v>940</v>
      </c>
      <c r="BG5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88">
        <v>0</v>
      </c>
      <c r="BI588" t="s">
        <v>734</v>
      </c>
      <c r="BK588" s="11"/>
      <c r="BL588" s="11">
        <v>39</v>
      </c>
      <c r="BM588">
        <v>0</v>
      </c>
      <c r="BN588" t="s">
        <v>692</v>
      </c>
      <c r="BO588" t="s">
        <v>694</v>
      </c>
      <c r="BP588" t="s">
        <v>701</v>
      </c>
      <c r="BQ588" t="s">
        <v>705</v>
      </c>
      <c r="BR588" t="s">
        <v>706</v>
      </c>
      <c r="BS588" t="s">
        <v>707</v>
      </c>
    </row>
    <row r="589" spans="1:71" hidden="1" x14ac:dyDescent="0.4">
      <c r="A589" s="2" t="s">
        <v>613</v>
      </c>
      <c r="B589" t="str">
        <f>_xlfn.TEXTAFTER(Table1[[#This Row],[VEHIDCODE]],"_")</f>
        <v>Chile_EFE_Buscarril</v>
      </c>
      <c r="C589" t="s">
        <v>737</v>
      </c>
      <c r="D589" t="b">
        <f>OR(ISNUMBER(SEARCH("wagon_",Table1[[#This Row],[FILENAMES_EXPECTED]])),ISNUMBER(SEARCH("coach_",Table1[[#This Row],[FILENAMES_EXPECTED]])))</f>
        <v>0</v>
      </c>
      <c r="E589" t="str">
        <f>"item_"&amp;Table1[[#This Row],[VEHIDCODE]]</f>
        <v>item_rbd_Chile_EFE_Buscarril</v>
      </c>
      <c r="F589" t="str">
        <f>"str_"&amp;Table1[[#This Row],[VEHIDCODE]]</f>
        <v>str_rbd_Chile_EFE_Buscarril</v>
      </c>
      <c r="G589">
        <v>8</v>
      </c>
      <c r="H589" t="s">
        <v>18</v>
      </c>
      <c r="I589">
        <v>0</v>
      </c>
      <c r="J589" t="s">
        <v>35</v>
      </c>
      <c r="K589">
        <v>80</v>
      </c>
      <c r="L589">
        <v>1961</v>
      </c>
      <c r="M589">
        <v>8</v>
      </c>
      <c r="N589" s="2" t="s">
        <v>24</v>
      </c>
      <c r="O589" t="b">
        <v>1</v>
      </c>
      <c r="Q589" s="2"/>
      <c r="R589">
        <v>45</v>
      </c>
      <c r="S589">
        <v>1</v>
      </c>
      <c r="T589">
        <v>180</v>
      </c>
      <c r="U589" t="s">
        <v>711</v>
      </c>
      <c r="V589">
        <v>60</v>
      </c>
      <c r="W589" s="2">
        <v>0.22</v>
      </c>
      <c r="AO589" s="2" t="b">
        <v>1</v>
      </c>
      <c r="AX589"/>
      <c r="BA589" s="2"/>
      <c r="BB589" s="2" t="b">
        <f>LEN(_xlfn.CONCAT(Table1[[#This Row],[TRACK_TYPE_STANDARD_GAUGE_RAILTYPE_OHLE]:[TRACK_TYPE_MTRO]]))&gt;0</f>
        <v>1</v>
      </c>
      <c r="BC589" s="7">
        <v>15</v>
      </c>
      <c r="BD589" t="s">
        <v>930</v>
      </c>
      <c r="BE589" t="s">
        <v>922</v>
      </c>
      <c r="BF589" t="s">
        <v>940</v>
      </c>
      <c r="BG5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89">
        <v>0</v>
      </c>
      <c r="BI589" t="s">
        <v>734</v>
      </c>
      <c r="BK589" s="11"/>
      <c r="BL589" s="11">
        <v>30</v>
      </c>
      <c r="BM589">
        <v>0</v>
      </c>
      <c r="BN589" t="s">
        <v>692</v>
      </c>
      <c r="BO589" t="s">
        <v>694</v>
      </c>
      <c r="BP589" t="s">
        <v>701</v>
      </c>
      <c r="BQ589" t="s">
        <v>705</v>
      </c>
      <c r="BR589" t="s">
        <v>706</v>
      </c>
      <c r="BS589" t="s">
        <v>707</v>
      </c>
    </row>
    <row r="590" spans="1:71" hidden="1" x14ac:dyDescent="0.4">
      <c r="A590" s="2" t="s">
        <v>614</v>
      </c>
      <c r="B590" t="str">
        <f>_xlfn.TEXTAFTER(Table1[[#This Row],[VEHIDCODE]],"_")</f>
        <v>Argentina_FCPBA_M_Railcar</v>
      </c>
      <c r="C590" t="s">
        <v>737</v>
      </c>
      <c r="D590" t="b">
        <f>OR(ISNUMBER(SEARCH("wagon_",Table1[[#This Row],[FILENAMES_EXPECTED]])),ISNUMBER(SEARCH("coach_",Table1[[#This Row],[FILENAMES_EXPECTED]])))</f>
        <v>0</v>
      </c>
      <c r="E590" t="str">
        <f>"item_"&amp;Table1[[#This Row],[VEHIDCODE]]</f>
        <v>item_rbd_Argentina_FCPBA_M_Railcar</v>
      </c>
      <c r="F590" t="str">
        <f>"str_"&amp;Table1[[#This Row],[VEHIDCODE]]</f>
        <v>str_rbd_Argentina_FCPBA_M_Railcar</v>
      </c>
      <c r="G590">
        <v>7</v>
      </c>
      <c r="H590" t="s">
        <v>18</v>
      </c>
      <c r="I590">
        <v>0</v>
      </c>
      <c r="J590" t="s">
        <v>35</v>
      </c>
      <c r="K590">
        <v>62</v>
      </c>
      <c r="L590">
        <v>1935</v>
      </c>
      <c r="M590">
        <v>7</v>
      </c>
      <c r="N590" s="2" t="s">
        <v>24</v>
      </c>
      <c r="O590" t="b">
        <v>1</v>
      </c>
      <c r="Q590" s="2"/>
      <c r="R590">
        <v>45</v>
      </c>
      <c r="S590">
        <v>1</v>
      </c>
      <c r="T590">
        <v>290</v>
      </c>
      <c r="U590" t="s">
        <v>711</v>
      </c>
      <c r="V590">
        <v>80</v>
      </c>
      <c r="W590" s="2">
        <v>0.14000000000000001</v>
      </c>
      <c r="AO590" s="2" t="b">
        <v>1</v>
      </c>
      <c r="AX590"/>
      <c r="BA590" s="2"/>
      <c r="BB590" s="2" t="b">
        <f>LEN(_xlfn.CONCAT(Table1[[#This Row],[TRACK_TYPE_STANDARD_GAUGE_RAILTYPE_OHLE]:[TRACK_TYPE_MTRO]]))&gt;0</f>
        <v>1</v>
      </c>
      <c r="BC590" s="7">
        <v>15</v>
      </c>
      <c r="BD590" t="s">
        <v>930</v>
      </c>
      <c r="BE590" t="s">
        <v>922</v>
      </c>
      <c r="BF590" t="s">
        <v>940</v>
      </c>
      <c r="BG5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90">
        <v>0</v>
      </c>
      <c r="BI590" t="s">
        <v>734</v>
      </c>
      <c r="BK590" s="11"/>
      <c r="BL590" s="11">
        <v>36</v>
      </c>
      <c r="BM590">
        <v>0</v>
      </c>
      <c r="BN590" t="s">
        <v>692</v>
      </c>
      <c r="BO590" t="s">
        <v>694</v>
      </c>
      <c r="BP590" t="s">
        <v>701</v>
      </c>
      <c r="BQ590" t="s">
        <v>705</v>
      </c>
      <c r="BR590" t="s">
        <v>706</v>
      </c>
      <c r="BS590" t="s">
        <v>707</v>
      </c>
    </row>
    <row r="591" spans="1:71" hidden="1" x14ac:dyDescent="0.4">
      <c r="A591" s="2" t="s">
        <v>615</v>
      </c>
      <c r="B591" t="str">
        <f>_xlfn.TEXTAFTER(Table1[[#This Row],[VEHIDCODE]],"_")</f>
        <v>Eritrea_Eritrean_Railway_A62_70_Littorina</v>
      </c>
      <c r="C591" t="s">
        <v>737</v>
      </c>
      <c r="D591" t="b">
        <f>OR(ISNUMBER(SEARCH("wagon_",Table1[[#This Row],[FILENAMES_EXPECTED]])),ISNUMBER(SEARCH("coach_",Table1[[#This Row],[FILENAMES_EXPECTED]])))</f>
        <v>0</v>
      </c>
      <c r="E591" t="str">
        <f>"item_"&amp;Table1[[#This Row],[VEHIDCODE]]</f>
        <v>item_rbd_Eritrea_Eritrean_Railway_A62_70_Littorina</v>
      </c>
      <c r="F591" t="str">
        <f>"str_"&amp;Table1[[#This Row],[VEHIDCODE]]</f>
        <v>str_rbd_Eritrea_Eritrean_Railway_A62_70_Littorina</v>
      </c>
      <c r="G591">
        <v>5</v>
      </c>
      <c r="H591" t="s">
        <v>18</v>
      </c>
      <c r="I591">
        <v>0</v>
      </c>
      <c r="J591" t="s">
        <v>35</v>
      </c>
      <c r="K591">
        <v>32</v>
      </c>
      <c r="L591">
        <v>1937</v>
      </c>
      <c r="M591">
        <v>5</v>
      </c>
      <c r="N591" s="2" t="s">
        <v>24</v>
      </c>
      <c r="O591" t="b">
        <v>1</v>
      </c>
      <c r="Q591" s="2"/>
      <c r="R591">
        <v>45</v>
      </c>
      <c r="S591">
        <v>1</v>
      </c>
      <c r="T591">
        <v>227</v>
      </c>
      <c r="U591" t="s">
        <v>711</v>
      </c>
      <c r="V591">
        <v>68</v>
      </c>
      <c r="W591" s="2">
        <v>0.26</v>
      </c>
      <c r="AO591" s="2" t="b">
        <v>1</v>
      </c>
      <c r="AX591"/>
      <c r="BA591" s="2"/>
      <c r="BB591" s="2" t="b">
        <f>LEN(_xlfn.CONCAT(Table1[[#This Row],[TRACK_TYPE_STANDARD_GAUGE_RAILTYPE_OHLE]:[TRACK_TYPE_MTRO]]))&gt;0</f>
        <v>1</v>
      </c>
      <c r="BC591" s="7">
        <v>15</v>
      </c>
      <c r="BD591" t="s">
        <v>926</v>
      </c>
      <c r="BE591" t="s">
        <v>922</v>
      </c>
      <c r="BF591" t="s">
        <v>940</v>
      </c>
      <c r="BG5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91">
        <v>0</v>
      </c>
      <c r="BI591" t="s">
        <v>734</v>
      </c>
      <c r="BK591" s="11"/>
      <c r="BL591" s="11">
        <v>18</v>
      </c>
      <c r="BM591">
        <v>0</v>
      </c>
      <c r="BN591" t="s">
        <v>692</v>
      </c>
      <c r="BO591" t="s">
        <v>694</v>
      </c>
      <c r="BP591" t="s">
        <v>701</v>
      </c>
      <c r="BQ591" t="s">
        <v>705</v>
      </c>
      <c r="BR591" t="s">
        <v>706</v>
      </c>
      <c r="BS591" t="s">
        <v>707</v>
      </c>
    </row>
    <row r="592" spans="1:71" hidden="1" x14ac:dyDescent="0.4">
      <c r="A592" s="2" t="s">
        <v>616</v>
      </c>
      <c r="B592" t="str">
        <f>_xlfn.TEXTAFTER(Table1[[#This Row],[VEHIDCODE]],"_")</f>
        <v>Switzerland_AB_CFe_3_3</v>
      </c>
      <c r="C592" t="s">
        <v>738</v>
      </c>
      <c r="D592" t="b">
        <f>OR(ISNUMBER(SEARCH("wagon_",Table1[[#This Row],[FILENAMES_EXPECTED]])),ISNUMBER(SEARCH("coach_",Table1[[#This Row],[FILENAMES_EXPECTED]])))</f>
        <v>0</v>
      </c>
      <c r="E592" t="str">
        <f>"item_"&amp;Table1[[#This Row],[VEHIDCODE]]</f>
        <v>item_rbe_Switzerland_AB_CFe_3_3</v>
      </c>
      <c r="F592" t="str">
        <f>"str_"&amp;Table1[[#This Row],[VEHIDCODE]]</f>
        <v>str_rbe_Switzerland_AB_CFe_3_3</v>
      </c>
      <c r="G592">
        <v>6</v>
      </c>
      <c r="H592" t="s">
        <v>18</v>
      </c>
      <c r="I592">
        <v>0</v>
      </c>
      <c r="J592" t="s">
        <v>74</v>
      </c>
      <c r="K592">
        <v>24</v>
      </c>
      <c r="L592">
        <v>1911</v>
      </c>
      <c r="M592">
        <v>6</v>
      </c>
      <c r="N592" s="2" t="s">
        <v>24</v>
      </c>
      <c r="O592" t="b">
        <v>1</v>
      </c>
      <c r="Q592" s="2"/>
      <c r="R592">
        <v>45</v>
      </c>
      <c r="S592">
        <v>1</v>
      </c>
      <c r="T592">
        <v>195</v>
      </c>
      <c r="U592" t="s">
        <v>709</v>
      </c>
      <c r="V592">
        <v>35</v>
      </c>
      <c r="W592" s="2">
        <v>0.15</v>
      </c>
      <c r="AK592" t="b">
        <v>1</v>
      </c>
      <c r="AX592"/>
      <c r="BA592" s="2"/>
      <c r="BB592" s="2" t="b">
        <f>LEN(_xlfn.CONCAT(Table1[[#This Row],[TRACK_TYPE_STANDARD_GAUGE_RAILTYPE_OHLE]:[TRACK_TYPE_MTRO]]))&gt;0</f>
        <v>1</v>
      </c>
      <c r="BC592" s="7">
        <v>15</v>
      </c>
      <c r="BD592" t="s">
        <v>923</v>
      </c>
      <c r="BE592" t="s">
        <v>922</v>
      </c>
      <c r="BF592" t="s">
        <v>940</v>
      </c>
      <c r="BG5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2">
        <v>-3</v>
      </c>
      <c r="BI592" t="s">
        <v>734</v>
      </c>
      <c r="BK592" s="11"/>
      <c r="BL592" s="11">
        <v>24</v>
      </c>
      <c r="BM592">
        <v>0</v>
      </c>
      <c r="BN592" t="s">
        <v>692</v>
      </c>
      <c r="BO592" t="s">
        <v>694</v>
      </c>
      <c r="BP592" t="s">
        <v>701</v>
      </c>
      <c r="BQ592" t="s">
        <v>705</v>
      </c>
      <c r="BR592" t="s">
        <v>706</v>
      </c>
      <c r="BS592" t="s">
        <v>707</v>
      </c>
    </row>
    <row r="593" spans="1:71" hidden="1" x14ac:dyDescent="0.4">
      <c r="A593" s="2" t="s">
        <v>617</v>
      </c>
      <c r="B593" t="str">
        <f>_xlfn.TEXTAFTER(Table1[[#This Row],[VEHIDCODE]],"_")</f>
        <v>Switzerland_TPC_BVB_Be_2_2</v>
      </c>
      <c r="C593" t="s">
        <v>738</v>
      </c>
      <c r="D593" t="b">
        <f>OR(ISNUMBER(SEARCH("wagon_",Table1[[#This Row],[FILENAMES_EXPECTED]])),ISNUMBER(SEARCH("coach_",Table1[[#This Row],[FILENAMES_EXPECTED]])))</f>
        <v>0</v>
      </c>
      <c r="E593" t="str">
        <f>"item_"&amp;Table1[[#This Row],[VEHIDCODE]]</f>
        <v>item_rbe_Switzerland_TPC_BVB_Be_2_2</v>
      </c>
      <c r="F593" t="str">
        <f>"str_"&amp;Table1[[#This Row],[VEHIDCODE]]</f>
        <v>str_rbe_Switzerland_TPC_BVB_Be_2_2</v>
      </c>
      <c r="G593">
        <v>4</v>
      </c>
      <c r="H593" t="s">
        <v>18</v>
      </c>
      <c r="I593">
        <v>0</v>
      </c>
      <c r="J593" t="s">
        <v>74</v>
      </c>
      <c r="K593">
        <v>20</v>
      </c>
      <c r="L593">
        <v>1907</v>
      </c>
      <c r="M593">
        <v>4</v>
      </c>
      <c r="N593" s="2" t="s">
        <v>24</v>
      </c>
      <c r="O593" t="b">
        <v>1</v>
      </c>
      <c r="Q593" s="2"/>
      <c r="R593">
        <v>45</v>
      </c>
      <c r="S593">
        <v>1</v>
      </c>
      <c r="T593">
        <v>144</v>
      </c>
      <c r="U593" t="s">
        <v>709</v>
      </c>
      <c r="V593">
        <v>37</v>
      </c>
      <c r="W593" s="2">
        <v>0.33</v>
      </c>
      <c r="AK593" t="b">
        <v>1</v>
      </c>
      <c r="AX593"/>
      <c r="BA593" s="2"/>
      <c r="BB593" s="2" t="b">
        <f>LEN(_xlfn.CONCAT(Table1[[#This Row],[TRACK_TYPE_STANDARD_GAUGE_RAILTYPE_OHLE]:[TRACK_TYPE_MTRO]]))&gt;0</f>
        <v>1</v>
      </c>
      <c r="BC593" s="7">
        <v>15</v>
      </c>
      <c r="BD593" t="s">
        <v>923</v>
      </c>
      <c r="BE593" t="s">
        <v>922</v>
      </c>
      <c r="BF593" t="s">
        <v>940</v>
      </c>
      <c r="BG5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3">
        <v>0</v>
      </c>
      <c r="BI593" t="s">
        <v>734</v>
      </c>
      <c r="BK593" s="11"/>
      <c r="BL593" s="11">
        <v>15</v>
      </c>
      <c r="BM593">
        <v>0</v>
      </c>
      <c r="BN593" t="s">
        <v>692</v>
      </c>
      <c r="BO593" t="s">
        <v>694</v>
      </c>
      <c r="BP593" t="s">
        <v>701</v>
      </c>
      <c r="BQ593" t="s">
        <v>705</v>
      </c>
      <c r="BR593" t="s">
        <v>706</v>
      </c>
      <c r="BS593" t="s">
        <v>707</v>
      </c>
    </row>
    <row r="594" spans="1:71" hidden="1" x14ac:dyDescent="0.4">
      <c r="A594" s="2" t="s">
        <v>618</v>
      </c>
      <c r="B594" t="str">
        <f>_xlfn.TEXTAFTER(Table1[[#This Row],[VEHIDCODE]],"_")</f>
        <v>Switzerland_MVR_Beh_2_4</v>
      </c>
      <c r="C594" t="s">
        <v>738</v>
      </c>
      <c r="D594" t="b">
        <f>OR(ISNUMBER(SEARCH("wagon_",Table1[[#This Row],[FILENAMES_EXPECTED]])),ISNUMBER(SEARCH("coach_",Table1[[#This Row],[FILENAMES_EXPECTED]])))</f>
        <v>0</v>
      </c>
      <c r="E594" t="str">
        <f>"item_"&amp;Table1[[#This Row],[VEHIDCODE]]</f>
        <v>item_rbe_Switzerland_MVR_Beh_2_4</v>
      </c>
      <c r="F594" t="str">
        <f>"str_"&amp;Table1[[#This Row],[VEHIDCODE]]</f>
        <v>str_rbe_Switzerland_MVR_Beh_2_4</v>
      </c>
      <c r="G594">
        <v>8</v>
      </c>
      <c r="H594" t="s">
        <v>18</v>
      </c>
      <c r="I594">
        <v>0</v>
      </c>
      <c r="J594" t="s">
        <v>74</v>
      </c>
      <c r="K594">
        <v>40</v>
      </c>
      <c r="L594">
        <v>1998</v>
      </c>
      <c r="M594">
        <v>8</v>
      </c>
      <c r="N594" s="2" t="s">
        <v>24</v>
      </c>
      <c r="O594" t="b">
        <v>1</v>
      </c>
      <c r="Q594" s="2"/>
      <c r="R594">
        <v>45</v>
      </c>
      <c r="S594">
        <v>1</v>
      </c>
      <c r="T594">
        <v>752</v>
      </c>
      <c r="U594" t="s">
        <v>709</v>
      </c>
      <c r="V594">
        <v>50</v>
      </c>
      <c r="W594" s="2">
        <v>0.27</v>
      </c>
      <c r="AK594" t="b">
        <v>1</v>
      </c>
      <c r="AX594"/>
      <c r="BA594" s="2"/>
      <c r="BB594" s="2" t="b">
        <f>LEN(_xlfn.CONCAT(Table1[[#This Row],[TRACK_TYPE_STANDARD_GAUGE_RAILTYPE_OHLE]:[TRACK_TYPE_MTRO]]))&gt;0</f>
        <v>1</v>
      </c>
      <c r="BC594" s="7">
        <v>15</v>
      </c>
      <c r="BD594" t="s">
        <v>923</v>
      </c>
      <c r="BE594" t="s">
        <v>922</v>
      </c>
      <c r="BF594" t="s">
        <v>940</v>
      </c>
      <c r="BG5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4">
        <v>0</v>
      </c>
      <c r="BI594" t="s">
        <v>734</v>
      </c>
      <c r="BK594" s="11"/>
      <c r="BL594" s="11">
        <v>32</v>
      </c>
      <c r="BM594">
        <v>0</v>
      </c>
      <c r="BN594" t="s">
        <v>692</v>
      </c>
      <c r="BO594" t="s">
        <v>694</v>
      </c>
      <c r="BP594" t="s">
        <v>701</v>
      </c>
      <c r="BQ594" t="s">
        <v>705</v>
      </c>
      <c r="BR594" t="s">
        <v>706</v>
      </c>
      <c r="BS594" t="s">
        <v>707</v>
      </c>
    </row>
    <row r="595" spans="1:71" hidden="1" x14ac:dyDescent="0.4">
      <c r="A595" s="2" t="s">
        <v>619</v>
      </c>
      <c r="B595" t="str">
        <f>_xlfn.TEXTAFTER(Table1[[#This Row],[VEHIDCODE]],"_")</f>
        <v>Spain_Ferrocarril_de_Soller_1_3</v>
      </c>
      <c r="C595" t="s">
        <v>738</v>
      </c>
      <c r="D595" t="b">
        <f>OR(ISNUMBER(SEARCH("wagon_",Table1[[#This Row],[FILENAMES_EXPECTED]])),ISNUMBER(SEARCH("coach_",Table1[[#This Row],[FILENAMES_EXPECTED]])))</f>
        <v>0</v>
      </c>
      <c r="E595" t="str">
        <f>"item_"&amp;Table1[[#This Row],[VEHIDCODE]]</f>
        <v>item_rbe_Spain_Ferrocarril_de_Soller_1_3</v>
      </c>
      <c r="F595" t="str">
        <f>"str_"&amp;Table1[[#This Row],[VEHIDCODE]]</f>
        <v>str_rbe_Spain_Ferrocarril_de_Soller_1_3</v>
      </c>
      <c r="G595">
        <v>6</v>
      </c>
      <c r="H595" t="s">
        <v>18</v>
      </c>
      <c r="I595">
        <v>0</v>
      </c>
      <c r="J595" t="s">
        <v>74</v>
      </c>
      <c r="K595">
        <v>44</v>
      </c>
      <c r="L595">
        <v>1929</v>
      </c>
      <c r="M595">
        <v>6</v>
      </c>
      <c r="N595" s="2" t="s">
        <v>24</v>
      </c>
      <c r="O595" t="b">
        <v>1</v>
      </c>
      <c r="Q595" s="2"/>
      <c r="R595">
        <v>45</v>
      </c>
      <c r="S595">
        <v>1</v>
      </c>
      <c r="T595">
        <v>350</v>
      </c>
      <c r="U595" t="s">
        <v>709</v>
      </c>
      <c r="V595">
        <v>60</v>
      </c>
      <c r="W595" s="2">
        <v>0.05</v>
      </c>
      <c r="AK595" t="b">
        <v>1</v>
      </c>
      <c r="AX595"/>
      <c r="BA595" s="2"/>
      <c r="BB595" s="2" t="b">
        <f>LEN(_xlfn.CONCAT(Table1[[#This Row],[TRACK_TYPE_STANDARD_GAUGE_RAILTYPE_OHLE]:[TRACK_TYPE_MTRO]]))&gt;0</f>
        <v>1</v>
      </c>
      <c r="BC595" s="7">
        <v>15</v>
      </c>
      <c r="BD595" t="s">
        <v>924</v>
      </c>
      <c r="BE595" t="s">
        <v>922</v>
      </c>
      <c r="BF595" t="s">
        <v>940</v>
      </c>
      <c r="BG5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5">
        <v>0</v>
      </c>
      <c r="BI595" t="s">
        <v>734</v>
      </c>
      <c r="BK595" s="11"/>
      <c r="BL595" s="11">
        <v>38</v>
      </c>
      <c r="BM595">
        <v>0</v>
      </c>
      <c r="BN595" t="s">
        <v>692</v>
      </c>
      <c r="BO595" t="s">
        <v>694</v>
      </c>
      <c r="BP595" t="s">
        <v>701</v>
      </c>
      <c r="BQ595" t="s">
        <v>705</v>
      </c>
      <c r="BR595" t="s">
        <v>706</v>
      </c>
      <c r="BS595" t="s">
        <v>707</v>
      </c>
    </row>
    <row r="596" spans="1:71" hidden="1" x14ac:dyDescent="0.4">
      <c r="A596" s="2" t="s">
        <v>620</v>
      </c>
      <c r="B596" t="str">
        <f>_xlfn.TEXTAFTER(Table1[[#This Row],[VEHIDCODE]],"_")</f>
        <v>Japan_Choshi_DeHa_1000</v>
      </c>
      <c r="C596" t="s">
        <v>738</v>
      </c>
      <c r="D596" t="b">
        <f>OR(ISNUMBER(SEARCH("wagon_",Table1[[#This Row],[FILENAMES_EXPECTED]])),ISNUMBER(SEARCH("coach_",Table1[[#This Row],[FILENAMES_EXPECTED]])))</f>
        <v>0</v>
      </c>
      <c r="E596" t="str">
        <f>"item_"&amp;Table1[[#This Row],[VEHIDCODE]]</f>
        <v>item_rbe_Japan_Choshi_DeHa_1000</v>
      </c>
      <c r="F596" t="str">
        <f>"str_"&amp;Table1[[#This Row],[VEHIDCODE]]</f>
        <v>str_rbe_Japan_Choshi_DeHa_1000</v>
      </c>
      <c r="G596">
        <v>7</v>
      </c>
      <c r="H596" t="s">
        <v>18</v>
      </c>
      <c r="I596">
        <v>0</v>
      </c>
      <c r="J596" t="s">
        <v>74</v>
      </c>
      <c r="K596">
        <v>34</v>
      </c>
      <c r="L596">
        <v>1960</v>
      </c>
      <c r="M596">
        <v>7</v>
      </c>
      <c r="N596" s="2" t="s">
        <v>24</v>
      </c>
      <c r="O596" t="b">
        <v>1</v>
      </c>
      <c r="Q596" s="2"/>
      <c r="R596">
        <v>45</v>
      </c>
      <c r="S596">
        <v>1</v>
      </c>
      <c r="T596">
        <v>402</v>
      </c>
      <c r="U596" t="s">
        <v>709</v>
      </c>
      <c r="V596">
        <v>40</v>
      </c>
      <c r="W596" s="2">
        <v>0.18</v>
      </c>
      <c r="AK596" t="b">
        <v>1</v>
      </c>
      <c r="AX596"/>
      <c r="BA596" s="2"/>
      <c r="BB596" s="2" t="b">
        <f>LEN(_xlfn.CONCAT(Table1[[#This Row],[TRACK_TYPE_STANDARD_GAUGE_RAILTYPE_OHLE]:[TRACK_TYPE_MTRO]]))&gt;0</f>
        <v>1</v>
      </c>
      <c r="BC596" s="7">
        <v>15</v>
      </c>
      <c r="BD596" t="s">
        <v>931</v>
      </c>
      <c r="BE596" t="s">
        <v>922</v>
      </c>
      <c r="BF596" t="s">
        <v>940</v>
      </c>
      <c r="BG5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6">
        <v>0</v>
      </c>
      <c r="BI596" t="s">
        <v>734</v>
      </c>
      <c r="BK596" s="11"/>
      <c r="BL596" s="11">
        <v>31</v>
      </c>
      <c r="BM596">
        <v>0</v>
      </c>
      <c r="BN596" t="s">
        <v>692</v>
      </c>
      <c r="BO596" t="s">
        <v>694</v>
      </c>
      <c r="BP596" t="s">
        <v>701</v>
      </c>
      <c r="BQ596" t="s">
        <v>705</v>
      </c>
      <c r="BR596" t="s">
        <v>706</v>
      </c>
      <c r="BS596" t="s">
        <v>707</v>
      </c>
    </row>
    <row r="597" spans="1:71" hidden="1" x14ac:dyDescent="0.4">
      <c r="A597" s="2" t="s">
        <v>621</v>
      </c>
      <c r="B597" t="str">
        <f>_xlfn.TEXTAFTER(Table1[[#This Row],[VEHIDCODE]],"_")</f>
        <v>Switzerland_RhB_G_3_4</v>
      </c>
      <c r="C597" t="s">
        <v>739</v>
      </c>
      <c r="D597" t="b">
        <f>OR(ISNUMBER(SEARCH("wagon_",Table1[[#This Row],[FILENAMES_EXPECTED]])),ISNUMBER(SEARCH("coach_",Table1[[#This Row],[FILENAMES_EXPECTED]])))</f>
        <v>0</v>
      </c>
      <c r="E597" t="str">
        <f>"item_"&amp;Table1[[#This Row],[VEHIDCODE]]</f>
        <v>item_steam_Switzerland_RhB_G_3_4</v>
      </c>
      <c r="F597" t="str">
        <f>"str_"&amp;Table1[[#This Row],[VEHIDCODE]]</f>
        <v>str_steam_Switzerland_RhB_G_3_4</v>
      </c>
      <c r="G597">
        <v>6</v>
      </c>
      <c r="H597" t="s">
        <v>18</v>
      </c>
      <c r="I597">
        <v>0</v>
      </c>
      <c r="J597" t="s">
        <v>23</v>
      </c>
      <c r="K597">
        <v>0</v>
      </c>
      <c r="L597">
        <v>1889</v>
      </c>
      <c r="M597">
        <v>6</v>
      </c>
      <c r="N597" s="2" t="s">
        <v>20</v>
      </c>
      <c r="O597" t="b">
        <v>1</v>
      </c>
      <c r="Q597" s="2"/>
      <c r="R597">
        <v>45</v>
      </c>
      <c r="S597">
        <v>1</v>
      </c>
      <c r="T597">
        <v>247</v>
      </c>
      <c r="U597" t="s">
        <v>710</v>
      </c>
      <c r="V597">
        <v>45</v>
      </c>
      <c r="W597" s="2">
        <v>0.19</v>
      </c>
      <c r="AO597" s="2" t="b">
        <v>1</v>
      </c>
      <c r="AX597"/>
      <c r="BA597" s="2"/>
      <c r="BB597" s="2" t="b">
        <f>LEN(_xlfn.CONCAT(Table1[[#This Row],[TRACK_TYPE_STANDARD_GAUGE_RAILTYPE_OHLE]:[TRACK_TYPE_MTRO]]))&gt;0</f>
        <v>1</v>
      </c>
      <c r="BC597" s="7">
        <v>40</v>
      </c>
      <c r="BD597" t="s">
        <v>923</v>
      </c>
      <c r="BE597" t="s">
        <v>922</v>
      </c>
      <c r="BF597" t="s">
        <v>940</v>
      </c>
      <c r="BG5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97">
        <v>0</v>
      </c>
      <c r="BI597" t="s">
        <v>734</v>
      </c>
      <c r="BK597" s="11"/>
      <c r="BL597" s="11">
        <v>30</v>
      </c>
      <c r="BM597">
        <v>0</v>
      </c>
      <c r="BN597" t="s">
        <v>692</v>
      </c>
      <c r="BO597" t="s">
        <v>694</v>
      </c>
      <c r="BP597" t="s">
        <v>701</v>
      </c>
      <c r="BQ597" t="s">
        <v>705</v>
      </c>
      <c r="BR597" t="s">
        <v>706</v>
      </c>
      <c r="BS597" t="s">
        <v>707</v>
      </c>
    </row>
    <row r="598" spans="1:71" hidden="1" x14ac:dyDescent="0.4">
      <c r="A598" s="2" t="s">
        <v>622</v>
      </c>
      <c r="B598" t="str">
        <f>_xlfn.TEXTAFTER(Table1[[#This Row],[VEHIDCODE]],"_")</f>
        <v>Japan_JNR_Class_E10</v>
      </c>
      <c r="C598" t="s">
        <v>739</v>
      </c>
      <c r="D598" t="b">
        <f>OR(ISNUMBER(SEARCH("wagon_",Table1[[#This Row],[FILENAMES_EXPECTED]])),ISNUMBER(SEARCH("coach_",Table1[[#This Row],[FILENAMES_EXPECTED]])))</f>
        <v>0</v>
      </c>
      <c r="E598" t="str">
        <f>"item_"&amp;Table1[[#This Row],[VEHIDCODE]]</f>
        <v>item_steam_Japan_JNR_Class_E10</v>
      </c>
      <c r="F598" t="str">
        <f>"str_"&amp;Table1[[#This Row],[VEHIDCODE]]</f>
        <v>str_steam_Japan_JNR_Class_E10</v>
      </c>
      <c r="G598">
        <v>7</v>
      </c>
      <c r="H598" t="s">
        <v>18</v>
      </c>
      <c r="I598">
        <v>0</v>
      </c>
      <c r="J598" t="s">
        <v>23</v>
      </c>
      <c r="K598">
        <v>0</v>
      </c>
      <c r="L598">
        <v>1948</v>
      </c>
      <c r="M598">
        <v>7</v>
      </c>
      <c r="N598" s="2" t="s">
        <v>20</v>
      </c>
      <c r="O598" t="b">
        <v>1</v>
      </c>
      <c r="Q598" s="2"/>
      <c r="R598">
        <v>45</v>
      </c>
      <c r="S598">
        <v>1</v>
      </c>
      <c r="T598">
        <v>1300</v>
      </c>
      <c r="U598" t="s">
        <v>710</v>
      </c>
      <c r="V598">
        <v>65</v>
      </c>
      <c r="W598" s="2">
        <v>0.21</v>
      </c>
      <c r="AO598" s="2" t="b">
        <v>1</v>
      </c>
      <c r="AX598"/>
      <c r="BA598" s="2"/>
      <c r="BB598" s="2" t="b">
        <f>LEN(_xlfn.CONCAT(Table1[[#This Row],[TRACK_TYPE_STANDARD_GAUGE_RAILTYPE_OHLE]:[TRACK_TYPE_MTRO]]))&gt;0</f>
        <v>1</v>
      </c>
      <c r="BC598" s="7">
        <v>40</v>
      </c>
      <c r="BD598" t="s">
        <v>931</v>
      </c>
      <c r="BE598" t="s">
        <v>922</v>
      </c>
      <c r="BF598" t="s">
        <v>940</v>
      </c>
      <c r="BG5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98">
        <v>0</v>
      </c>
      <c r="BI598" t="s">
        <v>734</v>
      </c>
      <c r="BK598" s="11"/>
      <c r="BL598" s="11">
        <v>102</v>
      </c>
      <c r="BM598">
        <v>0</v>
      </c>
      <c r="BN598" t="s">
        <v>692</v>
      </c>
      <c r="BO598" t="s">
        <v>694</v>
      </c>
      <c r="BP598" t="s">
        <v>701</v>
      </c>
      <c r="BQ598" t="s">
        <v>705</v>
      </c>
      <c r="BR598" t="s">
        <v>706</v>
      </c>
      <c r="BS598" t="s">
        <v>707</v>
      </c>
    </row>
    <row r="599" spans="1:71" hidden="1" x14ac:dyDescent="0.4">
      <c r="A599" s="2" t="s">
        <v>623</v>
      </c>
      <c r="B599" t="str">
        <f>_xlfn.TEXTAFTER(Table1[[#This Row],[VEHIDCODE]],"_")</f>
        <v>Japan_JNR_7100</v>
      </c>
      <c r="C599" t="s">
        <v>739</v>
      </c>
      <c r="D599" t="b">
        <f>OR(ISNUMBER(SEARCH("wagon_",Table1[[#This Row],[FILENAMES_EXPECTED]])),ISNUMBER(SEARCH("coach_",Table1[[#This Row],[FILENAMES_EXPECTED]])))</f>
        <v>0</v>
      </c>
      <c r="E599" t="str">
        <f>"item_"&amp;Table1[[#This Row],[VEHIDCODE]]</f>
        <v>item_steam_Japan_JNR_7100</v>
      </c>
      <c r="F599" t="str">
        <f>"str_"&amp;Table1[[#This Row],[VEHIDCODE]]</f>
        <v>str_steam_Japan_JNR_7100</v>
      </c>
      <c r="G599">
        <v>6</v>
      </c>
      <c r="H599" t="s">
        <v>20</v>
      </c>
      <c r="I599">
        <v>0</v>
      </c>
      <c r="J599" t="s">
        <v>23</v>
      </c>
      <c r="K599">
        <v>0</v>
      </c>
      <c r="L599">
        <v>1880</v>
      </c>
      <c r="M599">
        <v>5</v>
      </c>
      <c r="N599" s="2" t="s">
        <v>24</v>
      </c>
      <c r="O599" t="b">
        <v>1</v>
      </c>
      <c r="Q599" s="2"/>
      <c r="R599">
        <v>45</v>
      </c>
      <c r="S599">
        <v>1</v>
      </c>
      <c r="T599">
        <v>200</v>
      </c>
      <c r="U599" t="s">
        <v>710</v>
      </c>
      <c r="V599">
        <v>36</v>
      </c>
      <c r="W599" s="2">
        <v>7.0000000000000007E-2</v>
      </c>
      <c r="AO599" s="2" t="b">
        <v>1</v>
      </c>
      <c r="AX599"/>
      <c r="BA599" s="2"/>
      <c r="BB599" s="2" t="b">
        <f>LEN(_xlfn.CONCAT(Table1[[#This Row],[TRACK_TYPE_STANDARD_GAUGE_RAILTYPE_OHLE]:[TRACK_TYPE_MTRO]]))&gt;0</f>
        <v>1</v>
      </c>
      <c r="BC599" s="7">
        <v>40</v>
      </c>
      <c r="BD599" t="s">
        <v>931</v>
      </c>
      <c r="BE599" t="s">
        <v>922</v>
      </c>
      <c r="BF599" t="s">
        <v>940</v>
      </c>
      <c r="BG5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99">
        <v>0</v>
      </c>
      <c r="BI599" t="s">
        <v>734</v>
      </c>
      <c r="BK599" s="11"/>
      <c r="BL599" s="11">
        <v>31</v>
      </c>
      <c r="BM599">
        <v>0</v>
      </c>
      <c r="BN599" t="s">
        <v>692</v>
      </c>
      <c r="BO599" t="s">
        <v>694</v>
      </c>
      <c r="BP599" t="s">
        <v>701</v>
      </c>
      <c r="BQ599" t="s">
        <v>705</v>
      </c>
      <c r="BR599" t="s">
        <v>706</v>
      </c>
      <c r="BS599" t="s">
        <v>707</v>
      </c>
    </row>
    <row r="600" spans="1:71" hidden="1" x14ac:dyDescent="0.4">
      <c r="A600" s="2" t="s">
        <v>624</v>
      </c>
      <c r="B600" t="str">
        <f>_xlfn.TEXTAFTER(Table1[[#This Row],[VEHIDCODE]],"_")</f>
        <v>Japan_JNR_860</v>
      </c>
      <c r="C600" t="s">
        <v>739</v>
      </c>
      <c r="D600" t="b">
        <f>OR(ISNUMBER(SEARCH("wagon_",Table1[[#This Row],[FILENAMES_EXPECTED]])),ISNUMBER(SEARCH("coach_",Table1[[#This Row],[FILENAMES_EXPECTED]])))</f>
        <v>0</v>
      </c>
      <c r="E600" t="str">
        <f>"item_"&amp;Table1[[#This Row],[VEHIDCODE]]</f>
        <v>item_steam_Japan_JNR_860</v>
      </c>
      <c r="F600" t="str">
        <f>"str_"&amp;Table1[[#This Row],[VEHIDCODE]]</f>
        <v>str_steam_Japan_JNR_860</v>
      </c>
      <c r="G600">
        <v>5</v>
      </c>
      <c r="H600" t="s">
        <v>20</v>
      </c>
      <c r="I600">
        <v>0</v>
      </c>
      <c r="J600" t="s">
        <v>23</v>
      </c>
      <c r="K600">
        <v>0</v>
      </c>
      <c r="L600">
        <v>1893</v>
      </c>
      <c r="M600">
        <v>5</v>
      </c>
      <c r="N600" s="2" t="s">
        <v>24</v>
      </c>
      <c r="O600" t="b">
        <v>1</v>
      </c>
      <c r="Q600" s="2"/>
      <c r="R600">
        <v>45</v>
      </c>
      <c r="S600">
        <v>1</v>
      </c>
      <c r="T600">
        <v>186</v>
      </c>
      <c r="U600" t="s">
        <v>710</v>
      </c>
      <c r="V600">
        <v>48</v>
      </c>
      <c r="W600" s="2">
        <v>0.15</v>
      </c>
      <c r="AO600" s="2" t="b">
        <v>1</v>
      </c>
      <c r="AX600"/>
      <c r="BA600" s="2"/>
      <c r="BB600" s="2" t="b">
        <f>LEN(_xlfn.CONCAT(Table1[[#This Row],[TRACK_TYPE_STANDARD_GAUGE_RAILTYPE_OHLE]:[TRACK_TYPE_MTRO]]))&gt;0</f>
        <v>1</v>
      </c>
      <c r="BC600" s="7">
        <v>40</v>
      </c>
      <c r="BD600" t="s">
        <v>931</v>
      </c>
      <c r="BE600" t="s">
        <v>922</v>
      </c>
      <c r="BF600" t="s">
        <v>940</v>
      </c>
      <c r="BG6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00">
        <v>0</v>
      </c>
      <c r="BI600" t="s">
        <v>734</v>
      </c>
      <c r="BK600" s="11"/>
      <c r="BL600" s="11">
        <v>32</v>
      </c>
      <c r="BM600">
        <v>0</v>
      </c>
      <c r="BN600" t="s">
        <v>692</v>
      </c>
      <c r="BO600" t="s">
        <v>694</v>
      </c>
      <c r="BP600" t="s">
        <v>701</v>
      </c>
      <c r="BQ600" t="s">
        <v>705</v>
      </c>
      <c r="BR600" t="s">
        <v>706</v>
      </c>
      <c r="BS600" t="s">
        <v>707</v>
      </c>
    </row>
    <row r="601" spans="1:71" hidden="1" x14ac:dyDescent="0.4">
      <c r="A601" s="2" t="s">
        <v>625</v>
      </c>
      <c r="B601" t="str">
        <f>_xlfn.TEXTAFTER(Table1[[#This Row],[VEHIDCODE]],"_")</f>
        <v>Japan_JNR_9600</v>
      </c>
      <c r="C601" t="s">
        <v>739</v>
      </c>
      <c r="D601" t="b">
        <f>OR(ISNUMBER(SEARCH("wagon_",Table1[[#This Row],[FILENAMES_EXPECTED]])),ISNUMBER(SEARCH("coach_",Table1[[#This Row],[FILENAMES_EXPECTED]])))</f>
        <v>0</v>
      </c>
      <c r="E601" t="str">
        <f>"item_"&amp;Table1[[#This Row],[VEHIDCODE]]</f>
        <v>item_steam_Japan_JNR_9600</v>
      </c>
      <c r="F601" t="str">
        <f>"str_"&amp;Table1[[#This Row],[VEHIDCODE]]</f>
        <v>str_steam_Japan_JNR_9600</v>
      </c>
      <c r="G601">
        <v>8</v>
      </c>
      <c r="H601" t="s">
        <v>20</v>
      </c>
      <c r="I601">
        <v>0</v>
      </c>
      <c r="J601" t="s">
        <v>23</v>
      </c>
      <c r="K601">
        <v>0</v>
      </c>
      <c r="L601">
        <v>1913</v>
      </c>
      <c r="M601">
        <v>7</v>
      </c>
      <c r="N601" s="2" t="s">
        <v>24</v>
      </c>
      <c r="O601" t="b">
        <v>1</v>
      </c>
      <c r="Q601" s="2"/>
      <c r="R601">
        <v>45</v>
      </c>
      <c r="S601">
        <v>1</v>
      </c>
      <c r="T601">
        <v>870</v>
      </c>
      <c r="U601" t="s">
        <v>710</v>
      </c>
      <c r="V601">
        <v>65</v>
      </c>
      <c r="W601" s="2">
        <v>0.15</v>
      </c>
      <c r="AO601" s="2" t="b">
        <v>1</v>
      </c>
      <c r="AX601"/>
      <c r="BA601" s="2"/>
      <c r="BB601" s="2" t="b">
        <f>LEN(_xlfn.CONCAT(Table1[[#This Row],[TRACK_TYPE_STANDARD_GAUGE_RAILTYPE_OHLE]:[TRACK_TYPE_MTRO]]))&gt;0</f>
        <v>1</v>
      </c>
      <c r="BC601" s="7">
        <v>40</v>
      </c>
      <c r="BD601" t="s">
        <v>931</v>
      </c>
      <c r="BE601" t="s">
        <v>922</v>
      </c>
      <c r="BF601" t="s">
        <v>940</v>
      </c>
      <c r="BG6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01">
        <v>0</v>
      </c>
      <c r="BI601" t="s">
        <v>734</v>
      </c>
      <c r="BK601" s="11"/>
      <c r="BL601" s="11">
        <v>95</v>
      </c>
      <c r="BM601">
        <v>0</v>
      </c>
      <c r="BN601" t="s">
        <v>692</v>
      </c>
      <c r="BO601" t="s">
        <v>694</v>
      </c>
      <c r="BP601" t="s">
        <v>701</v>
      </c>
      <c r="BQ601" t="s">
        <v>705</v>
      </c>
      <c r="BR601" t="s">
        <v>706</v>
      </c>
      <c r="BS601" t="s">
        <v>707</v>
      </c>
    </row>
    <row r="602" spans="1:71" hidden="1" x14ac:dyDescent="0.4">
      <c r="A602" s="2" t="s">
        <v>626</v>
      </c>
      <c r="B602" t="str">
        <f>_xlfn.TEXTAFTER(Table1[[#This Row],[VEHIDCODE]],"_")</f>
        <v>Japan_JNR_D50</v>
      </c>
      <c r="C602" t="s">
        <v>739</v>
      </c>
      <c r="D602" t="b">
        <f>OR(ISNUMBER(SEARCH("wagon_",Table1[[#This Row],[FILENAMES_EXPECTED]])),ISNUMBER(SEARCH("coach_",Table1[[#This Row],[FILENAMES_EXPECTED]])))</f>
        <v>0</v>
      </c>
      <c r="E602" t="str">
        <f>"item_"&amp;Table1[[#This Row],[VEHIDCODE]]</f>
        <v>item_steam_Japan_JNR_D50</v>
      </c>
      <c r="F602" t="str">
        <f>"str_"&amp;Table1[[#This Row],[VEHIDCODE]]</f>
        <v>str_steam_Japan_JNR_D50</v>
      </c>
      <c r="G602">
        <v>8</v>
      </c>
      <c r="H602" t="s">
        <v>20</v>
      </c>
      <c r="I602">
        <v>0</v>
      </c>
      <c r="J602" t="s">
        <v>23</v>
      </c>
      <c r="K602">
        <v>0</v>
      </c>
      <c r="L602">
        <v>1923</v>
      </c>
      <c r="M602">
        <v>6</v>
      </c>
      <c r="N602" s="2" t="s">
        <v>20</v>
      </c>
      <c r="O602" t="b">
        <v>1</v>
      </c>
      <c r="Q602" s="2"/>
      <c r="R602">
        <v>45</v>
      </c>
      <c r="S602">
        <v>1</v>
      </c>
      <c r="T602">
        <v>1520</v>
      </c>
      <c r="U602" t="s">
        <v>710</v>
      </c>
      <c r="V602">
        <v>70</v>
      </c>
      <c r="W602" s="2">
        <v>0.16</v>
      </c>
      <c r="AO602" s="2" t="b">
        <v>1</v>
      </c>
      <c r="AX602"/>
      <c r="BA602" s="2"/>
      <c r="BB602" s="2" t="b">
        <f>LEN(_xlfn.CONCAT(Table1[[#This Row],[TRACK_TYPE_STANDARD_GAUGE_RAILTYPE_OHLE]:[TRACK_TYPE_MTRO]]))&gt;0</f>
        <v>1</v>
      </c>
      <c r="BC602" s="7">
        <v>40</v>
      </c>
      <c r="BD602" t="s">
        <v>931</v>
      </c>
      <c r="BE602" t="s">
        <v>922</v>
      </c>
      <c r="BF602" t="s">
        <v>940</v>
      </c>
      <c r="BG6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02">
        <v>0</v>
      </c>
      <c r="BI602" t="s">
        <v>734</v>
      </c>
      <c r="BK602" s="11"/>
      <c r="BL602" s="11">
        <v>122</v>
      </c>
      <c r="BM602">
        <v>0</v>
      </c>
      <c r="BN602" t="s">
        <v>692</v>
      </c>
      <c r="BO602" t="s">
        <v>694</v>
      </c>
      <c r="BP602" t="s">
        <v>701</v>
      </c>
      <c r="BQ602" t="s">
        <v>705</v>
      </c>
      <c r="BR602" t="s">
        <v>706</v>
      </c>
      <c r="BS602" t="s">
        <v>707</v>
      </c>
    </row>
    <row r="603" spans="1:71" hidden="1" x14ac:dyDescent="0.4">
      <c r="A603" s="2" t="s">
        <v>627</v>
      </c>
      <c r="B603" t="str">
        <f>_xlfn.TEXTAFTER(Table1[[#This Row],[VEHIDCODE]],"_")</f>
        <v>Japan_JNR_DF50</v>
      </c>
      <c r="C603" t="s">
        <v>740</v>
      </c>
      <c r="D603" t="b">
        <f>OR(ISNUMBER(SEARCH("wagon_",Table1[[#This Row],[FILENAMES_EXPECTED]])),ISNUMBER(SEARCH("coach_",Table1[[#This Row],[FILENAMES_EXPECTED]])))</f>
        <v>0</v>
      </c>
      <c r="E603" t="str">
        <f>"item_"&amp;Table1[[#This Row],[VEHIDCODE]]</f>
        <v>item_diesel_Japan_JNR_DF50</v>
      </c>
      <c r="F603" t="str">
        <f>"str_"&amp;Table1[[#This Row],[VEHIDCODE]]</f>
        <v>str_diesel_Japan_JNR_DF50</v>
      </c>
      <c r="G603">
        <v>7</v>
      </c>
      <c r="H603" t="s">
        <v>20</v>
      </c>
      <c r="I603">
        <v>0</v>
      </c>
      <c r="J603" t="s">
        <v>35</v>
      </c>
      <c r="K603">
        <v>0</v>
      </c>
      <c r="L603">
        <v>1957</v>
      </c>
      <c r="M603">
        <v>7</v>
      </c>
      <c r="N603" s="2" t="s">
        <v>20</v>
      </c>
      <c r="O603" t="b">
        <v>1</v>
      </c>
      <c r="Q603" s="2"/>
      <c r="R603">
        <v>45</v>
      </c>
      <c r="S603">
        <v>1</v>
      </c>
      <c r="T603">
        <v>1060</v>
      </c>
      <c r="U603" t="s">
        <v>711</v>
      </c>
      <c r="V603">
        <v>90</v>
      </c>
      <c r="W603" s="2">
        <v>0.28999999999999998</v>
      </c>
      <c r="AO603" s="2" t="b">
        <v>1</v>
      </c>
      <c r="AX603"/>
      <c r="BA603" s="2"/>
      <c r="BB603" s="2" t="b">
        <f>LEN(_xlfn.CONCAT(Table1[[#This Row],[TRACK_TYPE_STANDARD_GAUGE_RAILTYPE_OHLE]:[TRACK_TYPE_MTRO]]))&gt;0</f>
        <v>1</v>
      </c>
      <c r="BC603" s="7">
        <v>40</v>
      </c>
      <c r="BD603" t="s">
        <v>931</v>
      </c>
      <c r="BE603" t="s">
        <v>922</v>
      </c>
      <c r="BF603" t="s">
        <v>940</v>
      </c>
      <c r="BG6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603">
        <v>0</v>
      </c>
      <c r="BI603" t="s">
        <v>734</v>
      </c>
      <c r="BK603" s="11"/>
      <c r="BL603" s="11">
        <v>85</v>
      </c>
      <c r="BM603">
        <v>0</v>
      </c>
      <c r="BN603" t="s">
        <v>692</v>
      </c>
      <c r="BO603" t="s">
        <v>694</v>
      </c>
      <c r="BP603" t="s">
        <v>701</v>
      </c>
      <c r="BQ603" t="s">
        <v>705</v>
      </c>
      <c r="BR603" t="s">
        <v>706</v>
      </c>
      <c r="BS603" t="s">
        <v>707</v>
      </c>
    </row>
    <row r="604" spans="1:71" hidden="1" x14ac:dyDescent="0.4">
      <c r="A604" s="2" t="s">
        <v>628</v>
      </c>
      <c r="B604" t="str">
        <f>_xlfn.TEXTAFTER(Table1[[#This Row],[VEHIDCODE]],"_")</f>
        <v>Switzerland_RhB_DE_2_2</v>
      </c>
      <c r="C604" t="s">
        <v>741</v>
      </c>
      <c r="D604" t="b">
        <f>OR(ISNUMBER(SEARCH("wagon_",Table1[[#This Row],[FILENAMES_EXPECTED]])),ISNUMBER(SEARCH("coach_",Table1[[#This Row],[FILENAMES_EXPECTED]])))</f>
        <v>0</v>
      </c>
      <c r="E604" t="str">
        <f>"item_"&amp;Table1[[#This Row],[VEHIDCODE]]</f>
        <v>item_electric_Switzerland_RhB_DE_2_2</v>
      </c>
      <c r="F604" t="str">
        <f>"str_"&amp;Table1[[#This Row],[VEHIDCODE]]</f>
        <v>str_electric_Switzerland_RhB_DE_2_2</v>
      </c>
      <c r="G604">
        <v>5</v>
      </c>
      <c r="H604" t="s">
        <v>20</v>
      </c>
      <c r="I604">
        <v>0</v>
      </c>
      <c r="J604" t="s">
        <v>74</v>
      </c>
      <c r="K604">
        <v>0</v>
      </c>
      <c r="L604">
        <v>1909</v>
      </c>
      <c r="M604">
        <v>5</v>
      </c>
      <c r="N604" s="2" t="s">
        <v>20</v>
      </c>
      <c r="O604" t="b">
        <v>1</v>
      </c>
      <c r="Q604" s="2"/>
      <c r="R604">
        <v>45</v>
      </c>
      <c r="S604">
        <v>1</v>
      </c>
      <c r="T604">
        <v>200</v>
      </c>
      <c r="U604" t="s">
        <v>709</v>
      </c>
      <c r="V604">
        <v>45</v>
      </c>
      <c r="W604" s="2">
        <v>0.3</v>
      </c>
      <c r="AK604" t="b">
        <v>1</v>
      </c>
      <c r="AX604"/>
      <c r="BA604" s="2"/>
      <c r="BB604" s="2" t="b">
        <f>LEN(_xlfn.CONCAT(Table1[[#This Row],[TRACK_TYPE_STANDARD_GAUGE_RAILTYPE_OHLE]:[TRACK_TYPE_MTRO]]))&gt;0</f>
        <v>1</v>
      </c>
      <c r="BC604" s="7">
        <v>40</v>
      </c>
      <c r="BD604" t="s">
        <v>923</v>
      </c>
      <c r="BE604" t="s">
        <v>922</v>
      </c>
      <c r="BF604" t="s">
        <v>940</v>
      </c>
      <c r="BG6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4">
        <v>-3</v>
      </c>
      <c r="BI604" t="s">
        <v>734</v>
      </c>
      <c r="BK604" s="11"/>
      <c r="BL604" s="11">
        <v>16</v>
      </c>
      <c r="BM604">
        <v>0</v>
      </c>
      <c r="BN604" t="s">
        <v>692</v>
      </c>
      <c r="BO604" t="s">
        <v>694</v>
      </c>
      <c r="BP604" t="s">
        <v>701</v>
      </c>
      <c r="BQ604" t="s">
        <v>705</v>
      </c>
      <c r="BR604" t="s">
        <v>706</v>
      </c>
      <c r="BS604" t="s">
        <v>707</v>
      </c>
    </row>
    <row r="605" spans="1:71" hidden="1" x14ac:dyDescent="0.4">
      <c r="A605" s="2" t="s">
        <v>629</v>
      </c>
      <c r="B605" t="str">
        <f>_xlfn.TEXTAFTER(Table1[[#This Row],[VEHIDCODE]],"_")</f>
        <v>Japan_JNR_EH10</v>
      </c>
      <c r="C605" t="s">
        <v>741</v>
      </c>
      <c r="D605" t="b">
        <f>OR(ISNUMBER(SEARCH("wagon_",Table1[[#This Row],[FILENAMES_EXPECTED]])),ISNUMBER(SEARCH("coach_",Table1[[#This Row],[FILENAMES_EXPECTED]])))</f>
        <v>0</v>
      </c>
      <c r="E605" t="str">
        <f>"item_"&amp;Table1[[#This Row],[VEHIDCODE]]</f>
        <v>item_electric_Japan_JNR_EH10</v>
      </c>
      <c r="F605" t="str">
        <f>"str_"&amp;Table1[[#This Row],[VEHIDCODE]]</f>
        <v>str_electric_Japan_JNR_EH10</v>
      </c>
      <c r="G605">
        <v>14</v>
      </c>
      <c r="H605" t="s">
        <v>20</v>
      </c>
      <c r="I605">
        <v>0</v>
      </c>
      <c r="J605" t="s">
        <v>74</v>
      </c>
      <c r="K605">
        <v>0</v>
      </c>
      <c r="L605">
        <v>1954</v>
      </c>
      <c r="M605">
        <v>7</v>
      </c>
      <c r="N605" s="2" t="s">
        <v>20</v>
      </c>
      <c r="O605" t="b">
        <v>1</v>
      </c>
      <c r="Q605" s="2"/>
      <c r="R605">
        <v>45</v>
      </c>
      <c r="S605">
        <v>1</v>
      </c>
      <c r="T605">
        <v>3390</v>
      </c>
      <c r="U605" t="s">
        <v>709</v>
      </c>
      <c r="V605">
        <v>110</v>
      </c>
      <c r="W605" s="2">
        <v>0.16</v>
      </c>
      <c r="AK605" t="b">
        <v>1</v>
      </c>
      <c r="AX605"/>
      <c r="BA605" s="2"/>
      <c r="BB605" s="2" t="b">
        <f>LEN(_xlfn.CONCAT(Table1[[#This Row],[TRACK_TYPE_STANDARD_GAUGE_RAILTYPE_OHLE]:[TRACK_TYPE_MTRO]]))&gt;0</f>
        <v>1</v>
      </c>
      <c r="BC605" s="7">
        <v>40</v>
      </c>
      <c r="BD605" t="s">
        <v>931</v>
      </c>
      <c r="BE605" t="s">
        <v>922</v>
      </c>
      <c r="BF605" t="s">
        <v>940</v>
      </c>
      <c r="BG6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5">
        <v>0</v>
      </c>
      <c r="BI605" t="s">
        <v>734</v>
      </c>
      <c r="BK605" s="11"/>
      <c r="BL605" s="11">
        <v>116</v>
      </c>
      <c r="BM605">
        <v>0</v>
      </c>
      <c r="BN605" t="s">
        <v>692</v>
      </c>
      <c r="BO605" t="s">
        <v>694</v>
      </c>
      <c r="BP605" t="s">
        <v>701</v>
      </c>
      <c r="BQ605" t="s">
        <v>705</v>
      </c>
      <c r="BR605" t="s">
        <v>706</v>
      </c>
      <c r="BS605" t="s">
        <v>707</v>
      </c>
    </row>
    <row r="606" spans="1:71" hidden="1" x14ac:dyDescent="0.4">
      <c r="A606" s="2" t="s">
        <v>630</v>
      </c>
      <c r="B606" t="str">
        <f>_xlfn.TEXTAFTER(Table1[[#This Row],[VEHIDCODE]],"_")</f>
        <v>Japan_JNR_EF64</v>
      </c>
      <c r="C606" t="s">
        <v>741</v>
      </c>
      <c r="D606" t="b">
        <f>OR(ISNUMBER(SEARCH("wagon_",Table1[[#This Row],[FILENAMES_EXPECTED]])),ISNUMBER(SEARCH("coach_",Table1[[#This Row],[FILENAMES_EXPECTED]])))</f>
        <v>0</v>
      </c>
      <c r="E606" t="str">
        <f>"item_"&amp;Table1[[#This Row],[VEHIDCODE]]</f>
        <v>item_electric_Japan_JNR_EF64</v>
      </c>
      <c r="F606" t="str">
        <f>"str_"&amp;Table1[[#This Row],[VEHIDCODE]]</f>
        <v>str_electric_Japan_JNR_EF64</v>
      </c>
      <c r="G606">
        <v>8</v>
      </c>
      <c r="H606" t="s">
        <v>20</v>
      </c>
      <c r="I606">
        <v>0</v>
      </c>
      <c r="J606" t="s">
        <v>74</v>
      </c>
      <c r="K606">
        <v>0</v>
      </c>
      <c r="L606">
        <v>1964</v>
      </c>
      <c r="M606">
        <v>8</v>
      </c>
      <c r="N606" s="2" t="s">
        <v>20</v>
      </c>
      <c r="O606" t="b">
        <v>1</v>
      </c>
      <c r="Q606" s="2"/>
      <c r="R606">
        <v>45</v>
      </c>
      <c r="S606">
        <v>1</v>
      </c>
      <c r="T606">
        <v>3420</v>
      </c>
      <c r="U606" t="s">
        <v>709</v>
      </c>
      <c r="V606">
        <v>100</v>
      </c>
      <c r="W606" s="2">
        <v>0.3</v>
      </c>
      <c r="AK606" t="b">
        <v>1</v>
      </c>
      <c r="AX606"/>
      <c r="BA606" s="2"/>
      <c r="BB606" s="2" t="b">
        <f>LEN(_xlfn.CONCAT(Table1[[#This Row],[TRACK_TYPE_STANDARD_GAUGE_RAILTYPE_OHLE]:[TRACK_TYPE_MTRO]]))&gt;0</f>
        <v>1</v>
      </c>
      <c r="BC606" s="7">
        <v>40</v>
      </c>
      <c r="BD606" t="s">
        <v>931</v>
      </c>
      <c r="BE606" t="s">
        <v>922</v>
      </c>
      <c r="BF606" t="s">
        <v>940</v>
      </c>
      <c r="BG6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6">
        <v>-3</v>
      </c>
      <c r="BI606" t="s">
        <v>734</v>
      </c>
      <c r="BK606" s="11"/>
      <c r="BL606" s="11">
        <v>96</v>
      </c>
      <c r="BM606">
        <v>0</v>
      </c>
      <c r="BN606" t="s">
        <v>692</v>
      </c>
      <c r="BO606" t="s">
        <v>694</v>
      </c>
      <c r="BP606" t="s">
        <v>701</v>
      </c>
      <c r="BQ606" t="s">
        <v>705</v>
      </c>
      <c r="BR606" t="s">
        <v>706</v>
      </c>
      <c r="BS606" t="s">
        <v>707</v>
      </c>
    </row>
    <row r="607" spans="1:71" hidden="1" x14ac:dyDescent="0.4">
      <c r="A607" s="2" t="s">
        <v>631</v>
      </c>
      <c r="B607" t="str">
        <f>_xlfn.TEXTAFTER(Table1[[#This Row],[VEHIDCODE]],"_")</f>
        <v>New_Zealand_NZR_EO_Class</v>
      </c>
      <c r="C607" t="s">
        <v>741</v>
      </c>
      <c r="D607" t="b">
        <f>OR(ISNUMBER(SEARCH("wagon_",Table1[[#This Row],[FILENAMES_EXPECTED]])),ISNUMBER(SEARCH("coach_",Table1[[#This Row],[FILENAMES_EXPECTED]])))</f>
        <v>0</v>
      </c>
      <c r="E607" t="str">
        <f>"item_"&amp;Table1[[#This Row],[VEHIDCODE]]</f>
        <v>item_electric_New_Zealand_NZR_EO_Class</v>
      </c>
      <c r="F607" t="str">
        <f>"str_"&amp;Table1[[#This Row],[VEHIDCODE]]</f>
        <v>str_electric_New_Zealand_NZR_EO_Class</v>
      </c>
      <c r="G607">
        <v>7</v>
      </c>
      <c r="H607" t="s">
        <v>20</v>
      </c>
      <c r="I607">
        <v>0</v>
      </c>
      <c r="J607" t="s">
        <v>74</v>
      </c>
      <c r="K607">
        <v>0</v>
      </c>
      <c r="L607">
        <v>1923</v>
      </c>
      <c r="M607">
        <v>7</v>
      </c>
      <c r="N607" s="2" t="s">
        <v>20</v>
      </c>
      <c r="O607" t="b">
        <v>1</v>
      </c>
      <c r="Q607" s="2"/>
      <c r="R607">
        <v>45</v>
      </c>
      <c r="S607">
        <v>1</v>
      </c>
      <c r="T607">
        <v>680</v>
      </c>
      <c r="U607" t="s">
        <v>709</v>
      </c>
      <c r="V607">
        <v>64</v>
      </c>
      <c r="W607" s="2">
        <v>0.13</v>
      </c>
      <c r="AK607" t="b">
        <v>1</v>
      </c>
      <c r="AX607"/>
      <c r="BA607" s="2"/>
      <c r="BB607" s="2" t="b">
        <f>LEN(_xlfn.CONCAT(Table1[[#This Row],[TRACK_TYPE_STANDARD_GAUGE_RAILTYPE_OHLE]:[TRACK_TYPE_MTRO]]))&gt;0</f>
        <v>1</v>
      </c>
      <c r="BC607" s="7">
        <v>40</v>
      </c>
      <c r="BD607" t="s">
        <v>925</v>
      </c>
      <c r="BE607" t="s">
        <v>922</v>
      </c>
      <c r="BF607" t="s">
        <v>940</v>
      </c>
      <c r="BG6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7">
        <v>0</v>
      </c>
      <c r="BI607" t="s">
        <v>734</v>
      </c>
      <c r="BK607" s="11"/>
      <c r="BL607" s="11">
        <v>50</v>
      </c>
      <c r="BM607">
        <v>0</v>
      </c>
      <c r="BN607" t="s">
        <v>692</v>
      </c>
      <c r="BO607" t="s">
        <v>694</v>
      </c>
      <c r="BP607" t="s">
        <v>701</v>
      </c>
      <c r="BQ607" t="s">
        <v>705</v>
      </c>
      <c r="BR607" t="s">
        <v>706</v>
      </c>
      <c r="BS607" t="s">
        <v>707</v>
      </c>
    </row>
    <row r="608" spans="1:71" hidden="1" x14ac:dyDescent="0.4">
      <c r="A608" s="2" t="s">
        <v>632</v>
      </c>
      <c r="B608" t="str">
        <f>_xlfn.TEXTAFTER(Table1[[#This Row],[VEHIDCODE]],"_")</f>
        <v>Australia_NSWGR_71</v>
      </c>
      <c r="C608" t="s">
        <v>741</v>
      </c>
      <c r="D608" t="b">
        <f>OR(ISNUMBER(SEARCH("wagon_",Table1[[#This Row],[FILENAMES_EXPECTED]])),ISNUMBER(SEARCH("coach_",Table1[[#This Row],[FILENAMES_EXPECTED]])))</f>
        <v>0</v>
      </c>
      <c r="E608" t="str">
        <f>"item_"&amp;Table1[[#This Row],[VEHIDCODE]]</f>
        <v>item_electric_Australia_NSWGR_71</v>
      </c>
      <c r="F608" t="str">
        <f>"str_"&amp;Table1[[#This Row],[VEHIDCODE]]</f>
        <v>str_electric_Australia_NSWGR_71</v>
      </c>
      <c r="G608">
        <v>7</v>
      </c>
      <c r="H608" t="s">
        <v>20</v>
      </c>
      <c r="I608">
        <v>0</v>
      </c>
      <c r="J608" t="s">
        <v>74</v>
      </c>
      <c r="K608">
        <v>0</v>
      </c>
      <c r="L608">
        <v>1952</v>
      </c>
      <c r="M608">
        <v>7</v>
      </c>
      <c r="N608" s="2" t="s">
        <v>20</v>
      </c>
      <c r="O608" t="b">
        <v>1</v>
      </c>
      <c r="Q608" s="2"/>
      <c r="R608">
        <v>45</v>
      </c>
      <c r="S608">
        <v>1</v>
      </c>
      <c r="T608">
        <v>2700</v>
      </c>
      <c r="U608" t="s">
        <v>709</v>
      </c>
      <c r="V608">
        <v>113</v>
      </c>
      <c r="W608" s="2">
        <v>0.11</v>
      </c>
      <c r="AK608" t="b">
        <v>1</v>
      </c>
      <c r="AX608"/>
      <c r="BA608" s="2"/>
      <c r="BB608" s="2" t="b">
        <f>LEN(_xlfn.CONCAT(Table1[[#This Row],[TRACK_TYPE_STANDARD_GAUGE_RAILTYPE_OHLE]:[TRACK_TYPE_MTRO]]))&gt;0</f>
        <v>1</v>
      </c>
      <c r="BC608" s="7">
        <v>40</v>
      </c>
      <c r="BD608" t="s">
        <v>925</v>
      </c>
      <c r="BE608" t="s">
        <v>922</v>
      </c>
      <c r="BF608" t="s">
        <v>940</v>
      </c>
      <c r="BG6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8">
        <v>0</v>
      </c>
      <c r="BI608" t="s">
        <v>734</v>
      </c>
      <c r="BK608" s="11"/>
      <c r="BL608" s="11">
        <v>110</v>
      </c>
      <c r="BM608">
        <v>0</v>
      </c>
      <c r="BN608" t="s">
        <v>692</v>
      </c>
      <c r="BO608" t="s">
        <v>694</v>
      </c>
      <c r="BP608" t="s">
        <v>701</v>
      </c>
      <c r="BQ608" t="s">
        <v>705</v>
      </c>
      <c r="BR608" t="s">
        <v>706</v>
      </c>
      <c r="BS608" t="s">
        <v>707</v>
      </c>
    </row>
    <row r="609" spans="1:71" hidden="1" x14ac:dyDescent="0.4">
      <c r="A609" s="2" t="s">
        <v>633</v>
      </c>
      <c r="B609" t="str">
        <f>_xlfn.TEXTAFTER(Table1[[#This Row],[VEHIDCODE]],"_")</f>
        <v>South_Africa_SAR_4E</v>
      </c>
      <c r="C609" t="s">
        <v>741</v>
      </c>
      <c r="D609" t="b">
        <f>OR(ISNUMBER(SEARCH("wagon_",Table1[[#This Row],[FILENAMES_EXPECTED]])),ISNUMBER(SEARCH("coach_",Table1[[#This Row],[FILENAMES_EXPECTED]])))</f>
        <v>0</v>
      </c>
      <c r="E609" t="str">
        <f>"item_"&amp;Table1[[#This Row],[VEHIDCODE]]</f>
        <v>item_electric_South_Africa_SAR_4E</v>
      </c>
      <c r="F609" t="str">
        <f>"str_"&amp;Table1[[#This Row],[VEHIDCODE]]</f>
        <v>str_electric_South_Africa_SAR_4E</v>
      </c>
      <c r="G609">
        <v>8</v>
      </c>
      <c r="H609" t="s">
        <v>20</v>
      </c>
      <c r="I609">
        <v>0</v>
      </c>
      <c r="J609" t="s">
        <v>74</v>
      </c>
      <c r="K609">
        <v>0</v>
      </c>
      <c r="L609">
        <v>1952</v>
      </c>
      <c r="M609">
        <v>8</v>
      </c>
      <c r="N609" s="2" t="s">
        <v>20</v>
      </c>
      <c r="O609" t="b">
        <v>1</v>
      </c>
      <c r="Q609" s="2"/>
      <c r="R609">
        <v>45</v>
      </c>
      <c r="S609">
        <v>1</v>
      </c>
      <c r="T609">
        <v>2520</v>
      </c>
      <c r="U609" t="s">
        <v>709</v>
      </c>
      <c r="V609">
        <v>97</v>
      </c>
      <c r="W609" s="2">
        <v>0.09</v>
      </c>
      <c r="AJ609" t="b">
        <v>1</v>
      </c>
      <c r="AX609"/>
      <c r="BA609" s="2"/>
      <c r="BB609" s="2" t="b">
        <f>LEN(_xlfn.CONCAT(Table1[[#This Row],[TRACK_TYPE_STANDARD_GAUGE_RAILTYPE_OHLE]:[TRACK_TYPE_MTRO]]))&gt;0</f>
        <v>1</v>
      </c>
      <c r="BC609" s="7">
        <v>40</v>
      </c>
      <c r="BD609" t="s">
        <v>926</v>
      </c>
      <c r="BE609" t="s">
        <v>922</v>
      </c>
      <c r="BF609" t="s">
        <v>940</v>
      </c>
      <c r="BG6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9">
        <v>0</v>
      </c>
      <c r="BI609" t="s">
        <v>734</v>
      </c>
      <c r="BK609" s="11"/>
      <c r="BL609" s="11">
        <v>155</v>
      </c>
      <c r="BM609">
        <v>0</v>
      </c>
      <c r="BN609" t="s">
        <v>692</v>
      </c>
      <c r="BO609" t="s">
        <v>694</v>
      </c>
      <c r="BP609" t="s">
        <v>701</v>
      </c>
      <c r="BQ609" t="s">
        <v>705</v>
      </c>
      <c r="BR609" t="s">
        <v>706</v>
      </c>
      <c r="BS609" t="s">
        <v>707</v>
      </c>
    </row>
    <row r="610" spans="1:71" hidden="1" x14ac:dyDescent="0.4">
      <c r="A610" s="2" t="s">
        <v>634</v>
      </c>
      <c r="B610" t="str">
        <f>_xlfn.TEXTAFTER(Table1[[#This Row],[VEHIDCODE]],"_")</f>
        <v>South_Africa_SAR_5E1</v>
      </c>
      <c r="C610" t="s">
        <v>741</v>
      </c>
      <c r="D610" t="b">
        <f>OR(ISNUMBER(SEARCH("wagon_",Table1[[#This Row],[FILENAMES_EXPECTED]])),ISNUMBER(SEARCH("coach_",Table1[[#This Row],[FILENAMES_EXPECTED]])))</f>
        <v>0</v>
      </c>
      <c r="E610" t="str">
        <f>"item_"&amp;Table1[[#This Row],[VEHIDCODE]]</f>
        <v>item_electric_South_Africa_SAR_5E1</v>
      </c>
      <c r="F610" t="str">
        <f>"str_"&amp;Table1[[#This Row],[VEHIDCODE]]</f>
        <v>str_electric_South_Africa_SAR_5E1</v>
      </c>
      <c r="G610">
        <v>7</v>
      </c>
      <c r="H610" t="s">
        <v>20</v>
      </c>
      <c r="I610">
        <v>0</v>
      </c>
      <c r="J610" t="s">
        <v>74</v>
      </c>
      <c r="K610">
        <v>0</v>
      </c>
      <c r="L610">
        <v>1965</v>
      </c>
      <c r="M610">
        <v>7</v>
      </c>
      <c r="N610" s="2" t="s">
        <v>20</v>
      </c>
      <c r="O610" t="b">
        <v>1</v>
      </c>
      <c r="Q610" s="2"/>
      <c r="R610">
        <v>45</v>
      </c>
      <c r="S610">
        <v>1</v>
      </c>
      <c r="T610">
        <v>1456</v>
      </c>
      <c r="U610" t="s">
        <v>709</v>
      </c>
      <c r="V610">
        <v>97</v>
      </c>
      <c r="W610" s="2">
        <v>0.28999999999999998</v>
      </c>
      <c r="AJ610" t="b">
        <v>1</v>
      </c>
      <c r="AX610"/>
      <c r="BA610" s="2"/>
      <c r="BB610" s="2" t="b">
        <f>LEN(_xlfn.CONCAT(Table1[[#This Row],[TRACK_TYPE_STANDARD_GAUGE_RAILTYPE_OHLE]:[TRACK_TYPE_MTRO]]))&gt;0</f>
        <v>1</v>
      </c>
      <c r="BC610" s="7">
        <v>40</v>
      </c>
      <c r="BD610" t="s">
        <v>926</v>
      </c>
      <c r="BE610" t="s">
        <v>922</v>
      </c>
      <c r="BF610" t="s">
        <v>940</v>
      </c>
      <c r="BG6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0">
        <v>0</v>
      </c>
      <c r="BI610" t="s">
        <v>734</v>
      </c>
      <c r="BK610" s="11"/>
      <c r="BL610" s="11">
        <v>86</v>
      </c>
      <c r="BM610">
        <v>0</v>
      </c>
      <c r="BN610" t="s">
        <v>692</v>
      </c>
      <c r="BO610" t="s">
        <v>694</v>
      </c>
      <c r="BP610" t="s">
        <v>701</v>
      </c>
      <c r="BQ610" t="s">
        <v>705</v>
      </c>
      <c r="BR610" t="s">
        <v>706</v>
      </c>
      <c r="BS610" t="s">
        <v>707</v>
      </c>
    </row>
    <row r="611" spans="1:71" hidden="1" x14ac:dyDescent="0.4">
      <c r="A611" s="2" t="s">
        <v>635</v>
      </c>
      <c r="B611" t="str">
        <f>_xlfn.TEXTAFTER(Table1[[#This Row],[VEHIDCODE]],"_")</f>
        <v>South_Africa_SAR_6E</v>
      </c>
      <c r="C611" t="s">
        <v>741</v>
      </c>
      <c r="D611" t="b">
        <f>OR(ISNUMBER(SEARCH("wagon_",Table1[[#This Row],[FILENAMES_EXPECTED]])),ISNUMBER(SEARCH("coach_",Table1[[#This Row],[FILENAMES_EXPECTED]])))</f>
        <v>0</v>
      </c>
      <c r="E611" t="str">
        <f>"item_"&amp;Table1[[#This Row],[VEHIDCODE]]</f>
        <v>item_electric_South_Africa_SAR_6E</v>
      </c>
      <c r="F611" t="str">
        <f>"str_"&amp;Table1[[#This Row],[VEHIDCODE]]</f>
        <v>str_electric_South_Africa_SAR_6E</v>
      </c>
      <c r="G611">
        <v>8</v>
      </c>
      <c r="H611" t="s">
        <v>20</v>
      </c>
      <c r="I611">
        <v>0</v>
      </c>
      <c r="J611" t="s">
        <v>74</v>
      </c>
      <c r="K611">
        <v>0</v>
      </c>
      <c r="L611">
        <v>1970</v>
      </c>
      <c r="M611">
        <v>8</v>
      </c>
      <c r="N611" s="2" t="s">
        <v>20</v>
      </c>
      <c r="O611" t="b">
        <v>1</v>
      </c>
      <c r="Q611" s="2"/>
      <c r="R611">
        <v>45</v>
      </c>
      <c r="S611">
        <v>1</v>
      </c>
      <c r="T611">
        <v>3300</v>
      </c>
      <c r="U611" t="s">
        <v>709</v>
      </c>
      <c r="V611">
        <v>115</v>
      </c>
      <c r="W611" s="2">
        <v>0.36</v>
      </c>
      <c r="AJ611" t="b">
        <v>1</v>
      </c>
      <c r="AX611"/>
      <c r="BA611" s="2"/>
      <c r="BB611" s="2" t="b">
        <f>LEN(_xlfn.CONCAT(Table1[[#This Row],[TRACK_TYPE_STANDARD_GAUGE_RAILTYPE_OHLE]:[TRACK_TYPE_MTRO]]))&gt;0</f>
        <v>1</v>
      </c>
      <c r="BC611" s="7">
        <v>40</v>
      </c>
      <c r="BD611" t="s">
        <v>926</v>
      </c>
      <c r="BE611" t="s">
        <v>922</v>
      </c>
      <c r="BF611" t="s">
        <v>940</v>
      </c>
      <c r="BG6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1">
        <v>-3</v>
      </c>
      <c r="BI611" t="s">
        <v>734</v>
      </c>
      <c r="BK611" s="11"/>
      <c r="BL611" s="11">
        <v>89</v>
      </c>
      <c r="BM611">
        <v>0</v>
      </c>
      <c r="BN611" t="s">
        <v>692</v>
      </c>
      <c r="BO611" t="s">
        <v>694</v>
      </c>
      <c r="BP611" t="s">
        <v>701</v>
      </c>
      <c r="BQ611" t="s">
        <v>705</v>
      </c>
      <c r="BR611" t="s">
        <v>706</v>
      </c>
      <c r="BS611" t="s">
        <v>707</v>
      </c>
    </row>
    <row r="612" spans="1:71" hidden="1" x14ac:dyDescent="0.4">
      <c r="A612" s="2" t="s">
        <v>636</v>
      </c>
      <c r="B612" t="str">
        <f>_xlfn.TEXTAFTER(Table1[[#This Row],[VEHIDCODE]],"_")</f>
        <v>Switzerland_RhB_Ge_4_4_I</v>
      </c>
      <c r="C612" t="s">
        <v>741</v>
      </c>
      <c r="D612" t="b">
        <f>OR(ISNUMBER(SEARCH("wagon_",Table1[[#This Row],[FILENAMES_EXPECTED]])),ISNUMBER(SEARCH("coach_",Table1[[#This Row],[FILENAMES_EXPECTED]])))</f>
        <v>0</v>
      </c>
      <c r="E612" t="str">
        <f>"item_"&amp;Table1[[#This Row],[VEHIDCODE]]</f>
        <v>item_electric_Switzerland_RhB_Ge_4_4_I</v>
      </c>
      <c r="F612" t="str">
        <f>"str_"&amp;Table1[[#This Row],[VEHIDCODE]]</f>
        <v>str_electric_Switzerland_RhB_Ge_4_4_I</v>
      </c>
      <c r="G612">
        <v>8</v>
      </c>
      <c r="H612" t="s">
        <v>20</v>
      </c>
      <c r="I612">
        <v>0</v>
      </c>
      <c r="J612" t="s">
        <v>74</v>
      </c>
      <c r="K612">
        <v>0</v>
      </c>
      <c r="L612">
        <v>1947</v>
      </c>
      <c r="M612">
        <v>8</v>
      </c>
      <c r="N612" s="2" t="s">
        <v>20</v>
      </c>
      <c r="O612" t="b">
        <v>1</v>
      </c>
      <c r="Q612" s="2"/>
      <c r="R612">
        <v>45</v>
      </c>
      <c r="S612">
        <v>1</v>
      </c>
      <c r="T612">
        <v>1590</v>
      </c>
      <c r="U612" t="s">
        <v>709</v>
      </c>
      <c r="V612">
        <v>80</v>
      </c>
      <c r="W612" s="2">
        <v>0.3</v>
      </c>
      <c r="AJ612" t="b">
        <v>1</v>
      </c>
      <c r="AX612"/>
      <c r="BA612" s="2"/>
      <c r="BB612" s="2" t="b">
        <f>LEN(_xlfn.CONCAT(Table1[[#This Row],[TRACK_TYPE_STANDARD_GAUGE_RAILTYPE_OHLE]:[TRACK_TYPE_MTRO]]))&gt;0</f>
        <v>1</v>
      </c>
      <c r="BC612" s="7">
        <v>40</v>
      </c>
      <c r="BD612" t="s">
        <v>923</v>
      </c>
      <c r="BE612" t="s">
        <v>922</v>
      </c>
      <c r="BF612" t="s">
        <v>940</v>
      </c>
      <c r="BG6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2">
        <v>0</v>
      </c>
      <c r="BI612" t="s">
        <v>734</v>
      </c>
      <c r="BK612" s="11"/>
      <c r="BL612" s="11">
        <v>47</v>
      </c>
      <c r="BM612">
        <v>0</v>
      </c>
      <c r="BN612" t="s">
        <v>692</v>
      </c>
      <c r="BO612" t="s">
        <v>694</v>
      </c>
      <c r="BP612" t="s">
        <v>701</v>
      </c>
      <c r="BQ612" t="s">
        <v>705</v>
      </c>
      <c r="BR612" t="s">
        <v>706</v>
      </c>
      <c r="BS612" t="s">
        <v>707</v>
      </c>
    </row>
    <row r="613" spans="1:71" hidden="1" x14ac:dyDescent="0.4">
      <c r="A613" s="2" t="s">
        <v>637</v>
      </c>
      <c r="B613" t="str">
        <f>_xlfn.TEXTAFTER(Table1[[#This Row],[VEHIDCODE]],"_")</f>
        <v>Switzerland_RhB_Ge_6_6_Krokodil</v>
      </c>
      <c r="C613" t="s">
        <v>741</v>
      </c>
      <c r="D613" t="b">
        <f>OR(ISNUMBER(SEARCH("wagon_",Table1[[#This Row],[FILENAMES_EXPECTED]])),ISNUMBER(SEARCH("coach_",Table1[[#This Row],[FILENAMES_EXPECTED]])))</f>
        <v>0</v>
      </c>
      <c r="E613" t="str">
        <f>"item_"&amp;Table1[[#This Row],[VEHIDCODE]]</f>
        <v>item_electric_Switzerland_RhB_Ge_6_6_Krokodil</v>
      </c>
      <c r="F613" t="str">
        <f>"str_"&amp;Table1[[#This Row],[VEHIDCODE]]</f>
        <v>str_electric_Switzerland_RhB_Ge_6_6_Krokodil</v>
      </c>
      <c r="G613">
        <v>8</v>
      </c>
      <c r="H613" t="s">
        <v>20</v>
      </c>
      <c r="I613">
        <v>0</v>
      </c>
      <c r="J613" t="s">
        <v>74</v>
      </c>
      <c r="K613">
        <v>0</v>
      </c>
      <c r="L613">
        <v>1921</v>
      </c>
      <c r="M613">
        <v>8</v>
      </c>
      <c r="N613" s="2" t="s">
        <v>20</v>
      </c>
      <c r="O613" t="b">
        <v>1</v>
      </c>
      <c r="Q613" s="2"/>
      <c r="R613">
        <v>45</v>
      </c>
      <c r="S613">
        <v>1</v>
      </c>
      <c r="T613">
        <v>1260</v>
      </c>
      <c r="U613" t="s">
        <v>709</v>
      </c>
      <c r="V613">
        <v>55</v>
      </c>
      <c r="W613" s="2">
        <v>0.26</v>
      </c>
      <c r="AJ613" t="b">
        <v>1</v>
      </c>
      <c r="AX613"/>
      <c r="BA613" s="2"/>
      <c r="BB613" s="2" t="b">
        <f>LEN(_xlfn.CONCAT(Table1[[#This Row],[TRACK_TYPE_STANDARD_GAUGE_RAILTYPE_OHLE]:[TRACK_TYPE_MTRO]]))&gt;0</f>
        <v>1</v>
      </c>
      <c r="BC613" s="7">
        <v>40</v>
      </c>
      <c r="BD613" t="s">
        <v>923</v>
      </c>
      <c r="BE613" t="s">
        <v>922</v>
      </c>
      <c r="BF613" t="s">
        <v>940</v>
      </c>
      <c r="BG6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3">
        <v>0</v>
      </c>
      <c r="BI613" t="s">
        <v>734</v>
      </c>
      <c r="BK613" s="11"/>
      <c r="BL613" s="11">
        <v>66</v>
      </c>
      <c r="BM613">
        <v>0</v>
      </c>
      <c r="BN613" t="s">
        <v>692</v>
      </c>
      <c r="BO613" t="s">
        <v>694</v>
      </c>
      <c r="BP613" t="s">
        <v>701</v>
      </c>
      <c r="BQ613" t="s">
        <v>705</v>
      </c>
      <c r="BR613" t="s">
        <v>706</v>
      </c>
      <c r="BS613" t="s">
        <v>707</v>
      </c>
    </row>
    <row r="614" spans="1:71" hidden="1" x14ac:dyDescent="0.4">
      <c r="A614" s="2" t="s">
        <v>638</v>
      </c>
      <c r="B614" t="str">
        <f>_xlfn.TEXTAFTER(Table1[[#This Row],[VEHIDCODE]],"_")</f>
        <v>Brasil_MRS_He_4_4</v>
      </c>
      <c r="C614" t="s">
        <v>741</v>
      </c>
      <c r="D614" t="b">
        <f>OR(ISNUMBER(SEARCH("wagon_",Table1[[#This Row],[FILENAMES_EXPECTED]])),ISNUMBER(SEARCH("coach_",Table1[[#This Row],[FILENAMES_EXPECTED]])))</f>
        <v>0</v>
      </c>
      <c r="E614" t="str">
        <f>"item_"&amp;Table1[[#This Row],[VEHIDCODE]]</f>
        <v>item_electric_Brasil_MRS_He_4_4</v>
      </c>
      <c r="F614" t="str">
        <f>"str_"&amp;Table1[[#This Row],[VEHIDCODE]]</f>
        <v>str_electric_Brasil_MRS_He_4_4</v>
      </c>
      <c r="G614">
        <v>7</v>
      </c>
      <c r="H614" t="s">
        <v>20</v>
      </c>
      <c r="I614">
        <v>0</v>
      </c>
      <c r="J614" t="s">
        <v>74</v>
      </c>
      <c r="K614">
        <v>0</v>
      </c>
      <c r="L614">
        <v>2012</v>
      </c>
      <c r="M614">
        <v>7</v>
      </c>
      <c r="N614" s="2" t="s">
        <v>24</v>
      </c>
      <c r="O614" t="b">
        <v>1</v>
      </c>
      <c r="Q614" s="2"/>
      <c r="R614">
        <v>45</v>
      </c>
      <c r="S614">
        <v>1</v>
      </c>
      <c r="T614">
        <v>6710</v>
      </c>
      <c r="U614" t="s">
        <v>709</v>
      </c>
      <c r="V614">
        <v>60</v>
      </c>
      <c r="W614" s="2">
        <v>0.63</v>
      </c>
      <c r="AJ614" t="b">
        <v>1</v>
      </c>
      <c r="AX614"/>
      <c r="BA614" s="2"/>
      <c r="BB614" s="2" t="b">
        <f>LEN(_xlfn.CONCAT(Table1[[#This Row],[TRACK_TYPE_STANDARD_GAUGE_RAILTYPE_OHLE]:[TRACK_TYPE_MTRO]]))&gt;0</f>
        <v>1</v>
      </c>
      <c r="BC614" s="7">
        <v>40</v>
      </c>
      <c r="BD614" t="s">
        <v>930</v>
      </c>
      <c r="BE614" t="s">
        <v>922</v>
      </c>
      <c r="BF614" t="s">
        <v>940</v>
      </c>
      <c r="BG6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4">
        <v>0</v>
      </c>
      <c r="BI614" t="s">
        <v>734</v>
      </c>
      <c r="BK614" s="11"/>
      <c r="BL614" s="11">
        <v>121</v>
      </c>
      <c r="BM614">
        <v>0</v>
      </c>
      <c r="BN614" t="s">
        <v>692</v>
      </c>
      <c r="BO614" t="s">
        <v>694</v>
      </c>
      <c r="BP614" t="s">
        <v>701</v>
      </c>
      <c r="BQ614" t="s">
        <v>705</v>
      </c>
      <c r="BR614" t="s">
        <v>706</v>
      </c>
      <c r="BS614" t="s">
        <v>707</v>
      </c>
    </row>
    <row r="615" spans="1:71" hidden="1" x14ac:dyDescent="0.4">
      <c r="A615" s="2" t="s">
        <v>639</v>
      </c>
      <c r="B615" t="str">
        <f>_xlfn.TEXTAFTER(Table1[[#This Row],[VEHIDCODE]],"_")</f>
        <v>South_Africa_SAR_7E</v>
      </c>
      <c r="C615" t="s">
        <v>741</v>
      </c>
      <c r="D615" t="b">
        <f>OR(ISNUMBER(SEARCH("wagon_",Table1[[#This Row],[FILENAMES_EXPECTED]])),ISNUMBER(SEARCH("coach_",Table1[[#This Row],[FILENAMES_EXPECTED]])))</f>
        <v>0</v>
      </c>
      <c r="E615" t="str">
        <f>"item_"&amp;Table1[[#This Row],[VEHIDCODE]]</f>
        <v>item_electric_South_Africa_SAR_7E</v>
      </c>
      <c r="F615" t="str">
        <f>"str_"&amp;Table1[[#This Row],[VEHIDCODE]]</f>
        <v>str_electric_South_Africa_SAR_7E</v>
      </c>
      <c r="G615">
        <v>7</v>
      </c>
      <c r="H615" t="s">
        <v>20</v>
      </c>
      <c r="I615">
        <v>0</v>
      </c>
      <c r="J615" t="s">
        <v>74</v>
      </c>
      <c r="K615">
        <v>0</v>
      </c>
      <c r="L615">
        <v>1978</v>
      </c>
      <c r="M615">
        <v>7</v>
      </c>
      <c r="N615" s="2" t="s">
        <v>24</v>
      </c>
      <c r="O615" t="b">
        <v>1</v>
      </c>
      <c r="Q615" s="2"/>
      <c r="R615">
        <v>45</v>
      </c>
      <c r="S615">
        <v>1</v>
      </c>
      <c r="T615">
        <v>4000</v>
      </c>
      <c r="U615" t="s">
        <v>709</v>
      </c>
      <c r="V615">
        <v>100</v>
      </c>
      <c r="W615" s="2">
        <v>0.24</v>
      </c>
      <c r="AH615" t="b">
        <v>1</v>
      </c>
      <c r="AX615"/>
      <c r="BA615" s="2"/>
      <c r="BB615" s="2" t="b">
        <f>LEN(_xlfn.CONCAT(Table1[[#This Row],[TRACK_TYPE_STANDARD_GAUGE_RAILTYPE_OHLE]:[TRACK_TYPE_MTRO]]))&gt;0</f>
        <v>1</v>
      </c>
      <c r="BC615" s="7">
        <v>40</v>
      </c>
      <c r="BD615" t="s">
        <v>926</v>
      </c>
      <c r="BE615" t="s">
        <v>922</v>
      </c>
      <c r="BF615" t="s">
        <v>940</v>
      </c>
      <c r="BG6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5">
        <v>0</v>
      </c>
      <c r="BI615" t="s">
        <v>734</v>
      </c>
      <c r="BK615" s="11"/>
      <c r="BL615" s="11">
        <v>124</v>
      </c>
      <c r="BM615">
        <v>0</v>
      </c>
      <c r="BN615" t="s">
        <v>692</v>
      </c>
      <c r="BO615" t="s">
        <v>694</v>
      </c>
      <c r="BP615" t="s">
        <v>701</v>
      </c>
      <c r="BQ615" t="s">
        <v>705</v>
      </c>
      <c r="BR615" t="s">
        <v>706</v>
      </c>
      <c r="BS615" t="s">
        <v>707</v>
      </c>
    </row>
    <row r="616" spans="1:71" hidden="1" x14ac:dyDescent="0.4">
      <c r="A616" s="2" t="s">
        <v>640</v>
      </c>
      <c r="B616" t="str">
        <f>_xlfn.TEXTAFTER(Table1[[#This Row],[VEHIDCODE]],"_")</f>
        <v>South_Africa_SAR_11E</v>
      </c>
      <c r="C616" t="s">
        <v>741</v>
      </c>
      <c r="D616" t="b">
        <f>OR(ISNUMBER(SEARCH("wagon_",Table1[[#This Row],[FILENAMES_EXPECTED]])),ISNUMBER(SEARCH("coach_",Table1[[#This Row],[FILENAMES_EXPECTED]])))</f>
        <v>0</v>
      </c>
      <c r="E616" t="str">
        <f>"item_"&amp;Table1[[#This Row],[VEHIDCODE]]</f>
        <v>item_electric_South_Africa_SAR_11E</v>
      </c>
      <c r="F616" t="str">
        <f>"str_"&amp;Table1[[#This Row],[VEHIDCODE]]</f>
        <v>str_electric_South_Africa_SAR_11E</v>
      </c>
      <c r="G616">
        <v>8</v>
      </c>
      <c r="H616" t="s">
        <v>20</v>
      </c>
      <c r="I616">
        <v>0</v>
      </c>
      <c r="J616" t="s">
        <v>74</v>
      </c>
      <c r="K616">
        <v>0</v>
      </c>
      <c r="L616">
        <v>1985</v>
      </c>
      <c r="M616">
        <v>8</v>
      </c>
      <c r="N616" s="2" t="s">
        <v>24</v>
      </c>
      <c r="O616" t="b">
        <v>1</v>
      </c>
      <c r="Q616" s="2"/>
      <c r="R616">
        <v>45</v>
      </c>
      <c r="S616">
        <v>1</v>
      </c>
      <c r="T616">
        <v>5200</v>
      </c>
      <c r="U616" t="s">
        <v>709</v>
      </c>
      <c r="V616">
        <v>90</v>
      </c>
      <c r="W616" s="2">
        <v>0.23</v>
      </c>
      <c r="AH616" t="b">
        <v>1</v>
      </c>
      <c r="AX616"/>
      <c r="BA616" s="2"/>
      <c r="BB616" s="2" t="b">
        <f>LEN(_xlfn.CONCAT(Table1[[#This Row],[TRACK_TYPE_STANDARD_GAUGE_RAILTYPE_OHLE]:[TRACK_TYPE_MTRO]]))&gt;0</f>
        <v>1</v>
      </c>
      <c r="BC616" s="7">
        <v>40</v>
      </c>
      <c r="BD616" t="s">
        <v>926</v>
      </c>
      <c r="BE616" t="s">
        <v>922</v>
      </c>
      <c r="BF616" t="s">
        <v>940</v>
      </c>
      <c r="BG6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6">
        <v>0</v>
      </c>
      <c r="BI616" t="s">
        <v>734</v>
      </c>
      <c r="BK616" s="11"/>
      <c r="BL616" s="11">
        <v>172</v>
      </c>
      <c r="BM616">
        <v>0</v>
      </c>
      <c r="BN616" t="s">
        <v>692</v>
      </c>
      <c r="BO616" t="s">
        <v>694</v>
      </c>
      <c r="BP616" t="s">
        <v>701</v>
      </c>
      <c r="BQ616" t="s">
        <v>705</v>
      </c>
      <c r="BR616" t="s">
        <v>706</v>
      </c>
      <c r="BS616" t="s">
        <v>707</v>
      </c>
    </row>
    <row r="617" spans="1:71" hidden="1" x14ac:dyDescent="0.4">
      <c r="A617" s="2" t="s">
        <v>641</v>
      </c>
      <c r="B617" t="str">
        <f>_xlfn.TEXTAFTER(Table1[[#This Row],[VEHIDCODE]],"_")</f>
        <v>New_Zealand_TranzRail_EF</v>
      </c>
      <c r="C617" t="s">
        <v>741</v>
      </c>
      <c r="D617" t="b">
        <f>OR(ISNUMBER(SEARCH("wagon_",Table1[[#This Row],[FILENAMES_EXPECTED]])),ISNUMBER(SEARCH("coach_",Table1[[#This Row],[FILENAMES_EXPECTED]])))</f>
        <v>0</v>
      </c>
      <c r="E617" t="str">
        <f>"item_"&amp;Table1[[#This Row],[VEHIDCODE]]</f>
        <v>item_electric_New_Zealand_TranzRail_EF</v>
      </c>
      <c r="F617" t="str">
        <f>"str_"&amp;Table1[[#This Row],[VEHIDCODE]]</f>
        <v>str_electric_New_Zealand_TranzRail_EF</v>
      </c>
      <c r="G617">
        <v>8</v>
      </c>
      <c r="H617" t="s">
        <v>20</v>
      </c>
      <c r="I617">
        <v>0</v>
      </c>
      <c r="J617" t="s">
        <v>74</v>
      </c>
      <c r="K617">
        <v>0</v>
      </c>
      <c r="L617">
        <v>1986</v>
      </c>
      <c r="M617">
        <v>8</v>
      </c>
      <c r="N617" s="2" t="s">
        <v>20</v>
      </c>
      <c r="O617" t="b">
        <v>1</v>
      </c>
      <c r="Q617" s="2"/>
      <c r="R617">
        <v>45</v>
      </c>
      <c r="S617">
        <v>1</v>
      </c>
      <c r="T617">
        <v>4000</v>
      </c>
      <c r="U617" t="s">
        <v>709</v>
      </c>
      <c r="V617">
        <v>105</v>
      </c>
      <c r="W617" s="2">
        <v>0.21</v>
      </c>
      <c r="AH617" t="b">
        <v>1</v>
      </c>
      <c r="AX617"/>
      <c r="BA617" s="2"/>
      <c r="BB617" s="2" t="b">
        <f>LEN(_xlfn.CONCAT(Table1[[#This Row],[TRACK_TYPE_STANDARD_GAUGE_RAILTYPE_OHLE]:[TRACK_TYPE_MTRO]]))&gt;0</f>
        <v>1</v>
      </c>
      <c r="BC617" s="7">
        <v>40</v>
      </c>
      <c r="BD617" t="s">
        <v>925</v>
      </c>
      <c r="BE617" t="s">
        <v>922</v>
      </c>
      <c r="BF617" t="s">
        <v>940</v>
      </c>
      <c r="BG6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7">
        <v>0</v>
      </c>
      <c r="BI617" t="s">
        <v>734</v>
      </c>
      <c r="BK617" s="11"/>
      <c r="BL617" s="11">
        <v>107</v>
      </c>
      <c r="BM617">
        <v>0</v>
      </c>
      <c r="BN617" t="s">
        <v>692</v>
      </c>
      <c r="BO617" t="s">
        <v>694</v>
      </c>
      <c r="BP617" t="s">
        <v>701</v>
      </c>
      <c r="BQ617" t="s">
        <v>705</v>
      </c>
      <c r="BR617" t="s">
        <v>706</v>
      </c>
      <c r="BS617" t="s">
        <v>707</v>
      </c>
    </row>
    <row r="618" spans="1:71" hidden="1" x14ac:dyDescent="0.4">
      <c r="A618" s="2" t="s">
        <v>642</v>
      </c>
      <c r="B618" t="str">
        <f>_xlfn.TEXTAFTER(Table1[[#This Row],[VEHIDCODE]],"_")</f>
        <v>Japan_Odakyu_3100_Series_Romance</v>
      </c>
      <c r="C618" t="s">
        <v>744</v>
      </c>
      <c r="D618" t="b">
        <f>OR(ISNUMBER(SEARCH("wagon_",Table1[[#This Row],[FILENAMES_EXPECTED]])),ISNUMBER(SEARCH("coach_",Table1[[#This Row],[FILENAMES_EXPECTED]])))</f>
        <v>0</v>
      </c>
      <c r="E618" t="str">
        <f>"item_"&amp;Table1[[#This Row],[VEHIDCODE]]</f>
        <v>item_emu_Japan_Odakyu_3100_Series_Romance</v>
      </c>
      <c r="F618" t="str">
        <f>"str_"&amp;Table1[[#This Row],[VEHIDCODE]]</f>
        <v>str_emu_Japan_Odakyu_3100_Series_Romance</v>
      </c>
      <c r="G618">
        <v>8</v>
      </c>
      <c r="H618" t="s">
        <v>18</v>
      </c>
      <c r="I618">
        <v>1</v>
      </c>
      <c r="J618" t="s">
        <v>74</v>
      </c>
      <c r="K618">
        <v>40</v>
      </c>
      <c r="L618">
        <v>1962</v>
      </c>
      <c r="M618">
        <v>8</v>
      </c>
      <c r="N618" s="2" t="s">
        <v>24</v>
      </c>
      <c r="O618" t="b">
        <v>1</v>
      </c>
      <c r="P618" t="b">
        <v>1</v>
      </c>
      <c r="Q618" s="2"/>
      <c r="R618">
        <v>45</v>
      </c>
      <c r="S618">
        <v>1</v>
      </c>
      <c r="T618">
        <v>230</v>
      </c>
      <c r="U618" t="s">
        <v>709</v>
      </c>
      <c r="V618">
        <v>110</v>
      </c>
      <c r="W618" s="2">
        <v>0.27</v>
      </c>
      <c r="AK618" t="b">
        <v>1</v>
      </c>
      <c r="AX618"/>
      <c r="BA618" s="2"/>
      <c r="BB618" s="2" t="b">
        <f>LEN(_xlfn.CONCAT(Table1[[#This Row],[TRACK_TYPE_STANDARD_GAUGE_RAILTYPE_OHLE]:[TRACK_TYPE_MTRO]]))&gt;0</f>
        <v>1</v>
      </c>
      <c r="BC618" s="7">
        <v>25</v>
      </c>
      <c r="BD618" t="s">
        <v>931</v>
      </c>
      <c r="BE618" t="s">
        <v>922</v>
      </c>
      <c r="BF618" t="s">
        <v>940</v>
      </c>
      <c r="BG6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8">
        <v>0</v>
      </c>
      <c r="BI618" t="s">
        <v>734</v>
      </c>
      <c r="BJ618" s="11">
        <v>40</v>
      </c>
      <c r="BK618" s="11">
        <v>8</v>
      </c>
      <c r="BL618" s="11">
        <v>47</v>
      </c>
      <c r="BM618">
        <v>0</v>
      </c>
      <c r="BN618" t="s">
        <v>692</v>
      </c>
      <c r="BO618" t="s">
        <v>694</v>
      </c>
      <c r="BP618" t="s">
        <v>701</v>
      </c>
      <c r="BQ618" t="s">
        <v>705</v>
      </c>
      <c r="BR618" t="s">
        <v>706</v>
      </c>
      <c r="BS618" t="s">
        <v>707</v>
      </c>
    </row>
    <row r="619" spans="1:71" hidden="1" x14ac:dyDescent="0.4">
      <c r="A619" s="2" t="s">
        <v>643</v>
      </c>
      <c r="B619" t="str">
        <f>_xlfn.TEXTAFTER(Table1[[#This Row],[VEHIDCODE]],"_")</f>
        <v>Japan_Odakyu_10000_Series_Romance</v>
      </c>
      <c r="C619" t="s">
        <v>744</v>
      </c>
      <c r="D619" t="b">
        <f>OR(ISNUMBER(SEARCH("wagon_",Table1[[#This Row],[FILENAMES_EXPECTED]])),ISNUMBER(SEARCH("coach_",Table1[[#This Row],[FILENAMES_EXPECTED]])))</f>
        <v>0</v>
      </c>
      <c r="E619" t="str">
        <f>"item_"&amp;Table1[[#This Row],[VEHIDCODE]]</f>
        <v>item_emu_Japan_Odakyu_10000_Series_Romance</v>
      </c>
      <c r="F619" t="str">
        <f>"str_"&amp;Table1[[#This Row],[VEHIDCODE]]</f>
        <v>str_emu_Japan_Odakyu_10000_Series_Romance</v>
      </c>
      <c r="G619">
        <v>8</v>
      </c>
      <c r="H619" t="s">
        <v>18</v>
      </c>
      <c r="I619">
        <v>1</v>
      </c>
      <c r="J619" t="s">
        <v>74</v>
      </c>
      <c r="K619">
        <v>40</v>
      </c>
      <c r="L619">
        <v>1986</v>
      </c>
      <c r="M619">
        <v>8</v>
      </c>
      <c r="N619" s="2" t="s">
        <v>24</v>
      </c>
      <c r="O619" t="b">
        <v>1</v>
      </c>
      <c r="P619" t="b">
        <v>1</v>
      </c>
      <c r="Q619" s="2"/>
      <c r="R619">
        <v>45</v>
      </c>
      <c r="S619">
        <v>1</v>
      </c>
      <c r="T619">
        <v>1550</v>
      </c>
      <c r="U619" t="s">
        <v>709</v>
      </c>
      <c r="V619">
        <v>110</v>
      </c>
      <c r="W619" s="2">
        <v>0.22</v>
      </c>
      <c r="AK619" t="b">
        <v>1</v>
      </c>
      <c r="AX619"/>
      <c r="BA619" s="2"/>
      <c r="BB619" s="2" t="b">
        <f>LEN(_xlfn.CONCAT(Table1[[#This Row],[TRACK_TYPE_STANDARD_GAUGE_RAILTYPE_OHLE]:[TRACK_TYPE_MTRO]]))&gt;0</f>
        <v>1</v>
      </c>
      <c r="BC619" s="7">
        <v>25</v>
      </c>
      <c r="BD619" t="s">
        <v>931</v>
      </c>
      <c r="BE619" t="s">
        <v>922</v>
      </c>
      <c r="BF619" t="s">
        <v>940</v>
      </c>
      <c r="BG6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9">
        <v>0</v>
      </c>
      <c r="BI619" t="s">
        <v>734</v>
      </c>
      <c r="BJ619" s="11">
        <v>40</v>
      </c>
      <c r="BK619" s="11">
        <v>8</v>
      </c>
      <c r="BL619" s="11">
        <v>35</v>
      </c>
      <c r="BM619">
        <v>0</v>
      </c>
      <c r="BN619" t="s">
        <v>692</v>
      </c>
      <c r="BO619" t="s">
        <v>694</v>
      </c>
      <c r="BP619" t="s">
        <v>701</v>
      </c>
      <c r="BQ619" t="s">
        <v>705</v>
      </c>
      <c r="BR619" t="s">
        <v>706</v>
      </c>
      <c r="BS619" t="s">
        <v>707</v>
      </c>
    </row>
    <row r="620" spans="1:71" hidden="1" x14ac:dyDescent="0.4">
      <c r="A620" s="2" t="s">
        <v>644</v>
      </c>
      <c r="B620" t="str">
        <f>_xlfn.TEXTAFTER(Table1[[#This Row],[VEHIDCODE]],"_")</f>
        <v>Australia_Sydney_Trains_S_Set</v>
      </c>
      <c r="C620" t="s">
        <v>744</v>
      </c>
      <c r="D620" t="b">
        <f>OR(ISNUMBER(SEARCH("wagon_",Table1[[#This Row],[FILENAMES_EXPECTED]])),ISNUMBER(SEARCH("coach_",Table1[[#This Row],[FILENAMES_EXPECTED]])))</f>
        <v>0</v>
      </c>
      <c r="E620" t="str">
        <f>"item_"&amp;Table1[[#This Row],[VEHIDCODE]]</f>
        <v>item_emu_Australia_Sydney_Trains_S_Set</v>
      </c>
      <c r="F620" t="str">
        <f>"str_"&amp;Table1[[#This Row],[VEHIDCODE]]</f>
        <v>str_emu_Australia_Sydney_Trains_S_Set</v>
      </c>
      <c r="G620">
        <v>8</v>
      </c>
      <c r="H620" t="s">
        <v>18</v>
      </c>
      <c r="I620">
        <v>1</v>
      </c>
      <c r="J620" t="s">
        <v>74</v>
      </c>
      <c r="K620">
        <v>112</v>
      </c>
      <c r="L620">
        <v>1972</v>
      </c>
      <c r="M620">
        <v>8</v>
      </c>
      <c r="N620" s="2" t="s">
        <v>24</v>
      </c>
      <c r="O620" t="b">
        <v>1</v>
      </c>
      <c r="P620" t="b">
        <v>1</v>
      </c>
      <c r="Q620" s="2"/>
      <c r="R620">
        <v>45</v>
      </c>
      <c r="S620">
        <v>1</v>
      </c>
      <c r="T620">
        <v>800</v>
      </c>
      <c r="U620" t="s">
        <v>709</v>
      </c>
      <c r="V620">
        <v>115</v>
      </c>
      <c r="W620" s="2">
        <v>0.31</v>
      </c>
      <c r="AK620" t="b">
        <v>1</v>
      </c>
      <c r="AX620"/>
      <c r="BA620" s="2"/>
      <c r="BB620" s="2" t="b">
        <f>LEN(_xlfn.CONCAT(Table1[[#This Row],[TRACK_TYPE_STANDARD_GAUGE_RAILTYPE_OHLE]:[TRACK_TYPE_MTRO]]))&gt;0</f>
        <v>1</v>
      </c>
      <c r="BC620" s="7">
        <v>25</v>
      </c>
      <c r="BD620" t="s">
        <v>925</v>
      </c>
      <c r="BE620" t="s">
        <v>922</v>
      </c>
      <c r="BF620" t="s">
        <v>940</v>
      </c>
      <c r="BG6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0">
        <v>-3</v>
      </c>
      <c r="BI620" t="s">
        <v>734</v>
      </c>
      <c r="BJ620" s="11">
        <v>112</v>
      </c>
      <c r="BK620" s="11">
        <v>8</v>
      </c>
      <c r="BL620" s="11">
        <v>68</v>
      </c>
      <c r="BM620">
        <v>0</v>
      </c>
      <c r="BN620" t="s">
        <v>692</v>
      </c>
      <c r="BO620" t="s">
        <v>694</v>
      </c>
      <c r="BP620" t="s">
        <v>701</v>
      </c>
      <c r="BQ620" t="s">
        <v>705</v>
      </c>
      <c r="BR620" t="s">
        <v>706</v>
      </c>
      <c r="BS620" t="s">
        <v>707</v>
      </c>
    </row>
    <row r="621" spans="1:71" hidden="1" x14ac:dyDescent="0.4">
      <c r="A621" s="2" t="s">
        <v>645</v>
      </c>
      <c r="B621" t="str">
        <f>_xlfn.TEXTAFTER(Table1[[#This Row],[VEHIDCODE]],"_")</f>
        <v>Australia_Sydney_Trains_OSCars</v>
      </c>
      <c r="C621" t="s">
        <v>744</v>
      </c>
      <c r="D621" t="b">
        <f>OR(ISNUMBER(SEARCH("wagon_",Table1[[#This Row],[FILENAMES_EXPECTED]])),ISNUMBER(SEARCH("coach_",Table1[[#This Row],[FILENAMES_EXPECTED]])))</f>
        <v>0</v>
      </c>
      <c r="E621" t="str">
        <f>"item_"&amp;Table1[[#This Row],[VEHIDCODE]]</f>
        <v>item_emu_Australia_Sydney_Trains_OSCars</v>
      </c>
      <c r="F621" t="str">
        <f>"str_"&amp;Table1[[#This Row],[VEHIDCODE]]</f>
        <v>str_emu_Australia_Sydney_Trains_OSCars</v>
      </c>
      <c r="G621">
        <v>8</v>
      </c>
      <c r="H621" t="s">
        <v>18</v>
      </c>
      <c r="I621">
        <v>1</v>
      </c>
      <c r="J621" t="s">
        <v>74</v>
      </c>
      <c r="K621">
        <v>120</v>
      </c>
      <c r="L621">
        <v>2007</v>
      </c>
      <c r="M621">
        <v>8</v>
      </c>
      <c r="N621" s="2" t="s">
        <v>24</v>
      </c>
      <c r="O621" t="b">
        <v>1</v>
      </c>
      <c r="P621" t="b">
        <v>1</v>
      </c>
      <c r="Q621" s="2"/>
      <c r="R621" t="s">
        <v>21</v>
      </c>
      <c r="S621">
        <v>1</v>
      </c>
      <c r="T621">
        <v>950</v>
      </c>
      <c r="U621" t="s">
        <v>709</v>
      </c>
      <c r="V621">
        <v>130</v>
      </c>
      <c r="W621" s="2">
        <v>0.41</v>
      </c>
      <c r="AK621" t="b">
        <v>1</v>
      </c>
      <c r="AX621"/>
      <c r="BA621" s="2"/>
      <c r="BB621" s="2" t="b">
        <f>LEN(_xlfn.CONCAT(Table1[[#This Row],[TRACK_TYPE_STANDARD_GAUGE_RAILTYPE_OHLE]:[TRACK_TYPE_MTRO]]))&gt;0</f>
        <v>1</v>
      </c>
      <c r="BC621" s="7">
        <v>25</v>
      </c>
      <c r="BD621" t="s">
        <v>925</v>
      </c>
      <c r="BE621" t="s">
        <v>922</v>
      </c>
      <c r="BF621" t="s">
        <v>940</v>
      </c>
      <c r="BG6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1">
        <v>0</v>
      </c>
      <c r="BI621" t="s">
        <v>734</v>
      </c>
      <c r="BJ621" s="11">
        <v>120</v>
      </c>
      <c r="BK621" s="11">
        <v>8</v>
      </c>
      <c r="BL621" s="11">
        <v>47</v>
      </c>
      <c r="BM621">
        <v>0</v>
      </c>
      <c r="BN621" t="s">
        <v>692</v>
      </c>
      <c r="BO621" t="s">
        <v>694</v>
      </c>
      <c r="BP621" t="s">
        <v>701</v>
      </c>
      <c r="BQ621" t="s">
        <v>705</v>
      </c>
      <c r="BR621" t="s">
        <v>706</v>
      </c>
      <c r="BS621" t="s">
        <v>707</v>
      </c>
    </row>
    <row r="622" spans="1:71" hidden="1" x14ac:dyDescent="0.4">
      <c r="A622" s="2" t="s">
        <v>646</v>
      </c>
      <c r="B622" t="str">
        <f>_xlfn.TEXTAFTER(Table1[[#This Row],[VEHIDCODE]],"_")</f>
        <v>Australia_Victorian_Railways_Swing_Door</v>
      </c>
      <c r="C622" t="s">
        <v>744</v>
      </c>
      <c r="D622" t="b">
        <f>OR(ISNUMBER(SEARCH("wagon_",Table1[[#This Row],[FILENAMES_EXPECTED]])),ISNUMBER(SEARCH("coach_",Table1[[#This Row],[FILENAMES_EXPECTED]])))</f>
        <v>0</v>
      </c>
      <c r="E622" t="str">
        <f>"item_"&amp;Table1[[#This Row],[VEHIDCODE]]</f>
        <v>item_emu_Australia_Victorian_Railways_Swing_Door</v>
      </c>
      <c r="F622" t="str">
        <f>"str_"&amp;Table1[[#This Row],[VEHIDCODE]]</f>
        <v>str_emu_Australia_Victorian_Railways_Swing_Door</v>
      </c>
      <c r="G622">
        <v>8</v>
      </c>
      <c r="H622" t="s">
        <v>18</v>
      </c>
      <c r="I622">
        <v>1</v>
      </c>
      <c r="J622" t="s">
        <v>74</v>
      </c>
      <c r="K622">
        <v>48</v>
      </c>
      <c r="L622">
        <v>1917</v>
      </c>
      <c r="M622">
        <v>8</v>
      </c>
      <c r="N622" s="2" t="s">
        <v>24</v>
      </c>
      <c r="O622" t="b">
        <v>1</v>
      </c>
      <c r="P622" t="b">
        <v>1</v>
      </c>
      <c r="Q622" s="2"/>
      <c r="R622">
        <v>45</v>
      </c>
      <c r="S622">
        <v>1</v>
      </c>
      <c r="T622">
        <v>280</v>
      </c>
      <c r="U622" t="s">
        <v>709</v>
      </c>
      <c r="V622">
        <v>83</v>
      </c>
      <c r="W622" s="2">
        <v>0.16</v>
      </c>
      <c r="AK622" t="b">
        <v>1</v>
      </c>
      <c r="AX622"/>
      <c r="BA622" s="2"/>
      <c r="BB622" s="2" t="b">
        <f>LEN(_xlfn.CONCAT(Table1[[#This Row],[TRACK_TYPE_STANDARD_GAUGE_RAILTYPE_OHLE]:[TRACK_TYPE_MTRO]]))&gt;0</f>
        <v>1</v>
      </c>
      <c r="BC622" s="7">
        <v>25</v>
      </c>
      <c r="BD622" t="s">
        <v>925</v>
      </c>
      <c r="BE622" t="s">
        <v>922</v>
      </c>
      <c r="BF622" t="s">
        <v>940</v>
      </c>
      <c r="BG6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2">
        <v>0</v>
      </c>
      <c r="BI622" t="s">
        <v>734</v>
      </c>
      <c r="BJ622" s="11">
        <v>48</v>
      </c>
      <c r="BK622" s="11">
        <v>8</v>
      </c>
      <c r="BL622" s="11">
        <v>55</v>
      </c>
      <c r="BM622">
        <v>0</v>
      </c>
      <c r="BN622" t="s">
        <v>692</v>
      </c>
      <c r="BO622" t="s">
        <v>694</v>
      </c>
      <c r="BP622" t="s">
        <v>701</v>
      </c>
      <c r="BQ622" t="s">
        <v>705</v>
      </c>
      <c r="BR622" t="s">
        <v>706</v>
      </c>
      <c r="BS622" t="s">
        <v>707</v>
      </c>
    </row>
    <row r="623" spans="1:71" hidden="1" x14ac:dyDescent="0.4">
      <c r="A623" s="2" t="s">
        <v>647</v>
      </c>
      <c r="B623" t="str">
        <f>_xlfn.TEXTAFTER(Table1[[#This Row],[VEHIDCODE]],"_")</f>
        <v>New_Zealand_NZR_EM_ET_Class</v>
      </c>
      <c r="C623" t="s">
        <v>744</v>
      </c>
      <c r="D623" t="b">
        <f>OR(ISNUMBER(SEARCH("wagon_",Table1[[#This Row],[FILENAMES_EXPECTED]])),ISNUMBER(SEARCH("coach_",Table1[[#This Row],[FILENAMES_EXPECTED]])))</f>
        <v>0</v>
      </c>
      <c r="E623" t="str">
        <f>"item_"&amp;Table1[[#This Row],[VEHIDCODE]]</f>
        <v>item_emu_New_Zealand_NZR_EM_ET_Class</v>
      </c>
      <c r="F623" t="str">
        <f>"str_"&amp;Table1[[#This Row],[VEHIDCODE]]</f>
        <v>str_emu_New_Zealand_NZR_EM_ET_Class</v>
      </c>
      <c r="G623">
        <v>8</v>
      </c>
      <c r="H623" t="s">
        <v>18</v>
      </c>
      <c r="I623">
        <v>1</v>
      </c>
      <c r="J623" t="s">
        <v>74</v>
      </c>
      <c r="K623">
        <v>74</v>
      </c>
      <c r="L623">
        <v>1979</v>
      </c>
      <c r="M623">
        <v>8</v>
      </c>
      <c r="N623" s="2" t="s">
        <v>24</v>
      </c>
      <c r="O623" t="b">
        <v>1</v>
      </c>
      <c r="P623" t="b">
        <v>1</v>
      </c>
      <c r="Q623" s="2"/>
      <c r="R623">
        <v>45</v>
      </c>
      <c r="S623">
        <v>1</v>
      </c>
      <c r="T623">
        <v>540</v>
      </c>
      <c r="U623" t="s">
        <v>709</v>
      </c>
      <c r="V623">
        <v>110</v>
      </c>
      <c r="W623" s="2">
        <v>0.26</v>
      </c>
      <c r="AK623" t="b">
        <v>1</v>
      </c>
      <c r="AX623"/>
      <c r="BA623" s="2"/>
      <c r="BB623" s="2" t="b">
        <f>LEN(_xlfn.CONCAT(Table1[[#This Row],[TRACK_TYPE_STANDARD_GAUGE_RAILTYPE_OHLE]:[TRACK_TYPE_MTRO]]))&gt;0</f>
        <v>1</v>
      </c>
      <c r="BC623" s="7">
        <v>25</v>
      </c>
      <c r="BD623" t="s">
        <v>925</v>
      </c>
      <c r="BE623" t="s">
        <v>922</v>
      </c>
      <c r="BF623" t="s">
        <v>940</v>
      </c>
      <c r="BG6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3">
        <v>0</v>
      </c>
      <c r="BI623" t="s">
        <v>734</v>
      </c>
      <c r="BJ623" s="11">
        <v>74</v>
      </c>
      <c r="BK623" s="11">
        <v>8</v>
      </c>
      <c r="BL623" s="11">
        <v>37</v>
      </c>
      <c r="BM623">
        <v>0</v>
      </c>
      <c r="BN623" t="s">
        <v>692</v>
      </c>
      <c r="BO623" t="s">
        <v>694</v>
      </c>
      <c r="BP623" t="s">
        <v>701</v>
      </c>
      <c r="BQ623" t="s">
        <v>705</v>
      </c>
      <c r="BR623" t="s">
        <v>706</v>
      </c>
      <c r="BS623" t="s">
        <v>707</v>
      </c>
    </row>
    <row r="624" spans="1:71" hidden="1" x14ac:dyDescent="0.4">
      <c r="A624" s="2" t="s">
        <v>648</v>
      </c>
      <c r="B624" t="str">
        <f>_xlfn.TEXTAFTER(Table1[[#This Row],[VEHIDCODE]],"_")</f>
        <v>South_Africa_SAR_5M2</v>
      </c>
      <c r="C624" t="s">
        <v>744</v>
      </c>
      <c r="D624" t="b">
        <f>OR(ISNUMBER(SEARCH("wagon_",Table1[[#This Row],[FILENAMES_EXPECTED]])),ISNUMBER(SEARCH("coach_",Table1[[#This Row],[FILENAMES_EXPECTED]])))</f>
        <v>0</v>
      </c>
      <c r="E624" t="str">
        <f>"item_"&amp;Table1[[#This Row],[VEHIDCODE]]</f>
        <v>item_emu_South_Africa_SAR_5M2</v>
      </c>
      <c r="F624" t="str">
        <f>"str_"&amp;Table1[[#This Row],[VEHIDCODE]]</f>
        <v>str_emu_South_Africa_SAR_5M2</v>
      </c>
      <c r="G624">
        <v>7</v>
      </c>
      <c r="H624" t="s">
        <v>18</v>
      </c>
      <c r="I624">
        <v>1</v>
      </c>
      <c r="J624" t="s">
        <v>74</v>
      </c>
      <c r="K624">
        <v>52</v>
      </c>
      <c r="L624">
        <v>1954</v>
      </c>
      <c r="M624">
        <v>7</v>
      </c>
      <c r="N624" s="2" t="s">
        <v>24</v>
      </c>
      <c r="O624" t="b">
        <v>1</v>
      </c>
      <c r="P624" t="b">
        <v>1</v>
      </c>
      <c r="Q624" s="2"/>
      <c r="R624">
        <v>45</v>
      </c>
      <c r="S624">
        <v>1</v>
      </c>
      <c r="T624">
        <v>1240</v>
      </c>
      <c r="U624" t="s">
        <v>709</v>
      </c>
      <c r="V624">
        <v>100</v>
      </c>
      <c r="W624" s="2">
        <v>0.26</v>
      </c>
      <c r="AJ624" t="b">
        <v>1</v>
      </c>
      <c r="AX624"/>
      <c r="BA624" s="2"/>
      <c r="BB624" s="2" t="b">
        <f>LEN(_xlfn.CONCAT(Table1[[#This Row],[TRACK_TYPE_STANDARD_GAUGE_RAILTYPE_OHLE]:[TRACK_TYPE_MTRO]]))&gt;0</f>
        <v>1</v>
      </c>
      <c r="BC624" s="7">
        <v>25</v>
      </c>
      <c r="BD624" t="s">
        <v>926</v>
      </c>
      <c r="BE624" t="s">
        <v>922</v>
      </c>
      <c r="BF624" t="s">
        <v>940</v>
      </c>
      <c r="BG6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4">
        <v>0</v>
      </c>
      <c r="BI624" t="s">
        <v>734</v>
      </c>
      <c r="BJ624" s="11">
        <v>52</v>
      </c>
      <c r="BK624" s="11">
        <v>7</v>
      </c>
      <c r="BL624" s="11">
        <v>60</v>
      </c>
      <c r="BM624">
        <v>0</v>
      </c>
      <c r="BN624" t="s">
        <v>692</v>
      </c>
      <c r="BO624" t="s">
        <v>694</v>
      </c>
      <c r="BP624" t="s">
        <v>701</v>
      </c>
      <c r="BQ624" t="s">
        <v>705</v>
      </c>
      <c r="BR624" t="s">
        <v>706</v>
      </c>
      <c r="BS624" t="s">
        <v>707</v>
      </c>
    </row>
    <row r="625" spans="1:71" hidden="1" x14ac:dyDescent="0.4">
      <c r="A625" s="2" t="s">
        <v>649</v>
      </c>
      <c r="B625" t="str">
        <f>_xlfn.TEXTAFTER(Table1[[#This Row],[VEHIDCODE]],"_")</f>
        <v>Chile_EFE_XTrapolis_100</v>
      </c>
      <c r="C625" t="s">
        <v>744</v>
      </c>
      <c r="D625" t="b">
        <f>OR(ISNUMBER(SEARCH("wagon_",Table1[[#This Row],[FILENAMES_EXPECTED]])),ISNUMBER(SEARCH("coach_",Table1[[#This Row],[FILENAMES_EXPECTED]])))</f>
        <v>0</v>
      </c>
      <c r="E625" t="str">
        <f>"item_"&amp;Table1[[#This Row],[VEHIDCODE]]</f>
        <v>item_emu_Chile_EFE_XTrapolis_100</v>
      </c>
      <c r="F625" t="str">
        <f>"str_"&amp;Table1[[#This Row],[VEHIDCODE]]</f>
        <v>str_emu_Chile_EFE_XTrapolis_100</v>
      </c>
      <c r="G625">
        <v>8</v>
      </c>
      <c r="H625" t="s">
        <v>18</v>
      </c>
      <c r="I625">
        <v>1</v>
      </c>
      <c r="J625" t="s">
        <v>74</v>
      </c>
      <c r="K625">
        <v>72</v>
      </c>
      <c r="L625">
        <v>2005</v>
      </c>
      <c r="M625">
        <v>8</v>
      </c>
      <c r="N625" s="2" t="s">
        <v>24</v>
      </c>
      <c r="O625" t="b">
        <v>1</v>
      </c>
      <c r="P625" t="b">
        <v>1</v>
      </c>
      <c r="Q625" s="2"/>
      <c r="R625" t="s">
        <v>21</v>
      </c>
      <c r="S625">
        <v>1</v>
      </c>
      <c r="T625">
        <v>720</v>
      </c>
      <c r="U625" t="s">
        <v>709</v>
      </c>
      <c r="V625">
        <v>143</v>
      </c>
      <c r="W625" s="2">
        <v>0.28999999999999998</v>
      </c>
      <c r="AX625" t="b">
        <v>1</v>
      </c>
      <c r="BA625" s="2"/>
      <c r="BB625" s="2" t="b">
        <f>LEN(_xlfn.CONCAT(Table1[[#This Row],[TRACK_TYPE_STANDARD_GAUGE_RAILTYPE_OHLE]:[TRACK_TYPE_MTRO]]))&gt;0</f>
        <v>1</v>
      </c>
      <c r="BC625" s="7">
        <v>40</v>
      </c>
      <c r="BD625" t="s">
        <v>930</v>
      </c>
      <c r="BE625" t="s">
        <v>922</v>
      </c>
      <c r="BF625" t="s">
        <v>940</v>
      </c>
      <c r="BG6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5">
        <v>0</v>
      </c>
      <c r="BI625" t="s">
        <v>734</v>
      </c>
      <c r="BJ625" s="11">
        <v>96</v>
      </c>
      <c r="BK625" s="11">
        <v>8</v>
      </c>
      <c r="BL625" s="11">
        <v>43</v>
      </c>
      <c r="BM625">
        <v>0</v>
      </c>
      <c r="BN625" t="s">
        <v>692</v>
      </c>
      <c r="BO625" t="s">
        <v>694</v>
      </c>
      <c r="BP625" t="s">
        <v>701</v>
      </c>
      <c r="BQ625" t="s">
        <v>705</v>
      </c>
      <c r="BR625" t="s">
        <v>706</v>
      </c>
      <c r="BS625" t="s">
        <v>707</v>
      </c>
    </row>
    <row r="626" spans="1:71" hidden="1" x14ac:dyDescent="0.4">
      <c r="A626" s="2" t="s">
        <v>650</v>
      </c>
      <c r="B626" t="str">
        <f>_xlfn.TEXTAFTER(Table1[[#This Row],[VEHIDCODE]],"_")</f>
        <v>Chile_EFE_AES_Railcar</v>
      </c>
      <c r="C626" t="s">
        <v>744</v>
      </c>
      <c r="D626" t="b">
        <f>OR(ISNUMBER(SEARCH("wagon_",Table1[[#This Row],[FILENAMES_EXPECTED]])),ISNUMBER(SEARCH("coach_",Table1[[#This Row],[FILENAMES_EXPECTED]])))</f>
        <v>0</v>
      </c>
      <c r="E626" t="str">
        <f>"item_"&amp;Table1[[#This Row],[VEHIDCODE]]</f>
        <v>item_emu_Chile_EFE_AES_Railcar</v>
      </c>
      <c r="F626" t="str">
        <f>"str_"&amp;Table1[[#This Row],[VEHIDCODE]]</f>
        <v>str_emu_Chile_EFE_AES_Railcar</v>
      </c>
      <c r="G626">
        <v>7</v>
      </c>
      <c r="H626" t="s">
        <v>18</v>
      </c>
      <c r="I626">
        <v>1</v>
      </c>
      <c r="J626" t="s">
        <v>74</v>
      </c>
      <c r="K626">
        <v>88</v>
      </c>
      <c r="L626">
        <v>1976</v>
      </c>
      <c r="M626">
        <v>7</v>
      </c>
      <c r="N626" s="2" t="s">
        <v>24</v>
      </c>
      <c r="O626" t="b">
        <v>1</v>
      </c>
      <c r="P626" t="b">
        <v>1</v>
      </c>
      <c r="Q626" s="2"/>
      <c r="R626">
        <v>45</v>
      </c>
      <c r="S626">
        <v>1</v>
      </c>
      <c r="T626">
        <v>1500</v>
      </c>
      <c r="U626" t="s">
        <v>709</v>
      </c>
      <c r="V626">
        <v>130</v>
      </c>
      <c r="W626" s="2">
        <v>0.21</v>
      </c>
      <c r="AS626" t="b">
        <v>1</v>
      </c>
      <c r="AX626"/>
      <c r="BA626" s="2"/>
      <c r="BB626" s="2" t="b">
        <f>LEN(_xlfn.CONCAT(Table1[[#This Row],[TRACK_TYPE_STANDARD_GAUGE_RAILTYPE_OHLE]:[TRACK_TYPE_MTRO]]))&gt;0</f>
        <v>1</v>
      </c>
      <c r="BC626" s="7">
        <v>40</v>
      </c>
      <c r="BD626" t="s">
        <v>930</v>
      </c>
      <c r="BE626" t="s">
        <v>922</v>
      </c>
      <c r="BF626" t="s">
        <v>940</v>
      </c>
      <c r="BG6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6">
        <v>0</v>
      </c>
      <c r="BI626" t="s">
        <v>734</v>
      </c>
      <c r="BJ626" s="11">
        <v>92</v>
      </c>
      <c r="BK626" s="11">
        <v>7</v>
      </c>
      <c r="BL626" s="11">
        <v>61</v>
      </c>
      <c r="BM626">
        <v>0</v>
      </c>
      <c r="BN626" t="s">
        <v>692</v>
      </c>
      <c r="BO626" t="s">
        <v>694</v>
      </c>
      <c r="BP626" t="s">
        <v>701</v>
      </c>
      <c r="BQ626" t="s">
        <v>705</v>
      </c>
      <c r="BR626" t="s">
        <v>706</v>
      </c>
      <c r="BS626" t="s">
        <v>707</v>
      </c>
    </row>
    <row r="627" spans="1:71" hidden="1" x14ac:dyDescent="0.4">
      <c r="A627" s="2" t="s">
        <v>651</v>
      </c>
      <c r="B627" t="str">
        <f>_xlfn.TEXTAFTER(Table1[[#This Row],[VEHIDCODE]],"_")</f>
        <v>Tunisia_SNCFT_YZ_E</v>
      </c>
      <c r="C627" t="s">
        <v>744</v>
      </c>
      <c r="D627" t="b">
        <f>OR(ISNUMBER(SEARCH("wagon_",Table1[[#This Row],[FILENAMES_EXPECTED]])),ISNUMBER(SEARCH("coach_",Table1[[#This Row],[FILENAMES_EXPECTED]])))</f>
        <v>0</v>
      </c>
      <c r="E627" t="str">
        <f>"item_"&amp;Table1[[#This Row],[VEHIDCODE]]</f>
        <v>item_emu_Tunisia_SNCFT_YZ_E</v>
      </c>
      <c r="F627" t="str">
        <f>"str_"&amp;Table1[[#This Row],[VEHIDCODE]]</f>
        <v>str_emu_Tunisia_SNCFT_YZ_E</v>
      </c>
      <c r="G627">
        <v>8</v>
      </c>
      <c r="H627" t="s">
        <v>18</v>
      </c>
      <c r="I627">
        <v>1</v>
      </c>
      <c r="J627" t="s">
        <v>74</v>
      </c>
      <c r="K627">
        <v>48</v>
      </c>
      <c r="L627">
        <v>1984</v>
      </c>
      <c r="M627">
        <v>8</v>
      </c>
      <c r="N627" s="2" t="s">
        <v>24</v>
      </c>
      <c r="O627" t="b">
        <v>1</v>
      </c>
      <c r="P627" t="b">
        <v>1</v>
      </c>
      <c r="Q627" s="2"/>
      <c r="R627">
        <v>45</v>
      </c>
      <c r="S627">
        <v>1</v>
      </c>
      <c r="T627">
        <v>2340</v>
      </c>
      <c r="U627" t="s">
        <v>709</v>
      </c>
      <c r="V627">
        <v>110</v>
      </c>
      <c r="W627" s="2">
        <v>0.2</v>
      </c>
      <c r="AH627" t="b">
        <v>1</v>
      </c>
      <c r="AX627"/>
      <c r="BA627" s="2"/>
      <c r="BB627" s="2" t="b">
        <f>LEN(_xlfn.CONCAT(Table1[[#This Row],[TRACK_TYPE_STANDARD_GAUGE_RAILTYPE_OHLE]:[TRACK_TYPE_MTRO]]))&gt;0</f>
        <v>1</v>
      </c>
      <c r="BC627" s="7">
        <v>40</v>
      </c>
      <c r="BD627" t="s">
        <v>926</v>
      </c>
      <c r="BE627" t="s">
        <v>922</v>
      </c>
      <c r="BF627" t="s">
        <v>940</v>
      </c>
      <c r="BG6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7">
        <v>0</v>
      </c>
      <c r="BI627" t="s">
        <v>734</v>
      </c>
      <c r="BJ627" s="11">
        <v>54</v>
      </c>
      <c r="BK627" s="11">
        <v>8</v>
      </c>
      <c r="BL627" s="11">
        <v>50</v>
      </c>
      <c r="BM627">
        <v>0</v>
      </c>
      <c r="BN627" t="s">
        <v>692</v>
      </c>
      <c r="BO627" t="s">
        <v>694</v>
      </c>
      <c r="BP627" t="s">
        <v>701</v>
      </c>
      <c r="BQ627" t="s">
        <v>705</v>
      </c>
      <c r="BR627" t="s">
        <v>706</v>
      </c>
      <c r="BS627" t="s">
        <v>707</v>
      </c>
    </row>
    <row r="628" spans="1:71" hidden="1" x14ac:dyDescent="0.4">
      <c r="A628" s="2" t="s">
        <v>652</v>
      </c>
      <c r="B628" t="str">
        <f>_xlfn.TEXTAFTER(Table1[[#This Row],[VEHIDCODE]],"_")</f>
        <v>Australia_Queensland_Rail_Tilt_Train</v>
      </c>
      <c r="C628" t="s">
        <v>744</v>
      </c>
      <c r="D628" t="b">
        <f>OR(ISNUMBER(SEARCH("wagon_",Table1[[#This Row],[FILENAMES_EXPECTED]])),ISNUMBER(SEARCH("coach_",Table1[[#This Row],[FILENAMES_EXPECTED]])))</f>
        <v>0</v>
      </c>
      <c r="E628" t="str">
        <f>"item_"&amp;Table1[[#This Row],[VEHIDCODE]]</f>
        <v>item_emu_Australia_Queensland_Rail_Tilt_Train</v>
      </c>
      <c r="F628" t="str">
        <f>"str_"&amp;Table1[[#This Row],[VEHIDCODE]]</f>
        <v>str_emu_Australia_Queensland_Rail_Tilt_Train</v>
      </c>
      <c r="G628">
        <v>8</v>
      </c>
      <c r="H628" t="s">
        <v>18</v>
      </c>
      <c r="I628">
        <v>1</v>
      </c>
      <c r="J628" t="s">
        <v>74</v>
      </c>
      <c r="K628">
        <v>56</v>
      </c>
      <c r="L628">
        <v>1997</v>
      </c>
      <c r="M628">
        <v>8</v>
      </c>
      <c r="N628" s="2" t="s">
        <v>24</v>
      </c>
      <c r="O628" t="b">
        <v>1</v>
      </c>
      <c r="P628" t="b">
        <v>1</v>
      </c>
      <c r="Q628" s="2"/>
      <c r="R628">
        <v>45</v>
      </c>
      <c r="S628">
        <v>1</v>
      </c>
      <c r="T628">
        <v>910</v>
      </c>
      <c r="U628" t="s">
        <v>709</v>
      </c>
      <c r="V628">
        <v>160</v>
      </c>
      <c r="W628" s="2">
        <v>0.33</v>
      </c>
      <c r="AH628" t="b">
        <v>1</v>
      </c>
      <c r="AX628"/>
      <c r="BA628" s="2"/>
      <c r="BB628" s="2" t="b">
        <f>LEN(_xlfn.CONCAT(Table1[[#This Row],[TRACK_TYPE_STANDARD_GAUGE_RAILTYPE_OHLE]:[TRACK_TYPE_MTRO]]))&gt;0</f>
        <v>1</v>
      </c>
      <c r="BC628" s="7">
        <v>40</v>
      </c>
      <c r="BD628" t="s">
        <v>925</v>
      </c>
      <c r="BE628" t="s">
        <v>922</v>
      </c>
      <c r="BF628" t="s">
        <v>940</v>
      </c>
      <c r="BG6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8">
        <v>0</v>
      </c>
      <c r="BI628" t="s">
        <v>734</v>
      </c>
      <c r="BJ628" s="11">
        <v>56</v>
      </c>
      <c r="BK628" s="11">
        <v>8</v>
      </c>
      <c r="BL628" s="11">
        <v>47</v>
      </c>
      <c r="BM628">
        <v>0</v>
      </c>
      <c r="BN628" t="s">
        <v>692</v>
      </c>
      <c r="BO628" t="s">
        <v>694</v>
      </c>
      <c r="BP628" t="s">
        <v>701</v>
      </c>
      <c r="BQ628" t="s">
        <v>705</v>
      </c>
      <c r="BR628" t="s">
        <v>706</v>
      </c>
      <c r="BS628" t="s">
        <v>707</v>
      </c>
    </row>
    <row r="629" spans="1:71" hidden="1" x14ac:dyDescent="0.4">
      <c r="A629" s="2" t="s">
        <v>653</v>
      </c>
      <c r="B629" t="str">
        <f>_xlfn.TEXTAFTER(Table1[[#This Row],[VEHIDCODE]],"_")</f>
        <v>Russia_RZD_VL15</v>
      </c>
      <c r="C629" t="s">
        <v>741</v>
      </c>
      <c r="D629" t="b">
        <f>OR(ISNUMBER(SEARCH("wagon_",Table1[[#This Row],[FILENAMES_EXPECTED]])),ISNUMBER(SEARCH("coach_",Table1[[#This Row],[FILENAMES_EXPECTED]])))</f>
        <v>0</v>
      </c>
      <c r="E629" t="str">
        <f>"item_"&amp;Table1[[#This Row],[VEHIDCODE]]</f>
        <v>item_electric_Russia_RZD_VL15</v>
      </c>
      <c r="F629" t="str">
        <f>"str_"&amp;Table1[[#This Row],[VEHIDCODE]]</f>
        <v>str_electric_Russia_RZD_VL15</v>
      </c>
      <c r="G629">
        <v>16</v>
      </c>
      <c r="H629" t="s">
        <v>20</v>
      </c>
      <c r="I629">
        <v>0</v>
      </c>
      <c r="J629" t="s">
        <v>74</v>
      </c>
      <c r="K629">
        <v>0</v>
      </c>
      <c r="L629">
        <v>1984</v>
      </c>
      <c r="M629">
        <v>8</v>
      </c>
      <c r="N629" s="2" t="s">
        <v>20</v>
      </c>
      <c r="O629" t="b">
        <v>1</v>
      </c>
      <c r="Q629" s="2"/>
      <c r="R629">
        <v>45</v>
      </c>
      <c r="S629">
        <v>1</v>
      </c>
      <c r="T629">
        <v>8400</v>
      </c>
      <c r="U629" t="s">
        <v>709</v>
      </c>
      <c r="V629">
        <v>100</v>
      </c>
      <c r="W629" s="2">
        <v>0.23</v>
      </c>
      <c r="AS629" t="b">
        <v>1</v>
      </c>
      <c r="AX629"/>
      <c r="BA629" s="2"/>
      <c r="BB629" s="2" t="b">
        <f>LEN(_xlfn.CONCAT(Table1[[#This Row],[TRACK_TYPE_STANDARD_GAUGE_RAILTYPE_OHLE]:[TRACK_TYPE_MTRO]]))&gt;0</f>
        <v>1</v>
      </c>
      <c r="BC629" s="7">
        <v>40</v>
      </c>
      <c r="BD629" t="s">
        <v>931</v>
      </c>
      <c r="BE629" t="s">
        <v>922</v>
      </c>
      <c r="BF629" t="s">
        <v>940</v>
      </c>
      <c r="BG6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9">
        <v>0</v>
      </c>
      <c r="BI629" t="s">
        <v>734</v>
      </c>
      <c r="BK629" s="11"/>
      <c r="BL629" s="11">
        <v>150</v>
      </c>
      <c r="BM629">
        <v>0</v>
      </c>
      <c r="BN629" t="s">
        <v>692</v>
      </c>
      <c r="BO629" t="s">
        <v>694</v>
      </c>
      <c r="BP629" t="s">
        <v>701</v>
      </c>
      <c r="BQ629" t="s">
        <v>705</v>
      </c>
      <c r="BR629" t="s">
        <v>706</v>
      </c>
      <c r="BS629" t="s">
        <v>707</v>
      </c>
    </row>
    <row r="630" spans="1:71" hidden="1" x14ac:dyDescent="0.4">
      <c r="A630" s="2" t="s">
        <v>654</v>
      </c>
      <c r="B630" t="str">
        <f>_xlfn.TEXTAFTER(Table1[[#This Row],[VEHIDCODE]],"_")</f>
        <v>Russia_RZD_VL11</v>
      </c>
      <c r="C630" t="s">
        <v>741</v>
      </c>
      <c r="D630" t="b">
        <f>OR(ISNUMBER(SEARCH("wagon_",Table1[[#This Row],[FILENAMES_EXPECTED]])),ISNUMBER(SEARCH("coach_",Table1[[#This Row],[FILENAMES_EXPECTED]])))</f>
        <v>0</v>
      </c>
      <c r="E630" t="str">
        <f>"item_"&amp;Table1[[#This Row],[VEHIDCODE]]</f>
        <v>item_electric_Russia_RZD_VL11</v>
      </c>
      <c r="F630" t="str">
        <f>"str_"&amp;Table1[[#This Row],[VEHIDCODE]]</f>
        <v>str_electric_Russia_RZD_VL11</v>
      </c>
      <c r="G630">
        <v>16</v>
      </c>
      <c r="H630" t="s">
        <v>20</v>
      </c>
      <c r="I630">
        <v>0</v>
      </c>
      <c r="J630" t="s">
        <v>74</v>
      </c>
      <c r="K630">
        <v>0</v>
      </c>
      <c r="L630">
        <v>1974</v>
      </c>
      <c r="M630">
        <v>8</v>
      </c>
      <c r="N630" s="2" t="s">
        <v>20</v>
      </c>
      <c r="O630" t="b">
        <v>1</v>
      </c>
      <c r="Q630" s="2"/>
      <c r="R630">
        <v>45</v>
      </c>
      <c r="S630">
        <v>1</v>
      </c>
      <c r="T630">
        <v>7190</v>
      </c>
      <c r="U630" t="s">
        <v>709</v>
      </c>
      <c r="V630">
        <v>100</v>
      </c>
      <c r="W630" s="2">
        <v>0.33</v>
      </c>
      <c r="AS630" t="b">
        <v>1</v>
      </c>
      <c r="AX630"/>
      <c r="BA630" s="2"/>
      <c r="BB630" s="2" t="b">
        <f>LEN(_xlfn.CONCAT(Table1[[#This Row],[TRACK_TYPE_STANDARD_GAUGE_RAILTYPE_OHLE]:[TRACK_TYPE_MTRO]]))&gt;0</f>
        <v>1</v>
      </c>
      <c r="BC630" s="7">
        <v>40</v>
      </c>
      <c r="BD630" t="s">
        <v>931</v>
      </c>
      <c r="BE630" t="s">
        <v>922</v>
      </c>
      <c r="BF630" t="s">
        <v>940</v>
      </c>
      <c r="BG6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0">
        <v>0</v>
      </c>
      <c r="BI630" t="s">
        <v>734</v>
      </c>
      <c r="BK630" s="11"/>
      <c r="BL630" s="11">
        <v>184</v>
      </c>
      <c r="BM630">
        <v>0</v>
      </c>
      <c r="BN630" t="s">
        <v>692</v>
      </c>
      <c r="BO630" t="s">
        <v>694</v>
      </c>
      <c r="BP630" t="s">
        <v>701</v>
      </c>
      <c r="BQ630" t="s">
        <v>705</v>
      </c>
      <c r="BR630" t="s">
        <v>706</v>
      </c>
      <c r="BS630" t="s">
        <v>707</v>
      </c>
    </row>
    <row r="631" spans="1:71" hidden="1" x14ac:dyDescent="0.4">
      <c r="A631" s="2" t="s">
        <v>655</v>
      </c>
      <c r="B631" t="str">
        <f>_xlfn.TEXTAFTER(Table1[[#This Row],[VEHIDCODE]],"_")</f>
        <v>Russia_RZD_VL22M</v>
      </c>
      <c r="C631" t="s">
        <v>741</v>
      </c>
      <c r="D631" t="b">
        <f>OR(ISNUMBER(SEARCH("wagon_",Table1[[#This Row],[FILENAMES_EXPECTED]])),ISNUMBER(SEARCH("coach_",Table1[[#This Row],[FILENAMES_EXPECTED]])))</f>
        <v>0</v>
      </c>
      <c r="E631" t="str">
        <f>"item_"&amp;Table1[[#This Row],[VEHIDCODE]]</f>
        <v>item_electric_Russia_RZD_VL22M</v>
      </c>
      <c r="F631" t="str">
        <f>"str_"&amp;Table1[[#This Row],[VEHIDCODE]]</f>
        <v>str_electric_Russia_RZD_VL22M</v>
      </c>
      <c r="G631">
        <v>8</v>
      </c>
      <c r="H631" t="s">
        <v>20</v>
      </c>
      <c r="I631">
        <v>0</v>
      </c>
      <c r="J631" t="s">
        <v>74</v>
      </c>
      <c r="K631">
        <v>0</v>
      </c>
      <c r="L631">
        <v>1945</v>
      </c>
      <c r="M631">
        <v>8</v>
      </c>
      <c r="N631" s="2" t="s">
        <v>20</v>
      </c>
      <c r="O631" t="b">
        <v>1</v>
      </c>
      <c r="Q631" s="2"/>
      <c r="R631">
        <v>45</v>
      </c>
      <c r="S631">
        <v>1</v>
      </c>
      <c r="T631">
        <v>3220</v>
      </c>
      <c r="U631" t="s">
        <v>709</v>
      </c>
      <c r="V631">
        <v>100</v>
      </c>
      <c r="W631" s="2">
        <v>0.39</v>
      </c>
      <c r="AS631" t="b">
        <v>1</v>
      </c>
      <c r="AX631"/>
      <c r="BA631" s="2"/>
      <c r="BB631" s="2" t="b">
        <f>LEN(_xlfn.CONCAT(Table1[[#This Row],[TRACK_TYPE_STANDARD_GAUGE_RAILTYPE_OHLE]:[TRACK_TYPE_MTRO]]))&gt;0</f>
        <v>1</v>
      </c>
      <c r="BC631" s="7">
        <v>40</v>
      </c>
      <c r="BD631" t="s">
        <v>931</v>
      </c>
      <c r="BE631" t="s">
        <v>922</v>
      </c>
      <c r="BF631" t="s">
        <v>940</v>
      </c>
      <c r="BG6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1">
        <v>-3</v>
      </c>
      <c r="BI631" t="s">
        <v>734</v>
      </c>
      <c r="BK631" s="11"/>
      <c r="BL631" s="11">
        <v>98</v>
      </c>
      <c r="BM631">
        <v>0</v>
      </c>
      <c r="BN631" t="s">
        <v>692</v>
      </c>
      <c r="BO631" t="s">
        <v>694</v>
      </c>
      <c r="BP631" t="s">
        <v>701</v>
      </c>
      <c r="BQ631" t="s">
        <v>705</v>
      </c>
      <c r="BR631" t="s">
        <v>706</v>
      </c>
      <c r="BS631" t="s">
        <v>707</v>
      </c>
    </row>
    <row r="632" spans="1:71" hidden="1" x14ac:dyDescent="0.4">
      <c r="A632" s="2" t="s">
        <v>656</v>
      </c>
      <c r="B632" t="str">
        <f>_xlfn.TEXTAFTER(Table1[[#This Row],[VEHIDCODE]],"_")</f>
        <v>Ukraine_UZ_DE1</v>
      </c>
      <c r="C632" t="s">
        <v>741</v>
      </c>
      <c r="D632" t="b">
        <f>OR(ISNUMBER(SEARCH("wagon_",Table1[[#This Row],[FILENAMES_EXPECTED]])),ISNUMBER(SEARCH("coach_",Table1[[#This Row],[FILENAMES_EXPECTED]])))</f>
        <v>0</v>
      </c>
      <c r="E632" t="str">
        <f>"item_"&amp;Table1[[#This Row],[VEHIDCODE]]</f>
        <v>item_electric_Ukraine_UZ_DE1</v>
      </c>
      <c r="F632" t="str">
        <f>"str_"&amp;Table1[[#This Row],[VEHIDCODE]]</f>
        <v>str_electric_Ukraine_UZ_DE1</v>
      </c>
      <c r="G632">
        <v>16</v>
      </c>
      <c r="H632" t="s">
        <v>20</v>
      </c>
      <c r="I632">
        <v>0</v>
      </c>
      <c r="J632" t="s">
        <v>74</v>
      </c>
      <c r="K632">
        <v>0</v>
      </c>
      <c r="L632">
        <v>1995</v>
      </c>
      <c r="M632">
        <v>8</v>
      </c>
      <c r="N632" s="2" t="s">
        <v>20</v>
      </c>
      <c r="O632" t="b">
        <v>1</v>
      </c>
      <c r="Q632" s="2"/>
      <c r="R632">
        <v>45</v>
      </c>
      <c r="S632">
        <v>0</v>
      </c>
      <c r="T632">
        <v>8750</v>
      </c>
      <c r="U632" t="s">
        <v>709</v>
      </c>
      <c r="V632">
        <v>100</v>
      </c>
      <c r="W632" s="2">
        <v>0.23</v>
      </c>
      <c r="AS632" t="b">
        <v>1</v>
      </c>
      <c r="AX632"/>
      <c r="BA632" s="2"/>
      <c r="BB632" s="2" t="b">
        <f>LEN(_xlfn.CONCAT(Table1[[#This Row],[TRACK_TYPE_STANDARD_GAUGE_RAILTYPE_OHLE]:[TRACK_TYPE_MTRO]]))&gt;0</f>
        <v>1</v>
      </c>
      <c r="BC632" s="7">
        <v>40</v>
      </c>
      <c r="BD632" t="s">
        <v>929</v>
      </c>
      <c r="BE632" t="s">
        <v>922</v>
      </c>
      <c r="BF632" t="s">
        <v>940</v>
      </c>
      <c r="BG6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2">
        <v>0</v>
      </c>
      <c r="BI632" t="s">
        <v>734</v>
      </c>
      <c r="BK632" s="11"/>
      <c r="BL632" s="11">
        <v>184</v>
      </c>
      <c r="BM632">
        <v>0</v>
      </c>
      <c r="BN632" t="s">
        <v>692</v>
      </c>
      <c r="BO632" t="s">
        <v>694</v>
      </c>
      <c r="BP632" t="s">
        <v>701</v>
      </c>
      <c r="BQ632" t="s">
        <v>705</v>
      </c>
      <c r="BR632" t="s">
        <v>706</v>
      </c>
      <c r="BS632" t="s">
        <v>707</v>
      </c>
    </row>
    <row r="633" spans="1:71" hidden="1" x14ac:dyDescent="0.4">
      <c r="A633" s="2" t="s">
        <v>657</v>
      </c>
      <c r="B633" t="str">
        <f>_xlfn.TEXTAFTER(Table1[[#This Row],[VEHIDCODE]],"_")</f>
        <v>Russia_RZD_ChS3</v>
      </c>
      <c r="C633" t="s">
        <v>741</v>
      </c>
      <c r="D633" t="b">
        <f>OR(ISNUMBER(SEARCH("wagon_",Table1[[#This Row],[FILENAMES_EXPECTED]])),ISNUMBER(SEARCH("coach_",Table1[[#This Row],[FILENAMES_EXPECTED]])))</f>
        <v>0</v>
      </c>
      <c r="E633" t="str">
        <f>"item_"&amp;Table1[[#This Row],[VEHIDCODE]]</f>
        <v>item_electric_Russia_RZD_ChS3</v>
      </c>
      <c r="F633" t="str">
        <f>"str_"&amp;Table1[[#This Row],[VEHIDCODE]]</f>
        <v>str_electric_Russia_RZD_ChS3</v>
      </c>
      <c r="G633">
        <v>7</v>
      </c>
      <c r="H633" t="s">
        <v>20</v>
      </c>
      <c r="I633">
        <v>0</v>
      </c>
      <c r="J633" t="s">
        <v>74</v>
      </c>
      <c r="K633">
        <v>0</v>
      </c>
      <c r="L633">
        <v>1961</v>
      </c>
      <c r="M633">
        <v>7</v>
      </c>
      <c r="N633" s="2" t="s">
        <v>20</v>
      </c>
      <c r="O633" t="b">
        <v>1</v>
      </c>
      <c r="Q633" s="2"/>
      <c r="R633">
        <v>45</v>
      </c>
      <c r="S633">
        <v>1</v>
      </c>
      <c r="T633">
        <v>2000</v>
      </c>
      <c r="U633" t="s">
        <v>709</v>
      </c>
      <c r="V633">
        <v>120</v>
      </c>
      <c r="W633" s="2">
        <v>0.27</v>
      </c>
      <c r="AS633" t="b">
        <v>1</v>
      </c>
      <c r="AX633"/>
      <c r="BA633" s="2"/>
      <c r="BB633" s="2" t="b">
        <f>LEN(_xlfn.CONCAT(Table1[[#This Row],[TRACK_TYPE_STANDARD_GAUGE_RAILTYPE_OHLE]:[TRACK_TYPE_MTRO]]))&gt;0</f>
        <v>1</v>
      </c>
      <c r="BC633" s="7">
        <v>40</v>
      </c>
      <c r="BD633" t="s">
        <v>931</v>
      </c>
      <c r="BE633" t="s">
        <v>922</v>
      </c>
      <c r="BF633" t="s">
        <v>940</v>
      </c>
      <c r="BG6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3">
        <v>0</v>
      </c>
      <c r="BI633" t="s">
        <v>734</v>
      </c>
      <c r="BK633" s="11"/>
      <c r="BL633" s="11">
        <v>85</v>
      </c>
      <c r="BM633">
        <v>0</v>
      </c>
      <c r="BN633" t="s">
        <v>692</v>
      </c>
      <c r="BO633" t="s">
        <v>694</v>
      </c>
      <c r="BP633" t="s">
        <v>701</v>
      </c>
      <c r="BQ633" t="s">
        <v>705</v>
      </c>
      <c r="BR633" t="s">
        <v>706</v>
      </c>
      <c r="BS633" t="s">
        <v>707</v>
      </c>
    </row>
    <row r="634" spans="1:71" hidden="1" x14ac:dyDescent="0.4">
      <c r="A634" s="2" t="s">
        <v>658</v>
      </c>
      <c r="B634" t="str">
        <f>_xlfn.TEXTAFTER(Table1[[#This Row],[VEHIDCODE]],"_")</f>
        <v>Ukraine_UZ_ChS7</v>
      </c>
      <c r="C634" t="s">
        <v>741</v>
      </c>
      <c r="D634" t="b">
        <f>OR(ISNUMBER(SEARCH("wagon_",Table1[[#This Row],[FILENAMES_EXPECTED]])),ISNUMBER(SEARCH("coach_",Table1[[#This Row],[FILENAMES_EXPECTED]])))</f>
        <v>0</v>
      </c>
      <c r="E634" t="str">
        <f>"item_"&amp;Table1[[#This Row],[VEHIDCODE]]</f>
        <v>item_electric_Ukraine_UZ_ChS7</v>
      </c>
      <c r="F634" t="str">
        <f>"str_"&amp;Table1[[#This Row],[VEHIDCODE]]</f>
        <v>str_electric_Ukraine_UZ_ChS7</v>
      </c>
      <c r="G634">
        <v>14</v>
      </c>
      <c r="H634" t="s">
        <v>20</v>
      </c>
      <c r="I634">
        <v>0</v>
      </c>
      <c r="J634" t="s">
        <v>74</v>
      </c>
      <c r="K634">
        <v>0</v>
      </c>
      <c r="L634">
        <v>1983</v>
      </c>
      <c r="M634">
        <v>7</v>
      </c>
      <c r="N634" s="2" t="s">
        <v>20</v>
      </c>
      <c r="O634" t="b">
        <v>1</v>
      </c>
      <c r="Q634" s="2"/>
      <c r="R634">
        <v>45</v>
      </c>
      <c r="S634">
        <v>1</v>
      </c>
      <c r="T634">
        <v>8624</v>
      </c>
      <c r="U634" t="s">
        <v>709</v>
      </c>
      <c r="V634">
        <v>160</v>
      </c>
      <c r="W634" s="2">
        <v>0.22</v>
      </c>
      <c r="AS634" t="b">
        <v>1</v>
      </c>
      <c r="AX634"/>
      <c r="BA634" s="2"/>
      <c r="BB634" s="2" t="b">
        <f>LEN(_xlfn.CONCAT(Table1[[#This Row],[TRACK_TYPE_STANDARD_GAUGE_RAILTYPE_OHLE]:[TRACK_TYPE_MTRO]]))&gt;0</f>
        <v>1</v>
      </c>
      <c r="BC634" s="7">
        <v>40</v>
      </c>
      <c r="BD634" t="s">
        <v>929</v>
      </c>
      <c r="BE634" t="s">
        <v>922</v>
      </c>
      <c r="BF634" t="s">
        <v>940</v>
      </c>
      <c r="BG6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4">
        <v>0</v>
      </c>
      <c r="BI634" t="s">
        <v>734</v>
      </c>
      <c r="BK634" s="11"/>
      <c r="BL634" s="11">
        <v>172</v>
      </c>
      <c r="BM634">
        <v>0</v>
      </c>
      <c r="BN634" t="s">
        <v>692</v>
      </c>
      <c r="BO634" t="s">
        <v>694</v>
      </c>
      <c r="BP634" t="s">
        <v>701</v>
      </c>
      <c r="BQ634" t="s">
        <v>705</v>
      </c>
      <c r="BR634" t="s">
        <v>706</v>
      </c>
      <c r="BS634" t="s">
        <v>707</v>
      </c>
    </row>
    <row r="635" spans="1:71" hidden="1" x14ac:dyDescent="0.4">
      <c r="A635" s="2" t="s">
        <v>659</v>
      </c>
      <c r="B635" t="str">
        <f>_xlfn.TEXTAFTER(Table1[[#This Row],[VEHIDCODE]],"_")</f>
        <v>Brasil_RFFSA_GE_C_C_4400</v>
      </c>
      <c r="C635" t="s">
        <v>741</v>
      </c>
      <c r="D635" t="b">
        <f>OR(ISNUMBER(SEARCH("wagon_",Table1[[#This Row],[FILENAMES_EXPECTED]])),ISNUMBER(SEARCH("coach_",Table1[[#This Row],[FILENAMES_EXPECTED]])))</f>
        <v>0</v>
      </c>
      <c r="E635" t="str">
        <f>"item_"&amp;Table1[[#This Row],[VEHIDCODE]]</f>
        <v>item_electric_Brasil_RFFSA_GE_C_C_4400</v>
      </c>
      <c r="F635" t="str">
        <f>"str_"&amp;Table1[[#This Row],[VEHIDCODE]]</f>
        <v>str_electric_Brasil_RFFSA_GE_C_C_4400</v>
      </c>
      <c r="G635">
        <v>7</v>
      </c>
      <c r="H635" t="s">
        <v>20</v>
      </c>
      <c r="I635">
        <v>0</v>
      </c>
      <c r="J635" t="s">
        <v>74</v>
      </c>
      <c r="K635">
        <v>0</v>
      </c>
      <c r="L635">
        <v>1962</v>
      </c>
      <c r="M635">
        <v>7</v>
      </c>
      <c r="N635" s="2" t="s">
        <v>24</v>
      </c>
      <c r="O635" t="b">
        <v>1</v>
      </c>
      <c r="Q635" s="2"/>
      <c r="R635">
        <v>45</v>
      </c>
      <c r="S635">
        <v>1</v>
      </c>
      <c r="T635">
        <v>4400</v>
      </c>
      <c r="U635" t="s">
        <v>709</v>
      </c>
      <c r="V635">
        <v>117</v>
      </c>
      <c r="W635" s="2">
        <v>0.21</v>
      </c>
      <c r="AS635" t="b">
        <v>1</v>
      </c>
      <c r="AX635"/>
      <c r="BA635" s="2"/>
      <c r="BB635" s="2" t="b">
        <f>LEN(_xlfn.CONCAT(Table1[[#This Row],[TRACK_TYPE_STANDARD_GAUGE_RAILTYPE_OHLE]:[TRACK_TYPE_MTRO]]))&gt;0</f>
        <v>1</v>
      </c>
      <c r="BC635" s="7">
        <v>40</v>
      </c>
      <c r="BD635" t="s">
        <v>930</v>
      </c>
      <c r="BE635" t="s">
        <v>922</v>
      </c>
      <c r="BF635" t="s">
        <v>940</v>
      </c>
      <c r="BG6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5">
        <v>0</v>
      </c>
      <c r="BI635" t="s">
        <v>734</v>
      </c>
      <c r="BK635" s="11"/>
      <c r="BL635" s="11">
        <v>123</v>
      </c>
      <c r="BM635">
        <v>0</v>
      </c>
      <c r="BN635" t="s">
        <v>692</v>
      </c>
      <c r="BO635" t="s">
        <v>694</v>
      </c>
      <c r="BP635" t="s">
        <v>701</v>
      </c>
      <c r="BQ635" t="s">
        <v>705</v>
      </c>
      <c r="BR635" t="s">
        <v>706</v>
      </c>
      <c r="BS635" t="s">
        <v>707</v>
      </c>
    </row>
    <row r="636" spans="1:71" hidden="1" x14ac:dyDescent="0.4">
      <c r="A636" s="2" t="s">
        <v>660</v>
      </c>
      <c r="B636" t="str">
        <f>_xlfn.TEXTAFTER(Table1[[#This Row],[VEHIDCODE]],"_")</f>
        <v>Russia_RZD_VL85</v>
      </c>
      <c r="C636" t="s">
        <v>741</v>
      </c>
      <c r="D636" t="b">
        <f>OR(ISNUMBER(SEARCH("wagon_",Table1[[#This Row],[FILENAMES_EXPECTED]])),ISNUMBER(SEARCH("coach_",Table1[[#This Row],[FILENAMES_EXPECTED]])))</f>
        <v>0</v>
      </c>
      <c r="E636" t="str">
        <f>"item_"&amp;Table1[[#This Row],[VEHIDCODE]]</f>
        <v>item_electric_Russia_RZD_VL85</v>
      </c>
      <c r="F636" t="str">
        <f>"str_"&amp;Table1[[#This Row],[VEHIDCODE]]</f>
        <v>str_electric_Russia_RZD_VL85</v>
      </c>
      <c r="G636">
        <v>16</v>
      </c>
      <c r="H636" t="s">
        <v>20</v>
      </c>
      <c r="I636">
        <v>0</v>
      </c>
      <c r="J636" t="s">
        <v>74</v>
      </c>
      <c r="K636">
        <v>0</v>
      </c>
      <c r="L636">
        <v>1983</v>
      </c>
      <c r="M636">
        <v>8</v>
      </c>
      <c r="N636" s="2" t="s">
        <v>20</v>
      </c>
      <c r="O636" t="b">
        <v>1</v>
      </c>
      <c r="Q636" s="2"/>
      <c r="R636">
        <v>45</v>
      </c>
      <c r="S636">
        <v>1</v>
      </c>
      <c r="T636">
        <v>12500</v>
      </c>
      <c r="U636" t="s">
        <v>709</v>
      </c>
      <c r="V636">
        <v>110</v>
      </c>
      <c r="W636" s="2">
        <v>0.25</v>
      </c>
      <c r="AQ636" t="b">
        <v>1</v>
      </c>
      <c r="AX636"/>
      <c r="BA636" s="2"/>
      <c r="BB636" s="2" t="b">
        <f>LEN(_xlfn.CONCAT(Table1[[#This Row],[TRACK_TYPE_STANDARD_GAUGE_RAILTYPE_OHLE]:[TRACK_TYPE_MTRO]]))&gt;0</f>
        <v>1</v>
      </c>
      <c r="BC636" s="7">
        <v>40</v>
      </c>
      <c r="BD636" t="s">
        <v>931</v>
      </c>
      <c r="BE636" t="s">
        <v>922</v>
      </c>
      <c r="BF636" t="s">
        <v>940</v>
      </c>
      <c r="BG6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6">
        <v>0</v>
      </c>
      <c r="BI636" t="s">
        <v>734</v>
      </c>
      <c r="BK636" s="11"/>
      <c r="BL636" s="11">
        <v>288</v>
      </c>
      <c r="BM636">
        <v>0</v>
      </c>
      <c r="BN636" t="s">
        <v>692</v>
      </c>
      <c r="BO636" t="s">
        <v>694</v>
      </c>
      <c r="BP636" t="s">
        <v>701</v>
      </c>
      <c r="BQ636" t="s">
        <v>705</v>
      </c>
      <c r="BR636" t="s">
        <v>706</v>
      </c>
      <c r="BS636" t="s">
        <v>707</v>
      </c>
    </row>
    <row r="637" spans="1:71" hidden="1" x14ac:dyDescent="0.4">
      <c r="A637" s="2" t="s">
        <v>661</v>
      </c>
      <c r="B637" t="str">
        <f>_xlfn.TEXTAFTER(Table1[[#This Row],[VEHIDCODE]],"_")</f>
        <v>Russia_RZD_VL41</v>
      </c>
      <c r="C637" t="s">
        <v>741</v>
      </c>
      <c r="D637" t="b">
        <f>OR(ISNUMBER(SEARCH("wagon_",Table1[[#This Row],[FILENAMES_EXPECTED]])),ISNUMBER(SEARCH("coach_",Table1[[#This Row],[FILENAMES_EXPECTED]])))</f>
        <v>0</v>
      </c>
      <c r="E637" t="str">
        <f>"item_"&amp;Table1[[#This Row],[VEHIDCODE]]</f>
        <v>item_electric_Russia_RZD_VL41</v>
      </c>
      <c r="F637" t="str">
        <f>"str_"&amp;Table1[[#This Row],[VEHIDCODE]]</f>
        <v>str_electric_Russia_RZD_VL41</v>
      </c>
      <c r="G637">
        <v>8</v>
      </c>
      <c r="H637" t="s">
        <v>20</v>
      </c>
      <c r="I637">
        <v>0</v>
      </c>
      <c r="J637" t="s">
        <v>74</v>
      </c>
      <c r="K637">
        <v>0</v>
      </c>
      <c r="L637">
        <v>1963</v>
      </c>
      <c r="M637">
        <v>8</v>
      </c>
      <c r="N637" s="2" t="s">
        <v>20</v>
      </c>
      <c r="O637" t="b">
        <v>1</v>
      </c>
      <c r="Q637" s="2"/>
      <c r="R637">
        <v>45</v>
      </c>
      <c r="S637">
        <v>1</v>
      </c>
      <c r="T637">
        <v>2280</v>
      </c>
      <c r="U637" t="s">
        <v>709</v>
      </c>
      <c r="V637">
        <v>70</v>
      </c>
      <c r="W637" s="2">
        <v>0.19</v>
      </c>
      <c r="AQ637" t="b">
        <v>1</v>
      </c>
      <c r="AX637"/>
      <c r="BA637" s="2"/>
      <c r="BB637" s="2" t="b">
        <f>LEN(_xlfn.CONCAT(Table1[[#This Row],[TRACK_TYPE_STANDARD_GAUGE_RAILTYPE_OHLE]:[TRACK_TYPE_MTRO]]))&gt;0</f>
        <v>1</v>
      </c>
      <c r="BC637" s="7">
        <v>40</v>
      </c>
      <c r="BD637" t="s">
        <v>931</v>
      </c>
      <c r="BE637" t="s">
        <v>922</v>
      </c>
      <c r="BF637" t="s">
        <v>940</v>
      </c>
      <c r="BG6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7">
        <v>-3</v>
      </c>
      <c r="BI637" t="s">
        <v>734</v>
      </c>
      <c r="BK637" s="11"/>
      <c r="BL637" s="11">
        <v>92</v>
      </c>
      <c r="BM637">
        <v>0</v>
      </c>
      <c r="BN637" t="s">
        <v>692</v>
      </c>
      <c r="BO637" t="s">
        <v>694</v>
      </c>
      <c r="BP637" t="s">
        <v>701</v>
      </c>
      <c r="BQ637" t="s">
        <v>705</v>
      </c>
      <c r="BR637" t="s">
        <v>706</v>
      </c>
      <c r="BS637" t="s">
        <v>707</v>
      </c>
    </row>
    <row r="638" spans="1:71" hidden="1" x14ac:dyDescent="0.4">
      <c r="A638" s="2" t="s">
        <v>662</v>
      </c>
      <c r="B638" t="str">
        <f>_xlfn.TEXTAFTER(Table1[[#This Row],[VEHIDCODE]],"_")</f>
        <v>India_Indian_Railways_WAP_4</v>
      </c>
      <c r="C638" t="s">
        <v>741</v>
      </c>
      <c r="D638" t="b">
        <f>OR(ISNUMBER(SEARCH("wagon_",Table1[[#This Row],[FILENAMES_EXPECTED]])),ISNUMBER(SEARCH("coach_",Table1[[#This Row],[FILENAMES_EXPECTED]])))</f>
        <v>0</v>
      </c>
      <c r="E638" t="str">
        <f>"item_"&amp;Table1[[#This Row],[VEHIDCODE]]</f>
        <v>item_electric_India_Indian_Railways_WAP_4</v>
      </c>
      <c r="F638" t="str">
        <f>"str_"&amp;Table1[[#This Row],[VEHIDCODE]]</f>
        <v>str_electric_India_Indian_Railways_WAP_4</v>
      </c>
      <c r="G638">
        <v>8</v>
      </c>
      <c r="H638" t="s">
        <v>20</v>
      </c>
      <c r="I638">
        <v>0</v>
      </c>
      <c r="J638" t="s">
        <v>74</v>
      </c>
      <c r="K638">
        <v>0</v>
      </c>
      <c r="L638">
        <v>1994</v>
      </c>
      <c r="M638">
        <v>8</v>
      </c>
      <c r="N638" s="2" t="s">
        <v>20</v>
      </c>
      <c r="O638" t="b">
        <v>1</v>
      </c>
      <c r="Q638" s="2"/>
      <c r="R638">
        <v>45</v>
      </c>
      <c r="S638">
        <v>1</v>
      </c>
      <c r="T638">
        <v>5350</v>
      </c>
      <c r="U638" t="s">
        <v>709</v>
      </c>
      <c r="V638">
        <v>140</v>
      </c>
      <c r="W638" s="2">
        <v>0.28000000000000003</v>
      </c>
      <c r="AQ638" t="b">
        <v>1</v>
      </c>
      <c r="AX638"/>
      <c r="BA638" s="2"/>
      <c r="BB638" s="2" t="b">
        <f>LEN(_xlfn.CONCAT(Table1[[#This Row],[TRACK_TYPE_STANDARD_GAUGE_RAILTYPE_OHLE]:[TRACK_TYPE_MTRO]]))&gt;0</f>
        <v>1</v>
      </c>
      <c r="BC638" s="7">
        <v>40</v>
      </c>
      <c r="BD638" t="s">
        <v>931</v>
      </c>
      <c r="BE638" t="s">
        <v>922</v>
      </c>
      <c r="BF638" t="s">
        <v>940</v>
      </c>
      <c r="BG6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8">
        <v>-3</v>
      </c>
      <c r="BI638" t="s">
        <v>734</v>
      </c>
      <c r="BK638" s="11"/>
      <c r="BL638" s="11">
        <v>113</v>
      </c>
      <c r="BM638">
        <v>0</v>
      </c>
      <c r="BN638" t="s">
        <v>692</v>
      </c>
      <c r="BO638" t="s">
        <v>694</v>
      </c>
      <c r="BP638" t="s">
        <v>701</v>
      </c>
      <c r="BQ638" t="s">
        <v>705</v>
      </c>
      <c r="BR638" t="s">
        <v>706</v>
      </c>
      <c r="BS638" t="s">
        <v>707</v>
      </c>
    </row>
    <row r="639" spans="1:71" hidden="1" x14ac:dyDescent="0.4">
      <c r="A639" s="2" t="s">
        <v>663</v>
      </c>
      <c r="B639" t="str">
        <f>_xlfn.TEXTAFTER(Table1[[#This Row],[VEHIDCODE]],"_")</f>
        <v>Finland_VR_Sr1</v>
      </c>
      <c r="C639" t="s">
        <v>741</v>
      </c>
      <c r="D639" t="b">
        <f>OR(ISNUMBER(SEARCH("wagon_",Table1[[#This Row],[FILENAMES_EXPECTED]])),ISNUMBER(SEARCH("coach_",Table1[[#This Row],[FILENAMES_EXPECTED]])))</f>
        <v>0</v>
      </c>
      <c r="E639" t="str">
        <f>"item_"&amp;Table1[[#This Row],[VEHIDCODE]]</f>
        <v>item_electric_Finland_VR_Sr1</v>
      </c>
      <c r="F639" t="str">
        <f>"str_"&amp;Table1[[#This Row],[VEHIDCODE]]</f>
        <v>str_electric_Finland_VR_Sr1</v>
      </c>
      <c r="G639">
        <v>8</v>
      </c>
      <c r="H639" t="s">
        <v>20</v>
      </c>
      <c r="I639">
        <v>0</v>
      </c>
      <c r="J639" t="s">
        <v>74</v>
      </c>
      <c r="K639">
        <v>0</v>
      </c>
      <c r="L639">
        <v>1973</v>
      </c>
      <c r="M639">
        <v>8</v>
      </c>
      <c r="N639" s="2" t="s">
        <v>20</v>
      </c>
      <c r="O639" t="b">
        <v>1</v>
      </c>
      <c r="Q639" s="2"/>
      <c r="R639">
        <v>45</v>
      </c>
      <c r="S639">
        <v>0</v>
      </c>
      <c r="T639">
        <v>4428</v>
      </c>
      <c r="U639" t="s">
        <v>709</v>
      </c>
      <c r="V639">
        <v>140</v>
      </c>
      <c r="W639" s="2">
        <v>0.33</v>
      </c>
      <c r="AQ639" t="b">
        <v>1</v>
      </c>
      <c r="AX639"/>
      <c r="BA639" s="2"/>
      <c r="BB639" s="2" t="b">
        <f>LEN(_xlfn.CONCAT(Table1[[#This Row],[TRACK_TYPE_STANDARD_GAUGE_RAILTYPE_OHLE]:[TRACK_TYPE_MTRO]]))&gt;0</f>
        <v>1</v>
      </c>
      <c r="BC639" s="7">
        <v>40</v>
      </c>
      <c r="BD639" t="s">
        <v>927</v>
      </c>
      <c r="BE639" t="s">
        <v>922</v>
      </c>
      <c r="BF639" t="s">
        <v>940</v>
      </c>
      <c r="BG6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9">
        <v>-3</v>
      </c>
      <c r="BI639" t="s">
        <v>734</v>
      </c>
      <c r="BK639" s="11"/>
      <c r="BL639" s="11">
        <v>84</v>
      </c>
      <c r="BM639">
        <v>0</v>
      </c>
      <c r="BN639" t="s">
        <v>692</v>
      </c>
      <c r="BO639" t="s">
        <v>694</v>
      </c>
      <c r="BP639" t="s">
        <v>701</v>
      </c>
      <c r="BQ639" t="s">
        <v>705</v>
      </c>
      <c r="BR639" t="s">
        <v>706</v>
      </c>
      <c r="BS639" t="s">
        <v>707</v>
      </c>
    </row>
    <row r="640" spans="1:71" hidden="1" x14ac:dyDescent="0.4">
      <c r="A640" s="2" t="s">
        <v>664</v>
      </c>
      <c r="B640" t="str">
        <f>_xlfn.TEXTAFTER(Table1[[#This Row],[VEHIDCODE]],"_")</f>
        <v>Kazakhstan_KTZ_KZ4A</v>
      </c>
      <c r="C640" t="s">
        <v>741</v>
      </c>
      <c r="D640" t="b">
        <f>OR(ISNUMBER(SEARCH("wagon_",Table1[[#This Row],[FILENAMES_EXPECTED]])),ISNUMBER(SEARCH("coach_",Table1[[#This Row],[FILENAMES_EXPECTED]])))</f>
        <v>0</v>
      </c>
      <c r="E640" t="str">
        <f>"item_"&amp;Table1[[#This Row],[VEHIDCODE]]</f>
        <v>item_electric_Kazakhstan_KTZ_KZ4A</v>
      </c>
      <c r="F640" t="str">
        <f>"str_"&amp;Table1[[#This Row],[VEHIDCODE]]</f>
        <v>str_electric_Kazakhstan_KTZ_KZ4A</v>
      </c>
      <c r="G640">
        <v>8</v>
      </c>
      <c r="H640" t="s">
        <v>20</v>
      </c>
      <c r="I640">
        <v>0</v>
      </c>
      <c r="J640" t="s">
        <v>74</v>
      </c>
      <c r="K640">
        <v>0</v>
      </c>
      <c r="L640">
        <v>2004</v>
      </c>
      <c r="M640">
        <v>8</v>
      </c>
      <c r="N640" s="2" t="s">
        <v>20</v>
      </c>
      <c r="O640" t="b">
        <v>1</v>
      </c>
      <c r="Q640" s="2"/>
      <c r="R640" t="s">
        <v>21</v>
      </c>
      <c r="S640">
        <v>1</v>
      </c>
      <c r="T640">
        <v>6500</v>
      </c>
      <c r="U640" t="s">
        <v>709</v>
      </c>
      <c r="V640">
        <v>210</v>
      </c>
      <c r="W640" s="2">
        <v>0.32</v>
      </c>
      <c r="AQ640" t="b">
        <v>1</v>
      </c>
      <c r="AX640"/>
      <c r="BA640" s="2"/>
      <c r="BB640" s="2" t="b">
        <f>LEN(_xlfn.CONCAT(Table1[[#This Row],[TRACK_TYPE_STANDARD_GAUGE_RAILTYPE_OHLE]:[TRACK_TYPE_MTRO]]))&gt;0</f>
        <v>1</v>
      </c>
      <c r="BC640" s="7">
        <v>40</v>
      </c>
      <c r="BD640" t="s">
        <v>931</v>
      </c>
      <c r="BE640" t="s">
        <v>922</v>
      </c>
      <c r="BF640" t="s">
        <v>940</v>
      </c>
      <c r="BG6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0">
        <v>-3</v>
      </c>
      <c r="BI640" t="s">
        <v>734</v>
      </c>
      <c r="BK640" s="11"/>
      <c r="BL640" s="11">
        <v>82</v>
      </c>
      <c r="BM640">
        <v>0</v>
      </c>
      <c r="BN640" t="s">
        <v>692</v>
      </c>
      <c r="BO640" t="s">
        <v>694</v>
      </c>
      <c r="BP640" t="s">
        <v>701</v>
      </c>
      <c r="BQ640" t="s">
        <v>705</v>
      </c>
      <c r="BR640" t="s">
        <v>706</v>
      </c>
      <c r="BS640" t="s">
        <v>707</v>
      </c>
    </row>
    <row r="641" spans="1:71" hidden="1" x14ac:dyDescent="0.4">
      <c r="A641" s="2" t="s">
        <v>665</v>
      </c>
      <c r="B641" t="str">
        <f>_xlfn.TEXTAFTER(Table1[[#This Row],[VEHIDCODE]],"_")</f>
        <v>Kazakhstan_KTZ_KZ8A</v>
      </c>
      <c r="C641" t="s">
        <v>741</v>
      </c>
      <c r="D641" t="b">
        <f>OR(ISNUMBER(SEARCH("wagon_",Table1[[#This Row],[FILENAMES_EXPECTED]])),ISNUMBER(SEARCH("coach_",Table1[[#This Row],[FILENAMES_EXPECTED]])))</f>
        <v>0</v>
      </c>
      <c r="E641" t="str">
        <f>"item_"&amp;Table1[[#This Row],[VEHIDCODE]]</f>
        <v>item_electric_Kazakhstan_KTZ_KZ8A</v>
      </c>
      <c r="F641" t="str">
        <f>"str_"&amp;Table1[[#This Row],[VEHIDCODE]]</f>
        <v>str_electric_Kazakhstan_KTZ_KZ8A</v>
      </c>
      <c r="G641">
        <v>16</v>
      </c>
      <c r="H641" t="s">
        <v>20</v>
      </c>
      <c r="I641">
        <v>0</v>
      </c>
      <c r="J641" t="s">
        <v>74</v>
      </c>
      <c r="K641">
        <v>0</v>
      </c>
      <c r="L641">
        <v>2014</v>
      </c>
      <c r="M641">
        <v>8</v>
      </c>
      <c r="N641" s="2" t="s">
        <v>20</v>
      </c>
      <c r="O641" t="b">
        <v>1</v>
      </c>
      <c r="Q641" s="2"/>
      <c r="R641" t="s">
        <v>21</v>
      </c>
      <c r="S641">
        <v>1</v>
      </c>
      <c r="T641">
        <v>11800</v>
      </c>
      <c r="U641" t="s">
        <v>709</v>
      </c>
      <c r="V641">
        <v>120</v>
      </c>
      <c r="W641" s="2">
        <v>0.42</v>
      </c>
      <c r="AQ641" t="b">
        <v>1</v>
      </c>
      <c r="AX641"/>
      <c r="BA641" s="2"/>
      <c r="BB641" s="2" t="b">
        <f>LEN(_xlfn.CONCAT(Table1[[#This Row],[TRACK_TYPE_STANDARD_GAUGE_RAILTYPE_OHLE]:[TRACK_TYPE_MTRO]]))&gt;0</f>
        <v>1</v>
      </c>
      <c r="BC641" s="7">
        <v>40</v>
      </c>
      <c r="BD641" t="s">
        <v>931</v>
      </c>
      <c r="BE641" t="s">
        <v>922</v>
      </c>
      <c r="BF641" t="s">
        <v>940</v>
      </c>
      <c r="BG6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1">
        <v>0</v>
      </c>
      <c r="BI641" t="s">
        <v>734</v>
      </c>
      <c r="BK641" s="11"/>
      <c r="BL641" s="11">
        <v>200</v>
      </c>
      <c r="BM641">
        <v>0</v>
      </c>
      <c r="BN641" t="s">
        <v>692</v>
      </c>
      <c r="BO641" t="s">
        <v>694</v>
      </c>
      <c r="BP641" t="s">
        <v>701</v>
      </c>
      <c r="BQ641" t="s">
        <v>705</v>
      </c>
      <c r="BR641" t="s">
        <v>706</v>
      </c>
      <c r="BS641" t="s">
        <v>707</v>
      </c>
    </row>
    <row r="642" spans="1:71" hidden="1" x14ac:dyDescent="0.4">
      <c r="A642" s="2" t="s">
        <v>666</v>
      </c>
      <c r="B642" t="str">
        <f>_xlfn.TEXTAFTER(Table1[[#This Row],[VEHIDCODE]],"_")</f>
        <v>Russia_RZD_EP20</v>
      </c>
      <c r="C642" t="s">
        <v>741</v>
      </c>
      <c r="D642" t="b">
        <f>OR(ISNUMBER(SEARCH("wagon_",Table1[[#This Row],[FILENAMES_EXPECTED]])),ISNUMBER(SEARCH("coach_",Table1[[#This Row],[FILENAMES_EXPECTED]])))</f>
        <v>0</v>
      </c>
      <c r="E642" t="str">
        <f>"item_"&amp;Table1[[#This Row],[VEHIDCODE]]</f>
        <v>item_electric_Russia_RZD_EP20</v>
      </c>
      <c r="F642" t="str">
        <f>"str_"&amp;Table1[[#This Row],[VEHIDCODE]]</f>
        <v>str_electric_Russia_RZD_EP20</v>
      </c>
      <c r="G642">
        <v>8</v>
      </c>
      <c r="H642" t="s">
        <v>20</v>
      </c>
      <c r="I642">
        <v>0</v>
      </c>
      <c r="J642" t="s">
        <v>74</v>
      </c>
      <c r="K642">
        <v>0</v>
      </c>
      <c r="L642">
        <v>2011</v>
      </c>
      <c r="M642">
        <v>8</v>
      </c>
      <c r="N642" s="2" t="s">
        <v>20</v>
      </c>
      <c r="O642" t="b">
        <v>1</v>
      </c>
      <c r="Q642" s="2"/>
      <c r="R642" t="s">
        <v>21</v>
      </c>
      <c r="S642">
        <v>1</v>
      </c>
      <c r="T642">
        <v>9655</v>
      </c>
      <c r="U642" t="s">
        <v>709</v>
      </c>
      <c r="V642">
        <v>200</v>
      </c>
      <c r="W642" s="2">
        <v>0.26</v>
      </c>
      <c r="AP642" t="b">
        <v>1</v>
      </c>
      <c r="AX642"/>
      <c r="BA642" s="2"/>
      <c r="BB642" s="2" t="b">
        <f>LEN(_xlfn.CONCAT(Table1[[#This Row],[TRACK_TYPE_STANDARD_GAUGE_RAILTYPE_OHLE]:[TRACK_TYPE_MTRO]]))&gt;0</f>
        <v>1</v>
      </c>
      <c r="BC642" s="7">
        <v>40</v>
      </c>
      <c r="BD642" t="s">
        <v>931</v>
      </c>
      <c r="BE642" t="s">
        <v>922</v>
      </c>
      <c r="BF642" t="s">
        <v>940</v>
      </c>
      <c r="BG6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2">
        <v>0</v>
      </c>
      <c r="BI642" t="s">
        <v>734</v>
      </c>
      <c r="BK642" s="11"/>
      <c r="BL642" s="11">
        <v>135</v>
      </c>
      <c r="BM642">
        <v>0</v>
      </c>
      <c r="BN642" t="s">
        <v>692</v>
      </c>
      <c r="BO642" t="s">
        <v>694</v>
      </c>
      <c r="BP642" t="s">
        <v>701</v>
      </c>
      <c r="BQ642" t="s">
        <v>705</v>
      </c>
      <c r="BR642" t="s">
        <v>706</v>
      </c>
      <c r="BS642" t="s">
        <v>707</v>
      </c>
    </row>
    <row r="643" spans="1:71" hidden="1" x14ac:dyDescent="0.4">
      <c r="A643" s="2" t="s">
        <v>667</v>
      </c>
      <c r="B643" t="str">
        <f>_xlfn.TEXTAFTER(Table1[[#This Row],[VEHIDCODE]],"_")</f>
        <v>Finland_VR_Dm7</v>
      </c>
      <c r="C643" t="s">
        <v>737</v>
      </c>
      <c r="D643" t="b">
        <f>OR(ISNUMBER(SEARCH("wagon_",Table1[[#This Row],[FILENAMES_EXPECTED]])),ISNUMBER(SEARCH("coach_",Table1[[#This Row],[FILENAMES_EXPECTED]])))</f>
        <v>0</v>
      </c>
      <c r="E643" t="str">
        <f>"item_"&amp;Table1[[#This Row],[VEHIDCODE]]</f>
        <v>item_rbd_Finland_VR_Dm7</v>
      </c>
      <c r="F643" t="str">
        <f>"str_"&amp;Table1[[#This Row],[VEHIDCODE]]</f>
        <v>str_rbd_Finland_VR_Dm7</v>
      </c>
      <c r="G643">
        <v>7</v>
      </c>
      <c r="H643" t="s">
        <v>18</v>
      </c>
      <c r="I643">
        <v>0</v>
      </c>
      <c r="J643" t="s">
        <v>35</v>
      </c>
      <c r="K643">
        <v>64</v>
      </c>
      <c r="L643">
        <v>1955</v>
      </c>
      <c r="M643">
        <v>7</v>
      </c>
      <c r="N643" s="2" t="s">
        <v>24</v>
      </c>
      <c r="O643" t="b">
        <v>1</v>
      </c>
      <c r="Q643" s="2"/>
      <c r="R643">
        <v>45</v>
      </c>
      <c r="S643">
        <v>1</v>
      </c>
      <c r="T643">
        <v>180</v>
      </c>
      <c r="U643" t="s">
        <v>711</v>
      </c>
      <c r="V643">
        <v>95</v>
      </c>
      <c r="W643" s="2">
        <v>0.33</v>
      </c>
      <c r="AX643" t="b">
        <v>1</v>
      </c>
      <c r="BA643" s="2"/>
      <c r="BB643" s="2" t="b">
        <f>LEN(_xlfn.CONCAT(Table1[[#This Row],[TRACK_TYPE_STANDARD_GAUGE_RAILTYPE_OHLE]:[TRACK_TYPE_MTRO]]))&gt;0</f>
        <v>1</v>
      </c>
      <c r="BC643" s="7">
        <v>15</v>
      </c>
      <c r="BD643" t="s">
        <v>927</v>
      </c>
      <c r="BE643" t="s">
        <v>922</v>
      </c>
      <c r="BF643" t="s">
        <v>940</v>
      </c>
      <c r="BG6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643">
        <v>-3</v>
      </c>
      <c r="BI643" t="s">
        <v>734</v>
      </c>
      <c r="BK643" s="11"/>
      <c r="BL643" s="11">
        <v>18</v>
      </c>
      <c r="BM643">
        <v>0</v>
      </c>
      <c r="BN643" t="s">
        <v>692</v>
      </c>
      <c r="BO643" t="s">
        <v>694</v>
      </c>
      <c r="BP643" t="s">
        <v>701</v>
      </c>
      <c r="BQ643" t="s">
        <v>705</v>
      </c>
      <c r="BR643" t="s">
        <v>706</v>
      </c>
      <c r="BS643" t="s">
        <v>707</v>
      </c>
    </row>
    <row r="644" spans="1:71" hidden="1" x14ac:dyDescent="0.4">
      <c r="A644" s="2" t="s">
        <v>668</v>
      </c>
      <c r="B644" t="str">
        <f>_xlfn.TEXTAFTER(Table1[[#This Row],[VEHIDCODE]],"_")</f>
        <v>Russia_RZD_ACh2</v>
      </c>
      <c r="C644" t="s">
        <v>737</v>
      </c>
      <c r="D644" t="b">
        <f>OR(ISNUMBER(SEARCH("wagon_",Table1[[#This Row],[FILENAMES_EXPECTED]])),ISNUMBER(SEARCH("coach_",Table1[[#This Row],[FILENAMES_EXPECTED]])))</f>
        <v>0</v>
      </c>
      <c r="E644" t="str">
        <f>"item_"&amp;Table1[[#This Row],[VEHIDCODE]]</f>
        <v>item_rbd_Russia_RZD_ACh2</v>
      </c>
      <c r="F644" t="str">
        <f>"str_"&amp;Table1[[#This Row],[VEHIDCODE]]</f>
        <v>str_rbd_Russia_RZD_ACh2</v>
      </c>
      <c r="G644">
        <v>8</v>
      </c>
      <c r="H644" t="s">
        <v>18</v>
      </c>
      <c r="I644">
        <v>0</v>
      </c>
      <c r="J644" t="s">
        <v>35</v>
      </c>
      <c r="K644">
        <v>67</v>
      </c>
      <c r="L644">
        <v>1984</v>
      </c>
      <c r="M644">
        <v>8</v>
      </c>
      <c r="N644" s="2" t="s">
        <v>24</v>
      </c>
      <c r="O644" t="b">
        <v>1</v>
      </c>
      <c r="Q644" s="2"/>
      <c r="R644">
        <v>45</v>
      </c>
      <c r="S644">
        <v>1</v>
      </c>
      <c r="T644">
        <v>990</v>
      </c>
      <c r="U644" t="s">
        <v>711</v>
      </c>
      <c r="V644">
        <v>120</v>
      </c>
      <c r="W644" s="2">
        <v>0.24</v>
      </c>
      <c r="AX644" t="b">
        <v>1</v>
      </c>
      <c r="BA644" s="2"/>
      <c r="BB644" s="2" t="b">
        <f>LEN(_xlfn.CONCAT(Table1[[#This Row],[TRACK_TYPE_STANDARD_GAUGE_RAILTYPE_OHLE]:[TRACK_TYPE_MTRO]]))&gt;0</f>
        <v>1</v>
      </c>
      <c r="BC644" s="7">
        <v>15</v>
      </c>
      <c r="BD644" t="s">
        <v>931</v>
      </c>
      <c r="BE644" t="s">
        <v>922</v>
      </c>
      <c r="BF644" t="s">
        <v>940</v>
      </c>
      <c r="BG6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644">
        <v>-3</v>
      </c>
      <c r="BI644" t="s">
        <v>734</v>
      </c>
      <c r="BK644" s="11"/>
      <c r="BL644" s="11">
        <v>59</v>
      </c>
      <c r="BM644">
        <v>0</v>
      </c>
      <c r="BN644" t="s">
        <v>692</v>
      </c>
      <c r="BO644" t="s">
        <v>694</v>
      </c>
      <c r="BP644" t="s">
        <v>701</v>
      </c>
      <c r="BQ644" t="s">
        <v>705</v>
      </c>
      <c r="BR644" t="s">
        <v>706</v>
      </c>
      <c r="BS644" t="s">
        <v>707</v>
      </c>
    </row>
    <row r="645" spans="1:71" hidden="1" x14ac:dyDescent="0.4">
      <c r="A645" s="2" t="s">
        <v>669</v>
      </c>
      <c r="B645" t="str">
        <f>_xlfn.TEXTAFTER(Table1[[#This Row],[VEHIDCODE]],"_")</f>
        <v>Russia_RZD_ER200</v>
      </c>
      <c r="C645" t="s">
        <v>744</v>
      </c>
      <c r="D645" t="b">
        <f>OR(ISNUMBER(SEARCH("wagon_",Table1[[#This Row],[FILENAMES_EXPECTED]])),ISNUMBER(SEARCH("coach_",Table1[[#This Row],[FILENAMES_EXPECTED]])))</f>
        <v>0</v>
      </c>
      <c r="E645" t="str">
        <f>"item_"&amp;Table1[[#This Row],[VEHIDCODE]]</f>
        <v>item_emu_Russia_RZD_ER200</v>
      </c>
      <c r="F645" t="str">
        <f>"str_"&amp;Table1[[#This Row],[VEHIDCODE]]</f>
        <v>str_emu_Russia_RZD_ER200</v>
      </c>
      <c r="G645">
        <v>8</v>
      </c>
      <c r="H645" t="s">
        <v>18</v>
      </c>
      <c r="I645">
        <v>1</v>
      </c>
      <c r="J645" t="s">
        <v>74</v>
      </c>
      <c r="K645">
        <v>64</v>
      </c>
      <c r="L645">
        <v>1973</v>
      </c>
      <c r="M645">
        <v>8</v>
      </c>
      <c r="N645" s="2" t="s">
        <v>24</v>
      </c>
      <c r="O645" t="b">
        <v>1</v>
      </c>
      <c r="P645" t="b">
        <v>1</v>
      </c>
      <c r="Q645" s="2"/>
      <c r="R645">
        <v>45</v>
      </c>
      <c r="S645">
        <v>1</v>
      </c>
      <c r="T645">
        <v>1280</v>
      </c>
      <c r="U645" t="s">
        <v>709</v>
      </c>
      <c r="V645">
        <v>200</v>
      </c>
      <c r="W645" s="2">
        <v>0.13</v>
      </c>
      <c r="AS645" t="b">
        <v>1</v>
      </c>
      <c r="AX645"/>
      <c r="BA645" s="2"/>
      <c r="BB645" s="2" t="b">
        <f>LEN(_xlfn.CONCAT(Table1[[#This Row],[TRACK_TYPE_STANDARD_GAUGE_RAILTYPE_OHLE]:[TRACK_TYPE_MTRO]]))&gt;0</f>
        <v>1</v>
      </c>
      <c r="BC645" s="7">
        <v>40</v>
      </c>
      <c r="BD645" t="s">
        <v>931</v>
      </c>
      <c r="BE645" t="s">
        <v>922</v>
      </c>
      <c r="BF645" t="s">
        <v>940</v>
      </c>
      <c r="BG6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5">
        <v>0</v>
      </c>
      <c r="BI645" t="s">
        <v>734</v>
      </c>
      <c r="BJ645" s="11">
        <v>64</v>
      </c>
      <c r="BK645" s="11">
        <v>8</v>
      </c>
      <c r="BL645" s="11">
        <v>49</v>
      </c>
      <c r="BM645">
        <v>0</v>
      </c>
      <c r="BN645" t="s">
        <v>692</v>
      </c>
      <c r="BO645" t="s">
        <v>694</v>
      </c>
      <c r="BP645" t="s">
        <v>701</v>
      </c>
      <c r="BQ645" t="s">
        <v>705</v>
      </c>
      <c r="BR645" t="s">
        <v>706</v>
      </c>
      <c r="BS645" t="s">
        <v>707</v>
      </c>
    </row>
    <row r="646" spans="1:71" hidden="1" x14ac:dyDescent="0.4">
      <c r="A646" s="2" t="s">
        <v>670</v>
      </c>
      <c r="B646" t="str">
        <f>_xlfn.TEXTAFTER(Table1[[#This Row],[VEHIDCODE]],"_")</f>
        <v>Russia_RZD_S</v>
      </c>
      <c r="C646" t="s">
        <v>744</v>
      </c>
      <c r="D646" t="b">
        <f>OR(ISNUMBER(SEARCH("wagon_",Table1[[#This Row],[FILENAMES_EXPECTED]])),ISNUMBER(SEARCH("coach_",Table1[[#This Row],[FILENAMES_EXPECTED]])))</f>
        <v>0</v>
      </c>
      <c r="E646" t="str">
        <f>"item_"&amp;Table1[[#This Row],[VEHIDCODE]]</f>
        <v>item_emu_Russia_RZD_S</v>
      </c>
      <c r="F646" t="str">
        <f>"str_"&amp;Table1[[#This Row],[VEHIDCODE]]</f>
        <v>str_emu_Russia_RZD_S</v>
      </c>
      <c r="G646">
        <v>7</v>
      </c>
      <c r="H646" t="s">
        <v>18</v>
      </c>
      <c r="I646">
        <v>1</v>
      </c>
      <c r="J646" t="s">
        <v>74</v>
      </c>
      <c r="K646">
        <v>50</v>
      </c>
      <c r="L646">
        <v>1929</v>
      </c>
      <c r="M646">
        <v>7</v>
      </c>
      <c r="N646" s="2" t="s">
        <v>24</v>
      </c>
      <c r="O646" t="b">
        <v>1</v>
      </c>
      <c r="P646" t="b">
        <v>1</v>
      </c>
      <c r="Q646" s="2"/>
      <c r="R646">
        <v>45</v>
      </c>
      <c r="S646">
        <v>1</v>
      </c>
      <c r="T646">
        <v>804</v>
      </c>
      <c r="U646" t="s">
        <v>709</v>
      </c>
      <c r="V646">
        <v>85</v>
      </c>
      <c r="W646" s="2">
        <v>0.08</v>
      </c>
      <c r="AS646" t="b">
        <v>1</v>
      </c>
      <c r="AX646"/>
      <c r="BA646" s="2"/>
      <c r="BB646" s="2" t="b">
        <f>LEN(_xlfn.CONCAT(Table1[[#This Row],[TRACK_TYPE_STANDARD_GAUGE_RAILTYPE_OHLE]:[TRACK_TYPE_MTRO]]))&gt;0</f>
        <v>1</v>
      </c>
      <c r="BC646" s="7">
        <v>40</v>
      </c>
      <c r="BD646" t="s">
        <v>931</v>
      </c>
      <c r="BE646" t="s">
        <v>922</v>
      </c>
      <c r="BF646" t="s">
        <v>940</v>
      </c>
      <c r="BG6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6">
        <v>0</v>
      </c>
      <c r="BI646" t="s">
        <v>734</v>
      </c>
      <c r="BJ646" s="11">
        <v>50</v>
      </c>
      <c r="BK646" s="11">
        <v>7</v>
      </c>
      <c r="BL646" s="11">
        <v>46</v>
      </c>
      <c r="BM646">
        <v>0</v>
      </c>
      <c r="BN646" t="s">
        <v>692</v>
      </c>
      <c r="BO646" t="s">
        <v>694</v>
      </c>
      <c r="BP646" t="s">
        <v>701</v>
      </c>
      <c r="BQ646" t="s">
        <v>705</v>
      </c>
      <c r="BR646" t="s">
        <v>706</v>
      </c>
      <c r="BS646" t="s">
        <v>707</v>
      </c>
    </row>
    <row r="647" spans="1:71" hidden="1" x14ac:dyDescent="0.4">
      <c r="A647" s="2" t="s">
        <v>671</v>
      </c>
      <c r="B647" t="str">
        <f>_xlfn.TEXTAFTER(Table1[[#This Row],[VEHIDCODE]],"_")</f>
        <v>Croatia_HZ_6112</v>
      </c>
      <c r="C647" t="s">
        <v>744</v>
      </c>
      <c r="D647" t="b">
        <f>OR(ISNUMBER(SEARCH("wagon_",Table1[[#This Row],[FILENAMES_EXPECTED]])),ISNUMBER(SEARCH("coach_",Table1[[#This Row],[FILENAMES_EXPECTED]])))</f>
        <v>0</v>
      </c>
      <c r="E647" t="str">
        <f>"item_"&amp;Table1[[#This Row],[VEHIDCODE]]</f>
        <v>item_emu_Croatia_HZ_6112</v>
      </c>
      <c r="F647" t="str">
        <f>"str_"&amp;Table1[[#This Row],[VEHIDCODE]]</f>
        <v>str_emu_Croatia_HZ_6112</v>
      </c>
      <c r="G647">
        <v>8</v>
      </c>
      <c r="H647" t="s">
        <v>18</v>
      </c>
      <c r="I647">
        <v>1</v>
      </c>
      <c r="J647" t="s">
        <v>74</v>
      </c>
      <c r="K647">
        <v>60</v>
      </c>
      <c r="L647">
        <v>2015</v>
      </c>
      <c r="M647">
        <v>8</v>
      </c>
      <c r="N647" s="2" t="s">
        <v>24</v>
      </c>
      <c r="O647" t="b">
        <v>1</v>
      </c>
      <c r="P647" t="b">
        <v>1</v>
      </c>
      <c r="Q647" s="2"/>
      <c r="R647" t="s">
        <v>21</v>
      </c>
      <c r="S647">
        <v>1</v>
      </c>
      <c r="T647">
        <v>2700</v>
      </c>
      <c r="U647" t="s">
        <v>709</v>
      </c>
      <c r="V647">
        <v>160</v>
      </c>
      <c r="W647" s="2">
        <v>0.47</v>
      </c>
      <c r="AQ647" t="b">
        <v>1</v>
      </c>
      <c r="AX647"/>
      <c r="BA647" s="2"/>
      <c r="BB647" s="2" t="b">
        <f>LEN(_xlfn.CONCAT(Table1[[#This Row],[TRACK_TYPE_STANDARD_GAUGE_RAILTYPE_OHLE]:[TRACK_TYPE_MTRO]]))&gt;0</f>
        <v>1</v>
      </c>
      <c r="BC647" s="7">
        <v>40</v>
      </c>
      <c r="BD647" t="s">
        <v>929</v>
      </c>
      <c r="BE647" t="s">
        <v>922</v>
      </c>
      <c r="BF647" t="s">
        <v>940</v>
      </c>
      <c r="BG6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7">
        <v>0</v>
      </c>
      <c r="BI647" t="s">
        <v>734</v>
      </c>
      <c r="BJ647" s="11">
        <v>60</v>
      </c>
      <c r="BK647" s="11">
        <v>8</v>
      </c>
      <c r="BL647" s="11">
        <v>43</v>
      </c>
      <c r="BM647">
        <v>0</v>
      </c>
      <c r="BN647" t="s">
        <v>692</v>
      </c>
      <c r="BO647" t="s">
        <v>694</v>
      </c>
      <c r="BP647" t="s">
        <v>701</v>
      </c>
      <c r="BQ647" t="s">
        <v>705</v>
      </c>
      <c r="BR647" t="s">
        <v>706</v>
      </c>
      <c r="BS647" t="s">
        <v>707</v>
      </c>
    </row>
    <row r="648" spans="1:71" hidden="1" x14ac:dyDescent="0.4">
      <c r="A648" s="2" t="s">
        <v>672</v>
      </c>
      <c r="B648" t="str">
        <f>_xlfn.TEXTAFTER(Table1[[#This Row],[VEHIDCODE]],"_")</f>
        <v>Russia_RZD_ES1_Lastochka</v>
      </c>
      <c r="C648" t="s">
        <v>744</v>
      </c>
      <c r="D648" t="b">
        <f>OR(ISNUMBER(SEARCH("wagon_",Table1[[#This Row],[FILENAMES_EXPECTED]])),ISNUMBER(SEARCH("coach_",Table1[[#This Row],[FILENAMES_EXPECTED]])))</f>
        <v>0</v>
      </c>
      <c r="E648" t="str">
        <f>"item_"&amp;Table1[[#This Row],[VEHIDCODE]]</f>
        <v>item_emu_Russia_RZD_ES1_Lastochka</v>
      </c>
      <c r="F648" t="str">
        <f>"str_"&amp;Table1[[#This Row],[VEHIDCODE]]</f>
        <v>str_emu_Russia_RZD_ES1_Lastochka</v>
      </c>
      <c r="G648">
        <v>8</v>
      </c>
      <c r="H648" t="s">
        <v>18</v>
      </c>
      <c r="I648">
        <v>1</v>
      </c>
      <c r="J648" t="s">
        <v>74</v>
      </c>
      <c r="K648">
        <v>88</v>
      </c>
      <c r="L648">
        <v>2011</v>
      </c>
      <c r="M648">
        <v>8</v>
      </c>
      <c r="N648" s="2" t="s">
        <v>24</v>
      </c>
      <c r="O648" t="b">
        <v>1</v>
      </c>
      <c r="P648" t="b">
        <v>1</v>
      </c>
      <c r="Q648" s="2"/>
      <c r="R648" t="s">
        <v>21</v>
      </c>
      <c r="S648">
        <v>1</v>
      </c>
      <c r="T648">
        <v>3400</v>
      </c>
      <c r="U648" t="s">
        <v>709</v>
      </c>
      <c r="V648">
        <v>160</v>
      </c>
      <c r="W648" s="2">
        <v>0.54</v>
      </c>
      <c r="AP648" t="b">
        <v>1</v>
      </c>
      <c r="AX648"/>
      <c r="BA648" s="2"/>
      <c r="BB648" s="2" t="b">
        <f>LEN(_xlfn.CONCAT(Table1[[#This Row],[TRACK_TYPE_STANDARD_GAUGE_RAILTYPE_OHLE]:[TRACK_TYPE_MTRO]]))&gt;0</f>
        <v>1</v>
      </c>
      <c r="BC648" s="7">
        <v>40</v>
      </c>
      <c r="BD648" t="s">
        <v>931</v>
      </c>
      <c r="BE648" t="s">
        <v>922</v>
      </c>
      <c r="BF648" t="s">
        <v>940</v>
      </c>
      <c r="BG6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8">
        <v>0</v>
      </c>
      <c r="BI648" t="s">
        <v>734</v>
      </c>
      <c r="BJ648" s="11">
        <v>88</v>
      </c>
      <c r="BK648" s="11">
        <v>8</v>
      </c>
      <c r="BL648" s="11">
        <v>56</v>
      </c>
      <c r="BM648">
        <v>0</v>
      </c>
      <c r="BN648" t="s">
        <v>692</v>
      </c>
      <c r="BO648" t="s">
        <v>694</v>
      </c>
      <c r="BP648" t="s">
        <v>701</v>
      </c>
      <c r="BQ648" t="s">
        <v>705</v>
      </c>
      <c r="BR648" t="s">
        <v>706</v>
      </c>
      <c r="BS648" t="s">
        <v>707</v>
      </c>
    </row>
    <row r="649" spans="1:71" x14ac:dyDescent="0.4">
      <c r="A649" s="2" t="s">
        <v>764</v>
      </c>
      <c r="B649" t="str">
        <f>_xlfn.TEXTAFTER(Table1[[#This Row],[VEHIDCODE]],"_")</f>
        <v>Metro_Wagon_Powered</v>
      </c>
      <c r="C649" t="s">
        <v>919</v>
      </c>
      <c r="D649" t="b">
        <f>OR(ISNUMBER(SEARCH("wagon_",Table1[[#This Row],[FILENAMES_EXPECTED]])),ISNUMBER(SEARCH("coach_",Table1[[#This Row],[FILENAMES_EXPECTED]])))</f>
        <v>1</v>
      </c>
      <c r="E649" t="str">
        <f>"item_"&amp;Table1[[#This Row],[VEHIDCODE]]</f>
        <v>item_mtro_Metro_Wagon_Powered</v>
      </c>
      <c r="F649" t="str">
        <f>"str_"&amp;Table1[[#This Row],[VEHIDCODE]]</f>
        <v>str_mtro_Metro_Wagon_Powered</v>
      </c>
      <c r="G649">
        <v>8</v>
      </c>
      <c r="H649" t="s">
        <v>326</v>
      </c>
      <c r="I649">
        <v>0</v>
      </c>
      <c r="J649" t="s">
        <v>19</v>
      </c>
      <c r="K649">
        <v>1</v>
      </c>
      <c r="L649">
        <v>1900</v>
      </c>
      <c r="M649">
        <v>8</v>
      </c>
      <c r="N649" s="2" t="s">
        <v>20</v>
      </c>
      <c r="O649" t="b">
        <v>1</v>
      </c>
      <c r="Q649" s="2"/>
      <c r="R649" t="s">
        <v>21</v>
      </c>
      <c r="S649">
        <v>1</v>
      </c>
      <c r="T649">
        <v>0</v>
      </c>
      <c r="U649" t="s">
        <v>709</v>
      </c>
      <c r="V649">
        <v>0</v>
      </c>
      <c r="W649" s="2">
        <v>0.3</v>
      </c>
      <c r="AC649" t="b">
        <v>1</v>
      </c>
      <c r="AD649" t="b">
        <v>1</v>
      </c>
      <c r="AL649" t="b">
        <v>1</v>
      </c>
      <c r="AM649" t="b">
        <v>1</v>
      </c>
      <c r="AU649" t="b">
        <v>1</v>
      </c>
      <c r="AV649" t="b">
        <v>1</v>
      </c>
      <c r="BA649" s="2"/>
      <c r="BB649" s="2" t="b">
        <f>LEN(_xlfn.CONCAT(Table1[[#This Row],[TRACK_TYPE_STANDARD_GAUGE_RAILTYPE_OHLE]:[TRACK_TYPE_MTRO]]))&gt;0</f>
        <v>1</v>
      </c>
      <c r="BC649" s="7">
        <v>60</v>
      </c>
      <c r="BD649" t="s">
        <v>936</v>
      </c>
      <c r="BE649" t="s">
        <v>922</v>
      </c>
      <c r="BF649" t="s">
        <v>940</v>
      </c>
      <c r="BG6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49">
        <v>0</v>
      </c>
      <c r="BI649" t="s">
        <v>734</v>
      </c>
      <c r="BK649" s="11"/>
      <c r="BL649" s="11">
        <v>0</v>
      </c>
      <c r="BM649">
        <v>0</v>
      </c>
      <c r="BN649" t="s">
        <v>692</v>
      </c>
      <c r="BO649" t="s">
        <v>694</v>
      </c>
      <c r="BP649" t="s">
        <v>701</v>
      </c>
      <c r="BQ649" t="s">
        <v>705</v>
      </c>
      <c r="BR649" t="s">
        <v>706</v>
      </c>
      <c r="BS649" t="s">
        <v>707</v>
      </c>
    </row>
    <row r="650" spans="1:71" x14ac:dyDescent="0.4">
      <c r="A650" s="2" t="s">
        <v>763</v>
      </c>
      <c r="B650" t="str">
        <f>_xlfn.TEXTAFTER(Table1[[#This Row],[VEHIDCODE]],"_")</f>
        <v>Metro_Wagon_Unpowered</v>
      </c>
      <c r="C650" t="s">
        <v>919</v>
      </c>
      <c r="D650" t="b">
        <f>OR(ISNUMBER(SEARCH("wagon_",Table1[[#This Row],[FILENAMES_EXPECTED]])),ISNUMBER(SEARCH("coach_",Table1[[#This Row],[FILENAMES_EXPECTED]])))</f>
        <v>1</v>
      </c>
      <c r="E650" t="str">
        <f>"item_"&amp;Table1[[#This Row],[VEHIDCODE]]</f>
        <v>item_mtro_Metro_Wagon_Unpowered</v>
      </c>
      <c r="F650" t="str">
        <f>"str_"&amp;Table1[[#This Row],[VEHIDCODE]]</f>
        <v>str_mtro_Metro_Wagon_Unpowered</v>
      </c>
      <c r="G650">
        <v>8</v>
      </c>
      <c r="H650" t="s">
        <v>326</v>
      </c>
      <c r="I650">
        <v>0</v>
      </c>
      <c r="J650" t="s">
        <v>19</v>
      </c>
      <c r="K650">
        <v>1</v>
      </c>
      <c r="L650">
        <v>1900</v>
      </c>
      <c r="M650">
        <v>8</v>
      </c>
      <c r="N650" s="2" t="s">
        <v>20</v>
      </c>
      <c r="O650" t="b">
        <v>1</v>
      </c>
      <c r="Q650" s="2"/>
      <c r="R650" t="s">
        <v>21</v>
      </c>
      <c r="S650">
        <v>1</v>
      </c>
      <c r="T650">
        <v>0</v>
      </c>
      <c r="U650" t="s">
        <v>709</v>
      </c>
      <c r="V650">
        <v>0</v>
      </c>
      <c r="W650" s="2">
        <v>0.3</v>
      </c>
      <c r="AC650" t="b">
        <v>1</v>
      </c>
      <c r="AD650" t="b">
        <v>1</v>
      </c>
      <c r="AL650" t="b">
        <v>1</v>
      </c>
      <c r="AM650" t="b">
        <v>1</v>
      </c>
      <c r="AU650" t="b">
        <v>1</v>
      </c>
      <c r="AV650" t="b">
        <v>1</v>
      </c>
      <c r="BA650" s="2"/>
      <c r="BB650" s="2" t="b">
        <f>LEN(_xlfn.CONCAT(Table1[[#This Row],[TRACK_TYPE_STANDARD_GAUGE_RAILTYPE_OHLE]:[TRACK_TYPE_MTRO]]))&gt;0</f>
        <v>1</v>
      </c>
      <c r="BC650" s="7">
        <v>60</v>
      </c>
      <c r="BD650" t="s">
        <v>936</v>
      </c>
      <c r="BE650" t="s">
        <v>922</v>
      </c>
      <c r="BF650" t="s">
        <v>940</v>
      </c>
      <c r="BG6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0">
        <v>0</v>
      </c>
      <c r="BI650" t="s">
        <v>734</v>
      </c>
      <c r="BK650" s="11"/>
      <c r="BL650" s="11">
        <v>0</v>
      </c>
      <c r="BM650">
        <v>0</v>
      </c>
      <c r="BN650" t="s">
        <v>692</v>
      </c>
      <c r="BO650" t="s">
        <v>694</v>
      </c>
      <c r="BP650" t="s">
        <v>701</v>
      </c>
      <c r="BQ650" t="s">
        <v>705</v>
      </c>
      <c r="BR650" t="s">
        <v>706</v>
      </c>
      <c r="BS650" t="s">
        <v>707</v>
      </c>
    </row>
    <row r="651" spans="1:71" x14ac:dyDescent="0.4">
      <c r="A651" s="2" t="s">
        <v>765</v>
      </c>
      <c r="B651" t="str">
        <f>_xlfn.TEXTAFTER(Table1[[#This Row],[VEHIDCODE]],"_")</f>
        <v>MU_Cargo_Wagon_Powered</v>
      </c>
      <c r="C651" t="s">
        <v>919</v>
      </c>
      <c r="D651" t="b">
        <f>OR(ISNUMBER(SEARCH("wagon_",Table1[[#This Row],[FILENAMES_EXPECTED]])),ISNUMBER(SEARCH("coach_",Table1[[#This Row],[FILENAMES_EXPECTED]])))</f>
        <v>1</v>
      </c>
      <c r="E651" t="str">
        <f>"item_"&amp;Table1[[#This Row],[VEHIDCODE]]</f>
        <v>item_mu_MU_Cargo_Wagon_Powered</v>
      </c>
      <c r="F651" t="str">
        <f>"str_"&amp;Table1[[#This Row],[VEHIDCODE]]</f>
        <v>str_mu_MU_Cargo_Wagon_Powered</v>
      </c>
      <c r="G651">
        <v>8</v>
      </c>
      <c r="H651" t="s">
        <v>533</v>
      </c>
      <c r="I651">
        <v>0</v>
      </c>
      <c r="J651" t="s">
        <v>35</v>
      </c>
      <c r="K651">
        <v>1</v>
      </c>
      <c r="L651">
        <v>1992</v>
      </c>
      <c r="M651">
        <v>8</v>
      </c>
      <c r="N651" s="2" t="s">
        <v>20</v>
      </c>
      <c r="O651" t="b">
        <v>1</v>
      </c>
      <c r="Q651" s="2"/>
      <c r="R651" t="s">
        <v>21</v>
      </c>
      <c r="S651">
        <v>0</v>
      </c>
      <c r="T651">
        <v>0</v>
      </c>
      <c r="U651" t="s">
        <v>711</v>
      </c>
      <c r="V651">
        <v>0</v>
      </c>
      <c r="W651" s="2">
        <v>0.3</v>
      </c>
      <c r="AF651" s="2" t="b">
        <v>1</v>
      </c>
      <c r="AO651" s="2" t="b">
        <v>1</v>
      </c>
      <c r="AX651" s="2" t="b">
        <v>1</v>
      </c>
      <c r="BA651" s="2"/>
      <c r="BB651" s="2" t="b">
        <f>LEN(_xlfn.CONCAT(Table1[[#This Row],[TRACK_TYPE_STANDARD_GAUGE_RAILTYPE_OHLE]:[TRACK_TYPE_MTRO]]))&gt;0</f>
        <v>1</v>
      </c>
      <c r="BC651" s="7">
        <v>60</v>
      </c>
      <c r="BD651" t="s">
        <v>936</v>
      </c>
      <c r="BE651" t="s">
        <v>922</v>
      </c>
      <c r="BF651" t="s">
        <v>940</v>
      </c>
      <c r="BG6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1">
        <v>0</v>
      </c>
      <c r="BI651" t="s">
        <v>734</v>
      </c>
      <c r="BK651" s="11"/>
      <c r="BL651" s="11">
        <v>0</v>
      </c>
      <c r="BM651">
        <v>0</v>
      </c>
      <c r="BN651" t="s">
        <v>692</v>
      </c>
      <c r="BO651" t="s">
        <v>694</v>
      </c>
      <c r="BP651" t="s">
        <v>701</v>
      </c>
      <c r="BQ651" t="s">
        <v>705</v>
      </c>
      <c r="BR651" t="s">
        <v>706</v>
      </c>
      <c r="BS651" t="s">
        <v>707</v>
      </c>
    </row>
    <row r="652" spans="1:71" x14ac:dyDescent="0.4">
      <c r="A652" s="2" t="s">
        <v>766</v>
      </c>
      <c r="B652" t="str">
        <f>_xlfn.TEXTAFTER(Table1[[#This Row],[VEHIDCODE]],"_")</f>
        <v>MU_Cargo_Wagon_Unpowered</v>
      </c>
      <c r="C652" t="s">
        <v>919</v>
      </c>
      <c r="D652" t="b">
        <f>OR(ISNUMBER(SEARCH("wagon_",Table1[[#This Row],[FILENAMES_EXPECTED]])),ISNUMBER(SEARCH("coach_",Table1[[#This Row],[FILENAMES_EXPECTED]])))</f>
        <v>1</v>
      </c>
      <c r="E652" t="str">
        <f>"item_"&amp;Table1[[#This Row],[VEHIDCODE]]</f>
        <v>item_mu_MU_Cargo_Wagon_Unpowered</v>
      </c>
      <c r="F652" t="str">
        <f>"str_"&amp;Table1[[#This Row],[VEHIDCODE]]</f>
        <v>str_mu_MU_Cargo_Wagon_Unpowered</v>
      </c>
      <c r="G652">
        <v>8</v>
      </c>
      <c r="H652" t="s">
        <v>533</v>
      </c>
      <c r="I652">
        <v>0</v>
      </c>
      <c r="J652" t="s">
        <v>35</v>
      </c>
      <c r="K652">
        <v>1</v>
      </c>
      <c r="L652">
        <v>1992</v>
      </c>
      <c r="M652">
        <v>8</v>
      </c>
      <c r="N652" s="2" t="s">
        <v>20</v>
      </c>
      <c r="O652" t="b">
        <v>1</v>
      </c>
      <c r="Q652" s="2"/>
      <c r="R652" t="s">
        <v>21</v>
      </c>
      <c r="S652">
        <v>0</v>
      </c>
      <c r="T652">
        <v>0</v>
      </c>
      <c r="U652" t="s">
        <v>711</v>
      </c>
      <c r="V652">
        <v>0</v>
      </c>
      <c r="W652" s="2">
        <v>0.3</v>
      </c>
      <c r="AF652" s="2" t="b">
        <v>1</v>
      </c>
      <c r="AO652" s="2" t="b">
        <v>1</v>
      </c>
      <c r="AX652" s="2" t="b">
        <v>1</v>
      </c>
      <c r="BA652" s="2"/>
      <c r="BB652" s="2" t="b">
        <f>LEN(_xlfn.CONCAT(Table1[[#This Row],[TRACK_TYPE_STANDARD_GAUGE_RAILTYPE_OHLE]:[TRACK_TYPE_MTRO]]))&gt;0</f>
        <v>1</v>
      </c>
      <c r="BC652" s="7">
        <v>60</v>
      </c>
      <c r="BD652" t="s">
        <v>936</v>
      </c>
      <c r="BE652" t="s">
        <v>922</v>
      </c>
      <c r="BF652" t="s">
        <v>940</v>
      </c>
      <c r="BG6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2">
        <v>0</v>
      </c>
      <c r="BI652" t="s">
        <v>734</v>
      </c>
      <c r="BK652" s="11"/>
      <c r="BL652" s="11">
        <v>0</v>
      </c>
      <c r="BM652">
        <v>0</v>
      </c>
      <c r="BN652" t="s">
        <v>692</v>
      </c>
      <c r="BO652" t="s">
        <v>694</v>
      </c>
      <c r="BP652" t="s">
        <v>701</v>
      </c>
      <c r="BQ652" t="s">
        <v>705</v>
      </c>
      <c r="BR652" t="s">
        <v>706</v>
      </c>
      <c r="BS652" t="s">
        <v>707</v>
      </c>
    </row>
    <row r="653" spans="1:71" x14ac:dyDescent="0.4">
      <c r="A653" s="2" t="s">
        <v>767</v>
      </c>
      <c r="B653" t="str">
        <f>_xlfn.TEXTAFTER(Table1[[#This Row],[VEHIDCODE]],"_")</f>
        <v>MU_Wagon_Powered</v>
      </c>
      <c r="C653" t="s">
        <v>919</v>
      </c>
      <c r="D653" t="b">
        <f>OR(ISNUMBER(SEARCH("wagon_",Table1[[#This Row],[FILENAMES_EXPECTED]])),ISNUMBER(SEARCH("coach_",Table1[[#This Row],[FILENAMES_EXPECTED]])))</f>
        <v>1</v>
      </c>
      <c r="E653" t="str">
        <f>"item_"&amp;Table1[[#This Row],[VEHIDCODE]]</f>
        <v>item_mu_MU_Wagon_Powered</v>
      </c>
      <c r="F653" t="str">
        <f>"str_"&amp;Table1[[#This Row],[VEHIDCODE]]</f>
        <v>str_mu_MU_Wagon_Powered</v>
      </c>
      <c r="G653">
        <v>8</v>
      </c>
      <c r="H653" t="s">
        <v>18</v>
      </c>
      <c r="I653">
        <v>0</v>
      </c>
      <c r="J653" t="s">
        <v>35</v>
      </c>
      <c r="K653">
        <v>1</v>
      </c>
      <c r="L653">
        <v>1908</v>
      </c>
      <c r="M653">
        <v>8</v>
      </c>
      <c r="N653" s="2" t="s">
        <v>20</v>
      </c>
      <c r="O653" t="b">
        <v>1</v>
      </c>
      <c r="Q653" s="2"/>
      <c r="R653" t="s">
        <v>21</v>
      </c>
      <c r="S653">
        <v>1</v>
      </c>
      <c r="T653">
        <v>0</v>
      </c>
      <c r="U653" t="s">
        <v>711</v>
      </c>
      <c r="V653">
        <v>0</v>
      </c>
      <c r="W653" s="2">
        <v>0.3</v>
      </c>
      <c r="AF653" s="2" t="b">
        <v>1</v>
      </c>
      <c r="AO653" s="2" t="b">
        <v>1</v>
      </c>
      <c r="AX653" s="2" t="b">
        <v>1</v>
      </c>
      <c r="BA653" s="2"/>
      <c r="BB653" s="2" t="b">
        <f>LEN(_xlfn.CONCAT(Table1[[#This Row],[TRACK_TYPE_STANDARD_GAUGE_RAILTYPE_OHLE]:[TRACK_TYPE_MTRO]]))&gt;0</f>
        <v>1</v>
      </c>
      <c r="BC653" s="7">
        <v>60</v>
      </c>
      <c r="BD653" t="s">
        <v>936</v>
      </c>
      <c r="BE653" t="s">
        <v>922</v>
      </c>
      <c r="BF653" t="s">
        <v>940</v>
      </c>
      <c r="BG6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3">
        <v>0</v>
      </c>
      <c r="BI653" t="s">
        <v>734</v>
      </c>
      <c r="BK653" s="11"/>
      <c r="BL653" s="11">
        <v>0</v>
      </c>
      <c r="BM653">
        <v>0</v>
      </c>
      <c r="BN653" t="s">
        <v>692</v>
      </c>
      <c r="BO653" t="s">
        <v>694</v>
      </c>
      <c r="BP653" t="s">
        <v>701</v>
      </c>
      <c r="BQ653" t="s">
        <v>705</v>
      </c>
      <c r="BR653" t="s">
        <v>706</v>
      </c>
      <c r="BS653" t="s">
        <v>707</v>
      </c>
    </row>
    <row r="654" spans="1:71" x14ac:dyDescent="0.4">
      <c r="A654" s="2" t="s">
        <v>768</v>
      </c>
      <c r="B654" t="str">
        <f>_xlfn.TEXTAFTER(Table1[[#This Row],[VEHIDCODE]],"_")</f>
        <v>MU_Wagon_Unpowered</v>
      </c>
      <c r="C654" t="s">
        <v>919</v>
      </c>
      <c r="D654" t="b">
        <f>OR(ISNUMBER(SEARCH("wagon_",Table1[[#This Row],[FILENAMES_EXPECTED]])),ISNUMBER(SEARCH("coach_",Table1[[#This Row],[FILENAMES_EXPECTED]])))</f>
        <v>1</v>
      </c>
      <c r="E654" t="str">
        <f>"item_"&amp;Table1[[#This Row],[VEHIDCODE]]</f>
        <v>item_mu_MU_Wagon_Unpowered</v>
      </c>
      <c r="F654" t="str">
        <f>"str_"&amp;Table1[[#This Row],[VEHIDCODE]]</f>
        <v>str_mu_MU_Wagon_Unpowered</v>
      </c>
      <c r="G654">
        <v>8</v>
      </c>
      <c r="H654" t="s">
        <v>18</v>
      </c>
      <c r="I654">
        <v>0</v>
      </c>
      <c r="J654" t="s">
        <v>35</v>
      </c>
      <c r="K654">
        <v>1</v>
      </c>
      <c r="L654">
        <v>1908</v>
      </c>
      <c r="M654">
        <v>8</v>
      </c>
      <c r="N654" s="2" t="s">
        <v>20</v>
      </c>
      <c r="O654" t="b">
        <v>1</v>
      </c>
      <c r="Q654" s="2"/>
      <c r="R654" t="s">
        <v>21</v>
      </c>
      <c r="S654">
        <v>1</v>
      </c>
      <c r="T654">
        <v>0</v>
      </c>
      <c r="U654" t="s">
        <v>711</v>
      </c>
      <c r="V654">
        <v>0</v>
      </c>
      <c r="W654" s="2">
        <v>0.3</v>
      </c>
      <c r="AF654" s="2" t="b">
        <v>1</v>
      </c>
      <c r="AO654" s="2" t="b">
        <v>1</v>
      </c>
      <c r="AX654" s="2" t="b">
        <v>1</v>
      </c>
      <c r="BA654" s="2"/>
      <c r="BB654" s="2" t="b">
        <f>LEN(_xlfn.CONCAT(Table1[[#This Row],[TRACK_TYPE_STANDARD_GAUGE_RAILTYPE_OHLE]:[TRACK_TYPE_MTRO]]))&gt;0</f>
        <v>1</v>
      </c>
      <c r="BC654" s="7">
        <v>60</v>
      </c>
      <c r="BD654" t="s">
        <v>936</v>
      </c>
      <c r="BE654" t="s">
        <v>922</v>
      </c>
      <c r="BF654" t="s">
        <v>940</v>
      </c>
      <c r="BG6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4">
        <v>0</v>
      </c>
      <c r="BI654" t="s">
        <v>734</v>
      </c>
      <c r="BK654" s="11"/>
      <c r="BL654" s="11">
        <v>0</v>
      </c>
      <c r="BM654">
        <v>0</v>
      </c>
      <c r="BN654" t="s">
        <v>692</v>
      </c>
      <c r="BO654" t="s">
        <v>694</v>
      </c>
      <c r="BP654" t="s">
        <v>701</v>
      </c>
      <c r="BQ654" t="s">
        <v>705</v>
      </c>
      <c r="BR654" t="s">
        <v>706</v>
      </c>
      <c r="BS654" t="s">
        <v>707</v>
      </c>
    </row>
    <row r="655" spans="1:71" x14ac:dyDescent="0.4">
      <c r="A655" s="2" t="s">
        <v>770</v>
      </c>
      <c r="B655" t="str">
        <f>_xlfn.TEXTAFTER(Table1[[#This Row],[VEHIDCODE]],"_")</f>
        <v>Wagon_Gen1_Flat_Wagon</v>
      </c>
      <c r="C655" t="s">
        <v>748</v>
      </c>
      <c r="D655" t="b">
        <f>OR(ISNUMBER(SEARCH("wagon_",Table1[[#This Row],[FILENAMES_EXPECTED]])),ISNUMBER(SEARCH("coach_",Table1[[#This Row],[FILENAMES_EXPECTED]])))</f>
        <v>1</v>
      </c>
      <c r="E655" t="str">
        <f>"item_"&amp;Table1[[#This Row],[VEHIDCODE]]</f>
        <v>item_mu_Wagon_Gen1_Flat_Wagon</v>
      </c>
      <c r="F655" t="str">
        <f>"str_"&amp;Table1[[#This Row],[VEHIDCODE]]</f>
        <v>str_mu_Wagon_Gen1_Flat_Wagon</v>
      </c>
      <c r="G655">
        <v>4</v>
      </c>
      <c r="H655" t="s">
        <v>604</v>
      </c>
      <c r="I655">
        <v>0</v>
      </c>
      <c r="J655" t="s">
        <v>35</v>
      </c>
      <c r="K655">
        <v>20</v>
      </c>
      <c r="L655">
        <v>1830</v>
      </c>
      <c r="M655">
        <v>4</v>
      </c>
      <c r="N655" s="2" t="s">
        <v>33</v>
      </c>
      <c r="O655" t="b">
        <v>1</v>
      </c>
      <c r="Q655" s="2" t="b">
        <v>1</v>
      </c>
      <c r="R655">
        <v>90</v>
      </c>
      <c r="S655">
        <v>0</v>
      </c>
      <c r="T655">
        <v>0</v>
      </c>
      <c r="U655" t="s">
        <v>711</v>
      </c>
      <c r="V655">
        <v>55</v>
      </c>
      <c r="W655" s="2">
        <v>0.3</v>
      </c>
      <c r="AF655" s="2" t="b">
        <v>1</v>
      </c>
      <c r="AO655" s="2" t="b">
        <v>1</v>
      </c>
      <c r="AX655" s="2" t="b">
        <v>1</v>
      </c>
      <c r="BA655" s="2"/>
      <c r="BB655" s="2" t="b">
        <f>LEN(_xlfn.CONCAT(Table1[[#This Row],[TRACK_TYPE_STANDARD_GAUGE_RAILTYPE_OHLE]:[TRACK_TYPE_MTRO]]))&gt;0</f>
        <v>1</v>
      </c>
      <c r="BC655" s="7">
        <v>25</v>
      </c>
      <c r="BD655" t="s">
        <v>936</v>
      </c>
      <c r="BE655" t="s">
        <v>922</v>
      </c>
      <c r="BF655" t="s">
        <v>940</v>
      </c>
      <c r="BG6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5">
        <v>0</v>
      </c>
      <c r="BI655" t="s">
        <v>734</v>
      </c>
      <c r="BK655" s="11"/>
      <c r="BL655" s="11">
        <v>5</v>
      </c>
      <c r="BM655">
        <v>0</v>
      </c>
      <c r="BN655" t="s">
        <v>692</v>
      </c>
      <c r="BO655" t="s">
        <v>694</v>
      </c>
      <c r="BP655" t="s">
        <v>701</v>
      </c>
      <c r="BQ655" t="s">
        <v>705</v>
      </c>
      <c r="BR655" t="s">
        <v>706</v>
      </c>
      <c r="BS655" t="s">
        <v>707</v>
      </c>
    </row>
    <row r="656" spans="1:71" x14ac:dyDescent="0.4">
      <c r="A656" s="2" t="s">
        <v>771</v>
      </c>
      <c r="B656" t="str">
        <f>_xlfn.TEXTAFTER(Table1[[#This Row],[VEHIDCODE]],"_")</f>
        <v>Wagon_Gen1_Boxcar</v>
      </c>
      <c r="C656" t="s">
        <v>748</v>
      </c>
      <c r="D656" t="b">
        <f>OR(ISNUMBER(SEARCH("wagon_",Table1[[#This Row],[FILENAMES_EXPECTED]])),ISNUMBER(SEARCH("coach_",Table1[[#This Row],[FILENAMES_EXPECTED]])))</f>
        <v>1</v>
      </c>
      <c r="E656" t="str">
        <f>"item_"&amp;Table1[[#This Row],[VEHIDCODE]]</f>
        <v>item_mu_Wagon_Gen1_Boxcar</v>
      </c>
      <c r="F656" t="str">
        <f>"str_"&amp;Table1[[#This Row],[VEHIDCODE]]</f>
        <v>str_mu_Wagon_Gen1_Boxcar</v>
      </c>
      <c r="G656">
        <v>4</v>
      </c>
      <c r="H656" t="s">
        <v>600</v>
      </c>
      <c r="I656">
        <v>0</v>
      </c>
      <c r="J656" t="s">
        <v>35</v>
      </c>
      <c r="K656">
        <v>20</v>
      </c>
      <c r="L656">
        <v>1830</v>
      </c>
      <c r="M656">
        <v>4</v>
      </c>
      <c r="N656" s="2" t="s">
        <v>33</v>
      </c>
      <c r="O656" t="b">
        <v>1</v>
      </c>
      <c r="Q656" s="2" t="b">
        <v>1</v>
      </c>
      <c r="R656">
        <v>90</v>
      </c>
      <c r="S656">
        <v>0</v>
      </c>
      <c r="T656">
        <v>0</v>
      </c>
      <c r="U656" t="s">
        <v>711</v>
      </c>
      <c r="V656">
        <v>55</v>
      </c>
      <c r="W656" s="2">
        <v>0.3</v>
      </c>
      <c r="AF656" s="2" t="b">
        <v>1</v>
      </c>
      <c r="AO656" s="2" t="b">
        <v>1</v>
      </c>
      <c r="AX656" s="2" t="b">
        <v>1</v>
      </c>
      <c r="BA656" s="2"/>
      <c r="BB656" s="2" t="b">
        <f>LEN(_xlfn.CONCAT(Table1[[#This Row],[TRACK_TYPE_STANDARD_GAUGE_RAILTYPE_OHLE]:[TRACK_TYPE_MTRO]]))&gt;0</f>
        <v>1</v>
      </c>
      <c r="BC656" s="7">
        <v>25</v>
      </c>
      <c r="BD656" t="s">
        <v>936</v>
      </c>
      <c r="BE656" t="s">
        <v>922</v>
      </c>
      <c r="BF656" t="s">
        <v>940</v>
      </c>
      <c r="BG6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6">
        <v>0</v>
      </c>
      <c r="BI656" t="s">
        <v>734</v>
      </c>
      <c r="BK656" s="11"/>
      <c r="BL656" s="11">
        <v>6</v>
      </c>
      <c r="BM656">
        <v>0</v>
      </c>
      <c r="BN656" t="s">
        <v>692</v>
      </c>
      <c r="BO656" t="s">
        <v>694</v>
      </c>
      <c r="BP656" t="s">
        <v>701</v>
      </c>
      <c r="BQ656" t="s">
        <v>705</v>
      </c>
      <c r="BR656" t="s">
        <v>706</v>
      </c>
      <c r="BS656" t="s">
        <v>707</v>
      </c>
    </row>
    <row r="657" spans="1:71" x14ac:dyDescent="0.4">
      <c r="A657" s="2" t="s">
        <v>772</v>
      </c>
      <c r="B657" t="str">
        <f>_xlfn.TEXTAFTER(Table1[[#This Row],[VEHIDCODE]],"_")</f>
        <v>Wagon_Gen1_Tanker</v>
      </c>
      <c r="C657" t="s">
        <v>748</v>
      </c>
      <c r="D657" t="b">
        <f>OR(ISNUMBER(SEARCH("wagon_",Table1[[#This Row],[FILENAMES_EXPECTED]])),ISNUMBER(SEARCH("coach_",Table1[[#This Row],[FILENAMES_EXPECTED]])))</f>
        <v>1</v>
      </c>
      <c r="E657" t="str">
        <f>"item_"&amp;Table1[[#This Row],[VEHIDCODE]]</f>
        <v>item_mu_Wagon_Gen1_Tanker</v>
      </c>
      <c r="F657" t="str">
        <f>"str_"&amp;Table1[[#This Row],[VEHIDCODE]]</f>
        <v>str_mu_Wagon_Gen1_Tanker</v>
      </c>
      <c r="G657">
        <v>4</v>
      </c>
      <c r="H657" t="s">
        <v>610</v>
      </c>
      <c r="I657">
        <v>0</v>
      </c>
      <c r="J657" t="s">
        <v>35</v>
      </c>
      <c r="K657">
        <v>10</v>
      </c>
      <c r="L657">
        <v>1830</v>
      </c>
      <c r="M657">
        <v>4</v>
      </c>
      <c r="N657" s="2" t="s">
        <v>33</v>
      </c>
      <c r="O657" t="b">
        <v>1</v>
      </c>
      <c r="Q657" s="2" t="b">
        <v>1</v>
      </c>
      <c r="R657">
        <v>90</v>
      </c>
      <c r="S657">
        <v>0</v>
      </c>
      <c r="T657">
        <v>0</v>
      </c>
      <c r="U657" t="s">
        <v>711</v>
      </c>
      <c r="V657">
        <v>55</v>
      </c>
      <c r="W657" s="2">
        <v>0.3</v>
      </c>
      <c r="AF657" s="2" t="b">
        <v>1</v>
      </c>
      <c r="AO657" s="2" t="b">
        <v>1</v>
      </c>
      <c r="AX657" s="2" t="b">
        <v>1</v>
      </c>
      <c r="BA657" s="2"/>
      <c r="BB657" s="2" t="b">
        <f>LEN(_xlfn.CONCAT(Table1[[#This Row],[TRACK_TYPE_STANDARD_GAUGE_RAILTYPE_OHLE]:[TRACK_TYPE_MTRO]]))&gt;0</f>
        <v>1</v>
      </c>
      <c r="BC657" s="7">
        <v>25</v>
      </c>
      <c r="BD657" t="s">
        <v>936</v>
      </c>
      <c r="BE657" t="s">
        <v>922</v>
      </c>
      <c r="BF657" t="s">
        <v>940</v>
      </c>
      <c r="BG6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7">
        <v>0</v>
      </c>
      <c r="BI657" t="s">
        <v>734</v>
      </c>
      <c r="BK657" s="11"/>
      <c r="BL657" s="11">
        <v>7</v>
      </c>
      <c r="BM657">
        <v>0</v>
      </c>
      <c r="BN657" t="s">
        <v>692</v>
      </c>
      <c r="BO657" t="s">
        <v>694</v>
      </c>
      <c r="BP657" t="s">
        <v>701</v>
      </c>
      <c r="BQ657" t="s">
        <v>705</v>
      </c>
      <c r="BR657" t="s">
        <v>706</v>
      </c>
      <c r="BS657" t="s">
        <v>707</v>
      </c>
    </row>
    <row r="658" spans="1:71" x14ac:dyDescent="0.4">
      <c r="A658" s="2" t="s">
        <v>773</v>
      </c>
      <c r="B658" t="str">
        <f>_xlfn.TEXTAFTER(Table1[[#This Row],[VEHIDCODE]],"_")</f>
        <v>Wagon_Gen1_Open_Wagon</v>
      </c>
      <c r="C658" t="s">
        <v>748</v>
      </c>
      <c r="D658" t="b">
        <f>OR(ISNUMBER(SEARCH("wagon_",Table1[[#This Row],[FILENAMES_EXPECTED]])),ISNUMBER(SEARCH("coach_",Table1[[#This Row],[FILENAMES_EXPECTED]])))</f>
        <v>1</v>
      </c>
      <c r="E658" t="str">
        <f>"item_"&amp;Table1[[#This Row],[VEHIDCODE]]</f>
        <v>item_mu_Wagon_Gen1_Open_Wagon</v>
      </c>
      <c r="F658" t="str">
        <f>"str_"&amp;Table1[[#This Row],[VEHIDCODE]]</f>
        <v>str_mu_Wagon_Gen1_Open_Wagon</v>
      </c>
      <c r="G658">
        <v>4</v>
      </c>
      <c r="H658" t="s">
        <v>673</v>
      </c>
      <c r="I658">
        <v>0</v>
      </c>
      <c r="J658" t="s">
        <v>35</v>
      </c>
      <c r="K658">
        <v>18</v>
      </c>
      <c r="L658">
        <v>1830</v>
      </c>
      <c r="M658">
        <v>4</v>
      </c>
      <c r="N658" s="2" t="s">
        <v>33</v>
      </c>
      <c r="O658" t="b">
        <v>1</v>
      </c>
      <c r="Q658" s="2" t="b">
        <v>1</v>
      </c>
      <c r="R658">
        <v>90</v>
      </c>
      <c r="S658">
        <v>0</v>
      </c>
      <c r="T658">
        <v>0</v>
      </c>
      <c r="U658" t="s">
        <v>711</v>
      </c>
      <c r="V658">
        <v>55</v>
      </c>
      <c r="W658" s="2">
        <v>0.3</v>
      </c>
      <c r="AF658" s="2" t="b">
        <v>1</v>
      </c>
      <c r="AO658" s="2" t="b">
        <v>1</v>
      </c>
      <c r="AX658" s="2" t="b">
        <v>1</v>
      </c>
      <c r="BA658" s="2"/>
      <c r="BB658" s="2" t="b">
        <f>LEN(_xlfn.CONCAT(Table1[[#This Row],[TRACK_TYPE_STANDARD_GAUGE_RAILTYPE_OHLE]:[TRACK_TYPE_MTRO]]))&gt;0</f>
        <v>1</v>
      </c>
      <c r="BC658" s="7">
        <v>25</v>
      </c>
      <c r="BD658" t="s">
        <v>936</v>
      </c>
      <c r="BE658" t="s">
        <v>922</v>
      </c>
      <c r="BF658" t="s">
        <v>940</v>
      </c>
      <c r="BG6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8">
        <v>0</v>
      </c>
      <c r="BI658" t="s">
        <v>734</v>
      </c>
      <c r="BK658" s="11"/>
      <c r="BL658" s="11">
        <v>6</v>
      </c>
      <c r="BM658">
        <v>0</v>
      </c>
      <c r="BN658" t="s">
        <v>692</v>
      </c>
      <c r="BO658" t="s">
        <v>694</v>
      </c>
      <c r="BP658" t="s">
        <v>701</v>
      </c>
      <c r="BQ658" t="s">
        <v>705</v>
      </c>
      <c r="BR658" t="s">
        <v>706</v>
      </c>
      <c r="BS658" t="s">
        <v>707</v>
      </c>
    </row>
    <row r="659" spans="1:71" x14ac:dyDescent="0.4">
      <c r="A659" s="2" t="s">
        <v>845</v>
      </c>
      <c r="B659" t="str">
        <f>_xlfn.TEXTAFTER(Table1[[#This Row],[VEHIDCODE]],"_")</f>
        <v>Wagon_Gen2_Flat_Wagon</v>
      </c>
      <c r="C659" t="s">
        <v>749</v>
      </c>
      <c r="D659" t="b">
        <f>OR(ISNUMBER(SEARCH("wagon_",Table1[[#This Row],[FILENAMES_EXPECTED]])),ISNUMBER(SEARCH("coach_",Table1[[#This Row],[FILENAMES_EXPECTED]])))</f>
        <v>1</v>
      </c>
      <c r="E659" t="str">
        <f>"item_"&amp;Table1[[#This Row],[VEHIDCODE]]</f>
        <v>item_mu_Wagon_Gen2_Flat_Wagon</v>
      </c>
      <c r="F659" t="str">
        <f>"str_"&amp;Table1[[#This Row],[VEHIDCODE]]</f>
        <v>str_mu_Wagon_Gen2_Flat_Wagon</v>
      </c>
      <c r="G659">
        <v>5</v>
      </c>
      <c r="H659" t="s">
        <v>604</v>
      </c>
      <c r="I659">
        <v>0</v>
      </c>
      <c r="J659" t="s">
        <v>35</v>
      </c>
      <c r="K659">
        <v>30</v>
      </c>
      <c r="L659">
        <v>1900</v>
      </c>
      <c r="M659">
        <v>5</v>
      </c>
      <c r="N659" s="2" t="s">
        <v>33</v>
      </c>
      <c r="O659" t="b">
        <v>1</v>
      </c>
      <c r="Q659" s="2" t="b">
        <v>1</v>
      </c>
      <c r="R659">
        <v>50</v>
      </c>
      <c r="S659">
        <v>0</v>
      </c>
      <c r="T659">
        <v>0</v>
      </c>
      <c r="U659" t="s">
        <v>711</v>
      </c>
      <c r="V659">
        <v>70</v>
      </c>
      <c r="W659" s="2">
        <v>0.3</v>
      </c>
      <c r="AF659" s="2" t="b">
        <v>1</v>
      </c>
      <c r="AO659" s="2" t="b">
        <v>1</v>
      </c>
      <c r="AX659" s="2" t="b">
        <v>1</v>
      </c>
      <c r="BA659" s="2"/>
      <c r="BB659" s="2" t="b">
        <f>LEN(_xlfn.CONCAT(Table1[[#This Row],[TRACK_TYPE_STANDARD_GAUGE_RAILTYPE_OHLE]:[TRACK_TYPE_MTRO]]))&gt;0</f>
        <v>1</v>
      </c>
      <c r="BC659" s="7">
        <v>25</v>
      </c>
      <c r="BD659" t="s">
        <v>936</v>
      </c>
      <c r="BE659" t="s">
        <v>922</v>
      </c>
      <c r="BF659" t="s">
        <v>940</v>
      </c>
      <c r="BG6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9">
        <v>0</v>
      </c>
      <c r="BI659" t="s">
        <v>734</v>
      </c>
      <c r="BK659" s="11"/>
      <c r="BL659" s="11">
        <v>11</v>
      </c>
      <c r="BM659">
        <v>0</v>
      </c>
      <c r="BN659" t="s">
        <v>692</v>
      </c>
      <c r="BO659" t="s">
        <v>694</v>
      </c>
      <c r="BP659" t="s">
        <v>701</v>
      </c>
      <c r="BQ659" t="s">
        <v>705</v>
      </c>
      <c r="BR659" t="s">
        <v>706</v>
      </c>
      <c r="BS659" t="s">
        <v>707</v>
      </c>
    </row>
    <row r="660" spans="1:71" x14ac:dyDescent="0.4">
      <c r="A660" s="2" t="s">
        <v>846</v>
      </c>
      <c r="B660" t="str">
        <f>_xlfn.TEXTAFTER(Table1[[#This Row],[VEHIDCODE]],"_")</f>
        <v>Wagon_Gen2_Boxcar_Type1</v>
      </c>
      <c r="C660" t="s">
        <v>749</v>
      </c>
      <c r="D660" t="b">
        <f>OR(ISNUMBER(SEARCH("wagon_",Table1[[#This Row],[FILENAMES_EXPECTED]])),ISNUMBER(SEARCH("coach_",Table1[[#This Row],[FILENAMES_EXPECTED]])))</f>
        <v>1</v>
      </c>
      <c r="E660" t="str">
        <f>"item_"&amp;Table1[[#This Row],[VEHIDCODE]]</f>
        <v>item_mu_Wagon_Gen2_Boxcar_Type1</v>
      </c>
      <c r="F660" t="str">
        <f>"str_"&amp;Table1[[#This Row],[VEHIDCODE]]</f>
        <v>str_mu_Wagon_Gen2_Boxcar_Type1</v>
      </c>
      <c r="G660">
        <v>5</v>
      </c>
      <c r="H660" t="s">
        <v>600</v>
      </c>
      <c r="I660">
        <v>0</v>
      </c>
      <c r="J660" t="s">
        <v>35</v>
      </c>
      <c r="K660">
        <v>25</v>
      </c>
      <c r="L660">
        <v>1890</v>
      </c>
      <c r="M660">
        <v>5</v>
      </c>
      <c r="N660" s="2" t="s">
        <v>33</v>
      </c>
      <c r="O660" t="b">
        <v>1</v>
      </c>
      <c r="Q660" s="2" t="b">
        <v>1</v>
      </c>
      <c r="R660">
        <v>60</v>
      </c>
      <c r="S660">
        <v>0</v>
      </c>
      <c r="T660">
        <v>0</v>
      </c>
      <c r="U660" t="s">
        <v>711</v>
      </c>
      <c r="V660">
        <v>90</v>
      </c>
      <c r="W660" s="2">
        <v>0.3</v>
      </c>
      <c r="AF660" s="2" t="b">
        <v>1</v>
      </c>
      <c r="AO660" s="2" t="b">
        <v>1</v>
      </c>
      <c r="AX660" s="2" t="b">
        <v>1</v>
      </c>
      <c r="BA660" s="2"/>
      <c r="BB660" s="2" t="b">
        <f>LEN(_xlfn.CONCAT(Table1[[#This Row],[TRACK_TYPE_STANDARD_GAUGE_RAILTYPE_OHLE]:[TRACK_TYPE_MTRO]]))&gt;0</f>
        <v>1</v>
      </c>
      <c r="BC660" s="7">
        <v>25</v>
      </c>
      <c r="BD660" t="s">
        <v>933</v>
      </c>
      <c r="BE660" t="s">
        <v>922</v>
      </c>
      <c r="BF660" t="s">
        <v>940</v>
      </c>
      <c r="BG6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0">
        <v>0</v>
      </c>
      <c r="BI660" t="s">
        <v>734</v>
      </c>
      <c r="BK660" s="11"/>
      <c r="BL660" s="11">
        <v>12</v>
      </c>
      <c r="BM660">
        <v>0</v>
      </c>
      <c r="BN660" t="s">
        <v>692</v>
      </c>
      <c r="BO660" t="s">
        <v>694</v>
      </c>
      <c r="BP660" t="s">
        <v>701</v>
      </c>
      <c r="BQ660" t="s">
        <v>705</v>
      </c>
      <c r="BR660" t="s">
        <v>706</v>
      </c>
      <c r="BS660" t="s">
        <v>707</v>
      </c>
    </row>
    <row r="661" spans="1:71" x14ac:dyDescent="0.4">
      <c r="A661" s="2" t="s">
        <v>847</v>
      </c>
      <c r="B661" t="str">
        <f>_xlfn.TEXTAFTER(Table1[[#This Row],[VEHIDCODE]],"_")</f>
        <v>Wagon_Gen2_Boxcar_Type2</v>
      </c>
      <c r="C661" t="s">
        <v>749</v>
      </c>
      <c r="D661" t="b">
        <f>OR(ISNUMBER(SEARCH("wagon_",Table1[[#This Row],[FILENAMES_EXPECTED]])),ISNUMBER(SEARCH("coach_",Table1[[#This Row],[FILENAMES_EXPECTED]])))</f>
        <v>1</v>
      </c>
      <c r="E661" t="str">
        <f>"item_"&amp;Table1[[#This Row],[VEHIDCODE]]</f>
        <v>item_mu_Wagon_Gen2_Boxcar_Type2</v>
      </c>
      <c r="F661" t="str">
        <f>"str_"&amp;Table1[[#This Row],[VEHIDCODE]]</f>
        <v>str_mu_Wagon_Gen2_Boxcar_Type2</v>
      </c>
      <c r="G661">
        <v>5</v>
      </c>
      <c r="H661" t="s">
        <v>600</v>
      </c>
      <c r="I661">
        <v>0</v>
      </c>
      <c r="J661" t="s">
        <v>35</v>
      </c>
      <c r="K661">
        <v>25</v>
      </c>
      <c r="L661">
        <v>1890</v>
      </c>
      <c r="M661">
        <v>5</v>
      </c>
      <c r="N661" s="2" t="s">
        <v>33</v>
      </c>
      <c r="O661" t="b">
        <v>1</v>
      </c>
      <c r="Q661" s="2" t="b">
        <v>1</v>
      </c>
      <c r="R661">
        <v>60</v>
      </c>
      <c r="S661">
        <v>0</v>
      </c>
      <c r="T661">
        <v>0</v>
      </c>
      <c r="U661" t="s">
        <v>711</v>
      </c>
      <c r="V661">
        <v>90</v>
      </c>
      <c r="W661" s="2">
        <v>0.3</v>
      </c>
      <c r="AF661" s="2" t="b">
        <v>1</v>
      </c>
      <c r="AO661" s="2" t="b">
        <v>1</v>
      </c>
      <c r="AX661" s="2" t="b">
        <v>1</v>
      </c>
      <c r="BA661" s="2"/>
      <c r="BB661" s="2" t="b">
        <f>LEN(_xlfn.CONCAT(Table1[[#This Row],[TRACK_TYPE_STANDARD_GAUGE_RAILTYPE_OHLE]:[TRACK_TYPE_MTRO]]))&gt;0</f>
        <v>1</v>
      </c>
      <c r="BC661" s="7">
        <v>25</v>
      </c>
      <c r="BD661" t="s">
        <v>934</v>
      </c>
      <c r="BE661" t="s">
        <v>922</v>
      </c>
      <c r="BF661" t="s">
        <v>940</v>
      </c>
      <c r="BG6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1">
        <v>0</v>
      </c>
      <c r="BI661" t="s">
        <v>734</v>
      </c>
      <c r="BK661" s="11"/>
      <c r="BL661" s="11">
        <v>12</v>
      </c>
      <c r="BM661">
        <v>0</v>
      </c>
      <c r="BN661" t="s">
        <v>692</v>
      </c>
      <c r="BO661" t="s">
        <v>694</v>
      </c>
      <c r="BP661" t="s">
        <v>701</v>
      </c>
      <c r="BQ661" t="s">
        <v>705</v>
      </c>
      <c r="BR661" t="s">
        <v>706</v>
      </c>
      <c r="BS661" t="s">
        <v>707</v>
      </c>
    </row>
    <row r="662" spans="1:71" x14ac:dyDescent="0.4">
      <c r="A662" s="2" t="s">
        <v>848</v>
      </c>
      <c r="B662" t="str">
        <f>_xlfn.TEXTAFTER(Table1[[#This Row],[VEHIDCODE]],"_")</f>
        <v>Wagon_Gen2_Tanker</v>
      </c>
      <c r="C662" t="s">
        <v>749</v>
      </c>
      <c r="D662" t="b">
        <f>OR(ISNUMBER(SEARCH("wagon_",Table1[[#This Row],[FILENAMES_EXPECTED]])),ISNUMBER(SEARCH("coach_",Table1[[#This Row],[FILENAMES_EXPECTED]])))</f>
        <v>1</v>
      </c>
      <c r="E662" t="str">
        <f>"item_"&amp;Table1[[#This Row],[VEHIDCODE]]</f>
        <v>item_mu_Wagon_Gen2_Tanker</v>
      </c>
      <c r="F662" t="str">
        <f>"str_"&amp;Table1[[#This Row],[VEHIDCODE]]</f>
        <v>str_mu_Wagon_Gen2_Tanker</v>
      </c>
      <c r="G662">
        <v>5</v>
      </c>
      <c r="H662" t="s">
        <v>610</v>
      </c>
      <c r="I662">
        <v>0</v>
      </c>
      <c r="J662" t="s">
        <v>35</v>
      </c>
      <c r="K662">
        <v>20</v>
      </c>
      <c r="L662">
        <v>1900</v>
      </c>
      <c r="M662">
        <v>5</v>
      </c>
      <c r="N662" s="2" t="s">
        <v>33</v>
      </c>
      <c r="O662" t="b">
        <v>1</v>
      </c>
      <c r="Q662" s="2" t="b">
        <v>1</v>
      </c>
      <c r="R662">
        <v>50</v>
      </c>
      <c r="S662">
        <v>0</v>
      </c>
      <c r="T662">
        <v>0</v>
      </c>
      <c r="U662" t="s">
        <v>711</v>
      </c>
      <c r="V662">
        <v>70</v>
      </c>
      <c r="W662" s="2">
        <v>0.3</v>
      </c>
      <c r="AF662" s="2" t="b">
        <v>1</v>
      </c>
      <c r="AO662" s="2" t="b">
        <v>1</v>
      </c>
      <c r="AX662" s="2" t="b">
        <v>1</v>
      </c>
      <c r="BA662" s="2"/>
      <c r="BB662" s="2" t="b">
        <f>LEN(_xlfn.CONCAT(Table1[[#This Row],[TRACK_TYPE_STANDARD_GAUGE_RAILTYPE_OHLE]:[TRACK_TYPE_MTRO]]))&gt;0</f>
        <v>1</v>
      </c>
      <c r="BC662" s="7">
        <v>25</v>
      </c>
      <c r="BD662" t="s">
        <v>936</v>
      </c>
      <c r="BE662" t="s">
        <v>922</v>
      </c>
      <c r="BF662" t="s">
        <v>940</v>
      </c>
      <c r="BG6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2">
        <v>0</v>
      </c>
      <c r="BI662" t="s">
        <v>734</v>
      </c>
      <c r="BK662" s="11"/>
      <c r="BL662" s="11">
        <v>14</v>
      </c>
      <c r="BM662">
        <v>0</v>
      </c>
      <c r="BN662" t="s">
        <v>692</v>
      </c>
      <c r="BO662" t="s">
        <v>694</v>
      </c>
      <c r="BP662" t="s">
        <v>701</v>
      </c>
      <c r="BQ662" t="s">
        <v>705</v>
      </c>
      <c r="BR662" t="s">
        <v>706</v>
      </c>
      <c r="BS662" t="s">
        <v>707</v>
      </c>
    </row>
    <row r="663" spans="1:71" x14ac:dyDescent="0.4">
      <c r="A663" s="2" t="s">
        <v>849</v>
      </c>
      <c r="B663" t="str">
        <f>_xlfn.TEXTAFTER(Table1[[#This Row],[VEHIDCODE]],"_")</f>
        <v>Wagon_Gen2_Open_Wagon</v>
      </c>
      <c r="C663" t="s">
        <v>749</v>
      </c>
      <c r="D663" t="b">
        <f>OR(ISNUMBER(SEARCH("wagon_",Table1[[#This Row],[FILENAMES_EXPECTED]])),ISNUMBER(SEARCH("coach_",Table1[[#This Row],[FILENAMES_EXPECTED]])))</f>
        <v>1</v>
      </c>
      <c r="E663" t="str">
        <f>"item_"&amp;Table1[[#This Row],[VEHIDCODE]]</f>
        <v>item_mu_Wagon_Gen2_Open_Wagon</v>
      </c>
      <c r="F663" t="str">
        <f>"str_"&amp;Table1[[#This Row],[VEHIDCODE]]</f>
        <v>str_mu_Wagon_Gen2_Open_Wagon</v>
      </c>
      <c r="G663">
        <v>5</v>
      </c>
      <c r="H663" t="s">
        <v>673</v>
      </c>
      <c r="I663">
        <v>0</v>
      </c>
      <c r="J663" t="s">
        <v>35</v>
      </c>
      <c r="K663">
        <v>26</v>
      </c>
      <c r="L663">
        <v>1890</v>
      </c>
      <c r="M663">
        <v>5</v>
      </c>
      <c r="N663" s="2" t="s">
        <v>33</v>
      </c>
      <c r="O663" t="b">
        <v>1</v>
      </c>
      <c r="Q663" s="2" t="b">
        <v>1</v>
      </c>
      <c r="R663">
        <v>60</v>
      </c>
      <c r="S663">
        <v>0</v>
      </c>
      <c r="T663">
        <v>0</v>
      </c>
      <c r="U663" t="s">
        <v>711</v>
      </c>
      <c r="V663">
        <v>70</v>
      </c>
      <c r="W663" s="2">
        <v>0.3</v>
      </c>
      <c r="AF663" s="2" t="b">
        <v>1</v>
      </c>
      <c r="AO663" s="2" t="b">
        <v>1</v>
      </c>
      <c r="AX663" s="2" t="b">
        <v>1</v>
      </c>
      <c r="BA663" s="2"/>
      <c r="BB663" s="2" t="b">
        <f>LEN(_xlfn.CONCAT(Table1[[#This Row],[TRACK_TYPE_STANDARD_GAUGE_RAILTYPE_OHLE]:[TRACK_TYPE_MTRO]]))&gt;0</f>
        <v>1</v>
      </c>
      <c r="BC663" s="7">
        <v>25</v>
      </c>
      <c r="BD663" t="s">
        <v>936</v>
      </c>
      <c r="BE663" t="s">
        <v>922</v>
      </c>
      <c r="BF663" t="s">
        <v>940</v>
      </c>
      <c r="BG6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3">
        <v>0</v>
      </c>
      <c r="BI663" t="s">
        <v>734</v>
      </c>
      <c r="BK663" s="11"/>
      <c r="BL663" s="11">
        <v>11</v>
      </c>
      <c r="BM663">
        <v>0</v>
      </c>
      <c r="BN663" t="s">
        <v>692</v>
      </c>
      <c r="BO663" t="s">
        <v>694</v>
      </c>
      <c r="BP663" t="s">
        <v>701</v>
      </c>
      <c r="BQ663" t="s">
        <v>705</v>
      </c>
      <c r="BR663" t="s">
        <v>706</v>
      </c>
      <c r="BS663" t="s">
        <v>707</v>
      </c>
    </row>
    <row r="664" spans="1:71" x14ac:dyDescent="0.4">
      <c r="A664" s="2" t="s">
        <v>850</v>
      </c>
      <c r="B664" t="str">
        <f>_xlfn.TEXTAFTER(Table1[[#This Row],[VEHIDCODE]],"_")</f>
        <v>Wagon_Gen2_Silo</v>
      </c>
      <c r="C664" t="s">
        <v>749</v>
      </c>
      <c r="D664" t="b">
        <f>OR(ISNUMBER(SEARCH("wagon_",Table1[[#This Row],[FILENAMES_EXPECTED]])),ISNUMBER(SEARCH("coach_",Table1[[#This Row],[FILENAMES_EXPECTED]])))</f>
        <v>1</v>
      </c>
      <c r="E664" t="str">
        <f>"item_"&amp;Table1[[#This Row],[VEHIDCODE]]</f>
        <v>item_mu_Wagon_Gen2_Silo</v>
      </c>
      <c r="F664" t="str">
        <f>"str_"&amp;Table1[[#This Row],[VEHIDCODE]]</f>
        <v>str_mu_Wagon_Gen2_Silo</v>
      </c>
      <c r="G664">
        <v>5</v>
      </c>
      <c r="H664" t="s">
        <v>608</v>
      </c>
      <c r="I664">
        <v>0</v>
      </c>
      <c r="J664" t="s">
        <v>35</v>
      </c>
      <c r="K664">
        <v>25</v>
      </c>
      <c r="L664">
        <v>1900</v>
      </c>
      <c r="M664">
        <v>5</v>
      </c>
      <c r="N664" s="2" t="s">
        <v>33</v>
      </c>
      <c r="O664" t="b">
        <v>1</v>
      </c>
      <c r="Q664" s="2" t="b">
        <v>1</v>
      </c>
      <c r="R664">
        <v>50</v>
      </c>
      <c r="S664">
        <v>0</v>
      </c>
      <c r="T664">
        <v>0</v>
      </c>
      <c r="U664" t="s">
        <v>711</v>
      </c>
      <c r="V664">
        <v>70</v>
      </c>
      <c r="W664" s="2">
        <v>0.3</v>
      </c>
      <c r="AF664" s="2" t="b">
        <v>1</v>
      </c>
      <c r="AO664" s="2" t="b">
        <v>1</v>
      </c>
      <c r="AX664" s="2" t="b">
        <v>1</v>
      </c>
      <c r="BA664" s="2"/>
      <c r="BB664" s="2" t="b">
        <f>LEN(_xlfn.CONCAT(Table1[[#This Row],[TRACK_TYPE_STANDARD_GAUGE_RAILTYPE_OHLE]:[TRACK_TYPE_MTRO]]))&gt;0</f>
        <v>1</v>
      </c>
      <c r="BC664" s="7">
        <v>25</v>
      </c>
      <c r="BD664" t="s">
        <v>936</v>
      </c>
      <c r="BE664" t="s">
        <v>922</v>
      </c>
      <c r="BF664" t="s">
        <v>940</v>
      </c>
      <c r="BG6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4">
        <v>0</v>
      </c>
      <c r="BI664" t="s">
        <v>734</v>
      </c>
      <c r="BK664" s="11"/>
      <c r="BL664" s="11">
        <v>14</v>
      </c>
      <c r="BM664">
        <v>0</v>
      </c>
      <c r="BN664" t="s">
        <v>692</v>
      </c>
      <c r="BO664" t="s">
        <v>694</v>
      </c>
      <c r="BP664" t="s">
        <v>701</v>
      </c>
      <c r="BQ664" t="s">
        <v>705</v>
      </c>
      <c r="BR664" t="s">
        <v>706</v>
      </c>
      <c r="BS664" t="s">
        <v>707</v>
      </c>
    </row>
    <row r="665" spans="1:71" x14ac:dyDescent="0.4">
      <c r="A665" s="2" t="s">
        <v>851</v>
      </c>
      <c r="B665" t="str">
        <f>_xlfn.TEXTAFTER(Table1[[#This Row],[VEHIDCODE]],"_")</f>
        <v>Wagon_Gen2_Hopper</v>
      </c>
      <c r="C665" t="s">
        <v>749</v>
      </c>
      <c r="D665" t="b">
        <f>OR(ISNUMBER(SEARCH("wagon_",Table1[[#This Row],[FILENAMES_EXPECTED]])),ISNUMBER(SEARCH("coach_",Table1[[#This Row],[FILENAMES_EXPECTED]])))</f>
        <v>1</v>
      </c>
      <c r="E665" t="str">
        <f>"item_"&amp;Table1[[#This Row],[VEHIDCODE]]</f>
        <v>item_mu_Wagon_Gen2_Hopper</v>
      </c>
      <c r="F665" t="str">
        <f>"str_"&amp;Table1[[#This Row],[VEHIDCODE]]</f>
        <v>str_mu_Wagon_Gen2_Hopper</v>
      </c>
      <c r="G665">
        <v>5</v>
      </c>
      <c r="H665" t="s">
        <v>607</v>
      </c>
      <c r="I665">
        <v>0</v>
      </c>
      <c r="J665" t="s">
        <v>35</v>
      </c>
      <c r="K665">
        <v>30</v>
      </c>
      <c r="L665">
        <v>1890</v>
      </c>
      <c r="M665">
        <v>5</v>
      </c>
      <c r="N665" s="2" t="s">
        <v>33</v>
      </c>
      <c r="O665" t="b">
        <v>1</v>
      </c>
      <c r="Q665" s="2" t="b">
        <v>1</v>
      </c>
      <c r="R665">
        <v>60</v>
      </c>
      <c r="S665">
        <v>0</v>
      </c>
      <c r="T665">
        <v>0</v>
      </c>
      <c r="U665" t="s">
        <v>711</v>
      </c>
      <c r="V665">
        <v>70</v>
      </c>
      <c r="W665" s="2">
        <v>0.3</v>
      </c>
      <c r="AF665" s="2" t="b">
        <v>1</v>
      </c>
      <c r="AO665" s="2" t="b">
        <v>1</v>
      </c>
      <c r="AX665" s="2" t="b">
        <v>1</v>
      </c>
      <c r="BA665" s="2"/>
      <c r="BB665" s="2" t="b">
        <f>LEN(_xlfn.CONCAT(Table1[[#This Row],[TRACK_TYPE_STANDARD_GAUGE_RAILTYPE_OHLE]:[TRACK_TYPE_MTRO]]))&gt;0</f>
        <v>1</v>
      </c>
      <c r="BC665" s="7">
        <v>25</v>
      </c>
      <c r="BD665" t="s">
        <v>936</v>
      </c>
      <c r="BE665" t="s">
        <v>922</v>
      </c>
      <c r="BF665" t="s">
        <v>940</v>
      </c>
      <c r="BG6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5">
        <v>0</v>
      </c>
      <c r="BI665" t="s">
        <v>734</v>
      </c>
      <c r="BK665" s="11"/>
      <c r="BL665" s="11">
        <v>12</v>
      </c>
      <c r="BM665">
        <v>0</v>
      </c>
      <c r="BN665" t="s">
        <v>692</v>
      </c>
      <c r="BO665" t="s">
        <v>694</v>
      </c>
      <c r="BP665" t="s">
        <v>701</v>
      </c>
      <c r="BQ665" t="s">
        <v>705</v>
      </c>
      <c r="BR665" t="s">
        <v>706</v>
      </c>
      <c r="BS665" t="s">
        <v>707</v>
      </c>
    </row>
    <row r="666" spans="1:71" x14ac:dyDescent="0.4">
      <c r="A666" s="2" t="s">
        <v>852</v>
      </c>
      <c r="B666" t="str">
        <f>_xlfn.TEXTAFTER(Table1[[#This Row],[VEHIDCODE]],"_")</f>
        <v>Wagon_Gen3_Flat_Wagon</v>
      </c>
      <c r="C666" t="s">
        <v>750</v>
      </c>
      <c r="D666" t="b">
        <f>OR(ISNUMBER(SEARCH("wagon_",Table1[[#This Row],[FILENAMES_EXPECTED]])),ISNUMBER(SEARCH("coach_",Table1[[#This Row],[FILENAMES_EXPECTED]])))</f>
        <v>1</v>
      </c>
      <c r="E666" t="str">
        <f>"item_"&amp;Table1[[#This Row],[VEHIDCODE]]</f>
        <v>item_mu_Wagon_Gen3_Flat_Wagon</v>
      </c>
      <c r="F666" t="str">
        <f>"str_"&amp;Table1[[#This Row],[VEHIDCODE]]</f>
        <v>str_mu_Wagon_Gen3_Flat_Wagon</v>
      </c>
      <c r="G666">
        <v>6</v>
      </c>
      <c r="H666" t="s">
        <v>604</v>
      </c>
      <c r="I666">
        <v>0</v>
      </c>
      <c r="J666" t="s">
        <v>35</v>
      </c>
      <c r="K666">
        <v>40</v>
      </c>
      <c r="L666">
        <v>1930</v>
      </c>
      <c r="M666">
        <v>6</v>
      </c>
      <c r="N666" s="2" t="s">
        <v>33</v>
      </c>
      <c r="O666" t="b">
        <v>1</v>
      </c>
      <c r="Q666" s="2" t="b">
        <v>1</v>
      </c>
      <c r="R666">
        <v>50</v>
      </c>
      <c r="S666">
        <v>0</v>
      </c>
      <c r="T666">
        <v>0</v>
      </c>
      <c r="U666" t="s">
        <v>711</v>
      </c>
      <c r="V666">
        <v>80</v>
      </c>
      <c r="W666" s="2">
        <v>0.3</v>
      </c>
      <c r="AF666" s="2" t="b">
        <v>1</v>
      </c>
      <c r="AO666" s="2" t="b">
        <v>1</v>
      </c>
      <c r="AX666" s="2" t="b">
        <v>1</v>
      </c>
      <c r="BA666" s="2"/>
      <c r="BB666" s="2" t="b">
        <f>LEN(_xlfn.CONCAT(Table1[[#This Row],[TRACK_TYPE_STANDARD_GAUGE_RAILTYPE_OHLE]:[TRACK_TYPE_MTRO]]))&gt;0</f>
        <v>1</v>
      </c>
      <c r="BC666" s="7">
        <v>25</v>
      </c>
      <c r="BD666" t="s">
        <v>936</v>
      </c>
      <c r="BE666" t="s">
        <v>922</v>
      </c>
      <c r="BF666" t="s">
        <v>940</v>
      </c>
      <c r="BG6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6">
        <v>0</v>
      </c>
      <c r="BI666" t="s">
        <v>734</v>
      </c>
      <c r="BK666" s="11"/>
      <c r="BL666" s="11">
        <v>21</v>
      </c>
      <c r="BM666">
        <v>0</v>
      </c>
      <c r="BN666" t="s">
        <v>692</v>
      </c>
      <c r="BO666" t="s">
        <v>694</v>
      </c>
      <c r="BP666" t="s">
        <v>701</v>
      </c>
      <c r="BQ666" t="s">
        <v>705</v>
      </c>
      <c r="BR666" t="s">
        <v>706</v>
      </c>
      <c r="BS666" t="s">
        <v>707</v>
      </c>
    </row>
    <row r="667" spans="1:71" x14ac:dyDescent="0.4">
      <c r="A667" s="2" t="s">
        <v>853</v>
      </c>
      <c r="B667" t="str">
        <f>_xlfn.TEXTAFTER(Table1[[#This Row],[VEHIDCODE]],"_")</f>
        <v>Wagon_Gen3_Boxcar_Type1</v>
      </c>
      <c r="C667" t="s">
        <v>750</v>
      </c>
      <c r="D667" t="b">
        <f>OR(ISNUMBER(SEARCH("wagon_",Table1[[#This Row],[FILENAMES_EXPECTED]])),ISNUMBER(SEARCH("coach_",Table1[[#This Row],[FILENAMES_EXPECTED]])))</f>
        <v>1</v>
      </c>
      <c r="E667" t="str">
        <f>"item_"&amp;Table1[[#This Row],[VEHIDCODE]]</f>
        <v>item_mu_Wagon_Gen3_Boxcar_Type1</v>
      </c>
      <c r="F667" t="str">
        <f>"str_"&amp;Table1[[#This Row],[VEHIDCODE]]</f>
        <v>str_mu_Wagon_Gen3_Boxcar_Type1</v>
      </c>
      <c r="G667">
        <v>6</v>
      </c>
      <c r="H667" t="s">
        <v>600</v>
      </c>
      <c r="I667">
        <v>0</v>
      </c>
      <c r="J667" t="s">
        <v>35</v>
      </c>
      <c r="K667">
        <v>40</v>
      </c>
      <c r="L667">
        <v>1920</v>
      </c>
      <c r="M667">
        <v>6</v>
      </c>
      <c r="N667" s="2" t="s">
        <v>33</v>
      </c>
      <c r="O667" t="b">
        <v>1</v>
      </c>
      <c r="Q667" s="2" t="b">
        <v>1</v>
      </c>
      <c r="R667">
        <v>60</v>
      </c>
      <c r="S667">
        <v>0</v>
      </c>
      <c r="T667">
        <v>0</v>
      </c>
      <c r="U667" t="s">
        <v>711</v>
      </c>
      <c r="V667">
        <v>100</v>
      </c>
      <c r="W667" s="2">
        <v>0.3</v>
      </c>
      <c r="AF667" s="2" t="b">
        <v>1</v>
      </c>
      <c r="AO667" s="2" t="b">
        <v>1</v>
      </c>
      <c r="AX667" s="2" t="b">
        <v>1</v>
      </c>
      <c r="BA667" s="2"/>
      <c r="BB667" s="2" t="b">
        <f>LEN(_xlfn.CONCAT(Table1[[#This Row],[TRACK_TYPE_STANDARD_GAUGE_RAILTYPE_OHLE]:[TRACK_TYPE_MTRO]]))&gt;0</f>
        <v>1</v>
      </c>
      <c r="BC667" s="7">
        <v>25</v>
      </c>
      <c r="BD667" t="s">
        <v>933</v>
      </c>
      <c r="BE667" t="s">
        <v>922</v>
      </c>
      <c r="BF667" t="s">
        <v>940</v>
      </c>
      <c r="BG6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7">
        <v>0</v>
      </c>
      <c r="BI667" t="s">
        <v>734</v>
      </c>
      <c r="BK667" s="11"/>
      <c r="BL667" s="11">
        <v>23</v>
      </c>
      <c r="BM667">
        <v>0</v>
      </c>
      <c r="BN667" t="s">
        <v>692</v>
      </c>
      <c r="BO667" t="s">
        <v>694</v>
      </c>
      <c r="BP667" t="s">
        <v>701</v>
      </c>
      <c r="BQ667" t="s">
        <v>705</v>
      </c>
      <c r="BR667" t="s">
        <v>706</v>
      </c>
      <c r="BS667" t="s">
        <v>707</v>
      </c>
    </row>
    <row r="668" spans="1:71" x14ac:dyDescent="0.4">
      <c r="A668" s="2" t="s">
        <v>854</v>
      </c>
      <c r="B668" t="str">
        <f>_xlfn.TEXTAFTER(Table1[[#This Row],[VEHIDCODE]],"_")</f>
        <v>Wagon_Gen3_Boxcar_Type2</v>
      </c>
      <c r="C668" t="s">
        <v>750</v>
      </c>
      <c r="D668" t="b">
        <f>OR(ISNUMBER(SEARCH("wagon_",Table1[[#This Row],[FILENAMES_EXPECTED]])),ISNUMBER(SEARCH("coach_",Table1[[#This Row],[FILENAMES_EXPECTED]])))</f>
        <v>1</v>
      </c>
      <c r="E668" t="str">
        <f>"item_"&amp;Table1[[#This Row],[VEHIDCODE]]</f>
        <v>item_mu_Wagon_Gen3_Boxcar_Type2</v>
      </c>
      <c r="F668" t="str">
        <f>"str_"&amp;Table1[[#This Row],[VEHIDCODE]]</f>
        <v>str_mu_Wagon_Gen3_Boxcar_Type2</v>
      </c>
      <c r="G668">
        <v>6</v>
      </c>
      <c r="H668" t="s">
        <v>600</v>
      </c>
      <c r="I668">
        <v>0</v>
      </c>
      <c r="J668" t="s">
        <v>35</v>
      </c>
      <c r="K668">
        <v>40</v>
      </c>
      <c r="L668">
        <v>1920</v>
      </c>
      <c r="M668">
        <v>6</v>
      </c>
      <c r="N668" s="2" t="s">
        <v>33</v>
      </c>
      <c r="O668" t="b">
        <v>1</v>
      </c>
      <c r="Q668" s="2" t="b">
        <v>1</v>
      </c>
      <c r="R668">
        <v>60</v>
      </c>
      <c r="S668">
        <v>0</v>
      </c>
      <c r="T668">
        <v>0</v>
      </c>
      <c r="U668" t="s">
        <v>711</v>
      </c>
      <c r="V668">
        <v>100</v>
      </c>
      <c r="W668" s="2">
        <v>0.3</v>
      </c>
      <c r="AF668" s="2" t="b">
        <v>1</v>
      </c>
      <c r="AO668" s="2" t="b">
        <v>1</v>
      </c>
      <c r="AX668" s="2" t="b">
        <v>1</v>
      </c>
      <c r="BA668" s="2"/>
      <c r="BB668" s="2" t="b">
        <f>LEN(_xlfn.CONCAT(Table1[[#This Row],[TRACK_TYPE_STANDARD_GAUGE_RAILTYPE_OHLE]:[TRACK_TYPE_MTRO]]))&gt;0</f>
        <v>1</v>
      </c>
      <c r="BC668" s="7">
        <v>25</v>
      </c>
      <c r="BD668" t="s">
        <v>934</v>
      </c>
      <c r="BE668" t="s">
        <v>922</v>
      </c>
      <c r="BF668" t="s">
        <v>940</v>
      </c>
      <c r="BG6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8">
        <v>0</v>
      </c>
      <c r="BI668" t="s">
        <v>734</v>
      </c>
      <c r="BK668" s="11"/>
      <c r="BL668" s="11">
        <v>23</v>
      </c>
      <c r="BM668">
        <v>0</v>
      </c>
      <c r="BN668" t="s">
        <v>692</v>
      </c>
      <c r="BO668" t="s">
        <v>694</v>
      </c>
      <c r="BP668" t="s">
        <v>701</v>
      </c>
      <c r="BQ668" t="s">
        <v>705</v>
      </c>
      <c r="BR668" t="s">
        <v>706</v>
      </c>
      <c r="BS668" t="s">
        <v>707</v>
      </c>
    </row>
    <row r="669" spans="1:71" x14ac:dyDescent="0.4">
      <c r="A669" s="2" t="s">
        <v>855</v>
      </c>
      <c r="B669" t="str">
        <f>_xlfn.TEXTAFTER(Table1[[#This Row],[VEHIDCODE]],"_")</f>
        <v>Wagon_Gen3_Tanker</v>
      </c>
      <c r="C669" t="s">
        <v>750</v>
      </c>
      <c r="D669" t="b">
        <f>OR(ISNUMBER(SEARCH("wagon_",Table1[[#This Row],[FILENAMES_EXPECTED]])),ISNUMBER(SEARCH("coach_",Table1[[#This Row],[FILENAMES_EXPECTED]])))</f>
        <v>1</v>
      </c>
      <c r="E669" t="str">
        <f>"item_"&amp;Table1[[#This Row],[VEHIDCODE]]</f>
        <v>item_mu_Wagon_Gen3_Tanker</v>
      </c>
      <c r="F669" t="str">
        <f>"str_"&amp;Table1[[#This Row],[VEHIDCODE]]</f>
        <v>str_mu_Wagon_Gen3_Tanker</v>
      </c>
      <c r="G669">
        <v>6</v>
      </c>
      <c r="H669" t="s">
        <v>610</v>
      </c>
      <c r="I669">
        <v>0</v>
      </c>
      <c r="J669" t="s">
        <v>35</v>
      </c>
      <c r="K669">
        <v>35</v>
      </c>
      <c r="L669">
        <v>1930</v>
      </c>
      <c r="M669">
        <v>6</v>
      </c>
      <c r="N669" s="2" t="s">
        <v>33</v>
      </c>
      <c r="O669" t="b">
        <v>1</v>
      </c>
      <c r="Q669" s="2" t="b">
        <v>1</v>
      </c>
      <c r="R669">
        <v>50</v>
      </c>
      <c r="S669">
        <v>0</v>
      </c>
      <c r="T669">
        <v>0</v>
      </c>
      <c r="U669" t="s">
        <v>711</v>
      </c>
      <c r="V669">
        <v>80</v>
      </c>
      <c r="W669" s="2">
        <v>0.3</v>
      </c>
      <c r="AF669" s="2" t="b">
        <v>1</v>
      </c>
      <c r="AO669" s="2" t="b">
        <v>1</v>
      </c>
      <c r="AX669" s="2" t="b">
        <v>1</v>
      </c>
      <c r="BA669" s="2"/>
      <c r="BB669" s="2" t="b">
        <f>LEN(_xlfn.CONCAT(Table1[[#This Row],[TRACK_TYPE_STANDARD_GAUGE_RAILTYPE_OHLE]:[TRACK_TYPE_MTRO]]))&gt;0</f>
        <v>1</v>
      </c>
      <c r="BC669" s="7">
        <v>25</v>
      </c>
      <c r="BD669" t="s">
        <v>936</v>
      </c>
      <c r="BE669" t="s">
        <v>922</v>
      </c>
      <c r="BF669" t="s">
        <v>940</v>
      </c>
      <c r="BG6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9">
        <v>0</v>
      </c>
      <c r="BI669" t="s">
        <v>734</v>
      </c>
      <c r="BK669" s="11"/>
      <c r="BL669" s="11">
        <v>20</v>
      </c>
      <c r="BM669">
        <v>0</v>
      </c>
      <c r="BN669" t="s">
        <v>692</v>
      </c>
      <c r="BO669" t="s">
        <v>694</v>
      </c>
      <c r="BP669" t="s">
        <v>701</v>
      </c>
      <c r="BQ669" t="s">
        <v>705</v>
      </c>
      <c r="BR669" t="s">
        <v>706</v>
      </c>
      <c r="BS669" t="s">
        <v>707</v>
      </c>
    </row>
    <row r="670" spans="1:71" x14ac:dyDescent="0.4">
      <c r="A670" s="2" t="s">
        <v>856</v>
      </c>
      <c r="B670" t="str">
        <f>_xlfn.TEXTAFTER(Table1[[#This Row],[VEHIDCODE]],"_")</f>
        <v>Wagon_Gen3_Open_Wagon</v>
      </c>
      <c r="C670" t="s">
        <v>750</v>
      </c>
      <c r="D670" t="b">
        <f>OR(ISNUMBER(SEARCH("wagon_",Table1[[#This Row],[FILENAMES_EXPECTED]])),ISNUMBER(SEARCH("coach_",Table1[[#This Row],[FILENAMES_EXPECTED]])))</f>
        <v>1</v>
      </c>
      <c r="E670" t="str">
        <f>"item_"&amp;Table1[[#This Row],[VEHIDCODE]]</f>
        <v>item_mu_Wagon_Gen3_Open_Wagon</v>
      </c>
      <c r="F670" t="str">
        <f>"str_"&amp;Table1[[#This Row],[VEHIDCODE]]</f>
        <v>str_mu_Wagon_Gen3_Open_Wagon</v>
      </c>
      <c r="G670">
        <v>6</v>
      </c>
      <c r="H670" t="s">
        <v>673</v>
      </c>
      <c r="I670">
        <v>0</v>
      </c>
      <c r="J670" t="s">
        <v>35</v>
      </c>
      <c r="K670">
        <v>35</v>
      </c>
      <c r="L670">
        <v>1920</v>
      </c>
      <c r="M670">
        <v>6</v>
      </c>
      <c r="N670" s="2" t="s">
        <v>33</v>
      </c>
      <c r="O670" t="b">
        <v>1</v>
      </c>
      <c r="Q670" s="2" t="b">
        <v>1</v>
      </c>
      <c r="R670">
        <v>60</v>
      </c>
      <c r="S670">
        <v>0</v>
      </c>
      <c r="T670">
        <v>0</v>
      </c>
      <c r="U670" t="s">
        <v>711</v>
      </c>
      <c r="V670">
        <v>80</v>
      </c>
      <c r="W670" s="2">
        <v>0.3</v>
      </c>
      <c r="AF670" s="2" t="b">
        <v>1</v>
      </c>
      <c r="AO670" s="2" t="b">
        <v>1</v>
      </c>
      <c r="AX670" s="2" t="b">
        <v>1</v>
      </c>
      <c r="BA670" s="2"/>
      <c r="BB670" s="2" t="b">
        <f>LEN(_xlfn.CONCAT(Table1[[#This Row],[TRACK_TYPE_STANDARD_GAUGE_RAILTYPE_OHLE]:[TRACK_TYPE_MTRO]]))&gt;0</f>
        <v>1</v>
      </c>
      <c r="BC670" s="7">
        <v>25</v>
      </c>
      <c r="BD670" t="s">
        <v>936</v>
      </c>
      <c r="BE670" t="s">
        <v>922</v>
      </c>
      <c r="BF670" t="s">
        <v>940</v>
      </c>
      <c r="BG6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0">
        <v>0</v>
      </c>
      <c r="BI670" t="s">
        <v>734</v>
      </c>
      <c r="BK670" s="11"/>
      <c r="BL670" s="11">
        <v>22</v>
      </c>
      <c r="BM670">
        <v>0</v>
      </c>
      <c r="BN670" t="s">
        <v>692</v>
      </c>
      <c r="BO670" t="s">
        <v>694</v>
      </c>
      <c r="BP670" t="s">
        <v>701</v>
      </c>
      <c r="BQ670" t="s">
        <v>705</v>
      </c>
      <c r="BR670" t="s">
        <v>706</v>
      </c>
      <c r="BS670" t="s">
        <v>707</v>
      </c>
    </row>
    <row r="671" spans="1:71" x14ac:dyDescent="0.4">
      <c r="A671" s="2" t="s">
        <v>857</v>
      </c>
      <c r="B671" t="str">
        <f>_xlfn.TEXTAFTER(Table1[[#This Row],[VEHIDCODE]],"_")</f>
        <v>Wagon_Gen3_Silo_Type1</v>
      </c>
      <c r="C671" t="s">
        <v>750</v>
      </c>
      <c r="D671" t="b">
        <f>OR(ISNUMBER(SEARCH("wagon_",Table1[[#This Row],[FILENAMES_EXPECTED]])),ISNUMBER(SEARCH("coach_",Table1[[#This Row],[FILENAMES_EXPECTED]])))</f>
        <v>1</v>
      </c>
      <c r="E671" t="str">
        <f>"item_"&amp;Table1[[#This Row],[VEHIDCODE]]</f>
        <v>item_mu_Wagon_Gen3_Silo_Type1</v>
      </c>
      <c r="F671" t="str">
        <f>"str_"&amp;Table1[[#This Row],[VEHIDCODE]]</f>
        <v>str_mu_Wagon_Gen3_Silo_Type1</v>
      </c>
      <c r="G671">
        <v>6</v>
      </c>
      <c r="H671" t="s">
        <v>608</v>
      </c>
      <c r="I671">
        <v>0</v>
      </c>
      <c r="J671" t="s">
        <v>35</v>
      </c>
      <c r="K671">
        <v>40</v>
      </c>
      <c r="L671">
        <v>1930</v>
      </c>
      <c r="M671">
        <v>6</v>
      </c>
      <c r="N671" s="2" t="s">
        <v>33</v>
      </c>
      <c r="O671" t="b">
        <v>1</v>
      </c>
      <c r="Q671" s="2" t="b">
        <v>1</v>
      </c>
      <c r="R671">
        <v>50</v>
      </c>
      <c r="S671">
        <v>0</v>
      </c>
      <c r="T671">
        <v>0</v>
      </c>
      <c r="U671" t="s">
        <v>711</v>
      </c>
      <c r="V671">
        <v>80</v>
      </c>
      <c r="W671" s="2">
        <v>0.3</v>
      </c>
      <c r="AF671" s="2" t="b">
        <v>1</v>
      </c>
      <c r="AO671" s="2" t="b">
        <v>1</v>
      </c>
      <c r="AX671" s="2" t="b">
        <v>1</v>
      </c>
      <c r="BA671" s="2"/>
      <c r="BB671" s="2" t="b">
        <f>LEN(_xlfn.CONCAT(Table1[[#This Row],[TRACK_TYPE_STANDARD_GAUGE_RAILTYPE_OHLE]:[TRACK_TYPE_MTRO]]))&gt;0</f>
        <v>1</v>
      </c>
      <c r="BC671" s="7">
        <v>25</v>
      </c>
      <c r="BD671" t="s">
        <v>933</v>
      </c>
      <c r="BE671" t="s">
        <v>922</v>
      </c>
      <c r="BF671" t="s">
        <v>940</v>
      </c>
      <c r="BG6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1">
        <v>0</v>
      </c>
      <c r="BI671" t="s">
        <v>734</v>
      </c>
      <c r="BK671" s="11"/>
      <c r="BL671" s="11">
        <v>23</v>
      </c>
      <c r="BM671">
        <v>0</v>
      </c>
      <c r="BN671" t="s">
        <v>692</v>
      </c>
      <c r="BO671" t="s">
        <v>694</v>
      </c>
      <c r="BP671" t="s">
        <v>701</v>
      </c>
      <c r="BQ671" t="s">
        <v>705</v>
      </c>
      <c r="BR671" t="s">
        <v>706</v>
      </c>
      <c r="BS671" t="s">
        <v>707</v>
      </c>
    </row>
    <row r="672" spans="1:71" x14ac:dyDescent="0.4">
      <c r="A672" s="2" t="s">
        <v>858</v>
      </c>
      <c r="B672" t="str">
        <f>_xlfn.TEXTAFTER(Table1[[#This Row],[VEHIDCODE]],"_")</f>
        <v>Wagon_Gen3_Silo_Type2</v>
      </c>
      <c r="C672" t="s">
        <v>750</v>
      </c>
      <c r="D672" t="b">
        <f>OR(ISNUMBER(SEARCH("wagon_",Table1[[#This Row],[FILENAMES_EXPECTED]])),ISNUMBER(SEARCH("coach_",Table1[[#This Row],[FILENAMES_EXPECTED]])))</f>
        <v>1</v>
      </c>
      <c r="E672" t="str">
        <f>"item_"&amp;Table1[[#This Row],[VEHIDCODE]]</f>
        <v>item_mu_Wagon_Gen3_Silo_Type2</v>
      </c>
      <c r="F672" t="str">
        <f>"str_"&amp;Table1[[#This Row],[VEHIDCODE]]</f>
        <v>str_mu_Wagon_Gen3_Silo_Type2</v>
      </c>
      <c r="G672">
        <v>6</v>
      </c>
      <c r="H672" t="s">
        <v>608</v>
      </c>
      <c r="I672">
        <v>0</v>
      </c>
      <c r="J672" t="s">
        <v>35</v>
      </c>
      <c r="K672">
        <v>40</v>
      </c>
      <c r="L672">
        <v>1930</v>
      </c>
      <c r="M672">
        <v>6</v>
      </c>
      <c r="N672" s="2" t="s">
        <v>33</v>
      </c>
      <c r="O672" t="b">
        <v>1</v>
      </c>
      <c r="Q672" s="2" t="b">
        <v>1</v>
      </c>
      <c r="R672">
        <v>50</v>
      </c>
      <c r="S672">
        <v>0</v>
      </c>
      <c r="T672">
        <v>0</v>
      </c>
      <c r="U672" t="s">
        <v>711</v>
      </c>
      <c r="V672">
        <v>80</v>
      </c>
      <c r="W672" s="2">
        <v>0.3</v>
      </c>
      <c r="AF672" s="2" t="b">
        <v>1</v>
      </c>
      <c r="AO672" s="2" t="b">
        <v>1</v>
      </c>
      <c r="AX672" s="2" t="b">
        <v>1</v>
      </c>
      <c r="BA672" s="2"/>
      <c r="BB672" s="2" t="b">
        <f>LEN(_xlfn.CONCAT(Table1[[#This Row],[TRACK_TYPE_STANDARD_GAUGE_RAILTYPE_OHLE]:[TRACK_TYPE_MTRO]]))&gt;0</f>
        <v>1</v>
      </c>
      <c r="BC672" s="7">
        <v>25</v>
      </c>
      <c r="BD672" t="s">
        <v>934</v>
      </c>
      <c r="BE672" t="s">
        <v>922</v>
      </c>
      <c r="BF672" t="s">
        <v>940</v>
      </c>
      <c r="BG6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2">
        <v>0</v>
      </c>
      <c r="BI672" t="s">
        <v>734</v>
      </c>
      <c r="BK672" s="11"/>
      <c r="BL672" s="11">
        <v>23</v>
      </c>
      <c r="BM672">
        <v>0</v>
      </c>
      <c r="BN672" t="s">
        <v>692</v>
      </c>
      <c r="BO672" t="s">
        <v>694</v>
      </c>
      <c r="BP672" t="s">
        <v>701</v>
      </c>
      <c r="BQ672" t="s">
        <v>705</v>
      </c>
      <c r="BR672" t="s">
        <v>706</v>
      </c>
      <c r="BS672" t="s">
        <v>707</v>
      </c>
    </row>
    <row r="673" spans="1:71" x14ac:dyDescent="0.4">
      <c r="A673" s="2" t="s">
        <v>859</v>
      </c>
      <c r="B673" t="str">
        <f>_xlfn.TEXTAFTER(Table1[[#This Row],[VEHIDCODE]],"_")</f>
        <v>Wagon_Gen3_Hopper</v>
      </c>
      <c r="C673" t="s">
        <v>750</v>
      </c>
      <c r="D673" t="b">
        <f>OR(ISNUMBER(SEARCH("wagon_",Table1[[#This Row],[FILENAMES_EXPECTED]])),ISNUMBER(SEARCH("coach_",Table1[[#This Row],[FILENAMES_EXPECTED]])))</f>
        <v>1</v>
      </c>
      <c r="E673" t="str">
        <f>"item_"&amp;Table1[[#This Row],[VEHIDCODE]]</f>
        <v>item_mu_Wagon_Gen3_Hopper</v>
      </c>
      <c r="F673" t="str">
        <f>"str_"&amp;Table1[[#This Row],[VEHIDCODE]]</f>
        <v>str_mu_Wagon_Gen3_Hopper</v>
      </c>
      <c r="G673">
        <v>6</v>
      </c>
      <c r="H673" t="s">
        <v>607</v>
      </c>
      <c r="I673">
        <v>0</v>
      </c>
      <c r="J673" t="s">
        <v>35</v>
      </c>
      <c r="K673">
        <v>40</v>
      </c>
      <c r="L673">
        <v>1920</v>
      </c>
      <c r="M673">
        <v>6</v>
      </c>
      <c r="N673" s="2" t="s">
        <v>33</v>
      </c>
      <c r="O673" t="b">
        <v>1</v>
      </c>
      <c r="Q673" s="2" t="b">
        <v>1</v>
      </c>
      <c r="R673">
        <v>60</v>
      </c>
      <c r="S673">
        <v>0</v>
      </c>
      <c r="T673">
        <v>0</v>
      </c>
      <c r="U673" t="s">
        <v>711</v>
      </c>
      <c r="V673">
        <v>80</v>
      </c>
      <c r="W673" s="2">
        <v>0.3</v>
      </c>
      <c r="AF673" s="2" t="b">
        <v>1</v>
      </c>
      <c r="AO673" s="2" t="b">
        <v>1</v>
      </c>
      <c r="AX673" s="2" t="b">
        <v>1</v>
      </c>
      <c r="BA673" s="2"/>
      <c r="BB673" s="2" t="b">
        <f>LEN(_xlfn.CONCAT(Table1[[#This Row],[TRACK_TYPE_STANDARD_GAUGE_RAILTYPE_OHLE]:[TRACK_TYPE_MTRO]]))&gt;0</f>
        <v>1</v>
      </c>
      <c r="BC673" s="7">
        <v>25</v>
      </c>
      <c r="BD673" t="s">
        <v>936</v>
      </c>
      <c r="BE673" t="s">
        <v>922</v>
      </c>
      <c r="BF673" t="s">
        <v>940</v>
      </c>
      <c r="BG6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3">
        <v>0</v>
      </c>
      <c r="BI673" t="s">
        <v>734</v>
      </c>
      <c r="BK673" s="11"/>
      <c r="BL673" s="11">
        <v>26</v>
      </c>
      <c r="BM673">
        <v>0</v>
      </c>
      <c r="BN673" t="s">
        <v>692</v>
      </c>
      <c r="BO673" t="s">
        <v>694</v>
      </c>
      <c r="BP673" t="s">
        <v>701</v>
      </c>
      <c r="BQ673" t="s">
        <v>705</v>
      </c>
      <c r="BR673" t="s">
        <v>706</v>
      </c>
      <c r="BS673" t="s">
        <v>707</v>
      </c>
    </row>
    <row r="674" spans="1:71" x14ac:dyDescent="0.4">
      <c r="A674" s="2" t="s">
        <v>860</v>
      </c>
      <c r="B674" t="str">
        <f>_xlfn.TEXTAFTER(Table1[[#This Row],[VEHIDCODE]],"_")</f>
        <v>Wagon_Gen4_Flatcar</v>
      </c>
      <c r="C674" t="s">
        <v>751</v>
      </c>
      <c r="D674" t="b">
        <f>OR(ISNUMBER(SEARCH("wagon_",Table1[[#This Row],[FILENAMES_EXPECTED]])),ISNUMBER(SEARCH("coach_",Table1[[#This Row],[FILENAMES_EXPECTED]])))</f>
        <v>1</v>
      </c>
      <c r="E674" t="str">
        <f>"item_"&amp;Table1[[#This Row],[VEHIDCODE]]</f>
        <v>item_mu_Wagon_Gen4_Flatcar</v>
      </c>
      <c r="F674" t="str">
        <f>"str_"&amp;Table1[[#This Row],[VEHIDCODE]]</f>
        <v>str_mu_Wagon_Gen4_Flatcar</v>
      </c>
      <c r="G674">
        <v>7</v>
      </c>
      <c r="H674" t="s">
        <v>604</v>
      </c>
      <c r="I674">
        <v>0</v>
      </c>
      <c r="J674" t="s">
        <v>35</v>
      </c>
      <c r="K674">
        <v>50</v>
      </c>
      <c r="L674">
        <v>1960</v>
      </c>
      <c r="M674">
        <v>7</v>
      </c>
      <c r="N674" s="2" t="s">
        <v>33</v>
      </c>
      <c r="O674" t="b">
        <v>1</v>
      </c>
      <c r="Q674" s="2" t="b">
        <v>1</v>
      </c>
      <c r="R674">
        <v>60</v>
      </c>
      <c r="S674">
        <v>0</v>
      </c>
      <c r="T674">
        <v>0</v>
      </c>
      <c r="U674" t="s">
        <v>711</v>
      </c>
      <c r="V674">
        <v>100</v>
      </c>
      <c r="W674" s="2">
        <v>0.3</v>
      </c>
      <c r="AF674" s="2" t="b">
        <v>1</v>
      </c>
      <c r="AO674" s="2" t="b">
        <v>1</v>
      </c>
      <c r="AX674" s="2" t="b">
        <v>1</v>
      </c>
      <c r="BA674" s="2"/>
      <c r="BB674" s="2" t="b">
        <f>LEN(_xlfn.CONCAT(Table1[[#This Row],[TRACK_TYPE_STANDARD_GAUGE_RAILTYPE_OHLE]:[TRACK_TYPE_MTRO]]))&gt;0</f>
        <v>1</v>
      </c>
      <c r="BC674" s="7">
        <v>25</v>
      </c>
      <c r="BD674" t="s">
        <v>936</v>
      </c>
      <c r="BE674" t="s">
        <v>922</v>
      </c>
      <c r="BF674" t="s">
        <v>940</v>
      </c>
      <c r="BG6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4">
        <v>0</v>
      </c>
      <c r="BI674" t="s">
        <v>734</v>
      </c>
      <c r="BK674" s="11"/>
      <c r="BL674" s="11">
        <v>25</v>
      </c>
      <c r="BM674">
        <v>0</v>
      </c>
      <c r="BN674" t="s">
        <v>692</v>
      </c>
      <c r="BO674" t="s">
        <v>694</v>
      </c>
      <c r="BP674" t="s">
        <v>701</v>
      </c>
      <c r="BQ674" t="s">
        <v>705</v>
      </c>
      <c r="BR674" t="s">
        <v>706</v>
      </c>
      <c r="BS674" t="s">
        <v>707</v>
      </c>
    </row>
    <row r="675" spans="1:71" x14ac:dyDescent="0.4">
      <c r="A675" s="2" t="s">
        <v>861</v>
      </c>
      <c r="B675" t="str">
        <f>_xlfn.TEXTAFTER(Table1[[#This Row],[VEHIDCODE]],"_")</f>
        <v>Wagon_Gen4_Heavy_Flatcar</v>
      </c>
      <c r="C675" t="s">
        <v>751</v>
      </c>
      <c r="D675" t="b">
        <f>OR(ISNUMBER(SEARCH("wagon_",Table1[[#This Row],[FILENAMES_EXPECTED]])),ISNUMBER(SEARCH("coach_",Table1[[#This Row],[FILENAMES_EXPECTED]])))</f>
        <v>1</v>
      </c>
      <c r="E675" t="str">
        <f>"item_"&amp;Table1[[#This Row],[VEHIDCODE]]</f>
        <v>item_mu_Wagon_Gen4_Heavy_Flatcar</v>
      </c>
      <c r="F675" t="str">
        <f>"str_"&amp;Table1[[#This Row],[VEHIDCODE]]</f>
        <v>str_mu_Wagon_Gen4_Heavy_Flatcar</v>
      </c>
      <c r="G675">
        <v>7</v>
      </c>
      <c r="H675" t="s">
        <v>606</v>
      </c>
      <c r="I675">
        <v>0</v>
      </c>
      <c r="J675" t="s">
        <v>35</v>
      </c>
      <c r="K675">
        <v>70</v>
      </c>
      <c r="L675">
        <v>1960</v>
      </c>
      <c r="M675">
        <v>7</v>
      </c>
      <c r="N675" s="2" t="s">
        <v>33</v>
      </c>
      <c r="O675" t="b">
        <v>1</v>
      </c>
      <c r="Q675" s="2" t="b">
        <v>1</v>
      </c>
      <c r="R675">
        <v>60</v>
      </c>
      <c r="S675">
        <v>0</v>
      </c>
      <c r="T675">
        <v>0</v>
      </c>
      <c r="U675" t="s">
        <v>711</v>
      </c>
      <c r="V675">
        <v>100</v>
      </c>
      <c r="W675" s="2">
        <v>0.3</v>
      </c>
      <c r="AF675" s="2" t="b">
        <v>1</v>
      </c>
      <c r="AO675" s="2" t="b">
        <v>1</v>
      </c>
      <c r="AX675" s="2" t="b">
        <v>1</v>
      </c>
      <c r="BA675" s="2"/>
      <c r="BB675" s="2" t="b">
        <f>LEN(_xlfn.CONCAT(Table1[[#This Row],[TRACK_TYPE_STANDARD_GAUGE_RAILTYPE_OHLE]:[TRACK_TYPE_MTRO]]))&gt;0</f>
        <v>1</v>
      </c>
      <c r="BC675" s="7">
        <v>25</v>
      </c>
      <c r="BD675" t="s">
        <v>936</v>
      </c>
      <c r="BE675" t="s">
        <v>922</v>
      </c>
      <c r="BF675" t="s">
        <v>940</v>
      </c>
      <c r="BG6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5">
        <v>0</v>
      </c>
      <c r="BI675" t="s">
        <v>734</v>
      </c>
      <c r="BK675" s="11"/>
      <c r="BL675" s="11">
        <v>30</v>
      </c>
      <c r="BM675">
        <v>0</v>
      </c>
      <c r="BN675" t="s">
        <v>692</v>
      </c>
      <c r="BO675" t="s">
        <v>694</v>
      </c>
      <c r="BP675" t="s">
        <v>701</v>
      </c>
      <c r="BQ675" t="s">
        <v>705</v>
      </c>
      <c r="BR675" t="s">
        <v>706</v>
      </c>
      <c r="BS675" t="s">
        <v>707</v>
      </c>
    </row>
    <row r="676" spans="1:71" x14ac:dyDescent="0.4">
      <c r="A676" s="2" t="s">
        <v>862</v>
      </c>
      <c r="B676" t="str">
        <f>_xlfn.TEXTAFTER(Table1[[#This Row],[VEHIDCODE]],"_")</f>
        <v>Wagon_Gen4_Boxcar_Type1</v>
      </c>
      <c r="C676" t="s">
        <v>751</v>
      </c>
      <c r="D676" t="b">
        <f>OR(ISNUMBER(SEARCH("wagon_",Table1[[#This Row],[FILENAMES_EXPECTED]])),ISNUMBER(SEARCH("coach_",Table1[[#This Row],[FILENAMES_EXPECTED]])))</f>
        <v>1</v>
      </c>
      <c r="E676" t="str">
        <f>"item_"&amp;Table1[[#This Row],[VEHIDCODE]]</f>
        <v>item_mu_Wagon_Gen4_Boxcar_Type1</v>
      </c>
      <c r="F676" t="str">
        <f>"str_"&amp;Table1[[#This Row],[VEHIDCODE]]</f>
        <v>str_mu_Wagon_Gen4_Boxcar_Type1</v>
      </c>
      <c r="G676">
        <v>7</v>
      </c>
      <c r="H676" t="s">
        <v>600</v>
      </c>
      <c r="I676">
        <v>0</v>
      </c>
      <c r="J676" t="s">
        <v>35</v>
      </c>
      <c r="K676">
        <v>42</v>
      </c>
      <c r="L676">
        <v>1950</v>
      </c>
      <c r="M676">
        <v>7</v>
      </c>
      <c r="N676" s="2" t="s">
        <v>33</v>
      </c>
      <c r="O676" t="b">
        <v>1</v>
      </c>
      <c r="Q676" s="2" t="b">
        <v>1</v>
      </c>
      <c r="R676">
        <v>70</v>
      </c>
      <c r="S676">
        <v>0</v>
      </c>
      <c r="T676">
        <v>0</v>
      </c>
      <c r="U676" t="s">
        <v>711</v>
      </c>
      <c r="V676">
        <v>120</v>
      </c>
      <c r="W676" s="2">
        <v>0.3</v>
      </c>
      <c r="AF676" s="2" t="b">
        <v>1</v>
      </c>
      <c r="AO676" s="2" t="b">
        <v>1</v>
      </c>
      <c r="AX676" s="2" t="b">
        <v>1</v>
      </c>
      <c r="BA676" s="2"/>
      <c r="BB676" s="2" t="b">
        <f>LEN(_xlfn.CONCAT(Table1[[#This Row],[TRACK_TYPE_STANDARD_GAUGE_RAILTYPE_OHLE]:[TRACK_TYPE_MTRO]]))&gt;0</f>
        <v>1</v>
      </c>
      <c r="BC676" s="7">
        <v>25</v>
      </c>
      <c r="BD676" t="s">
        <v>933</v>
      </c>
      <c r="BE676" t="s">
        <v>922</v>
      </c>
      <c r="BF676" t="s">
        <v>940</v>
      </c>
      <c r="BG6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6">
        <v>0</v>
      </c>
      <c r="BI676" t="s">
        <v>734</v>
      </c>
      <c r="BK676" s="11"/>
      <c r="BL676" s="11">
        <v>30</v>
      </c>
      <c r="BM676">
        <v>0</v>
      </c>
      <c r="BN676" t="s">
        <v>692</v>
      </c>
      <c r="BO676" t="s">
        <v>694</v>
      </c>
      <c r="BP676" t="s">
        <v>701</v>
      </c>
      <c r="BQ676" t="s">
        <v>705</v>
      </c>
      <c r="BR676" t="s">
        <v>706</v>
      </c>
      <c r="BS676" t="s">
        <v>707</v>
      </c>
    </row>
    <row r="677" spans="1:71" x14ac:dyDescent="0.4">
      <c r="A677" s="2" t="s">
        <v>863</v>
      </c>
      <c r="B677" t="str">
        <f>_xlfn.TEXTAFTER(Table1[[#This Row],[VEHIDCODE]],"_")</f>
        <v>Wagon_Gen4_Boxcar_Type2</v>
      </c>
      <c r="C677" t="s">
        <v>751</v>
      </c>
      <c r="D677" t="b">
        <f>OR(ISNUMBER(SEARCH("wagon_",Table1[[#This Row],[FILENAMES_EXPECTED]])),ISNUMBER(SEARCH("coach_",Table1[[#This Row],[FILENAMES_EXPECTED]])))</f>
        <v>1</v>
      </c>
      <c r="E677" t="str">
        <f>"item_"&amp;Table1[[#This Row],[VEHIDCODE]]</f>
        <v>item_mu_Wagon_Gen4_Boxcar_Type2</v>
      </c>
      <c r="F677" t="str">
        <f>"str_"&amp;Table1[[#This Row],[VEHIDCODE]]</f>
        <v>str_mu_Wagon_Gen4_Boxcar_Type2</v>
      </c>
      <c r="G677">
        <v>7</v>
      </c>
      <c r="H677" t="s">
        <v>600</v>
      </c>
      <c r="I677">
        <v>0</v>
      </c>
      <c r="J677" t="s">
        <v>35</v>
      </c>
      <c r="K677">
        <v>42</v>
      </c>
      <c r="L677">
        <v>1950</v>
      </c>
      <c r="M677">
        <v>7</v>
      </c>
      <c r="N677" s="2" t="s">
        <v>33</v>
      </c>
      <c r="O677" t="b">
        <v>1</v>
      </c>
      <c r="Q677" s="2" t="b">
        <v>1</v>
      </c>
      <c r="R677">
        <v>70</v>
      </c>
      <c r="S677">
        <v>0</v>
      </c>
      <c r="T677">
        <v>0</v>
      </c>
      <c r="U677" t="s">
        <v>711</v>
      </c>
      <c r="V677">
        <v>120</v>
      </c>
      <c r="W677" s="2">
        <v>0.3</v>
      </c>
      <c r="AF677" s="2" t="b">
        <v>1</v>
      </c>
      <c r="AO677" s="2" t="b">
        <v>1</v>
      </c>
      <c r="AX677" s="2" t="b">
        <v>1</v>
      </c>
      <c r="BA677" s="2"/>
      <c r="BB677" s="2" t="b">
        <f>LEN(_xlfn.CONCAT(Table1[[#This Row],[TRACK_TYPE_STANDARD_GAUGE_RAILTYPE_OHLE]:[TRACK_TYPE_MTRO]]))&gt;0</f>
        <v>1</v>
      </c>
      <c r="BC677" s="7">
        <v>25</v>
      </c>
      <c r="BD677" t="s">
        <v>934</v>
      </c>
      <c r="BE677" t="s">
        <v>922</v>
      </c>
      <c r="BF677" t="s">
        <v>940</v>
      </c>
      <c r="BG6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7">
        <v>0</v>
      </c>
      <c r="BI677" t="s">
        <v>734</v>
      </c>
      <c r="BK677" s="11"/>
      <c r="BL677" s="11">
        <v>30</v>
      </c>
      <c r="BM677">
        <v>0</v>
      </c>
      <c r="BN677" t="s">
        <v>692</v>
      </c>
      <c r="BO677" t="s">
        <v>694</v>
      </c>
      <c r="BP677" t="s">
        <v>701</v>
      </c>
      <c r="BQ677" t="s">
        <v>705</v>
      </c>
      <c r="BR677" t="s">
        <v>706</v>
      </c>
      <c r="BS677" t="s">
        <v>707</v>
      </c>
    </row>
    <row r="678" spans="1:71" x14ac:dyDescent="0.4">
      <c r="A678" s="2" t="s">
        <v>864</v>
      </c>
      <c r="B678" t="str">
        <f>_xlfn.TEXTAFTER(Table1[[#This Row],[VEHIDCODE]],"_")</f>
        <v>Wagon_Gen4_Tanker</v>
      </c>
      <c r="C678" t="s">
        <v>751</v>
      </c>
      <c r="D678" t="b">
        <f>OR(ISNUMBER(SEARCH("wagon_",Table1[[#This Row],[FILENAMES_EXPECTED]])),ISNUMBER(SEARCH("coach_",Table1[[#This Row],[FILENAMES_EXPECTED]])))</f>
        <v>1</v>
      </c>
      <c r="E678" t="str">
        <f>"item_"&amp;Table1[[#This Row],[VEHIDCODE]]</f>
        <v>item_mu_Wagon_Gen4_Tanker</v>
      </c>
      <c r="F678" t="str">
        <f>"str_"&amp;Table1[[#This Row],[VEHIDCODE]]</f>
        <v>str_mu_Wagon_Gen4_Tanker</v>
      </c>
      <c r="G678">
        <v>7</v>
      </c>
      <c r="H678" t="s">
        <v>610</v>
      </c>
      <c r="I678">
        <v>0</v>
      </c>
      <c r="J678" t="s">
        <v>35</v>
      </c>
      <c r="K678">
        <v>80</v>
      </c>
      <c r="L678">
        <v>1950</v>
      </c>
      <c r="M678">
        <v>7</v>
      </c>
      <c r="N678" s="2" t="s">
        <v>33</v>
      </c>
      <c r="O678" t="b">
        <v>1</v>
      </c>
      <c r="Q678" s="2" t="b">
        <v>1</v>
      </c>
      <c r="R678">
        <v>70</v>
      </c>
      <c r="S678">
        <v>0</v>
      </c>
      <c r="T678">
        <v>0</v>
      </c>
      <c r="U678" t="s">
        <v>711</v>
      </c>
      <c r="V678">
        <v>100</v>
      </c>
      <c r="W678" s="2">
        <v>0.3</v>
      </c>
      <c r="AF678" s="2" t="b">
        <v>1</v>
      </c>
      <c r="AO678" s="2" t="b">
        <v>1</v>
      </c>
      <c r="AX678" s="2" t="b">
        <v>1</v>
      </c>
      <c r="BA678" s="2"/>
      <c r="BB678" s="2" t="b">
        <f>LEN(_xlfn.CONCAT(Table1[[#This Row],[TRACK_TYPE_STANDARD_GAUGE_RAILTYPE_OHLE]:[TRACK_TYPE_MTRO]]))&gt;0</f>
        <v>1</v>
      </c>
      <c r="BC678" s="7">
        <v>25</v>
      </c>
      <c r="BD678" t="s">
        <v>936</v>
      </c>
      <c r="BE678" t="s">
        <v>922</v>
      </c>
      <c r="BF678" t="s">
        <v>940</v>
      </c>
      <c r="BG6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8">
        <v>0</v>
      </c>
      <c r="BI678" t="s">
        <v>734</v>
      </c>
      <c r="BK678" s="11"/>
      <c r="BL678" s="11">
        <v>22</v>
      </c>
      <c r="BM678">
        <v>0</v>
      </c>
      <c r="BN678" t="s">
        <v>692</v>
      </c>
      <c r="BO678" t="s">
        <v>694</v>
      </c>
      <c r="BP678" t="s">
        <v>701</v>
      </c>
      <c r="BQ678" t="s">
        <v>705</v>
      </c>
      <c r="BR678" t="s">
        <v>706</v>
      </c>
      <c r="BS678" t="s">
        <v>707</v>
      </c>
    </row>
    <row r="679" spans="1:71" x14ac:dyDescent="0.4">
      <c r="A679" s="2" t="s">
        <v>865</v>
      </c>
      <c r="B679" t="str">
        <f>_xlfn.TEXTAFTER(Table1[[#This Row],[VEHIDCODE]],"_")</f>
        <v>Wagon_Gen4_Gondola</v>
      </c>
      <c r="C679" t="s">
        <v>751</v>
      </c>
      <c r="D679" t="b">
        <f>OR(ISNUMBER(SEARCH("wagon_",Table1[[#This Row],[FILENAMES_EXPECTED]])),ISNUMBER(SEARCH("coach_",Table1[[#This Row],[FILENAMES_EXPECTED]])))</f>
        <v>1</v>
      </c>
      <c r="E679" t="str">
        <f>"item_"&amp;Table1[[#This Row],[VEHIDCODE]]</f>
        <v>item_mu_Wagon_Gen4_Gondola</v>
      </c>
      <c r="F679" t="str">
        <f>"str_"&amp;Table1[[#This Row],[VEHIDCODE]]</f>
        <v>str_mu_Wagon_Gen4_Gondola</v>
      </c>
      <c r="G679">
        <v>7</v>
      </c>
      <c r="H679" t="s">
        <v>605</v>
      </c>
      <c r="I679">
        <v>0</v>
      </c>
      <c r="J679" t="s">
        <v>35</v>
      </c>
      <c r="K679">
        <v>55</v>
      </c>
      <c r="L679">
        <v>1950</v>
      </c>
      <c r="M679">
        <v>7</v>
      </c>
      <c r="N679" s="2" t="s">
        <v>33</v>
      </c>
      <c r="O679" t="b">
        <v>1</v>
      </c>
      <c r="Q679" s="2" t="b">
        <v>1</v>
      </c>
      <c r="R679">
        <v>70</v>
      </c>
      <c r="S679">
        <v>0</v>
      </c>
      <c r="T679">
        <v>0</v>
      </c>
      <c r="U679" t="s">
        <v>711</v>
      </c>
      <c r="V679">
        <v>100</v>
      </c>
      <c r="W679" s="2">
        <v>0.3</v>
      </c>
      <c r="AF679" s="2" t="b">
        <v>1</v>
      </c>
      <c r="AO679" s="2" t="b">
        <v>1</v>
      </c>
      <c r="AX679" s="2" t="b">
        <v>1</v>
      </c>
      <c r="BA679" s="2"/>
      <c r="BB679" s="2" t="b">
        <f>LEN(_xlfn.CONCAT(Table1[[#This Row],[TRACK_TYPE_STANDARD_GAUGE_RAILTYPE_OHLE]:[TRACK_TYPE_MTRO]]))&gt;0</f>
        <v>1</v>
      </c>
      <c r="BC679" s="7">
        <v>25</v>
      </c>
      <c r="BD679" t="s">
        <v>936</v>
      </c>
      <c r="BE679" t="s">
        <v>922</v>
      </c>
      <c r="BF679" t="s">
        <v>940</v>
      </c>
      <c r="BG6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9">
        <v>0</v>
      </c>
      <c r="BI679" t="s">
        <v>734</v>
      </c>
      <c r="BK679" s="11"/>
      <c r="BL679" s="11">
        <v>22</v>
      </c>
      <c r="BM679">
        <v>0</v>
      </c>
      <c r="BN679" t="s">
        <v>692</v>
      </c>
      <c r="BO679" t="s">
        <v>694</v>
      </c>
      <c r="BP679" t="s">
        <v>701</v>
      </c>
      <c r="BQ679" t="s">
        <v>705</v>
      </c>
      <c r="BR679" t="s">
        <v>706</v>
      </c>
      <c r="BS679" t="s">
        <v>707</v>
      </c>
    </row>
    <row r="680" spans="1:71" x14ac:dyDescent="0.4">
      <c r="A680" s="2" t="s">
        <v>866</v>
      </c>
      <c r="B680" t="str">
        <f>_xlfn.TEXTAFTER(Table1[[#This Row],[VEHIDCODE]],"_")</f>
        <v>Wagon_Gen4_Silo_Type1</v>
      </c>
      <c r="C680" t="s">
        <v>751</v>
      </c>
      <c r="D680" t="b">
        <f>OR(ISNUMBER(SEARCH("wagon_",Table1[[#This Row],[FILENAMES_EXPECTED]])),ISNUMBER(SEARCH("coach_",Table1[[#This Row],[FILENAMES_EXPECTED]])))</f>
        <v>1</v>
      </c>
      <c r="E680" t="str">
        <f>"item_"&amp;Table1[[#This Row],[VEHIDCODE]]</f>
        <v>item_mu_Wagon_Gen4_Silo_Type1</v>
      </c>
      <c r="F680" t="str">
        <f>"str_"&amp;Table1[[#This Row],[VEHIDCODE]]</f>
        <v>str_mu_Wagon_Gen4_Silo_Type1</v>
      </c>
      <c r="G680">
        <v>7</v>
      </c>
      <c r="H680" t="s">
        <v>608</v>
      </c>
      <c r="I680">
        <v>0</v>
      </c>
      <c r="J680" t="s">
        <v>35</v>
      </c>
      <c r="K680">
        <v>55</v>
      </c>
      <c r="L680">
        <v>1950</v>
      </c>
      <c r="M680">
        <v>7</v>
      </c>
      <c r="N680" s="2" t="s">
        <v>33</v>
      </c>
      <c r="O680" t="b">
        <v>1</v>
      </c>
      <c r="Q680" s="2" t="b">
        <v>1</v>
      </c>
      <c r="R680">
        <v>70</v>
      </c>
      <c r="S680">
        <v>0</v>
      </c>
      <c r="T680">
        <v>0</v>
      </c>
      <c r="U680" t="s">
        <v>711</v>
      </c>
      <c r="V680">
        <v>100</v>
      </c>
      <c r="W680" s="2">
        <v>0.3</v>
      </c>
      <c r="AF680" s="2" t="b">
        <v>1</v>
      </c>
      <c r="AO680" s="2" t="b">
        <v>1</v>
      </c>
      <c r="AX680" s="2" t="b">
        <v>1</v>
      </c>
      <c r="BA680" s="2"/>
      <c r="BB680" s="2" t="b">
        <f>LEN(_xlfn.CONCAT(Table1[[#This Row],[TRACK_TYPE_STANDARD_GAUGE_RAILTYPE_OHLE]:[TRACK_TYPE_MTRO]]))&gt;0</f>
        <v>1</v>
      </c>
      <c r="BC680" s="7">
        <v>25</v>
      </c>
      <c r="BD680" t="s">
        <v>933</v>
      </c>
      <c r="BE680" t="s">
        <v>922</v>
      </c>
      <c r="BF680" t="s">
        <v>940</v>
      </c>
      <c r="BG6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0">
        <v>0</v>
      </c>
      <c r="BI680" t="s">
        <v>734</v>
      </c>
      <c r="BK680" s="11"/>
      <c r="BL680" s="11">
        <v>25</v>
      </c>
      <c r="BM680">
        <v>0</v>
      </c>
      <c r="BN680" t="s">
        <v>692</v>
      </c>
      <c r="BO680" t="s">
        <v>694</v>
      </c>
      <c r="BP680" t="s">
        <v>701</v>
      </c>
      <c r="BQ680" t="s">
        <v>705</v>
      </c>
      <c r="BR680" t="s">
        <v>706</v>
      </c>
      <c r="BS680" t="s">
        <v>707</v>
      </c>
    </row>
    <row r="681" spans="1:71" x14ac:dyDescent="0.4">
      <c r="A681" s="2" t="s">
        <v>867</v>
      </c>
      <c r="B681" t="str">
        <f>_xlfn.TEXTAFTER(Table1[[#This Row],[VEHIDCODE]],"_")</f>
        <v>Wagon_Gen4_Silo_Type2</v>
      </c>
      <c r="C681" t="s">
        <v>751</v>
      </c>
      <c r="D681" t="b">
        <f>OR(ISNUMBER(SEARCH("wagon_",Table1[[#This Row],[FILENAMES_EXPECTED]])),ISNUMBER(SEARCH("coach_",Table1[[#This Row],[FILENAMES_EXPECTED]])))</f>
        <v>1</v>
      </c>
      <c r="E681" t="str">
        <f>"item_"&amp;Table1[[#This Row],[VEHIDCODE]]</f>
        <v>item_mu_Wagon_Gen4_Silo_Type2</v>
      </c>
      <c r="F681" t="str">
        <f>"str_"&amp;Table1[[#This Row],[VEHIDCODE]]</f>
        <v>str_mu_Wagon_Gen4_Silo_Type2</v>
      </c>
      <c r="G681">
        <v>7</v>
      </c>
      <c r="H681" t="s">
        <v>608</v>
      </c>
      <c r="I681">
        <v>0</v>
      </c>
      <c r="J681" t="s">
        <v>35</v>
      </c>
      <c r="K681">
        <v>55</v>
      </c>
      <c r="L681">
        <v>1950</v>
      </c>
      <c r="M681">
        <v>7</v>
      </c>
      <c r="N681" s="2" t="s">
        <v>33</v>
      </c>
      <c r="O681" t="b">
        <v>1</v>
      </c>
      <c r="Q681" s="2" t="b">
        <v>1</v>
      </c>
      <c r="R681">
        <v>70</v>
      </c>
      <c r="S681">
        <v>0</v>
      </c>
      <c r="T681">
        <v>0</v>
      </c>
      <c r="U681" t="s">
        <v>711</v>
      </c>
      <c r="V681">
        <v>100</v>
      </c>
      <c r="W681" s="2">
        <v>0.3</v>
      </c>
      <c r="AF681" s="2" t="b">
        <v>1</v>
      </c>
      <c r="AO681" s="2" t="b">
        <v>1</v>
      </c>
      <c r="AX681" s="2" t="b">
        <v>1</v>
      </c>
      <c r="BA681" s="2"/>
      <c r="BB681" s="2" t="b">
        <f>LEN(_xlfn.CONCAT(Table1[[#This Row],[TRACK_TYPE_STANDARD_GAUGE_RAILTYPE_OHLE]:[TRACK_TYPE_MTRO]]))&gt;0</f>
        <v>1</v>
      </c>
      <c r="BC681" s="7">
        <v>25</v>
      </c>
      <c r="BD681" t="s">
        <v>934</v>
      </c>
      <c r="BE681" t="s">
        <v>922</v>
      </c>
      <c r="BF681" t="s">
        <v>940</v>
      </c>
      <c r="BG6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1">
        <v>0</v>
      </c>
      <c r="BI681" t="s">
        <v>734</v>
      </c>
      <c r="BK681" s="11"/>
      <c r="BL681" s="11">
        <v>25</v>
      </c>
      <c r="BM681">
        <v>0</v>
      </c>
      <c r="BN681" t="s">
        <v>692</v>
      </c>
      <c r="BO681" t="s">
        <v>694</v>
      </c>
      <c r="BP681" t="s">
        <v>701</v>
      </c>
      <c r="BQ681" t="s">
        <v>705</v>
      </c>
      <c r="BR681" t="s">
        <v>706</v>
      </c>
      <c r="BS681" t="s">
        <v>707</v>
      </c>
    </row>
    <row r="682" spans="1:71" x14ac:dyDescent="0.4">
      <c r="A682" s="2" t="s">
        <v>868</v>
      </c>
      <c r="B682" t="str">
        <f>_xlfn.TEXTAFTER(Table1[[#This Row],[VEHIDCODE]],"_")</f>
        <v>Wagon_Gen4_Hopper_Type1</v>
      </c>
      <c r="C682" t="s">
        <v>751</v>
      </c>
      <c r="D682" t="b">
        <f>OR(ISNUMBER(SEARCH("wagon_",Table1[[#This Row],[FILENAMES_EXPECTED]])),ISNUMBER(SEARCH("coach_",Table1[[#This Row],[FILENAMES_EXPECTED]])))</f>
        <v>1</v>
      </c>
      <c r="E682" t="str">
        <f>"item_"&amp;Table1[[#This Row],[VEHIDCODE]]</f>
        <v>item_mu_Wagon_Gen4_Hopper_Type1</v>
      </c>
      <c r="F682" t="str">
        <f>"str_"&amp;Table1[[#This Row],[VEHIDCODE]]</f>
        <v>str_mu_Wagon_Gen4_Hopper_Type1</v>
      </c>
      <c r="G682">
        <v>7</v>
      </c>
      <c r="H682" t="s">
        <v>607</v>
      </c>
      <c r="I682">
        <v>0</v>
      </c>
      <c r="J682" t="s">
        <v>35</v>
      </c>
      <c r="K682">
        <v>55</v>
      </c>
      <c r="L682">
        <v>1960</v>
      </c>
      <c r="M682">
        <v>7</v>
      </c>
      <c r="N682" s="2" t="s">
        <v>33</v>
      </c>
      <c r="O682" t="b">
        <v>1</v>
      </c>
      <c r="Q682" s="2" t="b">
        <v>1</v>
      </c>
      <c r="R682">
        <v>60</v>
      </c>
      <c r="S682">
        <v>0</v>
      </c>
      <c r="T682">
        <v>0</v>
      </c>
      <c r="U682" t="s">
        <v>711</v>
      </c>
      <c r="V682">
        <v>100</v>
      </c>
      <c r="W682" s="2">
        <v>0.3</v>
      </c>
      <c r="AF682" s="2" t="b">
        <v>1</v>
      </c>
      <c r="AO682" s="2" t="b">
        <v>1</v>
      </c>
      <c r="AX682" s="2" t="b">
        <v>1</v>
      </c>
      <c r="BA682" s="2"/>
      <c r="BB682" s="2" t="b">
        <f>LEN(_xlfn.CONCAT(Table1[[#This Row],[TRACK_TYPE_STANDARD_GAUGE_RAILTYPE_OHLE]:[TRACK_TYPE_MTRO]]))&gt;0</f>
        <v>1</v>
      </c>
      <c r="BC682" s="7">
        <v>25</v>
      </c>
      <c r="BD682" t="s">
        <v>933</v>
      </c>
      <c r="BE682" t="s">
        <v>922</v>
      </c>
      <c r="BF682" t="s">
        <v>940</v>
      </c>
      <c r="BG6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2">
        <v>0</v>
      </c>
      <c r="BI682" t="s">
        <v>734</v>
      </c>
      <c r="BK682" s="11"/>
      <c r="BL682" s="11">
        <v>25</v>
      </c>
      <c r="BM682">
        <v>0</v>
      </c>
      <c r="BN682" t="s">
        <v>692</v>
      </c>
      <c r="BO682" t="s">
        <v>694</v>
      </c>
      <c r="BP682" t="s">
        <v>701</v>
      </c>
      <c r="BQ682" t="s">
        <v>705</v>
      </c>
      <c r="BR682" t="s">
        <v>706</v>
      </c>
      <c r="BS682" t="s">
        <v>707</v>
      </c>
    </row>
    <row r="683" spans="1:71" x14ac:dyDescent="0.4">
      <c r="A683" s="2" t="s">
        <v>869</v>
      </c>
      <c r="B683" t="str">
        <f>_xlfn.TEXTAFTER(Table1[[#This Row],[VEHIDCODE]],"_")</f>
        <v>Wagon_Gen4_Hopper_Type2</v>
      </c>
      <c r="C683" t="s">
        <v>751</v>
      </c>
      <c r="D683" t="b">
        <f>OR(ISNUMBER(SEARCH("wagon_",Table1[[#This Row],[FILENAMES_EXPECTED]])),ISNUMBER(SEARCH("coach_",Table1[[#This Row],[FILENAMES_EXPECTED]])))</f>
        <v>1</v>
      </c>
      <c r="E683" t="str">
        <f>"item_"&amp;Table1[[#This Row],[VEHIDCODE]]</f>
        <v>item_mu_Wagon_Gen4_Hopper_Type2</v>
      </c>
      <c r="F683" t="str">
        <f>"str_"&amp;Table1[[#This Row],[VEHIDCODE]]</f>
        <v>str_mu_Wagon_Gen4_Hopper_Type2</v>
      </c>
      <c r="G683">
        <v>7</v>
      </c>
      <c r="H683" t="s">
        <v>607</v>
      </c>
      <c r="I683">
        <v>0</v>
      </c>
      <c r="J683" t="s">
        <v>35</v>
      </c>
      <c r="K683">
        <v>55</v>
      </c>
      <c r="L683">
        <v>1960</v>
      </c>
      <c r="M683">
        <v>7</v>
      </c>
      <c r="N683" s="2" t="s">
        <v>33</v>
      </c>
      <c r="O683" t="b">
        <v>1</v>
      </c>
      <c r="Q683" s="2" t="b">
        <v>1</v>
      </c>
      <c r="R683">
        <v>60</v>
      </c>
      <c r="S683">
        <v>0</v>
      </c>
      <c r="T683">
        <v>0</v>
      </c>
      <c r="U683" t="s">
        <v>711</v>
      </c>
      <c r="V683">
        <v>100</v>
      </c>
      <c r="W683" s="2">
        <v>0.3</v>
      </c>
      <c r="AF683" s="2" t="b">
        <v>1</v>
      </c>
      <c r="AO683" s="2" t="b">
        <v>1</v>
      </c>
      <c r="AX683" s="2" t="b">
        <v>1</v>
      </c>
      <c r="BA683" s="2"/>
      <c r="BB683" s="2" t="b">
        <f>LEN(_xlfn.CONCAT(Table1[[#This Row],[TRACK_TYPE_STANDARD_GAUGE_RAILTYPE_OHLE]:[TRACK_TYPE_MTRO]]))&gt;0</f>
        <v>1</v>
      </c>
      <c r="BC683" s="7">
        <v>25</v>
      </c>
      <c r="BD683" t="s">
        <v>934</v>
      </c>
      <c r="BE683" t="s">
        <v>922</v>
      </c>
      <c r="BF683" t="s">
        <v>940</v>
      </c>
      <c r="BG6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3">
        <v>0</v>
      </c>
      <c r="BI683" t="s">
        <v>734</v>
      </c>
      <c r="BK683" s="11"/>
      <c r="BL683" s="11">
        <v>25</v>
      </c>
      <c r="BM683">
        <v>0</v>
      </c>
      <c r="BN683" t="s">
        <v>692</v>
      </c>
      <c r="BO683" t="s">
        <v>694</v>
      </c>
      <c r="BP683" t="s">
        <v>701</v>
      </c>
      <c r="BQ683" t="s">
        <v>705</v>
      </c>
      <c r="BR683" t="s">
        <v>706</v>
      </c>
      <c r="BS683" t="s">
        <v>707</v>
      </c>
    </row>
    <row r="684" spans="1:71" x14ac:dyDescent="0.4">
      <c r="A684" s="2" t="s">
        <v>870</v>
      </c>
      <c r="B684" t="str">
        <f>_xlfn.TEXTAFTER(Table1[[#This Row],[VEHIDCODE]],"_")</f>
        <v>Wagon_Gen4_Car_Transporter</v>
      </c>
      <c r="C684" t="s">
        <v>751</v>
      </c>
      <c r="D684" t="b">
        <f>OR(ISNUMBER(SEARCH("wagon_",Table1[[#This Row],[FILENAMES_EXPECTED]])),ISNUMBER(SEARCH("coach_",Table1[[#This Row],[FILENAMES_EXPECTED]])))</f>
        <v>1</v>
      </c>
      <c r="E684" t="str">
        <f>"item_"&amp;Table1[[#This Row],[VEHIDCODE]]</f>
        <v>item_mu_Wagon_Gen4_Car_Transporter</v>
      </c>
      <c r="F684" t="str">
        <f>"str_"&amp;Table1[[#This Row],[VEHIDCODE]]</f>
        <v>str_mu_Wagon_Gen4_Car_Transporter</v>
      </c>
      <c r="G684">
        <v>7</v>
      </c>
      <c r="H684" t="s">
        <v>601</v>
      </c>
      <c r="I684">
        <v>0</v>
      </c>
      <c r="J684" t="s">
        <v>35</v>
      </c>
      <c r="K684">
        <v>16</v>
      </c>
      <c r="L684">
        <v>1960</v>
      </c>
      <c r="M684">
        <v>7</v>
      </c>
      <c r="N684" s="2" t="s">
        <v>33</v>
      </c>
      <c r="O684" t="b">
        <v>1</v>
      </c>
      <c r="Q684" s="2" t="b">
        <v>1</v>
      </c>
      <c r="R684">
        <v>60</v>
      </c>
      <c r="S684">
        <v>0</v>
      </c>
      <c r="T684">
        <v>0</v>
      </c>
      <c r="U684" t="s">
        <v>711</v>
      </c>
      <c r="V684">
        <v>100</v>
      </c>
      <c r="W684" s="2">
        <v>0.3</v>
      </c>
      <c r="AF684" s="2" t="b">
        <v>1</v>
      </c>
      <c r="AO684" s="2" t="b">
        <v>1</v>
      </c>
      <c r="AX684" s="2" t="b">
        <v>1</v>
      </c>
      <c r="BA684" s="2"/>
      <c r="BB684" s="2" t="b">
        <f>LEN(_xlfn.CONCAT(Table1[[#This Row],[TRACK_TYPE_STANDARD_GAUGE_RAILTYPE_OHLE]:[TRACK_TYPE_MTRO]]))&gt;0</f>
        <v>1</v>
      </c>
      <c r="BC684" s="7">
        <v>25</v>
      </c>
      <c r="BD684" t="s">
        <v>936</v>
      </c>
      <c r="BE684" t="s">
        <v>922</v>
      </c>
      <c r="BF684" t="s">
        <v>940</v>
      </c>
      <c r="BG6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4">
        <v>0</v>
      </c>
      <c r="BI684" t="s">
        <v>734</v>
      </c>
      <c r="BK684" s="11"/>
      <c r="BL684" s="11">
        <v>26</v>
      </c>
      <c r="BM684">
        <v>0</v>
      </c>
      <c r="BN684" t="s">
        <v>692</v>
      </c>
      <c r="BO684" t="s">
        <v>694</v>
      </c>
      <c r="BP684" t="s">
        <v>701</v>
      </c>
      <c r="BQ684" t="s">
        <v>705</v>
      </c>
      <c r="BR684" t="s">
        <v>706</v>
      </c>
      <c r="BS684" t="s">
        <v>707</v>
      </c>
    </row>
    <row r="685" spans="1:71" x14ac:dyDescent="0.4">
      <c r="A685" s="2" t="s">
        <v>871</v>
      </c>
      <c r="B685" t="str">
        <f>_xlfn.TEXTAFTER(Table1[[#This Row],[VEHIDCODE]],"_")</f>
        <v>Wagon_Gen4_Container_Carrier</v>
      </c>
      <c r="C685" t="s">
        <v>751</v>
      </c>
      <c r="D685" t="b">
        <f>OR(ISNUMBER(SEARCH("wagon_",Table1[[#This Row],[FILENAMES_EXPECTED]])),ISNUMBER(SEARCH("coach_",Table1[[#This Row],[FILENAMES_EXPECTED]])))</f>
        <v>1</v>
      </c>
      <c r="E685" t="str">
        <f>"item_"&amp;Table1[[#This Row],[VEHIDCODE]]</f>
        <v>item_mu_Wagon_Gen4_Container_Carrier</v>
      </c>
      <c r="F685" t="str">
        <f>"str_"&amp;Table1[[#This Row],[VEHIDCODE]]</f>
        <v>str_mu_Wagon_Gen4_Container_Carrier</v>
      </c>
      <c r="G685">
        <v>7</v>
      </c>
      <c r="H685" t="s">
        <v>533</v>
      </c>
      <c r="I685">
        <v>0</v>
      </c>
      <c r="J685" t="s">
        <v>35</v>
      </c>
      <c r="K685">
        <v>37</v>
      </c>
      <c r="L685">
        <v>1960</v>
      </c>
      <c r="M685">
        <v>7</v>
      </c>
      <c r="N685" s="2" t="s">
        <v>33</v>
      </c>
      <c r="O685" t="b">
        <v>1</v>
      </c>
      <c r="Q685" s="2" t="b">
        <v>1</v>
      </c>
      <c r="R685">
        <v>60</v>
      </c>
      <c r="S685">
        <v>0</v>
      </c>
      <c r="T685">
        <v>0</v>
      </c>
      <c r="U685" t="s">
        <v>711</v>
      </c>
      <c r="V685">
        <v>120</v>
      </c>
      <c r="W685" s="2">
        <v>0.3</v>
      </c>
      <c r="AF685" s="2" t="b">
        <v>1</v>
      </c>
      <c r="AO685" s="2" t="b">
        <v>1</v>
      </c>
      <c r="AX685" s="2" t="b">
        <v>1</v>
      </c>
      <c r="BA685" s="2"/>
      <c r="BB685" s="2" t="b">
        <f>LEN(_xlfn.CONCAT(Table1[[#This Row],[TRACK_TYPE_STANDARD_GAUGE_RAILTYPE_OHLE]:[TRACK_TYPE_MTRO]]))&gt;0</f>
        <v>1</v>
      </c>
      <c r="BC685" s="7">
        <v>25</v>
      </c>
      <c r="BD685" t="s">
        <v>936</v>
      </c>
      <c r="BE685" t="s">
        <v>922</v>
      </c>
      <c r="BF685" t="s">
        <v>940</v>
      </c>
      <c r="BG6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5">
        <v>0</v>
      </c>
      <c r="BI685" t="s">
        <v>734</v>
      </c>
      <c r="BK685" s="11"/>
      <c r="BL685" s="11">
        <v>19</v>
      </c>
      <c r="BM685">
        <v>0</v>
      </c>
      <c r="BN685" t="s">
        <v>692</v>
      </c>
      <c r="BO685" t="s">
        <v>694</v>
      </c>
      <c r="BP685" t="s">
        <v>701</v>
      </c>
      <c r="BQ685" t="s">
        <v>705</v>
      </c>
      <c r="BR685" t="s">
        <v>706</v>
      </c>
      <c r="BS685" t="s">
        <v>707</v>
      </c>
    </row>
    <row r="686" spans="1:71" x14ac:dyDescent="0.4">
      <c r="A686" s="2" t="s">
        <v>872</v>
      </c>
      <c r="B686" t="str">
        <f>_xlfn.TEXTAFTER(Table1[[#This Row],[VEHIDCODE]],"_")</f>
        <v>Wagon_Gen4_Centerbeam</v>
      </c>
      <c r="C686" t="s">
        <v>751</v>
      </c>
      <c r="D686" t="b">
        <f>OR(ISNUMBER(SEARCH("wagon_",Table1[[#This Row],[FILENAMES_EXPECTED]])),ISNUMBER(SEARCH("coach_",Table1[[#This Row],[FILENAMES_EXPECTED]])))</f>
        <v>1</v>
      </c>
      <c r="E686" t="str">
        <f>"item_"&amp;Table1[[#This Row],[VEHIDCODE]]</f>
        <v>item_mu_Wagon_Gen4_Centerbeam</v>
      </c>
      <c r="F686" t="str">
        <f>"str_"&amp;Table1[[#This Row],[VEHIDCODE]]</f>
        <v>str_mu_Wagon_Gen4_Centerbeam</v>
      </c>
      <c r="G686">
        <v>7</v>
      </c>
      <c r="H686" t="s">
        <v>602</v>
      </c>
      <c r="I686">
        <v>0</v>
      </c>
      <c r="J686" t="s">
        <v>35</v>
      </c>
      <c r="K686">
        <v>45</v>
      </c>
      <c r="L686">
        <v>1950</v>
      </c>
      <c r="M686">
        <v>7</v>
      </c>
      <c r="N686" s="2" t="s">
        <v>33</v>
      </c>
      <c r="O686" t="b">
        <v>1</v>
      </c>
      <c r="Q686" s="2" t="b">
        <v>1</v>
      </c>
      <c r="R686">
        <v>70</v>
      </c>
      <c r="S686">
        <v>0</v>
      </c>
      <c r="T686">
        <v>0</v>
      </c>
      <c r="U686" t="s">
        <v>711</v>
      </c>
      <c r="V686">
        <v>100</v>
      </c>
      <c r="W686" s="2">
        <v>0.3</v>
      </c>
      <c r="AF686" s="2" t="b">
        <v>1</v>
      </c>
      <c r="AO686" s="2" t="b">
        <v>1</v>
      </c>
      <c r="AX686" s="2" t="b">
        <v>1</v>
      </c>
      <c r="BA686" s="2"/>
      <c r="BB686" s="2" t="b">
        <f>LEN(_xlfn.CONCAT(Table1[[#This Row],[TRACK_TYPE_STANDARD_GAUGE_RAILTYPE_OHLE]:[TRACK_TYPE_MTRO]]))&gt;0</f>
        <v>1</v>
      </c>
      <c r="BC686" s="7">
        <v>25</v>
      </c>
      <c r="BD686" t="s">
        <v>936</v>
      </c>
      <c r="BE686" t="s">
        <v>922</v>
      </c>
      <c r="BF686" t="s">
        <v>940</v>
      </c>
      <c r="BG6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6">
        <v>0</v>
      </c>
      <c r="BI686" t="s">
        <v>734</v>
      </c>
      <c r="BK686" s="11"/>
      <c r="BL686" s="11">
        <v>42</v>
      </c>
      <c r="BM686">
        <v>0</v>
      </c>
      <c r="BN686" t="s">
        <v>692</v>
      </c>
      <c r="BO686" t="s">
        <v>694</v>
      </c>
      <c r="BP686" t="s">
        <v>701</v>
      </c>
      <c r="BQ686" t="s">
        <v>705</v>
      </c>
      <c r="BR686" t="s">
        <v>706</v>
      </c>
      <c r="BS686" t="s">
        <v>707</v>
      </c>
    </row>
    <row r="687" spans="1:71" x14ac:dyDescent="0.4">
      <c r="A687" s="2" t="s">
        <v>873</v>
      </c>
      <c r="B687" t="str">
        <f>_xlfn.TEXTAFTER(Table1[[#This Row],[VEHIDCODE]],"_")</f>
        <v>Wagon_Gen5_Flatcar</v>
      </c>
      <c r="C687" t="s">
        <v>752</v>
      </c>
      <c r="D687" t="b">
        <f>OR(ISNUMBER(SEARCH("wagon_",Table1[[#This Row],[FILENAMES_EXPECTED]])),ISNUMBER(SEARCH("coach_",Table1[[#This Row],[FILENAMES_EXPECTED]])))</f>
        <v>1</v>
      </c>
      <c r="E687" t="str">
        <f>"item_"&amp;Table1[[#This Row],[VEHIDCODE]]</f>
        <v>item_mu_Wagon_Gen5_Flatcar</v>
      </c>
      <c r="F687" t="str">
        <f>"str_"&amp;Table1[[#This Row],[VEHIDCODE]]</f>
        <v>str_mu_Wagon_Gen5_Flatcar</v>
      </c>
      <c r="G687">
        <v>8</v>
      </c>
      <c r="H687" t="s">
        <v>604</v>
      </c>
      <c r="I687">
        <v>0</v>
      </c>
      <c r="J687" t="s">
        <v>35</v>
      </c>
      <c r="K687">
        <v>60</v>
      </c>
      <c r="L687">
        <v>1990</v>
      </c>
      <c r="M687">
        <v>8</v>
      </c>
      <c r="N687" s="2" t="s">
        <v>33</v>
      </c>
      <c r="O687" t="b">
        <v>1</v>
      </c>
      <c r="Q687" s="2" t="b">
        <v>1</v>
      </c>
      <c r="R687" t="s">
        <v>21</v>
      </c>
      <c r="S687">
        <v>0</v>
      </c>
      <c r="T687">
        <v>0</v>
      </c>
      <c r="U687" t="s">
        <v>711</v>
      </c>
      <c r="V687">
        <v>120</v>
      </c>
      <c r="W687" s="2">
        <v>0.3</v>
      </c>
      <c r="AF687" s="2" t="b">
        <v>1</v>
      </c>
      <c r="AO687" s="2" t="b">
        <v>1</v>
      </c>
      <c r="AX687" s="2" t="b">
        <v>1</v>
      </c>
      <c r="BA687" s="2"/>
      <c r="BB687" s="2" t="b">
        <f>LEN(_xlfn.CONCAT(Table1[[#This Row],[TRACK_TYPE_STANDARD_GAUGE_RAILTYPE_OHLE]:[TRACK_TYPE_MTRO]]))&gt;0</f>
        <v>1</v>
      </c>
      <c r="BC687" s="7">
        <v>25</v>
      </c>
      <c r="BD687" t="s">
        <v>936</v>
      </c>
      <c r="BE687" t="s">
        <v>922</v>
      </c>
      <c r="BF687" t="s">
        <v>940</v>
      </c>
      <c r="BG6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7">
        <v>0</v>
      </c>
      <c r="BI687" t="s">
        <v>734</v>
      </c>
      <c r="BK687" s="11"/>
      <c r="BL687" s="11">
        <v>23</v>
      </c>
      <c r="BM687">
        <v>0</v>
      </c>
      <c r="BN687" t="s">
        <v>692</v>
      </c>
      <c r="BO687" t="s">
        <v>694</v>
      </c>
      <c r="BP687" t="s">
        <v>701</v>
      </c>
      <c r="BQ687" t="s">
        <v>705</v>
      </c>
      <c r="BR687" t="s">
        <v>706</v>
      </c>
      <c r="BS687" t="s">
        <v>707</v>
      </c>
    </row>
    <row r="688" spans="1:71" x14ac:dyDescent="0.4">
      <c r="A688" s="2" t="s">
        <v>874</v>
      </c>
      <c r="B688" t="str">
        <f>_xlfn.TEXTAFTER(Table1[[#This Row],[VEHIDCODE]],"_")</f>
        <v>Wagon_Gen5_Heavy_Flatcar</v>
      </c>
      <c r="C688" t="s">
        <v>752</v>
      </c>
      <c r="D688" t="b">
        <f>OR(ISNUMBER(SEARCH("wagon_",Table1[[#This Row],[FILENAMES_EXPECTED]])),ISNUMBER(SEARCH("coach_",Table1[[#This Row],[FILENAMES_EXPECTED]])))</f>
        <v>1</v>
      </c>
      <c r="E688" t="str">
        <f>"item_"&amp;Table1[[#This Row],[VEHIDCODE]]</f>
        <v>item_mu_Wagon_Gen5_Heavy_Flatcar</v>
      </c>
      <c r="F688" t="str">
        <f>"str_"&amp;Table1[[#This Row],[VEHIDCODE]]</f>
        <v>str_mu_Wagon_Gen5_Heavy_Flatcar</v>
      </c>
      <c r="G688">
        <v>8</v>
      </c>
      <c r="H688" t="s">
        <v>606</v>
      </c>
      <c r="I688">
        <v>0</v>
      </c>
      <c r="J688" t="s">
        <v>35</v>
      </c>
      <c r="K688">
        <v>84</v>
      </c>
      <c r="L688">
        <v>2000</v>
      </c>
      <c r="M688">
        <v>8</v>
      </c>
      <c r="N688" s="2" t="s">
        <v>33</v>
      </c>
      <c r="O688" t="b">
        <v>1</v>
      </c>
      <c r="Q688" s="2" t="b">
        <v>1</v>
      </c>
      <c r="R688" t="s">
        <v>21</v>
      </c>
      <c r="S688">
        <v>0</v>
      </c>
      <c r="T688">
        <v>0</v>
      </c>
      <c r="U688" t="s">
        <v>711</v>
      </c>
      <c r="V688">
        <v>100</v>
      </c>
      <c r="W688" s="2">
        <v>0.3</v>
      </c>
      <c r="AF688" s="2" t="b">
        <v>1</v>
      </c>
      <c r="AO688" s="2" t="b">
        <v>1</v>
      </c>
      <c r="AX688" s="2" t="b">
        <v>1</v>
      </c>
      <c r="BA688" s="2"/>
      <c r="BB688" s="2" t="b">
        <f>LEN(_xlfn.CONCAT(Table1[[#This Row],[TRACK_TYPE_STANDARD_GAUGE_RAILTYPE_OHLE]:[TRACK_TYPE_MTRO]]))&gt;0</f>
        <v>1</v>
      </c>
      <c r="BC688" s="7">
        <v>25</v>
      </c>
      <c r="BD688" t="s">
        <v>936</v>
      </c>
      <c r="BE688" t="s">
        <v>922</v>
      </c>
      <c r="BF688" t="s">
        <v>940</v>
      </c>
      <c r="BG6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8">
        <v>0</v>
      </c>
      <c r="BI688" t="s">
        <v>734</v>
      </c>
      <c r="BK688" s="11"/>
      <c r="BL688" s="11">
        <v>42</v>
      </c>
      <c r="BM688">
        <v>0</v>
      </c>
      <c r="BN688" t="s">
        <v>692</v>
      </c>
      <c r="BO688" t="s">
        <v>694</v>
      </c>
      <c r="BP688" t="s">
        <v>701</v>
      </c>
      <c r="BQ688" t="s">
        <v>705</v>
      </c>
      <c r="BR688" t="s">
        <v>706</v>
      </c>
      <c r="BS688" t="s">
        <v>707</v>
      </c>
    </row>
    <row r="689" spans="1:71" x14ac:dyDescent="0.4">
      <c r="A689" s="2" t="s">
        <v>875</v>
      </c>
      <c r="B689" t="str">
        <f>_xlfn.TEXTAFTER(Table1[[#This Row],[VEHIDCODE]],"_")</f>
        <v>Wagon_Gen5_Boxcar_Type1</v>
      </c>
      <c r="C689" t="s">
        <v>752</v>
      </c>
      <c r="D689" t="b">
        <f>OR(ISNUMBER(SEARCH("wagon_",Table1[[#This Row],[FILENAMES_EXPECTED]])),ISNUMBER(SEARCH("coach_",Table1[[#This Row],[FILENAMES_EXPECTED]])))</f>
        <v>1</v>
      </c>
      <c r="E689" t="str">
        <f>"item_"&amp;Table1[[#This Row],[VEHIDCODE]]</f>
        <v>item_mu_Wagon_Gen5_Boxcar_Type1</v>
      </c>
      <c r="F689" t="str">
        <f>"str_"&amp;Table1[[#This Row],[VEHIDCODE]]</f>
        <v>str_mu_Wagon_Gen5_Boxcar_Type1</v>
      </c>
      <c r="G689">
        <v>8</v>
      </c>
      <c r="H689" t="s">
        <v>600</v>
      </c>
      <c r="I689">
        <v>0</v>
      </c>
      <c r="J689" t="s">
        <v>35</v>
      </c>
      <c r="K689">
        <v>63</v>
      </c>
      <c r="L689">
        <v>1990</v>
      </c>
      <c r="M689">
        <v>8</v>
      </c>
      <c r="N689" s="2" t="s">
        <v>33</v>
      </c>
      <c r="O689" t="b">
        <v>1</v>
      </c>
      <c r="Q689" s="2" t="b">
        <v>1</v>
      </c>
      <c r="R689" t="s">
        <v>21</v>
      </c>
      <c r="S689">
        <v>0</v>
      </c>
      <c r="T689">
        <v>0</v>
      </c>
      <c r="U689" t="s">
        <v>711</v>
      </c>
      <c r="V689">
        <v>120</v>
      </c>
      <c r="W689" s="2">
        <v>0.3</v>
      </c>
      <c r="AF689" s="2" t="b">
        <v>1</v>
      </c>
      <c r="AO689" s="2" t="b">
        <v>1</v>
      </c>
      <c r="AX689" s="2" t="b">
        <v>1</v>
      </c>
      <c r="BA689" s="2"/>
      <c r="BB689" s="2" t="b">
        <f>LEN(_xlfn.CONCAT(Table1[[#This Row],[TRACK_TYPE_STANDARD_GAUGE_RAILTYPE_OHLE]:[TRACK_TYPE_MTRO]]))&gt;0</f>
        <v>1</v>
      </c>
      <c r="BC689" s="7">
        <v>25</v>
      </c>
      <c r="BD689" t="s">
        <v>933</v>
      </c>
      <c r="BE689" t="s">
        <v>922</v>
      </c>
      <c r="BF689" t="s">
        <v>940</v>
      </c>
      <c r="BG6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9">
        <v>0</v>
      </c>
      <c r="BI689" t="s">
        <v>734</v>
      </c>
      <c r="BK689" s="11"/>
      <c r="BL689" s="11">
        <v>27</v>
      </c>
      <c r="BM689">
        <v>0</v>
      </c>
      <c r="BN689" t="s">
        <v>692</v>
      </c>
      <c r="BO689" t="s">
        <v>694</v>
      </c>
      <c r="BP689" t="s">
        <v>701</v>
      </c>
      <c r="BQ689" t="s">
        <v>705</v>
      </c>
      <c r="BR689" t="s">
        <v>706</v>
      </c>
      <c r="BS689" t="s">
        <v>707</v>
      </c>
    </row>
    <row r="690" spans="1:71" x14ac:dyDescent="0.4">
      <c r="A690" s="2" t="s">
        <v>876</v>
      </c>
      <c r="B690" t="str">
        <f>_xlfn.TEXTAFTER(Table1[[#This Row],[VEHIDCODE]],"_")</f>
        <v>Wagon_Gen5_Boxcar_Type2</v>
      </c>
      <c r="C690" t="s">
        <v>752</v>
      </c>
      <c r="D690" t="b">
        <f>OR(ISNUMBER(SEARCH("wagon_",Table1[[#This Row],[FILENAMES_EXPECTED]])),ISNUMBER(SEARCH("coach_",Table1[[#This Row],[FILENAMES_EXPECTED]])))</f>
        <v>1</v>
      </c>
      <c r="E690" t="str">
        <f>"item_"&amp;Table1[[#This Row],[VEHIDCODE]]</f>
        <v>item_mu_Wagon_Gen5_Boxcar_Type2</v>
      </c>
      <c r="F690" t="str">
        <f>"str_"&amp;Table1[[#This Row],[VEHIDCODE]]</f>
        <v>str_mu_Wagon_Gen5_Boxcar_Type2</v>
      </c>
      <c r="G690">
        <v>8</v>
      </c>
      <c r="H690" t="s">
        <v>600</v>
      </c>
      <c r="I690">
        <v>0</v>
      </c>
      <c r="J690" t="s">
        <v>35</v>
      </c>
      <c r="K690">
        <v>63</v>
      </c>
      <c r="L690">
        <v>1990</v>
      </c>
      <c r="M690">
        <v>8</v>
      </c>
      <c r="N690" s="2" t="s">
        <v>33</v>
      </c>
      <c r="O690" t="b">
        <v>1</v>
      </c>
      <c r="Q690" s="2" t="b">
        <v>1</v>
      </c>
      <c r="R690" t="s">
        <v>21</v>
      </c>
      <c r="S690">
        <v>0</v>
      </c>
      <c r="T690">
        <v>0</v>
      </c>
      <c r="U690" t="s">
        <v>711</v>
      </c>
      <c r="V690">
        <v>120</v>
      </c>
      <c r="W690" s="2">
        <v>0.3</v>
      </c>
      <c r="AF690" s="2" t="b">
        <v>1</v>
      </c>
      <c r="AO690" s="2" t="b">
        <v>1</v>
      </c>
      <c r="AX690" s="2" t="b">
        <v>1</v>
      </c>
      <c r="BA690" s="2"/>
      <c r="BB690" s="2" t="b">
        <f>LEN(_xlfn.CONCAT(Table1[[#This Row],[TRACK_TYPE_STANDARD_GAUGE_RAILTYPE_OHLE]:[TRACK_TYPE_MTRO]]))&gt;0</f>
        <v>1</v>
      </c>
      <c r="BC690" s="7">
        <v>25</v>
      </c>
      <c r="BD690" t="s">
        <v>934</v>
      </c>
      <c r="BE690" t="s">
        <v>922</v>
      </c>
      <c r="BF690" t="s">
        <v>940</v>
      </c>
      <c r="BG6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0">
        <v>0</v>
      </c>
      <c r="BI690" t="s">
        <v>734</v>
      </c>
      <c r="BK690" s="11"/>
      <c r="BL690" s="11">
        <v>27</v>
      </c>
      <c r="BM690">
        <v>0</v>
      </c>
      <c r="BN690" t="s">
        <v>692</v>
      </c>
      <c r="BO690" t="s">
        <v>694</v>
      </c>
      <c r="BP690" t="s">
        <v>701</v>
      </c>
      <c r="BQ690" t="s">
        <v>705</v>
      </c>
      <c r="BR690" t="s">
        <v>706</v>
      </c>
      <c r="BS690" t="s">
        <v>707</v>
      </c>
    </row>
    <row r="691" spans="1:71" x14ac:dyDescent="0.4">
      <c r="A691" s="2" t="s">
        <v>877</v>
      </c>
      <c r="B691" t="str">
        <f>_xlfn.TEXTAFTER(Table1[[#This Row],[VEHIDCODE]],"_")</f>
        <v>Wagon_Gen5_Tanker</v>
      </c>
      <c r="C691" t="s">
        <v>752</v>
      </c>
      <c r="D691" t="b">
        <f>OR(ISNUMBER(SEARCH("wagon_",Table1[[#This Row],[FILENAMES_EXPECTED]])),ISNUMBER(SEARCH("coach_",Table1[[#This Row],[FILENAMES_EXPECTED]])))</f>
        <v>1</v>
      </c>
      <c r="E691" t="str">
        <f>"item_"&amp;Table1[[#This Row],[VEHIDCODE]]</f>
        <v>item_mu_Wagon_Gen5_Tanker</v>
      </c>
      <c r="F691" t="str">
        <f>"str_"&amp;Table1[[#This Row],[VEHIDCODE]]</f>
        <v>str_mu_Wagon_Gen5_Tanker</v>
      </c>
      <c r="G691">
        <v>8</v>
      </c>
      <c r="H691" t="s">
        <v>610</v>
      </c>
      <c r="I691">
        <v>0</v>
      </c>
      <c r="J691" t="s">
        <v>35</v>
      </c>
      <c r="K691">
        <v>95</v>
      </c>
      <c r="L691">
        <v>2000</v>
      </c>
      <c r="M691">
        <v>8</v>
      </c>
      <c r="N691" s="2" t="s">
        <v>33</v>
      </c>
      <c r="O691" t="b">
        <v>1</v>
      </c>
      <c r="Q691" s="2" t="b">
        <v>1</v>
      </c>
      <c r="R691" t="s">
        <v>21</v>
      </c>
      <c r="S691">
        <v>0</v>
      </c>
      <c r="T691">
        <v>0</v>
      </c>
      <c r="U691" t="s">
        <v>711</v>
      </c>
      <c r="V691">
        <v>120</v>
      </c>
      <c r="W691" s="2">
        <v>0.3</v>
      </c>
      <c r="AF691" s="2" t="b">
        <v>1</v>
      </c>
      <c r="AO691" s="2" t="b">
        <v>1</v>
      </c>
      <c r="AX691" s="2" t="b">
        <v>1</v>
      </c>
      <c r="BA691" s="2"/>
      <c r="BB691" s="2" t="b">
        <f>LEN(_xlfn.CONCAT(Table1[[#This Row],[TRACK_TYPE_STANDARD_GAUGE_RAILTYPE_OHLE]:[TRACK_TYPE_MTRO]]))&gt;0</f>
        <v>1</v>
      </c>
      <c r="BC691" s="7">
        <v>25</v>
      </c>
      <c r="BD691" t="s">
        <v>936</v>
      </c>
      <c r="BE691" t="s">
        <v>922</v>
      </c>
      <c r="BF691" t="s">
        <v>940</v>
      </c>
      <c r="BG6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1">
        <v>0</v>
      </c>
      <c r="BI691" t="s">
        <v>734</v>
      </c>
      <c r="BK691" s="11"/>
      <c r="BL691" s="11">
        <v>24</v>
      </c>
      <c r="BM691">
        <v>0</v>
      </c>
      <c r="BN691" t="s">
        <v>692</v>
      </c>
      <c r="BO691" t="s">
        <v>694</v>
      </c>
      <c r="BP691" t="s">
        <v>701</v>
      </c>
      <c r="BQ691" t="s">
        <v>705</v>
      </c>
      <c r="BR691" t="s">
        <v>706</v>
      </c>
      <c r="BS691" t="s">
        <v>707</v>
      </c>
    </row>
    <row r="692" spans="1:71" x14ac:dyDescent="0.4">
      <c r="A692" s="2" t="s">
        <v>878</v>
      </c>
      <c r="B692" t="str">
        <f>_xlfn.TEXTAFTER(Table1[[#This Row],[VEHIDCODE]],"_")</f>
        <v>Wagon_Gen5_Gondola</v>
      </c>
      <c r="C692" t="s">
        <v>752</v>
      </c>
      <c r="D692" t="b">
        <f>OR(ISNUMBER(SEARCH("wagon_",Table1[[#This Row],[FILENAMES_EXPECTED]])),ISNUMBER(SEARCH("coach_",Table1[[#This Row],[FILENAMES_EXPECTED]])))</f>
        <v>1</v>
      </c>
      <c r="E692" t="str">
        <f>"item_"&amp;Table1[[#This Row],[VEHIDCODE]]</f>
        <v>item_mu_Wagon_Gen5_Gondola</v>
      </c>
      <c r="F692" t="str">
        <f>"str_"&amp;Table1[[#This Row],[VEHIDCODE]]</f>
        <v>str_mu_Wagon_Gen5_Gondola</v>
      </c>
      <c r="G692">
        <v>8</v>
      </c>
      <c r="H692" t="s">
        <v>605</v>
      </c>
      <c r="I692">
        <v>0</v>
      </c>
      <c r="J692" t="s">
        <v>35</v>
      </c>
      <c r="K692">
        <v>65</v>
      </c>
      <c r="L692">
        <v>1990</v>
      </c>
      <c r="M692">
        <v>8</v>
      </c>
      <c r="N692" s="2" t="s">
        <v>33</v>
      </c>
      <c r="O692" t="b">
        <v>1</v>
      </c>
      <c r="Q692" s="2" t="b">
        <v>1</v>
      </c>
      <c r="R692" t="s">
        <v>21</v>
      </c>
      <c r="S692">
        <v>0</v>
      </c>
      <c r="T692">
        <v>0</v>
      </c>
      <c r="U692" t="s">
        <v>711</v>
      </c>
      <c r="V692">
        <v>120</v>
      </c>
      <c r="W692" s="2">
        <v>0.3</v>
      </c>
      <c r="AF692" s="2" t="b">
        <v>1</v>
      </c>
      <c r="AO692" s="2" t="b">
        <v>1</v>
      </c>
      <c r="AX692" s="2" t="b">
        <v>1</v>
      </c>
      <c r="BA692" s="2"/>
      <c r="BB692" s="2" t="b">
        <f>LEN(_xlfn.CONCAT(Table1[[#This Row],[TRACK_TYPE_STANDARD_GAUGE_RAILTYPE_OHLE]:[TRACK_TYPE_MTRO]]))&gt;0</f>
        <v>1</v>
      </c>
      <c r="BC692" s="7">
        <v>25</v>
      </c>
      <c r="BD692" t="s">
        <v>936</v>
      </c>
      <c r="BE692" t="s">
        <v>922</v>
      </c>
      <c r="BF692" t="s">
        <v>940</v>
      </c>
      <c r="BG6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2">
        <v>0</v>
      </c>
      <c r="BI692" t="s">
        <v>734</v>
      </c>
      <c r="BK692" s="11"/>
      <c r="BL692" s="11">
        <v>22</v>
      </c>
      <c r="BM692">
        <v>0</v>
      </c>
      <c r="BN692" t="s">
        <v>692</v>
      </c>
      <c r="BO692" t="s">
        <v>694</v>
      </c>
      <c r="BP692" t="s">
        <v>701</v>
      </c>
      <c r="BQ692" t="s">
        <v>705</v>
      </c>
      <c r="BR692" t="s">
        <v>706</v>
      </c>
      <c r="BS692" t="s">
        <v>707</v>
      </c>
    </row>
    <row r="693" spans="1:71" x14ac:dyDescent="0.4">
      <c r="A693" s="2" t="s">
        <v>879</v>
      </c>
      <c r="B693" t="str">
        <f>_xlfn.TEXTAFTER(Table1[[#This Row],[VEHIDCODE]],"_")</f>
        <v>Wagon_Gen5_Silo_Type1</v>
      </c>
      <c r="C693" t="s">
        <v>752</v>
      </c>
      <c r="D693" t="b">
        <f>OR(ISNUMBER(SEARCH("wagon_",Table1[[#This Row],[FILENAMES_EXPECTED]])),ISNUMBER(SEARCH("coach_",Table1[[#This Row],[FILENAMES_EXPECTED]])))</f>
        <v>1</v>
      </c>
      <c r="E693" t="str">
        <f>"item_"&amp;Table1[[#This Row],[VEHIDCODE]]</f>
        <v>item_mu_Wagon_Gen5_Silo_Type1</v>
      </c>
      <c r="F693" t="str">
        <f>"str_"&amp;Table1[[#This Row],[VEHIDCODE]]</f>
        <v>str_mu_Wagon_Gen5_Silo_Type1</v>
      </c>
      <c r="G693">
        <v>8</v>
      </c>
      <c r="H693" t="s">
        <v>608</v>
      </c>
      <c r="I693">
        <v>0</v>
      </c>
      <c r="J693" t="s">
        <v>35</v>
      </c>
      <c r="K693">
        <v>65</v>
      </c>
      <c r="L693">
        <v>2000</v>
      </c>
      <c r="M693">
        <v>8</v>
      </c>
      <c r="N693" s="2" t="s">
        <v>33</v>
      </c>
      <c r="O693" t="b">
        <v>1</v>
      </c>
      <c r="Q693" s="2" t="b">
        <v>1</v>
      </c>
      <c r="R693" t="s">
        <v>21</v>
      </c>
      <c r="S693">
        <v>0</v>
      </c>
      <c r="T693">
        <v>0</v>
      </c>
      <c r="U693" t="s">
        <v>711</v>
      </c>
      <c r="V693">
        <v>120</v>
      </c>
      <c r="W693" s="2">
        <v>0.3</v>
      </c>
      <c r="AF693" s="2" t="b">
        <v>1</v>
      </c>
      <c r="AO693" s="2" t="b">
        <v>1</v>
      </c>
      <c r="AX693" s="2" t="b">
        <v>1</v>
      </c>
      <c r="BA693" s="2"/>
      <c r="BB693" s="2" t="b">
        <f>LEN(_xlfn.CONCAT(Table1[[#This Row],[TRACK_TYPE_STANDARD_GAUGE_RAILTYPE_OHLE]:[TRACK_TYPE_MTRO]]))&gt;0</f>
        <v>1</v>
      </c>
      <c r="BC693" s="7">
        <v>25</v>
      </c>
      <c r="BD693" t="s">
        <v>933</v>
      </c>
      <c r="BE693" t="s">
        <v>922</v>
      </c>
      <c r="BF693" t="s">
        <v>940</v>
      </c>
      <c r="BG6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3">
        <v>0</v>
      </c>
      <c r="BI693" t="s">
        <v>734</v>
      </c>
      <c r="BK693" s="11"/>
      <c r="BL693" s="11">
        <v>27</v>
      </c>
      <c r="BM693">
        <v>0</v>
      </c>
      <c r="BN693" t="s">
        <v>692</v>
      </c>
      <c r="BO693" t="s">
        <v>694</v>
      </c>
      <c r="BP693" t="s">
        <v>701</v>
      </c>
      <c r="BQ693" t="s">
        <v>705</v>
      </c>
      <c r="BR693" t="s">
        <v>706</v>
      </c>
      <c r="BS693" t="s">
        <v>707</v>
      </c>
    </row>
    <row r="694" spans="1:71" x14ac:dyDescent="0.4">
      <c r="A694" s="2" t="s">
        <v>880</v>
      </c>
      <c r="B694" t="str">
        <f>_xlfn.TEXTAFTER(Table1[[#This Row],[VEHIDCODE]],"_")</f>
        <v>Wagon_Gen5_Silo_Type2</v>
      </c>
      <c r="C694" t="s">
        <v>752</v>
      </c>
      <c r="D694" t="b">
        <f>OR(ISNUMBER(SEARCH("wagon_",Table1[[#This Row],[FILENAMES_EXPECTED]])),ISNUMBER(SEARCH("coach_",Table1[[#This Row],[FILENAMES_EXPECTED]])))</f>
        <v>1</v>
      </c>
      <c r="E694" t="str">
        <f>"item_"&amp;Table1[[#This Row],[VEHIDCODE]]</f>
        <v>item_mu_Wagon_Gen5_Silo_Type2</v>
      </c>
      <c r="F694" t="str">
        <f>"str_"&amp;Table1[[#This Row],[VEHIDCODE]]</f>
        <v>str_mu_Wagon_Gen5_Silo_Type2</v>
      </c>
      <c r="G694">
        <v>8</v>
      </c>
      <c r="H694" t="s">
        <v>608</v>
      </c>
      <c r="I694">
        <v>0</v>
      </c>
      <c r="J694" t="s">
        <v>35</v>
      </c>
      <c r="K694">
        <v>65</v>
      </c>
      <c r="L694">
        <v>2000</v>
      </c>
      <c r="M694">
        <v>8</v>
      </c>
      <c r="N694" s="2" t="s">
        <v>33</v>
      </c>
      <c r="O694" t="b">
        <v>1</v>
      </c>
      <c r="Q694" s="2" t="b">
        <v>1</v>
      </c>
      <c r="R694" t="s">
        <v>21</v>
      </c>
      <c r="S694">
        <v>0</v>
      </c>
      <c r="T694">
        <v>0</v>
      </c>
      <c r="U694" t="s">
        <v>711</v>
      </c>
      <c r="V694">
        <v>120</v>
      </c>
      <c r="W694" s="2">
        <v>0.3</v>
      </c>
      <c r="AF694" s="2" t="b">
        <v>1</v>
      </c>
      <c r="AO694" s="2" t="b">
        <v>1</v>
      </c>
      <c r="AX694" s="2" t="b">
        <v>1</v>
      </c>
      <c r="BA694" s="2"/>
      <c r="BB694" s="2" t="b">
        <f>LEN(_xlfn.CONCAT(Table1[[#This Row],[TRACK_TYPE_STANDARD_GAUGE_RAILTYPE_OHLE]:[TRACK_TYPE_MTRO]]))&gt;0</f>
        <v>1</v>
      </c>
      <c r="BC694" s="7">
        <v>25</v>
      </c>
      <c r="BD694" t="s">
        <v>934</v>
      </c>
      <c r="BE694" t="s">
        <v>922</v>
      </c>
      <c r="BF694" t="s">
        <v>940</v>
      </c>
      <c r="BG6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4">
        <v>0</v>
      </c>
      <c r="BI694" t="s">
        <v>734</v>
      </c>
      <c r="BK694" s="11"/>
      <c r="BL694" s="11">
        <v>27</v>
      </c>
      <c r="BM694">
        <v>0</v>
      </c>
      <c r="BN694" t="s">
        <v>692</v>
      </c>
      <c r="BO694" t="s">
        <v>694</v>
      </c>
      <c r="BP694" t="s">
        <v>701</v>
      </c>
      <c r="BQ694" t="s">
        <v>705</v>
      </c>
      <c r="BR694" t="s">
        <v>706</v>
      </c>
      <c r="BS694" t="s">
        <v>707</v>
      </c>
    </row>
    <row r="695" spans="1:71" x14ac:dyDescent="0.4">
      <c r="A695" s="2" t="s">
        <v>881</v>
      </c>
      <c r="B695" t="str">
        <f>_xlfn.TEXTAFTER(Table1[[#This Row],[VEHIDCODE]],"_")</f>
        <v>Wagon_Gen5_Hopper_Type1</v>
      </c>
      <c r="C695" t="s">
        <v>752</v>
      </c>
      <c r="D695" t="b">
        <f>OR(ISNUMBER(SEARCH("wagon_",Table1[[#This Row],[FILENAMES_EXPECTED]])),ISNUMBER(SEARCH("coach_",Table1[[#This Row],[FILENAMES_EXPECTED]])))</f>
        <v>1</v>
      </c>
      <c r="E695" t="str">
        <f>"item_"&amp;Table1[[#This Row],[VEHIDCODE]]</f>
        <v>item_mu_Wagon_Gen5_Hopper_Type1</v>
      </c>
      <c r="F695" t="str">
        <f>"str_"&amp;Table1[[#This Row],[VEHIDCODE]]</f>
        <v>str_mu_Wagon_Gen5_Hopper_Type1</v>
      </c>
      <c r="G695">
        <v>8</v>
      </c>
      <c r="H695" t="s">
        <v>607</v>
      </c>
      <c r="I695">
        <v>0</v>
      </c>
      <c r="J695" t="s">
        <v>35</v>
      </c>
      <c r="K695">
        <v>65</v>
      </c>
      <c r="L695">
        <v>2000</v>
      </c>
      <c r="M695">
        <v>8</v>
      </c>
      <c r="N695" s="2" t="s">
        <v>33</v>
      </c>
      <c r="O695" t="b">
        <v>1</v>
      </c>
      <c r="Q695" s="2" t="b">
        <v>1</v>
      </c>
      <c r="R695" t="s">
        <v>21</v>
      </c>
      <c r="S695">
        <v>0</v>
      </c>
      <c r="T695">
        <v>0</v>
      </c>
      <c r="U695" t="s">
        <v>711</v>
      </c>
      <c r="V695">
        <v>120</v>
      </c>
      <c r="W695" s="2">
        <v>0.3</v>
      </c>
      <c r="AF695" s="2" t="b">
        <v>1</v>
      </c>
      <c r="AO695" s="2" t="b">
        <v>1</v>
      </c>
      <c r="AX695" s="2" t="b">
        <v>1</v>
      </c>
      <c r="BA695" s="2"/>
      <c r="BB695" s="2" t="b">
        <f>LEN(_xlfn.CONCAT(Table1[[#This Row],[TRACK_TYPE_STANDARD_GAUGE_RAILTYPE_OHLE]:[TRACK_TYPE_MTRO]]))&gt;0</f>
        <v>1</v>
      </c>
      <c r="BC695" s="7">
        <v>25</v>
      </c>
      <c r="BD695" t="s">
        <v>933</v>
      </c>
      <c r="BE695" t="s">
        <v>922</v>
      </c>
      <c r="BF695" t="s">
        <v>940</v>
      </c>
      <c r="BG6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5">
        <v>0</v>
      </c>
      <c r="BI695" t="s">
        <v>734</v>
      </c>
      <c r="BK695" s="11"/>
      <c r="BL695" s="11">
        <v>26</v>
      </c>
      <c r="BM695">
        <v>0</v>
      </c>
      <c r="BN695" t="s">
        <v>692</v>
      </c>
      <c r="BO695" t="s">
        <v>694</v>
      </c>
      <c r="BP695" t="s">
        <v>701</v>
      </c>
      <c r="BQ695" t="s">
        <v>705</v>
      </c>
      <c r="BR695" t="s">
        <v>706</v>
      </c>
      <c r="BS695" t="s">
        <v>707</v>
      </c>
    </row>
    <row r="696" spans="1:71" x14ac:dyDescent="0.4">
      <c r="A696" s="2" t="s">
        <v>882</v>
      </c>
      <c r="B696" t="str">
        <f>_xlfn.TEXTAFTER(Table1[[#This Row],[VEHIDCODE]],"_")</f>
        <v>Wagon_Gen5_Hopper_Type2</v>
      </c>
      <c r="C696" t="s">
        <v>752</v>
      </c>
      <c r="D696" t="b">
        <f>OR(ISNUMBER(SEARCH("wagon_",Table1[[#This Row],[FILENAMES_EXPECTED]])),ISNUMBER(SEARCH("coach_",Table1[[#This Row],[FILENAMES_EXPECTED]])))</f>
        <v>1</v>
      </c>
      <c r="E696" t="str">
        <f>"item_"&amp;Table1[[#This Row],[VEHIDCODE]]</f>
        <v>item_mu_Wagon_Gen5_Hopper_Type2</v>
      </c>
      <c r="F696" t="str">
        <f>"str_"&amp;Table1[[#This Row],[VEHIDCODE]]</f>
        <v>str_mu_Wagon_Gen5_Hopper_Type2</v>
      </c>
      <c r="G696">
        <v>8</v>
      </c>
      <c r="H696" t="s">
        <v>607</v>
      </c>
      <c r="I696">
        <v>0</v>
      </c>
      <c r="J696" t="s">
        <v>35</v>
      </c>
      <c r="K696">
        <v>65</v>
      </c>
      <c r="L696">
        <v>2000</v>
      </c>
      <c r="M696">
        <v>8</v>
      </c>
      <c r="N696" s="2" t="s">
        <v>33</v>
      </c>
      <c r="O696" t="b">
        <v>1</v>
      </c>
      <c r="Q696" s="2" t="b">
        <v>1</v>
      </c>
      <c r="R696" t="s">
        <v>21</v>
      </c>
      <c r="S696">
        <v>0</v>
      </c>
      <c r="T696">
        <v>0</v>
      </c>
      <c r="U696" t="s">
        <v>711</v>
      </c>
      <c r="V696">
        <v>120</v>
      </c>
      <c r="W696" s="2">
        <v>0.3</v>
      </c>
      <c r="AF696" s="2" t="b">
        <v>1</v>
      </c>
      <c r="AO696" s="2" t="b">
        <v>1</v>
      </c>
      <c r="AX696" s="2" t="b">
        <v>1</v>
      </c>
      <c r="BA696" s="2"/>
      <c r="BB696" s="2" t="b">
        <f>LEN(_xlfn.CONCAT(Table1[[#This Row],[TRACK_TYPE_STANDARD_GAUGE_RAILTYPE_OHLE]:[TRACK_TYPE_MTRO]]))&gt;0</f>
        <v>1</v>
      </c>
      <c r="BC696" s="7">
        <v>25</v>
      </c>
      <c r="BD696" t="s">
        <v>936</v>
      </c>
      <c r="BE696" t="s">
        <v>922</v>
      </c>
      <c r="BF696" t="s">
        <v>940</v>
      </c>
      <c r="BG6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6">
        <v>0</v>
      </c>
      <c r="BI696" t="s">
        <v>734</v>
      </c>
      <c r="BK696" s="11"/>
      <c r="BL696" s="11">
        <v>26</v>
      </c>
      <c r="BM696">
        <v>0</v>
      </c>
      <c r="BN696" t="s">
        <v>692</v>
      </c>
      <c r="BO696" t="s">
        <v>694</v>
      </c>
      <c r="BP696" t="s">
        <v>701</v>
      </c>
      <c r="BQ696" t="s">
        <v>705</v>
      </c>
      <c r="BR696" t="s">
        <v>706</v>
      </c>
      <c r="BS696" t="s">
        <v>707</v>
      </c>
    </row>
    <row r="697" spans="1:71" x14ac:dyDescent="0.4">
      <c r="A697" s="2" t="s">
        <v>883</v>
      </c>
      <c r="B697" t="str">
        <f>_xlfn.TEXTAFTER(Table1[[#This Row],[VEHIDCODE]],"_")</f>
        <v>Wagon_Gen5_Car_Transporter</v>
      </c>
      <c r="C697" t="s">
        <v>752</v>
      </c>
      <c r="D697" t="b">
        <f>OR(ISNUMBER(SEARCH("wagon_",Table1[[#This Row],[FILENAMES_EXPECTED]])),ISNUMBER(SEARCH("coach_",Table1[[#This Row],[FILENAMES_EXPECTED]])))</f>
        <v>1</v>
      </c>
      <c r="E697" t="str">
        <f>"item_"&amp;Table1[[#This Row],[VEHIDCODE]]</f>
        <v>item_mu_Wagon_Gen5_Car_Transporter</v>
      </c>
      <c r="F697" t="str">
        <f>"str_"&amp;Table1[[#This Row],[VEHIDCODE]]</f>
        <v>str_mu_Wagon_Gen5_Car_Transporter</v>
      </c>
      <c r="G697">
        <v>8</v>
      </c>
      <c r="H697" t="s">
        <v>601</v>
      </c>
      <c r="I697">
        <v>0</v>
      </c>
      <c r="J697" t="s">
        <v>35</v>
      </c>
      <c r="K697">
        <v>16</v>
      </c>
      <c r="L697">
        <v>2000</v>
      </c>
      <c r="M697">
        <v>8</v>
      </c>
      <c r="N697" s="2" t="s">
        <v>33</v>
      </c>
      <c r="O697" t="b">
        <v>1</v>
      </c>
      <c r="Q697" s="2" t="b">
        <v>1</v>
      </c>
      <c r="R697" t="s">
        <v>21</v>
      </c>
      <c r="S697">
        <v>0</v>
      </c>
      <c r="T697">
        <v>0</v>
      </c>
      <c r="U697" t="s">
        <v>711</v>
      </c>
      <c r="V697">
        <v>160</v>
      </c>
      <c r="W697" s="2">
        <v>0.3</v>
      </c>
      <c r="AF697" s="2" t="b">
        <v>1</v>
      </c>
      <c r="AO697" s="2" t="b">
        <v>1</v>
      </c>
      <c r="AX697" s="2" t="b">
        <v>1</v>
      </c>
      <c r="BA697" s="2"/>
      <c r="BB697" s="2" t="b">
        <f>LEN(_xlfn.CONCAT(Table1[[#This Row],[TRACK_TYPE_STANDARD_GAUGE_RAILTYPE_OHLE]:[TRACK_TYPE_MTRO]]))&gt;0</f>
        <v>1</v>
      </c>
      <c r="BC697" s="7">
        <v>25</v>
      </c>
      <c r="BD697" t="s">
        <v>936</v>
      </c>
      <c r="BE697" t="s">
        <v>922</v>
      </c>
      <c r="BF697" t="s">
        <v>940</v>
      </c>
      <c r="BG6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7">
        <v>0</v>
      </c>
      <c r="BI697" t="s">
        <v>734</v>
      </c>
      <c r="BK697" s="11"/>
      <c r="BL697" s="11">
        <v>28</v>
      </c>
      <c r="BM697">
        <v>0</v>
      </c>
      <c r="BN697" t="s">
        <v>692</v>
      </c>
      <c r="BO697" t="s">
        <v>694</v>
      </c>
      <c r="BP697" t="s">
        <v>701</v>
      </c>
      <c r="BQ697" t="s">
        <v>705</v>
      </c>
      <c r="BR697" t="s">
        <v>706</v>
      </c>
      <c r="BS697" t="s">
        <v>707</v>
      </c>
    </row>
    <row r="698" spans="1:71" x14ac:dyDescent="0.4">
      <c r="A698" s="2" t="s">
        <v>884</v>
      </c>
      <c r="B698" t="str">
        <f>_xlfn.TEXTAFTER(Table1[[#This Row],[VEHIDCODE]],"_")</f>
        <v>Wagon_Gen5_Container_Carrier</v>
      </c>
      <c r="C698" t="s">
        <v>752</v>
      </c>
      <c r="D698" t="b">
        <f>OR(ISNUMBER(SEARCH("wagon_",Table1[[#This Row],[FILENAMES_EXPECTED]])),ISNUMBER(SEARCH("coach_",Table1[[#This Row],[FILENAMES_EXPECTED]])))</f>
        <v>1</v>
      </c>
      <c r="E698" t="str">
        <f>"item_"&amp;Table1[[#This Row],[VEHIDCODE]]</f>
        <v>item_mu_Wagon_Gen5_Container_Carrier</v>
      </c>
      <c r="F698" t="str">
        <f>"str_"&amp;Table1[[#This Row],[VEHIDCODE]]</f>
        <v>str_mu_Wagon_Gen5_Container_Carrier</v>
      </c>
      <c r="G698">
        <v>8</v>
      </c>
      <c r="H698" t="s">
        <v>533</v>
      </c>
      <c r="I698">
        <v>0</v>
      </c>
      <c r="J698" t="s">
        <v>35</v>
      </c>
      <c r="K698">
        <v>50</v>
      </c>
      <c r="L698">
        <v>1990</v>
      </c>
      <c r="M698">
        <v>8</v>
      </c>
      <c r="N698" s="2" t="s">
        <v>33</v>
      </c>
      <c r="O698" t="b">
        <v>1</v>
      </c>
      <c r="Q698" s="2" t="b">
        <v>1</v>
      </c>
      <c r="R698" t="s">
        <v>21</v>
      </c>
      <c r="S698">
        <v>0</v>
      </c>
      <c r="T698">
        <v>0</v>
      </c>
      <c r="U698" t="s">
        <v>711</v>
      </c>
      <c r="V698">
        <v>160</v>
      </c>
      <c r="W698" s="2">
        <v>0.3</v>
      </c>
      <c r="AF698" s="2" t="b">
        <v>1</v>
      </c>
      <c r="AO698" s="2" t="b">
        <v>1</v>
      </c>
      <c r="AX698" s="2" t="b">
        <v>1</v>
      </c>
      <c r="BA698" s="2"/>
      <c r="BB698" s="2" t="b">
        <f>LEN(_xlfn.CONCAT(Table1[[#This Row],[TRACK_TYPE_STANDARD_GAUGE_RAILTYPE_OHLE]:[TRACK_TYPE_MTRO]]))&gt;0</f>
        <v>1</v>
      </c>
      <c r="BC698" s="7">
        <v>25</v>
      </c>
      <c r="BD698" t="s">
        <v>936</v>
      </c>
      <c r="BE698" t="s">
        <v>922</v>
      </c>
      <c r="BF698" t="s">
        <v>940</v>
      </c>
      <c r="BG6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8">
        <v>0</v>
      </c>
      <c r="BI698" t="s">
        <v>734</v>
      </c>
      <c r="BK698" s="11"/>
      <c r="BL698" s="11">
        <v>22</v>
      </c>
      <c r="BM698">
        <v>0</v>
      </c>
      <c r="BN698" t="s">
        <v>692</v>
      </c>
      <c r="BO698" t="s">
        <v>694</v>
      </c>
      <c r="BP698" t="s">
        <v>701</v>
      </c>
      <c r="BQ698" t="s">
        <v>705</v>
      </c>
      <c r="BR698" t="s">
        <v>706</v>
      </c>
      <c r="BS698" t="s">
        <v>707</v>
      </c>
    </row>
    <row r="699" spans="1:71" x14ac:dyDescent="0.4">
      <c r="A699" s="2" t="s">
        <v>885</v>
      </c>
      <c r="B699" t="str">
        <f>_xlfn.TEXTAFTER(Table1[[#This Row],[VEHIDCODE]],"_")</f>
        <v>Wagon_Gen5_Centerbeam</v>
      </c>
      <c r="C699" t="s">
        <v>752</v>
      </c>
      <c r="D699" t="b">
        <f>OR(ISNUMBER(SEARCH("wagon_",Table1[[#This Row],[FILENAMES_EXPECTED]])),ISNUMBER(SEARCH("coach_",Table1[[#This Row],[FILENAMES_EXPECTED]])))</f>
        <v>1</v>
      </c>
      <c r="E699" t="str">
        <f>"item_"&amp;Table1[[#This Row],[VEHIDCODE]]</f>
        <v>item_mu_Wagon_Gen5_Centerbeam</v>
      </c>
      <c r="F699" t="str">
        <f>"str_"&amp;Table1[[#This Row],[VEHIDCODE]]</f>
        <v>str_mu_Wagon_Gen5_Centerbeam</v>
      </c>
      <c r="G699">
        <v>8</v>
      </c>
      <c r="H699" t="s">
        <v>602</v>
      </c>
      <c r="I699">
        <v>0</v>
      </c>
      <c r="J699" t="s">
        <v>35</v>
      </c>
      <c r="K699">
        <v>55</v>
      </c>
      <c r="L699">
        <v>1990</v>
      </c>
      <c r="M699">
        <v>8</v>
      </c>
      <c r="N699" s="2" t="s">
        <v>33</v>
      </c>
      <c r="O699" t="b">
        <v>1</v>
      </c>
      <c r="Q699" s="2" t="b">
        <v>1</v>
      </c>
      <c r="R699" t="s">
        <v>21</v>
      </c>
      <c r="S699">
        <v>0</v>
      </c>
      <c r="T699">
        <v>0</v>
      </c>
      <c r="U699" t="s">
        <v>711</v>
      </c>
      <c r="V699">
        <v>120</v>
      </c>
      <c r="W699" s="2">
        <v>0.3</v>
      </c>
      <c r="AF699" s="2" t="b">
        <v>1</v>
      </c>
      <c r="AO699" s="2" t="b">
        <v>1</v>
      </c>
      <c r="AX699" s="2" t="b">
        <v>1</v>
      </c>
      <c r="BA699" s="2"/>
      <c r="BB699" s="2" t="b">
        <f>LEN(_xlfn.CONCAT(Table1[[#This Row],[TRACK_TYPE_STANDARD_GAUGE_RAILTYPE_OHLE]:[TRACK_TYPE_MTRO]]))&gt;0</f>
        <v>1</v>
      </c>
      <c r="BC699" s="7">
        <v>25</v>
      </c>
      <c r="BD699" t="s">
        <v>936</v>
      </c>
      <c r="BE699" t="s">
        <v>922</v>
      </c>
      <c r="BF699" t="s">
        <v>940</v>
      </c>
      <c r="BG6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9">
        <v>0</v>
      </c>
      <c r="BI699" t="s">
        <v>734</v>
      </c>
      <c r="BK699" s="11"/>
      <c r="BL699" s="11">
        <v>40</v>
      </c>
      <c r="BM699">
        <v>0</v>
      </c>
      <c r="BN699" t="s">
        <v>692</v>
      </c>
      <c r="BO699" t="s">
        <v>694</v>
      </c>
      <c r="BP699" t="s">
        <v>701</v>
      </c>
      <c r="BQ699" t="s">
        <v>705</v>
      </c>
      <c r="BR699" t="s">
        <v>706</v>
      </c>
      <c r="BS699" t="s">
        <v>707</v>
      </c>
    </row>
    <row r="700" spans="1:71" x14ac:dyDescent="0.4">
      <c r="A700" s="2" t="s">
        <v>886</v>
      </c>
      <c r="B700" t="str">
        <f>_xlfn.TEXTAFTER(Table1[[#This Row],[VEHIDCODE]],"_")</f>
        <v>Wagon_Gen5_Container_Doublestack</v>
      </c>
      <c r="C700" t="s">
        <v>752</v>
      </c>
      <c r="D700" t="b">
        <f>OR(ISNUMBER(SEARCH("wagon_",Table1[[#This Row],[FILENAMES_EXPECTED]])),ISNUMBER(SEARCH("coach_",Table1[[#This Row],[FILENAMES_EXPECTED]])))</f>
        <v>1</v>
      </c>
      <c r="E700" t="str">
        <f>"item_"&amp;Table1[[#This Row],[VEHIDCODE]]</f>
        <v>item_mu_Wagon_Gen5_Container_Doublestack</v>
      </c>
      <c r="F700" t="str">
        <f>"str_"&amp;Table1[[#This Row],[VEHIDCODE]]</f>
        <v>str_mu_Wagon_Gen5_Container_Doublestack</v>
      </c>
      <c r="G700">
        <v>8</v>
      </c>
      <c r="H700" t="s">
        <v>603</v>
      </c>
      <c r="I700">
        <v>0</v>
      </c>
      <c r="J700" t="s">
        <v>35</v>
      </c>
      <c r="K700">
        <v>65</v>
      </c>
      <c r="L700">
        <v>1980</v>
      </c>
      <c r="M700">
        <v>8</v>
      </c>
      <c r="N700" s="2" t="s">
        <v>33</v>
      </c>
      <c r="O700" t="b">
        <v>1</v>
      </c>
      <c r="Q700" s="2" t="b">
        <v>1</v>
      </c>
      <c r="R700" t="s">
        <v>21</v>
      </c>
      <c r="S700">
        <v>0</v>
      </c>
      <c r="T700">
        <v>0</v>
      </c>
      <c r="U700" t="s">
        <v>711</v>
      </c>
      <c r="V700">
        <v>120</v>
      </c>
      <c r="W700" s="2">
        <v>0.3</v>
      </c>
      <c r="AF700" s="2" t="b">
        <v>1</v>
      </c>
      <c r="AO700" s="2" t="b">
        <v>1</v>
      </c>
      <c r="AX700" s="2" t="b">
        <v>1</v>
      </c>
      <c r="BA700" s="2"/>
      <c r="BB700" s="2" t="b">
        <f>LEN(_xlfn.CONCAT(Table1[[#This Row],[TRACK_TYPE_STANDARD_GAUGE_RAILTYPE_OHLE]:[TRACK_TYPE_MTRO]]))&gt;0</f>
        <v>1</v>
      </c>
      <c r="BC700" s="7">
        <v>25</v>
      </c>
      <c r="BD700" t="s">
        <v>936</v>
      </c>
      <c r="BE700" t="s">
        <v>922</v>
      </c>
      <c r="BF700" t="s">
        <v>940</v>
      </c>
      <c r="BG7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0">
        <v>0</v>
      </c>
      <c r="BI700" t="s">
        <v>734</v>
      </c>
      <c r="BK700" s="11"/>
      <c r="BL700" s="11">
        <v>25</v>
      </c>
      <c r="BM700">
        <v>0</v>
      </c>
      <c r="BN700" t="s">
        <v>692</v>
      </c>
      <c r="BO700" t="s">
        <v>694</v>
      </c>
      <c r="BP700" t="s">
        <v>701</v>
      </c>
      <c r="BQ700" t="s">
        <v>705</v>
      </c>
      <c r="BR700" t="s">
        <v>706</v>
      </c>
      <c r="BS700" t="s">
        <v>707</v>
      </c>
    </row>
    <row r="701" spans="1:71" x14ac:dyDescent="0.4">
      <c r="A701" s="2" t="s">
        <v>887</v>
      </c>
      <c r="B701" t="str">
        <f>_xlfn.TEXTAFTER(Table1[[#This Row],[VEHIDCODE]],"_")</f>
        <v>Wagon_Gen5_Superheavy_Flatcar</v>
      </c>
      <c r="C701" t="s">
        <v>752</v>
      </c>
      <c r="D701" t="b">
        <f>OR(ISNUMBER(SEARCH("wagon_",Table1[[#This Row],[FILENAMES_EXPECTED]])),ISNUMBER(SEARCH("coach_",Table1[[#This Row],[FILENAMES_EXPECTED]])))</f>
        <v>1</v>
      </c>
      <c r="E701" t="str">
        <f>"item_"&amp;Table1[[#This Row],[VEHIDCODE]]</f>
        <v>item_mu_Wagon_Gen5_Superheavy_Flatcar</v>
      </c>
      <c r="F701" t="str">
        <f>"str_"&amp;Table1[[#This Row],[VEHIDCODE]]</f>
        <v>str_mu_Wagon_Gen5_Superheavy_Flatcar</v>
      </c>
      <c r="G701">
        <v>12</v>
      </c>
      <c r="H701" t="s">
        <v>609</v>
      </c>
      <c r="I701">
        <v>0</v>
      </c>
      <c r="J701" t="s">
        <v>35</v>
      </c>
      <c r="K701">
        <v>50</v>
      </c>
      <c r="L701">
        <v>1990</v>
      </c>
      <c r="M701">
        <v>4</v>
      </c>
      <c r="N701" s="2" t="s">
        <v>33</v>
      </c>
      <c r="O701" t="b">
        <v>1</v>
      </c>
      <c r="Q701" s="2" t="b">
        <v>1</v>
      </c>
      <c r="R701" t="s">
        <v>21</v>
      </c>
      <c r="S701">
        <v>0</v>
      </c>
      <c r="T701">
        <v>0</v>
      </c>
      <c r="U701" t="s">
        <v>711</v>
      </c>
      <c r="V701">
        <v>100</v>
      </c>
      <c r="W701" s="2">
        <v>0.3</v>
      </c>
      <c r="AF701" s="2" t="b">
        <v>1</v>
      </c>
      <c r="AO701" s="2" t="b">
        <v>1</v>
      </c>
      <c r="AX701" s="2" t="b">
        <v>1</v>
      </c>
      <c r="BA701" s="2"/>
      <c r="BB701" s="2" t="b">
        <f>LEN(_xlfn.CONCAT(Table1[[#This Row],[TRACK_TYPE_STANDARD_GAUGE_RAILTYPE_OHLE]:[TRACK_TYPE_MTRO]]))&gt;0</f>
        <v>1</v>
      </c>
      <c r="BC701" s="7">
        <v>25</v>
      </c>
      <c r="BD701" t="s">
        <v>936</v>
      </c>
      <c r="BE701" t="s">
        <v>922</v>
      </c>
      <c r="BF701" t="s">
        <v>940</v>
      </c>
      <c r="BG7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1">
        <v>0</v>
      </c>
      <c r="BI701" t="s">
        <v>734</v>
      </c>
      <c r="BK701" s="11"/>
      <c r="BL701" s="11">
        <v>50</v>
      </c>
      <c r="BM701">
        <v>0</v>
      </c>
      <c r="BN701" t="s">
        <v>692</v>
      </c>
      <c r="BO701" t="s">
        <v>694</v>
      </c>
      <c r="BP701" t="s">
        <v>701</v>
      </c>
      <c r="BQ701" t="s">
        <v>705</v>
      </c>
      <c r="BR701" t="s">
        <v>706</v>
      </c>
      <c r="BS701" t="s">
        <v>707</v>
      </c>
    </row>
    <row r="702" spans="1:71" x14ac:dyDescent="0.4">
      <c r="A702" s="2" t="s">
        <v>888</v>
      </c>
      <c r="B702" t="str">
        <f>_xlfn.TEXTAFTER(Table1[[#This Row],[VEHIDCODE]],"_")</f>
        <v>Wagon_Gen6_Flatcar</v>
      </c>
      <c r="C702" t="s">
        <v>753</v>
      </c>
      <c r="D702" t="b">
        <f>OR(ISNUMBER(SEARCH("wagon_",Table1[[#This Row],[FILENAMES_EXPECTED]])),ISNUMBER(SEARCH("coach_",Table1[[#This Row],[FILENAMES_EXPECTED]])))</f>
        <v>1</v>
      </c>
      <c r="E702" t="str">
        <f>"item_"&amp;Table1[[#This Row],[VEHIDCODE]]</f>
        <v>item_mu_Wagon_Gen6_Flatcar</v>
      </c>
      <c r="F702" t="str">
        <f>"str_"&amp;Table1[[#This Row],[VEHIDCODE]]</f>
        <v>str_mu_Wagon_Gen6_Flatcar</v>
      </c>
      <c r="G702">
        <v>8</v>
      </c>
      <c r="H702" t="s">
        <v>604</v>
      </c>
      <c r="I702">
        <v>0</v>
      </c>
      <c r="J702" t="s">
        <v>35</v>
      </c>
      <c r="K702">
        <v>72</v>
      </c>
      <c r="L702">
        <v>2010</v>
      </c>
      <c r="M702">
        <v>8</v>
      </c>
      <c r="N702" s="2" t="s">
        <v>33</v>
      </c>
      <c r="O702" t="b">
        <v>1</v>
      </c>
      <c r="Q702" s="2" t="b">
        <v>1</v>
      </c>
      <c r="R702" t="s">
        <v>21</v>
      </c>
      <c r="S702">
        <v>0</v>
      </c>
      <c r="T702">
        <v>0</v>
      </c>
      <c r="U702" t="s">
        <v>711</v>
      </c>
      <c r="V702">
        <v>160</v>
      </c>
      <c r="W702" s="2">
        <v>0.3</v>
      </c>
      <c r="AF702" s="2" t="b">
        <v>1</v>
      </c>
      <c r="AO702" s="2" t="b">
        <v>1</v>
      </c>
      <c r="AX702" s="2" t="b">
        <v>1</v>
      </c>
      <c r="BA702" s="2"/>
      <c r="BB702" s="2" t="b">
        <f>LEN(_xlfn.CONCAT(Table1[[#This Row],[TRACK_TYPE_STANDARD_GAUGE_RAILTYPE_OHLE]:[TRACK_TYPE_MTRO]]))&gt;0</f>
        <v>1</v>
      </c>
      <c r="BC702" s="7">
        <v>25</v>
      </c>
      <c r="BD702" t="s">
        <v>936</v>
      </c>
      <c r="BE702" t="s">
        <v>922</v>
      </c>
      <c r="BF702" t="s">
        <v>940</v>
      </c>
      <c r="BG7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2">
        <v>0</v>
      </c>
      <c r="BI702" t="s">
        <v>734</v>
      </c>
      <c r="BK702" s="11"/>
      <c r="BL702" s="11">
        <v>23</v>
      </c>
      <c r="BM702">
        <v>0</v>
      </c>
      <c r="BN702" t="s">
        <v>692</v>
      </c>
      <c r="BO702" t="s">
        <v>694</v>
      </c>
      <c r="BP702" t="s">
        <v>701</v>
      </c>
      <c r="BQ702" t="s">
        <v>705</v>
      </c>
      <c r="BR702" t="s">
        <v>706</v>
      </c>
      <c r="BS702" t="s">
        <v>707</v>
      </c>
    </row>
    <row r="703" spans="1:71" x14ac:dyDescent="0.4">
      <c r="A703" s="2" t="s">
        <v>889</v>
      </c>
      <c r="B703" t="str">
        <f>_xlfn.TEXTAFTER(Table1[[#This Row],[VEHIDCODE]],"_")</f>
        <v>Wagon_Gen6_Heavy_Flatcar</v>
      </c>
      <c r="C703" t="s">
        <v>753</v>
      </c>
      <c r="D703" t="b">
        <f>OR(ISNUMBER(SEARCH("wagon_",Table1[[#This Row],[FILENAMES_EXPECTED]])),ISNUMBER(SEARCH("coach_",Table1[[#This Row],[FILENAMES_EXPECTED]])))</f>
        <v>1</v>
      </c>
      <c r="E703" t="str">
        <f>"item_"&amp;Table1[[#This Row],[VEHIDCODE]]</f>
        <v>item_mu_Wagon_Gen6_Heavy_Flatcar</v>
      </c>
      <c r="F703" t="str">
        <f>"str_"&amp;Table1[[#This Row],[VEHIDCODE]]</f>
        <v>str_mu_Wagon_Gen6_Heavy_Flatcar</v>
      </c>
      <c r="G703">
        <v>8</v>
      </c>
      <c r="H703" t="s">
        <v>606</v>
      </c>
      <c r="I703">
        <v>0</v>
      </c>
      <c r="J703" t="s">
        <v>35</v>
      </c>
      <c r="K703">
        <v>96</v>
      </c>
      <c r="L703">
        <v>2020</v>
      </c>
      <c r="M703">
        <v>8</v>
      </c>
      <c r="N703" s="2" t="s">
        <v>33</v>
      </c>
      <c r="O703" t="b">
        <v>1</v>
      </c>
      <c r="Q703" s="2" t="b">
        <v>1</v>
      </c>
      <c r="R703" t="s">
        <v>21</v>
      </c>
      <c r="S703">
        <v>0</v>
      </c>
      <c r="T703">
        <v>0</v>
      </c>
      <c r="U703" t="s">
        <v>711</v>
      </c>
      <c r="V703">
        <v>140</v>
      </c>
      <c r="W703" s="2">
        <v>0.3</v>
      </c>
      <c r="AF703" s="2" t="b">
        <v>1</v>
      </c>
      <c r="AO703" s="2" t="b">
        <v>1</v>
      </c>
      <c r="AX703" s="2" t="b">
        <v>1</v>
      </c>
      <c r="BA703" s="2"/>
      <c r="BB703" s="2" t="b">
        <f>LEN(_xlfn.CONCAT(Table1[[#This Row],[TRACK_TYPE_STANDARD_GAUGE_RAILTYPE_OHLE]:[TRACK_TYPE_MTRO]]))&gt;0</f>
        <v>1</v>
      </c>
      <c r="BC703" s="7">
        <v>25</v>
      </c>
      <c r="BD703" t="s">
        <v>936</v>
      </c>
      <c r="BE703" t="s">
        <v>922</v>
      </c>
      <c r="BF703" t="s">
        <v>940</v>
      </c>
      <c r="BG7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3">
        <v>0</v>
      </c>
      <c r="BI703" t="s">
        <v>734</v>
      </c>
      <c r="BK703" s="11"/>
      <c r="BL703" s="11">
        <v>42</v>
      </c>
      <c r="BM703">
        <v>0</v>
      </c>
      <c r="BN703" t="s">
        <v>692</v>
      </c>
      <c r="BO703" t="s">
        <v>694</v>
      </c>
      <c r="BP703" t="s">
        <v>701</v>
      </c>
      <c r="BQ703" t="s">
        <v>705</v>
      </c>
      <c r="BR703" t="s">
        <v>706</v>
      </c>
      <c r="BS703" t="s">
        <v>707</v>
      </c>
    </row>
    <row r="704" spans="1:71" x14ac:dyDescent="0.4">
      <c r="A704" s="2" t="s">
        <v>890</v>
      </c>
      <c r="B704" t="str">
        <f>_xlfn.TEXTAFTER(Table1[[#This Row],[VEHIDCODE]],"_")</f>
        <v>Wagon_Gen6_Boxcar_Type1</v>
      </c>
      <c r="C704" t="s">
        <v>753</v>
      </c>
      <c r="D704" t="b">
        <f>OR(ISNUMBER(SEARCH("wagon_",Table1[[#This Row],[FILENAMES_EXPECTED]])),ISNUMBER(SEARCH("coach_",Table1[[#This Row],[FILENAMES_EXPECTED]])))</f>
        <v>1</v>
      </c>
      <c r="E704" t="str">
        <f>"item_"&amp;Table1[[#This Row],[VEHIDCODE]]</f>
        <v>item_mu_Wagon_Gen6_Boxcar_Type1</v>
      </c>
      <c r="F704" t="str">
        <f>"str_"&amp;Table1[[#This Row],[VEHIDCODE]]</f>
        <v>str_mu_Wagon_Gen6_Boxcar_Type1</v>
      </c>
      <c r="G704">
        <v>8</v>
      </c>
      <c r="H704" t="s">
        <v>600</v>
      </c>
      <c r="I704">
        <v>0</v>
      </c>
      <c r="J704" t="s">
        <v>35</v>
      </c>
      <c r="K704">
        <v>74</v>
      </c>
      <c r="L704">
        <v>2010</v>
      </c>
      <c r="M704">
        <v>8</v>
      </c>
      <c r="N704" s="2" t="s">
        <v>33</v>
      </c>
      <c r="O704" t="b">
        <v>1</v>
      </c>
      <c r="Q704" s="2" t="b">
        <v>1</v>
      </c>
      <c r="R704" t="s">
        <v>21</v>
      </c>
      <c r="S704">
        <v>0</v>
      </c>
      <c r="T704">
        <v>0</v>
      </c>
      <c r="U704" t="s">
        <v>711</v>
      </c>
      <c r="V704">
        <v>160</v>
      </c>
      <c r="W704" s="2">
        <v>0.3</v>
      </c>
      <c r="AF704" s="2" t="b">
        <v>1</v>
      </c>
      <c r="AO704" s="2" t="b">
        <v>1</v>
      </c>
      <c r="AX704" s="2" t="b">
        <v>1</v>
      </c>
      <c r="BA704" s="2"/>
      <c r="BB704" s="2" t="b">
        <f>LEN(_xlfn.CONCAT(Table1[[#This Row],[TRACK_TYPE_STANDARD_GAUGE_RAILTYPE_OHLE]:[TRACK_TYPE_MTRO]]))&gt;0</f>
        <v>1</v>
      </c>
      <c r="BC704" s="7">
        <v>25</v>
      </c>
      <c r="BD704" t="s">
        <v>933</v>
      </c>
      <c r="BE704" t="s">
        <v>922</v>
      </c>
      <c r="BF704" t="s">
        <v>940</v>
      </c>
      <c r="BG7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4">
        <v>0</v>
      </c>
      <c r="BI704" t="s">
        <v>734</v>
      </c>
      <c r="BK704" s="11"/>
      <c r="BL704" s="11">
        <v>27</v>
      </c>
      <c r="BM704">
        <v>0</v>
      </c>
      <c r="BN704" t="s">
        <v>692</v>
      </c>
      <c r="BO704" t="s">
        <v>694</v>
      </c>
      <c r="BP704" t="s">
        <v>701</v>
      </c>
      <c r="BQ704" t="s">
        <v>705</v>
      </c>
      <c r="BR704" t="s">
        <v>706</v>
      </c>
      <c r="BS704" t="s">
        <v>707</v>
      </c>
    </row>
    <row r="705" spans="1:71" x14ac:dyDescent="0.4">
      <c r="A705" s="2" t="s">
        <v>891</v>
      </c>
      <c r="B705" t="str">
        <f>_xlfn.TEXTAFTER(Table1[[#This Row],[VEHIDCODE]],"_")</f>
        <v>Wagon_Gen6_Boxcar_Type2</v>
      </c>
      <c r="C705" t="s">
        <v>753</v>
      </c>
      <c r="D705" t="b">
        <f>OR(ISNUMBER(SEARCH("wagon_",Table1[[#This Row],[FILENAMES_EXPECTED]])),ISNUMBER(SEARCH("coach_",Table1[[#This Row],[FILENAMES_EXPECTED]])))</f>
        <v>1</v>
      </c>
      <c r="E705" t="str">
        <f>"item_"&amp;Table1[[#This Row],[VEHIDCODE]]</f>
        <v>item_mu_Wagon_Gen6_Boxcar_Type2</v>
      </c>
      <c r="F705" t="str">
        <f>"str_"&amp;Table1[[#This Row],[VEHIDCODE]]</f>
        <v>str_mu_Wagon_Gen6_Boxcar_Type2</v>
      </c>
      <c r="G705">
        <v>8</v>
      </c>
      <c r="H705" t="s">
        <v>600</v>
      </c>
      <c r="I705">
        <v>0</v>
      </c>
      <c r="J705" t="s">
        <v>35</v>
      </c>
      <c r="K705">
        <v>74</v>
      </c>
      <c r="L705">
        <v>2010</v>
      </c>
      <c r="M705">
        <v>8</v>
      </c>
      <c r="N705" s="2" t="s">
        <v>33</v>
      </c>
      <c r="O705" t="b">
        <v>1</v>
      </c>
      <c r="Q705" s="2" t="b">
        <v>1</v>
      </c>
      <c r="R705" t="s">
        <v>21</v>
      </c>
      <c r="S705">
        <v>0</v>
      </c>
      <c r="T705">
        <v>0</v>
      </c>
      <c r="U705" t="s">
        <v>711</v>
      </c>
      <c r="V705">
        <v>160</v>
      </c>
      <c r="W705" s="2">
        <v>0.3</v>
      </c>
      <c r="AF705" s="2" t="b">
        <v>1</v>
      </c>
      <c r="AO705" s="2" t="b">
        <v>1</v>
      </c>
      <c r="AX705" s="2" t="b">
        <v>1</v>
      </c>
      <c r="BA705" s="2"/>
      <c r="BB705" s="2" t="b">
        <f>LEN(_xlfn.CONCAT(Table1[[#This Row],[TRACK_TYPE_STANDARD_GAUGE_RAILTYPE_OHLE]:[TRACK_TYPE_MTRO]]))&gt;0</f>
        <v>1</v>
      </c>
      <c r="BC705" s="7">
        <v>25</v>
      </c>
      <c r="BD705" t="s">
        <v>934</v>
      </c>
      <c r="BE705" t="s">
        <v>922</v>
      </c>
      <c r="BF705" t="s">
        <v>940</v>
      </c>
      <c r="BG7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5">
        <v>0</v>
      </c>
      <c r="BI705" t="s">
        <v>734</v>
      </c>
      <c r="BK705" s="11"/>
      <c r="BL705" s="11">
        <v>27</v>
      </c>
      <c r="BM705">
        <v>0</v>
      </c>
      <c r="BN705" t="s">
        <v>692</v>
      </c>
      <c r="BO705" t="s">
        <v>694</v>
      </c>
      <c r="BP705" t="s">
        <v>701</v>
      </c>
      <c r="BQ705" t="s">
        <v>705</v>
      </c>
      <c r="BR705" t="s">
        <v>706</v>
      </c>
      <c r="BS705" t="s">
        <v>707</v>
      </c>
    </row>
    <row r="706" spans="1:71" x14ac:dyDescent="0.4">
      <c r="A706" s="2" t="s">
        <v>892</v>
      </c>
      <c r="B706" t="str">
        <f>_xlfn.TEXTAFTER(Table1[[#This Row],[VEHIDCODE]],"_")</f>
        <v>Wagon_Gen6_Tanker</v>
      </c>
      <c r="C706" t="s">
        <v>753</v>
      </c>
      <c r="D706" t="b">
        <f>OR(ISNUMBER(SEARCH("wagon_",Table1[[#This Row],[FILENAMES_EXPECTED]])),ISNUMBER(SEARCH("coach_",Table1[[#This Row],[FILENAMES_EXPECTED]])))</f>
        <v>1</v>
      </c>
      <c r="E706" t="str">
        <f>"item_"&amp;Table1[[#This Row],[VEHIDCODE]]</f>
        <v>item_mu_Wagon_Gen6_Tanker</v>
      </c>
      <c r="F706" t="str">
        <f>"str_"&amp;Table1[[#This Row],[VEHIDCODE]]</f>
        <v>str_mu_Wagon_Gen6_Tanker</v>
      </c>
      <c r="G706">
        <v>8</v>
      </c>
      <c r="H706" t="s">
        <v>610</v>
      </c>
      <c r="I706">
        <v>0</v>
      </c>
      <c r="J706" t="s">
        <v>35</v>
      </c>
      <c r="K706">
        <v>105</v>
      </c>
      <c r="L706">
        <v>2020</v>
      </c>
      <c r="M706">
        <v>8</v>
      </c>
      <c r="N706" s="2" t="s">
        <v>33</v>
      </c>
      <c r="O706" t="b">
        <v>1</v>
      </c>
      <c r="Q706" s="2" t="b">
        <v>1</v>
      </c>
      <c r="R706" t="s">
        <v>21</v>
      </c>
      <c r="S706">
        <v>0</v>
      </c>
      <c r="T706">
        <v>0</v>
      </c>
      <c r="U706" t="s">
        <v>711</v>
      </c>
      <c r="V706">
        <v>160</v>
      </c>
      <c r="W706" s="2">
        <v>0.3</v>
      </c>
      <c r="AF706" s="2" t="b">
        <v>1</v>
      </c>
      <c r="AO706" s="2" t="b">
        <v>1</v>
      </c>
      <c r="AX706" s="2" t="b">
        <v>1</v>
      </c>
      <c r="BA706" s="2"/>
      <c r="BB706" s="2" t="b">
        <f>LEN(_xlfn.CONCAT(Table1[[#This Row],[TRACK_TYPE_STANDARD_GAUGE_RAILTYPE_OHLE]:[TRACK_TYPE_MTRO]]))&gt;0</f>
        <v>1</v>
      </c>
      <c r="BC706" s="7">
        <v>25</v>
      </c>
      <c r="BD706" t="s">
        <v>936</v>
      </c>
      <c r="BE706" t="s">
        <v>922</v>
      </c>
      <c r="BF706" t="s">
        <v>940</v>
      </c>
      <c r="BG7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6">
        <v>0</v>
      </c>
      <c r="BI706" t="s">
        <v>734</v>
      </c>
      <c r="BK706" s="11"/>
      <c r="BL706" s="11">
        <v>24</v>
      </c>
      <c r="BM706">
        <v>0</v>
      </c>
      <c r="BN706" t="s">
        <v>692</v>
      </c>
      <c r="BO706" t="s">
        <v>694</v>
      </c>
      <c r="BP706" t="s">
        <v>701</v>
      </c>
      <c r="BQ706" t="s">
        <v>705</v>
      </c>
      <c r="BR706" t="s">
        <v>706</v>
      </c>
      <c r="BS706" t="s">
        <v>707</v>
      </c>
    </row>
    <row r="707" spans="1:71" x14ac:dyDescent="0.4">
      <c r="A707" s="2" t="s">
        <v>893</v>
      </c>
      <c r="B707" t="str">
        <f>_xlfn.TEXTAFTER(Table1[[#This Row],[VEHIDCODE]],"_")</f>
        <v>Wagon_Gen6_Gondola</v>
      </c>
      <c r="C707" t="s">
        <v>753</v>
      </c>
      <c r="D707" t="b">
        <f>OR(ISNUMBER(SEARCH("wagon_",Table1[[#This Row],[FILENAMES_EXPECTED]])),ISNUMBER(SEARCH("coach_",Table1[[#This Row],[FILENAMES_EXPECTED]])))</f>
        <v>1</v>
      </c>
      <c r="E707" t="str">
        <f>"item_"&amp;Table1[[#This Row],[VEHIDCODE]]</f>
        <v>item_mu_Wagon_Gen6_Gondola</v>
      </c>
      <c r="F707" t="str">
        <f>"str_"&amp;Table1[[#This Row],[VEHIDCODE]]</f>
        <v>str_mu_Wagon_Gen6_Gondola</v>
      </c>
      <c r="G707">
        <v>8</v>
      </c>
      <c r="H707" t="s">
        <v>605</v>
      </c>
      <c r="I707">
        <v>0</v>
      </c>
      <c r="J707" t="s">
        <v>35</v>
      </c>
      <c r="K707">
        <v>75</v>
      </c>
      <c r="L707">
        <v>2010</v>
      </c>
      <c r="M707">
        <v>8</v>
      </c>
      <c r="N707" s="2" t="s">
        <v>33</v>
      </c>
      <c r="O707" t="b">
        <v>1</v>
      </c>
      <c r="Q707" s="2" t="b">
        <v>1</v>
      </c>
      <c r="R707" t="s">
        <v>21</v>
      </c>
      <c r="S707">
        <v>0</v>
      </c>
      <c r="T707">
        <v>0</v>
      </c>
      <c r="U707" t="s">
        <v>711</v>
      </c>
      <c r="V707">
        <v>160</v>
      </c>
      <c r="W707" s="2">
        <v>0.3</v>
      </c>
      <c r="AF707" s="2" t="b">
        <v>1</v>
      </c>
      <c r="AO707" s="2" t="b">
        <v>1</v>
      </c>
      <c r="AX707" s="2" t="b">
        <v>1</v>
      </c>
      <c r="BA707" s="2"/>
      <c r="BB707" s="2" t="b">
        <f>LEN(_xlfn.CONCAT(Table1[[#This Row],[TRACK_TYPE_STANDARD_GAUGE_RAILTYPE_OHLE]:[TRACK_TYPE_MTRO]]))&gt;0</f>
        <v>1</v>
      </c>
      <c r="BC707" s="7">
        <v>25</v>
      </c>
      <c r="BD707" t="s">
        <v>936</v>
      </c>
      <c r="BE707" t="s">
        <v>922</v>
      </c>
      <c r="BF707" t="s">
        <v>940</v>
      </c>
      <c r="BG7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7">
        <v>0</v>
      </c>
      <c r="BI707" t="s">
        <v>734</v>
      </c>
      <c r="BK707" s="11"/>
      <c r="BL707" s="11">
        <v>22</v>
      </c>
      <c r="BM707">
        <v>0</v>
      </c>
      <c r="BN707" t="s">
        <v>692</v>
      </c>
      <c r="BO707" t="s">
        <v>694</v>
      </c>
      <c r="BP707" t="s">
        <v>701</v>
      </c>
      <c r="BQ707" t="s">
        <v>705</v>
      </c>
      <c r="BR707" t="s">
        <v>706</v>
      </c>
      <c r="BS707" t="s">
        <v>707</v>
      </c>
    </row>
    <row r="708" spans="1:71" x14ac:dyDescent="0.4">
      <c r="A708" s="2" t="s">
        <v>894</v>
      </c>
      <c r="B708" t="str">
        <f>_xlfn.TEXTAFTER(Table1[[#This Row],[VEHIDCODE]],"_")</f>
        <v>Wagon_Gen6_Silo_Type1</v>
      </c>
      <c r="C708" t="s">
        <v>753</v>
      </c>
      <c r="D708" t="b">
        <f>OR(ISNUMBER(SEARCH("wagon_",Table1[[#This Row],[FILENAMES_EXPECTED]])),ISNUMBER(SEARCH("coach_",Table1[[#This Row],[FILENAMES_EXPECTED]])))</f>
        <v>1</v>
      </c>
      <c r="E708" t="str">
        <f>"item_"&amp;Table1[[#This Row],[VEHIDCODE]]</f>
        <v>item_mu_Wagon_Gen6_Silo_Type1</v>
      </c>
      <c r="F708" t="str">
        <f>"str_"&amp;Table1[[#This Row],[VEHIDCODE]]</f>
        <v>str_mu_Wagon_Gen6_Silo_Type1</v>
      </c>
      <c r="G708">
        <v>8</v>
      </c>
      <c r="H708" t="s">
        <v>608</v>
      </c>
      <c r="I708">
        <v>0</v>
      </c>
      <c r="J708" t="s">
        <v>35</v>
      </c>
      <c r="K708">
        <v>75</v>
      </c>
      <c r="L708">
        <v>2020</v>
      </c>
      <c r="M708">
        <v>8</v>
      </c>
      <c r="N708" s="2" t="s">
        <v>33</v>
      </c>
      <c r="O708" t="b">
        <v>1</v>
      </c>
      <c r="Q708" s="2" t="b">
        <v>1</v>
      </c>
      <c r="R708" t="s">
        <v>21</v>
      </c>
      <c r="S708">
        <v>0</v>
      </c>
      <c r="T708">
        <v>0</v>
      </c>
      <c r="U708" t="s">
        <v>711</v>
      </c>
      <c r="V708">
        <v>160</v>
      </c>
      <c r="W708" s="2">
        <v>0.3</v>
      </c>
      <c r="AF708" s="2" t="b">
        <v>1</v>
      </c>
      <c r="AO708" s="2" t="b">
        <v>1</v>
      </c>
      <c r="AX708" s="2" t="b">
        <v>1</v>
      </c>
      <c r="BA708" s="2"/>
      <c r="BB708" s="2" t="b">
        <f>LEN(_xlfn.CONCAT(Table1[[#This Row],[TRACK_TYPE_STANDARD_GAUGE_RAILTYPE_OHLE]:[TRACK_TYPE_MTRO]]))&gt;0</f>
        <v>1</v>
      </c>
      <c r="BC708" s="7">
        <v>25</v>
      </c>
      <c r="BD708" t="s">
        <v>933</v>
      </c>
      <c r="BE708" t="s">
        <v>922</v>
      </c>
      <c r="BF708" t="s">
        <v>940</v>
      </c>
      <c r="BG7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8">
        <v>0</v>
      </c>
      <c r="BI708" t="s">
        <v>734</v>
      </c>
      <c r="BK708" s="11"/>
      <c r="BL708" s="11">
        <v>27</v>
      </c>
      <c r="BM708">
        <v>0</v>
      </c>
      <c r="BN708" t="s">
        <v>692</v>
      </c>
      <c r="BO708" t="s">
        <v>694</v>
      </c>
      <c r="BP708" t="s">
        <v>701</v>
      </c>
      <c r="BQ708" t="s">
        <v>705</v>
      </c>
      <c r="BR708" t="s">
        <v>706</v>
      </c>
      <c r="BS708" t="s">
        <v>707</v>
      </c>
    </row>
    <row r="709" spans="1:71" x14ac:dyDescent="0.4">
      <c r="A709" s="2" t="s">
        <v>895</v>
      </c>
      <c r="B709" t="str">
        <f>_xlfn.TEXTAFTER(Table1[[#This Row],[VEHIDCODE]],"_")</f>
        <v>Wagon_Gen6_Silo_Type2</v>
      </c>
      <c r="C709" t="s">
        <v>753</v>
      </c>
      <c r="D709" t="b">
        <f>OR(ISNUMBER(SEARCH("wagon_",Table1[[#This Row],[FILENAMES_EXPECTED]])),ISNUMBER(SEARCH("coach_",Table1[[#This Row],[FILENAMES_EXPECTED]])))</f>
        <v>1</v>
      </c>
      <c r="E709" t="str">
        <f>"item_"&amp;Table1[[#This Row],[VEHIDCODE]]</f>
        <v>item_mu_Wagon_Gen6_Silo_Type2</v>
      </c>
      <c r="F709" t="str">
        <f>"str_"&amp;Table1[[#This Row],[VEHIDCODE]]</f>
        <v>str_mu_Wagon_Gen6_Silo_Type2</v>
      </c>
      <c r="G709">
        <v>8</v>
      </c>
      <c r="H709" t="s">
        <v>608</v>
      </c>
      <c r="I709">
        <v>0</v>
      </c>
      <c r="J709" t="s">
        <v>35</v>
      </c>
      <c r="K709">
        <v>75</v>
      </c>
      <c r="L709">
        <v>2020</v>
      </c>
      <c r="M709">
        <v>8</v>
      </c>
      <c r="N709" s="2" t="s">
        <v>33</v>
      </c>
      <c r="O709" t="b">
        <v>1</v>
      </c>
      <c r="Q709" s="2" t="b">
        <v>1</v>
      </c>
      <c r="R709" t="s">
        <v>21</v>
      </c>
      <c r="S709">
        <v>0</v>
      </c>
      <c r="T709">
        <v>0</v>
      </c>
      <c r="U709" t="s">
        <v>711</v>
      </c>
      <c r="V709">
        <v>160</v>
      </c>
      <c r="W709" s="2">
        <v>0.3</v>
      </c>
      <c r="AF709" s="2" t="b">
        <v>1</v>
      </c>
      <c r="AO709" s="2" t="b">
        <v>1</v>
      </c>
      <c r="AX709" s="2" t="b">
        <v>1</v>
      </c>
      <c r="BA709" s="2"/>
      <c r="BB709" s="2" t="b">
        <f>LEN(_xlfn.CONCAT(Table1[[#This Row],[TRACK_TYPE_STANDARD_GAUGE_RAILTYPE_OHLE]:[TRACK_TYPE_MTRO]]))&gt;0</f>
        <v>1</v>
      </c>
      <c r="BC709" s="7">
        <v>25</v>
      </c>
      <c r="BD709" t="s">
        <v>934</v>
      </c>
      <c r="BE709" t="s">
        <v>922</v>
      </c>
      <c r="BF709" t="s">
        <v>940</v>
      </c>
      <c r="BG7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9">
        <v>0</v>
      </c>
      <c r="BI709" t="s">
        <v>734</v>
      </c>
      <c r="BK709" s="11"/>
      <c r="BL709" s="11">
        <v>27</v>
      </c>
      <c r="BM709">
        <v>0</v>
      </c>
      <c r="BN709" t="s">
        <v>692</v>
      </c>
      <c r="BO709" t="s">
        <v>694</v>
      </c>
      <c r="BP709" t="s">
        <v>701</v>
      </c>
      <c r="BQ709" t="s">
        <v>705</v>
      </c>
      <c r="BR709" t="s">
        <v>706</v>
      </c>
      <c r="BS709" t="s">
        <v>707</v>
      </c>
    </row>
    <row r="710" spans="1:71" x14ac:dyDescent="0.4">
      <c r="A710" s="2" t="s">
        <v>896</v>
      </c>
      <c r="B710" t="str">
        <f>_xlfn.TEXTAFTER(Table1[[#This Row],[VEHIDCODE]],"_")</f>
        <v>Wagon_Gen6_Hopper_Type1</v>
      </c>
      <c r="C710" t="s">
        <v>753</v>
      </c>
      <c r="D710" t="b">
        <f>OR(ISNUMBER(SEARCH("wagon_",Table1[[#This Row],[FILENAMES_EXPECTED]])),ISNUMBER(SEARCH("coach_",Table1[[#This Row],[FILENAMES_EXPECTED]])))</f>
        <v>1</v>
      </c>
      <c r="E710" t="str">
        <f>"item_"&amp;Table1[[#This Row],[VEHIDCODE]]</f>
        <v>item_mu_Wagon_Gen6_Hopper_Type1</v>
      </c>
      <c r="F710" t="str">
        <f>"str_"&amp;Table1[[#This Row],[VEHIDCODE]]</f>
        <v>str_mu_Wagon_Gen6_Hopper_Type1</v>
      </c>
      <c r="G710">
        <v>8</v>
      </c>
      <c r="H710" t="s">
        <v>607</v>
      </c>
      <c r="I710">
        <v>0</v>
      </c>
      <c r="J710" t="s">
        <v>35</v>
      </c>
      <c r="K710">
        <v>75</v>
      </c>
      <c r="L710">
        <v>2020</v>
      </c>
      <c r="M710">
        <v>8</v>
      </c>
      <c r="N710" s="2" t="s">
        <v>33</v>
      </c>
      <c r="O710" t="b">
        <v>1</v>
      </c>
      <c r="Q710" s="2" t="b">
        <v>1</v>
      </c>
      <c r="R710" t="s">
        <v>21</v>
      </c>
      <c r="S710">
        <v>0</v>
      </c>
      <c r="T710">
        <v>0</v>
      </c>
      <c r="U710" t="s">
        <v>711</v>
      </c>
      <c r="V710">
        <v>160</v>
      </c>
      <c r="W710" s="2">
        <v>0.3</v>
      </c>
      <c r="AF710" s="2" t="b">
        <v>1</v>
      </c>
      <c r="AO710" s="2" t="b">
        <v>1</v>
      </c>
      <c r="AX710" s="2" t="b">
        <v>1</v>
      </c>
      <c r="BA710" s="2"/>
      <c r="BB710" s="2" t="b">
        <f>LEN(_xlfn.CONCAT(Table1[[#This Row],[TRACK_TYPE_STANDARD_GAUGE_RAILTYPE_OHLE]:[TRACK_TYPE_MTRO]]))&gt;0</f>
        <v>1</v>
      </c>
      <c r="BC710" s="7">
        <v>25</v>
      </c>
      <c r="BD710" t="s">
        <v>933</v>
      </c>
      <c r="BE710" t="s">
        <v>922</v>
      </c>
      <c r="BF710" t="s">
        <v>940</v>
      </c>
      <c r="BG7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0">
        <v>0</v>
      </c>
      <c r="BI710" t="s">
        <v>734</v>
      </c>
      <c r="BK710" s="11"/>
      <c r="BL710" s="11">
        <v>26</v>
      </c>
      <c r="BM710">
        <v>0</v>
      </c>
      <c r="BN710" t="s">
        <v>692</v>
      </c>
      <c r="BO710" t="s">
        <v>694</v>
      </c>
      <c r="BP710" t="s">
        <v>701</v>
      </c>
      <c r="BQ710" t="s">
        <v>705</v>
      </c>
      <c r="BR710" t="s">
        <v>706</v>
      </c>
      <c r="BS710" t="s">
        <v>707</v>
      </c>
    </row>
    <row r="711" spans="1:71" x14ac:dyDescent="0.4">
      <c r="A711" s="2" t="s">
        <v>897</v>
      </c>
      <c r="B711" t="str">
        <f>_xlfn.TEXTAFTER(Table1[[#This Row],[VEHIDCODE]],"_")</f>
        <v>Wagon_Gen6_Hopper_Type2</v>
      </c>
      <c r="C711" t="s">
        <v>753</v>
      </c>
      <c r="D711" t="b">
        <f>OR(ISNUMBER(SEARCH("wagon_",Table1[[#This Row],[FILENAMES_EXPECTED]])),ISNUMBER(SEARCH("coach_",Table1[[#This Row],[FILENAMES_EXPECTED]])))</f>
        <v>1</v>
      </c>
      <c r="E711" t="str">
        <f>"item_"&amp;Table1[[#This Row],[VEHIDCODE]]</f>
        <v>item_mu_Wagon_Gen6_Hopper_Type2</v>
      </c>
      <c r="F711" t="str">
        <f>"str_"&amp;Table1[[#This Row],[VEHIDCODE]]</f>
        <v>str_mu_Wagon_Gen6_Hopper_Type2</v>
      </c>
      <c r="G711">
        <v>8</v>
      </c>
      <c r="H711" t="s">
        <v>607</v>
      </c>
      <c r="I711">
        <v>0</v>
      </c>
      <c r="J711" t="s">
        <v>35</v>
      </c>
      <c r="K711">
        <v>75</v>
      </c>
      <c r="L711">
        <v>2020</v>
      </c>
      <c r="M711">
        <v>8</v>
      </c>
      <c r="N711" s="2" t="s">
        <v>33</v>
      </c>
      <c r="O711" t="b">
        <v>1</v>
      </c>
      <c r="Q711" s="2" t="b">
        <v>1</v>
      </c>
      <c r="R711" t="s">
        <v>21</v>
      </c>
      <c r="S711">
        <v>0</v>
      </c>
      <c r="T711">
        <v>0</v>
      </c>
      <c r="U711" t="s">
        <v>711</v>
      </c>
      <c r="V711">
        <v>160</v>
      </c>
      <c r="W711" s="2">
        <v>0.3</v>
      </c>
      <c r="AF711" s="2" t="b">
        <v>1</v>
      </c>
      <c r="AO711" s="2" t="b">
        <v>1</v>
      </c>
      <c r="AX711" s="2" t="b">
        <v>1</v>
      </c>
      <c r="BA711" s="2"/>
      <c r="BB711" s="2" t="b">
        <f>LEN(_xlfn.CONCAT(Table1[[#This Row],[TRACK_TYPE_STANDARD_GAUGE_RAILTYPE_OHLE]:[TRACK_TYPE_MTRO]]))&gt;0</f>
        <v>1</v>
      </c>
      <c r="BC711" s="7">
        <v>25</v>
      </c>
      <c r="BD711" t="s">
        <v>936</v>
      </c>
      <c r="BE711" t="s">
        <v>922</v>
      </c>
      <c r="BF711" t="s">
        <v>940</v>
      </c>
      <c r="BG7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1">
        <v>0</v>
      </c>
      <c r="BI711" t="s">
        <v>734</v>
      </c>
      <c r="BK711" s="11"/>
      <c r="BL711" s="11">
        <v>26</v>
      </c>
      <c r="BM711">
        <v>0</v>
      </c>
      <c r="BN711" t="s">
        <v>692</v>
      </c>
      <c r="BO711" t="s">
        <v>694</v>
      </c>
      <c r="BP711" t="s">
        <v>701</v>
      </c>
      <c r="BQ711" t="s">
        <v>705</v>
      </c>
      <c r="BR711" t="s">
        <v>706</v>
      </c>
      <c r="BS711" t="s">
        <v>707</v>
      </c>
    </row>
    <row r="712" spans="1:71" x14ac:dyDescent="0.4">
      <c r="A712" s="2" t="s">
        <v>898</v>
      </c>
      <c r="B712" t="str">
        <f>_xlfn.TEXTAFTER(Table1[[#This Row],[VEHIDCODE]],"_")</f>
        <v>Wagon_Gen6_Car_Transporter</v>
      </c>
      <c r="C712" t="s">
        <v>753</v>
      </c>
      <c r="D712" t="b">
        <f>OR(ISNUMBER(SEARCH("wagon_",Table1[[#This Row],[FILENAMES_EXPECTED]])),ISNUMBER(SEARCH("coach_",Table1[[#This Row],[FILENAMES_EXPECTED]])))</f>
        <v>1</v>
      </c>
      <c r="E712" t="str">
        <f>"item_"&amp;Table1[[#This Row],[VEHIDCODE]]</f>
        <v>item_mu_Wagon_Gen6_Car_Transporter</v>
      </c>
      <c r="F712" t="str">
        <f>"str_"&amp;Table1[[#This Row],[VEHIDCODE]]</f>
        <v>str_mu_Wagon_Gen6_Car_Transporter</v>
      </c>
      <c r="G712">
        <v>8</v>
      </c>
      <c r="H712" t="s">
        <v>601</v>
      </c>
      <c r="I712">
        <v>0</v>
      </c>
      <c r="J712" t="s">
        <v>35</v>
      </c>
      <c r="K712">
        <v>20</v>
      </c>
      <c r="L712">
        <v>2020</v>
      </c>
      <c r="M712">
        <v>8</v>
      </c>
      <c r="N712" s="2" t="s">
        <v>33</v>
      </c>
      <c r="O712" t="b">
        <v>1</v>
      </c>
      <c r="Q712" s="2" t="b">
        <v>1</v>
      </c>
      <c r="R712" t="s">
        <v>21</v>
      </c>
      <c r="S712">
        <v>0</v>
      </c>
      <c r="T712">
        <v>0</v>
      </c>
      <c r="U712" t="s">
        <v>711</v>
      </c>
      <c r="V712">
        <v>160</v>
      </c>
      <c r="W712" s="2">
        <v>0.3</v>
      </c>
      <c r="AF712" s="2" t="b">
        <v>1</v>
      </c>
      <c r="AO712" s="2" t="b">
        <v>1</v>
      </c>
      <c r="AX712" s="2" t="b">
        <v>1</v>
      </c>
      <c r="BA712" s="2"/>
      <c r="BB712" s="2" t="b">
        <f>LEN(_xlfn.CONCAT(Table1[[#This Row],[TRACK_TYPE_STANDARD_GAUGE_RAILTYPE_OHLE]:[TRACK_TYPE_MTRO]]))&gt;0</f>
        <v>1</v>
      </c>
      <c r="BC712" s="7">
        <v>25</v>
      </c>
      <c r="BD712" t="s">
        <v>936</v>
      </c>
      <c r="BE712" t="s">
        <v>922</v>
      </c>
      <c r="BF712" t="s">
        <v>940</v>
      </c>
      <c r="BG7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2">
        <v>0</v>
      </c>
      <c r="BI712" t="s">
        <v>734</v>
      </c>
      <c r="BK712" s="11"/>
      <c r="BL712" s="11">
        <v>28</v>
      </c>
      <c r="BM712">
        <v>0</v>
      </c>
      <c r="BN712" t="s">
        <v>692</v>
      </c>
      <c r="BO712" t="s">
        <v>694</v>
      </c>
      <c r="BP712" t="s">
        <v>701</v>
      </c>
      <c r="BQ712" t="s">
        <v>705</v>
      </c>
      <c r="BR712" t="s">
        <v>706</v>
      </c>
      <c r="BS712" t="s">
        <v>707</v>
      </c>
    </row>
    <row r="713" spans="1:71" x14ac:dyDescent="0.4">
      <c r="A713" s="2" t="s">
        <v>899</v>
      </c>
      <c r="B713" t="str">
        <f>_xlfn.TEXTAFTER(Table1[[#This Row],[VEHIDCODE]],"_")</f>
        <v>Wagon_Gen6_Container_Carrier</v>
      </c>
      <c r="C713" t="s">
        <v>753</v>
      </c>
      <c r="D713" t="b">
        <f>OR(ISNUMBER(SEARCH("wagon_",Table1[[#This Row],[FILENAMES_EXPECTED]])),ISNUMBER(SEARCH("coach_",Table1[[#This Row],[FILENAMES_EXPECTED]])))</f>
        <v>1</v>
      </c>
      <c r="E713" t="str">
        <f>"item_"&amp;Table1[[#This Row],[VEHIDCODE]]</f>
        <v>item_mu_Wagon_Gen6_Container_Carrier</v>
      </c>
      <c r="F713" t="str">
        <f>"str_"&amp;Table1[[#This Row],[VEHIDCODE]]</f>
        <v>str_mu_Wagon_Gen6_Container_Carrier</v>
      </c>
      <c r="G713">
        <v>8</v>
      </c>
      <c r="H713" t="s">
        <v>533</v>
      </c>
      <c r="I713">
        <v>0</v>
      </c>
      <c r="J713" t="s">
        <v>35</v>
      </c>
      <c r="K713">
        <v>60</v>
      </c>
      <c r="L713">
        <v>2010</v>
      </c>
      <c r="M713">
        <v>8</v>
      </c>
      <c r="N713" s="2" t="s">
        <v>33</v>
      </c>
      <c r="O713" t="b">
        <v>1</v>
      </c>
      <c r="Q713" s="2" t="b">
        <v>1</v>
      </c>
      <c r="R713" t="s">
        <v>21</v>
      </c>
      <c r="S713">
        <v>0</v>
      </c>
      <c r="T713">
        <v>0</v>
      </c>
      <c r="U713" t="s">
        <v>711</v>
      </c>
      <c r="V713">
        <v>160</v>
      </c>
      <c r="W713" s="2">
        <v>0.3</v>
      </c>
      <c r="AF713" s="2" t="b">
        <v>1</v>
      </c>
      <c r="AO713" s="2" t="b">
        <v>1</v>
      </c>
      <c r="AX713" s="2" t="b">
        <v>1</v>
      </c>
      <c r="BA713" s="2"/>
      <c r="BB713" s="2" t="b">
        <f>LEN(_xlfn.CONCAT(Table1[[#This Row],[TRACK_TYPE_STANDARD_GAUGE_RAILTYPE_OHLE]:[TRACK_TYPE_MTRO]]))&gt;0</f>
        <v>1</v>
      </c>
      <c r="BC713" s="7">
        <v>25</v>
      </c>
      <c r="BD713" t="s">
        <v>936</v>
      </c>
      <c r="BE713" t="s">
        <v>922</v>
      </c>
      <c r="BF713" t="s">
        <v>940</v>
      </c>
      <c r="BG7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3">
        <v>0</v>
      </c>
      <c r="BI713" t="s">
        <v>734</v>
      </c>
      <c r="BK713" s="11"/>
      <c r="BL713" s="11">
        <v>22</v>
      </c>
      <c r="BM713">
        <v>0</v>
      </c>
      <c r="BN713" t="s">
        <v>692</v>
      </c>
      <c r="BO713" t="s">
        <v>694</v>
      </c>
      <c r="BP713" t="s">
        <v>701</v>
      </c>
      <c r="BQ713" t="s">
        <v>705</v>
      </c>
      <c r="BR713" t="s">
        <v>706</v>
      </c>
      <c r="BS713" t="s">
        <v>707</v>
      </c>
    </row>
    <row r="714" spans="1:71" x14ac:dyDescent="0.4">
      <c r="A714" s="2" t="s">
        <v>900</v>
      </c>
      <c r="B714" t="str">
        <f>_xlfn.TEXTAFTER(Table1[[#This Row],[VEHIDCODE]],"_")</f>
        <v>Wagon_Gen6_Centerbeam</v>
      </c>
      <c r="C714" t="s">
        <v>753</v>
      </c>
      <c r="D714" t="b">
        <f>OR(ISNUMBER(SEARCH("wagon_",Table1[[#This Row],[FILENAMES_EXPECTED]])),ISNUMBER(SEARCH("coach_",Table1[[#This Row],[FILENAMES_EXPECTED]])))</f>
        <v>1</v>
      </c>
      <c r="E714" t="str">
        <f>"item_"&amp;Table1[[#This Row],[VEHIDCODE]]</f>
        <v>item_mu_Wagon_Gen6_Centerbeam</v>
      </c>
      <c r="F714" t="str">
        <f>"str_"&amp;Table1[[#This Row],[VEHIDCODE]]</f>
        <v>str_mu_Wagon_Gen6_Centerbeam</v>
      </c>
      <c r="G714">
        <v>8</v>
      </c>
      <c r="H714" t="s">
        <v>602</v>
      </c>
      <c r="I714">
        <v>0</v>
      </c>
      <c r="J714" t="s">
        <v>35</v>
      </c>
      <c r="K714">
        <v>65</v>
      </c>
      <c r="L714">
        <v>2010</v>
      </c>
      <c r="M714">
        <v>8</v>
      </c>
      <c r="N714" s="2" t="s">
        <v>33</v>
      </c>
      <c r="O714" t="b">
        <v>1</v>
      </c>
      <c r="Q714" s="2" t="b">
        <v>1</v>
      </c>
      <c r="R714" t="s">
        <v>21</v>
      </c>
      <c r="S714">
        <v>0</v>
      </c>
      <c r="T714">
        <v>0</v>
      </c>
      <c r="U714" t="s">
        <v>711</v>
      </c>
      <c r="V714">
        <v>160</v>
      </c>
      <c r="W714" s="2">
        <v>0.3</v>
      </c>
      <c r="AF714" s="2" t="b">
        <v>1</v>
      </c>
      <c r="AO714" s="2" t="b">
        <v>1</v>
      </c>
      <c r="AX714" s="2" t="b">
        <v>1</v>
      </c>
      <c r="BA714" s="2"/>
      <c r="BB714" s="2" t="b">
        <f>LEN(_xlfn.CONCAT(Table1[[#This Row],[TRACK_TYPE_STANDARD_GAUGE_RAILTYPE_OHLE]:[TRACK_TYPE_MTRO]]))&gt;0</f>
        <v>1</v>
      </c>
      <c r="BC714" s="7">
        <v>25</v>
      </c>
      <c r="BD714" t="s">
        <v>936</v>
      </c>
      <c r="BE714" t="s">
        <v>922</v>
      </c>
      <c r="BF714" t="s">
        <v>940</v>
      </c>
      <c r="BG7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4">
        <v>0</v>
      </c>
      <c r="BI714" t="s">
        <v>734</v>
      </c>
      <c r="BK714" s="11"/>
      <c r="BL714" s="11">
        <v>40</v>
      </c>
      <c r="BM714">
        <v>0</v>
      </c>
      <c r="BN714" t="s">
        <v>692</v>
      </c>
      <c r="BO714" t="s">
        <v>694</v>
      </c>
      <c r="BP714" t="s">
        <v>701</v>
      </c>
      <c r="BQ714" t="s">
        <v>705</v>
      </c>
      <c r="BR714" t="s">
        <v>706</v>
      </c>
      <c r="BS714" t="s">
        <v>707</v>
      </c>
    </row>
    <row r="715" spans="1:71" x14ac:dyDescent="0.4">
      <c r="A715" s="2" t="s">
        <v>901</v>
      </c>
      <c r="B715" t="str">
        <f>_xlfn.TEXTAFTER(Table1[[#This Row],[VEHIDCODE]],"_")</f>
        <v>Wagon_Gen6_Container_Doublestack</v>
      </c>
      <c r="C715" t="s">
        <v>753</v>
      </c>
      <c r="D715" t="b">
        <f>OR(ISNUMBER(SEARCH("wagon_",Table1[[#This Row],[FILENAMES_EXPECTED]])),ISNUMBER(SEARCH("coach_",Table1[[#This Row],[FILENAMES_EXPECTED]])))</f>
        <v>1</v>
      </c>
      <c r="E715" t="str">
        <f>"item_"&amp;Table1[[#This Row],[VEHIDCODE]]</f>
        <v>item_mu_Wagon_Gen6_Container_Doublestack</v>
      </c>
      <c r="F715" t="str">
        <f>"str_"&amp;Table1[[#This Row],[VEHIDCODE]]</f>
        <v>str_mu_Wagon_Gen6_Container_Doublestack</v>
      </c>
      <c r="G715">
        <v>8</v>
      </c>
      <c r="H715" t="s">
        <v>603</v>
      </c>
      <c r="I715">
        <v>0</v>
      </c>
      <c r="J715" t="s">
        <v>35</v>
      </c>
      <c r="K715">
        <v>75</v>
      </c>
      <c r="L715">
        <v>2000</v>
      </c>
      <c r="M715">
        <v>8</v>
      </c>
      <c r="N715" s="2" t="s">
        <v>33</v>
      </c>
      <c r="O715" t="b">
        <v>1</v>
      </c>
      <c r="Q715" s="2" t="b">
        <v>1</v>
      </c>
      <c r="R715" t="s">
        <v>21</v>
      </c>
      <c r="S715">
        <v>0</v>
      </c>
      <c r="T715">
        <v>0</v>
      </c>
      <c r="U715" t="s">
        <v>711</v>
      </c>
      <c r="V715">
        <v>160</v>
      </c>
      <c r="W715" s="2">
        <v>0.3</v>
      </c>
      <c r="AF715" s="2" t="b">
        <v>1</v>
      </c>
      <c r="AO715" s="2" t="b">
        <v>1</v>
      </c>
      <c r="AX715" s="2" t="b">
        <v>1</v>
      </c>
      <c r="BA715" s="2"/>
      <c r="BB715" s="2" t="b">
        <f>LEN(_xlfn.CONCAT(Table1[[#This Row],[TRACK_TYPE_STANDARD_GAUGE_RAILTYPE_OHLE]:[TRACK_TYPE_MTRO]]))&gt;0</f>
        <v>1</v>
      </c>
      <c r="BC715" s="7">
        <v>25</v>
      </c>
      <c r="BD715" t="s">
        <v>936</v>
      </c>
      <c r="BE715" t="s">
        <v>922</v>
      </c>
      <c r="BF715" t="s">
        <v>940</v>
      </c>
      <c r="BG7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5">
        <v>0</v>
      </c>
      <c r="BI715" t="s">
        <v>734</v>
      </c>
      <c r="BK715" s="11"/>
      <c r="BL715" s="11">
        <v>25</v>
      </c>
      <c r="BM715">
        <v>0</v>
      </c>
      <c r="BN715" t="s">
        <v>692</v>
      </c>
      <c r="BO715" t="s">
        <v>694</v>
      </c>
      <c r="BP715" t="s">
        <v>701</v>
      </c>
      <c r="BQ715" t="s">
        <v>705</v>
      </c>
      <c r="BR715" t="s">
        <v>706</v>
      </c>
      <c r="BS715" t="s">
        <v>707</v>
      </c>
    </row>
    <row r="716" spans="1:71" x14ac:dyDescent="0.4">
      <c r="A716" s="2" t="s">
        <v>902</v>
      </c>
      <c r="B716" t="str">
        <f>_xlfn.TEXTAFTER(Table1[[#This Row],[VEHIDCODE]],"_")</f>
        <v>Wagon_Gen6_Superheavy_Flatcar</v>
      </c>
      <c r="C716" t="s">
        <v>753</v>
      </c>
      <c r="D716" t="b">
        <f>OR(ISNUMBER(SEARCH("wagon_",Table1[[#This Row],[FILENAMES_EXPECTED]])),ISNUMBER(SEARCH("coach_",Table1[[#This Row],[FILENAMES_EXPECTED]])))</f>
        <v>1</v>
      </c>
      <c r="E716" t="str">
        <f>"item_"&amp;Table1[[#This Row],[VEHIDCODE]]</f>
        <v>item_mu_Wagon_Gen6_Superheavy_Flatcar</v>
      </c>
      <c r="F716" t="str">
        <f>"str_"&amp;Table1[[#This Row],[VEHIDCODE]]</f>
        <v>str_mu_Wagon_Gen6_Superheavy_Flatcar</v>
      </c>
      <c r="G716">
        <v>12</v>
      </c>
      <c r="H716" t="s">
        <v>609</v>
      </c>
      <c r="I716">
        <v>0</v>
      </c>
      <c r="J716" t="s">
        <v>35</v>
      </c>
      <c r="K716">
        <v>65</v>
      </c>
      <c r="L716">
        <v>2010</v>
      </c>
      <c r="M716">
        <v>4</v>
      </c>
      <c r="N716" s="2" t="s">
        <v>33</v>
      </c>
      <c r="O716" t="b">
        <v>1</v>
      </c>
      <c r="Q716" s="2" t="b">
        <v>1</v>
      </c>
      <c r="R716" t="s">
        <v>21</v>
      </c>
      <c r="S716">
        <v>0</v>
      </c>
      <c r="T716">
        <v>0</v>
      </c>
      <c r="U716" t="s">
        <v>711</v>
      </c>
      <c r="V716">
        <v>140</v>
      </c>
      <c r="W716" s="2">
        <v>0.3</v>
      </c>
      <c r="AF716" s="2" t="b">
        <v>1</v>
      </c>
      <c r="AO716" s="2" t="b">
        <v>1</v>
      </c>
      <c r="AX716" s="2" t="b">
        <v>1</v>
      </c>
      <c r="BA716" s="2"/>
      <c r="BB716" s="2" t="b">
        <f>LEN(_xlfn.CONCAT(Table1[[#This Row],[TRACK_TYPE_STANDARD_GAUGE_RAILTYPE_OHLE]:[TRACK_TYPE_MTRO]]))&gt;0</f>
        <v>1</v>
      </c>
      <c r="BC716" s="7">
        <v>25</v>
      </c>
      <c r="BD716" t="s">
        <v>936</v>
      </c>
      <c r="BE716" t="s">
        <v>922</v>
      </c>
      <c r="BF716" t="s">
        <v>940</v>
      </c>
      <c r="BG7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6">
        <v>0</v>
      </c>
      <c r="BI716" t="s">
        <v>734</v>
      </c>
      <c r="BK716" s="11"/>
      <c r="BL716" s="11">
        <v>50</v>
      </c>
      <c r="BM716">
        <v>0</v>
      </c>
      <c r="BN716" t="s">
        <v>692</v>
      </c>
      <c r="BO716" t="s">
        <v>694</v>
      </c>
      <c r="BP716" t="s">
        <v>701</v>
      </c>
      <c r="BQ716" t="s">
        <v>705</v>
      </c>
      <c r="BR716" t="s">
        <v>706</v>
      </c>
      <c r="BS716" t="s">
        <v>707</v>
      </c>
    </row>
    <row r="717" spans="1:71" x14ac:dyDescent="0.4">
      <c r="A717" s="2" t="s">
        <v>917</v>
      </c>
      <c r="B717" t="str">
        <f>_xlfn.TEXTAFTER(Table1[[#This Row],[VEHIDCODE]],"_")</f>
        <v>Wagon_Service_Car_Type1</v>
      </c>
      <c r="C717" t="s">
        <v>754</v>
      </c>
      <c r="D717" t="b">
        <f>OR(ISNUMBER(SEARCH("wagon_",Table1[[#This Row],[FILENAMES_EXPECTED]])),ISNUMBER(SEARCH("coach_",Table1[[#This Row],[FILENAMES_EXPECTED]])))</f>
        <v>1</v>
      </c>
      <c r="E717" t="str">
        <f>"item_"&amp;Table1[[#This Row],[VEHIDCODE]]</f>
        <v>item_mu_Wagon_Service_Car_Type1</v>
      </c>
      <c r="F717" t="str">
        <f>"str_"&amp;Table1[[#This Row],[VEHIDCODE]]</f>
        <v>str_mu_Wagon_Service_Car_Type1</v>
      </c>
      <c r="G717">
        <v>5</v>
      </c>
      <c r="H717" t="s">
        <v>20</v>
      </c>
      <c r="I717">
        <v>0</v>
      </c>
      <c r="J717" t="s">
        <v>35</v>
      </c>
      <c r="K717">
        <v>0</v>
      </c>
      <c r="L717">
        <v>1660</v>
      </c>
      <c r="M717">
        <v>5</v>
      </c>
      <c r="N717" s="2" t="s">
        <v>33</v>
      </c>
      <c r="O717" t="b">
        <v>1</v>
      </c>
      <c r="Q717" s="2" t="b">
        <v>1</v>
      </c>
      <c r="R717" t="s">
        <v>21</v>
      </c>
      <c r="S717">
        <v>0</v>
      </c>
      <c r="T717">
        <v>0</v>
      </c>
      <c r="U717" t="s">
        <v>711</v>
      </c>
      <c r="V717">
        <v>0</v>
      </c>
      <c r="W717" s="2">
        <v>0.3</v>
      </c>
      <c r="AF717" s="2" t="b">
        <v>1</v>
      </c>
      <c r="AO717" s="2" t="b">
        <v>1</v>
      </c>
      <c r="AX717" s="2" t="b">
        <v>1</v>
      </c>
      <c r="BA717" s="2"/>
      <c r="BB717" s="2" t="b">
        <f>LEN(_xlfn.CONCAT(Table1[[#This Row],[TRACK_TYPE_STANDARD_GAUGE_RAILTYPE_OHLE]:[TRACK_TYPE_MTRO]]))&gt;0</f>
        <v>1</v>
      </c>
      <c r="BC717" s="7">
        <v>25</v>
      </c>
      <c r="BD717" t="s">
        <v>933</v>
      </c>
      <c r="BE717" t="s">
        <v>922</v>
      </c>
      <c r="BF717" t="s">
        <v>940</v>
      </c>
      <c r="BG7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7">
        <v>0</v>
      </c>
      <c r="BI717" t="s">
        <v>734</v>
      </c>
      <c r="BK717" s="11"/>
      <c r="BL717" s="11">
        <v>15</v>
      </c>
      <c r="BM717">
        <v>0</v>
      </c>
      <c r="BN717" t="s">
        <v>692</v>
      </c>
      <c r="BO717" t="s">
        <v>694</v>
      </c>
      <c r="BP717" t="s">
        <v>701</v>
      </c>
      <c r="BQ717" t="s">
        <v>705</v>
      </c>
      <c r="BR717" t="s">
        <v>706</v>
      </c>
      <c r="BS717" t="s">
        <v>707</v>
      </c>
    </row>
    <row r="718" spans="1:71" x14ac:dyDescent="0.4">
      <c r="A718" s="2" t="s">
        <v>918</v>
      </c>
      <c r="B718" t="str">
        <f>_xlfn.TEXTAFTER(Table1[[#This Row],[VEHIDCODE]],"_")</f>
        <v>Wagon_Service_Car_Type2</v>
      </c>
      <c r="C718" t="s">
        <v>754</v>
      </c>
      <c r="D718" t="b">
        <f>OR(ISNUMBER(SEARCH("wagon_",Table1[[#This Row],[FILENAMES_EXPECTED]])),ISNUMBER(SEARCH("coach_",Table1[[#This Row],[FILENAMES_EXPECTED]])))</f>
        <v>1</v>
      </c>
      <c r="E718" t="str">
        <f>"item_"&amp;Table1[[#This Row],[VEHIDCODE]]</f>
        <v>item_mu_Wagon_Service_Car_Type2</v>
      </c>
      <c r="F718" t="str">
        <f>"str_"&amp;Table1[[#This Row],[VEHIDCODE]]</f>
        <v>str_mu_Wagon_Service_Car_Type2</v>
      </c>
      <c r="G718">
        <v>5</v>
      </c>
      <c r="H718" t="s">
        <v>20</v>
      </c>
      <c r="I718">
        <v>0</v>
      </c>
      <c r="J718" t="s">
        <v>35</v>
      </c>
      <c r="K718">
        <v>0</v>
      </c>
      <c r="L718">
        <v>1660</v>
      </c>
      <c r="M718">
        <v>5</v>
      </c>
      <c r="N718" s="2" t="s">
        <v>33</v>
      </c>
      <c r="O718" t="b">
        <v>1</v>
      </c>
      <c r="Q718" s="2" t="b">
        <v>1</v>
      </c>
      <c r="R718" t="s">
        <v>21</v>
      </c>
      <c r="S718">
        <v>0</v>
      </c>
      <c r="T718">
        <v>0</v>
      </c>
      <c r="U718" t="s">
        <v>711</v>
      </c>
      <c r="V718">
        <v>0</v>
      </c>
      <c r="W718" s="2">
        <v>0.3</v>
      </c>
      <c r="AF718" s="2" t="b">
        <v>1</v>
      </c>
      <c r="AO718" s="2" t="b">
        <v>1</v>
      </c>
      <c r="AX718" s="2" t="b">
        <v>1</v>
      </c>
      <c r="BA718" s="2"/>
      <c r="BB718" s="2" t="b">
        <f>LEN(_xlfn.CONCAT(Table1[[#This Row],[TRACK_TYPE_STANDARD_GAUGE_RAILTYPE_OHLE]:[TRACK_TYPE_MTRO]]))&gt;0</f>
        <v>1</v>
      </c>
      <c r="BC718" s="7">
        <v>25</v>
      </c>
      <c r="BD718" t="s">
        <v>934</v>
      </c>
      <c r="BE718" t="s">
        <v>922</v>
      </c>
      <c r="BF718" t="s">
        <v>940</v>
      </c>
      <c r="BG7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8">
        <v>0</v>
      </c>
      <c r="BI718" t="s">
        <v>734</v>
      </c>
      <c r="BK718" s="11"/>
      <c r="BL718" s="11">
        <v>15</v>
      </c>
      <c r="BM718">
        <v>0</v>
      </c>
      <c r="BN718" t="s">
        <v>692</v>
      </c>
      <c r="BO718" t="s">
        <v>694</v>
      </c>
      <c r="BP718" t="s">
        <v>701</v>
      </c>
      <c r="BQ718" t="s">
        <v>705</v>
      </c>
      <c r="BR718" t="s">
        <v>706</v>
      </c>
      <c r="BS718" t="s">
        <v>707</v>
      </c>
    </row>
    <row r="719" spans="1:71" x14ac:dyDescent="0.4">
      <c r="A719" s="2" t="s">
        <v>774</v>
      </c>
      <c r="B719" t="str">
        <f>_xlfn.TEXTAFTER(Table1[[#This Row],[VEHIDCODE]],"_")</f>
        <v>Coach_Gen1_Wooden_2_axle_Compartment_Coach</v>
      </c>
      <c r="C719" t="s">
        <v>755</v>
      </c>
      <c r="D719" t="b">
        <f>OR(ISNUMBER(SEARCH("wagon_",Table1[[#This Row],[FILENAMES_EXPECTED]])),ISNUMBER(SEARCH("coach_",Table1[[#This Row],[FILENAMES_EXPECTED]])))</f>
        <v>1</v>
      </c>
      <c r="E719" t="str">
        <f>"item_"&amp;Table1[[#This Row],[VEHIDCODE]]</f>
        <v>item_mu_Coach_Gen1_Wooden_2_axle_Compartment_Coach</v>
      </c>
      <c r="F719" t="str">
        <f>"str_"&amp;Table1[[#This Row],[VEHIDCODE]]</f>
        <v>str_mu_Coach_Gen1_Wooden_2_axle_Compartment_Coach</v>
      </c>
      <c r="G719">
        <v>4</v>
      </c>
      <c r="H719" t="s">
        <v>326</v>
      </c>
      <c r="I719">
        <v>0</v>
      </c>
      <c r="J719" t="s">
        <v>35</v>
      </c>
      <c r="K719">
        <v>20</v>
      </c>
      <c r="L719">
        <v>1830</v>
      </c>
      <c r="M719">
        <v>4</v>
      </c>
      <c r="N719" s="2" t="s">
        <v>24</v>
      </c>
      <c r="O719" t="b">
        <v>1</v>
      </c>
      <c r="Q719" s="2"/>
      <c r="R719">
        <v>90</v>
      </c>
      <c r="S719">
        <v>1</v>
      </c>
      <c r="T719">
        <v>0</v>
      </c>
      <c r="U719" t="s">
        <v>711</v>
      </c>
      <c r="V719">
        <v>50</v>
      </c>
      <c r="W719" s="2">
        <v>0.3</v>
      </c>
      <c r="AF719" s="2" t="b">
        <v>1</v>
      </c>
      <c r="AO719" s="2" t="b">
        <v>1</v>
      </c>
      <c r="AX719" s="2" t="b">
        <v>1</v>
      </c>
      <c r="BA719" s="2"/>
      <c r="BB719" s="2" t="b">
        <f>LEN(_xlfn.CONCAT(Table1[[#This Row],[TRACK_TYPE_STANDARD_GAUGE_RAILTYPE_OHLE]:[TRACK_TYPE_MTRO]]))&gt;0</f>
        <v>1</v>
      </c>
      <c r="BC719" s="7">
        <v>25</v>
      </c>
      <c r="BD719" t="s">
        <v>933</v>
      </c>
      <c r="BE719" t="s">
        <v>925</v>
      </c>
      <c r="BF719" t="s">
        <v>940</v>
      </c>
      <c r="BG7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9">
        <v>0</v>
      </c>
      <c r="BI719" t="s">
        <v>734</v>
      </c>
      <c r="BK719" s="11"/>
      <c r="BL719" s="11">
        <v>5</v>
      </c>
      <c r="BM719">
        <v>0</v>
      </c>
      <c r="BN719" t="s">
        <v>692</v>
      </c>
      <c r="BO719" t="s">
        <v>694</v>
      </c>
      <c r="BP719" t="s">
        <v>701</v>
      </c>
      <c r="BQ719" t="s">
        <v>705</v>
      </c>
      <c r="BR719" t="s">
        <v>706</v>
      </c>
      <c r="BS719" t="s">
        <v>707</v>
      </c>
    </row>
    <row r="720" spans="1:71" x14ac:dyDescent="0.4">
      <c r="A720" s="2" t="s">
        <v>775</v>
      </c>
      <c r="B720" t="str">
        <f>_xlfn.TEXTAFTER(Table1[[#This Row],[VEHIDCODE]],"_")</f>
        <v>Coach_Gen1_Wooden_2_axle_Regional_Coach</v>
      </c>
      <c r="C720" t="s">
        <v>755</v>
      </c>
      <c r="D720" t="b">
        <f>OR(ISNUMBER(SEARCH("wagon_",Table1[[#This Row],[FILENAMES_EXPECTED]])),ISNUMBER(SEARCH("coach_",Table1[[#This Row],[FILENAMES_EXPECTED]])))</f>
        <v>1</v>
      </c>
      <c r="E720" t="str">
        <f>"item_"&amp;Table1[[#This Row],[VEHIDCODE]]</f>
        <v>item_mu_Coach_Gen1_Wooden_2_axle_Regional_Coach</v>
      </c>
      <c r="F720" t="str">
        <f>"str_"&amp;Table1[[#This Row],[VEHIDCODE]]</f>
        <v>str_mu_Coach_Gen1_Wooden_2_axle_Regional_Coach</v>
      </c>
      <c r="G720">
        <v>4</v>
      </c>
      <c r="H720" t="s">
        <v>326</v>
      </c>
      <c r="I720">
        <v>0</v>
      </c>
      <c r="J720" t="s">
        <v>35</v>
      </c>
      <c r="K720">
        <v>16</v>
      </c>
      <c r="L720">
        <v>1830</v>
      </c>
      <c r="M720">
        <v>4</v>
      </c>
      <c r="N720" s="2" t="s">
        <v>480</v>
      </c>
      <c r="O720" t="b">
        <v>1</v>
      </c>
      <c r="Q720" s="2"/>
      <c r="R720">
        <v>90</v>
      </c>
      <c r="S720">
        <v>1</v>
      </c>
      <c r="T720">
        <v>0</v>
      </c>
      <c r="U720" t="s">
        <v>711</v>
      </c>
      <c r="V720">
        <v>65</v>
      </c>
      <c r="W720" s="2">
        <v>0.3</v>
      </c>
      <c r="AF720" s="2" t="b">
        <v>1</v>
      </c>
      <c r="AO720" s="2" t="b">
        <v>1</v>
      </c>
      <c r="AX720" s="2" t="b">
        <v>1</v>
      </c>
      <c r="BA720" s="2"/>
      <c r="BB720" s="2" t="b">
        <f>LEN(_xlfn.CONCAT(Table1[[#This Row],[TRACK_TYPE_STANDARD_GAUGE_RAILTYPE_OHLE]:[TRACK_TYPE_MTRO]]))&gt;0</f>
        <v>1</v>
      </c>
      <c r="BC720" s="7">
        <v>25</v>
      </c>
      <c r="BD720" t="s">
        <v>936</v>
      </c>
      <c r="BE720" t="s">
        <v>922</v>
      </c>
      <c r="BF720" t="s">
        <v>940</v>
      </c>
      <c r="BG7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0">
        <v>0</v>
      </c>
      <c r="BI720" t="s">
        <v>734</v>
      </c>
      <c r="BK720" s="11"/>
      <c r="BL720" s="11">
        <v>5</v>
      </c>
      <c r="BM720">
        <v>0</v>
      </c>
      <c r="BN720" t="s">
        <v>692</v>
      </c>
      <c r="BO720" t="s">
        <v>694</v>
      </c>
      <c r="BP720" t="s">
        <v>701</v>
      </c>
      <c r="BQ720" t="s">
        <v>705</v>
      </c>
      <c r="BR720" t="s">
        <v>706</v>
      </c>
      <c r="BS720" t="s">
        <v>707</v>
      </c>
    </row>
    <row r="721" spans="1:71" x14ac:dyDescent="0.4">
      <c r="A721" s="2" t="s">
        <v>776</v>
      </c>
      <c r="B721" t="str">
        <f>_xlfn.TEXTAFTER(Table1[[#This Row],[VEHIDCODE]],"_")</f>
        <v>Coach_Gen1_Wooden_2_axle_Mail_Coach</v>
      </c>
      <c r="C721" t="s">
        <v>755</v>
      </c>
      <c r="D721" t="b">
        <f>OR(ISNUMBER(SEARCH("wagon_",Table1[[#This Row],[FILENAMES_EXPECTED]])),ISNUMBER(SEARCH("coach_",Table1[[#This Row],[FILENAMES_EXPECTED]])))</f>
        <v>1</v>
      </c>
      <c r="E721" t="str">
        <f>"item_"&amp;Table1[[#This Row],[VEHIDCODE]]</f>
        <v>item_mu_Coach_Gen1_Wooden_2_axle_Mail_Coach</v>
      </c>
      <c r="F721" t="str">
        <f>"str_"&amp;Table1[[#This Row],[VEHIDCODE]]</f>
        <v>str_mu_Coach_Gen1_Wooden_2_axle_Mail_Coach</v>
      </c>
      <c r="G721">
        <v>4</v>
      </c>
      <c r="H721" t="s">
        <v>674</v>
      </c>
      <c r="I721">
        <v>0</v>
      </c>
      <c r="J721" t="s">
        <v>35</v>
      </c>
      <c r="K721">
        <v>12</v>
      </c>
      <c r="L721">
        <v>1830</v>
      </c>
      <c r="M721">
        <v>4</v>
      </c>
      <c r="N721" s="2" t="s">
        <v>675</v>
      </c>
      <c r="O721" t="b">
        <v>1</v>
      </c>
      <c r="Q721" s="2"/>
      <c r="R721">
        <v>90</v>
      </c>
      <c r="S721">
        <v>1</v>
      </c>
      <c r="T721">
        <v>0</v>
      </c>
      <c r="U721" t="s">
        <v>711</v>
      </c>
      <c r="V721">
        <v>50</v>
      </c>
      <c r="W721" s="2">
        <v>0.3</v>
      </c>
      <c r="AF721" s="2" t="b">
        <v>1</v>
      </c>
      <c r="AO721" s="2" t="b">
        <v>1</v>
      </c>
      <c r="AX721" s="2" t="b">
        <v>1</v>
      </c>
      <c r="BA721" s="2"/>
      <c r="BB721" s="2" t="b">
        <f>LEN(_xlfn.CONCAT(Table1[[#This Row],[TRACK_TYPE_STANDARD_GAUGE_RAILTYPE_OHLE]:[TRACK_TYPE_MTRO]]))&gt;0</f>
        <v>1</v>
      </c>
      <c r="BC721" s="7">
        <v>25</v>
      </c>
      <c r="BD721" t="s">
        <v>936</v>
      </c>
      <c r="BE721" t="s">
        <v>922</v>
      </c>
      <c r="BF721" t="s">
        <v>940</v>
      </c>
      <c r="BG7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1">
        <v>0</v>
      </c>
      <c r="BI721" t="s">
        <v>734</v>
      </c>
      <c r="BK721" s="11"/>
      <c r="BL721" s="11">
        <v>5</v>
      </c>
      <c r="BM721">
        <v>0</v>
      </c>
      <c r="BN721" t="s">
        <v>692</v>
      </c>
      <c r="BO721" t="s">
        <v>694</v>
      </c>
      <c r="BP721" t="s">
        <v>701</v>
      </c>
      <c r="BQ721" t="s">
        <v>705</v>
      </c>
      <c r="BR721" t="s">
        <v>706</v>
      </c>
      <c r="BS721" t="s">
        <v>707</v>
      </c>
    </row>
    <row r="722" spans="1:71" x14ac:dyDescent="0.4">
      <c r="A722" s="2" t="s">
        <v>777</v>
      </c>
      <c r="B722" t="str">
        <f>_xlfn.TEXTAFTER(Table1[[#This Row],[VEHIDCODE]],"_")</f>
        <v>Coach_Gen1_Clerestory_Compartment_Coach</v>
      </c>
      <c r="C722" t="s">
        <v>755</v>
      </c>
      <c r="D722" t="b">
        <f>OR(ISNUMBER(SEARCH("wagon_",Table1[[#This Row],[FILENAMES_EXPECTED]])),ISNUMBER(SEARCH("coach_",Table1[[#This Row],[FILENAMES_EXPECTED]])))</f>
        <v>1</v>
      </c>
      <c r="E722" t="str">
        <f>"item_"&amp;Table1[[#This Row],[VEHIDCODE]]</f>
        <v>item_mu_Coach_Gen1_Clerestory_Compartment_Coach</v>
      </c>
      <c r="F722" t="str">
        <f>"str_"&amp;Table1[[#This Row],[VEHIDCODE]]</f>
        <v>str_mu_Coach_Gen1_Clerestory_Compartment_Coach</v>
      </c>
      <c r="G722">
        <v>6</v>
      </c>
      <c r="H722" t="s">
        <v>326</v>
      </c>
      <c r="I722">
        <v>0</v>
      </c>
      <c r="J722" t="s">
        <v>35</v>
      </c>
      <c r="K722">
        <v>60</v>
      </c>
      <c r="L722">
        <v>1840</v>
      </c>
      <c r="M722">
        <v>6</v>
      </c>
      <c r="N722" s="2" t="s">
        <v>24</v>
      </c>
      <c r="O722" t="b">
        <v>1</v>
      </c>
      <c r="Q722" s="2"/>
      <c r="R722">
        <v>95</v>
      </c>
      <c r="S722">
        <v>1</v>
      </c>
      <c r="T722">
        <v>0</v>
      </c>
      <c r="U722" t="s">
        <v>711</v>
      </c>
      <c r="V722">
        <v>80</v>
      </c>
      <c r="W722" s="2">
        <v>0.3</v>
      </c>
      <c r="AF722" s="2" t="b">
        <v>1</v>
      </c>
      <c r="AO722" s="2" t="b">
        <v>1</v>
      </c>
      <c r="AX722" s="2" t="b">
        <v>1</v>
      </c>
      <c r="BA722" s="2"/>
      <c r="BB722" s="2" t="b">
        <f>LEN(_xlfn.CONCAT(Table1[[#This Row],[TRACK_TYPE_STANDARD_GAUGE_RAILTYPE_OHLE]:[TRACK_TYPE_MTRO]]))&gt;0</f>
        <v>1</v>
      </c>
      <c r="BC722" s="7">
        <v>25</v>
      </c>
      <c r="BD722" t="s">
        <v>933</v>
      </c>
      <c r="BE722" t="s">
        <v>925</v>
      </c>
      <c r="BF722" t="s">
        <v>940</v>
      </c>
      <c r="BG7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2">
        <v>0</v>
      </c>
      <c r="BI722" t="s">
        <v>734</v>
      </c>
      <c r="BK722" s="11"/>
      <c r="BL722" s="11">
        <v>28</v>
      </c>
      <c r="BM722">
        <v>0</v>
      </c>
      <c r="BN722" t="s">
        <v>692</v>
      </c>
      <c r="BO722" t="s">
        <v>694</v>
      </c>
      <c r="BP722" t="s">
        <v>701</v>
      </c>
      <c r="BQ722" t="s">
        <v>705</v>
      </c>
      <c r="BR722" t="s">
        <v>706</v>
      </c>
      <c r="BS722" t="s">
        <v>707</v>
      </c>
    </row>
    <row r="723" spans="1:71" x14ac:dyDescent="0.4">
      <c r="A723" s="2" t="s">
        <v>778</v>
      </c>
      <c r="B723" t="str">
        <f>_xlfn.TEXTAFTER(Table1[[#This Row],[VEHIDCODE]],"_")</f>
        <v>Coach_Gen1_Clerestory_Regional_Coach</v>
      </c>
      <c r="C723" t="s">
        <v>755</v>
      </c>
      <c r="D723" t="b">
        <f>OR(ISNUMBER(SEARCH("wagon_",Table1[[#This Row],[FILENAMES_EXPECTED]])),ISNUMBER(SEARCH("coach_",Table1[[#This Row],[FILENAMES_EXPECTED]])))</f>
        <v>1</v>
      </c>
      <c r="E723" t="str">
        <f>"item_"&amp;Table1[[#This Row],[VEHIDCODE]]</f>
        <v>item_mu_Coach_Gen1_Clerestory_Regional_Coach</v>
      </c>
      <c r="F723" t="str">
        <f>"str_"&amp;Table1[[#This Row],[VEHIDCODE]]</f>
        <v>str_mu_Coach_Gen1_Clerestory_Regional_Coach</v>
      </c>
      <c r="G723">
        <v>6</v>
      </c>
      <c r="H723" t="s">
        <v>326</v>
      </c>
      <c r="I723">
        <v>0</v>
      </c>
      <c r="J723" t="s">
        <v>35</v>
      </c>
      <c r="K723">
        <v>50</v>
      </c>
      <c r="L723">
        <v>1840</v>
      </c>
      <c r="M723">
        <v>6</v>
      </c>
      <c r="N723" s="2" t="s">
        <v>480</v>
      </c>
      <c r="O723" t="b">
        <v>1</v>
      </c>
      <c r="Q723" s="2"/>
      <c r="R723">
        <v>95</v>
      </c>
      <c r="S723">
        <v>1</v>
      </c>
      <c r="T723">
        <v>0</v>
      </c>
      <c r="U723" t="s">
        <v>711</v>
      </c>
      <c r="V723">
        <v>90</v>
      </c>
      <c r="W723" s="2">
        <v>0.3</v>
      </c>
      <c r="AF723" s="2" t="b">
        <v>1</v>
      </c>
      <c r="AO723" s="2" t="b">
        <v>1</v>
      </c>
      <c r="AX723" s="2" t="b">
        <v>1</v>
      </c>
      <c r="BA723" s="2"/>
      <c r="BB723" s="2" t="b">
        <f>LEN(_xlfn.CONCAT(Table1[[#This Row],[TRACK_TYPE_STANDARD_GAUGE_RAILTYPE_OHLE]:[TRACK_TYPE_MTRO]]))&gt;0</f>
        <v>1</v>
      </c>
      <c r="BC723" s="7">
        <v>25</v>
      </c>
      <c r="BD723" t="s">
        <v>936</v>
      </c>
      <c r="BE723" t="s">
        <v>922</v>
      </c>
      <c r="BF723" t="s">
        <v>940</v>
      </c>
      <c r="BG7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3">
        <v>0</v>
      </c>
      <c r="BI723" t="s">
        <v>734</v>
      </c>
      <c r="BK723" s="11"/>
      <c r="BL723" s="11">
        <v>28</v>
      </c>
      <c r="BM723">
        <v>0</v>
      </c>
      <c r="BN723" t="s">
        <v>692</v>
      </c>
      <c r="BO723" t="s">
        <v>694</v>
      </c>
      <c r="BP723" t="s">
        <v>701</v>
      </c>
      <c r="BQ723" t="s">
        <v>705</v>
      </c>
      <c r="BR723" t="s">
        <v>706</v>
      </c>
      <c r="BS723" t="s">
        <v>707</v>
      </c>
    </row>
    <row r="724" spans="1:71" x14ac:dyDescent="0.4">
      <c r="A724" s="2" t="s">
        <v>779</v>
      </c>
      <c r="B724" t="str">
        <f>_xlfn.TEXTAFTER(Table1[[#This Row],[VEHIDCODE]],"_")</f>
        <v>Coach_Gen1_Clerestory_Mail_Coach</v>
      </c>
      <c r="C724" t="s">
        <v>755</v>
      </c>
      <c r="D724" t="b">
        <f>OR(ISNUMBER(SEARCH("wagon_",Table1[[#This Row],[FILENAMES_EXPECTED]])),ISNUMBER(SEARCH("coach_",Table1[[#This Row],[FILENAMES_EXPECTED]])))</f>
        <v>1</v>
      </c>
      <c r="E724" t="str">
        <f>"item_"&amp;Table1[[#This Row],[VEHIDCODE]]</f>
        <v>item_mu_Coach_Gen1_Clerestory_Mail_Coach</v>
      </c>
      <c r="F724" t="str">
        <f>"str_"&amp;Table1[[#This Row],[VEHIDCODE]]</f>
        <v>str_mu_Coach_Gen1_Clerestory_Mail_Coach</v>
      </c>
      <c r="G724">
        <v>6</v>
      </c>
      <c r="H724" t="s">
        <v>674</v>
      </c>
      <c r="I724">
        <v>0</v>
      </c>
      <c r="J724" t="s">
        <v>35</v>
      </c>
      <c r="K724">
        <v>40</v>
      </c>
      <c r="L724">
        <v>1840</v>
      </c>
      <c r="M724">
        <v>6</v>
      </c>
      <c r="N724" s="2" t="s">
        <v>675</v>
      </c>
      <c r="O724" t="b">
        <v>1</v>
      </c>
      <c r="Q724" s="2"/>
      <c r="R724">
        <v>95</v>
      </c>
      <c r="S724">
        <v>1</v>
      </c>
      <c r="T724">
        <v>0</v>
      </c>
      <c r="U724" t="s">
        <v>711</v>
      </c>
      <c r="V724">
        <v>90</v>
      </c>
      <c r="W724" s="2">
        <v>0.3</v>
      </c>
      <c r="AF724" s="2" t="b">
        <v>1</v>
      </c>
      <c r="AO724" s="2" t="b">
        <v>1</v>
      </c>
      <c r="AX724" s="2" t="b">
        <v>1</v>
      </c>
      <c r="BA724" s="2"/>
      <c r="BB724" s="2" t="b">
        <f>LEN(_xlfn.CONCAT(Table1[[#This Row],[TRACK_TYPE_STANDARD_GAUGE_RAILTYPE_OHLE]:[TRACK_TYPE_MTRO]]))&gt;0</f>
        <v>1</v>
      </c>
      <c r="BC724" s="7">
        <v>25</v>
      </c>
      <c r="BD724" t="s">
        <v>936</v>
      </c>
      <c r="BE724" t="s">
        <v>922</v>
      </c>
      <c r="BF724" t="s">
        <v>940</v>
      </c>
      <c r="BG7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4">
        <v>0</v>
      </c>
      <c r="BI724" t="s">
        <v>734</v>
      </c>
      <c r="BK724" s="11"/>
      <c r="BL724" s="11">
        <v>28</v>
      </c>
      <c r="BM724">
        <v>0</v>
      </c>
      <c r="BN724" t="s">
        <v>692</v>
      </c>
      <c r="BO724" t="s">
        <v>694</v>
      </c>
      <c r="BP724" t="s">
        <v>701</v>
      </c>
      <c r="BQ724" t="s">
        <v>705</v>
      </c>
      <c r="BR724" t="s">
        <v>706</v>
      </c>
      <c r="BS724" t="s">
        <v>707</v>
      </c>
    </row>
    <row r="725" spans="1:71" x14ac:dyDescent="0.4">
      <c r="A725" s="2" t="s">
        <v>780</v>
      </c>
      <c r="B725" t="str">
        <f>_xlfn.TEXTAFTER(Table1[[#This Row],[VEHIDCODE]],"_")</f>
        <v>Coach_Gen1_Wooden_3_axle_Compartment_Coach</v>
      </c>
      <c r="C725" t="s">
        <v>755</v>
      </c>
      <c r="D725" t="b">
        <f>OR(ISNUMBER(SEARCH("wagon_",Table1[[#This Row],[FILENAMES_EXPECTED]])),ISNUMBER(SEARCH("coach_",Table1[[#This Row],[FILENAMES_EXPECTED]])))</f>
        <v>1</v>
      </c>
      <c r="E725" t="str">
        <f>"item_"&amp;Table1[[#This Row],[VEHIDCODE]]</f>
        <v>item_mu_Coach_Gen1_Wooden_3_axle_Compartment_Coach</v>
      </c>
      <c r="F725" t="str">
        <f>"str_"&amp;Table1[[#This Row],[VEHIDCODE]]</f>
        <v>str_mu_Coach_Gen1_Wooden_3_axle_Compartment_Coach</v>
      </c>
      <c r="G725">
        <v>5</v>
      </c>
      <c r="H725" t="s">
        <v>326</v>
      </c>
      <c r="I725">
        <v>0</v>
      </c>
      <c r="J725" t="s">
        <v>35</v>
      </c>
      <c r="K725">
        <v>50</v>
      </c>
      <c r="L725">
        <v>1850</v>
      </c>
      <c r="M725">
        <v>5</v>
      </c>
      <c r="N725" s="2" t="s">
        <v>24</v>
      </c>
      <c r="O725" t="b">
        <v>1</v>
      </c>
      <c r="Q725" s="2"/>
      <c r="R725">
        <v>80</v>
      </c>
      <c r="S725">
        <v>1</v>
      </c>
      <c r="T725">
        <v>0</v>
      </c>
      <c r="U725" t="s">
        <v>711</v>
      </c>
      <c r="V725">
        <v>80</v>
      </c>
      <c r="W725" s="2">
        <v>0.3</v>
      </c>
      <c r="AF725" s="2" t="b">
        <v>1</v>
      </c>
      <c r="AO725" s="2" t="b">
        <v>1</v>
      </c>
      <c r="AX725" s="2" t="b">
        <v>1</v>
      </c>
      <c r="BA725" s="2"/>
      <c r="BB725" s="2" t="b">
        <f>LEN(_xlfn.CONCAT(Table1[[#This Row],[TRACK_TYPE_STANDARD_GAUGE_RAILTYPE_OHLE]:[TRACK_TYPE_MTRO]]))&gt;0</f>
        <v>1</v>
      </c>
      <c r="BC725" s="7">
        <v>25</v>
      </c>
      <c r="BD725" t="s">
        <v>933</v>
      </c>
      <c r="BE725" t="s">
        <v>925</v>
      </c>
      <c r="BF725" t="s">
        <v>940</v>
      </c>
      <c r="BG7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5">
        <v>0</v>
      </c>
      <c r="BI725" t="s">
        <v>734</v>
      </c>
      <c r="BK725" s="11"/>
      <c r="BL725" s="11">
        <v>13</v>
      </c>
      <c r="BM725">
        <v>0</v>
      </c>
      <c r="BN725" t="s">
        <v>692</v>
      </c>
      <c r="BO725" t="s">
        <v>694</v>
      </c>
      <c r="BP725" t="s">
        <v>701</v>
      </c>
      <c r="BQ725" t="s">
        <v>705</v>
      </c>
      <c r="BR725" t="s">
        <v>706</v>
      </c>
      <c r="BS725" t="s">
        <v>707</v>
      </c>
    </row>
    <row r="726" spans="1:71" x14ac:dyDescent="0.4">
      <c r="A726" s="2" t="s">
        <v>781</v>
      </c>
      <c r="B726" t="str">
        <f>_xlfn.TEXTAFTER(Table1[[#This Row],[VEHIDCODE]],"_")</f>
        <v>Coach_Gen1_Wooden_3_axle_Regional_Coach</v>
      </c>
      <c r="C726" t="s">
        <v>755</v>
      </c>
      <c r="D726" t="b">
        <f>OR(ISNUMBER(SEARCH("wagon_",Table1[[#This Row],[FILENAMES_EXPECTED]])),ISNUMBER(SEARCH("coach_",Table1[[#This Row],[FILENAMES_EXPECTED]])))</f>
        <v>1</v>
      </c>
      <c r="E726" t="str">
        <f>"item_"&amp;Table1[[#This Row],[VEHIDCODE]]</f>
        <v>item_mu_Coach_Gen1_Wooden_3_axle_Regional_Coach</v>
      </c>
      <c r="F726" t="str">
        <f>"str_"&amp;Table1[[#This Row],[VEHIDCODE]]</f>
        <v>str_mu_Coach_Gen1_Wooden_3_axle_Regional_Coach</v>
      </c>
      <c r="G726">
        <v>5</v>
      </c>
      <c r="H726" t="s">
        <v>326</v>
      </c>
      <c r="I726">
        <v>0</v>
      </c>
      <c r="J726" t="s">
        <v>35</v>
      </c>
      <c r="K726">
        <v>40</v>
      </c>
      <c r="L726">
        <v>1850</v>
      </c>
      <c r="M726">
        <v>5</v>
      </c>
      <c r="N726" s="2" t="s">
        <v>480</v>
      </c>
      <c r="O726" t="b">
        <v>1</v>
      </c>
      <c r="Q726" s="2"/>
      <c r="R726">
        <v>80</v>
      </c>
      <c r="S726">
        <v>1</v>
      </c>
      <c r="T726">
        <v>0</v>
      </c>
      <c r="U726" t="s">
        <v>711</v>
      </c>
      <c r="V726">
        <v>90</v>
      </c>
      <c r="W726" s="2">
        <v>0.3</v>
      </c>
      <c r="AF726" s="2" t="b">
        <v>1</v>
      </c>
      <c r="AO726" s="2" t="b">
        <v>1</v>
      </c>
      <c r="AX726" s="2" t="b">
        <v>1</v>
      </c>
      <c r="BA726" s="2"/>
      <c r="BB726" s="2" t="b">
        <f>LEN(_xlfn.CONCAT(Table1[[#This Row],[TRACK_TYPE_STANDARD_GAUGE_RAILTYPE_OHLE]:[TRACK_TYPE_MTRO]]))&gt;0</f>
        <v>1</v>
      </c>
      <c r="BC726" s="7">
        <v>25</v>
      </c>
      <c r="BD726" t="s">
        <v>933</v>
      </c>
      <c r="BE726" t="s">
        <v>925</v>
      </c>
      <c r="BF726" t="s">
        <v>940</v>
      </c>
      <c r="BG7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6">
        <v>0</v>
      </c>
      <c r="BI726" t="s">
        <v>734</v>
      </c>
      <c r="BK726" s="11"/>
      <c r="BL726" s="11">
        <v>13</v>
      </c>
      <c r="BM726">
        <v>0</v>
      </c>
      <c r="BN726" t="s">
        <v>692</v>
      </c>
      <c r="BO726" t="s">
        <v>694</v>
      </c>
      <c r="BP726" t="s">
        <v>701</v>
      </c>
      <c r="BQ726" t="s">
        <v>705</v>
      </c>
      <c r="BR726" t="s">
        <v>706</v>
      </c>
      <c r="BS726" t="s">
        <v>707</v>
      </c>
    </row>
    <row r="727" spans="1:71" x14ac:dyDescent="0.4">
      <c r="A727" s="2" t="s">
        <v>782</v>
      </c>
      <c r="B727" t="str">
        <f>_xlfn.TEXTAFTER(Table1[[#This Row],[VEHIDCODE]],"_")</f>
        <v>Coach_Gen1_Wooden_3_axle_Mail_Coach</v>
      </c>
      <c r="C727" t="s">
        <v>755</v>
      </c>
      <c r="D727" t="b">
        <f>OR(ISNUMBER(SEARCH("wagon_",Table1[[#This Row],[FILENAMES_EXPECTED]])),ISNUMBER(SEARCH("coach_",Table1[[#This Row],[FILENAMES_EXPECTED]])))</f>
        <v>1</v>
      </c>
      <c r="E727" t="str">
        <f>"item_"&amp;Table1[[#This Row],[VEHIDCODE]]</f>
        <v>item_mu_Coach_Gen1_Wooden_3_axle_Mail_Coach</v>
      </c>
      <c r="F727" t="str">
        <f>"str_"&amp;Table1[[#This Row],[VEHIDCODE]]</f>
        <v>str_mu_Coach_Gen1_Wooden_3_axle_Mail_Coach</v>
      </c>
      <c r="G727">
        <v>5</v>
      </c>
      <c r="H727" t="s">
        <v>674</v>
      </c>
      <c r="I727">
        <v>0</v>
      </c>
      <c r="J727" t="s">
        <v>35</v>
      </c>
      <c r="K727">
        <v>24</v>
      </c>
      <c r="L727">
        <v>1850</v>
      </c>
      <c r="M727">
        <v>5</v>
      </c>
      <c r="N727" s="2" t="s">
        <v>675</v>
      </c>
      <c r="O727" t="b">
        <v>1</v>
      </c>
      <c r="Q727" s="2"/>
      <c r="R727">
        <v>80</v>
      </c>
      <c r="S727">
        <v>1</v>
      </c>
      <c r="T727">
        <v>0</v>
      </c>
      <c r="U727" t="s">
        <v>711</v>
      </c>
      <c r="V727">
        <v>80</v>
      </c>
      <c r="W727" s="2">
        <v>0.3</v>
      </c>
      <c r="AF727" s="2" t="b">
        <v>1</v>
      </c>
      <c r="AO727" s="2" t="b">
        <v>1</v>
      </c>
      <c r="AX727" s="2" t="b">
        <v>1</v>
      </c>
      <c r="BA727" s="2"/>
      <c r="BB727" s="2" t="b">
        <f>LEN(_xlfn.CONCAT(Table1[[#This Row],[TRACK_TYPE_STANDARD_GAUGE_RAILTYPE_OHLE]:[TRACK_TYPE_MTRO]]))&gt;0</f>
        <v>1</v>
      </c>
      <c r="BC727" s="7">
        <v>25</v>
      </c>
      <c r="BD727" t="s">
        <v>933</v>
      </c>
      <c r="BE727" t="s">
        <v>925</v>
      </c>
      <c r="BF727" t="s">
        <v>940</v>
      </c>
      <c r="BG7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7">
        <v>0</v>
      </c>
      <c r="BI727" t="s">
        <v>734</v>
      </c>
      <c r="BK727" s="11"/>
      <c r="BL727" s="11">
        <v>13</v>
      </c>
      <c r="BM727">
        <v>0</v>
      </c>
      <c r="BN727" t="s">
        <v>692</v>
      </c>
      <c r="BO727" t="s">
        <v>694</v>
      </c>
      <c r="BP727" t="s">
        <v>701</v>
      </c>
      <c r="BQ727" t="s">
        <v>705</v>
      </c>
      <c r="BR727" t="s">
        <v>706</v>
      </c>
      <c r="BS727" t="s">
        <v>707</v>
      </c>
    </row>
    <row r="728" spans="1:71" x14ac:dyDescent="0.4">
      <c r="A728" s="2" t="s">
        <v>783</v>
      </c>
      <c r="B728" t="str">
        <f>_xlfn.TEXTAFTER(Table1[[#This Row],[VEHIDCODE]],"_")</f>
        <v>Coach_Gen2_Heavyweight_Intercity_Coach</v>
      </c>
      <c r="C728" t="s">
        <v>756</v>
      </c>
      <c r="D728" t="b">
        <f>OR(ISNUMBER(SEARCH("wagon_",Table1[[#This Row],[FILENAMES_EXPECTED]])),ISNUMBER(SEARCH("coach_",Table1[[#This Row],[FILENAMES_EXPECTED]])))</f>
        <v>1</v>
      </c>
      <c r="E728" t="str">
        <f>"item_"&amp;Table1[[#This Row],[VEHIDCODE]]</f>
        <v>item_mu_Coach_Gen2_Heavyweight_Intercity_Coach</v>
      </c>
      <c r="F728" t="str">
        <f>"str_"&amp;Table1[[#This Row],[VEHIDCODE]]</f>
        <v>str_mu_Coach_Gen2_Heavyweight_Intercity_Coach</v>
      </c>
      <c r="G728">
        <v>8</v>
      </c>
      <c r="H728" t="s">
        <v>326</v>
      </c>
      <c r="I728">
        <v>0</v>
      </c>
      <c r="J728" t="s">
        <v>35</v>
      </c>
      <c r="K728">
        <v>60</v>
      </c>
      <c r="L728">
        <v>1900</v>
      </c>
      <c r="M728">
        <v>8</v>
      </c>
      <c r="N728" s="2" t="s">
        <v>480</v>
      </c>
      <c r="O728" t="b">
        <v>1</v>
      </c>
      <c r="Q728" s="2"/>
      <c r="R728">
        <v>75</v>
      </c>
      <c r="S728">
        <v>1</v>
      </c>
      <c r="T728">
        <v>0</v>
      </c>
      <c r="U728" t="s">
        <v>711</v>
      </c>
      <c r="V728">
        <v>160</v>
      </c>
      <c r="W728" s="2">
        <v>0.3</v>
      </c>
      <c r="AF728" s="2" t="b">
        <v>1</v>
      </c>
      <c r="AO728" s="2" t="b">
        <v>1</v>
      </c>
      <c r="AX728" s="2" t="b">
        <v>1</v>
      </c>
      <c r="BA728" s="2"/>
      <c r="BB728" s="2" t="b">
        <f>LEN(_xlfn.CONCAT(Table1[[#This Row],[TRACK_TYPE_STANDARD_GAUGE_RAILTYPE_OHLE]:[TRACK_TYPE_MTRO]]))&gt;0</f>
        <v>1</v>
      </c>
      <c r="BC728" s="7">
        <v>25</v>
      </c>
      <c r="BD728" t="s">
        <v>935</v>
      </c>
      <c r="BE728" t="s">
        <v>925</v>
      </c>
      <c r="BF728" t="s">
        <v>940</v>
      </c>
      <c r="BG7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8">
        <v>0</v>
      </c>
      <c r="BI728" t="s">
        <v>734</v>
      </c>
      <c r="BK728" s="11"/>
      <c r="BL728" s="11">
        <v>73</v>
      </c>
      <c r="BM728">
        <v>0</v>
      </c>
      <c r="BN728" t="s">
        <v>692</v>
      </c>
      <c r="BO728" t="s">
        <v>694</v>
      </c>
      <c r="BP728" t="s">
        <v>701</v>
      </c>
      <c r="BQ728" t="s">
        <v>705</v>
      </c>
      <c r="BR728" t="s">
        <v>706</v>
      </c>
      <c r="BS728" t="s">
        <v>707</v>
      </c>
    </row>
    <row r="729" spans="1:71" x14ac:dyDescent="0.4">
      <c r="A729" s="2" t="s">
        <v>784</v>
      </c>
      <c r="B729" t="str">
        <f>_xlfn.TEXTAFTER(Table1[[#This Row],[VEHIDCODE]],"_")</f>
        <v>Coach_Gen2_Heavyweight_Mail_Coach</v>
      </c>
      <c r="C729" t="s">
        <v>756</v>
      </c>
      <c r="D729" t="b">
        <f>OR(ISNUMBER(SEARCH("wagon_",Table1[[#This Row],[FILENAMES_EXPECTED]])),ISNUMBER(SEARCH("coach_",Table1[[#This Row],[FILENAMES_EXPECTED]])))</f>
        <v>1</v>
      </c>
      <c r="E729" t="str">
        <f>"item_"&amp;Table1[[#This Row],[VEHIDCODE]]</f>
        <v>item_mu_Coach_Gen2_Heavyweight_Mail_Coach</v>
      </c>
      <c r="F729" t="str">
        <f>"str_"&amp;Table1[[#This Row],[VEHIDCODE]]</f>
        <v>str_mu_Coach_Gen2_Heavyweight_Mail_Coach</v>
      </c>
      <c r="G729">
        <v>8</v>
      </c>
      <c r="H729" t="s">
        <v>674</v>
      </c>
      <c r="I729">
        <v>0</v>
      </c>
      <c r="J729" t="s">
        <v>35</v>
      </c>
      <c r="K729">
        <v>90</v>
      </c>
      <c r="L729">
        <v>1900</v>
      </c>
      <c r="M729">
        <v>8</v>
      </c>
      <c r="N729" s="2" t="s">
        <v>480</v>
      </c>
      <c r="O729" t="b">
        <v>1</v>
      </c>
      <c r="Q729" s="2"/>
      <c r="R729">
        <v>75</v>
      </c>
      <c r="S729">
        <v>1</v>
      </c>
      <c r="T729">
        <v>0</v>
      </c>
      <c r="U729" t="s">
        <v>711</v>
      </c>
      <c r="V729">
        <v>120</v>
      </c>
      <c r="W729" s="2">
        <v>0.3</v>
      </c>
      <c r="AF729" s="2" t="b">
        <v>1</v>
      </c>
      <c r="AO729" s="2" t="b">
        <v>1</v>
      </c>
      <c r="AX729" s="2" t="b">
        <v>1</v>
      </c>
      <c r="BA729" s="2"/>
      <c r="BB729" s="2" t="b">
        <f>LEN(_xlfn.CONCAT(Table1[[#This Row],[TRACK_TYPE_STANDARD_GAUGE_RAILTYPE_OHLE]:[TRACK_TYPE_MTRO]]))&gt;0</f>
        <v>1</v>
      </c>
      <c r="BC729" s="7">
        <v>25</v>
      </c>
      <c r="BD729" t="s">
        <v>935</v>
      </c>
      <c r="BE729" t="s">
        <v>925</v>
      </c>
      <c r="BF729" t="s">
        <v>940</v>
      </c>
      <c r="BG7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9">
        <v>0</v>
      </c>
      <c r="BI729" t="s">
        <v>734</v>
      </c>
      <c r="BK729" s="11"/>
      <c r="BL729" s="11">
        <v>58</v>
      </c>
      <c r="BM729">
        <v>0</v>
      </c>
      <c r="BN729" t="s">
        <v>692</v>
      </c>
      <c r="BO729" t="s">
        <v>694</v>
      </c>
      <c r="BP729" t="s">
        <v>701</v>
      </c>
      <c r="BQ729" t="s">
        <v>705</v>
      </c>
      <c r="BR729" t="s">
        <v>706</v>
      </c>
      <c r="BS729" t="s">
        <v>707</v>
      </c>
    </row>
    <row r="730" spans="1:71" x14ac:dyDescent="0.4">
      <c r="A730" s="2" t="s">
        <v>785</v>
      </c>
      <c r="B730" t="str">
        <f>_xlfn.TEXTAFTER(Table1[[#This Row],[VEHIDCODE]],"_")</f>
        <v>Coach_Gen2_Steel_Intercity_Coach</v>
      </c>
      <c r="C730" t="s">
        <v>756</v>
      </c>
      <c r="D730" t="b">
        <f>OR(ISNUMBER(SEARCH("wagon_",Table1[[#This Row],[FILENAMES_EXPECTED]])),ISNUMBER(SEARCH("coach_",Table1[[#This Row],[FILENAMES_EXPECTED]])))</f>
        <v>1</v>
      </c>
      <c r="E730" t="str">
        <f>"item_"&amp;Table1[[#This Row],[VEHIDCODE]]</f>
        <v>item_mu_Coach_Gen2_Steel_Intercity_Coach</v>
      </c>
      <c r="F730" t="str">
        <f>"str_"&amp;Table1[[#This Row],[VEHIDCODE]]</f>
        <v>str_mu_Coach_Gen2_Steel_Intercity_Coach</v>
      </c>
      <c r="G730">
        <v>7</v>
      </c>
      <c r="H730" t="s">
        <v>326</v>
      </c>
      <c r="I730">
        <v>0</v>
      </c>
      <c r="J730" t="s">
        <v>35</v>
      </c>
      <c r="K730">
        <v>55</v>
      </c>
      <c r="L730">
        <v>1910</v>
      </c>
      <c r="M730">
        <v>7</v>
      </c>
      <c r="N730" s="2" t="s">
        <v>480</v>
      </c>
      <c r="O730" t="b">
        <v>1</v>
      </c>
      <c r="Q730" s="2"/>
      <c r="R730">
        <v>60</v>
      </c>
      <c r="S730">
        <v>1</v>
      </c>
      <c r="T730">
        <v>0</v>
      </c>
      <c r="U730" t="s">
        <v>711</v>
      </c>
      <c r="V730">
        <v>120</v>
      </c>
      <c r="W730" s="2">
        <v>0.3</v>
      </c>
      <c r="AF730" s="2" t="b">
        <v>1</v>
      </c>
      <c r="AO730" s="2" t="b">
        <v>1</v>
      </c>
      <c r="AX730" s="2" t="b">
        <v>1</v>
      </c>
      <c r="BA730" s="2"/>
      <c r="BB730" s="2" t="b">
        <f>LEN(_xlfn.CONCAT(Table1[[#This Row],[TRACK_TYPE_STANDARD_GAUGE_RAILTYPE_OHLE]:[TRACK_TYPE_MTRO]]))&gt;0</f>
        <v>1</v>
      </c>
      <c r="BC730" s="7">
        <v>25</v>
      </c>
      <c r="BD730" t="s">
        <v>933</v>
      </c>
      <c r="BE730" t="s">
        <v>925</v>
      </c>
      <c r="BF730" t="s">
        <v>940</v>
      </c>
      <c r="BG7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0">
        <v>0</v>
      </c>
      <c r="BI730" t="s">
        <v>734</v>
      </c>
      <c r="BK730" s="11"/>
      <c r="BL730" s="11">
        <v>40</v>
      </c>
      <c r="BM730">
        <v>0</v>
      </c>
      <c r="BN730" t="s">
        <v>692</v>
      </c>
      <c r="BO730" t="s">
        <v>694</v>
      </c>
      <c r="BP730" t="s">
        <v>701</v>
      </c>
      <c r="BQ730" t="s">
        <v>705</v>
      </c>
      <c r="BR730" t="s">
        <v>706</v>
      </c>
      <c r="BS730" t="s">
        <v>707</v>
      </c>
    </row>
    <row r="731" spans="1:71" x14ac:dyDescent="0.4">
      <c r="A731" s="2" t="s">
        <v>786</v>
      </c>
      <c r="B731" t="str">
        <f>_xlfn.TEXTAFTER(Table1[[#This Row],[VEHIDCODE]],"_")</f>
        <v>Coach_Gen2_Steel_Compartment_Coach</v>
      </c>
      <c r="C731" t="s">
        <v>756</v>
      </c>
      <c r="D731" t="b">
        <f>OR(ISNUMBER(SEARCH("wagon_",Table1[[#This Row],[FILENAMES_EXPECTED]])),ISNUMBER(SEARCH("coach_",Table1[[#This Row],[FILENAMES_EXPECTED]])))</f>
        <v>1</v>
      </c>
      <c r="E731" t="str">
        <f>"item_"&amp;Table1[[#This Row],[VEHIDCODE]]</f>
        <v>item_mu_Coach_Gen2_Steel_Compartment_Coach</v>
      </c>
      <c r="F731" t="str">
        <f>"str_"&amp;Table1[[#This Row],[VEHIDCODE]]</f>
        <v>str_mu_Coach_Gen2_Steel_Compartment_Coach</v>
      </c>
      <c r="G731">
        <v>7</v>
      </c>
      <c r="H731" t="s">
        <v>326</v>
      </c>
      <c r="I731">
        <v>0</v>
      </c>
      <c r="J731" t="s">
        <v>35</v>
      </c>
      <c r="K731">
        <v>75</v>
      </c>
      <c r="L731">
        <v>1910</v>
      </c>
      <c r="M731">
        <v>7</v>
      </c>
      <c r="N731" s="2" t="s">
        <v>24</v>
      </c>
      <c r="O731" t="b">
        <v>1</v>
      </c>
      <c r="Q731" s="2"/>
      <c r="R731">
        <v>60</v>
      </c>
      <c r="S731">
        <v>1</v>
      </c>
      <c r="T731">
        <v>0</v>
      </c>
      <c r="U731" t="s">
        <v>711</v>
      </c>
      <c r="V731">
        <v>110</v>
      </c>
      <c r="W731" s="2">
        <v>0.3</v>
      </c>
      <c r="AF731" s="2" t="b">
        <v>1</v>
      </c>
      <c r="AO731" s="2" t="b">
        <v>1</v>
      </c>
      <c r="AX731" s="2" t="b">
        <v>1</v>
      </c>
      <c r="BA731" s="2"/>
      <c r="BB731" s="2" t="b">
        <f>LEN(_xlfn.CONCAT(Table1[[#This Row],[TRACK_TYPE_STANDARD_GAUGE_RAILTYPE_OHLE]:[TRACK_TYPE_MTRO]]))&gt;0</f>
        <v>1</v>
      </c>
      <c r="BC731" s="7">
        <v>25</v>
      </c>
      <c r="BD731" t="s">
        <v>933</v>
      </c>
      <c r="BE731" t="s">
        <v>925</v>
      </c>
      <c r="BF731" t="s">
        <v>940</v>
      </c>
      <c r="BG7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1">
        <v>0</v>
      </c>
      <c r="BI731" t="s">
        <v>734</v>
      </c>
      <c r="BK731" s="11"/>
      <c r="BL731" s="11">
        <v>36</v>
      </c>
      <c r="BM731">
        <v>0</v>
      </c>
      <c r="BN731" t="s">
        <v>692</v>
      </c>
      <c r="BO731" t="s">
        <v>694</v>
      </c>
      <c r="BP731" t="s">
        <v>701</v>
      </c>
      <c r="BQ731" t="s">
        <v>705</v>
      </c>
      <c r="BR731" t="s">
        <v>706</v>
      </c>
      <c r="BS731" t="s">
        <v>707</v>
      </c>
    </row>
    <row r="732" spans="1:71" x14ac:dyDescent="0.4">
      <c r="A732" s="2" t="s">
        <v>787</v>
      </c>
      <c r="B732" t="str">
        <f>_xlfn.TEXTAFTER(Table1[[#This Row],[VEHIDCODE]],"_")</f>
        <v>Coach_Gen2_Steel_Regional_Coach</v>
      </c>
      <c r="C732" t="s">
        <v>756</v>
      </c>
      <c r="D732" t="b">
        <f>OR(ISNUMBER(SEARCH("wagon_",Table1[[#This Row],[FILENAMES_EXPECTED]])),ISNUMBER(SEARCH("coach_",Table1[[#This Row],[FILENAMES_EXPECTED]])))</f>
        <v>1</v>
      </c>
      <c r="E732" t="str">
        <f>"item_"&amp;Table1[[#This Row],[VEHIDCODE]]</f>
        <v>item_mu_Coach_Gen2_Steel_Regional_Coach</v>
      </c>
      <c r="F732" t="str">
        <f>"str_"&amp;Table1[[#This Row],[VEHIDCODE]]</f>
        <v>str_mu_Coach_Gen2_Steel_Regional_Coach</v>
      </c>
      <c r="G732">
        <v>7</v>
      </c>
      <c r="H732" t="s">
        <v>326</v>
      </c>
      <c r="I732">
        <v>0</v>
      </c>
      <c r="J732" t="s">
        <v>35</v>
      </c>
      <c r="K732">
        <v>65</v>
      </c>
      <c r="L732">
        <v>1910</v>
      </c>
      <c r="M732">
        <v>7</v>
      </c>
      <c r="N732" s="2" t="s">
        <v>480</v>
      </c>
      <c r="O732" t="b">
        <v>1</v>
      </c>
      <c r="Q732" s="2"/>
      <c r="R732">
        <v>65</v>
      </c>
      <c r="S732">
        <v>1</v>
      </c>
      <c r="T732">
        <v>0</v>
      </c>
      <c r="U732" t="s">
        <v>711</v>
      </c>
      <c r="V732">
        <v>110</v>
      </c>
      <c r="W732" s="2">
        <v>0.3</v>
      </c>
      <c r="AF732" s="2" t="b">
        <v>1</v>
      </c>
      <c r="AO732" s="2" t="b">
        <v>1</v>
      </c>
      <c r="AX732" s="2" t="b">
        <v>1</v>
      </c>
      <c r="BA732" s="2"/>
      <c r="BB732" s="2" t="b">
        <f>LEN(_xlfn.CONCAT(Table1[[#This Row],[TRACK_TYPE_STANDARD_GAUGE_RAILTYPE_OHLE]:[TRACK_TYPE_MTRO]]))&gt;0</f>
        <v>1</v>
      </c>
      <c r="BC732" s="7">
        <v>25</v>
      </c>
      <c r="BD732" t="s">
        <v>933</v>
      </c>
      <c r="BE732" t="s">
        <v>925</v>
      </c>
      <c r="BF732" t="s">
        <v>940</v>
      </c>
      <c r="BG7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2">
        <v>0</v>
      </c>
      <c r="BI732" t="s">
        <v>734</v>
      </c>
      <c r="BK732" s="11"/>
      <c r="BL732" s="11">
        <v>33</v>
      </c>
      <c r="BM732">
        <v>0</v>
      </c>
      <c r="BN732" t="s">
        <v>692</v>
      </c>
      <c r="BO732" t="s">
        <v>694</v>
      </c>
      <c r="BP732" t="s">
        <v>701</v>
      </c>
      <c r="BQ732" t="s">
        <v>705</v>
      </c>
      <c r="BR732" t="s">
        <v>706</v>
      </c>
      <c r="BS732" t="s">
        <v>707</v>
      </c>
    </row>
    <row r="733" spans="1:71" x14ac:dyDescent="0.4">
      <c r="A733" s="2" t="s">
        <v>788</v>
      </c>
      <c r="B733" t="str">
        <f>_xlfn.TEXTAFTER(Table1[[#This Row],[VEHIDCODE]],"_")</f>
        <v>Coach_Gen2_Steel_Mail_Coach</v>
      </c>
      <c r="C733" t="s">
        <v>756</v>
      </c>
      <c r="D733" t="b">
        <f>OR(ISNUMBER(SEARCH("wagon_",Table1[[#This Row],[FILENAMES_EXPECTED]])),ISNUMBER(SEARCH("coach_",Table1[[#This Row],[FILENAMES_EXPECTED]])))</f>
        <v>1</v>
      </c>
      <c r="E733" t="str">
        <f>"item_"&amp;Table1[[#This Row],[VEHIDCODE]]</f>
        <v>item_mu_Coach_Gen2_Steel_Mail_Coach</v>
      </c>
      <c r="F733" t="str">
        <f>"str_"&amp;Table1[[#This Row],[VEHIDCODE]]</f>
        <v>str_mu_Coach_Gen2_Steel_Mail_Coach</v>
      </c>
      <c r="G733">
        <v>7</v>
      </c>
      <c r="H733" t="s">
        <v>674</v>
      </c>
      <c r="I733">
        <v>0</v>
      </c>
      <c r="J733" t="s">
        <v>35</v>
      </c>
      <c r="K733">
        <v>56</v>
      </c>
      <c r="L733">
        <v>1910</v>
      </c>
      <c r="M733">
        <v>7</v>
      </c>
      <c r="N733" s="2" t="s">
        <v>675</v>
      </c>
      <c r="O733" t="b">
        <v>1</v>
      </c>
      <c r="Q733" s="2"/>
      <c r="R733">
        <v>70</v>
      </c>
      <c r="S733">
        <v>1</v>
      </c>
      <c r="T733">
        <v>0</v>
      </c>
      <c r="U733" t="s">
        <v>711</v>
      </c>
      <c r="V733">
        <v>120</v>
      </c>
      <c r="W733" s="2">
        <v>0.3</v>
      </c>
      <c r="AF733" s="2" t="b">
        <v>1</v>
      </c>
      <c r="AO733" s="2" t="b">
        <v>1</v>
      </c>
      <c r="AX733" s="2" t="b">
        <v>1</v>
      </c>
      <c r="BA733" s="2"/>
      <c r="BB733" s="2" t="b">
        <f>LEN(_xlfn.CONCAT(Table1[[#This Row],[TRACK_TYPE_STANDARD_GAUGE_RAILTYPE_OHLE]:[TRACK_TYPE_MTRO]]))&gt;0</f>
        <v>1</v>
      </c>
      <c r="BC733" s="7">
        <v>25</v>
      </c>
      <c r="BD733" t="s">
        <v>933</v>
      </c>
      <c r="BE733" t="s">
        <v>925</v>
      </c>
      <c r="BF733" t="s">
        <v>940</v>
      </c>
      <c r="BG7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3">
        <v>0</v>
      </c>
      <c r="BI733" t="s">
        <v>734</v>
      </c>
      <c r="BK733" s="11"/>
      <c r="BL733" s="11">
        <v>35</v>
      </c>
      <c r="BM733">
        <v>0</v>
      </c>
      <c r="BN733" t="s">
        <v>692</v>
      </c>
      <c r="BO733" t="s">
        <v>694</v>
      </c>
      <c r="BP733" t="s">
        <v>701</v>
      </c>
      <c r="BQ733" t="s">
        <v>705</v>
      </c>
      <c r="BR733" t="s">
        <v>706</v>
      </c>
      <c r="BS733" t="s">
        <v>707</v>
      </c>
    </row>
    <row r="734" spans="1:71" x14ac:dyDescent="0.4">
      <c r="A734" s="2" t="s">
        <v>789</v>
      </c>
      <c r="B734" t="str">
        <f>_xlfn.TEXTAFTER(Table1[[#This Row],[VEHIDCODE]],"_")</f>
        <v>Coach_Gen2_Steel_2_axle_Compartment_Coach</v>
      </c>
      <c r="C734" t="s">
        <v>756</v>
      </c>
      <c r="D734" t="b">
        <f>OR(ISNUMBER(SEARCH("wagon_",Table1[[#This Row],[FILENAMES_EXPECTED]])),ISNUMBER(SEARCH("coach_",Table1[[#This Row],[FILENAMES_EXPECTED]])))</f>
        <v>1</v>
      </c>
      <c r="E734" t="str">
        <f>"item_"&amp;Table1[[#This Row],[VEHIDCODE]]</f>
        <v>item_mu_Coach_Gen2_Steel_2_axle_Compartment_Coach</v>
      </c>
      <c r="F734" t="str">
        <f>"str_"&amp;Table1[[#This Row],[VEHIDCODE]]</f>
        <v>str_mu_Coach_Gen2_Steel_2_axle_Compartment_Coach</v>
      </c>
      <c r="G734">
        <v>5</v>
      </c>
      <c r="H734" t="s">
        <v>326</v>
      </c>
      <c r="I734">
        <v>0</v>
      </c>
      <c r="J734" t="s">
        <v>35</v>
      </c>
      <c r="K734">
        <v>40</v>
      </c>
      <c r="L734">
        <v>1920</v>
      </c>
      <c r="M734">
        <v>5</v>
      </c>
      <c r="N734" s="2" t="s">
        <v>24</v>
      </c>
      <c r="O734" t="b">
        <v>1</v>
      </c>
      <c r="Q734" s="2"/>
      <c r="R734">
        <v>60</v>
      </c>
      <c r="S734">
        <v>1</v>
      </c>
      <c r="T734">
        <v>0</v>
      </c>
      <c r="U734" t="s">
        <v>711</v>
      </c>
      <c r="V734">
        <v>100</v>
      </c>
      <c r="W734" s="2">
        <v>0.3</v>
      </c>
      <c r="AF734" s="2" t="b">
        <v>1</v>
      </c>
      <c r="AO734" s="2" t="b">
        <v>1</v>
      </c>
      <c r="AX734" s="2" t="b">
        <v>1</v>
      </c>
      <c r="BA734" s="2"/>
      <c r="BB734" s="2" t="b">
        <f>LEN(_xlfn.CONCAT(Table1[[#This Row],[TRACK_TYPE_STANDARD_GAUGE_RAILTYPE_OHLE]:[TRACK_TYPE_MTRO]]))&gt;0</f>
        <v>1</v>
      </c>
      <c r="BC734" s="7">
        <v>25</v>
      </c>
      <c r="BD734" t="s">
        <v>933</v>
      </c>
      <c r="BE734" t="s">
        <v>925</v>
      </c>
      <c r="BF734" t="s">
        <v>940</v>
      </c>
      <c r="BG7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4">
        <v>0</v>
      </c>
      <c r="BI734" t="s">
        <v>734</v>
      </c>
      <c r="BK734" s="11"/>
      <c r="BL734" s="11">
        <v>20</v>
      </c>
      <c r="BM734">
        <v>0</v>
      </c>
      <c r="BN734" t="s">
        <v>692</v>
      </c>
      <c r="BO734" t="s">
        <v>694</v>
      </c>
      <c r="BP734" t="s">
        <v>701</v>
      </c>
      <c r="BQ734" t="s">
        <v>705</v>
      </c>
      <c r="BR734" t="s">
        <v>706</v>
      </c>
      <c r="BS734" t="s">
        <v>707</v>
      </c>
    </row>
    <row r="735" spans="1:71" x14ac:dyDescent="0.4">
      <c r="A735" s="2" t="s">
        <v>790</v>
      </c>
      <c r="B735" t="str">
        <f>_xlfn.TEXTAFTER(Table1[[#This Row],[VEHIDCODE]],"_")</f>
        <v>Coach_Gen2_Steel_2_axle_Regional_Coach</v>
      </c>
      <c r="C735" t="s">
        <v>756</v>
      </c>
      <c r="D735" t="b">
        <f>OR(ISNUMBER(SEARCH("wagon_",Table1[[#This Row],[FILENAMES_EXPECTED]])),ISNUMBER(SEARCH("coach_",Table1[[#This Row],[FILENAMES_EXPECTED]])))</f>
        <v>1</v>
      </c>
      <c r="E735" t="str">
        <f>"item_"&amp;Table1[[#This Row],[VEHIDCODE]]</f>
        <v>item_mu_Coach_Gen2_Steel_2_axle_Regional_Coach</v>
      </c>
      <c r="F735" t="str">
        <f>"str_"&amp;Table1[[#This Row],[VEHIDCODE]]</f>
        <v>str_mu_Coach_Gen2_Steel_2_axle_Regional_Coach</v>
      </c>
      <c r="G735">
        <v>5</v>
      </c>
      <c r="H735" t="s">
        <v>326</v>
      </c>
      <c r="I735">
        <v>0</v>
      </c>
      <c r="J735" t="s">
        <v>35</v>
      </c>
      <c r="K735">
        <v>40</v>
      </c>
      <c r="L735">
        <v>1920</v>
      </c>
      <c r="M735">
        <v>5</v>
      </c>
      <c r="N735" s="2" t="s">
        <v>480</v>
      </c>
      <c r="O735" t="b">
        <v>1</v>
      </c>
      <c r="Q735" s="2"/>
      <c r="R735">
        <v>60</v>
      </c>
      <c r="S735">
        <v>1</v>
      </c>
      <c r="T735">
        <v>0</v>
      </c>
      <c r="U735" t="s">
        <v>711</v>
      </c>
      <c r="V735">
        <v>100</v>
      </c>
      <c r="W735" s="2">
        <v>0.3</v>
      </c>
      <c r="AF735" s="2" t="b">
        <v>1</v>
      </c>
      <c r="AO735" s="2" t="b">
        <v>1</v>
      </c>
      <c r="AX735" s="2" t="b">
        <v>1</v>
      </c>
      <c r="BA735" s="2"/>
      <c r="BB735" s="2" t="b">
        <f>LEN(_xlfn.CONCAT(Table1[[#This Row],[TRACK_TYPE_STANDARD_GAUGE_RAILTYPE_OHLE]:[TRACK_TYPE_MTRO]]))&gt;0</f>
        <v>1</v>
      </c>
      <c r="BC735" s="7">
        <v>25</v>
      </c>
      <c r="BD735" t="s">
        <v>936</v>
      </c>
      <c r="BE735" t="s">
        <v>922</v>
      </c>
      <c r="BF735" t="s">
        <v>940</v>
      </c>
      <c r="BG7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5">
        <v>0</v>
      </c>
      <c r="BI735" t="s">
        <v>734</v>
      </c>
      <c r="BK735" s="11"/>
      <c r="BL735" s="11">
        <v>20</v>
      </c>
      <c r="BM735">
        <v>0</v>
      </c>
      <c r="BN735" t="s">
        <v>692</v>
      </c>
      <c r="BO735" t="s">
        <v>694</v>
      </c>
      <c r="BP735" t="s">
        <v>701</v>
      </c>
      <c r="BQ735" t="s">
        <v>705</v>
      </c>
      <c r="BR735" t="s">
        <v>706</v>
      </c>
      <c r="BS735" t="s">
        <v>707</v>
      </c>
    </row>
    <row r="736" spans="1:71" x14ac:dyDescent="0.4">
      <c r="A736" s="2" t="s">
        <v>791</v>
      </c>
      <c r="B736" t="str">
        <f>_xlfn.TEXTAFTER(Table1[[#This Row],[VEHIDCODE]],"_")</f>
        <v>Coach_Gen2_Steel_2_axle_Mail_Coach</v>
      </c>
      <c r="C736" t="s">
        <v>756</v>
      </c>
      <c r="D736" t="b">
        <f>OR(ISNUMBER(SEARCH("wagon_",Table1[[#This Row],[FILENAMES_EXPECTED]])),ISNUMBER(SEARCH("coach_",Table1[[#This Row],[FILENAMES_EXPECTED]])))</f>
        <v>1</v>
      </c>
      <c r="E736" t="str">
        <f>"item_"&amp;Table1[[#This Row],[VEHIDCODE]]</f>
        <v>item_mu_Coach_Gen2_Steel_2_axle_Mail_Coach</v>
      </c>
      <c r="F736" t="str">
        <f>"str_"&amp;Table1[[#This Row],[VEHIDCODE]]</f>
        <v>str_mu_Coach_Gen2_Steel_2_axle_Mail_Coach</v>
      </c>
      <c r="G736">
        <v>5</v>
      </c>
      <c r="H736" t="s">
        <v>674</v>
      </c>
      <c r="I736">
        <v>0</v>
      </c>
      <c r="J736" t="s">
        <v>35</v>
      </c>
      <c r="K736">
        <v>35</v>
      </c>
      <c r="L736">
        <v>1920</v>
      </c>
      <c r="M736">
        <v>5</v>
      </c>
      <c r="N736" s="2" t="s">
        <v>675</v>
      </c>
      <c r="O736" t="b">
        <v>1</v>
      </c>
      <c r="Q736" s="2"/>
      <c r="R736">
        <v>60</v>
      </c>
      <c r="S736">
        <v>1</v>
      </c>
      <c r="T736">
        <v>0</v>
      </c>
      <c r="U736" t="s">
        <v>711</v>
      </c>
      <c r="V736">
        <v>100</v>
      </c>
      <c r="W736" s="2">
        <v>0.3</v>
      </c>
      <c r="AF736" s="2" t="b">
        <v>1</v>
      </c>
      <c r="AO736" s="2" t="b">
        <v>1</v>
      </c>
      <c r="AX736" s="2" t="b">
        <v>1</v>
      </c>
      <c r="BA736" s="2"/>
      <c r="BB736" s="2" t="b">
        <f>LEN(_xlfn.CONCAT(Table1[[#This Row],[TRACK_TYPE_STANDARD_GAUGE_RAILTYPE_OHLE]:[TRACK_TYPE_MTRO]]))&gt;0</f>
        <v>1</v>
      </c>
      <c r="BC736" s="7">
        <v>25</v>
      </c>
      <c r="BD736" t="s">
        <v>936</v>
      </c>
      <c r="BE736" t="s">
        <v>922</v>
      </c>
      <c r="BF736" t="s">
        <v>940</v>
      </c>
      <c r="BG7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6">
        <v>0</v>
      </c>
      <c r="BI736" t="s">
        <v>734</v>
      </c>
      <c r="BK736" s="11"/>
      <c r="BL736" s="11">
        <v>20</v>
      </c>
      <c r="BM736">
        <v>0</v>
      </c>
      <c r="BN736" t="s">
        <v>692</v>
      </c>
      <c r="BO736" t="s">
        <v>694</v>
      </c>
      <c r="BP736" t="s">
        <v>701</v>
      </c>
      <c r="BQ736" t="s">
        <v>705</v>
      </c>
      <c r="BR736" t="s">
        <v>706</v>
      </c>
      <c r="BS736" t="s">
        <v>707</v>
      </c>
    </row>
    <row r="737" spans="1:71" x14ac:dyDescent="0.4">
      <c r="A737" s="2" t="s">
        <v>792</v>
      </c>
      <c r="B737" t="str">
        <f>_xlfn.TEXTAFTER(Table1[[#This Row],[VEHIDCODE]],"_")</f>
        <v>Coach_Gen2_Steel_3_axle_Compartment_Coach</v>
      </c>
      <c r="C737" t="s">
        <v>756</v>
      </c>
      <c r="D737" t="b">
        <f>OR(ISNUMBER(SEARCH("wagon_",Table1[[#This Row],[FILENAMES_EXPECTED]])),ISNUMBER(SEARCH("coach_",Table1[[#This Row],[FILENAMES_EXPECTED]])))</f>
        <v>1</v>
      </c>
      <c r="E737" t="str">
        <f>"item_"&amp;Table1[[#This Row],[VEHIDCODE]]</f>
        <v>item_mu_Coach_Gen2_Steel_3_axle_Compartment_Coach</v>
      </c>
      <c r="F737" t="str">
        <f>"str_"&amp;Table1[[#This Row],[VEHIDCODE]]</f>
        <v>str_mu_Coach_Gen2_Steel_3_axle_Compartment_Coach</v>
      </c>
      <c r="G737">
        <v>6</v>
      </c>
      <c r="H737" t="s">
        <v>326</v>
      </c>
      <c r="I737">
        <v>0</v>
      </c>
      <c r="J737" t="s">
        <v>35</v>
      </c>
      <c r="K737">
        <v>40</v>
      </c>
      <c r="L737">
        <v>1920</v>
      </c>
      <c r="M737">
        <v>6</v>
      </c>
      <c r="N737" s="2" t="s">
        <v>24</v>
      </c>
      <c r="O737" t="b">
        <v>1</v>
      </c>
      <c r="Q737" s="2"/>
      <c r="R737">
        <v>60</v>
      </c>
      <c r="S737">
        <v>1</v>
      </c>
      <c r="T737">
        <v>0</v>
      </c>
      <c r="U737" t="s">
        <v>711</v>
      </c>
      <c r="V737">
        <v>110</v>
      </c>
      <c r="W737" s="2">
        <v>0.3</v>
      </c>
      <c r="AF737" s="2" t="b">
        <v>1</v>
      </c>
      <c r="AO737" s="2" t="b">
        <v>1</v>
      </c>
      <c r="AX737" s="2" t="b">
        <v>1</v>
      </c>
      <c r="BA737" s="2"/>
      <c r="BB737" s="2" t="b">
        <f>LEN(_xlfn.CONCAT(Table1[[#This Row],[TRACK_TYPE_STANDARD_GAUGE_RAILTYPE_OHLE]:[TRACK_TYPE_MTRO]]))&gt;0</f>
        <v>1</v>
      </c>
      <c r="BC737" s="7">
        <v>25</v>
      </c>
      <c r="BD737" t="s">
        <v>933</v>
      </c>
      <c r="BE737" t="s">
        <v>925</v>
      </c>
      <c r="BF737" t="s">
        <v>940</v>
      </c>
      <c r="BG7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7">
        <v>0</v>
      </c>
      <c r="BI737" t="s">
        <v>734</v>
      </c>
      <c r="BK737" s="11"/>
      <c r="BL737" s="11">
        <v>21</v>
      </c>
      <c r="BM737">
        <v>0</v>
      </c>
      <c r="BN737" t="s">
        <v>692</v>
      </c>
      <c r="BO737" t="s">
        <v>694</v>
      </c>
      <c r="BP737" t="s">
        <v>701</v>
      </c>
      <c r="BQ737" t="s">
        <v>705</v>
      </c>
      <c r="BR737" t="s">
        <v>706</v>
      </c>
      <c r="BS737" t="s">
        <v>707</v>
      </c>
    </row>
    <row r="738" spans="1:71" x14ac:dyDescent="0.4">
      <c r="A738" s="2" t="s">
        <v>793</v>
      </c>
      <c r="B738" t="str">
        <f>_xlfn.TEXTAFTER(Table1[[#This Row],[VEHIDCODE]],"_")</f>
        <v>Coach_Gen2_Steel_3_axle_Regional_Coach</v>
      </c>
      <c r="C738" t="s">
        <v>756</v>
      </c>
      <c r="D738" t="b">
        <f>OR(ISNUMBER(SEARCH("wagon_",Table1[[#This Row],[FILENAMES_EXPECTED]])),ISNUMBER(SEARCH("coach_",Table1[[#This Row],[FILENAMES_EXPECTED]])))</f>
        <v>1</v>
      </c>
      <c r="E738" t="str">
        <f>"item_"&amp;Table1[[#This Row],[VEHIDCODE]]</f>
        <v>item_mu_Coach_Gen2_Steel_3_axle_Regional_Coach</v>
      </c>
      <c r="F738" t="str">
        <f>"str_"&amp;Table1[[#This Row],[VEHIDCODE]]</f>
        <v>str_mu_Coach_Gen2_Steel_3_axle_Regional_Coach</v>
      </c>
      <c r="G738">
        <v>6</v>
      </c>
      <c r="H738" t="s">
        <v>326</v>
      </c>
      <c r="I738">
        <v>0</v>
      </c>
      <c r="J738" t="s">
        <v>35</v>
      </c>
      <c r="K738">
        <v>35</v>
      </c>
      <c r="L738">
        <v>1920</v>
      </c>
      <c r="M738">
        <v>6</v>
      </c>
      <c r="N738" s="2" t="s">
        <v>480</v>
      </c>
      <c r="O738" t="b">
        <v>1</v>
      </c>
      <c r="Q738" s="2"/>
      <c r="R738">
        <v>60</v>
      </c>
      <c r="S738">
        <v>1</v>
      </c>
      <c r="T738">
        <v>0</v>
      </c>
      <c r="U738" t="s">
        <v>711</v>
      </c>
      <c r="V738">
        <v>120</v>
      </c>
      <c r="W738" s="2">
        <v>0.3</v>
      </c>
      <c r="AF738" s="2" t="b">
        <v>1</v>
      </c>
      <c r="AO738" s="2" t="b">
        <v>1</v>
      </c>
      <c r="AX738" s="2" t="b">
        <v>1</v>
      </c>
      <c r="BA738" s="2"/>
      <c r="BB738" s="2" t="b">
        <f>LEN(_xlfn.CONCAT(Table1[[#This Row],[TRACK_TYPE_STANDARD_GAUGE_RAILTYPE_OHLE]:[TRACK_TYPE_MTRO]]))&gt;0</f>
        <v>1</v>
      </c>
      <c r="BC738" s="7">
        <v>25</v>
      </c>
      <c r="BD738" t="s">
        <v>933</v>
      </c>
      <c r="BE738" t="s">
        <v>925</v>
      </c>
      <c r="BF738" t="s">
        <v>940</v>
      </c>
      <c r="BG7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8">
        <v>0</v>
      </c>
      <c r="BI738" t="s">
        <v>734</v>
      </c>
      <c r="BK738" s="11"/>
      <c r="BL738" s="11">
        <v>22</v>
      </c>
      <c r="BM738">
        <v>0</v>
      </c>
      <c r="BN738" t="s">
        <v>692</v>
      </c>
      <c r="BO738" t="s">
        <v>694</v>
      </c>
      <c r="BP738" t="s">
        <v>701</v>
      </c>
      <c r="BQ738" t="s">
        <v>705</v>
      </c>
      <c r="BR738" t="s">
        <v>706</v>
      </c>
      <c r="BS738" t="s">
        <v>707</v>
      </c>
    </row>
    <row r="739" spans="1:71" x14ac:dyDescent="0.4">
      <c r="A739" s="2" t="s">
        <v>794</v>
      </c>
      <c r="B739" t="str">
        <f>_xlfn.TEXTAFTER(Table1[[#This Row],[VEHIDCODE]],"_")</f>
        <v>Coach_Gen2_Steel_3_axle_Mail_Coach</v>
      </c>
      <c r="C739" t="s">
        <v>756</v>
      </c>
      <c r="D739" t="b">
        <f>OR(ISNUMBER(SEARCH("wagon_",Table1[[#This Row],[FILENAMES_EXPECTED]])),ISNUMBER(SEARCH("coach_",Table1[[#This Row],[FILENAMES_EXPECTED]])))</f>
        <v>1</v>
      </c>
      <c r="E739" t="str">
        <f>"item_"&amp;Table1[[#This Row],[VEHIDCODE]]</f>
        <v>item_mu_Coach_Gen2_Steel_3_axle_Mail_Coach</v>
      </c>
      <c r="F739" t="str">
        <f>"str_"&amp;Table1[[#This Row],[VEHIDCODE]]</f>
        <v>str_mu_Coach_Gen2_Steel_3_axle_Mail_Coach</v>
      </c>
      <c r="G739">
        <v>6</v>
      </c>
      <c r="H739" t="s">
        <v>674</v>
      </c>
      <c r="I739">
        <v>0</v>
      </c>
      <c r="J739" t="s">
        <v>35</v>
      </c>
      <c r="K739">
        <v>40</v>
      </c>
      <c r="L739">
        <v>1920</v>
      </c>
      <c r="M739">
        <v>6</v>
      </c>
      <c r="N739" s="2" t="s">
        <v>675</v>
      </c>
      <c r="O739" t="b">
        <v>1</v>
      </c>
      <c r="Q739" s="2"/>
      <c r="R739">
        <v>60</v>
      </c>
      <c r="S739">
        <v>1</v>
      </c>
      <c r="T739">
        <v>0</v>
      </c>
      <c r="U739" t="s">
        <v>711</v>
      </c>
      <c r="V739">
        <v>120</v>
      </c>
      <c r="W739" s="2">
        <v>0.3</v>
      </c>
      <c r="AF739" s="2" t="b">
        <v>1</v>
      </c>
      <c r="AO739" s="2" t="b">
        <v>1</v>
      </c>
      <c r="AX739" s="2" t="b">
        <v>1</v>
      </c>
      <c r="BA739" s="2"/>
      <c r="BB739" s="2" t="b">
        <f>LEN(_xlfn.CONCAT(Table1[[#This Row],[TRACK_TYPE_STANDARD_GAUGE_RAILTYPE_OHLE]:[TRACK_TYPE_MTRO]]))&gt;0</f>
        <v>1</v>
      </c>
      <c r="BC739" s="7">
        <v>25</v>
      </c>
      <c r="BD739" t="s">
        <v>933</v>
      </c>
      <c r="BE739" t="s">
        <v>925</v>
      </c>
      <c r="BF739" t="s">
        <v>940</v>
      </c>
      <c r="BG7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9">
        <v>0</v>
      </c>
      <c r="BI739" t="s">
        <v>734</v>
      </c>
      <c r="BK739" s="11"/>
      <c r="BL739" s="11">
        <v>21</v>
      </c>
      <c r="BM739">
        <v>0</v>
      </c>
      <c r="BN739" t="s">
        <v>692</v>
      </c>
      <c r="BO739" t="s">
        <v>694</v>
      </c>
      <c r="BP739" t="s">
        <v>701</v>
      </c>
      <c r="BQ739" t="s">
        <v>705</v>
      </c>
      <c r="BR739" t="s">
        <v>706</v>
      </c>
      <c r="BS739" t="s">
        <v>707</v>
      </c>
    </row>
    <row r="740" spans="1:71" x14ac:dyDescent="0.4">
      <c r="A740" s="2" t="s">
        <v>795</v>
      </c>
      <c r="B740" t="str">
        <f>_xlfn.TEXTAFTER(Table1[[#This Row],[VEHIDCODE]],"_")</f>
        <v>Coach_Gen3_Steel_Lightweight_Intercity_Coach</v>
      </c>
      <c r="C740" t="s">
        <v>757</v>
      </c>
      <c r="D740" t="b">
        <f>OR(ISNUMBER(SEARCH("wagon_",Table1[[#This Row],[FILENAMES_EXPECTED]])),ISNUMBER(SEARCH("coach_",Table1[[#This Row],[FILENAMES_EXPECTED]])))</f>
        <v>1</v>
      </c>
      <c r="E740" t="str">
        <f>"item_"&amp;Table1[[#This Row],[VEHIDCODE]]</f>
        <v>item_mu_Coach_Gen3_Steel_Lightweight_Intercity_Coach</v>
      </c>
      <c r="F740" t="str">
        <f>"str_"&amp;Table1[[#This Row],[VEHIDCODE]]</f>
        <v>str_mu_Coach_Gen3_Steel_Lightweight_Intercity_Coach</v>
      </c>
      <c r="G740">
        <v>8</v>
      </c>
      <c r="H740" t="s">
        <v>326</v>
      </c>
      <c r="I740">
        <v>0</v>
      </c>
      <c r="J740" t="s">
        <v>35</v>
      </c>
      <c r="K740">
        <v>60</v>
      </c>
      <c r="L740">
        <v>1930</v>
      </c>
      <c r="M740">
        <v>8</v>
      </c>
      <c r="N740" s="2" t="s">
        <v>480</v>
      </c>
      <c r="O740" t="b">
        <v>1</v>
      </c>
      <c r="Q740" s="2"/>
      <c r="R740">
        <v>55</v>
      </c>
      <c r="S740">
        <v>1</v>
      </c>
      <c r="T740">
        <v>0</v>
      </c>
      <c r="U740" t="s">
        <v>711</v>
      </c>
      <c r="V740">
        <v>160</v>
      </c>
      <c r="W740" s="2">
        <v>0.3</v>
      </c>
      <c r="AF740" s="2" t="b">
        <v>1</v>
      </c>
      <c r="AO740" s="2" t="b">
        <v>1</v>
      </c>
      <c r="AX740" s="2" t="b">
        <v>1</v>
      </c>
      <c r="BA740" s="2"/>
      <c r="BB740" s="2" t="b">
        <f>LEN(_xlfn.CONCAT(Table1[[#This Row],[TRACK_TYPE_STANDARD_GAUGE_RAILTYPE_OHLE]:[TRACK_TYPE_MTRO]]))&gt;0</f>
        <v>1</v>
      </c>
      <c r="BC740" s="7">
        <v>25</v>
      </c>
      <c r="BD740" t="s">
        <v>937</v>
      </c>
      <c r="BE740" t="s">
        <v>935</v>
      </c>
      <c r="BF740" t="s">
        <v>940</v>
      </c>
      <c r="BG7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0">
        <v>0</v>
      </c>
      <c r="BI740" t="s">
        <v>734</v>
      </c>
      <c r="BK740" s="11"/>
      <c r="BL740" s="11">
        <v>38</v>
      </c>
      <c r="BM740">
        <v>0</v>
      </c>
      <c r="BN740" t="s">
        <v>692</v>
      </c>
      <c r="BO740" t="s">
        <v>694</v>
      </c>
      <c r="BP740" t="s">
        <v>701</v>
      </c>
      <c r="BQ740" t="s">
        <v>705</v>
      </c>
      <c r="BR740" t="s">
        <v>706</v>
      </c>
      <c r="BS740" t="s">
        <v>707</v>
      </c>
    </row>
    <row r="741" spans="1:71" x14ac:dyDescent="0.4">
      <c r="A741" s="2" t="s">
        <v>796</v>
      </c>
      <c r="B741" t="str">
        <f>_xlfn.TEXTAFTER(Table1[[#This Row],[VEHIDCODE]],"_")</f>
        <v>Coach_Gen3_Steel_Lightweight_Regional_Coach</v>
      </c>
      <c r="C741" t="s">
        <v>757</v>
      </c>
      <c r="D741" t="b">
        <f>OR(ISNUMBER(SEARCH("wagon_",Table1[[#This Row],[FILENAMES_EXPECTED]])),ISNUMBER(SEARCH("coach_",Table1[[#This Row],[FILENAMES_EXPECTED]])))</f>
        <v>1</v>
      </c>
      <c r="E741" t="str">
        <f>"item_"&amp;Table1[[#This Row],[VEHIDCODE]]</f>
        <v>item_mu_Coach_Gen3_Steel_Lightweight_Regional_Coach</v>
      </c>
      <c r="F741" t="str">
        <f>"str_"&amp;Table1[[#This Row],[VEHIDCODE]]</f>
        <v>str_mu_Coach_Gen3_Steel_Lightweight_Regional_Coach</v>
      </c>
      <c r="G741">
        <v>8</v>
      </c>
      <c r="H741" t="s">
        <v>326</v>
      </c>
      <c r="I741">
        <v>0</v>
      </c>
      <c r="J741" t="s">
        <v>35</v>
      </c>
      <c r="K741">
        <v>55</v>
      </c>
      <c r="L741">
        <v>1930</v>
      </c>
      <c r="M741">
        <v>8</v>
      </c>
      <c r="N741" s="2" t="s">
        <v>480</v>
      </c>
      <c r="O741" t="b">
        <v>1</v>
      </c>
      <c r="Q741" s="2"/>
      <c r="R741">
        <v>55</v>
      </c>
      <c r="S741">
        <v>1</v>
      </c>
      <c r="T741">
        <v>0</v>
      </c>
      <c r="U741" t="s">
        <v>711</v>
      </c>
      <c r="V741">
        <v>120</v>
      </c>
      <c r="W741" s="2">
        <v>0.3</v>
      </c>
      <c r="AF741" s="2" t="b">
        <v>1</v>
      </c>
      <c r="AO741" s="2" t="b">
        <v>1</v>
      </c>
      <c r="AX741" s="2" t="b">
        <v>1</v>
      </c>
      <c r="BA741" s="2"/>
      <c r="BB741" s="2" t="b">
        <f>LEN(_xlfn.CONCAT(Table1[[#This Row],[TRACK_TYPE_STANDARD_GAUGE_RAILTYPE_OHLE]:[TRACK_TYPE_MTRO]]))&gt;0</f>
        <v>1</v>
      </c>
      <c r="BC741" s="7">
        <v>25</v>
      </c>
      <c r="BD741" t="s">
        <v>937</v>
      </c>
      <c r="BE741" t="s">
        <v>935</v>
      </c>
      <c r="BF741" t="s">
        <v>940</v>
      </c>
      <c r="BG7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1">
        <v>0</v>
      </c>
      <c r="BI741" t="s">
        <v>734</v>
      </c>
      <c r="BK741" s="11"/>
      <c r="BL741" s="11">
        <v>35</v>
      </c>
      <c r="BM741">
        <v>0</v>
      </c>
      <c r="BN741" t="s">
        <v>692</v>
      </c>
      <c r="BO741" t="s">
        <v>694</v>
      </c>
      <c r="BP741" t="s">
        <v>701</v>
      </c>
      <c r="BQ741" t="s">
        <v>705</v>
      </c>
      <c r="BR741" t="s">
        <v>706</v>
      </c>
      <c r="BS741" t="s">
        <v>707</v>
      </c>
    </row>
    <row r="742" spans="1:71" x14ac:dyDescent="0.4">
      <c r="A742" s="2" t="s">
        <v>797</v>
      </c>
      <c r="B742" t="str">
        <f>_xlfn.TEXTAFTER(Table1[[#This Row],[VEHIDCODE]],"_")</f>
        <v>Coach_Gen3_Steel_Lightweight_Mail_Coach</v>
      </c>
      <c r="C742" t="s">
        <v>757</v>
      </c>
      <c r="D742" t="b">
        <f>OR(ISNUMBER(SEARCH("wagon_",Table1[[#This Row],[FILENAMES_EXPECTED]])),ISNUMBER(SEARCH("coach_",Table1[[#This Row],[FILENAMES_EXPECTED]])))</f>
        <v>1</v>
      </c>
      <c r="E742" t="str">
        <f>"item_"&amp;Table1[[#This Row],[VEHIDCODE]]</f>
        <v>item_mu_Coach_Gen3_Steel_Lightweight_Mail_Coach</v>
      </c>
      <c r="F742" t="str">
        <f>"str_"&amp;Table1[[#This Row],[VEHIDCODE]]</f>
        <v>str_mu_Coach_Gen3_Steel_Lightweight_Mail_Coach</v>
      </c>
      <c r="G742">
        <v>8</v>
      </c>
      <c r="H742" t="s">
        <v>674</v>
      </c>
      <c r="I742">
        <v>0</v>
      </c>
      <c r="J742" t="s">
        <v>35</v>
      </c>
      <c r="K742">
        <v>64</v>
      </c>
      <c r="L742">
        <v>1930</v>
      </c>
      <c r="M742">
        <v>8</v>
      </c>
      <c r="N742" s="2" t="s">
        <v>675</v>
      </c>
      <c r="O742" t="b">
        <v>1</v>
      </c>
      <c r="Q742" s="2"/>
      <c r="R742">
        <v>55</v>
      </c>
      <c r="S742">
        <v>1</v>
      </c>
      <c r="T742">
        <v>0</v>
      </c>
      <c r="U742" t="s">
        <v>711</v>
      </c>
      <c r="V742">
        <v>140</v>
      </c>
      <c r="W742" s="2">
        <v>0.3</v>
      </c>
      <c r="AF742" s="2" t="b">
        <v>1</v>
      </c>
      <c r="AO742" s="2" t="b">
        <v>1</v>
      </c>
      <c r="AX742" s="2" t="b">
        <v>1</v>
      </c>
      <c r="BA742" s="2"/>
      <c r="BB742" s="2" t="b">
        <f>LEN(_xlfn.CONCAT(Table1[[#This Row],[TRACK_TYPE_STANDARD_GAUGE_RAILTYPE_OHLE]:[TRACK_TYPE_MTRO]]))&gt;0</f>
        <v>1</v>
      </c>
      <c r="BC742" s="7">
        <v>25</v>
      </c>
      <c r="BD742" t="s">
        <v>937</v>
      </c>
      <c r="BE742" t="s">
        <v>935</v>
      </c>
      <c r="BF742" t="s">
        <v>940</v>
      </c>
      <c r="BG7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2">
        <v>0</v>
      </c>
      <c r="BI742" t="s">
        <v>734</v>
      </c>
      <c r="BK742" s="11"/>
      <c r="BL742" s="11">
        <v>31</v>
      </c>
      <c r="BM742">
        <v>0</v>
      </c>
      <c r="BN742" t="s">
        <v>692</v>
      </c>
      <c r="BO742" t="s">
        <v>694</v>
      </c>
      <c r="BP742" t="s">
        <v>701</v>
      </c>
      <c r="BQ742" t="s">
        <v>705</v>
      </c>
      <c r="BR742" t="s">
        <v>706</v>
      </c>
      <c r="BS742" t="s">
        <v>707</v>
      </c>
    </row>
    <row r="743" spans="1:71" x14ac:dyDescent="0.4">
      <c r="A743" s="2" t="s">
        <v>798</v>
      </c>
      <c r="B743" t="str">
        <f>_xlfn.TEXTAFTER(Table1[[#This Row],[VEHIDCODE]],"_")</f>
        <v>Coach_Gen3_Aluminium_Lightweight_Intercity_Coach</v>
      </c>
      <c r="C743" t="s">
        <v>757</v>
      </c>
      <c r="D743" t="b">
        <f>OR(ISNUMBER(SEARCH("wagon_",Table1[[#This Row],[FILENAMES_EXPECTED]])),ISNUMBER(SEARCH("coach_",Table1[[#This Row],[FILENAMES_EXPECTED]])))</f>
        <v>1</v>
      </c>
      <c r="E743" t="str">
        <f>"item_"&amp;Table1[[#This Row],[VEHIDCODE]]</f>
        <v>item_mu_Coach_Gen3_Aluminium_Lightweight_Intercity_Coach</v>
      </c>
      <c r="F743" t="str">
        <f>"str_"&amp;Table1[[#This Row],[VEHIDCODE]]</f>
        <v>str_mu_Coach_Gen3_Aluminium_Lightweight_Intercity_Coach</v>
      </c>
      <c r="G743">
        <v>8</v>
      </c>
      <c r="H743" t="s">
        <v>326</v>
      </c>
      <c r="I743">
        <v>0</v>
      </c>
      <c r="J743" t="s">
        <v>35</v>
      </c>
      <c r="K743">
        <v>60</v>
      </c>
      <c r="L743">
        <v>1940</v>
      </c>
      <c r="M743">
        <v>8</v>
      </c>
      <c r="N743" s="2" t="s">
        <v>480</v>
      </c>
      <c r="O743" t="b">
        <v>1</v>
      </c>
      <c r="Q743" s="2"/>
      <c r="R743">
        <v>50</v>
      </c>
      <c r="S743">
        <v>1</v>
      </c>
      <c r="T743">
        <v>0</v>
      </c>
      <c r="U743" t="s">
        <v>711</v>
      </c>
      <c r="V743">
        <v>180</v>
      </c>
      <c r="W743" s="2">
        <v>0.3</v>
      </c>
      <c r="AF743" s="2" t="b">
        <v>1</v>
      </c>
      <c r="AO743" s="2" t="b">
        <v>1</v>
      </c>
      <c r="AX743" s="2" t="b">
        <v>1</v>
      </c>
      <c r="BA743" s="2"/>
      <c r="BB743" s="2" t="b">
        <f>LEN(_xlfn.CONCAT(Table1[[#This Row],[TRACK_TYPE_STANDARD_GAUGE_RAILTYPE_OHLE]:[TRACK_TYPE_MTRO]]))&gt;0</f>
        <v>1</v>
      </c>
      <c r="BC743" s="7">
        <v>25</v>
      </c>
      <c r="BD743" t="s">
        <v>933</v>
      </c>
      <c r="BE743" t="s">
        <v>925</v>
      </c>
      <c r="BF743" t="s">
        <v>940</v>
      </c>
      <c r="BG7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3">
        <v>0</v>
      </c>
      <c r="BI743" t="s">
        <v>734</v>
      </c>
      <c r="BK743" s="11"/>
      <c r="BL743" s="11">
        <v>55</v>
      </c>
      <c r="BM743">
        <v>0</v>
      </c>
      <c r="BN743" t="s">
        <v>692</v>
      </c>
      <c r="BO743" t="s">
        <v>694</v>
      </c>
      <c r="BP743" t="s">
        <v>701</v>
      </c>
      <c r="BQ743" t="s">
        <v>705</v>
      </c>
      <c r="BR743" t="s">
        <v>706</v>
      </c>
      <c r="BS743" t="s">
        <v>707</v>
      </c>
    </row>
    <row r="744" spans="1:71" x14ac:dyDescent="0.4">
      <c r="A744" s="2" t="s">
        <v>799</v>
      </c>
      <c r="B744" t="str">
        <f>_xlfn.TEXTAFTER(Table1[[#This Row],[VEHIDCODE]],"_")</f>
        <v>Coach_Gen3_Aluminium_Lightweight_Regional_Coach</v>
      </c>
      <c r="C744" t="s">
        <v>757</v>
      </c>
      <c r="D744" t="b">
        <f>OR(ISNUMBER(SEARCH("wagon_",Table1[[#This Row],[FILENAMES_EXPECTED]])),ISNUMBER(SEARCH("coach_",Table1[[#This Row],[FILENAMES_EXPECTED]])))</f>
        <v>1</v>
      </c>
      <c r="E744" t="str">
        <f>"item_"&amp;Table1[[#This Row],[VEHIDCODE]]</f>
        <v>item_mu_Coach_Gen3_Aluminium_Lightweight_Regional_Coach</v>
      </c>
      <c r="F744" t="str">
        <f>"str_"&amp;Table1[[#This Row],[VEHIDCODE]]</f>
        <v>str_mu_Coach_Gen3_Aluminium_Lightweight_Regional_Coach</v>
      </c>
      <c r="G744">
        <v>8</v>
      </c>
      <c r="H744" t="s">
        <v>326</v>
      </c>
      <c r="I744">
        <v>0</v>
      </c>
      <c r="J744" t="s">
        <v>35</v>
      </c>
      <c r="K744">
        <v>90</v>
      </c>
      <c r="L744">
        <v>1940</v>
      </c>
      <c r="M744">
        <v>8</v>
      </c>
      <c r="N744" s="2" t="s">
        <v>480</v>
      </c>
      <c r="O744" t="b">
        <v>1</v>
      </c>
      <c r="Q744" s="2"/>
      <c r="R744">
        <v>50</v>
      </c>
      <c r="S744">
        <v>1</v>
      </c>
      <c r="T744">
        <v>0</v>
      </c>
      <c r="U744" t="s">
        <v>711</v>
      </c>
      <c r="V744">
        <v>160</v>
      </c>
      <c r="W744" s="2">
        <v>0.3</v>
      </c>
      <c r="AF744" s="2" t="b">
        <v>1</v>
      </c>
      <c r="AO744" s="2" t="b">
        <v>1</v>
      </c>
      <c r="AX744" s="2" t="b">
        <v>1</v>
      </c>
      <c r="BA744" s="2"/>
      <c r="BB744" s="2" t="b">
        <f>LEN(_xlfn.CONCAT(Table1[[#This Row],[TRACK_TYPE_STANDARD_GAUGE_RAILTYPE_OHLE]:[TRACK_TYPE_MTRO]]))&gt;0</f>
        <v>1</v>
      </c>
      <c r="BC744" s="7">
        <v>25</v>
      </c>
      <c r="BD744" t="s">
        <v>935</v>
      </c>
      <c r="BE744" t="s">
        <v>925</v>
      </c>
      <c r="BF744" t="s">
        <v>940</v>
      </c>
      <c r="BG7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4">
        <v>0</v>
      </c>
      <c r="BI744" t="s">
        <v>734</v>
      </c>
      <c r="BK744" s="11"/>
      <c r="BL744" s="11">
        <v>52</v>
      </c>
      <c r="BM744">
        <v>0</v>
      </c>
      <c r="BN744" t="s">
        <v>692</v>
      </c>
      <c r="BO744" t="s">
        <v>694</v>
      </c>
      <c r="BP744" t="s">
        <v>701</v>
      </c>
      <c r="BQ744" t="s">
        <v>705</v>
      </c>
      <c r="BR744" t="s">
        <v>706</v>
      </c>
      <c r="BS744" t="s">
        <v>707</v>
      </c>
    </row>
    <row r="745" spans="1:71" x14ac:dyDescent="0.4">
      <c r="A745" s="2" t="s">
        <v>800</v>
      </c>
      <c r="B745" t="str">
        <f>_xlfn.TEXTAFTER(Table1[[#This Row],[VEHIDCODE]],"_")</f>
        <v>Coach_Gen3_Aluminium_Lightweight_Mail_Coach</v>
      </c>
      <c r="C745" t="s">
        <v>757</v>
      </c>
      <c r="D745" t="b">
        <f>OR(ISNUMBER(SEARCH("wagon_",Table1[[#This Row],[FILENAMES_EXPECTED]])),ISNUMBER(SEARCH("coach_",Table1[[#This Row],[FILENAMES_EXPECTED]])))</f>
        <v>1</v>
      </c>
      <c r="E745" t="str">
        <f>"item_"&amp;Table1[[#This Row],[VEHIDCODE]]</f>
        <v>item_mu_Coach_Gen3_Aluminium_Lightweight_Mail_Coach</v>
      </c>
      <c r="F745" t="str">
        <f>"str_"&amp;Table1[[#This Row],[VEHIDCODE]]</f>
        <v>str_mu_Coach_Gen3_Aluminium_Lightweight_Mail_Coach</v>
      </c>
      <c r="G745">
        <v>8</v>
      </c>
      <c r="H745" t="s">
        <v>674</v>
      </c>
      <c r="I745">
        <v>0</v>
      </c>
      <c r="J745" t="s">
        <v>35</v>
      </c>
      <c r="K745">
        <v>85</v>
      </c>
      <c r="L745">
        <v>1940</v>
      </c>
      <c r="M745">
        <v>8</v>
      </c>
      <c r="N745" s="2" t="s">
        <v>675</v>
      </c>
      <c r="O745" t="b">
        <v>1</v>
      </c>
      <c r="Q745" s="2"/>
      <c r="R745">
        <v>50</v>
      </c>
      <c r="S745">
        <v>1</v>
      </c>
      <c r="T745">
        <v>0</v>
      </c>
      <c r="U745" t="s">
        <v>711</v>
      </c>
      <c r="V745">
        <v>180</v>
      </c>
      <c r="W745" s="2">
        <v>0.3</v>
      </c>
      <c r="AF745" s="2" t="b">
        <v>1</v>
      </c>
      <c r="AO745" s="2" t="b">
        <v>1</v>
      </c>
      <c r="AX745" s="2" t="b">
        <v>1</v>
      </c>
      <c r="BA745" s="2"/>
      <c r="BB745" s="2" t="b">
        <f>LEN(_xlfn.CONCAT(Table1[[#This Row],[TRACK_TYPE_STANDARD_GAUGE_RAILTYPE_OHLE]:[TRACK_TYPE_MTRO]]))&gt;0</f>
        <v>1</v>
      </c>
      <c r="BC745" s="7">
        <v>25</v>
      </c>
      <c r="BD745" t="s">
        <v>935</v>
      </c>
      <c r="BE745" t="s">
        <v>925</v>
      </c>
      <c r="BF745" t="s">
        <v>940</v>
      </c>
      <c r="BG7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5">
        <v>0</v>
      </c>
      <c r="BI745" t="s">
        <v>734</v>
      </c>
      <c r="BK745" s="11"/>
      <c r="BL745" s="11">
        <v>52</v>
      </c>
      <c r="BM745">
        <v>0</v>
      </c>
      <c r="BN745" t="s">
        <v>692</v>
      </c>
      <c r="BO745" t="s">
        <v>694</v>
      </c>
      <c r="BP745" t="s">
        <v>701</v>
      </c>
      <c r="BQ745" t="s">
        <v>705</v>
      </c>
      <c r="BR745" t="s">
        <v>706</v>
      </c>
      <c r="BS745" t="s">
        <v>707</v>
      </c>
    </row>
    <row r="746" spans="1:71" x14ac:dyDescent="0.4">
      <c r="A746" s="2" t="s">
        <v>801</v>
      </c>
      <c r="B746" t="str">
        <f>_xlfn.TEXTAFTER(Table1[[#This Row],[VEHIDCODE]],"_")</f>
        <v>Coach_Gen3_Gallery_Car</v>
      </c>
      <c r="C746" t="s">
        <v>757</v>
      </c>
      <c r="D746" t="b">
        <f>OR(ISNUMBER(SEARCH("wagon_",Table1[[#This Row],[FILENAMES_EXPECTED]])),ISNUMBER(SEARCH("coach_",Table1[[#This Row],[FILENAMES_EXPECTED]])))</f>
        <v>1</v>
      </c>
      <c r="E746" t="str">
        <f>"item_"&amp;Table1[[#This Row],[VEHIDCODE]]</f>
        <v>item_mu_Coach_Gen3_Gallery_Car</v>
      </c>
      <c r="F746" t="str">
        <f>"str_"&amp;Table1[[#This Row],[VEHIDCODE]]</f>
        <v>str_mu_Coach_Gen3_Gallery_Car</v>
      </c>
      <c r="G746">
        <v>8</v>
      </c>
      <c r="H746" t="s">
        <v>326</v>
      </c>
      <c r="I746">
        <v>0</v>
      </c>
      <c r="J746" t="s">
        <v>35</v>
      </c>
      <c r="K746">
        <v>160</v>
      </c>
      <c r="L746">
        <v>1950</v>
      </c>
      <c r="M746">
        <v>8</v>
      </c>
      <c r="N746" s="2" t="s">
        <v>480</v>
      </c>
      <c r="O746" t="b">
        <v>1</v>
      </c>
      <c r="Q746" s="2"/>
      <c r="R746">
        <v>50</v>
      </c>
      <c r="S746">
        <v>1</v>
      </c>
      <c r="T746">
        <v>0</v>
      </c>
      <c r="U746" t="s">
        <v>711</v>
      </c>
      <c r="V746">
        <v>140</v>
      </c>
      <c r="W746" s="2">
        <v>0.3</v>
      </c>
      <c r="AF746" s="2" t="b">
        <v>1</v>
      </c>
      <c r="AO746" s="2" t="b">
        <v>1</v>
      </c>
      <c r="AX746" s="2" t="b">
        <v>1</v>
      </c>
      <c r="BA746" s="2"/>
      <c r="BB746" s="2" t="b">
        <f>LEN(_xlfn.CONCAT(Table1[[#This Row],[TRACK_TYPE_STANDARD_GAUGE_RAILTYPE_OHLE]:[TRACK_TYPE_MTRO]]))&gt;0</f>
        <v>1</v>
      </c>
      <c r="BC746" s="7">
        <v>25</v>
      </c>
      <c r="BD746" t="s">
        <v>935</v>
      </c>
      <c r="BE746" t="s">
        <v>925</v>
      </c>
      <c r="BF746" t="s">
        <v>940</v>
      </c>
      <c r="BG7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6">
        <v>0</v>
      </c>
      <c r="BI746" t="s">
        <v>734</v>
      </c>
      <c r="BK746" s="11"/>
      <c r="BL746" s="11">
        <v>56</v>
      </c>
      <c r="BM746">
        <v>0</v>
      </c>
      <c r="BN746" t="s">
        <v>692</v>
      </c>
      <c r="BO746" t="s">
        <v>694</v>
      </c>
      <c r="BP746" t="s">
        <v>701</v>
      </c>
      <c r="BQ746" t="s">
        <v>705</v>
      </c>
      <c r="BR746" t="s">
        <v>706</v>
      </c>
      <c r="BS746" t="s">
        <v>707</v>
      </c>
    </row>
    <row r="747" spans="1:71" x14ac:dyDescent="0.4">
      <c r="A747" s="2" t="s">
        <v>802</v>
      </c>
      <c r="B747" t="str">
        <f>_xlfn.TEXTAFTER(Table1[[#This Row],[VEHIDCODE]],"_")</f>
        <v>Coach_Gen3_Mk1_Intercity_Coach</v>
      </c>
      <c r="C747" t="s">
        <v>757</v>
      </c>
      <c r="D747" t="b">
        <f>OR(ISNUMBER(SEARCH("wagon_",Table1[[#This Row],[FILENAMES_EXPECTED]])),ISNUMBER(SEARCH("coach_",Table1[[#This Row],[FILENAMES_EXPECTED]])))</f>
        <v>1</v>
      </c>
      <c r="E747" t="str">
        <f>"item_"&amp;Table1[[#This Row],[VEHIDCODE]]</f>
        <v>item_mu_Coach_Gen3_Mk1_Intercity_Coach</v>
      </c>
      <c r="F747" t="str">
        <f>"str_"&amp;Table1[[#This Row],[VEHIDCODE]]</f>
        <v>str_mu_Coach_Gen3_Mk1_Intercity_Coach</v>
      </c>
      <c r="G747">
        <v>7</v>
      </c>
      <c r="H747" t="s">
        <v>326</v>
      </c>
      <c r="I747">
        <v>0</v>
      </c>
      <c r="J747" t="s">
        <v>35</v>
      </c>
      <c r="K747">
        <v>55</v>
      </c>
      <c r="L747">
        <v>1950</v>
      </c>
      <c r="M747">
        <v>7</v>
      </c>
      <c r="N747" s="2" t="s">
        <v>480</v>
      </c>
      <c r="O747" t="b">
        <v>1</v>
      </c>
      <c r="Q747" s="2"/>
      <c r="R747">
        <v>50</v>
      </c>
      <c r="S747">
        <v>1</v>
      </c>
      <c r="T747">
        <v>0</v>
      </c>
      <c r="U747" t="s">
        <v>711</v>
      </c>
      <c r="V747">
        <v>160</v>
      </c>
      <c r="W747" s="2">
        <v>0.3</v>
      </c>
      <c r="AF747" s="2" t="b">
        <v>1</v>
      </c>
      <c r="AO747" s="2" t="b">
        <v>1</v>
      </c>
      <c r="AX747" s="2" t="b">
        <v>1</v>
      </c>
      <c r="BA747" s="2"/>
      <c r="BB747" s="2" t="b">
        <f>LEN(_xlfn.CONCAT(Table1[[#This Row],[TRACK_TYPE_STANDARD_GAUGE_RAILTYPE_OHLE]:[TRACK_TYPE_MTRO]]))&gt;0</f>
        <v>1</v>
      </c>
      <c r="BC747" s="7">
        <v>25</v>
      </c>
      <c r="BD747" t="s">
        <v>933</v>
      </c>
      <c r="BE747" t="s">
        <v>922</v>
      </c>
      <c r="BF747" t="s">
        <v>940</v>
      </c>
      <c r="BG7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7">
        <v>0</v>
      </c>
      <c r="BI747" t="s">
        <v>734</v>
      </c>
      <c r="BK747" s="11"/>
      <c r="BL747" s="11">
        <v>33</v>
      </c>
      <c r="BM747">
        <v>0</v>
      </c>
      <c r="BN747" t="s">
        <v>692</v>
      </c>
      <c r="BO747" t="s">
        <v>694</v>
      </c>
      <c r="BP747" t="s">
        <v>701</v>
      </c>
      <c r="BQ747" t="s">
        <v>705</v>
      </c>
      <c r="BR747" t="s">
        <v>706</v>
      </c>
      <c r="BS747" t="s">
        <v>707</v>
      </c>
    </row>
    <row r="748" spans="1:71" x14ac:dyDescent="0.4">
      <c r="A748" s="2" t="s">
        <v>803</v>
      </c>
      <c r="B748" t="str">
        <f>_xlfn.TEXTAFTER(Table1[[#This Row],[VEHIDCODE]],"_")</f>
        <v>Coach_Gen3_Mk1_Regional_Coach</v>
      </c>
      <c r="C748" t="s">
        <v>757</v>
      </c>
      <c r="D748" t="b">
        <f>OR(ISNUMBER(SEARCH("wagon_",Table1[[#This Row],[FILENAMES_EXPECTED]])),ISNUMBER(SEARCH("coach_",Table1[[#This Row],[FILENAMES_EXPECTED]])))</f>
        <v>1</v>
      </c>
      <c r="E748" t="str">
        <f>"item_"&amp;Table1[[#This Row],[VEHIDCODE]]</f>
        <v>item_mu_Coach_Gen3_Mk1_Regional_Coach</v>
      </c>
      <c r="F748" t="str">
        <f>"str_"&amp;Table1[[#This Row],[VEHIDCODE]]</f>
        <v>str_mu_Coach_Gen3_Mk1_Regional_Coach</v>
      </c>
      <c r="G748">
        <v>7</v>
      </c>
      <c r="H748" t="s">
        <v>326</v>
      </c>
      <c r="I748">
        <v>0</v>
      </c>
      <c r="J748" t="s">
        <v>35</v>
      </c>
      <c r="K748">
        <v>108</v>
      </c>
      <c r="L748">
        <v>1950</v>
      </c>
      <c r="M748">
        <v>7</v>
      </c>
      <c r="N748" s="2" t="s">
        <v>480</v>
      </c>
      <c r="O748" t="b">
        <v>1</v>
      </c>
      <c r="Q748" s="2"/>
      <c r="R748">
        <v>50</v>
      </c>
      <c r="S748">
        <v>1</v>
      </c>
      <c r="T748">
        <v>0</v>
      </c>
      <c r="U748" t="s">
        <v>711</v>
      </c>
      <c r="V748">
        <v>130</v>
      </c>
      <c r="W748" s="2">
        <v>0.3</v>
      </c>
      <c r="AF748" s="2" t="b">
        <v>1</v>
      </c>
      <c r="AO748" s="2" t="b">
        <v>1</v>
      </c>
      <c r="AX748" s="2" t="b">
        <v>1</v>
      </c>
      <c r="BA748" s="2"/>
      <c r="BB748" s="2" t="b">
        <f>LEN(_xlfn.CONCAT(Table1[[#This Row],[TRACK_TYPE_STANDARD_GAUGE_RAILTYPE_OHLE]:[TRACK_TYPE_MTRO]]))&gt;0</f>
        <v>1</v>
      </c>
      <c r="BC748" s="7">
        <v>25</v>
      </c>
      <c r="BD748" t="s">
        <v>933</v>
      </c>
      <c r="BE748" t="s">
        <v>922</v>
      </c>
      <c r="BF748" t="s">
        <v>940</v>
      </c>
      <c r="BG7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8">
        <v>0</v>
      </c>
      <c r="BI748" t="s">
        <v>734</v>
      </c>
      <c r="BK748" s="11"/>
      <c r="BL748" s="11">
        <v>33</v>
      </c>
      <c r="BM748">
        <v>0</v>
      </c>
      <c r="BN748" t="s">
        <v>692</v>
      </c>
      <c r="BO748" t="s">
        <v>694</v>
      </c>
      <c r="BP748" t="s">
        <v>701</v>
      </c>
      <c r="BQ748" t="s">
        <v>705</v>
      </c>
      <c r="BR748" t="s">
        <v>706</v>
      </c>
      <c r="BS748" t="s">
        <v>707</v>
      </c>
    </row>
    <row r="749" spans="1:71" x14ac:dyDescent="0.4">
      <c r="A749" s="2" t="s">
        <v>804</v>
      </c>
      <c r="B749" t="str">
        <f>_xlfn.TEXTAFTER(Table1[[#This Row],[VEHIDCODE]],"_")</f>
        <v>Coach_Gen3_Mk1_Mail_Coach</v>
      </c>
      <c r="C749" t="s">
        <v>757</v>
      </c>
      <c r="D749" t="b">
        <f>OR(ISNUMBER(SEARCH("wagon_",Table1[[#This Row],[FILENAMES_EXPECTED]])),ISNUMBER(SEARCH("coach_",Table1[[#This Row],[FILENAMES_EXPECTED]])))</f>
        <v>1</v>
      </c>
      <c r="E749" t="str">
        <f>"item_"&amp;Table1[[#This Row],[VEHIDCODE]]</f>
        <v>item_mu_Coach_Gen3_Mk1_Mail_Coach</v>
      </c>
      <c r="F749" t="str">
        <f>"str_"&amp;Table1[[#This Row],[VEHIDCODE]]</f>
        <v>str_mu_Coach_Gen3_Mk1_Mail_Coach</v>
      </c>
      <c r="G749">
        <v>7</v>
      </c>
      <c r="H749" t="s">
        <v>674</v>
      </c>
      <c r="I749">
        <v>0</v>
      </c>
      <c r="J749" t="s">
        <v>35</v>
      </c>
      <c r="K749">
        <v>55</v>
      </c>
      <c r="L749">
        <v>1950</v>
      </c>
      <c r="M749">
        <v>7</v>
      </c>
      <c r="N749" s="2" t="s">
        <v>675</v>
      </c>
      <c r="O749" t="b">
        <v>1</v>
      </c>
      <c r="Q749" s="2"/>
      <c r="R749">
        <v>50</v>
      </c>
      <c r="S749">
        <v>1</v>
      </c>
      <c r="T749">
        <v>0</v>
      </c>
      <c r="U749" t="s">
        <v>711</v>
      </c>
      <c r="V749">
        <v>160</v>
      </c>
      <c r="W749" s="2">
        <v>0.3</v>
      </c>
      <c r="AF749" s="2" t="b">
        <v>1</v>
      </c>
      <c r="AO749" s="2" t="b">
        <v>1</v>
      </c>
      <c r="AX749" s="2" t="b">
        <v>1</v>
      </c>
      <c r="BA749" s="2"/>
      <c r="BB749" s="2" t="b">
        <f>LEN(_xlfn.CONCAT(Table1[[#This Row],[TRACK_TYPE_STANDARD_GAUGE_RAILTYPE_OHLE]:[TRACK_TYPE_MTRO]]))&gt;0</f>
        <v>1</v>
      </c>
      <c r="BC749" s="7">
        <v>25</v>
      </c>
      <c r="BD749" t="s">
        <v>933</v>
      </c>
      <c r="BE749" t="s">
        <v>922</v>
      </c>
      <c r="BF749" t="s">
        <v>940</v>
      </c>
      <c r="BG7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9">
        <v>0</v>
      </c>
      <c r="BI749" t="s">
        <v>734</v>
      </c>
      <c r="BK749" s="11"/>
      <c r="BL749" s="11">
        <v>35</v>
      </c>
      <c r="BM749">
        <v>0</v>
      </c>
      <c r="BN749" t="s">
        <v>692</v>
      </c>
      <c r="BO749" t="s">
        <v>694</v>
      </c>
      <c r="BP749" t="s">
        <v>701</v>
      </c>
      <c r="BQ749" t="s">
        <v>705</v>
      </c>
      <c r="BR749" t="s">
        <v>706</v>
      </c>
      <c r="BS749" t="s">
        <v>707</v>
      </c>
    </row>
    <row r="750" spans="1:71" x14ac:dyDescent="0.4">
      <c r="A750" s="2" t="s">
        <v>805</v>
      </c>
      <c r="B750" t="str">
        <f>_xlfn.TEXTAFTER(Table1[[#This Row],[VEHIDCODE]],"_")</f>
        <v>Coach_Gen3_UIC_X_Intercity_Coach</v>
      </c>
      <c r="C750" t="s">
        <v>757</v>
      </c>
      <c r="D750" t="b">
        <f>OR(ISNUMBER(SEARCH("wagon_",Table1[[#This Row],[FILENAMES_EXPECTED]])),ISNUMBER(SEARCH("coach_",Table1[[#This Row],[FILENAMES_EXPECTED]])))</f>
        <v>1</v>
      </c>
      <c r="E750" t="str">
        <f>"item_"&amp;Table1[[#This Row],[VEHIDCODE]]</f>
        <v>item_mu_Coach_Gen3_UIC_X_Intercity_Coach</v>
      </c>
      <c r="F750" t="str">
        <f>"str_"&amp;Table1[[#This Row],[VEHIDCODE]]</f>
        <v>str_mu_Coach_Gen3_UIC_X_Intercity_Coach</v>
      </c>
      <c r="G750">
        <v>8</v>
      </c>
      <c r="H750" t="s">
        <v>326</v>
      </c>
      <c r="I750">
        <v>0</v>
      </c>
      <c r="J750" t="s">
        <v>35</v>
      </c>
      <c r="K750">
        <v>65</v>
      </c>
      <c r="L750">
        <v>1950</v>
      </c>
      <c r="M750">
        <v>8</v>
      </c>
      <c r="N750" s="2" t="s">
        <v>480</v>
      </c>
      <c r="O750" t="b">
        <v>1</v>
      </c>
      <c r="Q750" s="2"/>
      <c r="R750">
        <v>50</v>
      </c>
      <c r="S750">
        <v>1</v>
      </c>
      <c r="T750">
        <v>0</v>
      </c>
      <c r="U750" t="s">
        <v>711</v>
      </c>
      <c r="V750">
        <v>160</v>
      </c>
      <c r="W750" s="2">
        <v>0.3</v>
      </c>
      <c r="AF750" s="2" t="b">
        <v>1</v>
      </c>
      <c r="AO750" s="2" t="b">
        <v>1</v>
      </c>
      <c r="AX750" s="2" t="b">
        <v>1</v>
      </c>
      <c r="BA750" s="2"/>
      <c r="BB750" s="2" t="b">
        <f>LEN(_xlfn.CONCAT(Table1[[#This Row],[TRACK_TYPE_STANDARD_GAUGE_RAILTYPE_OHLE]:[TRACK_TYPE_MTRO]]))&gt;0</f>
        <v>1</v>
      </c>
      <c r="BC750" s="7">
        <v>25</v>
      </c>
      <c r="BD750" t="s">
        <v>933</v>
      </c>
      <c r="BE750" t="s">
        <v>922</v>
      </c>
      <c r="BF750" t="s">
        <v>940</v>
      </c>
      <c r="BG7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0">
        <v>0</v>
      </c>
      <c r="BI750" t="s">
        <v>734</v>
      </c>
      <c r="BK750" s="11"/>
      <c r="BL750" s="11">
        <v>38</v>
      </c>
      <c r="BM750">
        <v>0</v>
      </c>
      <c r="BN750" t="s">
        <v>692</v>
      </c>
      <c r="BO750" t="s">
        <v>694</v>
      </c>
      <c r="BP750" t="s">
        <v>701</v>
      </c>
      <c r="BQ750" t="s">
        <v>705</v>
      </c>
      <c r="BR750" t="s">
        <v>706</v>
      </c>
      <c r="BS750" t="s">
        <v>707</v>
      </c>
    </row>
    <row r="751" spans="1:71" x14ac:dyDescent="0.4">
      <c r="A751" s="2" t="s">
        <v>806</v>
      </c>
      <c r="B751" t="str">
        <f>_xlfn.TEXTAFTER(Table1[[#This Row],[VEHIDCODE]],"_")</f>
        <v>Coach_Gen3_TEE_Intercity_Coach</v>
      </c>
      <c r="C751" t="s">
        <v>757</v>
      </c>
      <c r="D751" t="b">
        <f>OR(ISNUMBER(SEARCH("wagon_",Table1[[#This Row],[FILENAMES_EXPECTED]])),ISNUMBER(SEARCH("coach_",Table1[[#This Row],[FILENAMES_EXPECTED]])))</f>
        <v>1</v>
      </c>
      <c r="E751" t="str">
        <f>"item_"&amp;Table1[[#This Row],[VEHIDCODE]]</f>
        <v>item_mu_Coach_Gen3_TEE_Intercity_Coach</v>
      </c>
      <c r="F751" t="str">
        <f>"str_"&amp;Table1[[#This Row],[VEHIDCODE]]</f>
        <v>str_mu_Coach_Gen3_TEE_Intercity_Coach</v>
      </c>
      <c r="G751">
        <v>8</v>
      </c>
      <c r="H751" t="s">
        <v>326</v>
      </c>
      <c r="I751">
        <v>0</v>
      </c>
      <c r="J751" t="s">
        <v>35</v>
      </c>
      <c r="K751">
        <v>48</v>
      </c>
      <c r="L751">
        <v>1950</v>
      </c>
      <c r="M751">
        <v>8</v>
      </c>
      <c r="N751" s="2" t="s">
        <v>480</v>
      </c>
      <c r="O751" t="b">
        <v>1</v>
      </c>
      <c r="Q751" s="2"/>
      <c r="R751">
        <v>50</v>
      </c>
      <c r="S751">
        <v>1</v>
      </c>
      <c r="T751">
        <v>0</v>
      </c>
      <c r="U751" t="s">
        <v>711</v>
      </c>
      <c r="V751">
        <v>240</v>
      </c>
      <c r="W751" s="2">
        <v>0.3</v>
      </c>
      <c r="AF751" s="2" t="b">
        <v>1</v>
      </c>
      <c r="AO751" s="2" t="b">
        <v>1</v>
      </c>
      <c r="AX751" s="2" t="b">
        <v>1</v>
      </c>
      <c r="BA751" s="2"/>
      <c r="BB751" s="2" t="b">
        <f>LEN(_xlfn.CONCAT(Table1[[#This Row],[TRACK_TYPE_STANDARD_GAUGE_RAILTYPE_OHLE]:[TRACK_TYPE_MTRO]]))&gt;0</f>
        <v>1</v>
      </c>
      <c r="BC751" s="7">
        <v>25</v>
      </c>
      <c r="BD751" t="s">
        <v>932</v>
      </c>
      <c r="BE751" t="s">
        <v>922</v>
      </c>
      <c r="BF751" t="s">
        <v>940</v>
      </c>
      <c r="BG7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1">
        <v>0</v>
      </c>
      <c r="BI751" t="s">
        <v>734</v>
      </c>
      <c r="BK751" s="11"/>
      <c r="BL751" s="11">
        <v>45</v>
      </c>
      <c r="BM751">
        <v>0</v>
      </c>
      <c r="BN751" t="s">
        <v>692</v>
      </c>
      <c r="BO751" t="s">
        <v>694</v>
      </c>
      <c r="BP751" t="s">
        <v>701</v>
      </c>
      <c r="BQ751" t="s">
        <v>705</v>
      </c>
      <c r="BR751" t="s">
        <v>706</v>
      </c>
      <c r="BS751" t="s">
        <v>707</v>
      </c>
    </row>
    <row r="752" spans="1:71" x14ac:dyDescent="0.4">
      <c r="A752" s="2" t="s">
        <v>807</v>
      </c>
      <c r="B752" t="str">
        <f>_xlfn.TEXTAFTER(Table1[[#This Row],[VEHIDCODE]],"_")</f>
        <v>Coach_Gen3_UIC_X_Regional_Coach</v>
      </c>
      <c r="C752" t="s">
        <v>757</v>
      </c>
      <c r="D752" t="b">
        <f>OR(ISNUMBER(SEARCH("wagon_",Table1[[#This Row],[FILENAMES_EXPECTED]])),ISNUMBER(SEARCH("coach_",Table1[[#This Row],[FILENAMES_EXPECTED]])))</f>
        <v>1</v>
      </c>
      <c r="E752" t="str">
        <f>"item_"&amp;Table1[[#This Row],[VEHIDCODE]]</f>
        <v>item_mu_Coach_Gen3_UIC_X_Regional_Coach</v>
      </c>
      <c r="F752" t="str">
        <f>"str_"&amp;Table1[[#This Row],[VEHIDCODE]]</f>
        <v>str_mu_Coach_Gen3_UIC_X_Regional_Coach</v>
      </c>
      <c r="G752">
        <v>8</v>
      </c>
      <c r="H752" t="s">
        <v>326</v>
      </c>
      <c r="I752">
        <v>0</v>
      </c>
      <c r="J752" t="s">
        <v>35</v>
      </c>
      <c r="K752">
        <v>80</v>
      </c>
      <c r="L752">
        <v>1950</v>
      </c>
      <c r="M752">
        <v>8</v>
      </c>
      <c r="N752" s="2" t="s">
        <v>480</v>
      </c>
      <c r="O752" t="b">
        <v>1</v>
      </c>
      <c r="Q752" s="2"/>
      <c r="R752">
        <v>50</v>
      </c>
      <c r="S752">
        <v>1</v>
      </c>
      <c r="T752">
        <v>0</v>
      </c>
      <c r="U752" t="s">
        <v>711</v>
      </c>
      <c r="V752">
        <v>120</v>
      </c>
      <c r="W752" s="2">
        <v>0.3</v>
      </c>
      <c r="AF752" s="2" t="b">
        <v>1</v>
      </c>
      <c r="AO752" s="2" t="b">
        <v>1</v>
      </c>
      <c r="AX752" s="2" t="b">
        <v>1</v>
      </c>
      <c r="BA752" s="2"/>
      <c r="BB752" s="2" t="b">
        <f>LEN(_xlfn.CONCAT(Table1[[#This Row],[TRACK_TYPE_STANDARD_GAUGE_RAILTYPE_OHLE]:[TRACK_TYPE_MTRO]]))&gt;0</f>
        <v>1</v>
      </c>
      <c r="BC752" s="7">
        <v>25</v>
      </c>
      <c r="BD752" t="s">
        <v>933</v>
      </c>
      <c r="BE752" t="s">
        <v>922</v>
      </c>
      <c r="BF752" t="s">
        <v>940</v>
      </c>
      <c r="BG7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2">
        <v>0</v>
      </c>
      <c r="BI752" t="s">
        <v>734</v>
      </c>
      <c r="BK752" s="11"/>
      <c r="BL752" s="11">
        <v>35</v>
      </c>
      <c r="BM752">
        <v>0</v>
      </c>
      <c r="BN752" t="s">
        <v>692</v>
      </c>
      <c r="BO752" t="s">
        <v>694</v>
      </c>
      <c r="BP752" t="s">
        <v>701</v>
      </c>
      <c r="BQ752" t="s">
        <v>705</v>
      </c>
      <c r="BR752" t="s">
        <v>706</v>
      </c>
      <c r="BS752" t="s">
        <v>707</v>
      </c>
    </row>
    <row r="753" spans="1:71" x14ac:dyDescent="0.4">
      <c r="A753" s="2" t="s">
        <v>808</v>
      </c>
      <c r="B753" t="str">
        <f>_xlfn.TEXTAFTER(Table1[[#This Row],[VEHIDCODE]],"_")</f>
        <v>Coach_Gen3_Umbauwagen_Local_Coach</v>
      </c>
      <c r="C753" t="s">
        <v>757</v>
      </c>
      <c r="D753" t="b">
        <f>OR(ISNUMBER(SEARCH("wagon_",Table1[[#This Row],[FILENAMES_EXPECTED]])),ISNUMBER(SEARCH("coach_",Table1[[#This Row],[FILENAMES_EXPECTED]])))</f>
        <v>1</v>
      </c>
      <c r="E753" t="str">
        <f>"item_"&amp;Table1[[#This Row],[VEHIDCODE]]</f>
        <v>item_mu_Coach_Gen3_Umbauwagen_Local_Coach</v>
      </c>
      <c r="F753" t="str">
        <f>"str_"&amp;Table1[[#This Row],[VEHIDCODE]]</f>
        <v>str_mu_Coach_Gen3_Umbauwagen_Local_Coach</v>
      </c>
      <c r="G753">
        <v>7</v>
      </c>
      <c r="H753" t="s">
        <v>326</v>
      </c>
      <c r="I753">
        <v>0</v>
      </c>
      <c r="J753" t="s">
        <v>35</v>
      </c>
      <c r="K753">
        <v>70</v>
      </c>
      <c r="L753">
        <v>1950</v>
      </c>
      <c r="M753">
        <v>7</v>
      </c>
      <c r="N753" s="2" t="s">
        <v>24</v>
      </c>
      <c r="O753" t="b">
        <v>1</v>
      </c>
      <c r="Q753" s="2"/>
      <c r="R753">
        <v>50</v>
      </c>
      <c r="S753">
        <v>1</v>
      </c>
      <c r="T753">
        <v>0</v>
      </c>
      <c r="U753" t="s">
        <v>711</v>
      </c>
      <c r="V753">
        <v>120</v>
      </c>
      <c r="W753" s="2">
        <v>0.3</v>
      </c>
      <c r="AF753" s="2" t="b">
        <v>1</v>
      </c>
      <c r="AO753" s="2" t="b">
        <v>1</v>
      </c>
      <c r="AX753" s="2" t="b">
        <v>1</v>
      </c>
      <c r="BA753" s="2"/>
      <c r="BB753" s="2" t="b">
        <f>LEN(_xlfn.CONCAT(Table1[[#This Row],[TRACK_TYPE_STANDARD_GAUGE_RAILTYPE_OHLE]:[TRACK_TYPE_MTRO]]))&gt;0</f>
        <v>1</v>
      </c>
      <c r="BC753" s="7">
        <v>25</v>
      </c>
      <c r="BD753" t="s">
        <v>933</v>
      </c>
      <c r="BE753" t="s">
        <v>922</v>
      </c>
      <c r="BF753" t="s">
        <v>940</v>
      </c>
      <c r="BG7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3">
        <v>0</v>
      </c>
      <c r="BI753" t="s">
        <v>734</v>
      </c>
      <c r="BK753" s="11"/>
      <c r="BL753" s="11">
        <v>29</v>
      </c>
      <c r="BM753">
        <v>0</v>
      </c>
      <c r="BN753" t="s">
        <v>692</v>
      </c>
      <c r="BO753" t="s">
        <v>694</v>
      </c>
      <c r="BP753" t="s">
        <v>701</v>
      </c>
      <c r="BQ753" t="s">
        <v>705</v>
      </c>
      <c r="BR753" t="s">
        <v>706</v>
      </c>
      <c r="BS753" t="s">
        <v>707</v>
      </c>
    </row>
    <row r="754" spans="1:71" x14ac:dyDescent="0.4">
      <c r="A754" s="2" t="s">
        <v>809</v>
      </c>
      <c r="B754" t="str">
        <f>_xlfn.TEXTAFTER(Table1[[#This Row],[VEHIDCODE]],"_")</f>
        <v>Coach_Gen3_Doppelstockwagen_Local_Coach</v>
      </c>
      <c r="C754" t="s">
        <v>757</v>
      </c>
      <c r="D754" t="b">
        <f>OR(ISNUMBER(SEARCH("wagon_",Table1[[#This Row],[FILENAMES_EXPECTED]])),ISNUMBER(SEARCH("coach_",Table1[[#This Row],[FILENAMES_EXPECTED]])))</f>
        <v>1</v>
      </c>
      <c r="E754" t="str">
        <f>"item_"&amp;Table1[[#This Row],[VEHIDCODE]]</f>
        <v>item_mu_Coach_Gen3_Doppelstockwagen_Local_Coach</v>
      </c>
      <c r="F754" t="str">
        <f>"str_"&amp;Table1[[#This Row],[VEHIDCODE]]</f>
        <v>str_mu_Coach_Gen3_Doppelstockwagen_Local_Coach</v>
      </c>
      <c r="G754">
        <v>8</v>
      </c>
      <c r="H754" t="s">
        <v>326</v>
      </c>
      <c r="I754">
        <v>0</v>
      </c>
      <c r="J754" t="s">
        <v>35</v>
      </c>
      <c r="K754">
        <v>130</v>
      </c>
      <c r="L754">
        <v>1950</v>
      </c>
      <c r="M754">
        <v>8</v>
      </c>
      <c r="N754" s="2" t="s">
        <v>24</v>
      </c>
      <c r="O754" t="b">
        <v>1</v>
      </c>
      <c r="Q754" s="2"/>
      <c r="R754">
        <v>40</v>
      </c>
      <c r="S754">
        <v>1</v>
      </c>
      <c r="T754">
        <v>0</v>
      </c>
      <c r="U754" t="s">
        <v>711</v>
      </c>
      <c r="V754">
        <v>120</v>
      </c>
      <c r="W754" s="2">
        <v>0.3</v>
      </c>
      <c r="AF754" s="2" t="b">
        <v>1</v>
      </c>
      <c r="AO754" s="2" t="b">
        <v>1</v>
      </c>
      <c r="AX754" s="2" t="b">
        <v>1</v>
      </c>
      <c r="BA754" s="2"/>
      <c r="BB754" s="2" t="b">
        <f>LEN(_xlfn.CONCAT(Table1[[#This Row],[TRACK_TYPE_STANDARD_GAUGE_RAILTYPE_OHLE]:[TRACK_TYPE_MTRO]]))&gt;0</f>
        <v>1</v>
      </c>
      <c r="BC754" s="7">
        <v>25</v>
      </c>
      <c r="BD754" t="s">
        <v>933</v>
      </c>
      <c r="BE754" t="s">
        <v>922</v>
      </c>
      <c r="BF754" t="s">
        <v>940</v>
      </c>
      <c r="BG7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4">
        <v>0</v>
      </c>
      <c r="BI754" t="s">
        <v>734</v>
      </c>
      <c r="BK754" s="11"/>
      <c r="BL754" s="11">
        <v>45</v>
      </c>
      <c r="BM754">
        <v>0</v>
      </c>
      <c r="BN754" t="s">
        <v>692</v>
      </c>
      <c r="BO754" t="s">
        <v>694</v>
      </c>
      <c r="BP754" t="s">
        <v>701</v>
      </c>
      <c r="BQ754" t="s">
        <v>705</v>
      </c>
      <c r="BR754" t="s">
        <v>706</v>
      </c>
      <c r="BS754" t="s">
        <v>707</v>
      </c>
    </row>
    <row r="755" spans="1:71" x14ac:dyDescent="0.4">
      <c r="A755" s="2" t="s">
        <v>810</v>
      </c>
      <c r="B755" t="str">
        <f>_xlfn.TEXTAFTER(Table1[[#This Row],[VEHIDCODE]],"_")</f>
        <v>Coach_Gen3_UIC_X_Mail_Coach</v>
      </c>
      <c r="C755" t="s">
        <v>757</v>
      </c>
      <c r="D755" t="b">
        <f>OR(ISNUMBER(SEARCH("wagon_",Table1[[#This Row],[FILENAMES_EXPECTED]])),ISNUMBER(SEARCH("coach_",Table1[[#This Row],[FILENAMES_EXPECTED]])))</f>
        <v>1</v>
      </c>
      <c r="E755" t="str">
        <f>"item_"&amp;Table1[[#This Row],[VEHIDCODE]]</f>
        <v>item_mu_Coach_Gen3_UIC_X_Mail_Coach</v>
      </c>
      <c r="F755" t="str">
        <f>"str_"&amp;Table1[[#This Row],[VEHIDCODE]]</f>
        <v>str_mu_Coach_Gen3_UIC_X_Mail_Coach</v>
      </c>
      <c r="G755">
        <v>8</v>
      </c>
      <c r="H755" t="s">
        <v>674</v>
      </c>
      <c r="I755">
        <v>0</v>
      </c>
      <c r="J755" t="s">
        <v>35</v>
      </c>
      <c r="K755">
        <v>96</v>
      </c>
      <c r="L755">
        <v>1950</v>
      </c>
      <c r="M755">
        <v>8</v>
      </c>
      <c r="N755" s="2" t="s">
        <v>675</v>
      </c>
      <c r="O755" t="b">
        <v>1</v>
      </c>
      <c r="Q755" s="2"/>
      <c r="R755">
        <v>50</v>
      </c>
      <c r="S755">
        <v>1</v>
      </c>
      <c r="T755">
        <v>0</v>
      </c>
      <c r="U755" t="s">
        <v>711</v>
      </c>
      <c r="V755">
        <v>140</v>
      </c>
      <c r="W755" s="2">
        <v>0.3</v>
      </c>
      <c r="AF755" s="2" t="b">
        <v>1</v>
      </c>
      <c r="AO755" s="2" t="b">
        <v>1</v>
      </c>
      <c r="AX755" s="2" t="b">
        <v>1</v>
      </c>
      <c r="BA755" s="2"/>
      <c r="BB755" s="2" t="b">
        <f>LEN(_xlfn.CONCAT(Table1[[#This Row],[TRACK_TYPE_STANDARD_GAUGE_RAILTYPE_OHLE]:[TRACK_TYPE_MTRO]]))&gt;0</f>
        <v>1</v>
      </c>
      <c r="BC755" s="7">
        <v>25</v>
      </c>
      <c r="BD755" t="s">
        <v>933</v>
      </c>
      <c r="BE755" t="s">
        <v>922</v>
      </c>
      <c r="BF755" t="s">
        <v>940</v>
      </c>
      <c r="BG7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5">
        <v>0</v>
      </c>
      <c r="BI755" t="s">
        <v>734</v>
      </c>
      <c r="BK755" s="11"/>
      <c r="BL755" s="11">
        <v>34</v>
      </c>
      <c r="BM755">
        <v>0</v>
      </c>
      <c r="BN755" t="s">
        <v>692</v>
      </c>
      <c r="BO755" t="s">
        <v>694</v>
      </c>
      <c r="BP755" t="s">
        <v>701</v>
      </c>
      <c r="BQ755" t="s">
        <v>705</v>
      </c>
      <c r="BR755" t="s">
        <v>706</v>
      </c>
      <c r="BS755" t="s">
        <v>707</v>
      </c>
    </row>
    <row r="756" spans="1:71" x14ac:dyDescent="0.4">
      <c r="A756" s="2" t="s">
        <v>811</v>
      </c>
      <c r="B756" t="str">
        <f>_xlfn.TEXTAFTER(Table1[[#This Row],[VEHIDCODE]],"_")</f>
        <v>Coach_Gen3_Indian_Intercity_Coach</v>
      </c>
      <c r="C756" t="s">
        <v>757</v>
      </c>
      <c r="D756" t="b">
        <f>OR(ISNUMBER(SEARCH("wagon_",Table1[[#This Row],[FILENAMES_EXPECTED]])),ISNUMBER(SEARCH("coach_",Table1[[#This Row],[FILENAMES_EXPECTED]])))</f>
        <v>1</v>
      </c>
      <c r="E756" t="str">
        <f>"item_"&amp;Table1[[#This Row],[VEHIDCODE]]</f>
        <v>item_mu_Coach_Gen3_Indian_Intercity_Coach</v>
      </c>
      <c r="F756" t="str">
        <f>"str_"&amp;Table1[[#This Row],[VEHIDCODE]]</f>
        <v>str_mu_Coach_Gen3_Indian_Intercity_Coach</v>
      </c>
      <c r="G756">
        <v>8</v>
      </c>
      <c r="H756" t="s">
        <v>326</v>
      </c>
      <c r="I756">
        <v>0</v>
      </c>
      <c r="J756" t="s">
        <v>35</v>
      </c>
      <c r="K756">
        <v>64</v>
      </c>
      <c r="L756">
        <v>1950</v>
      </c>
      <c r="M756">
        <v>8</v>
      </c>
      <c r="N756" s="2" t="s">
        <v>480</v>
      </c>
      <c r="O756" t="b">
        <v>1</v>
      </c>
      <c r="Q756" s="2"/>
      <c r="R756">
        <v>60</v>
      </c>
      <c r="S756">
        <v>1</v>
      </c>
      <c r="T756">
        <v>0</v>
      </c>
      <c r="U756" t="s">
        <v>711</v>
      </c>
      <c r="V756">
        <v>140</v>
      </c>
      <c r="W756" s="2">
        <v>0.3</v>
      </c>
      <c r="AF756" s="2" t="b">
        <v>1</v>
      </c>
      <c r="AO756" s="2" t="b">
        <v>1</v>
      </c>
      <c r="AX756" s="2" t="b">
        <v>1</v>
      </c>
      <c r="BA756" s="2"/>
      <c r="BB756" s="2" t="b">
        <f>LEN(_xlfn.CONCAT(Table1[[#This Row],[TRACK_TYPE_STANDARD_GAUGE_RAILTYPE_OHLE]:[TRACK_TYPE_MTRO]]))&gt;0</f>
        <v>1</v>
      </c>
      <c r="BC756" s="7">
        <v>25</v>
      </c>
      <c r="BD756" t="s">
        <v>931</v>
      </c>
      <c r="BE756" t="s">
        <v>922</v>
      </c>
      <c r="BF756" t="s">
        <v>940</v>
      </c>
      <c r="BG7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6">
        <v>0</v>
      </c>
      <c r="BI756" t="s">
        <v>734</v>
      </c>
      <c r="BK756" s="11"/>
      <c r="BL756" s="11">
        <v>38</v>
      </c>
      <c r="BM756">
        <v>0</v>
      </c>
      <c r="BN756" t="s">
        <v>692</v>
      </c>
      <c r="BO756" t="s">
        <v>694</v>
      </c>
      <c r="BP756" t="s">
        <v>701</v>
      </c>
      <c r="BQ756" t="s">
        <v>705</v>
      </c>
      <c r="BR756" t="s">
        <v>706</v>
      </c>
      <c r="BS756" t="s">
        <v>707</v>
      </c>
    </row>
    <row r="757" spans="1:71" x14ac:dyDescent="0.4">
      <c r="A757" s="2" t="s">
        <v>812</v>
      </c>
      <c r="B757" t="str">
        <f>_xlfn.TEXTAFTER(Table1[[#This Row],[VEHIDCODE]],"_")</f>
        <v>Coach_Gen3_Indian_Local_Coach</v>
      </c>
      <c r="C757" t="s">
        <v>757</v>
      </c>
      <c r="D757" t="b">
        <f>OR(ISNUMBER(SEARCH("wagon_",Table1[[#This Row],[FILENAMES_EXPECTED]])),ISNUMBER(SEARCH("coach_",Table1[[#This Row],[FILENAMES_EXPECTED]])))</f>
        <v>1</v>
      </c>
      <c r="E757" t="str">
        <f>"item_"&amp;Table1[[#This Row],[VEHIDCODE]]</f>
        <v>item_mu_Coach_Gen3_Indian_Local_Coach</v>
      </c>
      <c r="F757" t="str">
        <f>"str_"&amp;Table1[[#This Row],[VEHIDCODE]]</f>
        <v>str_mu_Coach_Gen3_Indian_Local_Coach</v>
      </c>
      <c r="G757">
        <v>8</v>
      </c>
      <c r="H757" t="s">
        <v>326</v>
      </c>
      <c r="I757">
        <v>0</v>
      </c>
      <c r="J757" t="s">
        <v>35</v>
      </c>
      <c r="K757">
        <v>100</v>
      </c>
      <c r="L757">
        <v>1950</v>
      </c>
      <c r="M757">
        <v>8</v>
      </c>
      <c r="N757" s="2" t="s">
        <v>24</v>
      </c>
      <c r="O757" t="b">
        <v>1</v>
      </c>
      <c r="Q757" s="2"/>
      <c r="R757">
        <v>60</v>
      </c>
      <c r="S757">
        <v>1</v>
      </c>
      <c r="T757">
        <v>0</v>
      </c>
      <c r="U757" t="s">
        <v>711</v>
      </c>
      <c r="V757">
        <v>80</v>
      </c>
      <c r="W757" s="2">
        <v>0.3</v>
      </c>
      <c r="AF757" s="2" t="b">
        <v>1</v>
      </c>
      <c r="AO757" s="2" t="b">
        <v>1</v>
      </c>
      <c r="AX757" s="2" t="b">
        <v>1</v>
      </c>
      <c r="BA757" s="2"/>
      <c r="BB757" s="2" t="b">
        <f>LEN(_xlfn.CONCAT(Table1[[#This Row],[TRACK_TYPE_STANDARD_GAUGE_RAILTYPE_OHLE]:[TRACK_TYPE_MTRO]]))&gt;0</f>
        <v>1</v>
      </c>
      <c r="BC757" s="7">
        <v>25</v>
      </c>
      <c r="BD757" t="s">
        <v>931</v>
      </c>
      <c r="BE757" t="s">
        <v>922</v>
      </c>
      <c r="BF757" t="s">
        <v>940</v>
      </c>
      <c r="BG7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7">
        <v>0</v>
      </c>
      <c r="BI757" t="s">
        <v>734</v>
      </c>
      <c r="BK757" s="11"/>
      <c r="BL757" s="11">
        <v>38</v>
      </c>
      <c r="BM757">
        <v>0</v>
      </c>
      <c r="BN757" t="s">
        <v>692</v>
      </c>
      <c r="BO757" t="s">
        <v>694</v>
      </c>
      <c r="BP757" t="s">
        <v>701</v>
      </c>
      <c r="BQ757" t="s">
        <v>705</v>
      </c>
      <c r="BR757" t="s">
        <v>706</v>
      </c>
      <c r="BS757" t="s">
        <v>707</v>
      </c>
    </row>
    <row r="758" spans="1:71" x14ac:dyDescent="0.4">
      <c r="A758" s="2" t="s">
        <v>813</v>
      </c>
      <c r="B758" t="str">
        <f>_xlfn.TEXTAFTER(Table1[[#This Row],[VEHIDCODE]],"_")</f>
        <v>Coach_Gen3_Indian_Regional_Coach</v>
      </c>
      <c r="C758" t="s">
        <v>757</v>
      </c>
      <c r="D758" t="b">
        <f>OR(ISNUMBER(SEARCH("wagon_",Table1[[#This Row],[FILENAMES_EXPECTED]])),ISNUMBER(SEARCH("coach_",Table1[[#This Row],[FILENAMES_EXPECTED]])))</f>
        <v>1</v>
      </c>
      <c r="E758" t="str">
        <f>"item_"&amp;Table1[[#This Row],[VEHIDCODE]]</f>
        <v>item_mu_Coach_Gen3_Indian_Regional_Coach</v>
      </c>
      <c r="F758" t="str">
        <f>"str_"&amp;Table1[[#This Row],[VEHIDCODE]]</f>
        <v>str_mu_Coach_Gen3_Indian_Regional_Coach</v>
      </c>
      <c r="G758">
        <v>8</v>
      </c>
      <c r="H758" t="s">
        <v>326</v>
      </c>
      <c r="I758">
        <v>0</v>
      </c>
      <c r="J758" t="s">
        <v>35</v>
      </c>
      <c r="K758">
        <v>80</v>
      </c>
      <c r="L758">
        <v>1950</v>
      </c>
      <c r="M758">
        <v>8</v>
      </c>
      <c r="N758" s="2" t="s">
        <v>480</v>
      </c>
      <c r="O758" t="b">
        <v>1</v>
      </c>
      <c r="Q758" s="2"/>
      <c r="R758">
        <v>60</v>
      </c>
      <c r="S758">
        <v>1</v>
      </c>
      <c r="T758">
        <v>0</v>
      </c>
      <c r="U758" t="s">
        <v>711</v>
      </c>
      <c r="V758">
        <v>110</v>
      </c>
      <c r="W758" s="2">
        <v>0.3</v>
      </c>
      <c r="AF758" s="2" t="b">
        <v>1</v>
      </c>
      <c r="AO758" s="2" t="b">
        <v>1</v>
      </c>
      <c r="AX758" s="2" t="b">
        <v>1</v>
      </c>
      <c r="BA758" s="2"/>
      <c r="BB758" s="2" t="b">
        <f>LEN(_xlfn.CONCAT(Table1[[#This Row],[TRACK_TYPE_STANDARD_GAUGE_RAILTYPE_OHLE]:[TRACK_TYPE_MTRO]]))&gt;0</f>
        <v>1</v>
      </c>
      <c r="BC758" s="7">
        <v>25</v>
      </c>
      <c r="BD758" t="s">
        <v>931</v>
      </c>
      <c r="BE758" t="s">
        <v>922</v>
      </c>
      <c r="BF758" t="s">
        <v>940</v>
      </c>
      <c r="BG7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8">
        <v>0</v>
      </c>
      <c r="BI758" t="s">
        <v>734</v>
      </c>
      <c r="BK758" s="11"/>
      <c r="BL758" s="11">
        <v>38</v>
      </c>
      <c r="BM758">
        <v>0</v>
      </c>
      <c r="BN758" t="s">
        <v>692</v>
      </c>
      <c r="BO758" t="s">
        <v>694</v>
      </c>
      <c r="BP758" t="s">
        <v>701</v>
      </c>
      <c r="BQ758" t="s">
        <v>705</v>
      </c>
      <c r="BR758" t="s">
        <v>706</v>
      </c>
      <c r="BS758" t="s">
        <v>707</v>
      </c>
    </row>
    <row r="759" spans="1:71" x14ac:dyDescent="0.4">
      <c r="A759" s="2" t="s">
        <v>814</v>
      </c>
      <c r="B759" t="str">
        <f>_xlfn.TEXTAFTER(Table1[[#This Row],[VEHIDCODE]],"_")</f>
        <v>Coach_Gen3_Indian_Mail_Coach</v>
      </c>
      <c r="C759" t="s">
        <v>757</v>
      </c>
      <c r="D759" t="b">
        <f>OR(ISNUMBER(SEARCH("wagon_",Table1[[#This Row],[FILENAMES_EXPECTED]])),ISNUMBER(SEARCH("coach_",Table1[[#This Row],[FILENAMES_EXPECTED]])))</f>
        <v>1</v>
      </c>
      <c r="E759" t="str">
        <f>"item_"&amp;Table1[[#This Row],[VEHIDCODE]]</f>
        <v>item_mu_Coach_Gen3_Indian_Mail_Coach</v>
      </c>
      <c r="F759" t="str">
        <f>"str_"&amp;Table1[[#This Row],[VEHIDCODE]]</f>
        <v>str_mu_Coach_Gen3_Indian_Mail_Coach</v>
      </c>
      <c r="G759">
        <v>8</v>
      </c>
      <c r="H759" t="s">
        <v>674</v>
      </c>
      <c r="I759">
        <v>0</v>
      </c>
      <c r="J759" t="s">
        <v>35</v>
      </c>
      <c r="K759">
        <v>60</v>
      </c>
      <c r="L759">
        <v>1950</v>
      </c>
      <c r="M759">
        <v>8</v>
      </c>
      <c r="N759" s="2" t="s">
        <v>675</v>
      </c>
      <c r="O759" t="b">
        <v>1</v>
      </c>
      <c r="Q759" s="2"/>
      <c r="R759">
        <v>60</v>
      </c>
      <c r="S759">
        <v>1</v>
      </c>
      <c r="T759">
        <v>0</v>
      </c>
      <c r="U759" t="s">
        <v>711</v>
      </c>
      <c r="V759">
        <v>140</v>
      </c>
      <c r="W759" s="2">
        <v>0.3</v>
      </c>
      <c r="AF759" s="2" t="b">
        <v>1</v>
      </c>
      <c r="AO759" s="2" t="b">
        <v>1</v>
      </c>
      <c r="AX759" s="2" t="b">
        <v>1</v>
      </c>
      <c r="BA759" s="2"/>
      <c r="BB759" s="2" t="b">
        <f>LEN(_xlfn.CONCAT(Table1[[#This Row],[TRACK_TYPE_STANDARD_GAUGE_RAILTYPE_OHLE]:[TRACK_TYPE_MTRO]]))&gt;0</f>
        <v>1</v>
      </c>
      <c r="BC759" s="7">
        <v>25</v>
      </c>
      <c r="BD759" t="s">
        <v>931</v>
      </c>
      <c r="BE759" t="s">
        <v>922</v>
      </c>
      <c r="BF759" t="s">
        <v>940</v>
      </c>
      <c r="BG7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9">
        <v>0</v>
      </c>
      <c r="BI759" t="s">
        <v>734</v>
      </c>
      <c r="BK759" s="11"/>
      <c r="BL759" s="11">
        <v>36</v>
      </c>
      <c r="BM759">
        <v>0</v>
      </c>
      <c r="BN759" t="s">
        <v>692</v>
      </c>
      <c r="BO759" t="s">
        <v>694</v>
      </c>
      <c r="BP759" t="s">
        <v>701</v>
      </c>
      <c r="BQ759" t="s">
        <v>705</v>
      </c>
      <c r="BR759" t="s">
        <v>706</v>
      </c>
      <c r="BS759" t="s">
        <v>707</v>
      </c>
    </row>
    <row r="760" spans="1:71" x14ac:dyDescent="0.4">
      <c r="A760" s="2" t="s">
        <v>815</v>
      </c>
      <c r="B760" t="str">
        <f>_xlfn.TEXTAFTER(Table1[[#This Row],[VEHIDCODE]],"_")</f>
        <v>Coach_Gen4_Eurofima_Intercity_Coach</v>
      </c>
      <c r="C760" t="s">
        <v>758</v>
      </c>
      <c r="D760" t="b">
        <f>OR(ISNUMBER(SEARCH("wagon_",Table1[[#This Row],[FILENAMES_EXPECTED]])),ISNUMBER(SEARCH("coach_",Table1[[#This Row],[FILENAMES_EXPECTED]])))</f>
        <v>1</v>
      </c>
      <c r="E760" t="str">
        <f>"item_"&amp;Table1[[#This Row],[VEHIDCODE]]</f>
        <v>item_mu_Coach_Gen4_Eurofima_Intercity_Coach</v>
      </c>
      <c r="F760" t="str">
        <f>"str_"&amp;Table1[[#This Row],[VEHIDCODE]]</f>
        <v>str_mu_Coach_Gen4_Eurofima_Intercity_Coach</v>
      </c>
      <c r="G760">
        <v>8</v>
      </c>
      <c r="H760" t="s">
        <v>326</v>
      </c>
      <c r="I760">
        <v>0</v>
      </c>
      <c r="J760" t="s">
        <v>35</v>
      </c>
      <c r="K760">
        <v>60</v>
      </c>
      <c r="L760">
        <v>1970</v>
      </c>
      <c r="M760">
        <v>8</v>
      </c>
      <c r="N760" s="2" t="s">
        <v>480</v>
      </c>
      <c r="O760" t="b">
        <v>1</v>
      </c>
      <c r="Q760" s="2"/>
      <c r="R760">
        <v>50</v>
      </c>
      <c r="S760">
        <v>1</v>
      </c>
      <c r="T760">
        <v>0</v>
      </c>
      <c r="U760" t="s">
        <v>711</v>
      </c>
      <c r="V760">
        <v>200</v>
      </c>
      <c r="W760" s="2">
        <v>0.3</v>
      </c>
      <c r="AF760" s="2" t="b">
        <v>1</v>
      </c>
      <c r="AO760" s="2" t="b">
        <v>1</v>
      </c>
      <c r="AX760" s="2" t="b">
        <v>1</v>
      </c>
      <c r="BA760" s="2"/>
      <c r="BB760" s="2" t="b">
        <f>LEN(_xlfn.CONCAT(Table1[[#This Row],[TRACK_TYPE_STANDARD_GAUGE_RAILTYPE_OHLE]:[TRACK_TYPE_MTRO]]))&gt;0</f>
        <v>1</v>
      </c>
      <c r="BC760" s="7">
        <v>25</v>
      </c>
      <c r="BD760" t="s">
        <v>933</v>
      </c>
      <c r="BE760" t="s">
        <v>922</v>
      </c>
      <c r="BF760" t="s">
        <v>940</v>
      </c>
      <c r="BG7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0">
        <v>0</v>
      </c>
      <c r="BI760" t="s">
        <v>734</v>
      </c>
      <c r="BK760" s="11"/>
      <c r="BL760" s="11">
        <v>42</v>
      </c>
      <c r="BM760">
        <v>0</v>
      </c>
      <c r="BN760" t="s">
        <v>692</v>
      </c>
      <c r="BO760" t="s">
        <v>694</v>
      </c>
      <c r="BP760" t="s">
        <v>701</v>
      </c>
      <c r="BQ760" t="s">
        <v>705</v>
      </c>
      <c r="BR760" t="s">
        <v>706</v>
      </c>
      <c r="BS760" t="s">
        <v>707</v>
      </c>
    </row>
    <row r="761" spans="1:71" x14ac:dyDescent="0.4">
      <c r="A761" s="2" t="s">
        <v>816</v>
      </c>
      <c r="B761" t="str">
        <f>_xlfn.TEXTAFTER(Table1[[#This Row],[VEHIDCODE]],"_")</f>
        <v>Coach_Gen4_InterRegio_Coach</v>
      </c>
      <c r="C761" t="s">
        <v>758</v>
      </c>
      <c r="D761" t="b">
        <f>OR(ISNUMBER(SEARCH("wagon_",Table1[[#This Row],[FILENAMES_EXPECTED]])),ISNUMBER(SEARCH("coach_",Table1[[#This Row],[FILENAMES_EXPECTED]])))</f>
        <v>1</v>
      </c>
      <c r="E761" t="str">
        <f>"item_"&amp;Table1[[#This Row],[VEHIDCODE]]</f>
        <v>item_mu_Coach_Gen4_InterRegio_Coach</v>
      </c>
      <c r="F761" t="str">
        <f>"str_"&amp;Table1[[#This Row],[VEHIDCODE]]</f>
        <v>str_mu_Coach_Gen4_InterRegio_Coach</v>
      </c>
      <c r="G761">
        <v>8</v>
      </c>
      <c r="H761" t="s">
        <v>326</v>
      </c>
      <c r="I761">
        <v>0</v>
      </c>
      <c r="J761" t="s">
        <v>35</v>
      </c>
      <c r="K761">
        <v>60</v>
      </c>
      <c r="L761">
        <v>1970</v>
      </c>
      <c r="M761">
        <v>8</v>
      </c>
      <c r="N761" s="2" t="s">
        <v>480</v>
      </c>
      <c r="O761" t="b">
        <v>1</v>
      </c>
      <c r="Q761" s="2"/>
      <c r="R761">
        <v>50</v>
      </c>
      <c r="S761">
        <v>1</v>
      </c>
      <c r="T761">
        <v>0</v>
      </c>
      <c r="U761" t="s">
        <v>711</v>
      </c>
      <c r="V761">
        <v>200</v>
      </c>
      <c r="W761" s="2">
        <v>0.3</v>
      </c>
      <c r="AF761" s="2" t="b">
        <v>1</v>
      </c>
      <c r="AO761" s="2" t="b">
        <v>1</v>
      </c>
      <c r="AX761" s="2" t="b">
        <v>1</v>
      </c>
      <c r="BA761" s="2"/>
      <c r="BB761" s="2" t="b">
        <f>LEN(_xlfn.CONCAT(Table1[[#This Row],[TRACK_TYPE_STANDARD_GAUGE_RAILTYPE_OHLE]:[TRACK_TYPE_MTRO]]))&gt;0</f>
        <v>1</v>
      </c>
      <c r="BC761" s="7">
        <v>25</v>
      </c>
      <c r="BD761" t="s">
        <v>933</v>
      </c>
      <c r="BE761" t="s">
        <v>922</v>
      </c>
      <c r="BF761" t="s">
        <v>940</v>
      </c>
      <c r="BG7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1">
        <v>0</v>
      </c>
      <c r="BI761" t="s">
        <v>734</v>
      </c>
      <c r="BK761" s="11"/>
      <c r="BL761" s="11">
        <v>42</v>
      </c>
      <c r="BM761">
        <v>0</v>
      </c>
      <c r="BN761" t="s">
        <v>692</v>
      </c>
      <c r="BO761" t="s">
        <v>694</v>
      </c>
      <c r="BP761" t="s">
        <v>701</v>
      </c>
      <c r="BQ761" t="s">
        <v>705</v>
      </c>
      <c r="BR761" t="s">
        <v>706</v>
      </c>
      <c r="BS761" t="s">
        <v>707</v>
      </c>
    </row>
    <row r="762" spans="1:71" x14ac:dyDescent="0.4">
      <c r="A762" s="2" t="s">
        <v>817</v>
      </c>
      <c r="B762" t="str">
        <f>_xlfn.TEXTAFTER(Table1[[#This Row],[VEHIDCODE]],"_")</f>
        <v>Coach_Gen4_Silberling_Commuter_Coach</v>
      </c>
      <c r="C762" t="s">
        <v>758</v>
      </c>
      <c r="D762" t="b">
        <f>OR(ISNUMBER(SEARCH("wagon_",Table1[[#This Row],[FILENAMES_EXPECTED]])),ISNUMBER(SEARCH("coach_",Table1[[#This Row],[FILENAMES_EXPECTED]])))</f>
        <v>1</v>
      </c>
      <c r="E762" t="str">
        <f>"item_"&amp;Table1[[#This Row],[VEHIDCODE]]</f>
        <v>item_mu_Coach_Gen4_Silberling_Commuter_Coach</v>
      </c>
      <c r="F762" t="str">
        <f>"str_"&amp;Table1[[#This Row],[VEHIDCODE]]</f>
        <v>str_mu_Coach_Gen4_Silberling_Commuter_Coach</v>
      </c>
      <c r="G762">
        <v>8</v>
      </c>
      <c r="H762" t="s">
        <v>326</v>
      </c>
      <c r="I762">
        <v>0</v>
      </c>
      <c r="J762" t="s">
        <v>35</v>
      </c>
      <c r="K762">
        <v>90</v>
      </c>
      <c r="L762">
        <v>1960</v>
      </c>
      <c r="M762">
        <v>8</v>
      </c>
      <c r="N762" s="2" t="s">
        <v>24</v>
      </c>
      <c r="O762" t="b">
        <v>1</v>
      </c>
      <c r="Q762" s="2"/>
      <c r="R762">
        <v>50</v>
      </c>
      <c r="S762">
        <v>1</v>
      </c>
      <c r="T762">
        <v>0</v>
      </c>
      <c r="U762" t="s">
        <v>711</v>
      </c>
      <c r="V762">
        <v>140</v>
      </c>
      <c r="W762" s="2">
        <v>0.3</v>
      </c>
      <c r="AF762" s="2" t="b">
        <v>1</v>
      </c>
      <c r="AO762" s="2" t="b">
        <v>1</v>
      </c>
      <c r="AX762" s="2" t="b">
        <v>1</v>
      </c>
      <c r="BA762" s="2"/>
      <c r="BB762" s="2" t="b">
        <f>LEN(_xlfn.CONCAT(Table1[[#This Row],[TRACK_TYPE_STANDARD_GAUGE_RAILTYPE_OHLE]:[TRACK_TYPE_MTRO]]))&gt;0</f>
        <v>1</v>
      </c>
      <c r="BC762" s="7">
        <v>25</v>
      </c>
      <c r="BD762" t="s">
        <v>933</v>
      </c>
      <c r="BE762" t="s">
        <v>922</v>
      </c>
      <c r="BF762" t="s">
        <v>940</v>
      </c>
      <c r="BG7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2">
        <v>0</v>
      </c>
      <c r="BI762" t="s">
        <v>734</v>
      </c>
      <c r="BK762" s="11"/>
      <c r="BL762" s="11">
        <v>28</v>
      </c>
      <c r="BM762">
        <v>0</v>
      </c>
      <c r="BN762" t="s">
        <v>692</v>
      </c>
      <c r="BO762" t="s">
        <v>694</v>
      </c>
      <c r="BP762" t="s">
        <v>701</v>
      </c>
      <c r="BQ762" t="s">
        <v>705</v>
      </c>
      <c r="BR762" t="s">
        <v>706</v>
      </c>
      <c r="BS762" t="s">
        <v>707</v>
      </c>
    </row>
    <row r="763" spans="1:71" x14ac:dyDescent="0.4">
      <c r="A763" s="2" t="s">
        <v>818</v>
      </c>
      <c r="B763" t="str">
        <f>_xlfn.TEXTAFTER(Table1[[#This Row],[VEHIDCODE]],"_")</f>
        <v>Coach_Gen4_Eurofima_Mail_Coach</v>
      </c>
      <c r="C763" t="s">
        <v>758</v>
      </c>
      <c r="D763" t="b">
        <f>OR(ISNUMBER(SEARCH("wagon_",Table1[[#This Row],[FILENAMES_EXPECTED]])),ISNUMBER(SEARCH("coach_",Table1[[#This Row],[FILENAMES_EXPECTED]])))</f>
        <v>1</v>
      </c>
      <c r="E763" t="str">
        <f>"item_"&amp;Table1[[#This Row],[VEHIDCODE]]</f>
        <v>item_mu_Coach_Gen4_Eurofima_Mail_Coach</v>
      </c>
      <c r="F763" t="str">
        <f>"str_"&amp;Table1[[#This Row],[VEHIDCODE]]</f>
        <v>str_mu_Coach_Gen4_Eurofima_Mail_Coach</v>
      </c>
      <c r="G763">
        <v>8</v>
      </c>
      <c r="H763" t="s">
        <v>674</v>
      </c>
      <c r="I763">
        <v>0</v>
      </c>
      <c r="J763" t="s">
        <v>35</v>
      </c>
      <c r="K763">
        <v>75</v>
      </c>
      <c r="L763">
        <v>1970</v>
      </c>
      <c r="M763">
        <v>8</v>
      </c>
      <c r="N763" s="2" t="s">
        <v>675</v>
      </c>
      <c r="O763" t="b">
        <v>1</v>
      </c>
      <c r="Q763" s="2"/>
      <c r="R763">
        <v>50</v>
      </c>
      <c r="S763">
        <v>1</v>
      </c>
      <c r="T763">
        <v>0</v>
      </c>
      <c r="U763" t="s">
        <v>711</v>
      </c>
      <c r="V763">
        <v>200</v>
      </c>
      <c r="W763" s="2">
        <v>0.3</v>
      </c>
      <c r="AF763" s="2" t="b">
        <v>1</v>
      </c>
      <c r="AO763" s="2" t="b">
        <v>1</v>
      </c>
      <c r="AX763" s="2" t="b">
        <v>1</v>
      </c>
      <c r="BA763" s="2"/>
      <c r="BB763" s="2" t="b">
        <f>LEN(_xlfn.CONCAT(Table1[[#This Row],[TRACK_TYPE_STANDARD_GAUGE_RAILTYPE_OHLE]:[TRACK_TYPE_MTRO]]))&gt;0</f>
        <v>1</v>
      </c>
      <c r="BC763" s="7">
        <v>25</v>
      </c>
      <c r="BD763" t="s">
        <v>933</v>
      </c>
      <c r="BE763" t="s">
        <v>922</v>
      </c>
      <c r="BF763" t="s">
        <v>940</v>
      </c>
      <c r="BG7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3">
        <v>0</v>
      </c>
      <c r="BI763" t="s">
        <v>734</v>
      </c>
      <c r="BK763" s="11"/>
      <c r="BL763" s="11">
        <v>42</v>
      </c>
      <c r="BM763">
        <v>0</v>
      </c>
      <c r="BN763" t="s">
        <v>692</v>
      </c>
      <c r="BO763" t="s">
        <v>694</v>
      </c>
      <c r="BP763" t="s">
        <v>701</v>
      </c>
      <c r="BQ763" t="s">
        <v>705</v>
      </c>
      <c r="BR763" t="s">
        <v>706</v>
      </c>
      <c r="BS763" t="s">
        <v>707</v>
      </c>
    </row>
    <row r="764" spans="1:71" x14ac:dyDescent="0.4">
      <c r="A764" s="2" t="s">
        <v>819</v>
      </c>
      <c r="B764" t="str">
        <f>_xlfn.TEXTAFTER(Table1[[#This Row],[VEHIDCODE]],"_")</f>
        <v>Coach_Gen4_Double_Decker_Coach</v>
      </c>
      <c r="C764" t="s">
        <v>758</v>
      </c>
      <c r="D764" t="b">
        <f>OR(ISNUMBER(SEARCH("wagon_",Table1[[#This Row],[FILENAMES_EXPECTED]])),ISNUMBER(SEARCH("coach_",Table1[[#This Row],[FILENAMES_EXPECTED]])))</f>
        <v>1</v>
      </c>
      <c r="E764" t="str">
        <f>"item_"&amp;Table1[[#This Row],[VEHIDCODE]]</f>
        <v>item_mu_Coach_Gen4_Double_Decker_Coach</v>
      </c>
      <c r="F764" t="str">
        <f>"str_"&amp;Table1[[#This Row],[VEHIDCODE]]</f>
        <v>str_mu_Coach_Gen4_Double_Decker_Coach</v>
      </c>
      <c r="G764">
        <v>8</v>
      </c>
      <c r="H764" t="s">
        <v>326</v>
      </c>
      <c r="I764">
        <v>0</v>
      </c>
      <c r="J764" t="s">
        <v>35</v>
      </c>
      <c r="K764">
        <v>150</v>
      </c>
      <c r="L764">
        <v>1970</v>
      </c>
      <c r="M764">
        <v>8</v>
      </c>
      <c r="N764" s="2" t="s">
        <v>480</v>
      </c>
      <c r="O764" t="b">
        <v>1</v>
      </c>
      <c r="Q764" s="2"/>
      <c r="R764">
        <v>50</v>
      </c>
      <c r="S764">
        <v>1</v>
      </c>
      <c r="T764">
        <v>0</v>
      </c>
      <c r="U764" t="s">
        <v>711</v>
      </c>
      <c r="V764">
        <v>140</v>
      </c>
      <c r="W764" s="2">
        <v>0.3</v>
      </c>
      <c r="AF764" s="2" t="b">
        <v>1</v>
      </c>
      <c r="AO764" s="2" t="b">
        <v>1</v>
      </c>
      <c r="AX764" s="2" t="b">
        <v>1</v>
      </c>
      <c r="BA764" s="2"/>
      <c r="BB764" s="2" t="b">
        <f>LEN(_xlfn.CONCAT(Table1[[#This Row],[TRACK_TYPE_STANDARD_GAUGE_RAILTYPE_OHLE]:[TRACK_TYPE_MTRO]]))&gt;0</f>
        <v>1</v>
      </c>
      <c r="BC764" s="7">
        <v>25</v>
      </c>
      <c r="BD764" t="s">
        <v>932</v>
      </c>
      <c r="BE764" t="s">
        <v>931</v>
      </c>
      <c r="BF764" t="s">
        <v>940</v>
      </c>
      <c r="BG7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4">
        <v>0</v>
      </c>
      <c r="BI764" t="s">
        <v>734</v>
      </c>
      <c r="BK764" s="11"/>
      <c r="BL764" s="11">
        <v>48</v>
      </c>
      <c r="BM764">
        <v>0</v>
      </c>
      <c r="BN764" t="s">
        <v>692</v>
      </c>
      <c r="BO764" t="s">
        <v>694</v>
      </c>
      <c r="BP764" t="s">
        <v>701</v>
      </c>
      <c r="BQ764" t="s">
        <v>705</v>
      </c>
      <c r="BR764" t="s">
        <v>706</v>
      </c>
      <c r="BS764" t="s">
        <v>707</v>
      </c>
    </row>
    <row r="765" spans="1:71" x14ac:dyDescent="0.4">
      <c r="A765" s="2" t="s">
        <v>820</v>
      </c>
      <c r="B765" t="str">
        <f>_xlfn.TEXTAFTER(Table1[[#This Row],[VEHIDCODE]],"_")</f>
        <v>Coach_Gen4_Russian_Intercity_Coach</v>
      </c>
      <c r="C765" t="s">
        <v>758</v>
      </c>
      <c r="D765" t="b">
        <f>OR(ISNUMBER(SEARCH("wagon_",Table1[[#This Row],[FILENAMES_EXPECTED]])),ISNUMBER(SEARCH("coach_",Table1[[#This Row],[FILENAMES_EXPECTED]])))</f>
        <v>1</v>
      </c>
      <c r="E765" t="str">
        <f>"item_"&amp;Table1[[#This Row],[VEHIDCODE]]</f>
        <v>item_mu_Coach_Gen4_Russian_Intercity_Coach</v>
      </c>
      <c r="F765" t="str">
        <f>"str_"&amp;Table1[[#This Row],[VEHIDCODE]]</f>
        <v>str_mu_Coach_Gen4_Russian_Intercity_Coach</v>
      </c>
      <c r="G765">
        <v>8</v>
      </c>
      <c r="H765" t="s">
        <v>326</v>
      </c>
      <c r="I765">
        <v>0</v>
      </c>
      <c r="J765" t="s">
        <v>35</v>
      </c>
      <c r="K765">
        <v>55</v>
      </c>
      <c r="L765">
        <v>1960</v>
      </c>
      <c r="M765">
        <v>8</v>
      </c>
      <c r="N765" s="2" t="s">
        <v>480</v>
      </c>
      <c r="O765" t="b">
        <v>1</v>
      </c>
      <c r="Q765" s="2"/>
      <c r="R765">
        <v>50</v>
      </c>
      <c r="S765">
        <v>1</v>
      </c>
      <c r="T765">
        <v>0</v>
      </c>
      <c r="U765" t="s">
        <v>711</v>
      </c>
      <c r="V765">
        <v>140</v>
      </c>
      <c r="W765" s="2">
        <v>0.3</v>
      </c>
      <c r="AF765" s="2" t="b">
        <v>1</v>
      </c>
      <c r="AO765" s="2" t="b">
        <v>1</v>
      </c>
      <c r="AX765" s="2" t="b">
        <v>1</v>
      </c>
      <c r="BA765" s="2"/>
      <c r="BB765" s="2" t="b">
        <f>LEN(_xlfn.CONCAT(Table1[[#This Row],[TRACK_TYPE_STANDARD_GAUGE_RAILTYPE_OHLE]:[TRACK_TYPE_MTRO]]))&gt;0</f>
        <v>1</v>
      </c>
      <c r="BC765" s="7">
        <v>25</v>
      </c>
      <c r="BD765" t="s">
        <v>932</v>
      </c>
      <c r="BE765" t="s">
        <v>931</v>
      </c>
      <c r="BF765" t="s">
        <v>940</v>
      </c>
      <c r="BG7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5">
        <v>0</v>
      </c>
      <c r="BI765" t="s">
        <v>734</v>
      </c>
      <c r="BK765" s="11"/>
      <c r="BL765" s="11">
        <v>55</v>
      </c>
      <c r="BM765">
        <v>0</v>
      </c>
      <c r="BN765" t="s">
        <v>692</v>
      </c>
      <c r="BO765" t="s">
        <v>694</v>
      </c>
      <c r="BP765" t="s">
        <v>701</v>
      </c>
      <c r="BQ765" t="s">
        <v>705</v>
      </c>
      <c r="BR765" t="s">
        <v>706</v>
      </c>
      <c r="BS765" t="s">
        <v>707</v>
      </c>
    </row>
    <row r="766" spans="1:71" x14ac:dyDescent="0.4">
      <c r="A766" s="2" t="s">
        <v>821</v>
      </c>
      <c r="B766" t="str">
        <f>_xlfn.TEXTAFTER(Table1[[#This Row],[VEHIDCODE]],"_")</f>
        <v>Coach_Gen4_Russian_Regional_Coach</v>
      </c>
      <c r="C766" t="s">
        <v>758</v>
      </c>
      <c r="D766" t="b">
        <f>OR(ISNUMBER(SEARCH("wagon_",Table1[[#This Row],[FILENAMES_EXPECTED]])),ISNUMBER(SEARCH("coach_",Table1[[#This Row],[FILENAMES_EXPECTED]])))</f>
        <v>1</v>
      </c>
      <c r="E766" t="str">
        <f>"item_"&amp;Table1[[#This Row],[VEHIDCODE]]</f>
        <v>item_mu_Coach_Gen4_Russian_Regional_Coach</v>
      </c>
      <c r="F766" t="str">
        <f>"str_"&amp;Table1[[#This Row],[VEHIDCODE]]</f>
        <v>str_mu_Coach_Gen4_Russian_Regional_Coach</v>
      </c>
      <c r="G766">
        <v>8</v>
      </c>
      <c r="H766" t="s">
        <v>326</v>
      </c>
      <c r="I766">
        <v>0</v>
      </c>
      <c r="J766" t="s">
        <v>35</v>
      </c>
      <c r="K766">
        <v>90</v>
      </c>
      <c r="L766">
        <v>1960</v>
      </c>
      <c r="M766">
        <v>8</v>
      </c>
      <c r="N766" s="2" t="s">
        <v>480</v>
      </c>
      <c r="O766" t="b">
        <v>1</v>
      </c>
      <c r="Q766" s="2"/>
      <c r="R766">
        <v>50</v>
      </c>
      <c r="S766">
        <v>1</v>
      </c>
      <c r="T766">
        <v>0</v>
      </c>
      <c r="U766" t="s">
        <v>711</v>
      </c>
      <c r="V766">
        <v>130</v>
      </c>
      <c r="W766" s="2">
        <v>0.3</v>
      </c>
      <c r="AF766" s="2" t="b">
        <v>1</v>
      </c>
      <c r="AO766" s="2" t="b">
        <v>1</v>
      </c>
      <c r="AX766" s="2" t="b">
        <v>1</v>
      </c>
      <c r="BA766" s="2"/>
      <c r="BB766" s="2" t="b">
        <f>LEN(_xlfn.CONCAT(Table1[[#This Row],[TRACK_TYPE_STANDARD_GAUGE_RAILTYPE_OHLE]:[TRACK_TYPE_MTRO]]))&gt;0</f>
        <v>1</v>
      </c>
      <c r="BC766" s="7">
        <v>25</v>
      </c>
      <c r="BD766" t="s">
        <v>932</v>
      </c>
      <c r="BE766" t="s">
        <v>931</v>
      </c>
      <c r="BF766" t="s">
        <v>940</v>
      </c>
      <c r="BG7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6">
        <v>0</v>
      </c>
      <c r="BI766" t="s">
        <v>734</v>
      </c>
      <c r="BK766" s="11"/>
      <c r="BL766" s="11">
        <v>45</v>
      </c>
      <c r="BM766">
        <v>0</v>
      </c>
      <c r="BN766" t="s">
        <v>692</v>
      </c>
      <c r="BO766" t="s">
        <v>694</v>
      </c>
      <c r="BP766" t="s">
        <v>701</v>
      </c>
      <c r="BQ766" t="s">
        <v>705</v>
      </c>
      <c r="BR766" t="s">
        <v>706</v>
      </c>
      <c r="BS766" t="s">
        <v>707</v>
      </c>
    </row>
    <row r="767" spans="1:71" x14ac:dyDescent="0.4">
      <c r="A767" s="2" t="s">
        <v>822</v>
      </c>
      <c r="B767" t="str">
        <f>_xlfn.TEXTAFTER(Table1[[#This Row],[VEHIDCODE]],"_")</f>
        <v>Coach_Gen4_Russian_Mail_Coach</v>
      </c>
      <c r="C767" t="s">
        <v>758</v>
      </c>
      <c r="D767" t="b">
        <f>OR(ISNUMBER(SEARCH("wagon_",Table1[[#This Row],[FILENAMES_EXPECTED]])),ISNUMBER(SEARCH("coach_",Table1[[#This Row],[FILENAMES_EXPECTED]])))</f>
        <v>1</v>
      </c>
      <c r="E767" t="str">
        <f>"item_"&amp;Table1[[#This Row],[VEHIDCODE]]</f>
        <v>item_mu_Coach_Gen4_Russian_Mail_Coach</v>
      </c>
      <c r="F767" t="str">
        <f>"str_"&amp;Table1[[#This Row],[VEHIDCODE]]</f>
        <v>str_mu_Coach_Gen4_Russian_Mail_Coach</v>
      </c>
      <c r="G767">
        <v>8</v>
      </c>
      <c r="H767" t="s">
        <v>674</v>
      </c>
      <c r="I767">
        <v>0</v>
      </c>
      <c r="J767" t="s">
        <v>35</v>
      </c>
      <c r="K767">
        <v>80</v>
      </c>
      <c r="L767">
        <v>1960</v>
      </c>
      <c r="M767">
        <v>8</v>
      </c>
      <c r="N767" s="2" t="s">
        <v>675</v>
      </c>
      <c r="O767" t="b">
        <v>1</v>
      </c>
      <c r="Q767" s="2"/>
      <c r="R767">
        <v>50</v>
      </c>
      <c r="S767">
        <v>1</v>
      </c>
      <c r="T767">
        <v>0</v>
      </c>
      <c r="U767" t="s">
        <v>711</v>
      </c>
      <c r="V767">
        <v>160</v>
      </c>
      <c r="W767" s="2">
        <v>0.3</v>
      </c>
      <c r="AF767" s="2" t="b">
        <v>1</v>
      </c>
      <c r="AO767" s="2" t="b">
        <v>1</v>
      </c>
      <c r="AX767" s="2" t="b">
        <v>1</v>
      </c>
      <c r="BA767" s="2"/>
      <c r="BB767" s="2" t="b">
        <f>LEN(_xlfn.CONCAT(Table1[[#This Row],[TRACK_TYPE_STANDARD_GAUGE_RAILTYPE_OHLE]:[TRACK_TYPE_MTRO]]))&gt;0</f>
        <v>1</v>
      </c>
      <c r="BC767" s="7">
        <v>25</v>
      </c>
      <c r="BD767" t="s">
        <v>932</v>
      </c>
      <c r="BE767" t="s">
        <v>931</v>
      </c>
      <c r="BF767" t="s">
        <v>940</v>
      </c>
      <c r="BG7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7">
        <v>0</v>
      </c>
      <c r="BI767" t="s">
        <v>734</v>
      </c>
      <c r="BK767" s="11"/>
      <c r="BL767" s="11">
        <v>46</v>
      </c>
      <c r="BM767">
        <v>0</v>
      </c>
      <c r="BN767" t="s">
        <v>692</v>
      </c>
      <c r="BO767" t="s">
        <v>694</v>
      </c>
      <c r="BP767" t="s">
        <v>701</v>
      </c>
      <c r="BQ767" t="s">
        <v>705</v>
      </c>
      <c r="BR767" t="s">
        <v>706</v>
      </c>
      <c r="BS767" t="s">
        <v>707</v>
      </c>
    </row>
    <row r="768" spans="1:71" x14ac:dyDescent="0.4">
      <c r="A768" s="2" t="s">
        <v>823</v>
      </c>
      <c r="B768" t="str">
        <f>_xlfn.TEXTAFTER(Table1[[#This Row],[VEHIDCODE]],"_")</f>
        <v>Coach_Gen4_Superliner_Coach</v>
      </c>
      <c r="C768" t="s">
        <v>758</v>
      </c>
      <c r="D768" t="b">
        <f>OR(ISNUMBER(SEARCH("wagon_",Table1[[#This Row],[FILENAMES_EXPECTED]])),ISNUMBER(SEARCH("coach_",Table1[[#This Row],[FILENAMES_EXPECTED]])))</f>
        <v>1</v>
      </c>
      <c r="E768" t="str">
        <f>"item_"&amp;Table1[[#This Row],[VEHIDCODE]]</f>
        <v>item_mu_Coach_Gen4_Superliner_Coach</v>
      </c>
      <c r="F768" t="str">
        <f>"str_"&amp;Table1[[#This Row],[VEHIDCODE]]</f>
        <v>str_mu_Coach_Gen4_Superliner_Coach</v>
      </c>
      <c r="G768">
        <v>8</v>
      </c>
      <c r="H768" t="s">
        <v>326</v>
      </c>
      <c r="I768">
        <v>0</v>
      </c>
      <c r="J768" t="s">
        <v>35</v>
      </c>
      <c r="K768">
        <v>96</v>
      </c>
      <c r="L768">
        <v>1980</v>
      </c>
      <c r="M768">
        <v>8</v>
      </c>
      <c r="N768" s="2" t="s">
        <v>480</v>
      </c>
      <c r="O768" t="b">
        <v>1</v>
      </c>
      <c r="Q768" s="2"/>
      <c r="R768">
        <v>50</v>
      </c>
      <c r="S768">
        <v>1</v>
      </c>
      <c r="T768">
        <v>0</v>
      </c>
      <c r="U768" t="s">
        <v>711</v>
      </c>
      <c r="V768">
        <v>160</v>
      </c>
      <c r="W768" s="2">
        <v>0.3</v>
      </c>
      <c r="AF768" s="2" t="b">
        <v>1</v>
      </c>
      <c r="AO768" s="2" t="b">
        <v>1</v>
      </c>
      <c r="AX768" s="2" t="b">
        <v>1</v>
      </c>
      <c r="BA768" s="2"/>
      <c r="BB768" s="2" t="b">
        <f>LEN(_xlfn.CONCAT(Table1[[#This Row],[TRACK_TYPE_STANDARD_GAUGE_RAILTYPE_OHLE]:[TRACK_TYPE_MTRO]]))&gt;0</f>
        <v>1</v>
      </c>
      <c r="BC768" s="7">
        <v>25</v>
      </c>
      <c r="BD768" t="s">
        <v>935</v>
      </c>
      <c r="BE768" t="s">
        <v>925</v>
      </c>
      <c r="BF768" t="s">
        <v>940</v>
      </c>
      <c r="BG7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8">
        <v>0</v>
      </c>
      <c r="BI768" t="s">
        <v>734</v>
      </c>
      <c r="BK768" s="11"/>
      <c r="BL768" s="11">
        <v>67</v>
      </c>
      <c r="BM768">
        <v>0</v>
      </c>
      <c r="BN768" t="s">
        <v>692</v>
      </c>
      <c r="BO768" t="s">
        <v>694</v>
      </c>
      <c r="BP768" t="s">
        <v>701</v>
      </c>
      <c r="BQ768" t="s">
        <v>705</v>
      </c>
      <c r="BR768" t="s">
        <v>706</v>
      </c>
      <c r="BS768" t="s">
        <v>707</v>
      </c>
    </row>
    <row r="769" spans="1:71" x14ac:dyDescent="0.4">
      <c r="A769" s="2" t="s">
        <v>824</v>
      </c>
      <c r="B769" t="str">
        <f>_xlfn.TEXTAFTER(Table1[[#This Row],[VEHIDCODE]],"_")</f>
        <v>Coach_Gen4_Superliner_California</v>
      </c>
      <c r="C769" t="s">
        <v>758</v>
      </c>
      <c r="D769" t="b">
        <f>OR(ISNUMBER(SEARCH("wagon_",Table1[[#This Row],[FILENAMES_EXPECTED]])),ISNUMBER(SEARCH("coach_",Table1[[#This Row],[FILENAMES_EXPECTED]])))</f>
        <v>1</v>
      </c>
      <c r="E769" t="str">
        <f>"item_"&amp;Table1[[#This Row],[VEHIDCODE]]</f>
        <v>item_mu_Coach_Gen4_Superliner_California</v>
      </c>
      <c r="F769" t="str">
        <f>"str_"&amp;Table1[[#This Row],[VEHIDCODE]]</f>
        <v>str_mu_Coach_Gen4_Superliner_California</v>
      </c>
      <c r="G769">
        <v>8</v>
      </c>
      <c r="H769" t="s">
        <v>326</v>
      </c>
      <c r="I769">
        <v>0</v>
      </c>
      <c r="J769" t="s">
        <v>35</v>
      </c>
      <c r="K769">
        <v>80</v>
      </c>
      <c r="L769">
        <v>1990</v>
      </c>
      <c r="M769">
        <v>8</v>
      </c>
      <c r="N769" s="2" t="s">
        <v>480</v>
      </c>
      <c r="O769" t="b">
        <v>1</v>
      </c>
      <c r="Q769" s="2"/>
      <c r="R769">
        <v>50</v>
      </c>
      <c r="S769">
        <v>1</v>
      </c>
      <c r="T769">
        <v>0</v>
      </c>
      <c r="U769" t="s">
        <v>711</v>
      </c>
      <c r="V769">
        <v>200</v>
      </c>
      <c r="W769" s="2">
        <v>0.3</v>
      </c>
      <c r="AF769" s="2" t="b">
        <v>1</v>
      </c>
      <c r="AO769" s="2" t="b">
        <v>1</v>
      </c>
      <c r="AX769" s="2" t="b">
        <v>1</v>
      </c>
      <c r="BA769" s="2"/>
      <c r="BB769" s="2" t="b">
        <f>LEN(_xlfn.CONCAT(Table1[[#This Row],[TRACK_TYPE_STANDARD_GAUGE_RAILTYPE_OHLE]:[TRACK_TYPE_MTRO]]))&gt;0</f>
        <v>1</v>
      </c>
      <c r="BC769" s="7">
        <v>25</v>
      </c>
      <c r="BD769" t="s">
        <v>935</v>
      </c>
      <c r="BE769" t="s">
        <v>925</v>
      </c>
      <c r="BF769" t="s">
        <v>940</v>
      </c>
      <c r="BG7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9">
        <v>0</v>
      </c>
      <c r="BI769" t="s">
        <v>734</v>
      </c>
      <c r="BK769" s="11"/>
      <c r="BL769" s="11">
        <v>67</v>
      </c>
      <c r="BM769">
        <v>0</v>
      </c>
      <c r="BN769" t="s">
        <v>692</v>
      </c>
      <c r="BO769" t="s">
        <v>694</v>
      </c>
      <c r="BP769" t="s">
        <v>701</v>
      </c>
      <c r="BQ769" t="s">
        <v>705</v>
      </c>
      <c r="BR769" t="s">
        <v>706</v>
      </c>
      <c r="BS769" t="s">
        <v>707</v>
      </c>
    </row>
    <row r="770" spans="1:71" x14ac:dyDescent="0.4">
      <c r="A770" s="2" t="s">
        <v>825</v>
      </c>
      <c r="B770" t="str">
        <f>_xlfn.TEXTAFTER(Table1[[#This Row],[VEHIDCODE]],"_")</f>
        <v>Coach_Gen4_Amfleet_Regional_Coach</v>
      </c>
      <c r="C770" t="s">
        <v>758</v>
      </c>
      <c r="D770" t="b">
        <f>OR(ISNUMBER(SEARCH("wagon_",Table1[[#This Row],[FILENAMES_EXPECTED]])),ISNUMBER(SEARCH("coach_",Table1[[#This Row],[FILENAMES_EXPECTED]])))</f>
        <v>1</v>
      </c>
      <c r="E770" t="str">
        <f>"item_"&amp;Table1[[#This Row],[VEHIDCODE]]</f>
        <v>item_mu_Coach_Gen4_Amfleet_Regional_Coach</v>
      </c>
      <c r="F770" t="str">
        <f>"str_"&amp;Table1[[#This Row],[VEHIDCODE]]</f>
        <v>str_mu_Coach_Gen4_Amfleet_Regional_Coach</v>
      </c>
      <c r="G770">
        <v>8</v>
      </c>
      <c r="H770" t="s">
        <v>326</v>
      </c>
      <c r="I770">
        <v>0</v>
      </c>
      <c r="J770" t="s">
        <v>35</v>
      </c>
      <c r="K770">
        <v>84</v>
      </c>
      <c r="L770">
        <v>1970</v>
      </c>
      <c r="M770">
        <v>8</v>
      </c>
      <c r="N770" s="2" t="s">
        <v>480</v>
      </c>
      <c r="O770" t="b">
        <v>1</v>
      </c>
      <c r="Q770" s="2"/>
      <c r="R770">
        <v>60</v>
      </c>
      <c r="S770">
        <v>1</v>
      </c>
      <c r="T770">
        <v>0</v>
      </c>
      <c r="U770" t="s">
        <v>711</v>
      </c>
      <c r="V770">
        <v>200</v>
      </c>
      <c r="W770" s="2">
        <v>0.3</v>
      </c>
      <c r="AF770" s="2" t="b">
        <v>1</v>
      </c>
      <c r="AO770" s="2" t="b">
        <v>1</v>
      </c>
      <c r="AX770" s="2" t="b">
        <v>1</v>
      </c>
      <c r="BA770" s="2"/>
      <c r="BB770" s="2" t="b">
        <f>LEN(_xlfn.CONCAT(Table1[[#This Row],[TRACK_TYPE_STANDARD_GAUGE_RAILTYPE_OHLE]:[TRACK_TYPE_MTRO]]))&gt;0</f>
        <v>1</v>
      </c>
      <c r="BC770" s="7">
        <v>25</v>
      </c>
      <c r="BD770" t="s">
        <v>935</v>
      </c>
      <c r="BE770" t="s">
        <v>925</v>
      </c>
      <c r="BF770" t="s">
        <v>940</v>
      </c>
      <c r="BG7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0">
        <v>0</v>
      </c>
      <c r="BI770" t="s">
        <v>734</v>
      </c>
      <c r="BK770" s="11"/>
      <c r="BL770" s="11">
        <v>50</v>
      </c>
      <c r="BM770">
        <v>0</v>
      </c>
      <c r="BN770" t="s">
        <v>692</v>
      </c>
      <c r="BO770" t="s">
        <v>694</v>
      </c>
      <c r="BP770" t="s">
        <v>701</v>
      </c>
      <c r="BQ770" t="s">
        <v>705</v>
      </c>
      <c r="BR770" t="s">
        <v>706</v>
      </c>
      <c r="BS770" t="s">
        <v>707</v>
      </c>
    </row>
    <row r="771" spans="1:71" x14ac:dyDescent="0.4">
      <c r="A771" s="2" t="s">
        <v>826</v>
      </c>
      <c r="B771" t="str">
        <f>_xlfn.TEXTAFTER(Table1[[#This Row],[VEHIDCODE]],"_")</f>
        <v>Coach_Gen4_Amfleet_Intercity_Coach</v>
      </c>
      <c r="C771" t="s">
        <v>758</v>
      </c>
      <c r="D771" t="b">
        <f>OR(ISNUMBER(SEARCH("wagon_",Table1[[#This Row],[FILENAMES_EXPECTED]])),ISNUMBER(SEARCH("coach_",Table1[[#This Row],[FILENAMES_EXPECTED]])))</f>
        <v>1</v>
      </c>
      <c r="E771" t="str">
        <f>"item_"&amp;Table1[[#This Row],[VEHIDCODE]]</f>
        <v>item_mu_Coach_Gen4_Amfleet_Intercity_Coach</v>
      </c>
      <c r="F771" t="str">
        <f>"str_"&amp;Table1[[#This Row],[VEHIDCODE]]</f>
        <v>str_mu_Coach_Gen4_Amfleet_Intercity_Coach</v>
      </c>
      <c r="G771">
        <v>8</v>
      </c>
      <c r="H771" t="s">
        <v>326</v>
      </c>
      <c r="I771">
        <v>0</v>
      </c>
      <c r="J771" t="s">
        <v>35</v>
      </c>
      <c r="K771">
        <v>60</v>
      </c>
      <c r="L771">
        <v>1970</v>
      </c>
      <c r="M771">
        <v>8</v>
      </c>
      <c r="N771" s="2" t="s">
        <v>480</v>
      </c>
      <c r="O771" t="b">
        <v>1</v>
      </c>
      <c r="Q771" s="2"/>
      <c r="R771">
        <v>60</v>
      </c>
      <c r="S771">
        <v>1</v>
      </c>
      <c r="T771">
        <v>0</v>
      </c>
      <c r="U771" t="s">
        <v>711</v>
      </c>
      <c r="V771">
        <v>200</v>
      </c>
      <c r="W771" s="2">
        <v>0.3</v>
      </c>
      <c r="AF771" s="2" t="b">
        <v>1</v>
      </c>
      <c r="AO771" s="2" t="b">
        <v>1</v>
      </c>
      <c r="AX771" s="2" t="b">
        <v>1</v>
      </c>
      <c r="BA771" s="2"/>
      <c r="BB771" s="2" t="b">
        <f>LEN(_xlfn.CONCAT(Table1[[#This Row],[TRACK_TYPE_STANDARD_GAUGE_RAILTYPE_OHLE]:[TRACK_TYPE_MTRO]]))&gt;0</f>
        <v>1</v>
      </c>
      <c r="BC771" s="7">
        <v>25</v>
      </c>
      <c r="BD771" t="s">
        <v>935</v>
      </c>
      <c r="BE771" t="s">
        <v>925</v>
      </c>
      <c r="BF771" t="s">
        <v>940</v>
      </c>
      <c r="BG7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1">
        <v>0</v>
      </c>
      <c r="BI771" t="s">
        <v>734</v>
      </c>
      <c r="BK771" s="11"/>
      <c r="BL771" s="11">
        <v>50</v>
      </c>
      <c r="BM771">
        <v>0</v>
      </c>
      <c r="BN771" t="s">
        <v>692</v>
      </c>
      <c r="BO771" t="s">
        <v>694</v>
      </c>
      <c r="BP771" t="s">
        <v>701</v>
      </c>
      <c r="BQ771" t="s">
        <v>705</v>
      </c>
      <c r="BR771" t="s">
        <v>706</v>
      </c>
      <c r="BS771" t="s">
        <v>707</v>
      </c>
    </row>
    <row r="772" spans="1:71" x14ac:dyDescent="0.4">
      <c r="A772" s="2" t="s">
        <v>827</v>
      </c>
      <c r="B772" t="str">
        <f>_xlfn.TEXTAFTER(Table1[[#This Row],[VEHIDCODE]],"_")</f>
        <v>Coach_Gen4_Comet_Commuter_Coach</v>
      </c>
      <c r="C772" t="s">
        <v>758</v>
      </c>
      <c r="D772" t="b">
        <f>OR(ISNUMBER(SEARCH("wagon_",Table1[[#This Row],[FILENAMES_EXPECTED]])),ISNUMBER(SEARCH("coach_",Table1[[#This Row],[FILENAMES_EXPECTED]])))</f>
        <v>1</v>
      </c>
      <c r="E772" t="str">
        <f>"item_"&amp;Table1[[#This Row],[VEHIDCODE]]</f>
        <v>item_mu_Coach_Gen4_Comet_Commuter_Coach</v>
      </c>
      <c r="F772" t="str">
        <f>"str_"&amp;Table1[[#This Row],[VEHIDCODE]]</f>
        <v>str_mu_Coach_Gen4_Comet_Commuter_Coach</v>
      </c>
      <c r="G772">
        <v>8</v>
      </c>
      <c r="H772" t="s">
        <v>326</v>
      </c>
      <c r="I772">
        <v>0</v>
      </c>
      <c r="J772" t="s">
        <v>35</v>
      </c>
      <c r="K772">
        <v>105</v>
      </c>
      <c r="L772">
        <v>1970</v>
      </c>
      <c r="M772">
        <v>8</v>
      </c>
      <c r="N772" s="2" t="s">
        <v>24</v>
      </c>
      <c r="O772" t="b">
        <v>1</v>
      </c>
      <c r="Q772" s="2"/>
      <c r="R772">
        <v>60</v>
      </c>
      <c r="S772">
        <v>1</v>
      </c>
      <c r="T772">
        <v>0</v>
      </c>
      <c r="U772" t="s">
        <v>711</v>
      </c>
      <c r="V772">
        <v>128</v>
      </c>
      <c r="W772" s="2">
        <v>0.3</v>
      </c>
      <c r="AF772" s="2" t="b">
        <v>1</v>
      </c>
      <c r="AO772" s="2" t="b">
        <v>1</v>
      </c>
      <c r="AX772" s="2" t="b">
        <v>1</v>
      </c>
      <c r="BA772" s="2"/>
      <c r="BB772" s="2" t="b">
        <f>LEN(_xlfn.CONCAT(Table1[[#This Row],[TRACK_TYPE_STANDARD_GAUGE_RAILTYPE_OHLE]:[TRACK_TYPE_MTRO]]))&gt;0</f>
        <v>1</v>
      </c>
      <c r="BC772" s="7">
        <v>25</v>
      </c>
      <c r="BD772" t="s">
        <v>935</v>
      </c>
      <c r="BE772" t="s">
        <v>925</v>
      </c>
      <c r="BF772" t="s">
        <v>940</v>
      </c>
      <c r="BG7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2">
        <v>0</v>
      </c>
      <c r="BI772" t="s">
        <v>734</v>
      </c>
      <c r="BK772" s="11"/>
      <c r="BL772" s="11">
        <v>34</v>
      </c>
      <c r="BM772">
        <v>0</v>
      </c>
      <c r="BN772" t="s">
        <v>692</v>
      </c>
      <c r="BO772" t="s">
        <v>694</v>
      </c>
      <c r="BP772" t="s">
        <v>701</v>
      </c>
      <c r="BQ772" t="s">
        <v>705</v>
      </c>
      <c r="BR772" t="s">
        <v>706</v>
      </c>
      <c r="BS772" t="s">
        <v>707</v>
      </c>
    </row>
    <row r="773" spans="1:71" x14ac:dyDescent="0.4">
      <c r="A773" s="2" t="s">
        <v>828</v>
      </c>
      <c r="B773" t="str">
        <f>_xlfn.TEXTAFTER(Table1[[#This Row],[VEHIDCODE]],"_")</f>
        <v>Coach_Gen4_Horizon_Regional_Coach</v>
      </c>
      <c r="C773" t="s">
        <v>758</v>
      </c>
      <c r="D773" t="b">
        <f>OR(ISNUMBER(SEARCH("wagon_",Table1[[#This Row],[FILENAMES_EXPECTED]])),ISNUMBER(SEARCH("coach_",Table1[[#This Row],[FILENAMES_EXPECTED]])))</f>
        <v>1</v>
      </c>
      <c r="E773" t="str">
        <f>"item_"&amp;Table1[[#This Row],[VEHIDCODE]]</f>
        <v>item_mu_Coach_Gen4_Horizon_Regional_Coach</v>
      </c>
      <c r="F773" t="str">
        <f>"str_"&amp;Table1[[#This Row],[VEHIDCODE]]</f>
        <v>str_mu_Coach_Gen4_Horizon_Regional_Coach</v>
      </c>
      <c r="G773">
        <v>8</v>
      </c>
      <c r="H773" t="s">
        <v>326</v>
      </c>
      <c r="I773">
        <v>0</v>
      </c>
      <c r="J773" t="s">
        <v>35</v>
      </c>
      <c r="K773">
        <v>70</v>
      </c>
      <c r="L773">
        <v>1970</v>
      </c>
      <c r="M773">
        <v>8</v>
      </c>
      <c r="N773" s="2" t="s">
        <v>480</v>
      </c>
      <c r="O773" t="b">
        <v>1</v>
      </c>
      <c r="Q773" s="2"/>
      <c r="R773">
        <v>60</v>
      </c>
      <c r="S773">
        <v>1</v>
      </c>
      <c r="T773">
        <v>0</v>
      </c>
      <c r="U773" t="s">
        <v>711</v>
      </c>
      <c r="V773">
        <v>177</v>
      </c>
      <c r="W773" s="2">
        <v>0.3</v>
      </c>
      <c r="AF773" s="2" t="b">
        <v>1</v>
      </c>
      <c r="AO773" s="2" t="b">
        <v>1</v>
      </c>
      <c r="AX773" s="2" t="b">
        <v>1</v>
      </c>
      <c r="BA773" s="2"/>
      <c r="BB773" s="2" t="b">
        <f>LEN(_xlfn.CONCAT(Table1[[#This Row],[TRACK_TYPE_STANDARD_GAUGE_RAILTYPE_OHLE]:[TRACK_TYPE_MTRO]]))&gt;0</f>
        <v>1</v>
      </c>
      <c r="BC773" s="7">
        <v>25</v>
      </c>
      <c r="BD773" t="s">
        <v>935</v>
      </c>
      <c r="BE773" t="s">
        <v>925</v>
      </c>
      <c r="BF773" t="s">
        <v>940</v>
      </c>
      <c r="BG7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3">
        <v>0</v>
      </c>
      <c r="BI773" t="s">
        <v>734</v>
      </c>
      <c r="BK773" s="11"/>
      <c r="BL773" s="11">
        <v>51</v>
      </c>
      <c r="BM773">
        <v>0</v>
      </c>
      <c r="BN773" t="s">
        <v>692</v>
      </c>
      <c r="BO773" t="s">
        <v>694</v>
      </c>
      <c r="BP773" t="s">
        <v>701</v>
      </c>
      <c r="BQ773" t="s">
        <v>705</v>
      </c>
      <c r="BR773" t="s">
        <v>706</v>
      </c>
      <c r="BS773" t="s">
        <v>707</v>
      </c>
    </row>
    <row r="774" spans="1:71" x14ac:dyDescent="0.4">
      <c r="A774" s="2" t="s">
        <v>829</v>
      </c>
      <c r="B774" t="str">
        <f>_xlfn.TEXTAFTER(Table1[[#This Row],[VEHIDCODE]],"_")</f>
        <v>Coach_Gen4_Horizon_Baggage_Coach</v>
      </c>
      <c r="C774" t="s">
        <v>758</v>
      </c>
      <c r="D774" t="b">
        <f>OR(ISNUMBER(SEARCH("wagon_",Table1[[#This Row],[FILENAMES_EXPECTED]])),ISNUMBER(SEARCH("coach_",Table1[[#This Row],[FILENAMES_EXPECTED]])))</f>
        <v>1</v>
      </c>
      <c r="E774" t="str">
        <f>"item_"&amp;Table1[[#This Row],[VEHIDCODE]]</f>
        <v>item_mu_Coach_Gen4_Horizon_Baggage_Coach</v>
      </c>
      <c r="F774" t="str">
        <f>"str_"&amp;Table1[[#This Row],[VEHIDCODE]]</f>
        <v>str_mu_Coach_Gen4_Horizon_Baggage_Coach</v>
      </c>
      <c r="G774">
        <v>8</v>
      </c>
      <c r="H774" t="s">
        <v>674</v>
      </c>
      <c r="I774">
        <v>0</v>
      </c>
      <c r="J774" t="s">
        <v>35</v>
      </c>
      <c r="K774">
        <v>90</v>
      </c>
      <c r="L774">
        <v>1970</v>
      </c>
      <c r="M774">
        <v>8</v>
      </c>
      <c r="N774" s="2" t="s">
        <v>675</v>
      </c>
      <c r="O774" t="b">
        <v>1</v>
      </c>
      <c r="Q774" s="2"/>
      <c r="R774">
        <v>60</v>
      </c>
      <c r="S774">
        <v>1</v>
      </c>
      <c r="T774">
        <v>0</v>
      </c>
      <c r="U774" t="s">
        <v>711</v>
      </c>
      <c r="V774">
        <v>177</v>
      </c>
      <c r="W774" s="2">
        <v>0.3</v>
      </c>
      <c r="AF774" s="2" t="b">
        <v>1</v>
      </c>
      <c r="AO774" s="2" t="b">
        <v>1</v>
      </c>
      <c r="AX774" s="2" t="b">
        <v>1</v>
      </c>
      <c r="BA774" s="2"/>
      <c r="BB774" s="2" t="b">
        <f>LEN(_xlfn.CONCAT(Table1[[#This Row],[TRACK_TYPE_STANDARD_GAUGE_RAILTYPE_OHLE]:[TRACK_TYPE_MTRO]]))&gt;0</f>
        <v>1</v>
      </c>
      <c r="BC774" s="7">
        <v>25</v>
      </c>
      <c r="BD774" t="s">
        <v>935</v>
      </c>
      <c r="BE774" t="s">
        <v>925</v>
      </c>
      <c r="BF774" t="s">
        <v>940</v>
      </c>
      <c r="BG7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4">
        <v>0</v>
      </c>
      <c r="BI774" t="s">
        <v>734</v>
      </c>
      <c r="BK774" s="11"/>
      <c r="BL774" s="11">
        <v>50</v>
      </c>
      <c r="BM774">
        <v>0</v>
      </c>
      <c r="BN774" t="s">
        <v>692</v>
      </c>
      <c r="BO774" t="s">
        <v>694</v>
      </c>
      <c r="BP774" t="s">
        <v>701</v>
      </c>
      <c r="BQ774" t="s">
        <v>705</v>
      </c>
      <c r="BR774" t="s">
        <v>706</v>
      </c>
      <c r="BS774" t="s">
        <v>707</v>
      </c>
    </row>
    <row r="775" spans="1:71" x14ac:dyDescent="0.4">
      <c r="A775" s="2" t="s">
        <v>830</v>
      </c>
      <c r="B775" t="str">
        <f>_xlfn.TEXTAFTER(Table1[[#This Row],[VEHIDCODE]],"_")</f>
        <v>Coach_Gen4_Bombardier_Bi_level</v>
      </c>
      <c r="C775" t="s">
        <v>758</v>
      </c>
      <c r="D775" t="b">
        <f>OR(ISNUMBER(SEARCH("wagon_",Table1[[#This Row],[FILENAMES_EXPECTED]])),ISNUMBER(SEARCH("coach_",Table1[[#This Row],[FILENAMES_EXPECTED]])))</f>
        <v>1</v>
      </c>
      <c r="E775" t="str">
        <f>"item_"&amp;Table1[[#This Row],[VEHIDCODE]]</f>
        <v>item_mu_Coach_Gen4_Bombardier_Bi_level</v>
      </c>
      <c r="F775" t="str">
        <f>"str_"&amp;Table1[[#This Row],[VEHIDCODE]]</f>
        <v>str_mu_Coach_Gen4_Bombardier_Bi_level</v>
      </c>
      <c r="G775">
        <v>8</v>
      </c>
      <c r="H775" t="s">
        <v>326</v>
      </c>
      <c r="I775">
        <v>0</v>
      </c>
      <c r="J775" t="s">
        <v>35</v>
      </c>
      <c r="K775">
        <v>150</v>
      </c>
      <c r="L775">
        <v>1970</v>
      </c>
      <c r="M775">
        <v>8</v>
      </c>
      <c r="N775" s="2" t="s">
        <v>480</v>
      </c>
      <c r="O775" t="b">
        <v>1</v>
      </c>
      <c r="Q775" s="2"/>
      <c r="R775" t="s">
        <v>21</v>
      </c>
      <c r="S775">
        <v>1</v>
      </c>
      <c r="T775">
        <v>0</v>
      </c>
      <c r="U775" t="s">
        <v>711</v>
      </c>
      <c r="V775">
        <v>160</v>
      </c>
      <c r="W775" s="2">
        <v>0.3</v>
      </c>
      <c r="AF775" s="2" t="b">
        <v>1</v>
      </c>
      <c r="AO775" s="2" t="b">
        <v>1</v>
      </c>
      <c r="AX775" s="2" t="b">
        <v>1</v>
      </c>
      <c r="BA775" s="2"/>
      <c r="BB775" s="2" t="b">
        <f>LEN(_xlfn.CONCAT(Table1[[#This Row],[TRACK_TYPE_STANDARD_GAUGE_RAILTYPE_OHLE]:[TRACK_TYPE_MTRO]]))&gt;0</f>
        <v>1</v>
      </c>
      <c r="BC775" s="7">
        <v>25</v>
      </c>
      <c r="BD775" t="s">
        <v>935</v>
      </c>
      <c r="BE775" t="s">
        <v>925</v>
      </c>
      <c r="BF775" t="s">
        <v>940</v>
      </c>
      <c r="BG7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5">
        <v>0</v>
      </c>
      <c r="BI775" t="s">
        <v>734</v>
      </c>
      <c r="BK775" s="11"/>
      <c r="BL775" s="11">
        <v>50</v>
      </c>
      <c r="BM775">
        <v>0</v>
      </c>
      <c r="BN775" t="s">
        <v>692</v>
      </c>
      <c r="BO775" t="s">
        <v>694</v>
      </c>
      <c r="BP775" t="s">
        <v>701</v>
      </c>
      <c r="BQ775" t="s">
        <v>705</v>
      </c>
      <c r="BR775" t="s">
        <v>706</v>
      </c>
      <c r="BS775" t="s">
        <v>707</v>
      </c>
    </row>
    <row r="776" spans="1:71" x14ac:dyDescent="0.4">
      <c r="A776" s="2" t="s">
        <v>831</v>
      </c>
      <c r="B776" t="str">
        <f>_xlfn.TEXTAFTER(Table1[[#This Row],[VEHIDCODE]],"_")</f>
        <v>Coach_Gen5_High_Speed_Coach</v>
      </c>
      <c r="C776" t="s">
        <v>759</v>
      </c>
      <c r="D776" t="b">
        <f>OR(ISNUMBER(SEARCH("wagon_",Table1[[#This Row],[FILENAMES_EXPECTED]])),ISNUMBER(SEARCH("coach_",Table1[[#This Row],[FILENAMES_EXPECTED]])))</f>
        <v>1</v>
      </c>
      <c r="E776" t="str">
        <f>"item_"&amp;Table1[[#This Row],[VEHIDCODE]]</f>
        <v>item_mu_Coach_Gen5_High_Speed_Coach</v>
      </c>
      <c r="F776" t="str">
        <f>"str_"&amp;Table1[[#This Row],[VEHIDCODE]]</f>
        <v>str_mu_Coach_Gen5_High_Speed_Coach</v>
      </c>
      <c r="G776">
        <v>8</v>
      </c>
      <c r="H776" t="s">
        <v>326</v>
      </c>
      <c r="I776">
        <v>0</v>
      </c>
      <c r="J776" t="s">
        <v>35</v>
      </c>
      <c r="K776">
        <v>70</v>
      </c>
      <c r="L776">
        <v>2000</v>
      </c>
      <c r="M776">
        <v>8</v>
      </c>
      <c r="N776" s="2" t="s">
        <v>480</v>
      </c>
      <c r="O776" t="b">
        <v>1</v>
      </c>
      <c r="Q776" s="2"/>
      <c r="R776" t="s">
        <v>21</v>
      </c>
      <c r="S776">
        <v>1</v>
      </c>
      <c r="T776">
        <v>0</v>
      </c>
      <c r="U776" t="s">
        <v>711</v>
      </c>
      <c r="V776">
        <v>230</v>
      </c>
      <c r="W776" s="2">
        <v>0.3</v>
      </c>
      <c r="AF776" s="2" t="b">
        <v>1</v>
      </c>
      <c r="AO776" s="2" t="b">
        <v>1</v>
      </c>
      <c r="AX776" s="2" t="b">
        <v>1</v>
      </c>
      <c r="BA776" s="2"/>
      <c r="BB776" s="2" t="b">
        <f>LEN(_xlfn.CONCAT(Table1[[#This Row],[TRACK_TYPE_STANDARD_GAUGE_RAILTYPE_OHLE]:[TRACK_TYPE_MTRO]]))&gt;0</f>
        <v>1</v>
      </c>
      <c r="BC776" s="7">
        <v>25</v>
      </c>
      <c r="BD776" t="s">
        <v>936</v>
      </c>
      <c r="BE776" t="s">
        <v>922</v>
      </c>
      <c r="BF776" t="s">
        <v>940</v>
      </c>
      <c r="BG7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6">
        <v>0</v>
      </c>
      <c r="BI776" t="s">
        <v>734</v>
      </c>
      <c r="BK776" s="11"/>
      <c r="BL776" s="11">
        <v>47</v>
      </c>
      <c r="BM776">
        <v>0</v>
      </c>
      <c r="BN776" t="s">
        <v>692</v>
      </c>
      <c r="BO776" t="s">
        <v>694</v>
      </c>
      <c r="BP776" t="s">
        <v>701</v>
      </c>
      <c r="BQ776" t="s">
        <v>705</v>
      </c>
      <c r="BR776" t="s">
        <v>706</v>
      </c>
      <c r="BS776" t="s">
        <v>707</v>
      </c>
    </row>
    <row r="777" spans="1:71" x14ac:dyDescent="0.4">
      <c r="A777" s="2" t="s">
        <v>832</v>
      </c>
      <c r="B777" t="str">
        <f>_xlfn.TEXTAFTER(Table1[[#This Row],[VEHIDCODE]],"_")</f>
        <v>Coach_Gen5_Modern_Regional_Coach</v>
      </c>
      <c r="C777" t="s">
        <v>759</v>
      </c>
      <c r="D777" t="b">
        <f>OR(ISNUMBER(SEARCH("wagon_",Table1[[#This Row],[FILENAMES_EXPECTED]])),ISNUMBER(SEARCH("coach_",Table1[[#This Row],[FILENAMES_EXPECTED]])))</f>
        <v>1</v>
      </c>
      <c r="E777" t="str">
        <f>"item_"&amp;Table1[[#This Row],[VEHIDCODE]]</f>
        <v>item_mu_Coach_Gen5_Modern_Regional_Coach</v>
      </c>
      <c r="F777" t="str">
        <f>"str_"&amp;Table1[[#This Row],[VEHIDCODE]]</f>
        <v>str_mu_Coach_Gen5_Modern_Regional_Coach</v>
      </c>
      <c r="G777">
        <v>8</v>
      </c>
      <c r="H777" t="s">
        <v>326</v>
      </c>
      <c r="I777">
        <v>0</v>
      </c>
      <c r="J777" t="s">
        <v>35</v>
      </c>
      <c r="K777">
        <v>85</v>
      </c>
      <c r="L777">
        <v>2000</v>
      </c>
      <c r="M777">
        <v>8</v>
      </c>
      <c r="N777" s="2" t="s">
        <v>480</v>
      </c>
      <c r="O777" t="b">
        <v>1</v>
      </c>
      <c r="Q777" s="2"/>
      <c r="R777" t="s">
        <v>21</v>
      </c>
      <c r="S777">
        <v>1</v>
      </c>
      <c r="T777">
        <v>0</v>
      </c>
      <c r="U777" t="s">
        <v>711</v>
      </c>
      <c r="V777">
        <v>160</v>
      </c>
      <c r="W777" s="2">
        <v>0.3</v>
      </c>
      <c r="AF777" s="2" t="b">
        <v>1</v>
      </c>
      <c r="AO777" s="2" t="b">
        <v>1</v>
      </c>
      <c r="AX777" s="2" t="b">
        <v>1</v>
      </c>
      <c r="BA777" s="2"/>
      <c r="BB777" s="2" t="b">
        <f>LEN(_xlfn.CONCAT(Table1[[#This Row],[TRACK_TYPE_STANDARD_GAUGE_RAILTYPE_OHLE]:[TRACK_TYPE_MTRO]]))&gt;0</f>
        <v>1</v>
      </c>
      <c r="BC777" s="7">
        <v>25</v>
      </c>
      <c r="BD777" t="s">
        <v>936</v>
      </c>
      <c r="BE777" t="s">
        <v>922</v>
      </c>
      <c r="BF777" t="s">
        <v>940</v>
      </c>
      <c r="BG7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7">
        <v>0</v>
      </c>
      <c r="BI777" t="s">
        <v>734</v>
      </c>
      <c r="BK777" s="11"/>
      <c r="BL777" s="11">
        <v>44</v>
      </c>
      <c r="BM777">
        <v>0</v>
      </c>
      <c r="BN777" t="s">
        <v>692</v>
      </c>
      <c r="BO777" t="s">
        <v>694</v>
      </c>
      <c r="BP777" t="s">
        <v>701</v>
      </c>
      <c r="BQ777" t="s">
        <v>705</v>
      </c>
      <c r="BR777" t="s">
        <v>706</v>
      </c>
      <c r="BS777" t="s">
        <v>707</v>
      </c>
    </row>
    <row r="778" spans="1:71" x14ac:dyDescent="0.4">
      <c r="A778" s="2" t="s">
        <v>833</v>
      </c>
      <c r="B778" t="str">
        <f>_xlfn.TEXTAFTER(Table1[[#This Row],[VEHIDCODE]],"_")</f>
        <v>Coach_Gen5_Modern_Commuter_Coach</v>
      </c>
      <c r="C778" t="s">
        <v>759</v>
      </c>
      <c r="D778" t="b">
        <f>OR(ISNUMBER(SEARCH("wagon_",Table1[[#This Row],[FILENAMES_EXPECTED]])),ISNUMBER(SEARCH("coach_",Table1[[#This Row],[FILENAMES_EXPECTED]])))</f>
        <v>1</v>
      </c>
      <c r="E778" t="str">
        <f>"item_"&amp;Table1[[#This Row],[VEHIDCODE]]</f>
        <v>item_mu_Coach_Gen5_Modern_Commuter_Coach</v>
      </c>
      <c r="F778" t="str">
        <f>"str_"&amp;Table1[[#This Row],[VEHIDCODE]]</f>
        <v>str_mu_Coach_Gen5_Modern_Commuter_Coach</v>
      </c>
      <c r="G778">
        <v>8</v>
      </c>
      <c r="H778" t="s">
        <v>326</v>
      </c>
      <c r="I778">
        <v>0</v>
      </c>
      <c r="J778" t="s">
        <v>35</v>
      </c>
      <c r="K778">
        <v>115</v>
      </c>
      <c r="L778">
        <v>2000</v>
      </c>
      <c r="M778">
        <v>8</v>
      </c>
      <c r="N778" s="2" t="s">
        <v>24</v>
      </c>
      <c r="O778" t="b">
        <v>1</v>
      </c>
      <c r="Q778" s="2"/>
      <c r="R778" t="s">
        <v>21</v>
      </c>
      <c r="S778">
        <v>1</v>
      </c>
      <c r="T778">
        <v>0</v>
      </c>
      <c r="U778" t="s">
        <v>711</v>
      </c>
      <c r="V778">
        <v>140</v>
      </c>
      <c r="W778" s="2">
        <v>0.3</v>
      </c>
      <c r="AF778" s="2" t="b">
        <v>1</v>
      </c>
      <c r="AO778" s="2" t="b">
        <v>1</v>
      </c>
      <c r="AX778" s="2" t="b">
        <v>1</v>
      </c>
      <c r="BA778" s="2"/>
      <c r="BB778" s="2" t="b">
        <f>LEN(_xlfn.CONCAT(Table1[[#This Row],[TRACK_TYPE_STANDARD_GAUGE_RAILTYPE_OHLE]:[TRACK_TYPE_MTRO]]))&gt;0</f>
        <v>1</v>
      </c>
      <c r="BC778" s="7">
        <v>25</v>
      </c>
      <c r="BD778" t="s">
        <v>936</v>
      </c>
      <c r="BE778" t="s">
        <v>922</v>
      </c>
      <c r="BF778" t="s">
        <v>940</v>
      </c>
      <c r="BG7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8">
        <v>0</v>
      </c>
      <c r="BI778" t="s">
        <v>734</v>
      </c>
      <c r="BK778" s="11"/>
      <c r="BL778" s="11">
        <v>45</v>
      </c>
      <c r="BM778">
        <v>0</v>
      </c>
      <c r="BN778" t="s">
        <v>692</v>
      </c>
      <c r="BO778" t="s">
        <v>694</v>
      </c>
      <c r="BP778" t="s">
        <v>701</v>
      </c>
      <c r="BQ778" t="s">
        <v>705</v>
      </c>
      <c r="BR778" t="s">
        <v>706</v>
      </c>
      <c r="BS778" t="s">
        <v>707</v>
      </c>
    </row>
    <row r="779" spans="1:71" x14ac:dyDescent="0.4">
      <c r="A779" s="2" t="s">
        <v>834</v>
      </c>
      <c r="B779" t="str">
        <f>_xlfn.TEXTAFTER(Table1[[#This Row],[VEHIDCODE]],"_")</f>
        <v>Coach_Gen5_Modern_Double_Decker_Coach</v>
      </c>
      <c r="C779" t="s">
        <v>759</v>
      </c>
      <c r="D779" t="b">
        <f>OR(ISNUMBER(SEARCH("wagon_",Table1[[#This Row],[FILENAMES_EXPECTED]])),ISNUMBER(SEARCH("coach_",Table1[[#This Row],[FILENAMES_EXPECTED]])))</f>
        <v>1</v>
      </c>
      <c r="E779" t="str">
        <f>"item_"&amp;Table1[[#This Row],[VEHIDCODE]]</f>
        <v>item_mu_Coach_Gen5_Modern_Double_Decker_Coach</v>
      </c>
      <c r="F779" t="str">
        <f>"str_"&amp;Table1[[#This Row],[VEHIDCODE]]</f>
        <v>str_mu_Coach_Gen5_Modern_Double_Decker_Coach</v>
      </c>
      <c r="G779">
        <v>8</v>
      </c>
      <c r="H779" t="s">
        <v>326</v>
      </c>
      <c r="I779">
        <v>0</v>
      </c>
      <c r="J779" t="s">
        <v>35</v>
      </c>
      <c r="K779">
        <v>145</v>
      </c>
      <c r="L779">
        <v>2000</v>
      </c>
      <c r="M779">
        <v>8</v>
      </c>
      <c r="N779" s="2" t="s">
        <v>480</v>
      </c>
      <c r="O779" t="b">
        <v>1</v>
      </c>
      <c r="Q779" s="2"/>
      <c r="R779" t="s">
        <v>21</v>
      </c>
      <c r="S779">
        <v>1</v>
      </c>
      <c r="T779">
        <v>0</v>
      </c>
      <c r="U779" t="s">
        <v>711</v>
      </c>
      <c r="V779">
        <v>160</v>
      </c>
      <c r="W779" s="2">
        <v>0.3</v>
      </c>
      <c r="AF779" s="2" t="b">
        <v>1</v>
      </c>
      <c r="AO779" s="2" t="b">
        <v>1</v>
      </c>
      <c r="AX779" s="2" t="b">
        <v>1</v>
      </c>
      <c r="BA779" s="2"/>
      <c r="BB779" s="2" t="b">
        <f>LEN(_xlfn.CONCAT(Table1[[#This Row],[TRACK_TYPE_STANDARD_GAUGE_RAILTYPE_OHLE]:[TRACK_TYPE_MTRO]]))&gt;0</f>
        <v>1</v>
      </c>
      <c r="BC779" s="7">
        <v>25</v>
      </c>
      <c r="BD779" t="s">
        <v>936</v>
      </c>
      <c r="BE779" t="s">
        <v>922</v>
      </c>
      <c r="BF779" t="s">
        <v>940</v>
      </c>
      <c r="BG7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9">
        <v>0</v>
      </c>
      <c r="BI779" t="s">
        <v>734</v>
      </c>
      <c r="BK779" s="11"/>
      <c r="BL779" s="11">
        <v>47</v>
      </c>
      <c r="BM779">
        <v>0</v>
      </c>
      <c r="BN779" t="s">
        <v>692</v>
      </c>
      <c r="BO779" t="s">
        <v>694</v>
      </c>
      <c r="BP779" t="s">
        <v>701</v>
      </c>
      <c r="BQ779" t="s">
        <v>705</v>
      </c>
      <c r="BR779" t="s">
        <v>706</v>
      </c>
      <c r="BS779" t="s">
        <v>707</v>
      </c>
    </row>
    <row r="780" spans="1:71" x14ac:dyDescent="0.4">
      <c r="A780" s="2" t="s">
        <v>835</v>
      </c>
      <c r="B780" t="str">
        <f>_xlfn.TEXTAFTER(Table1[[#This Row],[VEHIDCODE]],"_")</f>
        <v>Coach_Gen5_High_Speed_Double_Decker_IC2000</v>
      </c>
      <c r="C780" t="s">
        <v>759</v>
      </c>
      <c r="D780" t="b">
        <f>OR(ISNUMBER(SEARCH("wagon_",Table1[[#This Row],[FILENAMES_EXPECTED]])),ISNUMBER(SEARCH("coach_",Table1[[#This Row],[FILENAMES_EXPECTED]])))</f>
        <v>1</v>
      </c>
      <c r="E780" t="str">
        <f>"item_"&amp;Table1[[#This Row],[VEHIDCODE]]</f>
        <v>item_mu_Coach_Gen5_High_Speed_Double_Decker_IC2000</v>
      </c>
      <c r="F780" t="str">
        <f>"str_"&amp;Table1[[#This Row],[VEHIDCODE]]</f>
        <v>str_mu_Coach_Gen5_High_Speed_Double_Decker_IC2000</v>
      </c>
      <c r="G780">
        <v>8</v>
      </c>
      <c r="H780" t="s">
        <v>326</v>
      </c>
      <c r="I780">
        <v>0</v>
      </c>
      <c r="J780" t="s">
        <v>35</v>
      </c>
      <c r="K780">
        <v>115</v>
      </c>
      <c r="L780">
        <v>2000</v>
      </c>
      <c r="M780">
        <v>8</v>
      </c>
      <c r="N780" s="2" t="s">
        <v>480</v>
      </c>
      <c r="O780" t="b">
        <v>1</v>
      </c>
      <c r="Q780" s="2"/>
      <c r="R780" t="s">
        <v>21</v>
      </c>
      <c r="S780">
        <v>1</v>
      </c>
      <c r="T780">
        <v>0</v>
      </c>
      <c r="U780" t="s">
        <v>711</v>
      </c>
      <c r="V780">
        <v>200</v>
      </c>
      <c r="W780" s="2">
        <v>0.3</v>
      </c>
      <c r="AF780" s="2" t="b">
        <v>1</v>
      </c>
      <c r="AO780" s="2" t="b">
        <v>1</v>
      </c>
      <c r="AX780" s="2" t="b">
        <v>1</v>
      </c>
      <c r="BA780" s="2"/>
      <c r="BB780" s="2" t="b">
        <f>LEN(_xlfn.CONCAT(Table1[[#This Row],[TRACK_TYPE_STANDARD_GAUGE_RAILTYPE_OHLE]:[TRACK_TYPE_MTRO]]))&gt;0</f>
        <v>1</v>
      </c>
      <c r="BC780" s="7">
        <v>25</v>
      </c>
      <c r="BD780" t="s">
        <v>936</v>
      </c>
      <c r="BE780" t="s">
        <v>922</v>
      </c>
      <c r="BF780" t="s">
        <v>940</v>
      </c>
      <c r="BG7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0">
        <v>0</v>
      </c>
      <c r="BI780" t="s">
        <v>734</v>
      </c>
      <c r="BK780" s="11"/>
      <c r="BL780" s="11">
        <v>47</v>
      </c>
      <c r="BM780">
        <v>0</v>
      </c>
      <c r="BN780" t="s">
        <v>692</v>
      </c>
      <c r="BO780" t="s">
        <v>694</v>
      </c>
      <c r="BP780" t="s">
        <v>701</v>
      </c>
      <c r="BQ780" t="s">
        <v>705</v>
      </c>
      <c r="BR780" t="s">
        <v>706</v>
      </c>
      <c r="BS780" t="s">
        <v>707</v>
      </c>
    </row>
    <row r="781" spans="1:71" x14ac:dyDescent="0.4">
      <c r="A781" s="2" t="s">
        <v>836</v>
      </c>
      <c r="B781" t="str">
        <f>_xlfn.TEXTAFTER(Table1[[#This Row],[VEHIDCODE]],"_")</f>
        <v>Coach_Gen5_High_Speed_Mail_Coach</v>
      </c>
      <c r="C781" t="s">
        <v>759</v>
      </c>
      <c r="D781" t="b">
        <f>OR(ISNUMBER(SEARCH("wagon_",Table1[[#This Row],[FILENAMES_EXPECTED]])),ISNUMBER(SEARCH("coach_",Table1[[#This Row],[FILENAMES_EXPECTED]])))</f>
        <v>1</v>
      </c>
      <c r="E781" t="str">
        <f>"item_"&amp;Table1[[#This Row],[VEHIDCODE]]</f>
        <v>item_mu_Coach_Gen5_High_Speed_Mail_Coach</v>
      </c>
      <c r="F781" t="str">
        <f>"str_"&amp;Table1[[#This Row],[VEHIDCODE]]</f>
        <v>str_mu_Coach_Gen5_High_Speed_Mail_Coach</v>
      </c>
      <c r="G781">
        <v>8</v>
      </c>
      <c r="H781" t="s">
        <v>674</v>
      </c>
      <c r="I781">
        <v>0</v>
      </c>
      <c r="J781" t="s">
        <v>35</v>
      </c>
      <c r="K781">
        <v>70</v>
      </c>
      <c r="L781">
        <v>2000</v>
      </c>
      <c r="M781">
        <v>8</v>
      </c>
      <c r="N781" s="2" t="s">
        <v>675</v>
      </c>
      <c r="O781" t="b">
        <v>1</v>
      </c>
      <c r="Q781" s="2"/>
      <c r="R781" t="s">
        <v>21</v>
      </c>
      <c r="S781">
        <v>1</v>
      </c>
      <c r="T781">
        <v>0</v>
      </c>
      <c r="U781" t="s">
        <v>711</v>
      </c>
      <c r="V781">
        <v>230</v>
      </c>
      <c r="W781" s="2">
        <v>0.3</v>
      </c>
      <c r="AF781" s="2" t="b">
        <v>1</v>
      </c>
      <c r="AO781" s="2" t="b">
        <v>1</v>
      </c>
      <c r="AX781" s="2" t="b">
        <v>1</v>
      </c>
      <c r="BA781" s="2"/>
      <c r="BB781" s="2" t="b">
        <f>LEN(_xlfn.CONCAT(Table1[[#This Row],[TRACK_TYPE_STANDARD_GAUGE_RAILTYPE_OHLE]:[TRACK_TYPE_MTRO]]))&gt;0</f>
        <v>1</v>
      </c>
      <c r="BC781" s="7">
        <v>25</v>
      </c>
      <c r="BD781" t="s">
        <v>936</v>
      </c>
      <c r="BE781" t="s">
        <v>922</v>
      </c>
      <c r="BF781" t="s">
        <v>940</v>
      </c>
      <c r="BG7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1">
        <v>0</v>
      </c>
      <c r="BI781" t="s">
        <v>734</v>
      </c>
      <c r="BK781" s="11"/>
      <c r="BL781" s="11">
        <v>46</v>
      </c>
      <c r="BM781">
        <v>0</v>
      </c>
      <c r="BN781" t="s">
        <v>692</v>
      </c>
      <c r="BO781" t="s">
        <v>694</v>
      </c>
      <c r="BP781" t="s">
        <v>701</v>
      </c>
      <c r="BQ781" t="s">
        <v>705</v>
      </c>
      <c r="BR781" t="s">
        <v>706</v>
      </c>
      <c r="BS781" t="s">
        <v>707</v>
      </c>
    </row>
    <row r="782" spans="1:71" x14ac:dyDescent="0.4">
      <c r="A782" s="2" t="s">
        <v>837</v>
      </c>
      <c r="B782" t="str">
        <f>_xlfn.TEXTAFTER(Table1[[#This Row],[VEHIDCODE]],"_")</f>
        <v>Coach_Gen5_Talgo_Pendular</v>
      </c>
      <c r="C782" t="s">
        <v>759</v>
      </c>
      <c r="D782" t="b">
        <f>OR(ISNUMBER(SEARCH("wagon_",Table1[[#This Row],[FILENAMES_EXPECTED]])),ISNUMBER(SEARCH("coach_",Table1[[#This Row],[FILENAMES_EXPECTED]])))</f>
        <v>1</v>
      </c>
      <c r="E782" t="str">
        <f>"item_"&amp;Table1[[#This Row],[VEHIDCODE]]</f>
        <v>item_mu_Coach_Gen5_Talgo_Pendular</v>
      </c>
      <c r="F782" t="str">
        <f>"str_"&amp;Table1[[#This Row],[VEHIDCODE]]</f>
        <v>str_mu_Coach_Gen5_Talgo_Pendular</v>
      </c>
      <c r="G782">
        <v>6</v>
      </c>
      <c r="H782" t="s">
        <v>326</v>
      </c>
      <c r="I782">
        <v>0</v>
      </c>
      <c r="J782" t="s">
        <v>35</v>
      </c>
      <c r="K782">
        <v>40</v>
      </c>
      <c r="L782">
        <v>1980</v>
      </c>
      <c r="M782">
        <v>6</v>
      </c>
      <c r="N782" s="2" t="s">
        <v>24</v>
      </c>
      <c r="O782" t="b">
        <v>1</v>
      </c>
      <c r="Q782" s="2"/>
      <c r="R782" t="s">
        <v>21</v>
      </c>
      <c r="S782">
        <v>1</v>
      </c>
      <c r="T782">
        <v>0</v>
      </c>
      <c r="U782" t="s">
        <v>711</v>
      </c>
      <c r="V782">
        <v>250</v>
      </c>
      <c r="W782" s="2">
        <v>0.3</v>
      </c>
      <c r="AF782" s="2" t="b">
        <v>1</v>
      </c>
      <c r="AO782" s="2" t="b">
        <v>1</v>
      </c>
      <c r="AX782" s="2" t="b">
        <v>1</v>
      </c>
      <c r="BA782" s="2"/>
      <c r="BB782" s="2" t="b">
        <f>LEN(_xlfn.CONCAT(Table1[[#This Row],[TRACK_TYPE_STANDARD_GAUGE_RAILTYPE_OHLE]:[TRACK_TYPE_MTRO]]))&gt;0</f>
        <v>1</v>
      </c>
      <c r="BC782" s="7">
        <v>25</v>
      </c>
      <c r="BD782" t="s">
        <v>936</v>
      </c>
      <c r="BE782" t="s">
        <v>922</v>
      </c>
      <c r="BF782" t="s">
        <v>940</v>
      </c>
      <c r="BG7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2">
        <v>0</v>
      </c>
      <c r="BI782" t="s">
        <v>734</v>
      </c>
      <c r="BK782" s="11"/>
      <c r="BL782" s="11">
        <v>15</v>
      </c>
      <c r="BM782">
        <v>0</v>
      </c>
      <c r="BN782" t="s">
        <v>692</v>
      </c>
      <c r="BO782" t="s">
        <v>694</v>
      </c>
      <c r="BP782" t="s">
        <v>701</v>
      </c>
      <c r="BQ782" t="s">
        <v>705</v>
      </c>
      <c r="BR782" t="s">
        <v>706</v>
      </c>
      <c r="BS782" t="s">
        <v>707</v>
      </c>
    </row>
    <row r="783" spans="1:71" x14ac:dyDescent="0.4">
      <c r="A783" s="2" t="s">
        <v>838</v>
      </c>
      <c r="B783" t="str">
        <f>_xlfn.TEXTAFTER(Table1[[#This Row],[VEHIDCODE]],"_")</f>
        <v>Coach_Gen5_Talgo_Pendular_Mail</v>
      </c>
      <c r="C783" t="s">
        <v>759</v>
      </c>
      <c r="D783" t="b">
        <f>OR(ISNUMBER(SEARCH("wagon_",Table1[[#This Row],[FILENAMES_EXPECTED]])),ISNUMBER(SEARCH("coach_",Table1[[#This Row],[FILENAMES_EXPECTED]])))</f>
        <v>1</v>
      </c>
      <c r="E783" t="str">
        <f>"item_"&amp;Table1[[#This Row],[VEHIDCODE]]</f>
        <v>item_mu_Coach_Gen5_Talgo_Pendular_Mail</v>
      </c>
      <c r="F783" t="str">
        <f>"str_"&amp;Table1[[#This Row],[VEHIDCODE]]</f>
        <v>str_mu_Coach_Gen5_Talgo_Pendular_Mail</v>
      </c>
      <c r="G783">
        <v>6</v>
      </c>
      <c r="H783" t="s">
        <v>674</v>
      </c>
      <c r="I783">
        <v>0</v>
      </c>
      <c r="J783" t="s">
        <v>35</v>
      </c>
      <c r="K783">
        <v>40</v>
      </c>
      <c r="L783">
        <v>1980</v>
      </c>
      <c r="M783">
        <v>6</v>
      </c>
      <c r="N783" s="2" t="s">
        <v>675</v>
      </c>
      <c r="O783" t="b">
        <v>1</v>
      </c>
      <c r="Q783" s="2"/>
      <c r="R783" t="s">
        <v>21</v>
      </c>
      <c r="S783">
        <v>1</v>
      </c>
      <c r="T783">
        <v>0</v>
      </c>
      <c r="U783" t="s">
        <v>711</v>
      </c>
      <c r="V783">
        <v>250</v>
      </c>
      <c r="W783" s="2">
        <v>0.3</v>
      </c>
      <c r="AF783" s="2" t="b">
        <v>1</v>
      </c>
      <c r="AO783" s="2" t="b">
        <v>1</v>
      </c>
      <c r="AX783" s="2" t="b">
        <v>1</v>
      </c>
      <c r="BA783" s="2"/>
      <c r="BB783" s="2" t="b">
        <f>LEN(_xlfn.CONCAT(Table1[[#This Row],[TRACK_TYPE_STANDARD_GAUGE_RAILTYPE_OHLE]:[TRACK_TYPE_MTRO]]))&gt;0</f>
        <v>1</v>
      </c>
      <c r="BC783" s="7">
        <v>25</v>
      </c>
      <c r="BD783" t="s">
        <v>936</v>
      </c>
      <c r="BE783" t="s">
        <v>922</v>
      </c>
      <c r="BF783" t="s">
        <v>940</v>
      </c>
      <c r="BG7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3">
        <v>0</v>
      </c>
      <c r="BI783" t="s">
        <v>734</v>
      </c>
      <c r="BK783" s="11"/>
      <c r="BL783" s="11">
        <v>15</v>
      </c>
      <c r="BM783">
        <v>0</v>
      </c>
      <c r="BN783" t="s">
        <v>692</v>
      </c>
      <c r="BO783" t="s">
        <v>694</v>
      </c>
      <c r="BP783" t="s">
        <v>701</v>
      </c>
      <c r="BQ783" t="s">
        <v>705</v>
      </c>
      <c r="BR783" t="s">
        <v>706</v>
      </c>
      <c r="BS783" t="s">
        <v>707</v>
      </c>
    </row>
    <row r="784" spans="1:71" x14ac:dyDescent="0.4">
      <c r="A784" s="2" t="s">
        <v>839</v>
      </c>
      <c r="B784" t="str">
        <f>_xlfn.TEXTAFTER(Table1[[#This Row],[VEHIDCODE]],"_")</f>
        <v>Coach_Gen6_Grand_Voyager_Coach</v>
      </c>
      <c r="C784" t="s">
        <v>760</v>
      </c>
      <c r="D784" t="b">
        <f>OR(ISNUMBER(SEARCH("wagon_",Table1[[#This Row],[FILENAMES_EXPECTED]])),ISNUMBER(SEARCH("coach_",Table1[[#This Row],[FILENAMES_EXPECTED]])))</f>
        <v>1</v>
      </c>
      <c r="E784" t="str">
        <f>"item_"&amp;Table1[[#This Row],[VEHIDCODE]]</f>
        <v>item_mu_Coach_Gen6_Grand_Voyager_Coach</v>
      </c>
      <c r="F784" t="str">
        <f>"str_"&amp;Table1[[#This Row],[VEHIDCODE]]</f>
        <v>str_mu_Coach_Gen6_Grand_Voyager_Coach</v>
      </c>
      <c r="G784">
        <v>8</v>
      </c>
      <c r="H784" t="s">
        <v>326</v>
      </c>
      <c r="I784">
        <v>0</v>
      </c>
      <c r="J784" t="s">
        <v>35</v>
      </c>
      <c r="K784">
        <v>80</v>
      </c>
      <c r="L784">
        <v>2030</v>
      </c>
      <c r="M784">
        <v>8</v>
      </c>
      <c r="N784" s="2" t="s">
        <v>480</v>
      </c>
      <c r="O784" t="b">
        <v>1</v>
      </c>
      <c r="Q784" s="2"/>
      <c r="R784" t="s">
        <v>21</v>
      </c>
      <c r="S784">
        <v>1</v>
      </c>
      <c r="T784">
        <v>0</v>
      </c>
      <c r="U784" t="s">
        <v>711</v>
      </c>
      <c r="V784">
        <v>0</v>
      </c>
      <c r="W784" s="2">
        <v>0.3</v>
      </c>
      <c r="AF784" s="2" t="b">
        <v>1</v>
      </c>
      <c r="AO784" s="2" t="b">
        <v>1</v>
      </c>
      <c r="AX784" s="2" t="b">
        <v>1</v>
      </c>
      <c r="BA784" s="2"/>
      <c r="BB784" s="2" t="b">
        <f>LEN(_xlfn.CONCAT(Table1[[#This Row],[TRACK_TYPE_STANDARD_GAUGE_RAILTYPE_OHLE]:[TRACK_TYPE_MTRO]]))&gt;0</f>
        <v>1</v>
      </c>
      <c r="BC784" s="7">
        <v>25</v>
      </c>
      <c r="BD784" t="s">
        <v>936</v>
      </c>
      <c r="BE784" t="s">
        <v>922</v>
      </c>
      <c r="BF784" t="s">
        <v>940</v>
      </c>
      <c r="BG7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4">
        <v>0</v>
      </c>
      <c r="BI784" t="s">
        <v>734</v>
      </c>
      <c r="BK784" s="11"/>
      <c r="BL784" s="11">
        <v>39</v>
      </c>
      <c r="BM784">
        <v>0</v>
      </c>
      <c r="BN784" t="s">
        <v>692</v>
      </c>
      <c r="BO784" t="s">
        <v>694</v>
      </c>
      <c r="BP784" t="s">
        <v>701</v>
      </c>
      <c r="BQ784" t="s">
        <v>705</v>
      </c>
      <c r="BR784" t="s">
        <v>706</v>
      </c>
      <c r="BS784" t="s">
        <v>707</v>
      </c>
    </row>
    <row r="785" spans="1:71" x14ac:dyDescent="0.4">
      <c r="A785" s="2" t="s">
        <v>840</v>
      </c>
      <c r="B785" t="str">
        <f>_xlfn.TEXTAFTER(Table1[[#This Row],[VEHIDCODE]],"_")</f>
        <v>Coach_Gen6_Grand_Regio_Coach</v>
      </c>
      <c r="C785" t="s">
        <v>760</v>
      </c>
      <c r="D785" t="b">
        <f>OR(ISNUMBER(SEARCH("wagon_",Table1[[#This Row],[FILENAMES_EXPECTED]])),ISNUMBER(SEARCH("coach_",Table1[[#This Row],[FILENAMES_EXPECTED]])))</f>
        <v>1</v>
      </c>
      <c r="E785" t="str">
        <f>"item_"&amp;Table1[[#This Row],[VEHIDCODE]]</f>
        <v>item_mu_Coach_Gen6_Grand_Regio_Coach</v>
      </c>
      <c r="F785" t="str">
        <f>"str_"&amp;Table1[[#This Row],[VEHIDCODE]]</f>
        <v>str_mu_Coach_Gen6_Grand_Regio_Coach</v>
      </c>
      <c r="G785">
        <v>8</v>
      </c>
      <c r="H785" t="s">
        <v>326</v>
      </c>
      <c r="I785">
        <v>0</v>
      </c>
      <c r="J785" t="s">
        <v>35</v>
      </c>
      <c r="K785">
        <v>100</v>
      </c>
      <c r="L785">
        <v>2030</v>
      </c>
      <c r="M785">
        <v>8</v>
      </c>
      <c r="N785" s="2" t="s">
        <v>480</v>
      </c>
      <c r="O785" t="b">
        <v>1</v>
      </c>
      <c r="Q785" s="2"/>
      <c r="R785" t="s">
        <v>21</v>
      </c>
      <c r="S785">
        <v>1</v>
      </c>
      <c r="T785">
        <v>0</v>
      </c>
      <c r="U785" t="s">
        <v>711</v>
      </c>
      <c r="V785">
        <v>200</v>
      </c>
      <c r="W785" s="2">
        <v>0.3</v>
      </c>
      <c r="AF785" s="2" t="b">
        <v>1</v>
      </c>
      <c r="AO785" s="2" t="b">
        <v>1</v>
      </c>
      <c r="AX785" s="2" t="b">
        <v>1</v>
      </c>
      <c r="BA785" s="2"/>
      <c r="BB785" s="2" t="b">
        <f>LEN(_xlfn.CONCAT(Table1[[#This Row],[TRACK_TYPE_STANDARD_GAUGE_RAILTYPE_OHLE]:[TRACK_TYPE_MTRO]]))&gt;0</f>
        <v>1</v>
      </c>
      <c r="BC785" s="7">
        <v>25</v>
      </c>
      <c r="BD785" t="s">
        <v>936</v>
      </c>
      <c r="BE785" t="s">
        <v>922</v>
      </c>
      <c r="BF785" t="s">
        <v>940</v>
      </c>
      <c r="BG7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5">
        <v>0</v>
      </c>
      <c r="BI785" t="s">
        <v>734</v>
      </c>
      <c r="BK785" s="11"/>
      <c r="BL785" s="11">
        <v>38</v>
      </c>
      <c r="BM785">
        <v>0</v>
      </c>
      <c r="BN785" t="s">
        <v>692</v>
      </c>
      <c r="BO785" t="s">
        <v>694</v>
      </c>
      <c r="BP785" t="s">
        <v>701</v>
      </c>
      <c r="BQ785" t="s">
        <v>705</v>
      </c>
      <c r="BR785" t="s">
        <v>706</v>
      </c>
      <c r="BS785" t="s">
        <v>707</v>
      </c>
    </row>
    <row r="786" spans="1:71" x14ac:dyDescent="0.4">
      <c r="A786" s="2" t="s">
        <v>841</v>
      </c>
      <c r="B786" t="str">
        <f>_xlfn.TEXTAFTER(Table1[[#This Row],[VEHIDCODE]],"_")</f>
        <v>Coach_Gen6_Metropolis_Coach</v>
      </c>
      <c r="C786" t="s">
        <v>760</v>
      </c>
      <c r="D786" t="b">
        <f>OR(ISNUMBER(SEARCH("wagon_",Table1[[#This Row],[FILENAMES_EXPECTED]])),ISNUMBER(SEARCH("coach_",Table1[[#This Row],[FILENAMES_EXPECTED]])))</f>
        <v>1</v>
      </c>
      <c r="E786" t="str">
        <f>"item_"&amp;Table1[[#This Row],[VEHIDCODE]]</f>
        <v>item_mu_Coach_Gen6_Metropolis_Coach</v>
      </c>
      <c r="F786" t="str">
        <f>"str_"&amp;Table1[[#This Row],[VEHIDCODE]]</f>
        <v>str_mu_Coach_Gen6_Metropolis_Coach</v>
      </c>
      <c r="G786">
        <v>8</v>
      </c>
      <c r="H786" t="s">
        <v>326</v>
      </c>
      <c r="I786">
        <v>0</v>
      </c>
      <c r="J786" t="s">
        <v>35</v>
      </c>
      <c r="K786">
        <v>115</v>
      </c>
      <c r="L786">
        <v>2030</v>
      </c>
      <c r="M786">
        <v>8</v>
      </c>
      <c r="N786" s="2" t="s">
        <v>24</v>
      </c>
      <c r="O786" t="b">
        <v>1</v>
      </c>
      <c r="Q786" s="2"/>
      <c r="R786" t="s">
        <v>21</v>
      </c>
      <c r="S786">
        <v>1</v>
      </c>
      <c r="T786">
        <v>0</v>
      </c>
      <c r="U786" t="s">
        <v>711</v>
      </c>
      <c r="V786">
        <v>180</v>
      </c>
      <c r="W786" s="2">
        <v>0.3</v>
      </c>
      <c r="AF786" s="2" t="b">
        <v>1</v>
      </c>
      <c r="AO786" s="2" t="b">
        <v>1</v>
      </c>
      <c r="AX786" s="2" t="b">
        <v>1</v>
      </c>
      <c r="BA786" s="2"/>
      <c r="BB786" s="2" t="b">
        <f>LEN(_xlfn.CONCAT(Table1[[#This Row],[TRACK_TYPE_STANDARD_GAUGE_RAILTYPE_OHLE]:[TRACK_TYPE_MTRO]]))&gt;0</f>
        <v>1</v>
      </c>
      <c r="BC786" s="7">
        <v>25</v>
      </c>
      <c r="BD786" t="s">
        <v>936</v>
      </c>
      <c r="BE786" t="s">
        <v>922</v>
      </c>
      <c r="BF786" t="s">
        <v>940</v>
      </c>
      <c r="BG7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6">
        <v>0</v>
      </c>
      <c r="BI786" t="s">
        <v>734</v>
      </c>
      <c r="BK786" s="11"/>
      <c r="BL786" s="11">
        <v>39</v>
      </c>
      <c r="BM786">
        <v>0</v>
      </c>
      <c r="BN786" t="s">
        <v>692</v>
      </c>
      <c r="BO786" t="s">
        <v>694</v>
      </c>
      <c r="BP786" t="s">
        <v>701</v>
      </c>
      <c r="BQ786" t="s">
        <v>705</v>
      </c>
      <c r="BR786" t="s">
        <v>706</v>
      </c>
      <c r="BS786" t="s">
        <v>707</v>
      </c>
    </row>
    <row r="787" spans="1:71" x14ac:dyDescent="0.4">
      <c r="A787" s="2" t="s">
        <v>842</v>
      </c>
      <c r="B787" t="str">
        <f>_xlfn.TEXTAFTER(Table1[[#This Row],[VEHIDCODE]],"_")</f>
        <v>Coach_Gen6_Speedmail_Coach</v>
      </c>
      <c r="C787" t="s">
        <v>760</v>
      </c>
      <c r="D787" t="b">
        <f>OR(ISNUMBER(SEARCH("wagon_",Table1[[#This Row],[FILENAMES_EXPECTED]])),ISNUMBER(SEARCH("coach_",Table1[[#This Row],[FILENAMES_EXPECTED]])))</f>
        <v>1</v>
      </c>
      <c r="E787" t="str">
        <f>"item_"&amp;Table1[[#This Row],[VEHIDCODE]]</f>
        <v>item_mu_Coach_Gen6_Speedmail_Coach</v>
      </c>
      <c r="F787" t="str">
        <f>"str_"&amp;Table1[[#This Row],[VEHIDCODE]]</f>
        <v>str_mu_Coach_Gen6_Speedmail_Coach</v>
      </c>
      <c r="G787">
        <v>8</v>
      </c>
      <c r="H787" t="s">
        <v>674</v>
      </c>
      <c r="I787">
        <v>0</v>
      </c>
      <c r="J787" t="s">
        <v>35</v>
      </c>
      <c r="K787">
        <v>85</v>
      </c>
      <c r="L787">
        <v>2030</v>
      </c>
      <c r="M787">
        <v>8</v>
      </c>
      <c r="N787" s="2" t="s">
        <v>675</v>
      </c>
      <c r="O787" t="b">
        <v>1</v>
      </c>
      <c r="Q787" s="2"/>
      <c r="R787" t="s">
        <v>21</v>
      </c>
      <c r="S787">
        <v>1</v>
      </c>
      <c r="T787">
        <v>0</v>
      </c>
      <c r="U787" t="s">
        <v>711</v>
      </c>
      <c r="V787">
        <v>0</v>
      </c>
      <c r="W787" s="2">
        <v>0.3</v>
      </c>
      <c r="AF787" s="2" t="b">
        <v>1</v>
      </c>
      <c r="AO787" s="2" t="b">
        <v>1</v>
      </c>
      <c r="AX787" s="2" t="b">
        <v>1</v>
      </c>
      <c r="BA787" s="2"/>
      <c r="BB787" s="2" t="b">
        <f>LEN(_xlfn.CONCAT(Table1[[#This Row],[TRACK_TYPE_STANDARD_GAUGE_RAILTYPE_OHLE]:[TRACK_TYPE_MTRO]]))&gt;0</f>
        <v>1</v>
      </c>
      <c r="BC787" s="7">
        <v>25</v>
      </c>
      <c r="BD787" t="s">
        <v>936</v>
      </c>
      <c r="BE787" t="s">
        <v>922</v>
      </c>
      <c r="BF787" t="s">
        <v>940</v>
      </c>
      <c r="BG7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7">
        <v>0</v>
      </c>
      <c r="BI787" t="s">
        <v>734</v>
      </c>
      <c r="BK787" s="11"/>
      <c r="BL787" s="11">
        <v>38</v>
      </c>
      <c r="BM787">
        <v>0</v>
      </c>
      <c r="BN787" t="s">
        <v>692</v>
      </c>
      <c r="BO787" t="s">
        <v>694</v>
      </c>
      <c r="BP787" t="s">
        <v>701</v>
      </c>
      <c r="BQ787" t="s">
        <v>705</v>
      </c>
      <c r="BR787" t="s">
        <v>706</v>
      </c>
      <c r="BS787" t="s">
        <v>707</v>
      </c>
    </row>
    <row r="788" spans="1:71" x14ac:dyDescent="0.4">
      <c r="A788" s="2" t="s">
        <v>843</v>
      </c>
      <c r="B788" t="str">
        <f>_xlfn.TEXTAFTER(Table1[[#This Row],[VEHIDCODE]],"_")</f>
        <v>Coach_Gen6_Super_Regio_Coach</v>
      </c>
      <c r="C788" t="s">
        <v>760</v>
      </c>
      <c r="D788" t="b">
        <f>OR(ISNUMBER(SEARCH("wagon_",Table1[[#This Row],[FILENAMES_EXPECTED]])),ISNUMBER(SEARCH("coach_",Table1[[#This Row],[FILENAMES_EXPECTED]])))</f>
        <v>1</v>
      </c>
      <c r="E788" t="str">
        <f>"item_"&amp;Table1[[#This Row],[VEHIDCODE]]</f>
        <v>item_mu_Coach_Gen6_Super_Regio_Coach</v>
      </c>
      <c r="F788" t="str">
        <f>"str_"&amp;Table1[[#This Row],[VEHIDCODE]]</f>
        <v>str_mu_Coach_Gen6_Super_Regio_Coach</v>
      </c>
      <c r="G788">
        <v>8</v>
      </c>
      <c r="H788" t="s">
        <v>326</v>
      </c>
      <c r="I788">
        <v>0</v>
      </c>
      <c r="J788" t="s">
        <v>35</v>
      </c>
      <c r="K788">
        <v>160</v>
      </c>
      <c r="L788">
        <v>2030</v>
      </c>
      <c r="M788">
        <v>8</v>
      </c>
      <c r="N788" s="2" t="s">
        <v>480</v>
      </c>
      <c r="O788" t="b">
        <v>1</v>
      </c>
      <c r="Q788" s="2"/>
      <c r="R788" t="s">
        <v>21</v>
      </c>
      <c r="S788">
        <v>1</v>
      </c>
      <c r="T788">
        <v>0</v>
      </c>
      <c r="U788" t="s">
        <v>711</v>
      </c>
      <c r="V788">
        <v>200</v>
      </c>
      <c r="W788" s="2">
        <v>0.3</v>
      </c>
      <c r="AF788" s="2" t="b">
        <v>1</v>
      </c>
      <c r="AO788" s="2" t="b">
        <v>1</v>
      </c>
      <c r="AX788" s="2" t="b">
        <v>1</v>
      </c>
      <c r="BA788" s="2"/>
      <c r="BB788" s="2" t="b">
        <f>LEN(_xlfn.CONCAT(Table1[[#This Row],[TRACK_TYPE_STANDARD_GAUGE_RAILTYPE_OHLE]:[TRACK_TYPE_MTRO]]))&gt;0</f>
        <v>1</v>
      </c>
      <c r="BC788" s="7">
        <v>25</v>
      </c>
      <c r="BD788" t="s">
        <v>936</v>
      </c>
      <c r="BE788" t="s">
        <v>922</v>
      </c>
      <c r="BF788" t="s">
        <v>940</v>
      </c>
      <c r="BG7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8">
        <v>0</v>
      </c>
      <c r="BI788" t="s">
        <v>734</v>
      </c>
      <c r="BK788" s="11"/>
      <c r="BL788" s="11">
        <v>41</v>
      </c>
      <c r="BM788">
        <v>0</v>
      </c>
      <c r="BN788" t="s">
        <v>692</v>
      </c>
      <c r="BO788" t="s">
        <v>694</v>
      </c>
      <c r="BP788" t="s">
        <v>701</v>
      </c>
      <c r="BQ788" t="s">
        <v>705</v>
      </c>
      <c r="BR788" t="s">
        <v>706</v>
      </c>
      <c r="BS788" t="s">
        <v>707</v>
      </c>
    </row>
    <row r="789" spans="1:71" x14ac:dyDescent="0.4">
      <c r="A789" s="2" t="s">
        <v>844</v>
      </c>
      <c r="B789" t="str">
        <f>_xlfn.TEXTAFTER(Table1[[#This Row],[VEHIDCODE]],"_")</f>
        <v>Coach_Gen6_Super_Voyager_Coach</v>
      </c>
      <c r="C789" t="s">
        <v>760</v>
      </c>
      <c r="D789" t="b">
        <f>OR(ISNUMBER(SEARCH("wagon_",Table1[[#This Row],[FILENAMES_EXPECTED]])),ISNUMBER(SEARCH("coach_",Table1[[#This Row],[FILENAMES_EXPECTED]])))</f>
        <v>1</v>
      </c>
      <c r="E789" t="str">
        <f>"item_"&amp;Table1[[#This Row],[VEHIDCODE]]</f>
        <v>item_mu_Coach_Gen6_Super_Voyager_Coach</v>
      </c>
      <c r="F789" t="str">
        <f>"str_"&amp;Table1[[#This Row],[VEHIDCODE]]</f>
        <v>str_mu_Coach_Gen6_Super_Voyager_Coach</v>
      </c>
      <c r="G789">
        <v>8</v>
      </c>
      <c r="H789" t="s">
        <v>326</v>
      </c>
      <c r="I789">
        <v>0</v>
      </c>
      <c r="J789" t="s">
        <v>35</v>
      </c>
      <c r="K789">
        <v>130</v>
      </c>
      <c r="L789">
        <v>2030</v>
      </c>
      <c r="M789">
        <v>8</v>
      </c>
      <c r="N789" s="2" t="s">
        <v>480</v>
      </c>
      <c r="O789" t="b">
        <v>1</v>
      </c>
      <c r="Q789" s="2"/>
      <c r="R789" t="s">
        <v>21</v>
      </c>
      <c r="S789">
        <v>1</v>
      </c>
      <c r="T789">
        <v>0</v>
      </c>
      <c r="U789" t="s">
        <v>711</v>
      </c>
      <c r="V789">
        <v>0</v>
      </c>
      <c r="W789" s="2">
        <v>0.3</v>
      </c>
      <c r="AF789" s="2" t="b">
        <v>1</v>
      </c>
      <c r="AO789" s="2" t="b">
        <v>1</v>
      </c>
      <c r="AX789" s="2" t="b">
        <v>1</v>
      </c>
      <c r="BA789" s="2"/>
      <c r="BB789" s="2" t="b">
        <f>LEN(_xlfn.CONCAT(Table1[[#This Row],[TRACK_TYPE_STANDARD_GAUGE_RAILTYPE_OHLE]:[TRACK_TYPE_MTRO]]))&gt;0</f>
        <v>1</v>
      </c>
      <c r="BC789" s="7">
        <v>25</v>
      </c>
      <c r="BD789" t="s">
        <v>936</v>
      </c>
      <c r="BE789" t="s">
        <v>922</v>
      </c>
      <c r="BF789" t="s">
        <v>940</v>
      </c>
      <c r="BG7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9">
        <v>0</v>
      </c>
      <c r="BI789" t="s">
        <v>734</v>
      </c>
      <c r="BK789" s="11"/>
      <c r="BL789" s="11">
        <v>43</v>
      </c>
      <c r="BM789">
        <v>0</v>
      </c>
      <c r="BN789" t="s">
        <v>692</v>
      </c>
      <c r="BO789" t="s">
        <v>694</v>
      </c>
      <c r="BP789" t="s">
        <v>701</v>
      </c>
      <c r="BQ789" t="s">
        <v>705</v>
      </c>
      <c r="BR789" t="s">
        <v>706</v>
      </c>
      <c r="BS789" t="s">
        <v>707</v>
      </c>
    </row>
  </sheetData>
  <phoneticPr fontId="18" type="noConversion"/>
  <conditionalFormatting sqref="BB1:BB1048576">
    <cfRule type="cellIs" dxfId="0" priority="1" operator="equal">
      <formula>FALSE</formula>
    </cfRule>
  </conditionalFormatting>
  <dataValidations count="8">
    <dataValidation type="whole" operator="greaterThanOrEqual" allowBlank="1" showInputMessage="1" showErrorMessage="1" sqref="G2:G789" xr:uid="{0865EA1E-ABFC-4E01-96F3-8D2EEBA448D0}">
      <formula1>1</formula1>
    </dataValidation>
    <dataValidation type="whole" allowBlank="1" showInputMessage="1" showErrorMessage="1" sqref="I2:I789" xr:uid="{D532A972-0628-451A-B00F-CE76775FDF58}">
      <formula1>0</formula1>
      <formula2>1</formula2>
    </dataValidation>
    <dataValidation type="whole" operator="greaterThanOrEqual" allowBlank="1" showInputMessage="1" showErrorMessage="1" sqref="K2:K789 S2:T789 V2:V789 BJ2:BS789" xr:uid="{121BD96A-2DFE-44C0-A710-3DBE00BD35FA}">
      <formula1>0</formula1>
    </dataValidation>
    <dataValidation type="whole" allowBlank="1" showInputMessage="1" showErrorMessage="1" sqref="L2:L789" xr:uid="{67EBE282-754C-436F-B481-745FB04717CE}">
      <formula1>1660</formula1>
      <formula2>3000</formula2>
    </dataValidation>
    <dataValidation type="whole" allowBlank="1" showInputMessage="1" showErrorMessage="1" sqref="M2:M789" xr:uid="{54690802-1671-499A-B20D-C087BAB93449}">
      <formula1>1</formula1>
      <formula2>20</formula2>
    </dataValidation>
    <dataValidation type="decimal" operator="greaterThanOrEqual" allowBlank="1" showInputMessage="1" showErrorMessage="1" sqref="W2:W789" xr:uid="{9E64A5F4-D14E-4661-B9F0-1FF49B580A61}">
      <formula1>0</formula1>
    </dataValidation>
    <dataValidation type="whole" allowBlank="1" showInputMessage="1" showErrorMessage="1" sqref="BC2:BC789" xr:uid="{A0BAD92D-1676-4592-8103-C538B2C29C6C}">
      <formula1>5</formula1>
      <formula2>100</formula2>
    </dataValidation>
    <dataValidation type="list" allowBlank="1" showInputMessage="1" showErrorMessage="1" sqref="AG790:BK1048576 X2:BB789" xr:uid="{49A9B598-B8DB-4809-AD01-29B98BDBD5F7}">
      <formula1>"TRUE"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1B0062-7632-4330-B743-85209701F723}">
          <x14:formula1>
            <xm:f>item_validation!$A$2:$A$17</xm:f>
          </x14:formula1>
          <xm:sqref>BD2:BE789</xm:sqref>
        </x14:dataValidation>
        <x14:dataValidation type="list" allowBlank="1" showInputMessage="1" showErrorMessage="1" xr:uid="{5168097A-AA03-41D9-BD83-206ED5178E49}">
          <x14:formula1>
            <xm:f>item_validation!$C$2:$C$3</xm:f>
          </x14:formula1>
          <xm:sqref>BF2:BF789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 x14ac:dyDescent="0.4"/>
  <sheetData>
    <row r="1" spans="1:1" x14ac:dyDescent="0.4">
      <c r="A1" t="s">
        <v>735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C17"/>
  <sheetViews>
    <sheetView workbookViewId="0">
      <selection activeCell="C1" sqref="C1:C3"/>
    </sheetView>
  </sheetViews>
  <sheetFormatPr defaultRowHeight="14.6" x14ac:dyDescent="0.4"/>
  <cols>
    <col min="1" max="1" width="17.765625" bestFit="1" customWidth="1"/>
    <col min="3" max="3" width="17.53515625" customWidth="1"/>
  </cols>
  <sheetData>
    <row r="1" spans="1:3" x14ac:dyDescent="0.4">
      <c r="A1" t="s">
        <v>938</v>
      </c>
      <c r="C1" t="s">
        <v>939</v>
      </c>
    </row>
    <row r="2" spans="1:3" x14ac:dyDescent="0.4">
      <c r="A2" t="s">
        <v>926</v>
      </c>
      <c r="C2" t="s">
        <v>940</v>
      </c>
    </row>
    <row r="3" spans="1:3" x14ac:dyDescent="0.4">
      <c r="A3" t="s">
        <v>935</v>
      </c>
      <c r="C3" t="s">
        <v>941</v>
      </c>
    </row>
    <row r="4" spans="1:3" x14ac:dyDescent="0.4">
      <c r="A4" t="s">
        <v>932</v>
      </c>
    </row>
    <row r="5" spans="1:3" x14ac:dyDescent="0.4">
      <c r="A5" t="s">
        <v>936</v>
      </c>
    </row>
    <row r="6" spans="1:3" x14ac:dyDescent="0.4">
      <c r="A6" t="s">
        <v>931</v>
      </c>
    </row>
    <row r="7" spans="1:3" x14ac:dyDescent="0.4">
      <c r="A7" t="s">
        <v>929</v>
      </c>
    </row>
    <row r="8" spans="1:3" x14ac:dyDescent="0.4">
      <c r="A8" t="s">
        <v>922</v>
      </c>
    </row>
    <row r="9" spans="1:3" x14ac:dyDescent="0.4">
      <c r="A9" t="s">
        <v>928</v>
      </c>
    </row>
    <row r="10" spans="1:3" x14ac:dyDescent="0.4">
      <c r="A10" t="s">
        <v>927</v>
      </c>
    </row>
    <row r="11" spans="1:3" x14ac:dyDescent="0.4">
      <c r="A11" t="s">
        <v>925</v>
      </c>
    </row>
    <row r="12" spans="1:3" x14ac:dyDescent="0.4">
      <c r="A12" t="s">
        <v>933</v>
      </c>
    </row>
    <row r="13" spans="1:3" x14ac:dyDescent="0.4">
      <c r="A13" t="s">
        <v>934</v>
      </c>
    </row>
    <row r="14" spans="1:3" x14ac:dyDescent="0.4">
      <c r="A14" t="s">
        <v>937</v>
      </c>
    </row>
    <row r="15" spans="1:3" x14ac:dyDescent="0.4">
      <c r="A15" t="s">
        <v>930</v>
      </c>
    </row>
    <row r="16" spans="1:3" x14ac:dyDescent="0.4">
      <c r="A16" t="s">
        <v>924</v>
      </c>
    </row>
    <row r="17" spans="1:1" x14ac:dyDescent="0.4">
      <c r="A17" t="s">
        <v>923</v>
      </c>
    </row>
  </sheetData>
  <sortState xmlns:xlrd2="http://schemas.microsoft.com/office/spreadsheetml/2017/richdata2" ref="A2:A17">
    <sortCondition ref="A2:A17"/>
  </sortState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properties</vt:lpstr>
      <vt:lpstr>copyright_text</vt:lpstr>
      <vt:lpstr>item_validation</vt:lpstr>
      <vt:lpstr>VALID_REGIONS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2026-03-24T12:39:45Z</dcterms:modified>
</cp:coreProperties>
</file>