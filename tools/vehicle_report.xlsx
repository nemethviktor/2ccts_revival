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25FC2C5D-F6FF-4CD9-9BD6-5EE1EC6DA779}" xr6:coauthVersionLast="47" xr6:coauthVersionMax="47" xr10:uidLastSave="{00000000-0000-0000-0000-000000000000}"/>
  <bookViews>
    <workbookView xWindow="-103" yWindow="-103" windowWidth="22149" windowHeight="13320" tabRatio="787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13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06" i="1" l="1"/>
  <c r="AF805" i="1"/>
  <c r="AD806" i="17"/>
  <c r="AD805" i="17"/>
  <c r="E805" i="17"/>
  <c r="E806" i="17"/>
  <c r="K805" i="17"/>
  <c r="K806" i="17"/>
  <c r="R805" i="17"/>
  <c r="R806" i="17"/>
  <c r="T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P804" i="14"/>
  <c r="O804" i="14"/>
  <c r="N804" i="14"/>
  <c r="L804" i="14"/>
  <c r="K804" i="14"/>
  <c r="J804" i="14"/>
  <c r="I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N803" i="14"/>
  <c r="O803" i="14"/>
  <c r="P803" i="14"/>
  <c r="AF802" i="1"/>
  <c r="AD802" i="17"/>
  <c r="K802" i="17"/>
  <c r="E802" i="17"/>
  <c r="R802" i="17"/>
  <c r="B802" i="14"/>
  <c r="I802" i="14"/>
  <c r="J802" i="14"/>
  <c r="K802" i="14"/>
  <c r="L802" i="14"/>
  <c r="N802" i="14"/>
  <c r="O802" i="14"/>
  <c r="P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N801" i="14"/>
  <c r="O801" i="14"/>
  <c r="P801" i="14"/>
  <c r="F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N800" i="14"/>
  <c r="O800" i="14"/>
  <c r="P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D798" i="17"/>
  <c r="E798" i="17"/>
  <c r="R798" i="17"/>
  <c r="T798" i="17" s="1"/>
  <c r="B798" i="14"/>
  <c r="I798" i="14"/>
  <c r="J798" i="14"/>
  <c r="K798" i="14"/>
  <c r="L798" i="14"/>
  <c r="N798" i="14"/>
  <c r="O798" i="14"/>
  <c r="P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N797" i="14"/>
  <c r="O797" i="14"/>
  <c r="P797" i="14"/>
  <c r="AF796" i="1"/>
  <c r="AD796" i="17"/>
  <c r="E796" i="17"/>
  <c r="R796" i="17"/>
  <c r="T796" i="17" s="1"/>
  <c r="B796" i="14"/>
  <c r="I796" i="14"/>
  <c r="J796" i="14"/>
  <c r="K796" i="14"/>
  <c r="L796" i="14"/>
  <c r="N796" i="14"/>
  <c r="O796" i="14"/>
  <c r="P796" i="14"/>
  <c r="AF795" i="1"/>
  <c r="AD795" i="17"/>
  <c r="R795" i="17"/>
  <c r="T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P794" i="14"/>
  <c r="O794" i="14"/>
  <c r="N794" i="14"/>
  <c r="L794" i="14"/>
  <c r="K794" i="14"/>
  <c r="J794" i="14"/>
  <c r="I794" i="14"/>
  <c r="B794" i="14"/>
  <c r="AF793" i="1"/>
  <c r="P793" i="17"/>
  <c r="AD793" i="17"/>
  <c r="R793" i="17"/>
  <c r="T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800" i="17" l="1" a="1"/>
  <c r="AE795" i="17" a="1"/>
  <c r="AE799" i="17" a="1"/>
  <c r="AE798" i="17" a="1"/>
  <c r="AE794" i="17" a="1"/>
  <c r="H804" i="14"/>
  <c r="AE792" i="17" a="1"/>
  <c r="AE515" i="17" a="1"/>
  <c r="AE522" i="17" a="1"/>
  <c r="AE791" i="17" a="1"/>
  <c r="AE797" i="17" a="1"/>
  <c r="E806" i="24"/>
  <c r="D806" i="24"/>
  <c r="B806" i="24"/>
  <c r="E805" i="24"/>
  <c r="D805" i="24"/>
  <c r="B805" i="24"/>
  <c r="F806" i="19"/>
  <c r="F805" i="19"/>
  <c r="AE806" i="17" a="1"/>
  <c r="AE805" i="17" a="1"/>
  <c r="AE523" i="17" a="1"/>
  <c r="AE524" i="17" a="1"/>
  <c r="AE525" i="17" a="1"/>
  <c r="AE526" i="17" a="1"/>
  <c r="AE527" i="17" a="1"/>
  <c r="AE544" i="17" a="1"/>
  <c r="AE545" i="17" a="1"/>
  <c r="AE547" i="17" a="1"/>
  <c r="AE577" i="17" a="1"/>
  <c r="AE578" i="17" a="1"/>
  <c r="AE667" i="17" a="1"/>
  <c r="AE668" i="17" a="1"/>
  <c r="AE669" i="17" a="1"/>
  <c r="AE670" i="17" a="1"/>
  <c r="AE671" i="17" a="1"/>
  <c r="AE672" i="17" a="1"/>
  <c r="AE673" i="17" a="1"/>
  <c r="AE674" i="17" a="1"/>
  <c r="AE675" i="17" a="1"/>
  <c r="AE676" i="17" a="1"/>
  <c r="AE677" i="17" a="1"/>
  <c r="AE678" i="17" a="1"/>
  <c r="AE679" i="17" a="1"/>
  <c r="AE680" i="17" a="1"/>
  <c r="AE681" i="17" a="1"/>
  <c r="AE682" i="17" a="1"/>
  <c r="AE683" i="17" a="1"/>
  <c r="AE684" i="17" a="1"/>
  <c r="AE685" i="17" a="1"/>
  <c r="AE686" i="17" a="1"/>
  <c r="AE687" i="17" a="1"/>
  <c r="AE688" i="17" a="1"/>
  <c r="AE689" i="17" a="1"/>
  <c r="AE690" i="17" a="1"/>
  <c r="AE691" i="17" a="1"/>
  <c r="AE692" i="17" a="1"/>
  <c r="AE693" i="17" a="1"/>
  <c r="AE694" i="17" a="1"/>
  <c r="AE695" i="17" a="1"/>
  <c r="AE696" i="17" a="1"/>
  <c r="AE697" i="17" a="1"/>
  <c r="AE698" i="17" a="1"/>
  <c r="AE714" i="17" a="1"/>
  <c r="AE715" i="17" a="1"/>
  <c r="AE716" i="17" a="1"/>
  <c r="AE717" i="17" a="1"/>
  <c r="AE718" i="17" a="1"/>
  <c r="AE719" i="17" a="1"/>
  <c r="AE720" i="17" a="1"/>
  <c r="AE721" i="17" a="1"/>
  <c r="AE722" i="17" a="1"/>
  <c r="AE723" i="17" a="1"/>
  <c r="AE724" i="17" a="1"/>
  <c r="AE725" i="17" a="1"/>
  <c r="AE726" i="17" a="1"/>
  <c r="AE727" i="17" a="1"/>
  <c r="AE728" i="17" a="1"/>
  <c r="AE729" i="17" a="1"/>
  <c r="AE730" i="17" a="1"/>
  <c r="AE731" i="17" a="1"/>
  <c r="AE732" i="17" a="1"/>
  <c r="AE733" i="17" a="1"/>
  <c r="AE734" i="17" a="1"/>
  <c r="AE735" i="17" a="1"/>
  <c r="AE736" i="17" a="1"/>
  <c r="AE737" i="17" a="1"/>
  <c r="AE738" i="17" a="1"/>
  <c r="AE739" i="17" a="1"/>
  <c r="AE740" i="17" a="1"/>
  <c r="AE741" i="17" a="1"/>
  <c r="AE742" i="17" a="1"/>
  <c r="AE743" i="17" a="1"/>
  <c r="AE744" i="17" a="1"/>
  <c r="AE745" i="17" a="1"/>
  <c r="AE746" i="17" a="1"/>
  <c r="AE747" i="17" a="1"/>
  <c r="AE748" i="17" a="1"/>
  <c r="AE749" i="17" a="1"/>
  <c r="AE750" i="17" a="1"/>
  <c r="AE751" i="17" a="1"/>
  <c r="AE752" i="17" a="1"/>
  <c r="AE753" i="17" a="1"/>
  <c r="AE754" i="17" a="1"/>
  <c r="AE755" i="17" a="1"/>
  <c r="AE756" i="17" a="1"/>
  <c r="AE757" i="17" a="1"/>
  <c r="AE758" i="17" a="1"/>
  <c r="AE759" i="17" a="1"/>
  <c r="AE760" i="17" a="1"/>
  <c r="AE761" i="17" a="1"/>
  <c r="AE762" i="17" a="1"/>
  <c r="AE763" i="17" a="1"/>
  <c r="AE764" i="17" a="1"/>
  <c r="AE765" i="17" a="1"/>
  <c r="AE766" i="17" a="1"/>
  <c r="AE767" i="17" a="1"/>
  <c r="AE768" i="17" a="1"/>
  <c r="AE769" i="17" a="1"/>
  <c r="AE770" i="17" a="1"/>
  <c r="AE771" i="17" a="1"/>
  <c r="AE772" i="17" a="1"/>
  <c r="AE773" i="17" a="1"/>
  <c r="AE774" i="17" a="1"/>
  <c r="AE775" i="17" a="1"/>
  <c r="AE776" i="17" a="1"/>
  <c r="AE777" i="17" a="1"/>
  <c r="AE778" i="17" a="1"/>
  <c r="AE779" i="17" a="1"/>
  <c r="AE780" i="17" a="1"/>
  <c r="AE528" i="17" a="1"/>
  <c r="AE546" i="17" a="1"/>
  <c r="AE549" i="17" a="1"/>
  <c r="AE552" i="17" a="1"/>
  <c r="AE554" i="17" a="1"/>
  <c r="AE556" i="17" a="1"/>
  <c r="AE558" i="17" a="1"/>
  <c r="AE560" i="17" a="1"/>
  <c r="AE562" i="17" a="1"/>
  <c r="AE564" i="17" a="1"/>
  <c r="AE566" i="17" a="1"/>
  <c r="AE568" i="17" a="1"/>
  <c r="AE570" i="17" a="1"/>
  <c r="AE572" i="17" a="1"/>
  <c r="AE574" i="17" a="1"/>
  <c r="AE576" i="17" a="1"/>
  <c r="AE543" i="17" a="1"/>
  <c r="AE548" i="17" a="1"/>
  <c r="AE550" i="17" a="1"/>
  <c r="AE551" i="17" a="1"/>
  <c r="AE553" i="17" a="1"/>
  <c r="AE555" i="17" a="1"/>
  <c r="AE557" i="17" a="1"/>
  <c r="AE559" i="17" a="1"/>
  <c r="AE561" i="17" a="1"/>
  <c r="AE563" i="17" a="1"/>
  <c r="AE565" i="17" a="1"/>
  <c r="AE567" i="17" a="1"/>
  <c r="AE569" i="17" a="1"/>
  <c r="AE571" i="17" a="1"/>
  <c r="AE573" i="17" a="1"/>
  <c r="AE575" i="17" a="1"/>
  <c r="T805" i="17"/>
  <c r="AE529" i="17" a="1"/>
  <c r="AE530" i="17" a="1"/>
  <c r="AE531" i="17" a="1"/>
  <c r="AE532" i="17" a="1"/>
  <c r="AE533" i="17" a="1"/>
  <c r="AE534" i="17" a="1"/>
  <c r="AE535" i="17" a="1"/>
  <c r="AE536" i="17" a="1"/>
  <c r="AE537" i="17" a="1"/>
  <c r="AE538" i="17" a="1"/>
  <c r="AE539" i="17" a="1"/>
  <c r="AE540" i="17" a="1"/>
  <c r="AE541" i="17" a="1"/>
  <c r="AE542" i="17" a="1"/>
  <c r="AE351" i="17" a="1"/>
  <c r="AE354" i="17" a="1"/>
  <c r="AE356" i="17" a="1"/>
  <c r="AE357" i="17" a="1"/>
  <c r="AE360" i="17" a="1"/>
  <c r="AE361" i="17" a="1"/>
  <c r="AE364" i="17" a="1"/>
  <c r="AE367" i="17" a="1"/>
  <c r="AE368" i="17" a="1"/>
  <c r="AE471" i="17" a="1"/>
  <c r="AE474" i="17" a="1"/>
  <c r="AE475" i="17" a="1"/>
  <c r="AE478" i="17" a="1"/>
  <c r="AE481" i="17" a="1"/>
  <c r="AE482" i="17" a="1"/>
  <c r="AE485" i="17" a="1"/>
  <c r="AE486" i="17" a="1"/>
  <c r="AE489" i="17" a="1"/>
  <c r="AE490" i="17" a="1"/>
  <c r="AE493" i="17" a="1"/>
  <c r="AE495" i="17" a="1"/>
  <c r="AE497" i="17" a="1"/>
  <c r="AE500" i="17" a="1"/>
  <c r="AE501" i="17" a="1"/>
  <c r="AE504" i="17" a="1"/>
  <c r="AE507" i="17" a="1"/>
  <c r="AE510" i="17" a="1"/>
  <c r="AE513" i="17" a="1"/>
  <c r="AE516" i="17" a="1"/>
  <c r="AE517" i="17" a="1"/>
  <c r="AE518" i="17" a="1"/>
  <c r="AE519" i="17" a="1"/>
  <c r="AE520" i="17" a="1"/>
  <c r="AE521" i="17" a="1"/>
  <c r="AE581" i="17" a="1"/>
  <c r="AE584" i="17" a="1"/>
  <c r="AE587" i="17" a="1"/>
  <c r="AE590" i="17" a="1"/>
  <c r="AE593" i="17" a="1"/>
  <c r="AE596" i="17" a="1"/>
  <c r="AE598" i="17" a="1"/>
  <c r="AE601" i="17" a="1"/>
  <c r="AE604" i="17" a="1"/>
  <c r="AE607" i="17" a="1"/>
  <c r="AE609" i="17" a="1"/>
  <c r="AE611" i="17" a="1"/>
  <c r="AE613" i="17" a="1"/>
  <c r="AE616" i="17" a="1"/>
  <c r="AE620" i="17" a="1"/>
  <c r="AE623" i="17" a="1"/>
  <c r="AE626" i="17" a="1"/>
  <c r="AE633" i="17" a="1"/>
  <c r="AE636" i="17" a="1"/>
  <c r="AE639" i="17" a="1"/>
  <c r="AE641" i="17" a="1"/>
  <c r="AE645" i="17" a="1"/>
  <c r="AE648" i="17" a="1"/>
  <c r="AE651" i="17" a="1"/>
  <c r="AE653" i="17" a="1"/>
  <c r="AE656" i="17" a="1"/>
  <c r="AE660" i="17" a="1"/>
  <c r="AE662" i="17" a="1"/>
  <c r="AE665" i="17" a="1"/>
  <c r="AE339" i="17" a="1"/>
  <c r="AE341" i="17" a="1"/>
  <c r="AE344" i="17" a="1"/>
  <c r="AE346" i="17" a="1"/>
  <c r="AE348" i="17" a="1"/>
  <c r="AE350" i="17" a="1"/>
  <c r="AE352" i="17" a="1"/>
  <c r="AE355" i="17" a="1"/>
  <c r="AE358" i="17" a="1"/>
  <c r="AE362" i="17" a="1"/>
  <c r="AE366" i="17" a="1"/>
  <c r="AE469" i="17" a="1"/>
  <c r="AE472" i="17" a="1"/>
  <c r="AE477" i="17" a="1"/>
  <c r="AE479" i="17" a="1"/>
  <c r="AE483" i="17" a="1"/>
  <c r="AE487" i="17" a="1"/>
  <c r="AE491" i="17" a="1"/>
  <c r="AE494" i="17" a="1"/>
  <c r="AE498" i="17" a="1"/>
  <c r="AE502" i="17" a="1"/>
  <c r="AE505" i="17" a="1"/>
  <c r="AE508" i="17" a="1"/>
  <c r="AE511" i="17" a="1"/>
  <c r="AE514" i="17" a="1"/>
  <c r="AE582" i="17" a="1"/>
  <c r="AE585" i="17" a="1"/>
  <c r="AE588" i="17" a="1"/>
  <c r="AE591" i="17" a="1"/>
  <c r="AE595" i="17" a="1"/>
  <c r="AE599" i="17" a="1"/>
  <c r="AE602" i="17" a="1"/>
  <c r="AE605" i="17" a="1"/>
  <c r="AE608" i="17" a="1"/>
  <c r="AE610" i="17" a="1"/>
  <c r="AE615" i="17" a="1"/>
  <c r="AE618" i="17" a="1"/>
  <c r="AE621" i="17" a="1"/>
  <c r="AE624" i="17" a="1"/>
  <c r="AE629" i="17" a="1"/>
  <c r="AE631" i="17" a="1"/>
  <c r="AE634" i="17" a="1"/>
  <c r="AE637" i="17" a="1"/>
  <c r="AE640" i="17" a="1"/>
  <c r="AE643" i="17" a="1"/>
  <c r="AE646" i="17" a="1"/>
  <c r="AE649" i="17" a="1"/>
  <c r="AE652" i="17" a="1"/>
  <c r="AE655" i="17" a="1"/>
  <c r="AE658" i="17" a="1"/>
  <c r="AE661" i="17" a="1"/>
  <c r="AE664" i="17" a="1"/>
  <c r="AE340" i="17" a="1"/>
  <c r="AE342" i="17" a="1"/>
  <c r="AE343" i="17" a="1"/>
  <c r="AE345" i="17" a="1"/>
  <c r="AE347" i="17" a="1"/>
  <c r="AE349" i="17" a="1"/>
  <c r="AE353" i="17" a="1"/>
  <c r="AE359" i="17" a="1"/>
  <c r="AE363" i="17" a="1"/>
  <c r="AE365" i="17" a="1"/>
  <c r="AE470" i="17" a="1"/>
  <c r="AE473" i="17" a="1"/>
  <c r="AE476" i="17" a="1"/>
  <c r="AE480" i="17" a="1"/>
  <c r="AE484" i="17" a="1"/>
  <c r="AE488" i="17" a="1"/>
  <c r="AE492" i="17" a="1"/>
  <c r="AE496" i="17" a="1"/>
  <c r="AE499" i="17" a="1"/>
  <c r="AE503" i="17" a="1"/>
  <c r="AE506" i="17" a="1"/>
  <c r="AE509" i="17" a="1"/>
  <c r="AE512" i="17" a="1"/>
  <c r="AE579" i="17" a="1"/>
  <c r="AE580" i="17" a="1"/>
  <c r="AE583" i="17" a="1"/>
  <c r="AE586" i="17" a="1"/>
  <c r="AE589" i="17" a="1"/>
  <c r="AE592" i="17" a="1"/>
  <c r="AE594" i="17" a="1"/>
  <c r="AE597" i="17" a="1"/>
  <c r="AE600" i="17" a="1"/>
  <c r="AE603" i="17" a="1"/>
  <c r="AE606" i="17" a="1"/>
  <c r="AE612" i="17" a="1"/>
  <c r="AE614" i="17" a="1"/>
  <c r="AE617" i="17" a="1"/>
  <c r="AE619" i="17" a="1"/>
  <c r="AE622" i="17" a="1"/>
  <c r="AE625" i="17" a="1"/>
  <c r="AE627" i="17" a="1"/>
  <c r="AE628" i="17" a="1"/>
  <c r="AE630" i="17" a="1"/>
  <c r="AE632" i="17" a="1"/>
  <c r="AE635" i="17" a="1"/>
  <c r="AE638" i="17" a="1"/>
  <c r="AE642" i="17" a="1"/>
  <c r="AE644" i="17" a="1"/>
  <c r="AE647" i="17" a="1"/>
  <c r="AE650" i="17" a="1"/>
  <c r="AE654" i="17" a="1"/>
  <c r="AE657" i="17" a="1"/>
  <c r="AE659" i="17" a="1"/>
  <c r="AE663" i="17" a="1"/>
  <c r="AE666" i="17" a="1"/>
  <c r="E806" i="14"/>
  <c r="H806" i="14"/>
  <c r="AE306" i="17" a="1"/>
  <c r="AE307" i="17" a="1"/>
  <c r="AE308" i="17" a="1"/>
  <c r="AE309" i="17" a="1"/>
  <c r="AE310" i="17" a="1"/>
  <c r="AE311" i="17" a="1"/>
  <c r="AE312" i="17" a="1"/>
  <c r="AE313" i="17" a="1"/>
  <c r="AE314" i="17" a="1"/>
  <c r="AE315" i="17" a="1"/>
  <c r="AE316" i="17" a="1"/>
  <c r="AE317" i="17" a="1"/>
  <c r="AE318" i="17" a="1"/>
  <c r="AE319" i="17" a="1"/>
  <c r="AE320" i="17" a="1"/>
  <c r="AE321" i="17" a="1"/>
  <c r="AE322" i="17" a="1"/>
  <c r="AE323" i="17" a="1"/>
  <c r="AE324" i="17" a="1"/>
  <c r="AE325" i="17" a="1"/>
  <c r="AE326" i="17" a="1"/>
  <c r="AE327" i="17" a="1"/>
  <c r="AE328" i="17" a="1"/>
  <c r="AE329" i="17" a="1"/>
  <c r="AE330" i="17" a="1"/>
  <c r="AE331" i="17" a="1"/>
  <c r="AE332" i="17" a="1"/>
  <c r="AE333" i="17" a="1"/>
  <c r="AE334" i="17" a="1"/>
  <c r="AE335" i="17" a="1"/>
  <c r="AE336" i="17" a="1"/>
  <c r="AE337" i="17" a="1"/>
  <c r="AE338" i="17" a="1"/>
  <c r="AE781" i="17" a="1"/>
  <c r="AE782" i="17" a="1"/>
  <c r="AE783" i="17" a="1"/>
  <c r="AE784" i="17" a="1"/>
  <c r="AE785" i="17" a="1"/>
  <c r="AE786" i="17" a="1"/>
  <c r="AE787" i="17" a="1"/>
  <c r="AE788" i="17" a="1"/>
  <c r="AE789" i="17" a="1"/>
  <c r="AE790" i="17" a="1"/>
  <c r="AE793" i="17" a="1"/>
  <c r="AE796" i="17" a="1"/>
  <c r="AE801" i="17" a="1"/>
  <c r="AE802" i="17" a="1"/>
  <c r="AE803" i="17" a="1"/>
  <c r="AE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E5" i="17" a="1"/>
  <c r="AE9" i="17" a="1"/>
  <c r="AE13" i="17" a="1"/>
  <c r="AE16" i="17" a="1"/>
  <c r="AE19" i="17" a="1"/>
  <c r="AE23" i="17" a="1"/>
  <c r="AE25" i="17" a="1"/>
  <c r="AE28" i="17" a="1"/>
  <c r="AE32" i="17" a="1"/>
  <c r="AE36" i="17" a="1"/>
  <c r="AE39" i="17" a="1"/>
  <c r="AE42" i="17" a="1"/>
  <c r="AE46" i="17" a="1"/>
  <c r="AE50" i="17" a="1"/>
  <c r="AE54" i="17" a="1"/>
  <c r="AE58" i="17" a="1"/>
  <c r="AE62" i="17" a="1"/>
  <c r="AE67" i="17" a="1"/>
  <c r="AE71" i="17" a="1"/>
  <c r="AE75" i="17" a="1"/>
  <c r="AE79" i="17" a="1"/>
  <c r="AE83" i="17" a="1"/>
  <c r="AE87" i="17" a="1"/>
  <c r="AE90" i="17" a="1"/>
  <c r="AE96" i="17" a="1"/>
  <c r="AE99" i="17" a="1"/>
  <c r="AE103" i="17" a="1"/>
  <c r="AE108" i="17" a="1"/>
  <c r="AE112" i="17" a="1"/>
  <c r="AE116" i="17" a="1"/>
  <c r="AE119" i="17" a="1"/>
  <c r="AE121" i="17" a="1"/>
  <c r="AE124" i="17" a="1"/>
  <c r="AE147" i="17" a="1"/>
  <c r="AE150" i="17" a="1"/>
  <c r="AE153" i="17" a="1"/>
  <c r="AE156" i="17" a="1"/>
  <c r="AE159" i="17" a="1"/>
  <c r="AE162" i="17" a="1"/>
  <c r="AE165" i="17" a="1"/>
  <c r="AE167" i="17" a="1"/>
  <c r="AE170" i="17" a="1"/>
  <c r="AE173" i="17" a="1"/>
  <c r="AE176" i="17" a="1"/>
  <c r="AE180" i="17" a="1"/>
  <c r="AE183" i="17" a="1"/>
  <c r="AE186" i="17" a="1"/>
  <c r="AE189" i="17" a="1"/>
  <c r="AE192" i="17" a="1"/>
  <c r="AE195" i="17" a="1"/>
  <c r="AE198" i="17" a="1"/>
  <c r="AE201" i="17" a="1"/>
  <c r="AE204" i="17" a="1"/>
  <c r="AE207" i="17" a="1"/>
  <c r="AE210" i="17" a="1"/>
  <c r="AE210" i="17" s="1"/>
  <c r="AE213" i="17" a="1"/>
  <c r="AE213" i="17" s="1"/>
  <c r="AE216" i="17" a="1"/>
  <c r="AE216" i="17" s="1"/>
  <c r="AE219" i="17" a="1"/>
  <c r="AE219" i="17" s="1"/>
  <c r="AE222" i="17" a="1"/>
  <c r="AE222" i="17" s="1"/>
  <c r="AE225" i="17" a="1"/>
  <c r="AE228" i="17" a="1"/>
  <c r="AE231" i="17" a="1"/>
  <c r="AE234" i="17" a="1"/>
  <c r="AE237" i="17" a="1"/>
  <c r="AE240" i="17" a="1"/>
  <c r="AE243" i="17" a="1"/>
  <c r="AE246" i="17" a="1"/>
  <c r="AE249" i="17" a="1"/>
  <c r="AE252" i="17" a="1"/>
  <c r="AE255" i="17" a="1"/>
  <c r="AE258" i="17" a="1"/>
  <c r="AE260" i="17" a="1"/>
  <c r="AE264" i="17" a="1"/>
  <c r="AE267" i="17" a="1"/>
  <c r="AE270" i="17" a="1"/>
  <c r="AE273" i="17" a="1"/>
  <c r="AE276" i="17" a="1"/>
  <c r="AE279" i="17" a="1"/>
  <c r="AE282" i="17" a="1"/>
  <c r="AE284" i="17" a="1"/>
  <c r="AE286" i="17" a="1"/>
  <c r="AE288" i="17" a="1"/>
  <c r="AE291" i="17" a="1"/>
  <c r="AE294" i="17" a="1"/>
  <c r="AE297" i="17" a="1"/>
  <c r="AE299" i="17" a="1"/>
  <c r="AE302" i="17" a="1"/>
  <c r="AE305" i="17" a="1"/>
  <c r="AE369" i="17" a="1"/>
  <c r="AE370" i="17" a="1"/>
  <c r="AE371" i="17" a="1"/>
  <c r="AE372" i="17" a="1"/>
  <c r="AE373" i="17" a="1"/>
  <c r="AE374" i="17" a="1"/>
  <c r="AE375" i="17" a="1"/>
  <c r="AE376" i="17" a="1"/>
  <c r="AE377" i="17" a="1"/>
  <c r="AE378" i="17" a="1"/>
  <c r="AE379" i="17" a="1"/>
  <c r="AE380" i="17" a="1"/>
  <c r="AE381" i="17" a="1"/>
  <c r="AE382" i="17" a="1"/>
  <c r="AE383" i="17" a="1"/>
  <c r="AE384" i="17" a="1"/>
  <c r="AE385" i="17" a="1"/>
  <c r="AE386" i="17" a="1"/>
  <c r="AE387" i="17" a="1"/>
  <c r="AE388" i="17" a="1"/>
  <c r="AE389" i="17" a="1"/>
  <c r="AE390" i="17" a="1"/>
  <c r="AE391" i="17" a="1"/>
  <c r="AE392" i="17" a="1"/>
  <c r="AE393" i="17" a="1"/>
  <c r="AE394" i="17" a="1"/>
  <c r="AE395" i="17" a="1"/>
  <c r="AE396" i="17" a="1"/>
  <c r="AE397" i="17" a="1"/>
  <c r="AE398" i="17" a="1"/>
  <c r="AE399" i="17" a="1"/>
  <c r="AE400" i="17" a="1"/>
  <c r="AE401" i="17" a="1"/>
  <c r="AE402" i="17" a="1"/>
  <c r="AE403" i="17" a="1"/>
  <c r="AE404" i="17" a="1"/>
  <c r="AE405" i="17" a="1"/>
  <c r="AE406" i="17" a="1"/>
  <c r="AE407" i="17" a="1"/>
  <c r="AE408" i="17" a="1"/>
  <c r="AE409" i="17" a="1"/>
  <c r="AE410" i="17" a="1"/>
  <c r="AE411" i="17" a="1"/>
  <c r="AE412" i="17" a="1"/>
  <c r="AE413" i="17" a="1"/>
  <c r="AE414" i="17" a="1"/>
  <c r="AE415" i="17" a="1"/>
  <c r="AE416" i="17" a="1"/>
  <c r="AE417" i="17" a="1"/>
  <c r="AE418" i="17" a="1"/>
  <c r="AE419" i="17" a="1"/>
  <c r="AE419" i="17" s="1"/>
  <c r="AE420" i="17" a="1"/>
  <c r="AE420" i="17" s="1"/>
  <c r="AE421" i="17" a="1"/>
  <c r="AE421" i="17" s="1"/>
  <c r="AE422" i="17" a="1"/>
  <c r="AE422" i="17" s="1"/>
  <c r="AE423" i="17" a="1"/>
  <c r="AE423" i="17" s="1"/>
  <c r="AE424" i="17" a="1"/>
  <c r="AE424" i="17" s="1"/>
  <c r="AE425" i="17" a="1"/>
  <c r="AE425" i="17" s="1"/>
  <c r="AE426" i="17" a="1"/>
  <c r="AE426" i="17" s="1"/>
  <c r="AE427" i="17" a="1"/>
  <c r="AE427" i="17" s="1"/>
  <c r="AE428" i="17" a="1"/>
  <c r="AE428" i="17" s="1"/>
  <c r="AE429" i="17" a="1"/>
  <c r="AE429" i="17" s="1"/>
  <c r="AE430" i="17" a="1"/>
  <c r="AE430" i="17" s="1"/>
  <c r="AE431" i="17" a="1"/>
  <c r="AE431" i="17" s="1"/>
  <c r="AE432" i="17" a="1"/>
  <c r="AE432" i="17" s="1"/>
  <c r="AE433" i="17" a="1"/>
  <c r="AE433" i="17" s="1"/>
  <c r="AE434" i="17" a="1"/>
  <c r="AE434" i="17" s="1"/>
  <c r="AE435" i="17" a="1"/>
  <c r="AE435" i="17" s="1"/>
  <c r="AE436" i="17" a="1"/>
  <c r="AE436" i="17" s="1"/>
  <c r="AE437" i="17" a="1"/>
  <c r="AE437" i="17" s="1"/>
  <c r="AE438" i="17" a="1"/>
  <c r="AE438" i="17" s="1"/>
  <c r="AE439" i="17" a="1"/>
  <c r="AE440" i="17" a="1"/>
  <c r="AE441" i="17" a="1"/>
  <c r="AE442" i="17" a="1"/>
  <c r="AE443" i="17" a="1"/>
  <c r="AE444" i="17" a="1"/>
  <c r="AE445" i="17" a="1"/>
  <c r="AE446" i="17" a="1"/>
  <c r="AE447" i="17" a="1"/>
  <c r="AE448" i="17" a="1"/>
  <c r="AE449" i="17" a="1"/>
  <c r="AE450" i="17" a="1"/>
  <c r="AE451" i="17" a="1"/>
  <c r="AE452" i="17" a="1"/>
  <c r="AE453" i="17" a="1"/>
  <c r="AE454" i="17" a="1"/>
  <c r="AE455" i="17" a="1"/>
  <c r="AE456" i="17" a="1"/>
  <c r="AE457" i="17" a="1"/>
  <c r="AE458" i="17" a="1"/>
  <c r="AE459" i="17" a="1"/>
  <c r="AE460" i="17" a="1"/>
  <c r="AE461" i="17" a="1"/>
  <c r="AE462" i="17" a="1"/>
  <c r="AE463" i="17" a="1"/>
  <c r="AE464" i="17" a="1"/>
  <c r="AE465" i="17" a="1"/>
  <c r="AE466" i="17" a="1"/>
  <c r="AE467" i="17" a="1"/>
  <c r="AE468" i="17" a="1"/>
  <c r="AE699" i="17" a="1"/>
  <c r="AE700" i="17" a="1"/>
  <c r="AE701" i="17" a="1"/>
  <c r="AE702" i="17" a="1"/>
  <c r="AE703" i="17" a="1"/>
  <c r="AE704" i="17" a="1"/>
  <c r="AE705" i="17" a="1"/>
  <c r="AE706" i="17" a="1"/>
  <c r="AE707" i="17" a="1"/>
  <c r="AE708" i="17" a="1"/>
  <c r="AE709" i="17" a="1"/>
  <c r="AE710" i="17" a="1"/>
  <c r="AE711" i="17" a="1"/>
  <c r="AE712" i="17" a="1"/>
  <c r="AE713" i="17" a="1"/>
  <c r="AE49" i="17" a="1"/>
  <c r="AE55" i="17" a="1"/>
  <c r="AE60" i="17" a="1"/>
  <c r="AE64" i="17" a="1"/>
  <c r="AE69" i="17" a="1"/>
  <c r="AE74" i="17" a="1"/>
  <c r="AE78" i="17" a="1"/>
  <c r="AE82" i="17" a="1"/>
  <c r="AE86" i="17" a="1"/>
  <c r="AE91" i="17" a="1"/>
  <c r="AE95" i="17" a="1"/>
  <c r="AE100" i="17" a="1"/>
  <c r="AE104" i="17" a="1"/>
  <c r="AE109" i="17" a="1"/>
  <c r="AE113" i="17" a="1"/>
  <c r="AE117" i="17" a="1"/>
  <c r="AE120" i="17" a="1"/>
  <c r="AE123" i="17" a="1"/>
  <c r="AE126" i="17" a="1"/>
  <c r="AE128" i="17" a="1"/>
  <c r="AE130" i="17" a="1"/>
  <c r="AE132" i="17" a="1"/>
  <c r="AE134" i="17" a="1"/>
  <c r="AE136" i="17" a="1"/>
  <c r="AE138" i="17" a="1"/>
  <c r="AE140" i="17" a="1"/>
  <c r="AE142" i="17" a="1"/>
  <c r="AE144" i="17" a="1"/>
  <c r="AE146" i="17" a="1"/>
  <c r="AE149" i="17" a="1"/>
  <c r="AE152" i="17" a="1"/>
  <c r="AE155" i="17" a="1"/>
  <c r="AE158" i="17" a="1"/>
  <c r="AE161" i="17" a="1"/>
  <c r="AE164" i="17" a="1"/>
  <c r="AE168" i="17" a="1"/>
  <c r="AE171" i="17" a="1"/>
  <c r="AE174" i="17" a="1"/>
  <c r="AE177" i="17" a="1"/>
  <c r="AE179" i="17" a="1"/>
  <c r="AE182" i="17" a="1"/>
  <c r="AE185" i="17" a="1"/>
  <c r="AE188" i="17" a="1"/>
  <c r="AE191" i="17" a="1"/>
  <c r="AE194" i="17" a="1"/>
  <c r="AE197" i="17" a="1"/>
  <c r="AE200" i="17" a="1"/>
  <c r="AE203" i="17" a="1"/>
  <c r="AE206" i="17" a="1"/>
  <c r="AE209" i="17" a="1"/>
  <c r="AE212" i="17" a="1"/>
  <c r="AE212" i="17" s="1"/>
  <c r="AE215" i="17" a="1"/>
  <c r="AE215" i="17" s="1"/>
  <c r="AE218" i="17" a="1"/>
  <c r="AE218" i="17" s="1"/>
  <c r="AE221" i="17" a="1"/>
  <c r="AE221" i="17" s="1"/>
  <c r="AE224" i="17" a="1"/>
  <c r="AE224" i="17" s="1"/>
  <c r="AE227" i="17" a="1"/>
  <c r="AE230" i="17" a="1"/>
  <c r="AE233" i="17" a="1"/>
  <c r="AE236" i="17" a="1"/>
  <c r="AE239" i="17" a="1"/>
  <c r="AE242" i="17" a="1"/>
  <c r="AE245" i="17" a="1"/>
  <c r="AE248" i="17" a="1"/>
  <c r="AE251" i="17" a="1"/>
  <c r="AE254" i="17" a="1"/>
  <c r="AE257" i="17" a="1"/>
  <c r="AE261" i="17" a="1"/>
  <c r="AE263" i="17" a="1"/>
  <c r="AE266" i="17" a="1"/>
  <c r="AE269" i="17" a="1"/>
  <c r="AE272" i="17" a="1"/>
  <c r="AE274" i="17" a="1"/>
  <c r="AE277" i="17" a="1"/>
  <c r="AE280" i="17" a="1"/>
  <c r="AE283" i="17" a="1"/>
  <c r="AE285" i="17" a="1"/>
  <c r="AE287" i="17" a="1"/>
  <c r="AE289" i="17" a="1"/>
  <c r="AE292" i="17" a="1"/>
  <c r="AE295" i="17" a="1"/>
  <c r="AE298" i="17" a="1"/>
  <c r="AE301" i="17" a="1"/>
  <c r="AE304" i="17" a="1"/>
  <c r="AE2" i="17" a="1"/>
  <c r="AE2" i="17" s="1"/>
  <c r="AE3" i="17" a="1"/>
  <c r="AE4" i="17" a="1"/>
  <c r="AE6" i="17" a="1"/>
  <c r="AE6" i="17" s="1"/>
  <c r="AE7" i="17" a="1"/>
  <c r="AE8" i="17" a="1"/>
  <c r="AE10" i="17" a="1"/>
  <c r="AE11" i="17" a="1"/>
  <c r="AE12" i="17" a="1"/>
  <c r="AE14" i="17" a="1"/>
  <c r="AE15" i="17" a="1"/>
  <c r="AE17" i="17" a="1"/>
  <c r="AE18" i="17" a="1"/>
  <c r="AE20" i="17" a="1"/>
  <c r="AE21" i="17" a="1"/>
  <c r="AE22" i="17" a="1"/>
  <c r="AE24" i="17" a="1"/>
  <c r="AE26" i="17" a="1"/>
  <c r="AE27" i="17" a="1"/>
  <c r="AE29" i="17" a="1"/>
  <c r="AE30" i="17" a="1"/>
  <c r="AE31" i="17" a="1"/>
  <c r="AE33" i="17" a="1"/>
  <c r="AE34" i="17" a="1"/>
  <c r="AE35" i="17" a="1"/>
  <c r="AE37" i="17" a="1"/>
  <c r="AE37" i="17" s="1"/>
  <c r="AE38" i="17" a="1"/>
  <c r="AE40" i="17" a="1"/>
  <c r="AE41" i="17" a="1"/>
  <c r="AE43" i="17" a="1"/>
  <c r="AE44" i="17" a="1"/>
  <c r="AE45" i="17" a="1"/>
  <c r="AE47" i="17" a="1"/>
  <c r="AE48" i="17" a="1"/>
  <c r="AE51" i="17" a="1"/>
  <c r="AE52" i="17" a="1"/>
  <c r="AE53" i="17" a="1"/>
  <c r="AE56" i="17" a="1"/>
  <c r="AE57" i="17" a="1"/>
  <c r="AE59" i="17" a="1"/>
  <c r="AE61" i="17" a="1"/>
  <c r="AE63" i="17" a="1"/>
  <c r="AE65" i="17" a="1"/>
  <c r="AE66" i="17" a="1"/>
  <c r="AE68" i="17" a="1"/>
  <c r="AE70" i="17" a="1"/>
  <c r="AE72" i="17" a="1"/>
  <c r="AE73" i="17" a="1"/>
  <c r="AE76" i="17" a="1"/>
  <c r="AE77" i="17" a="1"/>
  <c r="AE80" i="17" a="1"/>
  <c r="AE81" i="17" a="1"/>
  <c r="AE84" i="17" a="1"/>
  <c r="AE85" i="17" a="1"/>
  <c r="AE88" i="17" a="1"/>
  <c r="AE89" i="17" a="1"/>
  <c r="AE92" i="17" a="1"/>
  <c r="AE93" i="17" a="1"/>
  <c r="AE94" i="17" a="1"/>
  <c r="AE97" i="17" a="1"/>
  <c r="AE98" i="17" a="1"/>
  <c r="AE101" i="17" a="1"/>
  <c r="AE102" i="17" a="1"/>
  <c r="AE105" i="17" a="1"/>
  <c r="AE106" i="17" a="1"/>
  <c r="AE107" i="17" a="1"/>
  <c r="AE110" i="17" a="1"/>
  <c r="AE111" i="17" a="1"/>
  <c r="AE114" i="17" a="1"/>
  <c r="AE115" i="17" a="1"/>
  <c r="AE118" i="17" a="1"/>
  <c r="AE122" i="17" a="1"/>
  <c r="AE125" i="17" a="1"/>
  <c r="AE127" i="17" a="1"/>
  <c r="AE129" i="17" a="1"/>
  <c r="AE131" i="17" a="1"/>
  <c r="AE133" i="17" a="1"/>
  <c r="AE135" i="17" a="1"/>
  <c r="AE137" i="17" a="1"/>
  <c r="AE139" i="17" a="1"/>
  <c r="AE141" i="17" a="1"/>
  <c r="AE143" i="17" a="1"/>
  <c r="AE145" i="17" a="1"/>
  <c r="AE148" i="17" a="1"/>
  <c r="AE151" i="17" a="1"/>
  <c r="AE154" i="17" a="1"/>
  <c r="AE157" i="17" a="1"/>
  <c r="AE160" i="17" a="1"/>
  <c r="AE163" i="17" a="1"/>
  <c r="AE166" i="17" a="1"/>
  <c r="AE169" i="17" a="1"/>
  <c r="AE172" i="17" a="1"/>
  <c r="AE175" i="17" a="1"/>
  <c r="AE178" i="17" a="1"/>
  <c r="AE181" i="17" a="1"/>
  <c r="AE184" i="17" a="1"/>
  <c r="AE187" i="17" a="1"/>
  <c r="AE190" i="17" a="1"/>
  <c r="AE193" i="17" a="1"/>
  <c r="AE196" i="17" a="1"/>
  <c r="AE199" i="17" a="1"/>
  <c r="AE202" i="17" a="1"/>
  <c r="AE205" i="17" a="1"/>
  <c r="AE208" i="17" a="1"/>
  <c r="AE211" i="17" a="1"/>
  <c r="AE211" i="17" s="1"/>
  <c r="AE214" i="17" a="1"/>
  <c r="AE214" i="17" s="1"/>
  <c r="AE217" i="17" a="1"/>
  <c r="AE217" i="17" s="1"/>
  <c r="AE220" i="17" a="1"/>
  <c r="AE220" i="17" s="1"/>
  <c r="AE223" i="17" a="1"/>
  <c r="AE223" i="17" s="1"/>
  <c r="AE226" i="17" a="1"/>
  <c r="AE229" i="17" a="1"/>
  <c r="AE232" i="17" a="1"/>
  <c r="AE235" i="17" a="1"/>
  <c r="AE238" i="17" a="1"/>
  <c r="AE241" i="17" a="1"/>
  <c r="AE244" i="17" a="1"/>
  <c r="AE247" i="17" a="1"/>
  <c r="AE250" i="17" a="1"/>
  <c r="AE253" i="17" a="1"/>
  <c r="AE256" i="17" a="1"/>
  <c r="AE259" i="17" a="1"/>
  <c r="AE262" i="17" a="1"/>
  <c r="AE265" i="17" a="1"/>
  <c r="AE268" i="17" a="1"/>
  <c r="AE271" i="17" a="1"/>
  <c r="AE275" i="17" a="1"/>
  <c r="AE278" i="17" a="1"/>
  <c r="AE281" i="17" a="1"/>
  <c r="AE290" i="17" a="1"/>
  <c r="AE293" i="17" a="1"/>
  <c r="AE296" i="17" a="1"/>
  <c r="AE300" i="17" a="1"/>
  <c r="AE303" i="17" a="1"/>
  <c r="AE515" i="17"/>
  <c r="AE798" i="17"/>
  <c r="C798" i="24" s="1"/>
  <c r="AE799" i="17"/>
  <c r="C799" i="24" s="1"/>
  <c r="AE797" i="17"/>
  <c r="C797" i="24" s="1"/>
  <c r="AE522" i="17"/>
  <c r="AE800" i="17"/>
  <c r="C800" i="24" s="1"/>
  <c r="AE794" i="17"/>
  <c r="AE791" i="17"/>
  <c r="AE792" i="17"/>
  <c r="AE795" i="17"/>
  <c r="C795" i="24" s="1"/>
  <c r="F804" i="19"/>
  <c r="F564" i="19"/>
  <c r="T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M791" i="14" s="1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M774" i="14" s="1"/>
  <c r="B773" i="24"/>
  <c r="M773" i="14" s="1"/>
  <c r="B772" i="24"/>
  <c r="M772" i="14" s="1"/>
  <c r="B771" i="24"/>
  <c r="M771" i="14" s="1"/>
  <c r="B770" i="24"/>
  <c r="M770" i="14" s="1"/>
  <c r="B769" i="24"/>
  <c r="M769" i="14" s="1"/>
  <c r="B768" i="24"/>
  <c r="M768" i="14" s="1"/>
  <c r="B767" i="24"/>
  <c r="M767" i="14" s="1"/>
  <c r="B766" i="24"/>
  <c r="M766" i="14" s="1"/>
  <c r="B765" i="24"/>
  <c r="M765" i="14" s="1"/>
  <c r="B764" i="24"/>
  <c r="M764" i="14" s="1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M735" i="14" s="1"/>
  <c r="B734" i="24"/>
  <c r="M734" i="14" s="1"/>
  <c r="B733" i="24"/>
  <c r="M733" i="14" s="1"/>
  <c r="B732" i="24"/>
  <c r="M732" i="14" s="1"/>
  <c r="B731" i="24"/>
  <c r="M731" i="14" s="1"/>
  <c r="B730" i="24"/>
  <c r="M730" i="14" s="1"/>
  <c r="B729" i="24"/>
  <c r="M729" i="14" s="1"/>
  <c r="B728" i="24"/>
  <c r="M728" i="14" s="1"/>
  <c r="B727" i="24"/>
  <c r="M727" i="14" s="1"/>
  <c r="B726" i="24"/>
  <c r="M726" i="14" s="1"/>
  <c r="B725" i="24"/>
  <c r="M725" i="14" s="1"/>
  <c r="B724" i="24"/>
  <c r="M724" i="14" s="1"/>
  <c r="B723" i="24"/>
  <c r="M723" i="14" s="1"/>
  <c r="B722" i="24"/>
  <c r="M722" i="14" s="1"/>
  <c r="B721" i="24"/>
  <c r="M721" i="14" s="1"/>
  <c r="B720" i="24"/>
  <c r="M720" i="14" s="1"/>
  <c r="B719" i="24"/>
  <c r="M719" i="14" s="1"/>
  <c r="B718" i="24"/>
  <c r="M718" i="14" s="1"/>
  <c r="B717" i="24"/>
  <c r="M717" i="14" s="1"/>
  <c r="B716" i="24"/>
  <c r="M716" i="14" s="1"/>
  <c r="B715" i="24"/>
  <c r="M715" i="14" s="1"/>
  <c r="B714" i="24"/>
  <c r="M714" i="14" s="1"/>
  <c r="B713" i="24"/>
  <c r="M713" i="14" s="1"/>
  <c r="B712" i="24"/>
  <c r="M712" i="14" s="1"/>
  <c r="B711" i="24"/>
  <c r="M711" i="14" s="1"/>
  <c r="B710" i="24"/>
  <c r="M710" i="14" s="1"/>
  <c r="B709" i="24"/>
  <c r="M709" i="14" s="1"/>
  <c r="B708" i="24"/>
  <c r="M708" i="14" s="1"/>
  <c r="B707" i="24"/>
  <c r="M707" i="14" s="1"/>
  <c r="B706" i="24"/>
  <c r="M706" i="14" s="1"/>
  <c r="B705" i="24"/>
  <c r="M705" i="14" s="1"/>
  <c r="B704" i="24"/>
  <c r="M704" i="14" s="1"/>
  <c r="B703" i="24"/>
  <c r="M703" i="14" s="1"/>
  <c r="B702" i="24"/>
  <c r="M702" i="14" s="1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M677" i="14" s="1"/>
  <c r="B676" i="24"/>
  <c r="M676" i="14" s="1"/>
  <c r="B675" i="24"/>
  <c r="M675" i="14" s="1"/>
  <c r="B674" i="24"/>
  <c r="M674" i="14" s="1"/>
  <c r="B673" i="24"/>
  <c r="M673" i="14" s="1"/>
  <c r="B672" i="24"/>
  <c r="M672" i="14" s="1"/>
  <c r="B671" i="24"/>
  <c r="M671" i="14" s="1"/>
  <c r="B670" i="24"/>
  <c r="M670" i="14" s="1"/>
  <c r="B669" i="24"/>
  <c r="M669" i="14" s="1"/>
  <c r="B668" i="24"/>
  <c r="M668" i="14" s="1"/>
  <c r="B667" i="24"/>
  <c r="M667" i="14" s="1"/>
  <c r="B666" i="24"/>
  <c r="M666" i="14" s="1"/>
  <c r="B665" i="24"/>
  <c r="M665" i="14" s="1"/>
  <c r="B664" i="24"/>
  <c r="M664" i="14" s="1"/>
  <c r="B663" i="24"/>
  <c r="M663" i="14" s="1"/>
  <c r="B662" i="24"/>
  <c r="M662" i="14" s="1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M643" i="14" s="1"/>
  <c r="B642" i="24"/>
  <c r="M642" i="14" s="1"/>
  <c r="B641" i="24"/>
  <c r="M641" i="14" s="1"/>
  <c r="B640" i="24"/>
  <c r="M640" i="14" s="1"/>
  <c r="B639" i="24"/>
  <c r="M639" i="14" s="1"/>
  <c r="B638" i="24"/>
  <c r="M638" i="14" s="1"/>
  <c r="B637" i="24"/>
  <c r="M637" i="14" s="1"/>
  <c r="B636" i="24"/>
  <c r="M636" i="14" s="1"/>
  <c r="B635" i="24"/>
  <c r="M635" i="14" s="1"/>
  <c r="B634" i="24"/>
  <c r="M634" i="14" s="1"/>
  <c r="B633" i="24"/>
  <c r="M633" i="14" s="1"/>
  <c r="B632" i="24"/>
  <c r="M632" i="14" s="1"/>
  <c r="B631" i="24"/>
  <c r="M631" i="14" s="1"/>
  <c r="B630" i="24"/>
  <c r="M630" i="14" s="1"/>
  <c r="B629" i="24"/>
  <c r="M629" i="14" s="1"/>
  <c r="B628" i="24"/>
  <c r="M628" i="14" s="1"/>
  <c r="B627" i="24"/>
  <c r="M627" i="14" s="1"/>
  <c r="B626" i="24"/>
  <c r="M626" i="14" s="1"/>
  <c r="B625" i="24"/>
  <c r="M625" i="14" s="1"/>
  <c r="B624" i="24"/>
  <c r="M624" i="14" s="1"/>
  <c r="B623" i="24"/>
  <c r="M623" i="14" s="1"/>
  <c r="B622" i="24"/>
  <c r="M622" i="14" s="1"/>
  <c r="B621" i="24"/>
  <c r="M621" i="14" s="1"/>
  <c r="B620" i="24"/>
  <c r="M620" i="14" s="1"/>
  <c r="B619" i="24"/>
  <c r="M619" i="14" s="1"/>
  <c r="B618" i="24"/>
  <c r="M618" i="14" s="1"/>
  <c r="B617" i="24"/>
  <c r="M617" i="14" s="1"/>
  <c r="B616" i="24"/>
  <c r="M616" i="14" s="1"/>
  <c r="B615" i="24"/>
  <c r="M615" i="14" s="1"/>
  <c r="B614" i="24"/>
  <c r="M614" i="14" s="1"/>
  <c r="B613" i="24"/>
  <c r="M613" i="14" s="1"/>
  <c r="B612" i="24"/>
  <c r="M612" i="14" s="1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M596" i="14" s="1"/>
  <c r="B595" i="24"/>
  <c r="M595" i="14" s="1"/>
  <c r="B594" i="24"/>
  <c r="M594" i="14" s="1"/>
  <c r="B593" i="24"/>
  <c r="M593" i="14" s="1"/>
  <c r="B592" i="24"/>
  <c r="M592" i="14" s="1"/>
  <c r="B591" i="24"/>
  <c r="M591" i="14" s="1"/>
  <c r="B590" i="24"/>
  <c r="M590" i="14" s="1"/>
  <c r="B589" i="24"/>
  <c r="M589" i="14" s="1"/>
  <c r="B588" i="24"/>
  <c r="M588" i="14" s="1"/>
  <c r="B587" i="24"/>
  <c r="M587" i="14" s="1"/>
  <c r="B586" i="24"/>
  <c r="M586" i="14" s="1"/>
  <c r="B585" i="24"/>
  <c r="M585" i="14" s="1"/>
  <c r="B584" i="24"/>
  <c r="M584" i="14" s="1"/>
  <c r="B583" i="24"/>
  <c r="M583" i="14" s="1"/>
  <c r="B582" i="24"/>
  <c r="M582" i="14" s="1"/>
  <c r="B581" i="24"/>
  <c r="M581" i="14" s="1"/>
  <c r="B580" i="24"/>
  <c r="M580" i="14" s="1"/>
  <c r="B579" i="24"/>
  <c r="M579" i="14" s="1"/>
  <c r="B578" i="24"/>
  <c r="M578" i="14" s="1"/>
  <c r="B577" i="24"/>
  <c r="M577" i="14" s="1"/>
  <c r="B576" i="24"/>
  <c r="M576" i="14" s="1"/>
  <c r="B575" i="24"/>
  <c r="M575" i="14" s="1"/>
  <c r="B574" i="24"/>
  <c r="M574" i="14" s="1"/>
  <c r="B573" i="24"/>
  <c r="M573" i="14" s="1"/>
  <c r="B572" i="24"/>
  <c r="M572" i="14" s="1"/>
  <c r="B571" i="24"/>
  <c r="M571" i="14" s="1"/>
  <c r="B570" i="24"/>
  <c r="M570" i="14" s="1"/>
  <c r="B569" i="24"/>
  <c r="M569" i="14" s="1"/>
  <c r="B568" i="24"/>
  <c r="M568" i="14" s="1"/>
  <c r="B567" i="24"/>
  <c r="M567" i="14" s="1"/>
  <c r="B566" i="24"/>
  <c r="M566" i="14" s="1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M548" i="14" s="1"/>
  <c r="B547" i="24"/>
  <c r="M547" i="14" s="1"/>
  <c r="B546" i="24"/>
  <c r="M546" i="14" s="1"/>
  <c r="B545" i="24"/>
  <c r="M545" i="14" s="1"/>
  <c r="B544" i="24"/>
  <c r="M544" i="14" s="1"/>
  <c r="B543" i="24"/>
  <c r="M543" i="14" s="1"/>
  <c r="B542" i="24"/>
  <c r="M542" i="14" s="1"/>
  <c r="B541" i="24"/>
  <c r="M541" i="14" s="1"/>
  <c r="B540" i="24"/>
  <c r="M540" i="14" s="1"/>
  <c r="B539" i="24"/>
  <c r="M539" i="14" s="1"/>
  <c r="B538" i="24"/>
  <c r="M538" i="14" s="1"/>
  <c r="B537" i="24"/>
  <c r="M537" i="14" s="1"/>
  <c r="B536" i="24"/>
  <c r="M536" i="14" s="1"/>
  <c r="B535" i="24"/>
  <c r="M535" i="14" s="1"/>
  <c r="B534" i="24"/>
  <c r="M534" i="14" s="1"/>
  <c r="B533" i="24"/>
  <c r="M533" i="14" s="1"/>
  <c r="B532" i="24"/>
  <c r="M532" i="14" s="1"/>
  <c r="B531" i="24"/>
  <c r="M531" i="14" s="1"/>
  <c r="B530" i="24"/>
  <c r="M530" i="14" s="1"/>
  <c r="B529" i="24"/>
  <c r="M529" i="14" s="1"/>
  <c r="B528" i="24"/>
  <c r="M528" i="14" s="1"/>
  <c r="B527" i="24"/>
  <c r="M527" i="14" s="1"/>
  <c r="B526" i="24"/>
  <c r="M526" i="14" s="1"/>
  <c r="B525" i="24"/>
  <c r="M525" i="14" s="1"/>
  <c r="B524" i="24"/>
  <c r="M524" i="14" s="1"/>
  <c r="B523" i="24"/>
  <c r="M523" i="14" s="1"/>
  <c r="B522" i="24"/>
  <c r="M522" i="14" s="1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M495" i="14" s="1"/>
  <c r="B494" i="24"/>
  <c r="M494" i="14" s="1"/>
  <c r="B493" i="24"/>
  <c r="M493" i="14" s="1"/>
  <c r="B492" i="24"/>
  <c r="M492" i="14" s="1"/>
  <c r="B491" i="24"/>
  <c r="M491" i="14" s="1"/>
  <c r="B490" i="24"/>
  <c r="M490" i="14" s="1"/>
  <c r="B489" i="24"/>
  <c r="M489" i="14" s="1"/>
  <c r="B488" i="24"/>
  <c r="M488" i="14" s="1"/>
  <c r="B487" i="24"/>
  <c r="M487" i="14" s="1"/>
  <c r="B486" i="24"/>
  <c r="M486" i="14" s="1"/>
  <c r="B485" i="24"/>
  <c r="M485" i="14" s="1"/>
  <c r="B484" i="24"/>
  <c r="M484" i="14" s="1"/>
  <c r="B483" i="24"/>
  <c r="M483" i="14" s="1"/>
  <c r="B482" i="24"/>
  <c r="M482" i="14" s="1"/>
  <c r="B481" i="24"/>
  <c r="M481" i="14" s="1"/>
  <c r="B480" i="24"/>
  <c r="M480" i="14" s="1"/>
  <c r="B479" i="24"/>
  <c r="M479" i="14" s="1"/>
  <c r="B478" i="24"/>
  <c r="M478" i="14" s="1"/>
  <c r="B477" i="24"/>
  <c r="M477" i="14" s="1"/>
  <c r="B476" i="24"/>
  <c r="M476" i="14" s="1"/>
  <c r="B475" i="24"/>
  <c r="M475" i="14" s="1"/>
  <c r="B474" i="24"/>
  <c r="M474" i="14" s="1"/>
  <c r="B473" i="24"/>
  <c r="M473" i="14" s="1"/>
  <c r="B472" i="24"/>
  <c r="M472" i="14" s="1"/>
  <c r="B471" i="24"/>
  <c r="M471" i="14" s="1"/>
  <c r="B470" i="24"/>
  <c r="M470" i="14" s="1"/>
  <c r="B469" i="24"/>
  <c r="M469" i="14" s="1"/>
  <c r="B468" i="24"/>
  <c r="M468" i="14" s="1"/>
  <c r="B467" i="24"/>
  <c r="M467" i="14" s="1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M442" i="14" s="1"/>
  <c r="B441" i="24"/>
  <c r="M441" i="14" s="1"/>
  <c r="B440" i="24"/>
  <c r="M440" i="14" s="1"/>
  <c r="B439" i="24"/>
  <c r="M439" i="14" s="1"/>
  <c r="B438" i="24"/>
  <c r="M438" i="14" s="1"/>
  <c r="B437" i="24"/>
  <c r="M437" i="14" s="1"/>
  <c r="B436" i="24"/>
  <c r="M436" i="14" s="1"/>
  <c r="B435" i="24"/>
  <c r="M435" i="14" s="1"/>
  <c r="B434" i="24"/>
  <c r="M434" i="14" s="1"/>
  <c r="B433" i="24"/>
  <c r="M433" i="14" s="1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M384" i="14" s="1"/>
  <c r="B383" i="24"/>
  <c r="M383" i="14" s="1"/>
  <c r="B382" i="24"/>
  <c r="M382" i="14" s="1"/>
  <c r="B381" i="24"/>
  <c r="M381" i="14" s="1"/>
  <c r="B380" i="24"/>
  <c r="M380" i="14" s="1"/>
  <c r="B379" i="24"/>
  <c r="M379" i="14" s="1"/>
  <c r="B378" i="24"/>
  <c r="M378" i="14" s="1"/>
  <c r="B377" i="24"/>
  <c r="M377" i="14" s="1"/>
  <c r="B376" i="24"/>
  <c r="M376" i="14" s="1"/>
  <c r="B375" i="24"/>
  <c r="M375" i="14" s="1"/>
  <c r="B374" i="24"/>
  <c r="M374" i="14" s="1"/>
  <c r="B373" i="24"/>
  <c r="M373" i="14" s="1"/>
  <c r="B372" i="24"/>
  <c r="M372" i="14" s="1"/>
  <c r="B371" i="24"/>
  <c r="M371" i="14" s="1"/>
  <c r="B370" i="24"/>
  <c r="M370" i="14" s="1"/>
  <c r="B369" i="24"/>
  <c r="M369" i="14" s="1"/>
  <c r="B368" i="24"/>
  <c r="M368" i="14" s="1"/>
  <c r="B367" i="24"/>
  <c r="M367" i="14" s="1"/>
  <c r="B361" i="24"/>
  <c r="M361" i="14" s="1"/>
  <c r="B359" i="24"/>
  <c r="M359" i="14" s="1"/>
  <c r="B358" i="24"/>
  <c r="M358" i="14" s="1"/>
  <c r="B357" i="24"/>
  <c r="M357" i="14" s="1"/>
  <c r="B355" i="24"/>
  <c r="M355" i="14" s="1"/>
  <c r="B354" i="24"/>
  <c r="M354" i="14" s="1"/>
  <c r="B348" i="24"/>
  <c r="M348" i="14" s="1"/>
  <c r="B343" i="24"/>
  <c r="M343" i="14" s="1"/>
  <c r="B342" i="24"/>
  <c r="B338" i="24"/>
  <c r="B335" i="24"/>
  <c r="B334" i="24"/>
  <c r="B331" i="24"/>
  <c r="M331" i="14" s="1"/>
  <c r="B329" i="24"/>
  <c r="M329" i="14" s="1"/>
  <c r="B328" i="24"/>
  <c r="M328" i="14" s="1"/>
  <c r="B326" i="24"/>
  <c r="M326" i="14" s="1"/>
  <c r="B322" i="24"/>
  <c r="M322" i="14" s="1"/>
  <c r="B320" i="24"/>
  <c r="M320" i="14" s="1"/>
  <c r="B316" i="24"/>
  <c r="M316" i="14" s="1"/>
  <c r="B310" i="24"/>
  <c r="M310" i="14" s="1"/>
  <c r="B307" i="24"/>
  <c r="M307" i="14" s="1"/>
  <c r="B306" i="24"/>
  <c r="M306" i="14" s="1"/>
  <c r="B305" i="24"/>
  <c r="M305" i="14" s="1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M207" i="14" s="1"/>
  <c r="B206" i="24"/>
  <c r="M206" i="14" s="1"/>
  <c r="B205" i="24"/>
  <c r="M205" i="14" s="1"/>
  <c r="B204" i="24"/>
  <c r="M204" i="14" s="1"/>
  <c r="B203" i="24"/>
  <c r="M203" i="14" s="1"/>
  <c r="B202" i="24"/>
  <c r="M202" i="14" s="1"/>
  <c r="B201" i="24"/>
  <c r="M201" i="14" s="1"/>
  <c r="B200" i="24"/>
  <c r="M200" i="14" s="1"/>
  <c r="B199" i="24"/>
  <c r="M199" i="14" s="1"/>
  <c r="B198" i="24"/>
  <c r="M198" i="14" s="1"/>
  <c r="B197" i="24"/>
  <c r="M197" i="14" s="1"/>
  <c r="B196" i="24"/>
  <c r="M196" i="14" s="1"/>
  <c r="B195" i="24"/>
  <c r="M195" i="14" s="1"/>
  <c r="B194" i="24"/>
  <c r="M194" i="14" s="1"/>
  <c r="B193" i="24"/>
  <c r="M193" i="14" s="1"/>
  <c r="B192" i="24"/>
  <c r="M192" i="14" s="1"/>
  <c r="B191" i="24"/>
  <c r="M191" i="14" s="1"/>
  <c r="B190" i="24"/>
  <c r="M190" i="14" s="1"/>
  <c r="B189" i="24"/>
  <c r="M189" i="14" s="1"/>
  <c r="B188" i="24"/>
  <c r="M188" i="14" s="1"/>
  <c r="B187" i="24"/>
  <c r="M187" i="14" s="1"/>
  <c r="B186" i="24"/>
  <c r="M186" i="14" s="1"/>
  <c r="B185" i="24"/>
  <c r="M185" i="14" s="1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M119" i="14" s="1"/>
  <c r="B118" i="24"/>
  <c r="M118" i="14" s="1"/>
  <c r="B117" i="24"/>
  <c r="M117" i="14" s="1"/>
  <c r="B116" i="24"/>
  <c r="M116" i="14" s="1"/>
  <c r="B115" i="24"/>
  <c r="M115" i="14" s="1"/>
  <c r="B114" i="24"/>
  <c r="M114" i="14" s="1"/>
  <c r="B113" i="24"/>
  <c r="M113" i="14" s="1"/>
  <c r="B112" i="24"/>
  <c r="M112" i="14" s="1"/>
  <c r="B111" i="24"/>
  <c r="M111" i="14" s="1"/>
  <c r="B110" i="24"/>
  <c r="M110" i="14" s="1"/>
  <c r="B109" i="24"/>
  <c r="B108" i="24"/>
  <c r="B107" i="24"/>
  <c r="B106" i="24"/>
  <c r="B105" i="24"/>
  <c r="B104" i="24"/>
  <c r="B103" i="24"/>
  <c r="M103" i="14" s="1"/>
  <c r="B102" i="24"/>
  <c r="M102" i="14" s="1"/>
  <c r="B101" i="24"/>
  <c r="M101" i="14" s="1"/>
  <c r="B100" i="24"/>
  <c r="M100" i="14" s="1"/>
  <c r="B99" i="24"/>
  <c r="M99" i="14" s="1"/>
  <c r="B98" i="24"/>
  <c r="M98" i="14" s="1"/>
  <c r="B97" i="24"/>
  <c r="M97" i="14" s="1"/>
  <c r="B96" i="24"/>
  <c r="M96" i="14" s="1"/>
  <c r="B95" i="24"/>
  <c r="M95" i="14" s="1"/>
  <c r="B94" i="24"/>
  <c r="M94" i="14" s="1"/>
  <c r="B93" i="24"/>
  <c r="M93" i="14" s="1"/>
  <c r="B92" i="24"/>
  <c r="M92" i="14" s="1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F792" i="19"/>
  <c r="R458" i="17"/>
  <c r="T458" i="17" s="1"/>
  <c r="R461" i="17"/>
  <c r="T461" i="17" s="1"/>
  <c r="R456" i="17"/>
  <c r="T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R791" i="17"/>
  <c r="T791" i="17" s="1"/>
  <c r="M803" i="14" l="1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E806" i="17"/>
  <c r="AE805" i="17"/>
  <c r="AE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E669" i="17"/>
  <c r="AE654" i="17"/>
  <c r="AE666" i="17"/>
  <c r="AE659" i="17"/>
  <c r="AE647" i="17"/>
  <c r="AE668" i="17"/>
  <c r="AE667" i="17"/>
  <c r="AE670" i="17"/>
  <c r="AE560" i="17"/>
  <c r="AE720" i="17"/>
  <c r="AE357" i="17"/>
  <c r="AE546" i="17"/>
  <c r="AE715" i="17"/>
  <c r="AE754" i="17"/>
  <c r="AE755" i="17"/>
  <c r="AE542" i="17"/>
  <c r="AE543" i="17"/>
  <c r="AE556" i="17"/>
  <c r="AE577" i="17"/>
  <c r="AE678" i="17"/>
  <c r="AE728" i="17"/>
  <c r="AE729" i="17"/>
  <c r="AE767" i="17"/>
  <c r="AE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C806" i="24"/>
  <c r="C805" i="24"/>
  <c r="AE663" i="17"/>
  <c r="AE673" i="17"/>
  <c r="AE675" i="17"/>
  <c r="AE694" i="17"/>
  <c r="AE737" i="17"/>
  <c r="AE753" i="17"/>
  <c r="AE772" i="17"/>
  <c r="AE551" i="17"/>
  <c r="AE569" i="17"/>
  <c r="AE679" i="17"/>
  <c r="AE723" i="17"/>
  <c r="AE751" i="17"/>
  <c r="AE695" i="17"/>
  <c r="AE746" i="17"/>
  <c r="AE766" i="17"/>
  <c r="AE779" i="17"/>
  <c r="AE697" i="17"/>
  <c r="AE736" i="17"/>
  <c r="AE568" i="17"/>
  <c r="AE686" i="17"/>
  <c r="AE718" i="17"/>
  <c r="AE752" i="17"/>
  <c r="AE773" i="17"/>
  <c r="AE552" i="17"/>
  <c r="AE570" i="17"/>
  <c r="AE685" i="17"/>
  <c r="AE726" i="17"/>
  <c r="AE756" i="17"/>
  <c r="AE780" i="17"/>
  <c r="AE525" i="17"/>
  <c r="AE526" i="17"/>
  <c r="AE578" i="17"/>
  <c r="AE692" i="17"/>
  <c r="AE719" i="17"/>
  <c r="AE674" i="17"/>
  <c r="AE735" i="17"/>
  <c r="AE759" i="17"/>
  <c r="AE698" i="17"/>
  <c r="AE565" i="17"/>
  <c r="AE566" i="17"/>
  <c r="AE776" i="17"/>
  <c r="AE739" i="17"/>
  <c r="AE775" i="17"/>
  <c r="AE524" i="17"/>
  <c r="AE548" i="17"/>
  <c r="AE549" i="17"/>
  <c r="AE550" i="17"/>
  <c r="AE693" i="17"/>
  <c r="AE722" i="17"/>
  <c r="AE724" i="17"/>
  <c r="AE774" i="17"/>
  <c r="AE573" i="17"/>
  <c r="AE574" i="17"/>
  <c r="AE683" i="17"/>
  <c r="AE557" i="17"/>
  <c r="AE558" i="17"/>
  <c r="AE690" i="17"/>
  <c r="AE716" i="17"/>
  <c r="AE747" i="17"/>
  <c r="AE748" i="17"/>
  <c r="AE765" i="17"/>
  <c r="AE544" i="17"/>
  <c r="AE561" i="17"/>
  <c r="AE562" i="17"/>
  <c r="AE677" i="17"/>
  <c r="AE738" i="17"/>
  <c r="AE744" i="17"/>
  <c r="AE762" i="17"/>
  <c r="AE527" i="17"/>
  <c r="AE688" i="17"/>
  <c r="AE714" i="17"/>
  <c r="AE742" i="17"/>
  <c r="AE757" i="17"/>
  <c r="AE740" i="17"/>
  <c r="AE554" i="17"/>
  <c r="AE555" i="17"/>
  <c r="AE575" i="17"/>
  <c r="AE671" i="17"/>
  <c r="AE721" i="17"/>
  <c r="AE553" i="17"/>
  <c r="AE571" i="17"/>
  <c r="AE696" i="17"/>
  <c r="AE727" i="17"/>
  <c r="AE770" i="17"/>
  <c r="AE545" i="17"/>
  <c r="AE563" i="17"/>
  <c r="AE684" i="17"/>
  <c r="AE731" i="17"/>
  <c r="AE529" i="17"/>
  <c r="AE530" i="17"/>
  <c r="AE547" i="17"/>
  <c r="AE564" i="17"/>
  <c r="AE680" i="17"/>
  <c r="AE681" i="17"/>
  <c r="AE763" i="17"/>
  <c r="AE741" i="17"/>
  <c r="AE687" i="17"/>
  <c r="AE733" i="17"/>
  <c r="AE749" i="17"/>
  <c r="AE750" i="17"/>
  <c r="AE771" i="17"/>
  <c r="AE567" i="17"/>
  <c r="AE691" i="17"/>
  <c r="AE717" i="17"/>
  <c r="AE768" i="17"/>
  <c r="AE559" i="17"/>
  <c r="AE576" i="17"/>
  <c r="AE676" i="17"/>
  <c r="AE732" i="17"/>
  <c r="AE760" i="17"/>
  <c r="AE528" i="17"/>
  <c r="AE672" i="17"/>
  <c r="AE730" i="17"/>
  <c r="AE769" i="17"/>
  <c r="AE689" i="17"/>
  <c r="AE734" i="17"/>
  <c r="AE743" i="17"/>
  <c r="AE758" i="17"/>
  <c r="AE777" i="17"/>
  <c r="AE778" i="17"/>
  <c r="AE572" i="17"/>
  <c r="AE682" i="17"/>
  <c r="AE725" i="17"/>
  <c r="AE745" i="17"/>
  <c r="AE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E764" i="17"/>
  <c r="M805" i="14"/>
  <c r="M806" i="14"/>
  <c r="G806" i="24"/>
  <c r="H806" i="24"/>
  <c r="AE354" i="17"/>
  <c r="C794" i="24"/>
  <c r="C716" i="24"/>
  <c r="C714" i="24"/>
  <c r="C698" i="24"/>
  <c r="C672" i="24"/>
  <c r="C671" i="24"/>
  <c r="C530" i="24"/>
  <c r="C529" i="24"/>
  <c r="C528" i="24"/>
  <c r="C527" i="24"/>
  <c r="C524" i="24"/>
  <c r="C523" i="24"/>
  <c r="C522" i="24"/>
  <c r="C567" i="24"/>
  <c r="C566" i="24"/>
  <c r="C565" i="24"/>
  <c r="C564" i="24"/>
  <c r="C563" i="24"/>
  <c r="C562" i="24"/>
  <c r="C561" i="24"/>
  <c r="C559" i="24"/>
  <c r="C553" i="24"/>
  <c r="C549" i="24"/>
  <c r="C548" i="24"/>
  <c r="C544" i="24"/>
  <c r="C725" i="24"/>
  <c r="C689" i="24"/>
  <c r="C682" i="24"/>
  <c r="C674" i="24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E639" i="17"/>
  <c r="AE353" i="17"/>
  <c r="AE488" i="17"/>
  <c r="AE586" i="17"/>
  <c r="AE485" i="17"/>
  <c r="AE486" i="17"/>
  <c r="AE512" i="17"/>
  <c r="AE580" i="17"/>
  <c r="AE615" i="17"/>
  <c r="AE493" i="17"/>
  <c r="AE520" i="17"/>
  <c r="AE606" i="17"/>
  <c r="AE614" i="17"/>
  <c r="AE359" i="17"/>
  <c r="AE518" i="17"/>
  <c r="C743" i="24"/>
  <c r="C769" i="24"/>
  <c r="C730" i="24"/>
  <c r="AE39" i="17"/>
  <c r="AE327" i="17"/>
  <c r="AE803" i="17"/>
  <c r="C803" i="24" s="1"/>
  <c r="AE804" i="17"/>
  <c r="C804" i="24" s="1"/>
  <c r="AE783" i="17"/>
  <c r="AE786" i="17"/>
  <c r="AE309" i="17"/>
  <c r="AE333" i="17"/>
  <c r="C791" i="24"/>
  <c r="C792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61" i="24"/>
  <c r="C758" i="24"/>
  <c r="C749" i="24"/>
  <c r="C732" i="24"/>
  <c r="C745" i="24"/>
  <c r="AE664" i="17"/>
  <c r="AE665" i="17"/>
  <c r="AE636" i="17"/>
  <c r="AE637" i="17"/>
  <c r="AE631" i="17"/>
  <c r="AE655" i="17"/>
  <c r="AE633" i="17"/>
  <c r="AE656" i="17"/>
  <c r="AE649" i="17"/>
  <c r="AE596" i="17"/>
  <c r="AE781" i="17"/>
  <c r="AE802" i="17"/>
  <c r="C802" i="24" s="1"/>
  <c r="AE318" i="17"/>
  <c r="AE481" i="17"/>
  <c r="AE509" i="17"/>
  <c r="AE537" i="17"/>
  <c r="AE602" i="17"/>
  <c r="AE349" i="17"/>
  <c r="AE480" i="17"/>
  <c r="AE482" i="17"/>
  <c r="AE483" i="17"/>
  <c r="AE508" i="17"/>
  <c r="AE536" i="17"/>
  <c r="AE604" i="17"/>
  <c r="AE540" i="17"/>
  <c r="AE541" i="17"/>
  <c r="AE539" i="17"/>
  <c r="AE533" i="17"/>
  <c r="C533" i="24" s="1"/>
  <c r="AE531" i="17"/>
  <c r="C531" i="24" s="1"/>
  <c r="AE360" i="17"/>
  <c r="AE538" i="17"/>
  <c r="C538" i="24" s="1"/>
  <c r="AE535" i="17"/>
  <c r="C535" i="24" s="1"/>
  <c r="AE532" i="17"/>
  <c r="C532" i="24" s="1"/>
  <c r="AE351" i="17"/>
  <c r="C351" i="24" s="1"/>
  <c r="AE534" i="17"/>
  <c r="C534" i="24" s="1"/>
  <c r="AE648" i="17"/>
  <c r="AE628" i="17"/>
  <c r="AE651" i="17"/>
  <c r="AE642" i="17"/>
  <c r="AE645" i="17"/>
  <c r="AE629" i="17"/>
  <c r="AE630" i="17"/>
  <c r="AE652" i="17"/>
  <c r="AE653" i="17"/>
  <c r="AE635" i="17"/>
  <c r="AE658" i="17"/>
  <c r="AE660" i="17"/>
  <c r="AE643" i="17"/>
  <c r="AE627" i="17"/>
  <c r="AE650" i="17"/>
  <c r="AE638" i="17"/>
  <c r="AE662" i="17"/>
  <c r="AE641" i="17"/>
  <c r="AE661" i="17"/>
  <c r="AE634" i="17"/>
  <c r="AE657" i="17"/>
  <c r="AE646" i="17"/>
  <c r="AE640" i="17"/>
  <c r="AE644" i="17"/>
  <c r="AE339" i="17"/>
  <c r="C339" i="24" s="1"/>
  <c r="AE366" i="17"/>
  <c r="C366" i="24" s="1"/>
  <c r="AE367" i="17"/>
  <c r="C367" i="24" s="1"/>
  <c r="AE470" i="17"/>
  <c r="C470" i="24" s="1"/>
  <c r="AE498" i="17"/>
  <c r="C498" i="24" s="1"/>
  <c r="AE591" i="17"/>
  <c r="AE622" i="17"/>
  <c r="C622" i="24" s="1"/>
  <c r="AE365" i="17"/>
  <c r="C365" i="24" s="1"/>
  <c r="AE491" i="17"/>
  <c r="C491" i="24" s="1"/>
  <c r="AE517" i="17"/>
  <c r="C517" i="24" s="1"/>
  <c r="AE605" i="17"/>
  <c r="C605" i="24" s="1"/>
  <c r="AE608" i="17"/>
  <c r="AE620" i="17"/>
  <c r="C620" i="24" s="1"/>
  <c r="AE345" i="17"/>
  <c r="C345" i="24" s="1"/>
  <c r="AE346" i="17"/>
  <c r="C346" i="24" s="1"/>
  <c r="AE472" i="17"/>
  <c r="C472" i="24" s="1"/>
  <c r="AE499" i="17"/>
  <c r="C499" i="24" s="1"/>
  <c r="AE597" i="17"/>
  <c r="C597" i="24" s="1"/>
  <c r="AE598" i="17"/>
  <c r="C598" i="24" s="1"/>
  <c r="AE343" i="17"/>
  <c r="C343" i="24" s="1"/>
  <c r="AE510" i="17"/>
  <c r="C510" i="24" s="1"/>
  <c r="AE595" i="17"/>
  <c r="C595" i="24" s="1"/>
  <c r="AE611" i="17"/>
  <c r="C611" i="24" s="1"/>
  <c r="AE356" i="17"/>
  <c r="C356" i="24" s="1"/>
  <c r="AE489" i="17"/>
  <c r="C489" i="24" s="1"/>
  <c r="AE490" i="17"/>
  <c r="C490" i="24" s="1"/>
  <c r="AE519" i="17"/>
  <c r="C519" i="24" s="1"/>
  <c r="AE603" i="17"/>
  <c r="C603" i="24" s="1"/>
  <c r="AE340" i="17"/>
  <c r="C340" i="24" s="1"/>
  <c r="AE492" i="17"/>
  <c r="C492" i="24" s="1"/>
  <c r="AE587" i="17"/>
  <c r="C587" i="24" s="1"/>
  <c r="AE621" i="17"/>
  <c r="C621" i="24" s="1"/>
  <c r="AE306" i="17"/>
  <c r="C306" i="24" s="1"/>
  <c r="AE358" i="17"/>
  <c r="C358" i="24" s="1"/>
  <c r="AE516" i="17"/>
  <c r="C516" i="24" s="1"/>
  <c r="AE607" i="17"/>
  <c r="C607" i="24" s="1"/>
  <c r="AE616" i="17"/>
  <c r="C616" i="24" s="1"/>
  <c r="AE617" i="17"/>
  <c r="C617" i="24" s="1"/>
  <c r="AE350" i="17"/>
  <c r="C350" i="24" s="1"/>
  <c r="AE477" i="17"/>
  <c r="C477" i="24" s="1"/>
  <c r="AE505" i="17"/>
  <c r="C505" i="24" s="1"/>
  <c r="AE593" i="17"/>
  <c r="C593" i="24" s="1"/>
  <c r="AE623" i="17"/>
  <c r="C623" i="24" s="1"/>
  <c r="AE624" i="17"/>
  <c r="C624" i="24" s="1"/>
  <c r="AE364" i="17"/>
  <c r="C364" i="24" s="1"/>
  <c r="AE496" i="17"/>
  <c r="C496" i="24" s="1"/>
  <c r="AE583" i="17"/>
  <c r="C583" i="24" s="1"/>
  <c r="AE613" i="17"/>
  <c r="C613" i="24" s="1"/>
  <c r="AE308" i="17"/>
  <c r="C308" i="24" s="1"/>
  <c r="AE362" i="17"/>
  <c r="AE469" i="17"/>
  <c r="C469" i="24" s="1"/>
  <c r="AE497" i="17"/>
  <c r="C497" i="24" s="1"/>
  <c r="AE579" i="17"/>
  <c r="C579" i="24" s="1"/>
  <c r="AE599" i="17"/>
  <c r="C599" i="24" s="1"/>
  <c r="AE347" i="17"/>
  <c r="C347" i="24" s="1"/>
  <c r="AE475" i="17"/>
  <c r="C475" i="24" s="1"/>
  <c r="AE503" i="17"/>
  <c r="AE348" i="17"/>
  <c r="C348" i="24" s="1"/>
  <c r="AE484" i="17"/>
  <c r="C484" i="24" s="1"/>
  <c r="AE513" i="17"/>
  <c r="C513" i="24" s="1"/>
  <c r="AE609" i="17"/>
  <c r="C609" i="24" s="1"/>
  <c r="AE626" i="17"/>
  <c r="C626" i="24" s="1"/>
  <c r="AE511" i="17"/>
  <c r="C511" i="24" s="1"/>
  <c r="AE594" i="17"/>
  <c r="C594" i="24" s="1"/>
  <c r="AE341" i="17"/>
  <c r="C341" i="24" s="1"/>
  <c r="AE368" i="17"/>
  <c r="C368" i="24" s="1"/>
  <c r="AE494" i="17"/>
  <c r="C494" i="24" s="1"/>
  <c r="AE521" i="17"/>
  <c r="C521" i="24" s="1"/>
  <c r="AE584" i="17"/>
  <c r="C584" i="24" s="1"/>
  <c r="AE618" i="17"/>
  <c r="C618" i="24" s="1"/>
  <c r="AE619" i="17"/>
  <c r="C619" i="24" s="1"/>
  <c r="AE344" i="17"/>
  <c r="C344" i="24" s="1"/>
  <c r="AE471" i="17"/>
  <c r="C471" i="24" s="1"/>
  <c r="AE502" i="17"/>
  <c r="C502" i="24" s="1"/>
  <c r="AE478" i="17"/>
  <c r="C478" i="24" s="1"/>
  <c r="AE506" i="17"/>
  <c r="C506" i="24" s="1"/>
  <c r="AE592" i="17"/>
  <c r="C592" i="24" s="1"/>
  <c r="AE588" i="17"/>
  <c r="C588" i="24" s="1"/>
  <c r="AE589" i="17"/>
  <c r="C589" i="24" s="1"/>
  <c r="AE363" i="17"/>
  <c r="C363" i="24" s="1"/>
  <c r="AE495" i="17"/>
  <c r="C495" i="24" s="1"/>
  <c r="AE479" i="17"/>
  <c r="C479" i="24" s="1"/>
  <c r="AE507" i="17"/>
  <c r="C507" i="24" s="1"/>
  <c r="AE582" i="17"/>
  <c r="C582" i="24" s="1"/>
  <c r="AE600" i="17"/>
  <c r="C600" i="24" s="1"/>
  <c r="AE352" i="17"/>
  <c r="C352" i="24" s="1"/>
  <c r="AE476" i="17"/>
  <c r="C476" i="24" s="1"/>
  <c r="AE501" i="17"/>
  <c r="C501" i="24" s="1"/>
  <c r="AE590" i="17"/>
  <c r="C590" i="24" s="1"/>
  <c r="AE625" i="17"/>
  <c r="C625" i="24" s="1"/>
  <c r="AE355" i="17"/>
  <c r="C355" i="24" s="1"/>
  <c r="AE487" i="17"/>
  <c r="C487" i="24" s="1"/>
  <c r="AE514" i="17"/>
  <c r="C514" i="24" s="1"/>
  <c r="AE612" i="17"/>
  <c r="C612" i="24" s="1"/>
  <c r="AE361" i="17"/>
  <c r="C361" i="24" s="1"/>
  <c r="AE473" i="17"/>
  <c r="C473" i="24" s="1"/>
  <c r="AE500" i="17"/>
  <c r="C500" i="24" s="1"/>
  <c r="AE581" i="17"/>
  <c r="C581" i="24" s="1"/>
  <c r="AE610" i="17"/>
  <c r="C610" i="24" s="1"/>
  <c r="AE342" i="17"/>
  <c r="C342" i="24" s="1"/>
  <c r="AE474" i="17"/>
  <c r="C474" i="24" s="1"/>
  <c r="AE504" i="17"/>
  <c r="C504" i="24" s="1"/>
  <c r="AE585" i="17"/>
  <c r="C585" i="24" s="1"/>
  <c r="AE601" i="17"/>
  <c r="C601" i="24" s="1"/>
  <c r="AE796" i="17"/>
  <c r="C796" i="24" s="1"/>
  <c r="AE322" i="17"/>
  <c r="AE313" i="17"/>
  <c r="C313" i="24" s="1"/>
  <c r="AE311" i="17"/>
  <c r="C311" i="24" s="1"/>
  <c r="AE338" i="17"/>
  <c r="C338" i="24" s="1"/>
  <c r="AE319" i="17"/>
  <c r="C319" i="24" s="1"/>
  <c r="AE314" i="17"/>
  <c r="C314" i="24" s="1"/>
  <c r="AE789" i="17"/>
  <c r="C789" i="24" s="1"/>
  <c r="AE312" i="17"/>
  <c r="C312" i="24" s="1"/>
  <c r="AE793" i="17"/>
  <c r="C793" i="24" s="1"/>
  <c r="AE331" i="17"/>
  <c r="C331" i="24" s="1"/>
  <c r="AE324" i="17"/>
  <c r="C324" i="24" s="1"/>
  <c r="AE787" i="17"/>
  <c r="C787" i="24" s="1"/>
  <c r="AE310" i="17"/>
  <c r="C310" i="24" s="1"/>
  <c r="AE337" i="17"/>
  <c r="C337" i="24" s="1"/>
  <c r="AE788" i="17"/>
  <c r="C788" i="24" s="1"/>
  <c r="AE336" i="17"/>
  <c r="C336" i="24" s="1"/>
  <c r="AE801" i="17"/>
  <c r="C801" i="24" s="1"/>
  <c r="AE321" i="17"/>
  <c r="C321" i="24" s="1"/>
  <c r="AE320" i="17"/>
  <c r="C320" i="24" s="1"/>
  <c r="AE782" i="17"/>
  <c r="AE335" i="17"/>
  <c r="C335" i="24" s="1"/>
  <c r="AE315" i="17"/>
  <c r="C315" i="24" s="1"/>
  <c r="AE317" i="17"/>
  <c r="C317" i="24" s="1"/>
  <c r="AE332" i="17"/>
  <c r="C332" i="24" s="1"/>
  <c r="AE328" i="17"/>
  <c r="C328" i="24" s="1"/>
  <c r="AE325" i="17"/>
  <c r="C325" i="24" s="1"/>
  <c r="AE326" i="17"/>
  <c r="C326" i="24" s="1"/>
  <c r="AE329" i="17"/>
  <c r="C329" i="24" s="1"/>
  <c r="AE330" i="17"/>
  <c r="C330" i="24" s="1"/>
  <c r="AE784" i="17"/>
  <c r="C784" i="24" s="1"/>
  <c r="AE785" i="17"/>
  <c r="C785" i="24" s="1"/>
  <c r="AE307" i="17"/>
  <c r="C307" i="24" s="1"/>
  <c r="AE334" i="17"/>
  <c r="C334" i="24" s="1"/>
  <c r="AE316" i="17"/>
  <c r="C316" i="24" s="1"/>
  <c r="AE5" i="17"/>
  <c r="C5" i="24" s="1"/>
  <c r="AE323" i="17"/>
  <c r="C323" i="24" s="1"/>
  <c r="AE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C683" i="24"/>
  <c r="C767" i="24"/>
  <c r="AE3" i="17"/>
  <c r="AE10" i="17"/>
  <c r="AE27" i="17"/>
  <c r="AE33" i="17"/>
  <c r="AE53" i="17"/>
  <c r="AE63" i="17"/>
  <c r="AE75" i="17"/>
  <c r="AE94" i="17"/>
  <c r="AE114" i="17"/>
  <c r="AE155" i="17"/>
  <c r="AE181" i="17"/>
  <c r="AE207" i="17"/>
  <c r="AE249" i="17"/>
  <c r="AE272" i="17"/>
  <c r="AE382" i="17"/>
  <c r="AE409" i="17"/>
  <c r="AE410" i="17"/>
  <c r="AE459" i="17"/>
  <c r="AE704" i="17"/>
  <c r="AE273" i="17"/>
  <c r="AE297" i="17"/>
  <c r="AE386" i="17"/>
  <c r="AE412" i="17"/>
  <c r="AE457" i="17"/>
  <c r="AE418" i="17"/>
  <c r="AE442" i="17"/>
  <c r="AE468" i="17"/>
  <c r="AE702" i="17"/>
  <c r="C550" i="24"/>
  <c r="C547" i="24"/>
  <c r="C545" i="24"/>
  <c r="C37" i="24"/>
  <c r="C670" i="24"/>
  <c r="C719" i="24"/>
  <c r="AE700" i="17"/>
  <c r="C700" i="24" s="1"/>
  <c r="AE97" i="17"/>
  <c r="C97" i="24" s="1"/>
  <c r="AE126" i="17"/>
  <c r="C126" i="24" s="1"/>
  <c r="AE127" i="17"/>
  <c r="C127" i="24" s="1"/>
  <c r="AE157" i="17"/>
  <c r="C157" i="24" s="1"/>
  <c r="AE158" i="17"/>
  <c r="C158" i="24" s="1"/>
  <c r="AE159" i="17"/>
  <c r="C159" i="24" s="1"/>
  <c r="AE179" i="17"/>
  <c r="C179" i="24" s="1"/>
  <c r="AE204" i="17"/>
  <c r="C204" i="24" s="1"/>
  <c r="AE258" i="17"/>
  <c r="C258" i="24" s="1"/>
  <c r="AE280" i="17"/>
  <c r="C280" i="24" s="1"/>
  <c r="AE384" i="17"/>
  <c r="C384" i="24" s="1"/>
  <c r="AE411" i="17"/>
  <c r="C411" i="24" s="1"/>
  <c r="AE463" i="17"/>
  <c r="C463" i="24" s="1"/>
  <c r="AE705" i="17"/>
  <c r="C705" i="24" s="1"/>
  <c r="AE131" i="17"/>
  <c r="C131" i="24" s="1"/>
  <c r="AE135" i="17"/>
  <c r="C135" i="24" s="1"/>
  <c r="AE171" i="17"/>
  <c r="C171" i="24" s="1"/>
  <c r="AE172" i="17"/>
  <c r="C172" i="24" s="1"/>
  <c r="AE199" i="17"/>
  <c r="C199" i="24" s="1"/>
  <c r="AE243" i="17"/>
  <c r="C243" i="24" s="1"/>
  <c r="AE265" i="17"/>
  <c r="C265" i="24" s="1"/>
  <c r="AE291" i="17"/>
  <c r="C291" i="24" s="1"/>
  <c r="AE373" i="17"/>
  <c r="C373" i="24" s="1"/>
  <c r="AE400" i="17"/>
  <c r="C400" i="24" s="1"/>
  <c r="AE451" i="17"/>
  <c r="C451" i="24" s="1"/>
  <c r="AE121" i="17"/>
  <c r="C121" i="24" s="1"/>
  <c r="AE144" i="17"/>
  <c r="C144" i="24" s="1"/>
  <c r="AE203" i="17"/>
  <c r="C203" i="24" s="1"/>
  <c r="AE248" i="17"/>
  <c r="C248" i="24" s="1"/>
  <c r="AE274" i="17"/>
  <c r="C274" i="24" s="1"/>
  <c r="AE301" i="17"/>
  <c r="C301" i="24" s="1"/>
  <c r="AE377" i="17"/>
  <c r="C377" i="24" s="1"/>
  <c r="AE403" i="17"/>
  <c r="C403" i="24" s="1"/>
  <c r="AE454" i="17"/>
  <c r="C454" i="24" s="1"/>
  <c r="AE98" i="17"/>
  <c r="C98" i="24" s="1"/>
  <c r="AE148" i="17"/>
  <c r="C148" i="24" s="1"/>
  <c r="AE174" i="17"/>
  <c r="C174" i="24" s="1"/>
  <c r="AE237" i="17"/>
  <c r="C237" i="24" s="1"/>
  <c r="AE266" i="17"/>
  <c r="C266" i="24" s="1"/>
  <c r="AE287" i="17"/>
  <c r="C287" i="24" s="1"/>
  <c r="AE391" i="17"/>
  <c r="C391" i="24" s="1"/>
  <c r="AE441" i="17"/>
  <c r="C441" i="24" s="1"/>
  <c r="AE145" i="17"/>
  <c r="C145" i="24" s="1"/>
  <c r="AE166" i="17"/>
  <c r="C166" i="24" s="1"/>
  <c r="AE193" i="17"/>
  <c r="C193" i="24" s="1"/>
  <c r="AE284" i="17"/>
  <c r="C284" i="24" s="1"/>
  <c r="AE414" i="17"/>
  <c r="C414" i="24" s="1"/>
  <c r="AE462" i="17"/>
  <c r="C462" i="24" s="1"/>
  <c r="AE72" i="17"/>
  <c r="C72" i="24" s="1"/>
  <c r="AE74" i="17"/>
  <c r="C74" i="24" s="1"/>
  <c r="AE108" i="17"/>
  <c r="C108" i="24" s="1"/>
  <c r="AE163" i="17"/>
  <c r="C163" i="24" s="1"/>
  <c r="AE201" i="17"/>
  <c r="C201" i="24" s="1"/>
  <c r="AE202" i="17"/>
  <c r="C202" i="24" s="1"/>
  <c r="AE247" i="17"/>
  <c r="C247" i="24" s="1"/>
  <c r="AE292" i="17"/>
  <c r="C292" i="24" s="1"/>
  <c r="AE371" i="17"/>
  <c r="C371" i="24" s="1"/>
  <c r="AE397" i="17"/>
  <c r="C397" i="24" s="1"/>
  <c r="AE445" i="17"/>
  <c r="C445" i="24" s="1"/>
  <c r="AE446" i="17"/>
  <c r="C446" i="24" s="1"/>
  <c r="AE81" i="17"/>
  <c r="C81" i="24" s="1"/>
  <c r="AE116" i="17"/>
  <c r="C116" i="24" s="1"/>
  <c r="AE143" i="17"/>
  <c r="C143" i="24" s="1"/>
  <c r="AE170" i="17"/>
  <c r="C170" i="24" s="1"/>
  <c r="AE195" i="17"/>
  <c r="C195" i="24" s="1"/>
  <c r="AE260" i="17"/>
  <c r="C260" i="24" s="1"/>
  <c r="AE286" i="17"/>
  <c r="C286" i="24" s="1"/>
  <c r="AE372" i="17"/>
  <c r="C372" i="24" s="1"/>
  <c r="AE399" i="17"/>
  <c r="C399" i="24" s="1"/>
  <c r="AE450" i="17"/>
  <c r="C450" i="24" s="1"/>
  <c r="AE712" i="17"/>
  <c r="C712" i="24" s="1"/>
  <c r="AE130" i="17"/>
  <c r="C130" i="24" s="1"/>
  <c r="AE191" i="17"/>
  <c r="C191" i="24" s="1"/>
  <c r="AE231" i="17"/>
  <c r="C231" i="24" s="1"/>
  <c r="AE102" i="17"/>
  <c r="C102" i="24" s="1"/>
  <c r="AE103" i="17"/>
  <c r="C103" i="24" s="1"/>
  <c r="AE104" i="17"/>
  <c r="C104" i="24" s="1"/>
  <c r="AE142" i="17"/>
  <c r="C142" i="24" s="1"/>
  <c r="AE165" i="17"/>
  <c r="C165" i="24" s="1"/>
  <c r="AE194" i="17"/>
  <c r="C194" i="24" s="1"/>
  <c r="AE239" i="17"/>
  <c r="C239" i="24" s="1"/>
  <c r="AE240" i="17"/>
  <c r="C240" i="24" s="1"/>
  <c r="AE271" i="17"/>
  <c r="C271" i="24" s="1"/>
  <c r="AE294" i="17"/>
  <c r="C294" i="24" s="1"/>
  <c r="AE295" i="17"/>
  <c r="C295" i="24" s="1"/>
  <c r="AE296" i="17"/>
  <c r="C296" i="24" s="1"/>
  <c r="AE385" i="17"/>
  <c r="C385" i="24" s="1"/>
  <c r="AE413" i="17"/>
  <c r="C413" i="24" s="1"/>
  <c r="AE461" i="17"/>
  <c r="C461" i="24" s="1"/>
  <c r="AE55" i="17"/>
  <c r="C55" i="24" s="1"/>
  <c r="AE56" i="17"/>
  <c r="C56" i="24" s="1"/>
  <c r="AE113" i="17"/>
  <c r="C113" i="24" s="1"/>
  <c r="AE154" i="17"/>
  <c r="C154" i="24" s="1"/>
  <c r="AE176" i="17"/>
  <c r="C176" i="24" s="1"/>
  <c r="AE200" i="17"/>
  <c r="C200" i="24" s="1"/>
  <c r="AE241" i="17"/>
  <c r="C241" i="24" s="1"/>
  <c r="AE242" i="17"/>
  <c r="C242" i="24" s="1"/>
  <c r="AE293" i="17"/>
  <c r="C293" i="24" s="1"/>
  <c r="AE374" i="17"/>
  <c r="C374" i="24" s="1"/>
  <c r="AE398" i="17"/>
  <c r="C398" i="24" s="1"/>
  <c r="AE447" i="17"/>
  <c r="C447" i="24" s="1"/>
  <c r="AE59" i="17"/>
  <c r="C59" i="24" s="1"/>
  <c r="AE60" i="17"/>
  <c r="C60" i="24" s="1"/>
  <c r="AE79" i="17"/>
  <c r="C79" i="24" s="1"/>
  <c r="AE100" i="17"/>
  <c r="C100" i="24" s="1"/>
  <c r="AE146" i="17"/>
  <c r="C146" i="24" s="1"/>
  <c r="AE147" i="17"/>
  <c r="C147" i="24" s="1"/>
  <c r="AE168" i="17"/>
  <c r="C168" i="24" s="1"/>
  <c r="AE169" i="17"/>
  <c r="C169" i="24" s="1"/>
  <c r="AE245" i="17"/>
  <c r="C245" i="24" s="1"/>
  <c r="AE267" i="17"/>
  <c r="C267" i="24" s="1"/>
  <c r="AE381" i="17"/>
  <c r="C381" i="24" s="1"/>
  <c r="AE406" i="17"/>
  <c r="C406" i="24" s="1"/>
  <c r="AE456" i="17"/>
  <c r="C456" i="24" s="1"/>
  <c r="AE703" i="17"/>
  <c r="C703" i="24" s="1"/>
  <c r="AE119" i="17"/>
  <c r="C119" i="24" s="1"/>
  <c r="AE208" i="17"/>
  <c r="C208" i="24" s="1"/>
  <c r="AE244" i="17"/>
  <c r="C244" i="24" s="1"/>
  <c r="AE276" i="17"/>
  <c r="C276" i="24" s="1"/>
  <c r="AE302" i="17"/>
  <c r="C302" i="24" s="1"/>
  <c r="C728" i="24"/>
  <c r="C224" i="24"/>
  <c r="C220" i="24"/>
  <c r="C438" i="24"/>
  <c r="AE699" i="17"/>
  <c r="C699" i="24" s="1"/>
  <c r="AE101" i="17"/>
  <c r="C101" i="24" s="1"/>
  <c r="AE187" i="17"/>
  <c r="C187" i="24" s="1"/>
  <c r="AE188" i="17"/>
  <c r="C188" i="24" s="1"/>
  <c r="AE235" i="17"/>
  <c r="C235" i="24" s="1"/>
  <c r="AE236" i="17"/>
  <c r="C236" i="24" s="1"/>
  <c r="AE262" i="17"/>
  <c r="C262" i="24" s="1"/>
  <c r="AE288" i="17"/>
  <c r="C288" i="24" s="1"/>
  <c r="AE393" i="17"/>
  <c r="C393" i="24" s="1"/>
  <c r="AE417" i="17"/>
  <c r="C417" i="24" s="1"/>
  <c r="AE465" i="17"/>
  <c r="C465" i="24" s="1"/>
  <c r="AE177" i="17"/>
  <c r="C177" i="24" s="1"/>
  <c r="AE178" i="17"/>
  <c r="C178" i="24" s="1"/>
  <c r="AE209" i="17"/>
  <c r="C209" i="24" s="1"/>
  <c r="AE225" i="17"/>
  <c r="C225" i="24" s="1"/>
  <c r="AE255" i="17"/>
  <c r="C255" i="24" s="1"/>
  <c r="AE281" i="17"/>
  <c r="C281" i="24" s="1"/>
  <c r="AE383" i="17"/>
  <c r="C383" i="24" s="1"/>
  <c r="AE408" i="17"/>
  <c r="C408" i="24" s="1"/>
  <c r="AE455" i="17"/>
  <c r="C455" i="24" s="1"/>
  <c r="AE91" i="17"/>
  <c r="C91" i="24" s="1"/>
  <c r="AE92" i="17"/>
  <c r="C92" i="24" s="1"/>
  <c r="AE115" i="17"/>
  <c r="C115" i="24" s="1"/>
  <c r="AE136" i="17"/>
  <c r="C136" i="24" s="1"/>
  <c r="AE183" i="17"/>
  <c r="C183" i="24" s="1"/>
  <c r="AE226" i="17"/>
  <c r="C226" i="24" s="1"/>
  <c r="AE252" i="17"/>
  <c r="C252" i="24" s="1"/>
  <c r="AE275" i="17"/>
  <c r="C275" i="24" s="1"/>
  <c r="AE298" i="17"/>
  <c r="C298" i="24" s="1"/>
  <c r="AE375" i="17"/>
  <c r="C375" i="24" s="1"/>
  <c r="AE402" i="17"/>
  <c r="C402" i="24" s="1"/>
  <c r="AE449" i="17"/>
  <c r="C449" i="24" s="1"/>
  <c r="AE90" i="17"/>
  <c r="C90" i="24" s="1"/>
  <c r="AE132" i="17"/>
  <c r="C132" i="24" s="1"/>
  <c r="AE133" i="17"/>
  <c r="C133" i="24" s="1"/>
  <c r="AE134" i="17"/>
  <c r="C134" i="24" s="1"/>
  <c r="AE156" i="17"/>
  <c r="C156" i="24" s="1"/>
  <c r="AE182" i="17"/>
  <c r="C182" i="24" s="1"/>
  <c r="AE227" i="17"/>
  <c r="C227" i="24" s="1"/>
  <c r="AE390" i="17"/>
  <c r="C390" i="24" s="1"/>
  <c r="AE440" i="17"/>
  <c r="C440" i="24" s="1"/>
  <c r="AE466" i="17"/>
  <c r="C466" i="24" s="1"/>
  <c r="AE467" i="17"/>
  <c r="C467" i="24" s="1"/>
  <c r="AE701" i="17"/>
  <c r="C701" i="24" s="1"/>
  <c r="AE713" i="17"/>
  <c r="C713" i="24" s="1"/>
  <c r="AE52" i="17"/>
  <c r="C52" i="24" s="1"/>
  <c r="AE68" i="17"/>
  <c r="C68" i="24" s="1"/>
  <c r="AE82" i="17"/>
  <c r="C82" i="24" s="1"/>
  <c r="AE105" i="17"/>
  <c r="C105" i="24" s="1"/>
  <c r="AE120" i="17"/>
  <c r="C120" i="24" s="1"/>
  <c r="AE140" i="17"/>
  <c r="C140" i="24" s="1"/>
  <c r="AE162" i="17"/>
  <c r="C162" i="24" s="1"/>
  <c r="AE185" i="17"/>
  <c r="C185" i="24" s="1"/>
  <c r="AE230" i="17"/>
  <c r="C230" i="24" s="1"/>
  <c r="AE257" i="17"/>
  <c r="C257" i="24" s="1"/>
  <c r="AE283" i="17"/>
  <c r="C283" i="24" s="1"/>
  <c r="AE389" i="17"/>
  <c r="C389" i="24" s="1"/>
  <c r="AE416" i="17"/>
  <c r="C416" i="24" s="1"/>
  <c r="C222" i="24"/>
  <c r="C216" i="24"/>
  <c r="C431" i="24"/>
  <c r="C426" i="24"/>
  <c r="C420" i="24"/>
  <c r="AE460" i="17"/>
  <c r="C460" i="24" s="1"/>
  <c r="AE88" i="17"/>
  <c r="C88" i="24" s="1"/>
  <c r="AE89" i="17"/>
  <c r="C89" i="24" s="1"/>
  <c r="AE149" i="17"/>
  <c r="C149" i="24" s="1"/>
  <c r="AE192" i="17"/>
  <c r="C192" i="24" s="1"/>
  <c r="AE234" i="17"/>
  <c r="C234" i="24" s="1"/>
  <c r="AE261" i="17"/>
  <c r="C261" i="24" s="1"/>
  <c r="AE392" i="17"/>
  <c r="C392" i="24" s="1"/>
  <c r="AE439" i="17"/>
  <c r="C439" i="24" s="1"/>
  <c r="AE708" i="17"/>
  <c r="C708" i="24" s="1"/>
  <c r="AE65" i="17"/>
  <c r="C65" i="24" s="1"/>
  <c r="AE76" i="17"/>
  <c r="C76" i="24" s="1"/>
  <c r="AE87" i="17"/>
  <c r="C87" i="24" s="1"/>
  <c r="AE117" i="17"/>
  <c r="C117" i="24" s="1"/>
  <c r="AE138" i="17"/>
  <c r="C138" i="24" s="1"/>
  <c r="AE151" i="17"/>
  <c r="C151" i="24" s="1"/>
  <c r="AE167" i="17"/>
  <c r="C167" i="24" s="1"/>
  <c r="AE190" i="17"/>
  <c r="C190" i="24" s="1"/>
  <c r="AE232" i="17"/>
  <c r="C232" i="24" s="1"/>
  <c r="AE259" i="17"/>
  <c r="C259" i="24" s="1"/>
  <c r="AE285" i="17"/>
  <c r="C285" i="24" s="1"/>
  <c r="AE370" i="17"/>
  <c r="C370" i="24" s="1"/>
  <c r="AE396" i="17"/>
  <c r="C396" i="24" s="1"/>
  <c r="AE444" i="17"/>
  <c r="C444" i="24" s="1"/>
  <c r="AE44" i="17"/>
  <c r="C44" i="24" s="1"/>
  <c r="AE45" i="17"/>
  <c r="C45" i="24" s="1"/>
  <c r="AE111" i="17"/>
  <c r="C111" i="24" s="1"/>
  <c r="AE153" i="17"/>
  <c r="C153" i="24" s="1"/>
  <c r="AE206" i="17"/>
  <c r="C206" i="24" s="1"/>
  <c r="AE251" i="17"/>
  <c r="C251" i="24" s="1"/>
  <c r="AE277" i="17"/>
  <c r="C277" i="24" s="1"/>
  <c r="AE305" i="17"/>
  <c r="C305" i="24" s="1"/>
  <c r="AE387" i="17"/>
  <c r="C387" i="24" s="1"/>
  <c r="AE388" i="17"/>
  <c r="C388" i="24" s="1"/>
  <c r="AE415" i="17"/>
  <c r="C415" i="24" s="1"/>
  <c r="AE464" i="17"/>
  <c r="C464" i="24" s="1"/>
  <c r="AE80" i="17"/>
  <c r="C80" i="24" s="1"/>
  <c r="AE99" i="17"/>
  <c r="C99" i="24" s="1"/>
  <c r="AE118" i="17"/>
  <c r="C118" i="24" s="1"/>
  <c r="AE141" i="17"/>
  <c r="C141" i="24" s="1"/>
  <c r="AE160" i="17"/>
  <c r="C160" i="24" s="1"/>
  <c r="AE186" i="17"/>
  <c r="C186" i="24" s="1"/>
  <c r="AE229" i="17"/>
  <c r="C229" i="24" s="1"/>
  <c r="AE279" i="17"/>
  <c r="C279" i="24" s="1"/>
  <c r="AE304" i="17"/>
  <c r="C304" i="24" s="1"/>
  <c r="AE378" i="17"/>
  <c r="C378" i="24" s="1"/>
  <c r="AE405" i="17"/>
  <c r="C405" i="24" s="1"/>
  <c r="AE453" i="17"/>
  <c r="C453" i="24" s="1"/>
  <c r="AE710" i="17"/>
  <c r="C710" i="24" s="1"/>
  <c r="AE4" i="17"/>
  <c r="C4" i="24" s="1"/>
  <c r="AE9" i="17"/>
  <c r="C9" i="24" s="1"/>
  <c r="AE12" i="17"/>
  <c r="C12" i="24" s="1"/>
  <c r="AE14" i="17"/>
  <c r="C14" i="24" s="1"/>
  <c r="AE16" i="17"/>
  <c r="C16" i="24" s="1"/>
  <c r="AE23" i="17"/>
  <c r="C23" i="24" s="1"/>
  <c r="AE26" i="17"/>
  <c r="C26" i="24" s="1"/>
  <c r="AE29" i="17"/>
  <c r="C29" i="24" s="1"/>
  <c r="AE32" i="17"/>
  <c r="C32" i="24" s="1"/>
  <c r="AE36" i="17"/>
  <c r="C36" i="24" s="1"/>
  <c r="AE38" i="17"/>
  <c r="C38" i="24" s="1"/>
  <c r="AE43" i="17"/>
  <c r="C43" i="24" s="1"/>
  <c r="AE51" i="17"/>
  <c r="C51" i="24" s="1"/>
  <c r="AE57" i="17"/>
  <c r="C57" i="24" s="1"/>
  <c r="AE64" i="17"/>
  <c r="C64" i="24" s="1"/>
  <c r="AE70" i="17"/>
  <c r="C70" i="24" s="1"/>
  <c r="AE77" i="17"/>
  <c r="C77" i="24" s="1"/>
  <c r="AE110" i="17"/>
  <c r="C110" i="24" s="1"/>
  <c r="AE128" i="17"/>
  <c r="C128" i="24" s="1"/>
  <c r="AE129" i="17"/>
  <c r="C129" i="24" s="1"/>
  <c r="AE152" i="17"/>
  <c r="C152" i="24" s="1"/>
  <c r="AE175" i="17"/>
  <c r="C175" i="24" s="1"/>
  <c r="AE198" i="17"/>
  <c r="C198" i="24" s="1"/>
  <c r="AE263" i="17"/>
  <c r="C263" i="24" s="1"/>
  <c r="AE299" i="17"/>
  <c r="C299" i="24" s="1"/>
  <c r="AE376" i="17"/>
  <c r="C376" i="24" s="1"/>
  <c r="AE401" i="17"/>
  <c r="C401" i="24" s="1"/>
  <c r="AE448" i="17"/>
  <c r="C448" i="24" s="1"/>
  <c r="AE40" i="17"/>
  <c r="C40" i="24" s="1"/>
  <c r="AE41" i="17"/>
  <c r="C41" i="24" s="1"/>
  <c r="AE62" i="17"/>
  <c r="C62" i="24" s="1"/>
  <c r="AE71" i="17"/>
  <c r="C71" i="24" s="1"/>
  <c r="AE85" i="17"/>
  <c r="C85" i="24" s="1"/>
  <c r="AE86" i="17"/>
  <c r="C86" i="24" s="1"/>
  <c r="AE109" i="17"/>
  <c r="C109" i="24" s="1"/>
  <c r="AE137" i="17"/>
  <c r="C137" i="24" s="1"/>
  <c r="AE161" i="17"/>
  <c r="C161" i="24" s="1"/>
  <c r="AE184" i="17"/>
  <c r="C184" i="24" s="1"/>
  <c r="AE228" i="17"/>
  <c r="C228" i="24" s="1"/>
  <c r="AE253" i="17"/>
  <c r="C253" i="24" s="1"/>
  <c r="AE254" i="17"/>
  <c r="C254" i="24" s="1"/>
  <c r="AE278" i="17"/>
  <c r="C278" i="24" s="1"/>
  <c r="AE303" i="17"/>
  <c r="C303" i="24" s="1"/>
  <c r="AE380" i="17"/>
  <c r="C380" i="24" s="1"/>
  <c r="AE407" i="17"/>
  <c r="C407" i="24" s="1"/>
  <c r="AE458" i="17"/>
  <c r="C458" i="24" s="1"/>
  <c r="AE709" i="17"/>
  <c r="C709" i="24" s="1"/>
  <c r="AE7" i="17"/>
  <c r="C7" i="24" s="1"/>
  <c r="AE17" i="17"/>
  <c r="C17" i="24" s="1"/>
  <c r="AE24" i="17"/>
  <c r="C24" i="24" s="1"/>
  <c r="AE30" i="17"/>
  <c r="C30" i="24" s="1"/>
  <c r="AE35" i="17"/>
  <c r="C35" i="24" s="1"/>
  <c r="AE46" i="17"/>
  <c r="C46" i="24" s="1"/>
  <c r="AE47" i="17"/>
  <c r="C47" i="24" s="1"/>
  <c r="AE54" i="17"/>
  <c r="C54" i="24" s="1"/>
  <c r="AE66" i="17"/>
  <c r="C66" i="24" s="1"/>
  <c r="AE78" i="17"/>
  <c r="C78" i="24" s="1"/>
  <c r="AE93" i="17"/>
  <c r="C93" i="24" s="1"/>
  <c r="AE95" i="17"/>
  <c r="C95" i="24" s="1"/>
  <c r="AE96" i="17"/>
  <c r="C96" i="24" s="1"/>
  <c r="AE112" i="17"/>
  <c r="C112" i="24" s="1"/>
  <c r="AE139" i="17"/>
  <c r="C139" i="24" s="1"/>
  <c r="AE164" i="17"/>
  <c r="C164" i="24" s="1"/>
  <c r="AE189" i="17"/>
  <c r="C189" i="24" s="1"/>
  <c r="AE8" i="17"/>
  <c r="C8" i="24" s="1"/>
  <c r="AE11" i="17"/>
  <c r="C11" i="24" s="1"/>
  <c r="AE13" i="17"/>
  <c r="C13" i="24" s="1"/>
  <c r="AE15" i="17"/>
  <c r="C15" i="24" s="1"/>
  <c r="AE18" i="17"/>
  <c r="C18" i="24" s="1"/>
  <c r="AE21" i="17"/>
  <c r="C21" i="24" s="1"/>
  <c r="AE25" i="17"/>
  <c r="C25" i="24" s="1"/>
  <c r="AE28" i="17"/>
  <c r="C28" i="24" s="1"/>
  <c r="AE31" i="17"/>
  <c r="C31" i="24" s="1"/>
  <c r="AE34" i="17"/>
  <c r="C34" i="24" s="1"/>
  <c r="AE42" i="17"/>
  <c r="C42" i="24" s="1"/>
  <c r="AE48" i="17"/>
  <c r="C48" i="24" s="1"/>
  <c r="AE50" i="17"/>
  <c r="C50" i="24" s="1"/>
  <c r="AE61" i="17"/>
  <c r="C61" i="24" s="1"/>
  <c r="AE67" i="17"/>
  <c r="C67" i="24" s="1"/>
  <c r="AE73" i="17"/>
  <c r="C73" i="24" s="1"/>
  <c r="AE84" i="17"/>
  <c r="C84" i="24" s="1"/>
  <c r="AE106" i="17"/>
  <c r="C106" i="24" s="1"/>
  <c r="AE125" i="17"/>
  <c r="C125" i="24" s="1"/>
  <c r="AE150" i="17"/>
  <c r="C150" i="24" s="1"/>
  <c r="AE180" i="17"/>
  <c r="C180" i="24" s="1"/>
  <c r="AE205" i="17"/>
  <c r="C205" i="24" s="1"/>
  <c r="AE246" i="17"/>
  <c r="C246" i="24" s="1"/>
  <c r="AE268" i="17"/>
  <c r="C268" i="24" s="1"/>
  <c r="AE269" i="17"/>
  <c r="C269" i="24" s="1"/>
  <c r="AE270" i="17"/>
  <c r="C270" i="24" s="1"/>
  <c r="AE379" i="17"/>
  <c r="C379" i="24" s="1"/>
  <c r="AE404" i="17"/>
  <c r="C404" i="24" s="1"/>
  <c r="AE452" i="17"/>
  <c r="C452" i="24" s="1"/>
  <c r="AE706" i="17"/>
  <c r="C706" i="24" s="1"/>
  <c r="C221" i="24"/>
  <c r="C219" i="24"/>
  <c r="C434" i="24"/>
  <c r="C433" i="24"/>
  <c r="C427" i="24"/>
  <c r="AE233" i="17"/>
  <c r="C233" i="24" s="1"/>
  <c r="AE256" i="17"/>
  <c r="C256" i="24" s="1"/>
  <c r="AE282" i="17"/>
  <c r="C282" i="24" s="1"/>
  <c r="AE395" i="17"/>
  <c r="C395" i="24" s="1"/>
  <c r="AE443" i="17"/>
  <c r="C443" i="24" s="1"/>
  <c r="AE707" i="17"/>
  <c r="C707" i="24" s="1"/>
  <c r="AE19" i="17"/>
  <c r="C19" i="24" s="1"/>
  <c r="AE20" i="17"/>
  <c r="C20" i="24" s="1"/>
  <c r="AE49" i="17"/>
  <c r="C49" i="24" s="1"/>
  <c r="AE58" i="17"/>
  <c r="C58" i="24" s="1"/>
  <c r="AE69" i="17"/>
  <c r="C69" i="24" s="1"/>
  <c r="AE83" i="17"/>
  <c r="C83" i="24" s="1"/>
  <c r="AE107" i="17"/>
  <c r="C107" i="24" s="1"/>
  <c r="AE122" i="17"/>
  <c r="C122" i="24" s="1"/>
  <c r="AE123" i="17"/>
  <c r="C123" i="24" s="1"/>
  <c r="AE124" i="17"/>
  <c r="C124" i="24" s="1"/>
  <c r="AE173" i="17"/>
  <c r="C173" i="24" s="1"/>
  <c r="AE196" i="17"/>
  <c r="C196" i="24" s="1"/>
  <c r="AE197" i="17"/>
  <c r="C197" i="24" s="1"/>
  <c r="AE238" i="17"/>
  <c r="C238" i="24" s="1"/>
  <c r="AE264" i="17"/>
  <c r="C264" i="24" s="1"/>
  <c r="AE289" i="17"/>
  <c r="C289" i="24" s="1"/>
  <c r="AE290" i="17"/>
  <c r="C290" i="24" s="1"/>
  <c r="AE369" i="17"/>
  <c r="C369" i="24" s="1"/>
  <c r="AE394" i="17"/>
  <c r="C394" i="24" s="1"/>
  <c r="AE711" i="17"/>
  <c r="C711" i="24" s="1"/>
  <c r="C729" i="24"/>
  <c r="C654" i="24"/>
  <c r="C667" i="24"/>
  <c r="C666" i="24"/>
  <c r="C632" i="24"/>
  <c r="C217" i="24"/>
  <c r="C214" i="24"/>
  <c r="C212" i="24"/>
  <c r="C429" i="24"/>
  <c r="C425" i="24"/>
  <c r="C577" i="24"/>
  <c r="C560" i="24"/>
  <c r="C556" i="24"/>
  <c r="C546" i="24"/>
  <c r="C542" i="24"/>
  <c r="C437" i="24"/>
  <c r="C357" i="24"/>
  <c r="C715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E22" i="17"/>
  <c r="C22" i="24" s="1"/>
  <c r="AE300" i="17"/>
  <c r="C300" i="24" s="1"/>
  <c r="AE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I806" i="24" l="1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<sst xmlns="http://schemas.openxmlformats.org/spreadsheetml/2006/main" count="18805" uniqueCount="3093">
  <si>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</si>
  <si>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</si>
  <si>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</si>
  <si>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</si>
  <si>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</si>
  <si>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</si>
  <si>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</si>
  <si>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</si>
  <si>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</si>
  <si>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</si>
  <si>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</si>
  <si>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</si>
  <si>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</si>
  <si>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</si>
  <si>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</si>
  <si>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</si>
  <si>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</si>
  <si>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</si>
  <si>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</si>
  <si>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</si>
  <si>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</si>
  <si>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</si>
  <si>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</si>
  <si>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</si>
  <si>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</si>
  <si>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</si>
  <si>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</si>
  <si>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</si>
  <si>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</si>
  <si>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</si>
  <si>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</si>
  <si>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</si>
  <si>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</si>
  <si>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</si>
  <si>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</si>
  <si>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</si>
  <si>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</si>
  <si>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</si>
  <si>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</si>
  <si>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</si>
  <si>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</si>
  <si>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</si>
  <si>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</si>
  <si>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</si>
  <si>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</si>
  <si>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</si>
  <si>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</si>
  <si>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</si>
  <si>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</si>
  <si>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</si>
  <si>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</si>
  <si>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</si>
  <si>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</si>
  <si>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</si>
  <si>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</si>
  <si>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</si>
  <si>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</si>
  <si>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</si>
  <si>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</si>
  <si>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</si>
  <si>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</si>
  <si>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</si>
  <si>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</si>
  <si>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</si>
  <si>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</si>
  <si>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</si>
  <si>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</si>
  <si>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</si>
  <si>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</si>
  <si>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</si>
  <si>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</si>
  <si>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</si>
  <si>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</si>
  <si>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</si>
  <si>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</si>
  <si>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</si>
  <si>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</si>
  <si>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</si>
  <si>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</si>
  <si>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</si>
  <si>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</si>
  <si>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</si>
  <si>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</si>
  <si>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</si>
  <si>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</si>
  <si>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</si>
  <si>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</si>
  <si>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</si>
  <si>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</si>
  <si>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</si>
  <si>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</si>
  <si>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</si>
  <si>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</si>
  <si>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</si>
  <si>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</si>
  <si>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</si>
  <si>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</si>
  <si>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</si>
  <si>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</si>
  <si>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</si>
  <si>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</si>
  <si>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</si>
  <si>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</si>
  <si>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</si>
  <si>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</si>
  <si>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</si>
  <si>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</si>
  <si>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</si>
  <si>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</si>
  <si>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</si>
  <si>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</si>
  <si>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</si>
  <si>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</si>
  <si>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</si>
  <si>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</si>
  <si>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</si>
  <si>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</si>
  <si>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</si>
  <si>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</si>
  <si>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</si>
  <si>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</si>
  <si>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</si>
  <si>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</si>
  <si>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</si>
  <si>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</si>
  <si>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</si>
  <si>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</si>
  <si>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</si>
  <si>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</si>
  <si>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</si>
  <si>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</si>
  <si>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</si>
  <si>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</si>
  <si>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</si>
  <si>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</si>
  <si>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</si>
  <si>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</si>
  <si>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</si>
  <si>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</si>
  <si>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</si>
  <si>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</si>
  <si>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</si>
  <si>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</si>
  <si>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</si>
  <si>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</si>
  <si>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</si>
  <si>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</si>
  <si>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</si>
  <si>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</si>
  <si>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</si>
  <si>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</si>
  <si>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</si>
  <si>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</si>
  <si>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</si>
  <si>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</si>
  <si>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</si>
  <si>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</si>
  <si>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</si>
  <si>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</si>
  <si>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</si>
  <si>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</si>
  <si>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</si>
  <si>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</si>
  <si>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</si>
  <si>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</si>
  <si>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</si>
  <si>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</si>
  <si>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</si>
  <si>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</si>
  <si>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</si>
  <si>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</si>
  <si>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</si>
  <si>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</si>
  <si>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</si>
  <si>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</si>
  <si>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</si>
  <si>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</si>
  <si>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</si>
  <si>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</si>
  <si>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</si>
  <si>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</si>
  <si>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</si>
  <si>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</si>
  <si>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</si>
  <si>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</si>
  <si>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</si>
  <si>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</si>
  <si>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</si>
  <si>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</si>
  <si>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</si>
  <si>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</si>
  <si>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</si>
  <si>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</si>
  <si>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</si>
  <si>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</si>
  <si>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</si>
  <si>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</si>
  <si>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</si>
  <si>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</si>
  <si>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</si>
  <si>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</si>
  <si>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</si>
  <si>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</si>
  <si>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</si>
  <si>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</si>
  <si>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</si>
  <si>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</si>
  <si>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</si>
  <si>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</si>
  <si>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</si>
  <si>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</si>
  <si>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</si>
  <si>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</si>
  <si>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</si>
  <si>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</si>
  <si>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</si>
  <si>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</si>
  <si>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</si>
  <si>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</si>
  <si>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</si>
  <si>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</si>
  <si>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</si>
  <si>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</si>
  <si>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</si>
  <si>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</si>
  <si>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</si>
  <si>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</si>
  <si>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</si>
  <si>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</si>
  <si>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</si>
  <si>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</si>
  <si>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</si>
  <si>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</si>
  <si>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</si>
  <si>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</si>
  <si>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</si>
  <si>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</si>
  <si>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</si>
  <si>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</si>
  <si>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</si>
  <si>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</si>
  <si>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</si>
  <si>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</si>
  <si>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</si>
  <si>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</si>
  <si>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</si>
  <si>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</si>
  <si>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</si>
  <si>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</si>
  <si>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</si>
  <si>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</si>
  <si>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</si>
  <si>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</si>
  <si>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</si>
  <si>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</si>
  <si>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</si>
  <si>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</si>
  <si>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</si>
  <si>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</si>
  <si>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</si>
  <si>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</si>
  <si>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</si>
  <si>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</si>
  <si>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</si>
  <si>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</si>
  <si>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</si>
  <si>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</si>
  <si>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</si>
  <si>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</si>
  <si>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</si>
  <si>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</si>
  <si>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</si>
  <si>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</si>
  <si>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</si>
  <si>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</si>
  <si>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</si>
  <si>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</si>
  <si>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</si>
  <si>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</si>
  <si>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</si>
  <si>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</si>
  <si>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</si>
  <si>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</si>
  <si>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</si>
  <si>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</si>
  <si>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</si>
  <si>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</si>
  <si>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</si>
  <si>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</si>
  <si>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</si>
  <si>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</si>
  <si>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</si>
  <si>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</si>
  <si>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</si>
  <si>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</si>
  <si>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</si>
  <si>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</si>
  <si>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</si>
  <si>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</si>
  <si>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</si>
  <si>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</si>
  <si>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</si>
  <si>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</si>
  <si>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</si>
  <si>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</si>
  <si>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</si>
  <si>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</si>
  <si>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</si>
  <si>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</si>
  <si>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</si>
  <si>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</si>
  <si>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</si>
  <si>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</si>
  <si>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</si>
  <si>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</si>
  <si>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</si>
  <si>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</si>
  <si>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</si>
  <si>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</si>
  <si>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</si>
  <si>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</si>
  <si>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</si>
  <si>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</si>
  <si>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</si>
  <si>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</si>
  <si>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</si>
  <si>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</si>
  <si>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</si>
  <si>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</si>
  <si>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</si>
  <si>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</si>
  <si>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</si>
  <si>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</si>
  <si>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</si>
  <si>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</si>
  <si>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</si>
  <si>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</si>
  <si>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</si>
  <si>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</si>
  <si>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</si>
  <si>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</si>
  <si>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</si>
  <si>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</si>
  <si>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</si>
  <si>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</si>
  <si>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</si>
  <si>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</si>
  <si>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</si>
  <si>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</si>
  <si>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</si>
  <si>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</si>
  <si>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</si>
  <si>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</si>
  <si>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</si>
  <si>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</si>
  <si>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</si>
  <si>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</si>
  <si>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</si>
  <si>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</si>
  <si>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</si>
  <si>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</si>
  <si>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</si>
  <si>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</si>
  <si>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</si>
  <si>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</si>
  <si>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</si>
  <si>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</si>
  <si>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</si>
  <si>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</si>
  <si>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</si>
  <si>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</si>
  <si>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</si>
  <si>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</si>
  <si>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</si>
  <si>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</si>
  <si>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</si>
  <si>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</si>
  <si>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</si>
  <si>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</si>
  <si>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</si>
  <si>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</si>
  <si>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</si>
  <si>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</si>
  <si>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</si>
  <si>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</si>
  <si>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</si>
  <si>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</si>
  <si>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</si>
  <si>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</si>
  <si>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</si>
  <si>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</si>
  <si>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</si>
  <si>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</si>
  <si>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</si>
  <si>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</si>
  <si>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</si>
  <si>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</si>
  <si>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</si>
  <si>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</si>
  <si>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</si>
  <si>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</si>
  <si>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</si>
  <si>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</si>
  <si>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</si>
  <si>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</si>
  <si>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</si>
  <si>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</si>
  <si>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</si>
  <si>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</si>
  <si>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</si>
  <si>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</si>
  <si>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</si>
  <si>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</si>
  <si>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</si>
  <si>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</si>
  <si>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</si>
  <si>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</si>
  <si>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</si>
  <si>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</si>
  <si>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</si>
  <si>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</si>
  <si>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</si>
  <si>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</si>
  <si>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</si>
  <si>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</si>
  <si>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</si>
  <si>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</si>
  <si>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</si>
  <si>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</si>
  <si>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</si>
  <si>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</si>
  <si>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</si>
  <si>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</si>
  <si>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</si>
  <si>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</si>
  <si>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</si>
  <si>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</si>
  <si>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</si>
  <si>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</si>
  <si>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</si>
  <si>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</si>
  <si>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</si>
  <si>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</si>
  <si>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</si>
  <si>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</si>
  <si>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</si>
  <si>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</si>
  <si>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</si>
  <si>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</si>
  <si>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</si>
  <si>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</si>
  <si>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</si>
  <si>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</si>
  <si>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</si>
  <si>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</si>
  <si>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</si>
  <si>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</si>
  <si>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</si>
  <si>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</si>
  <si>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</si>
  <si>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</si>
  <si>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</si>
  <si>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</si>
  <si>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</si>
  <si>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</si>
  <si>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</si>
  <si>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</si>
  <si>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</si>
  <si>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</si>
  <si>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</si>
  <si>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</si>
  <si>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</si>
  <si>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</si>
  <si>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</si>
  <si>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</si>
  <si>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</si>
  <si>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</si>
  <si>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</si>
  <si>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</si>
  <si>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</si>
  <si>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</si>
  <si>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</si>
  <si>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</si>
  <si>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</si>
  <si>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</si>
  <si>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</si>
  <si>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</si>
  <si>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</si>
  <si>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</si>
  <si>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</si>
  <si>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</si>
  <si>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</si>
  <si>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</si>
  <si>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</si>
  <si>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</si>
  <si>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</si>
  <si>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</si>
  <si>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</si>
  <si>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</si>
  <si>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</si>
  <si>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</si>
  <si>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</si>
  <si>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</si>
  <si>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</si>
  <si>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</si>
  <si>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</si>
  <si>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</si>
  <si>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</si>
  <si>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</si>
  <si>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</si>
  <si>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</si>
  <si>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</si>
  <si>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</si>
  <si>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</si>
  <si>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</si>
  <si>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</si>
  <si>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</si>
  <si>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</si>
  <si>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</si>
  <si>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</si>
  <si>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</si>
  <si>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</si>
  <si>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</si>
  <si>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</si>
  <si>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</si>
  <si>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</si>
  <si>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</si>
  <si>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</si>
  <si>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</si>
  <si>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</si>
  <si>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</si>
  <si>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</si>
  <si>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</si>
  <si>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</si>
  <si>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</si>
  <si>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</si>
  <si>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</si>
  <si>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</si>
  <si>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</si>
  <si>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</si>
  <si>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</si>
  <si>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</si>
  <si>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</si>
  <si>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</si>
  <si>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</si>
  <si>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</si>
  <si>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</si>
  <si>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</si>
  <si>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</si>
  <si>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</si>
  <si>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</si>
  <si>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</si>
  <si>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</si>
  <si>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</si>
  <si>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</si>
  <si>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</si>
  <si>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</si>
  <si>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</si>
  <si>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</si>
  <si>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</si>
  <si>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</si>
  <si>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</si>
  <si>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</si>
  <si>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</si>
  <si>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</si>
  <si>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</si>
  <si>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</si>
  <si>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</si>
  <si>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</si>
  <si>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</si>
  <si>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</si>
  <si>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</si>
  <si>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</si>
  <si>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</si>
  <si>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</si>
  <si>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</si>
  <si>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</si>
  <si>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</si>
  <si>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</si>
  <si>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</si>
  <si>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</si>
  <si>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</si>
  <si>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</si>
  <si>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</si>
  <si>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</si>
  <si>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</si>
  <si>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</si>
  <si>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</si>
  <si>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</si>
  <si>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</si>
  <si>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</si>
  <si>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</si>
  <si>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</si>
  <si>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</si>
  <si>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</si>
  <si>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</si>
  <si>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</si>
  <si>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</si>
  <si>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</si>
  <si>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</si>
  <si>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</si>
  <si>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</si>
  <si>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</si>
  <si>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</si>
  <si>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</si>
  <si>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</si>
  <si>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</si>
  <si>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</si>
  <si>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</si>
  <si>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</si>
  <si>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</si>
  <si>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</si>
  <si>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</si>
  <si>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</si>
  <si>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</si>
  <si>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</si>
  <si>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</si>
  <si>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</si>
  <si>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</si>
  <si>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</si>
  <si>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</si>
  <si>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</si>
  <si>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</si>
  <si>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</si>
  <si>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</si>
  <si>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</si>
  <si>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</si>
  <si>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</si>
  <si>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</si>
  <si>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</si>
  <si>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</si>
  <si>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</si>
  <si>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</si>
  <si>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</si>
  <si>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</si>
  <si>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</si>
  <si>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</si>
  <si>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</si>
  <si>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</si>
  <si>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</si>
  <si>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</si>
  <si>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</si>
  <si>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</si>
  <si>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</si>
  <si>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</si>
  <si>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</si>
  <si>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</si>
  <si>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</si>
  <si>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</si>
  <si>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</si>
  <si>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</si>
  <si>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</si>
  <si>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</si>
  <si>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</si>
  <si>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</si>
  <si>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</si>
  <si>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</si>
  <si>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</si>
  <si>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</si>
  <si>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</si>
  <si>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</si>
  <si>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</si>
  <si>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</si>
  <si>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</si>
  <si>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</si>
  <si>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</si>
  <si>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</si>
  <si>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</si>
  <si>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</si>
  <si>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</si>
  <si>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</si>
  <si>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</si>
  <si>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</si>
  <si>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</si>
  <si>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</si>
  <si>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</si>
  <si>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</si>
  <si>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</si>
  <si>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</si>
  <si>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</si>
  <si>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</si>
  <si>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</si>
  <si>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</si>
  <si>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</si>
  <si>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</si>
  <si>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</si>
  <si>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</si>
  <si>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</si>
  <si>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</si>
  <si>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</si>
  <si>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</si>
  <si>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</si>
  <si>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</si>
  <si>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</si>
  <si>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</si>
  <si>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</si>
  <si>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</si>
  <si>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</si>
  <si>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</si>
  <si>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</si>
  <si>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</si>
  <si>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</si>
  <si>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</si>
  <si>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</si>
  <si>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</si>
  <si>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</si>
  <si>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</si>
  <si>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</si>
  <si>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</si>
  <si>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</si>
  <si>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</si>
  <si>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</si>
  <si>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</si>
  <si>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</si>
  <si>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</si>
  <si>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</si>
  <si>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</si>
  <si>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</si>
  <si>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</si>
  <si>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</si>
  <si>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</si>
  <si>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</si>
  <si>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</si>
  <si>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</si>
  <si>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</si>
  <si>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</si>
  <si>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</si>
  <si>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</si>
  <si>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</si>
  <si>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</si>
  <si>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</si>
  <si>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</si>
  <si>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</si>
  <si>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</si>
  <si>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</si>
  <si>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</si>
  <si>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</si>
  <si>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</si>
  <si>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</si>
  <si>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</si>
  <si>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</si>
  <si>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</si>
  <si>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</si>
  <si>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</si>
  <si>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</si>
  <si>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</si>
  <si>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</si>
  <si>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</si>
  <si>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</si>
  <si>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</si>
  <si>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</si>
  <si>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</si>
  <si>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</si>
  <si>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</si>
  <si>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</si>
  <si>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</si>
  <si>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</si>
  <si>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</si>
  <si>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</si>
  <si>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</si>
  <si>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</si>
  <si>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</si>
  <si>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</si>
  <si>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</si>
  <si>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</si>
  <si>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</si>
  <si>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</si>
  <si>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</si>
  <si>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</si>
  <si>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</si>
  <si>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</si>
  <si>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</si>
  <si>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</si>
  <si>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</si>
  <si>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</si>
  <si>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</si>
  <si>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</si>
  <si>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</si>
  <si>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</si>
  <si>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</si>
  <si>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</si>
  <si>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</si>
  <si>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</si>
  <si>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</si>
  <si>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</si>
  <si>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</si>
  <si>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</si>
  <si>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</si>
  <si>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</si>
  <si>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</si>
  <si>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</si>
  <si>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</si>
  <si>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</si>
  <si>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</si>
  <si>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</si>
  <si>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</si>
  <si>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</si>
  <si>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</si>
  <si>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</si>
  <si>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</si>
  <si>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</si>
  <si>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</si>
  <si>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</si>
  <si>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</si>
  <si>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</si>
  <si>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</si>
  <si>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</si>
  <si>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</si>
  <si>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</si>
  <si>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</si>
  <si>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</si>
  <si>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</si>
  <si>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</si>
  <si>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</si>
  <si>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</si>
  <si>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</si>
  <si>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</si>
  <si>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</si>
  <si>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</si>
  <si>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</si>
  <si>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</si>
  <si>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</si>
  <si>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</si>
  <si>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</si>
  <si>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</si>
  <si>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</si>
  <si>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</si>
  <si>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</si>
  <si>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</si>
  <si>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</si>
  <si>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</si>
  <si>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</si>
  <si>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</si>
  <si>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</si>
  <si>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</si>
  <si>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</si>
  <si>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</si>
  <si>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</si>
  <si>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</si>
  <si>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</si>
  <si>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</si>
  <si>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</si>
  <si>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</si>
  <si>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</si>
  <si>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</si>
  <si>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</si>
  <si>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</si>
  <si>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</si>
  <si>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</si>
  <si>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</si>
  <si>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</si>
  <si>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</si>
  <si>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</si>
  <si>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</si>
  <si>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</si>
  <si>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</si>
  <si>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</si>
  <si>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</si>
  <si>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</si>
  <si>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</si>
  <si>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</si>
  <si>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</si>
  <si>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</si>
  <si>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</si>
  <si>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</si>
  <si>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</si>
  <si>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</si>
  <si>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</si>
  <si>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</si>
  <si>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</si>
  <si>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</si>
  <si>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</si>
  <si>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</si>
  <si>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</si>
  <si>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</si>
  <si>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</si>
  <si>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</si>
  <si>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</si>
  <si>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</si>
  <si>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</si>
  <si>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</si>
  <si>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</si>
  <si>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</si>
  <si>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</si>
  <si>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</si>
  <si>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</si>
  <si>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</si>
  <si>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</si>
  <si>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</si>
  <si>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</si>
  <si>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</si>
  <si>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</si>
  <si>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</si>
  <si>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</si>
  <si>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</si>
  <si>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</si>
  <si>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</si>
  <si>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</si>
  <si>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</si>
  <si>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</si>
  <si>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</si>
  <si>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</si>
  <si>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</si>
  <si>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</si>
  <si>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</si>
  <si>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</si>
  <si>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</si>
  <si>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</si>
  <si>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</si>
  <si>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</si>
  <si>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</si>
  <si>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</si>
  <si>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</si>
  <si>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</si>
  <si>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</si>
  <si>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</si>
  <si>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</si>
  <si>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</si>
  <si>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</si>
  <si>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</si>
  <si>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</si>
  <si>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</si>
  <si>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</si>
  <si>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</si>
  <si>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</si>
  <si>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</si>
  <si>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</si>
  <si>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</si>
  <si>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</si>
  <si>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</si>
  <si>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</si>
  <si>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</si>
  <si>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</si>
  <si>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</si>
  <si>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</si>
  <si>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</si>
  <si>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</si>
  <si>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</si>
  <si>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</si>
  <si>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</si>
  <si>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</si>
  <si>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</si>
  <si>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</si>
  <si>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</si>
  <si>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</si>
  <si>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</si>
  <si>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</si>
  <si>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</si>
  <si>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</si>
  <si>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</si>
  <si>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</si>
  <si>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</si>
  <si>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</si>
  <si>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</si>
  <si>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</si>
  <si>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</si>
  <si>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</si>
  <si>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</si>
  <si>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</si>
  <si>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</si>
  <si>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</si>
  <si>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</si>
  <si>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</si>
  <si>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</si>
  <si>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</si>
  <si>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</si>
  <si>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</si>
  <si>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</si>
  <si>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</si>
  <si>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</si>
  <si>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</si>
  <si>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</si>
  <si>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</si>
  <si>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</si>
  <si>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</si>
  <si>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</si>
  <si>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</si>
  <si>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</si>
  <si>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</si>
  <si>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</si>
  <si>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</si>
  <si>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</si>
  <si>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</si>
  <si>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</si>
  <si>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</si>
  <si>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</si>
  <si>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</si>
  <si>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</si>
  <si>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</si>
  <si>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</si>
  <si>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</si>
  <si>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</si>
  <si>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</si>
  <si>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</si>
  <si>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</si>
  <si>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</si>
  <si>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</si>
  <si>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</si>
  <si>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</si>
  <si>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</si>
  <si>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</si>
  <si>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</si>
  <si>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</si>
  <si>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</si>
  <si>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</si>
  <si>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</si>
  <si>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</si>
  <si>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</si>
  <si>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</si>
  <si>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</si>
  <si>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</si>
  <si>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</si>
  <si>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</si>
  <si>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</si>
  <si>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</si>
  <si>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</si>
  <si>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</si>
  <si>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</si>
  <si>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</si>
  <si>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</si>
  <si>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</si>
  <si>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</si>
  <si>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</si>
  <si>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</si>
  <si>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</si>
  <si>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</si>
  <si>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</si>
  <si>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</si>
  <si>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</si>
  <si>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</si>
  <si>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</si>
  <si>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</si>
  <si>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</si>
  <si>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</si>
  <si>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</si>
  <si>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</si>
  <si>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</si>
  <si>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</si>
  <si>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</si>
  <si>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</si>
  <si>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</si>
  <si>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</si>
  <si>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</si>
  <si>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</si>
  <si>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</si>
  <si>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</si>
  <si>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</si>
  <si>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</si>
  <si>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</si>
  <si>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</si>
  <si>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</si>
  <si>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</si>
  <si>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</si>
  <si>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</si>
  <si>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</si>
  <si>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</si>
  <si>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</si>
  <si>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</si>
  <si>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</si>
  <si>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</si>
  <si>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</si>
  <si>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</si>
  <si>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</si>
  <si>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</si>
  <si>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</si>
  <si>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</si>
  <si>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</si>
  <si>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</si>
  <si>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</si>
  <si>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</si>
  <si>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</si>
  <si>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</si>
  <si>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</si>
  <si>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</si>
  <si>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</si>
  <si>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</si>
  <si>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</si>
  <si>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</si>
  <si>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</si>
  <si>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</si>
  <si>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</si>
  <si>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</si>
  <si>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</si>
  <si>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</si>
  <si>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</si>
  <si>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</si>
  <si>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</si>
  <si>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</si>
  <si>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</si>
  <si>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</si>
  <si>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</si>
  <si>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</si>
  <si>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</si>
  <si>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</si>
  <si>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</si>
  <si>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</si>
  <si>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</si>
  <si>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</si>
  <si>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</si>
  <si>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</si>
  <si>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</si>
  <si>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</si>
  <si>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</si>
  <si>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</si>
  <si>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</si>
  <si>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</si>
  <si>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</si>
  <si>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</si>
  <si>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</si>
  <si>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</si>
  <si>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</si>
  <si>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</si>
  <si>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</si>
  <si>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</si>
  <si>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</si>
  <si>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</si>
  <si>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</si>
  <si>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</si>
  <si>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</si>
  <si>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</si>
  <si>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</si>
  <si>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</si>
  <si>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</si>
  <si>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</si>
  <si>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</si>
  <si>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</si>
  <si>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</si>
  <si>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</si>
  <si>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</si>
  <si>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</si>
  <si>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</si>
  <si>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</si>
  <si>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</si>
  <si>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</si>
  <si>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</si>
  <si>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</si>
  <si>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</si>
  <si>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</si>
  <si>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</si>
  <si>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</si>
  <si>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</si>
  <si>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</si>
  <si>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</si>
  <si>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</si>
  <si>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</si>
  <si>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</si>
  <si>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</si>
  <si>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</si>
  <si>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</si>
  <si>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</si>
  <si>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</si>
  <si>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</si>
  <si>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</si>
  <si>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</si>
  <si>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</si>
  <si>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</si>
  <si>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</si>
  <si>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</si>
  <si>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</si>
  <si>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</si>
  <si>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</si>
  <si>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</si>
  <si>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</si>
  <si>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</si>
  <si>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</si>
  <si>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</si>
  <si>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</si>
  <si>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</si>
  <si>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</si>
  <si>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</si>
  <si>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</si>
  <si>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</si>
  <si>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</si>
  <si>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</si>
  <si>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</si>
  <si>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</si>
  <si>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</si>
  <si>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</si>
  <si>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</si>
  <si>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</si>
  <si>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</si>
  <si>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</si>
  <si>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</si>
  <si>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</si>
  <si>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</si>
  <si>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</si>
  <si>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</si>
  <si>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</si>
  <si>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</si>
  <si>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</si>
  <si>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</si>
  <si>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</si>
  <si>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</si>
  <si>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</si>
  <si>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</si>
  <si>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</si>
  <si>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</si>
  <si>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</si>
  <si>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</si>
  <si>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</si>
  <si>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</si>
  <si>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</si>
  <si>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</si>
  <si>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</si>
  <si>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</si>
  <si>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</si>
  <si>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</si>
  <si>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</si>
  <si>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</si>
  <si>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</si>
  <si>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</si>
  <si>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</si>
  <si>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</si>
  <si>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</si>
  <si>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</si>
  <si>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</si>
  <si>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</si>
  <si>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</si>
  <si>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</si>
  <si>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</si>
  <si>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</si>
  <si>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</si>
  <si>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</si>
  <si>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</si>
  <si>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</si>
  <si>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</si>
  <si>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</si>
  <si>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</si>
  <si>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</si>
  <si>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</si>
  <si>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</si>
  <si>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</si>
  <si>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</si>
  <si>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</si>
  <si>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</si>
  <si>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</si>
  <si>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</si>
  <si>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</si>
  <si>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</si>
  <si>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</si>
  <si>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</si>
  <si>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</si>
  <si>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</si>
  <si>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</si>
  <si>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</si>
  <si>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</si>
  <si>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</si>
  <si>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</si>
  <si>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</si>
  <si>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</si>
  <si>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</si>
  <si>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</si>
  <si>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</si>
  <si>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</si>
  <si>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</si>
  <si>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</si>
  <si>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</si>
  <si>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</si>
  <si>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</si>
  <si>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</si>
  <si>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</si>
  <si>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</si>
  <si>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</si>
  <si>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</si>
  <si>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</si>
  <si>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</si>
  <si>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</si>
  <si>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</si>
  <si>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</si>
  <si>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</si>
  <si>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</si>
  <si>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</si>
  <si>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</si>
  <si>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</si>
  <si>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</si>
  <si>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</si>
  <si>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</si>
  <si>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</si>
  <si>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</si>
  <si>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</si>
  <si>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</si>
  <si>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</si>
  <si>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</si>
  <si>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</si>
  <si>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</si>
  <si>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</si>
  <si>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</si>
  <si>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</si>
  <si>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</si>
  <si>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</si>
  <si>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</si>
  <si>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</si>
  <si>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</si>
  <si>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</si>
  <si>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</si>
  <si>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</si>
  <si>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</si>
  <si>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</si>
  <si>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</si>
  <si>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</si>
  <si>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</si>
  <si>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</si>
  <si>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</si>
  <si>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</si>
  <si>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</si>
  <si>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</si>
  <si>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</si>
  <si>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</si>
  <si>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</si>
  <si>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</si>
  <si>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</si>
  <si>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</si>
  <si>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</si>
  <si>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</si>
  <si>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</si>
  <si>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</si>
  <si>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</si>
  <si>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</si>
  <si>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</si>
  <si>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</si>
  <si>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</si>
  <si>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</si>
  <si>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</si>
  <si>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</si>
  <si>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</si>
  <si>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</si>
  <si>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</si>
  <si>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</si>
  <si>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</si>
  <si>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</si>
  <si>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</si>
  <si>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</si>
  <si>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</si>
  <si>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</si>
  <si>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</si>
  <si>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</si>
  <si>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</si>
  <si>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</si>
  <si>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</si>
  <si>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</si>
  <si>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</si>
  <si>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</si>
  <si>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</si>
  <si>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</si>
  <si>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</si>
  <si>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</si>
  <si>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</si>
  <si>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</si>
  <si>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</si>
  <si>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</si>
  <si>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</si>
  <si>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</si>
  <si>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</si>
  <si>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</si>
  <si>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</si>
  <si>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</si>
  <si>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</si>
  <si>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</si>
  <si>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</si>
  <si>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</si>
  <si>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</si>
  <si>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</si>
  <si>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</si>
  <si>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</si>
  <si>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</si>
  <si>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</si>
  <si>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</si>
  <si>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</si>
  <si>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</si>
  <si>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</si>
  <si>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</si>
  <si>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</si>
  <si>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</si>
  <si>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</si>
  <si>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</si>
  <si>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</si>
  <si>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</si>
  <si>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</si>
  <si>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</si>
  <si>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</si>
  <si>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</si>
  <si>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</si>
  <si>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</si>
  <si>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</si>
  <si>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</si>
  <si>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</si>
  <si>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</si>
  <si>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</si>
  <si>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</si>
  <si>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</si>
  <si>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</si>
  <si>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</si>
  <si>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</si>
  <si>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</si>
  <si>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</si>
  <si>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</si>
  <si>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</si>
  <si>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</si>
  <si>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</si>
  <si>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</si>
  <si>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</si>
  <si>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</si>
  <si>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</si>
  <si>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</si>
  <si>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</si>
  <si>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</si>
  <si>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</si>
  <si>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</si>
  <si>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</si>
  <si>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</si>
  <si>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</si>
  <si>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</si>
  <si>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</si>
  <si>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</si>
  <si>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</si>
  <si>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</si>
  <si>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</si>
  <si>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</si>
  <si>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</si>
  <si>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</si>
  <si>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</si>
  <si>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</si>
  <si>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</si>
  <si>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</si>
  <si>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</si>
  <si>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</si>
  <si>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</si>
  <si>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</si>
  <si>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</si>
  <si>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</si>
  <si>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</si>
  <si>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</si>
  <si>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</si>
  <si>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</si>
  <si>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</si>
  <si>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</si>
  <si>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</si>
  <si>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</si>
  <si>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</si>
  <si>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</si>
  <si>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</si>
  <si>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</si>
  <si>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</si>
  <si>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</si>
  <si>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</si>
  <si>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</si>
  <si>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</si>
  <si>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</si>
  <si>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</si>
  <si>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</si>
  <si>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</si>
  <si>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</si>
  <si>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</si>
  <si>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</si>
  <si>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</si>
  <si>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</si>
  <si>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</si>
  <si>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</si>
  <si>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</si>
  <si>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</si>
  <si>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</si>
  <si>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</si>
  <si>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</si>
  <si>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</si>
  <si>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</si>
  <si>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</si>
  <si>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</si>
  <si>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</si>
  <si>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</si>
  <si>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</si>
  <si>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</si>
  <si>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</si>
  <si>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</si>
  <si>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</si>
  <si>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</si>
  <si>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</si>
  <si>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</si>
  <si>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</si>
  <si>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</si>
  <si>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</si>
  <si>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</si>
  <si>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</si>
  <si>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</si>
  <si>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</si>
  <si>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</si>
  <si>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</si>
  <si>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</si>
  <si>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</si>
  <si>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</si>
  <si>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</si>
  <si>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</si>
  <si>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</si>
  <si>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</si>
  <si>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</si>
  <si>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</si>
  <si>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</si>
  <si>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</si>
  <si>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</si>
  <si>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</si>
  <si>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</si>
  <si>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</si>
  <si>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</si>
  <si>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</si>
  <si>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</si>
  <si>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</si>
  <si>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</si>
  <si>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</si>
  <si>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</si>
  <si>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</si>
  <si>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</si>
  <si>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</si>
  <si>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</si>
  <si>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</si>
  <si>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</si>
  <si>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</si>
  <si>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</si>
  <si>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</si>
  <si>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</si>
  <si>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</si>
  <si>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</si>
  <si>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</si>
  <si>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</si>
  <si>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</si>
  <si>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</si>
  <si>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</si>
  <si>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</si>
  <si>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</si>
  <si>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</si>
  <si>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</si>
  <si>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</si>
  <si>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</si>
  <si>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</si>
  <si>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</si>
  <si>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</si>
  <si>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</si>
  <si>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</si>
  <si>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</si>
  <si>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</si>
  <si>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</si>
  <si>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</si>
  <si>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</si>
  <si>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</si>
  <si>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</si>
  <si>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</si>
  <si>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</si>
  <si>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</si>
  <si>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</si>
  <si>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</si>
  <si>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</si>
  <si>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</si>
  <si>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</si>
  <si>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</si>
  <si>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</si>
  <si>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</si>
  <si>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</si>
  <si>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</si>
  <si>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</si>
  <si>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</si>
  <si>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</si>
  <si>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</si>
  <si>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</si>
  <si>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</si>
  <si>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</si>
  <si>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</si>
  <si>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</si>
  <si>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</si>
  <si>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</si>
  <si>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</si>
  <si>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</si>
  <si>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</si>
  <si>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</si>
  <si>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</si>
  <si>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</si>
  <si>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</si>
  <si>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</si>
  <si>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</si>
  <si>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</si>
  <si>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</si>
  <si>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</si>
  <si>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</si>
  <si>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</si>
  <si>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</si>
  <si>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</si>
  <si>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</si>
  <si>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</si>
  <si>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</si>
  <si>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</si>
  <si>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</si>
  <si>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</si>
  <si>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</si>
  <si>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</si>
  <si>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</si>
  <si>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</si>
  <si>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</si>
  <si>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</si>
  <si>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</si>
  <si>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</si>
  <si>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</si>
  <si>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</si>
  <si>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</si>
  <si>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</si>
  <si>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</si>
  <si>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</si>
  <si>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</si>
  <si>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</si>
  <si>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</si>
  <si>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</si>
  <si>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</si>
  <si>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</si>
  <si>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</si>
  <si>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</si>
  <si>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</si>
  <si>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</si>
  <si>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</si>
  <si>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</si>
  <si>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</si>
  <si>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</si>
  <si>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</si>
  <si>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</si>
  <si>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</si>
  <si>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</si>
  <si>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</si>
  <si>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</si>
  <si>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</si>
  <si>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</si>
  <si>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</si>
  <si>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</si>
  <si>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</si>
  <si>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</si>
  <si>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</si>
  <si>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</si>
  <si>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</si>
  <si>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</si>
  <si>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</si>
  <si>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</si>
  <si>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</si>
  <si>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</si>
  <si>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</si>
  <si>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</si>
  <si>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</si>
  <si>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</si>
  <si>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</si>
  <si>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</si>
  <si>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</si>
  <si>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</si>
  <si>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</si>
  <si>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</si>
  <si>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</si>
  <si>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</si>
  <si>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</si>
  <si>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</si>
  <si>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</si>
  <si>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</si>
  <si>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</si>
  <si>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</si>
  <si>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</si>
  <si>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</si>
  <si>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</si>
  <si>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</si>
  <si>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</si>
  <si>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</si>
  <si>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</si>
  <si>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</si>
  <si>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</si>
  <si>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</si>
  <si>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</si>
  <si>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</si>
  <si>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</si>
  <si>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</si>
  <si>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</si>
  <si>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</si>
  <si>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</si>
  <si>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</si>
  <si>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</si>
  <si>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</si>
  <si>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</si>
  <si>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</si>
  <si>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</si>
  <si>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</si>
  <si>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</si>
  <si>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</si>
  <si>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</si>
  <si>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</si>
  <si>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</si>
  <si>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</si>
  <si>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</si>
  <si>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</si>
  <si>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</si>
  <si>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</si>
  <si>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</si>
  <si>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</si>
  <si>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</si>
  <si>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</si>
  <si>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</si>
  <si>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</si>
  <si>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</si>
  <si>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</si>
  <si>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</si>
  <si>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</si>
  <si>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</si>
  <si>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</si>
  <si>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</si>
  <si>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</si>
  <si>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</si>
  <si>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</si>
  <si>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</si>
  <si>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</si>
  <si>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</si>
  <si>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</si>
  <si>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</si>
  <si>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</si>
  <si>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</si>
  <si>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</si>
  <si>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</si>
  <si>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</si>
  <si>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</si>
  <si>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</si>
  <si>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</si>
  <si>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</si>
  <si>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</si>
  <si>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</si>
  <si>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</si>
  <si>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</si>
  <si>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</si>
  <si>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</si>
  <si>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</si>
  <si>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</si>
  <si>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</si>
  <si>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</si>
  <si>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</si>
  <si>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</si>
  <si>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</si>
  <si>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</si>
  <si>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</si>
  <si>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</si>
  <si>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</si>
  <si>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</si>
  <si>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</si>
  <si>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</si>
  <si>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</si>
  <si>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</si>
  <si>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</si>
  <si>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</si>
  <si>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</si>
  <si>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</si>
  <si>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</si>
  <si>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</si>
  <si>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</si>
  <si>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</si>
  <si>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</si>
  <si>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</si>
  <si>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</si>
  <si>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</si>
  <si>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</si>
  <si>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</si>
  <si>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</si>
  <si>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</si>
  <si>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</si>
  <si>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</si>
  <si>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</si>
  <si>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</si>
  <si>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</si>
  <si>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</si>
  <si>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</si>
  <si>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</si>
  <si>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</si>
  <si>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</si>
  <si>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</si>
  <si>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</si>
  <si>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</si>
  <si>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</si>
  <si>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</si>
  <si>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</si>
  <si>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</si>
  <si>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</si>
  <si>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</si>
  <si>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</si>
  <si>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</si>
  <si>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</si>
  <si>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</si>
  <si>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</si>
  <si>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</si>
  <si>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</si>
  <si>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</si>
  <si>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</si>
  <si>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</si>
  <si>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</si>
  <si>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</si>
  <si>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</si>
  <si>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</si>
  <si>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</si>
  <si>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</si>
  <si>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</si>
  <si>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</si>
  <si>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</si>
  <si>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</si>
  <si>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</si>
  <si>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</si>
  <si>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</si>
  <si>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</si>
  <si>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</si>
  <si>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</si>
  <si>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</si>
  <si>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</si>
  <si>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</si>
  <si>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</si>
  <si>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</si>
  <si>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</si>
  <si>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</si>
  <si>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</si>
  <si>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</si>
  <si>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</si>
  <si>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</si>
  <si>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</si>
  <si>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</si>
  <si>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</si>
  <si>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</si>
  <si>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</si>
  <si>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</si>
  <si>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</si>
  <si>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</si>
  <si>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</si>
  <si>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</si>
  <si>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</si>
  <si>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</si>
  <si>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</si>
  <si>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</si>
  <si>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</si>
  <si>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</si>
  <si>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</si>
  <si>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</si>
  <si>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</si>
  <si>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</si>
  <si>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</si>
  <si>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</si>
  <si>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</si>
  <si>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</si>
  <si>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</si>
  <si>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</si>
  <si>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</si>
  <si>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</si>
  <si>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</si>
  <si>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</si>
  <si>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</si>
  <si>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</si>
  <si>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</si>
  <si>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</si>
  <si>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</si>
  <si>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</si>
  <si>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</si>
  <si>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</si>
  <si>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</si>
  <si>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</si>
  <si>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</si>
  <si>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</si>
  <si>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</si>
  <si>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</si>
  <si>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</si>
  <si>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</si>
  <si>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</si>
  <si>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</si>
  <si>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</si>
  <si>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</si>
  <si>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</si>
  <si>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</si>
  <si>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</si>
  <si>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</si>
  <si>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</si>
  <si>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</si>
  <si>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</si>
  <si>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</si>
  <si>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</si>
  <si>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</si>
  <si>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</si>
  <si>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</si>
  <si>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</si>
  <si>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</si>
  <si>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</si>
  <si>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</si>
  <si>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</si>
  <si>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</si>
  <si>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</si>
  <si>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</si>
  <si>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</si>
  <si>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</si>
  <si>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</si>
  <si>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</si>
  <si>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</si>
  <si>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</si>
  <si>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</si>
  <si>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</si>
  <si>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</si>
  <si>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</si>
  <si>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</si>
  <si>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</si>
  <si>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</si>
  <si>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</si>
  <si>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</si>
  <si>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</si>
  <si>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</si>
  <si>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</si>
  <si>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</si>
  <si>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</si>
  <si>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</si>
  <si>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</si>
  <si>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</si>
  <si>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</si>
  <si>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</si>
  <si>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</si>
  <si>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</si>
  <si>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</si>
  <si>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</si>
  <si>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</si>
  <si>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</si>
  <si>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</si>
  <si>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</si>
  <si>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</si>
  <si>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</si>
  <si>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</si>
  <si>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</si>
  <si>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</si>
  <si>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</si>
  <si>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</si>
  <si>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</si>
  <si>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</si>
  <si>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</si>
  <si>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</si>
  <si>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</si>
  <si>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</si>
  <si>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</si>
  <si>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</si>
  <si>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</si>
  <si>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</si>
  <si>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</si>
  <si>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</si>
  <si>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</si>
  <si>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</si>
  <si>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</si>
  <si>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</si>
  <si>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</si>
  <si>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</si>
  <si>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</si>
  <si>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</si>
  <si>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</si>
  <si>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</si>
  <si>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</si>
  <si>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</si>
  <si>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</si>
  <si>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</si>
  <si>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</si>
  <si>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</si>
  <si>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</si>
  <si>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</si>
  <si>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</si>
  <si>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</si>
  <si>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</si>
  <si>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</si>
  <si>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</si>
  <si>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</si>
  <si>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</si>
  <si>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</si>
  <si>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</si>
  <si>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</si>
  <si>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</si>
  <si>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</si>
  <si>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</si>
  <si>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</si>
  <si>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</si>
  <si>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</si>
  <si>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</si>
  <si>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</si>
  <si>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</si>
  <si>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</si>
  <si>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</si>
  <si>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</si>
  <si>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</si>
  <si>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</si>
  <si>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</si>
  <si>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</si>
  <si>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</si>
  <si>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</si>
  <si>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</si>
  <si>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</si>
  <si>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</si>
  <si>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</si>
  <si>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</si>
  <si>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</si>
  <si>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</si>
  <si>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</si>
  <si>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</si>
  <si>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</si>
  <si>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</si>
  <si>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</si>
  <si>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</si>
  <si>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</si>
  <si>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</si>
  <si>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</si>
  <si>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</si>
  <si>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</si>
  <si>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</si>
  <si>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</si>
  <si>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</si>
  <si>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</si>
  <si>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</si>
  <si>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</si>
  <si>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</si>
  <si>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</si>
  <si>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</si>
  <si>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</si>
  <si>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</si>
  <si>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</si>
  <si>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</si>
  <si>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</si>
  <si>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</si>
  <si>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</si>
  <si>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</si>
  <si>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</si>
  <si>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</si>
  <si>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</si>
  <si>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</si>
  <si>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</si>
  <si>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</si>
  <si>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</si>
  <si>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</si>
  <si>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</si>
  <si>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</si>
  <si>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</si>
  <si>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</si>
  <si>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</si>
  <si>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</si>
  <si>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</si>
  <si>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</si>
  <si>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</si>
  <si>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</si>
  <si>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</si>
  <si>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</si>
  <si>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</si>
  <si>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</si>
  <si>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</si>
  <si>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</si>
  <si>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</si>
  <si>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</si>
  <si>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</si>
  <si>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</si>
  <si>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</si>
  <si>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</si>
  <si>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</si>
  <si>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</si>
  <si>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</si>
  <si>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</si>
  <si>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</si>
  <si>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</si>
  <si>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</si>
  <si>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</si>
  <si>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</si>
  <si>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</si>
  <si>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</si>
  <si>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</si>
  <si>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</si>
  <si>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</si>
  <si>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</si>
  <si>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</si>
  <si>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</si>
  <si>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</si>
  <si>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</si>
  <si>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</si>
  <si>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</si>
  <si>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</si>
  <si>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</si>
  <si>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</si>
  <si>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</si>
  <si>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</si>
  <si>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</si>
  <si>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</si>
  <si>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</si>
  <si>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</si>
  <si>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</si>
  <si>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</si>
  <si>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</si>
  <si>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</si>
  <si>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</si>
  <si>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</si>
  <si>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</si>
  <si>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</si>
  <si>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</si>
  <si>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</si>
  <si>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</si>
  <si>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</si>
  <si>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</si>
  <si>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</si>
  <si>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</si>
  <si>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</si>
  <si>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</si>
  <si>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</si>
  <si>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</si>
  <si>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</si>
  <si>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</si>
  <si>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</si>
  <si>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</si>
  <si>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</si>
  <si>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</si>
  <si>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</si>
  <si>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</si>
  <si>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</si>
  <si>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</si>
  <si>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</si>
  <si>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</si>
  <si>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</si>
  <si>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</si>
  <si>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</si>
  <si>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</si>
  <si>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</si>
  <si>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</si>
  <si>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</si>
  <si>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</si>
  <si>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</si>
  <si>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</si>
  <si>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</si>
  <si>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</si>
  <si>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</si>
  <si>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</si>
  <si>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</si>
  <si>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</si>
  <si>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</si>
  <si>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</si>
  <si>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</si>
  <si>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</si>
  <si>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</si>
  <si>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</si>
  <si>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</si>
  <si>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</si>
  <si>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</si>
  <si>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</si>
  <si>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</si>
  <si>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</si>
  <si>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</si>
  <si>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</si>
  <si>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</si>
  <si>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</si>
  <si>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</si>
  <si>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</si>
  <si>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</si>
  <si>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</si>
  <si>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</si>
  <si>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</si>
  <si>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</si>
  <si>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</si>
  <si>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</si>
  <si>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</si>
  <si>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</si>
  <si>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</si>
  <si>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</si>
  <si>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</si>
  <si>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</si>
  <si>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</si>
  <si>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</si>
  <si>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</si>
  <si>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</si>
  <si>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</si>
  <si>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</si>
  <si>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</si>
  <si>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</si>
  <si>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</si>
  <si>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</si>
  <si>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</si>
  <si>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</si>
  <si>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</si>
  <si>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</si>
  <si>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</si>
  <si>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</si>
  <si>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</si>
  <si>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</si>
  <si>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</si>
  <si>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</si>
  <si>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</si>
  <si>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</si>
  <si>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</si>
  <si>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</si>
  <si>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</si>
  <si>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</si>
  <si>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</si>
  <si>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</si>
  <si>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</si>
  <si>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</si>
  <si>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</si>
  <si>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</si>
  <si>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</si>
  <si>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</si>
  <si>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</si>
  <si>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</si>
  <si>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</si>
  <si>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</si>
  <si>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</si>
  <si>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</si>
  <si>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</si>
  <si>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</si>
  <si>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</si>
  <si>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</si>
  <si>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</si>
  <si>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</si>
  <si>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</si>
  <si>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</si>
  <si>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</si>
  <si>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</si>
  <si>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</si>
  <si>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</si>
  <si>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</si>
  <si>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</si>
  <si>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</si>
  <si>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</si>
  <si>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</si>
  <si>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</si>
  <si>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</si>
  <si>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</si>
  <si>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</si>
  <si>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</si>
  <si>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</si>
  <si>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</si>
  <si>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</si>
  <si>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</si>
  <si>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</si>
  <si>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</si>
  <si>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</si>
  <si>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</si>
  <si>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</si>
  <si>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</si>
  <si>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</si>
  <si>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</si>
  <si>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</si>
  <si>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</si>
  <si>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</si>
  <si>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</si>
  <si>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</si>
  <si>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</si>
  <si>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</si>
  <si>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</si>
  <si>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</si>
  <si>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</si>
  <si>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</si>
  <si>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</si>
  <si>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</si>
  <si>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</si>
  <si>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</si>
  <si>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</si>
  <si>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</si>
  <si>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</si>
  <si>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</si>
  <si>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</si>
  <si>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</si>
  <si>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</si>
  <si>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</si>
  <si>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</si>
  <si>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</si>
  <si>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</si>
  <si>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</si>
  <si>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</si>
  <si>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</si>
  <si>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</si>
  <si>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</si>
  <si>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</si>
  <si>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</si>
  <si>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</si>
  <si>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</si>
  <si>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</si>
  <si>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</si>
  <si>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</si>
  <si>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</si>
  <si>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</si>
  <si>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</si>
  <si>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</si>
  <si>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</si>
  <si>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</si>
  <si>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</si>
  <si>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</si>
  <si>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</si>
  <si>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</si>
  <si>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</si>
  <si>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</si>
  <si>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</si>
  <si>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</si>
  <si>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</si>
  <si>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</si>
  <si>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</si>
  <si>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</si>
  <si>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</si>
  <si>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</si>
  <si>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</si>
  <si>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</si>
  <si>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</si>
  <si>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</si>
  <si>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</si>
  <si>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</si>
  <si>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</si>
  <si>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</si>
  <si>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</si>
  <si>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</si>
  <si>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</si>
  <si>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</si>
  <si>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</si>
  <si>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</si>
  <si>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</si>
  <si>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</si>
  <si>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</si>
  <si>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</si>
  <si>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</si>
  <si>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</si>
  <si>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</si>
  <si>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</si>
  <si>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</si>
  <si>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</si>
  <si>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</si>
  <si>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</si>
  <si>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</si>
  <si>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</si>
  <si>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</si>
  <si>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</si>
  <si>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</si>
  <si>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</si>
  <si>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</si>
  <si>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</si>
  <si>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</si>
  <si>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</si>
  <si>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</si>
  <si>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</si>
  <si>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</si>
  <si>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</si>
  <si>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</si>
  <si>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</si>
  <si>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</si>
  <si>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</si>
  <si>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</si>
  <si>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</si>
  <si>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</si>
  <si>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</si>
  <si>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</si>
  <si>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</si>
  <si>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</si>
  <si>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</si>
  <si>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</si>
  <si>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</si>
  <si>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</si>
  <si>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</si>
  <si>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</si>
  <si>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</si>
  <si>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</si>
  <si>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</si>
  <si>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</si>
  <si>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</si>
  <si>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</si>
  <si>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</si>
  <si>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</si>
  <si>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</si>
  <si>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</si>
  <si>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</si>
  <si>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</si>
  <si>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</si>
  <si>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</si>
  <si>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</si>
  <si>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</si>
  <si>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</si>
  <si>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</si>
  <si>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</si>
  <si>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</si>
  <si>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</si>
  <si>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</si>
  <si>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</si>
  <si>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</si>
  <si>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</si>
  <si>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</si>
  <si>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</si>
  <si>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</si>
  <si>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</si>
  <si>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</si>
  <si>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</si>
  <si>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</si>
  <si>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</si>
  <si>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</si>
  <si>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</si>
  <si>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</si>
  <si>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</si>
  <si>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</si>
  <si>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</si>
  <si>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</si>
  <si>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</si>
  <si>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</si>
  <si>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</si>
  <si>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</si>
  <si>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</si>
  <si>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</si>
  <si>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</si>
  <si>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</si>
  <si>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</si>
  <si>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</si>
  <si>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</si>
  <si>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</si>
  <si>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</si>
  <si>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</si>
  <si>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</si>
  <si>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</si>
  <si>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</si>
  <si>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</si>
  <si>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</si>
  <si>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</si>
  <si>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</si>
  <si>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</si>
  <si>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</si>
  <si>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</si>
  <si>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</si>
  <si>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</si>
  <si>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</si>
  <si>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</si>
  <si>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</si>
  <si>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</si>
  <si>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</si>
  <si>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</si>
  <si>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</si>
  <si>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</si>
  <si>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</si>
  <si>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</si>
  <si>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</si>
  <si>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</si>
  <si>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</si>
  <si>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</si>
  <si>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</si>
  <si>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</si>
  <si>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</si>
  <si>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</si>
  <si>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</si>
  <si>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</si>
  <si>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</si>
  <si>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</si>
  <si>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</si>
  <si>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</si>
  <si>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</si>
  <si>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</si>
  <si>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</si>
  <si>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</si>
  <si>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</si>
  <si>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</si>
  <si>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</si>
  <si>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</si>
  <si>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</si>
  <si>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</si>
  <si>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</si>
  <si>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</si>
  <si>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</si>
  <si>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</si>
  <si>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</si>
  <si>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</si>
  <si>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</si>
  <si>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</si>
  <si>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</si>
  <si>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</si>
  <si>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</si>
  <si>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</si>
  <si>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</si>
  <si>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</si>
  <si>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</si>
  <si>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</si>
  <si>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</si>
  <si>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</si>
  <si>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</si>
  <si>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</si>
  <si>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</si>
  <si>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</si>
  <si>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</si>
  <si>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</si>
  <si>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</si>
  <si>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</si>
  <si>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</si>
  <si>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</si>
  <si>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</si>
  <si>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</si>
  <si>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</si>
  <si>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</si>
  <si>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</si>
  <si>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</si>
  <si>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</si>
  <si>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</si>
  <si>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</si>
  <si>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</si>
  <si>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</si>
  <si>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</si>
  <si>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</si>
  <si>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</si>
  <si>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</si>
  <si>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</si>
  <si>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</si>
  <si>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</si>
  <si>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</si>
  <si>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</si>
  <si>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</si>
  <si>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</si>
  <si>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</si>
  <si>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</si>
  <si>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</si>
  <si>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</si>
  <si>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</si>
  <si>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</si>
  <si>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</si>
  <si>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</si>
  <si>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</si>
  <si>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</si>
  <si>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</si>
  <si>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</si>
  <si>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</si>
  <si>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</si>
  <si>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</si>
  <si>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</si>
  <si>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</si>
  <si>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</si>
  <si>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</si>
  <si>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</si>
  <si>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</si>
  <si>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</si>
  <si>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</si>
  <si>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</si>
  <si>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</si>
  <si>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</si>
  <si>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</si>
  <si>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</si>
  <si>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</si>
  <si>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</si>
  <si>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</si>
  <si>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</si>
  <si>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</si>
  <si>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</si>
  <si>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</si>
  <si>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</si>
  <si>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</si>
  <si>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</si>
  <si>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</si>
  <si>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</si>
  <si>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</si>
  <si>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</si>
  <si>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</si>
  <si>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</si>
  <si>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</si>
  <si>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</si>
  <si>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</si>
  <si>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</si>
  <si>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</si>
  <si>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</si>
  <si>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</si>
  <si>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</si>
  <si>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</si>
  <si>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</si>
  <si>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</si>
  <si>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</si>
  <si>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</si>
  <si>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</si>
  <si>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</si>
  <si>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</si>
  <si>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</si>
  <si>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</si>
  <si>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</si>
  <si>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</si>
  <si>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</si>
  <si>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</si>
  <si>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</si>
  <si>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</si>
  <si>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</si>
  <si>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</si>
  <si>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</si>
  <si>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</si>
  <si>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</si>
  <si>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</si>
  <si>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</si>
  <si>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</si>
  <si>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</si>
  <si>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</si>
  <si>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</si>
  <si>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</si>
  <si>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</si>
  <si>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</si>
  <si>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</si>
  <si>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</si>
  <si>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</si>
  <si>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</si>
  <si>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</si>
  <si>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</si>
  <si>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</si>
  <si>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</si>
  <si>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</si>
  <si>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</si>
  <si>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</si>
  <si>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</si>
  <si>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</si>
  <si>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</si>
  <si>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</si>
  <si>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</si>
  <si>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</si>
  <si>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</si>
  <si>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</si>
  <si>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</si>
  <si>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</si>
  <si>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</si>
  <si>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</si>
  <si>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</si>
  <si>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</si>
  <si>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</si>
  <si>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</si>
  <si>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</si>
  <si>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</si>
  <si>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</si>
  <si>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</si>
  <si>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</si>
  <si>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</si>
  <si>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</si>
  <si>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</si>
  <si>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</si>
  <si>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</si>
  <si>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</si>
  <si>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</si>
  <si>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</si>
  <si>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</si>
  <si>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</si>
  <si>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</si>
  <si>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</si>
  <si>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</si>
  <si>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</si>
  <si>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</si>
  <si>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</si>
  <si>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</si>
  <si>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</si>
  <si>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</si>
  <si>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</si>
  <si>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</si>
  <si>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</si>
  <si>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</si>
  <si>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</si>
  <si>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</si>
  <si>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</si>
  <si>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</si>
  <si>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</si>
  <si>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</si>
  <si>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</si>
  <si>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</si>
  <si>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</si>
  <si>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</si>
  <si>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</si>
  <si>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</si>
  <si>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</si>
  <si>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</si>
  <si>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</si>
  <si>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</si>
  <si>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</si>
  <si>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</si>
  <si>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</si>
  <si>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</si>
  <si>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</si>
  <si>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</si>
  <si>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</si>
  <si>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</si>
  <si>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</si>
  <si>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</si>
  <si>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</si>
  <si>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</si>
  <si>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</si>
  <si>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</si>
  <si>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</si>
  <si>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</si>
  <si>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</si>
  <si>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</si>
  <si>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</si>
  <si>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</si>
  <si>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</si>
  <si>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</si>
  <si>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</si>
  <si>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</si>
  <si>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</si>
  <si>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</si>
  <si>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</si>
  <si>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</si>
  <si>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</si>
  <si>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</si>
  <si>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</si>
  <si>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</si>
  <si>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</si>
  <si>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</si>
  <si>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</si>
  <si>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</si>
  <si>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</si>
  <si>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</si>
  <si>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</si>
  <si>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</si>
  <si>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</si>
  <si>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</si>
  <si>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</si>
  <si>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</si>
  <si>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</si>
  <si>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</si>
  <si>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</si>
  <si>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</si>
  <si>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</si>
  <si>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</si>
  <si>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</si>
  <si>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</si>
  <si>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</si>
  <si>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</si>
  <si>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</si>
  <si>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</si>
  <si>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</si>
  <si>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</si>
  <si>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</si>
  <si>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</si>
  <si>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</si>
  <si>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</si>
  <si>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</si>
  <si>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</si>
  <si>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</si>
  <si>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</si>
  <si>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</si>
  <si>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</si>
  <si>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</si>
  <si>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</si>
  <si>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</si>
  <si>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</si>
  <si>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</si>
  <si>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</si>
  <si>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</si>
  <si>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</si>
  <si>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</si>
  <si>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</si>
  <si>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</si>
  <si>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</si>
  <si>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</si>
  <si>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</si>
  <si>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</si>
  <si>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</si>
  <si>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</si>
  <si>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</si>
  <si>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</si>
  <si>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</si>
  <si>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</si>
  <si>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</si>
  <si>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</si>
  <si>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</si>
  <si>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</si>
  <si>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</si>
  <si>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</si>
  <si>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</si>
  <si>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</si>
  <si>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</si>
  <si>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</si>
  <si>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</si>
  <si>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</si>
  <si>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</si>
  <si>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</si>
  <si>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</si>
  <si>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</si>
  <si>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</si>
  <si>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</si>
  <si>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</si>
  <si>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</si>
  <si>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</si>
  <si>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</si>
  <si>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</si>
  <si>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</si>
  <si>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</si>
  <si>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</si>
  <si>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</si>
  <si>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</si>
  <si>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</si>
  <si>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</si>
  <si>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</si>
  <si>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</si>
  <si>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</si>
  <si>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</si>
  <si>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</si>
  <si>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</si>
  <si>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</si>
  <si>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</si>
  <si>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</si>
  <si>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</si>
  <si>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</si>
  <si>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</si>
  <si>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</si>
  <si>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</si>
  <si>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</si>
  <si>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</si>
  <si>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</si>
  <si>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</si>
  <si>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</si>
  <si>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</si>
  <si>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</si>
  <si>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</si>
  <si>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</si>
  <si>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</si>
  <si>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</si>
  <si>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</si>
  <si>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</si>
  <si>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</si>
  <si>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</si>
  <si>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</si>
  <si>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</si>
  <si>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</si>
  <si>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</si>
  <si>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</si>
  <si>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</si>
  <si>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</si>
  <si>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</si>
  <si>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</si>
  <si>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</si>
  <si>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</si>
  <si>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</si>
  <si>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</si>
  <si>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</si>
  <si>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</si>
  <si>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</si>
  <si>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</si>
  <si>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</si>
  <si>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</si>
  <si>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</si>
  <si>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</si>
  <si>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</si>
  <si>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</si>
  <si>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</si>
  <si>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</si>
  <si>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</si>
  <si>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</si>
  <si>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</si>
  <si>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</si>
  <si>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</si>
  <si>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</si>
  <si>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</si>
  <si>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</si>
  <si>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</si>
  <si>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</si>
  <si>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</si>
  <si>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</si>
  <si>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</si>
  <si>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</si>
  <si>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</si>
  <si>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</si>
  <si>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</si>
  <si>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</si>
  <si>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</si>
  <si>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</si>
  <si>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</si>
  <si>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</si>
  <si>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</si>
  <si>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</si>
  <si>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</si>
  <si>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</si>
  <si>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</si>
  <si>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</si>
  <si>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</si>
  <si>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</si>
  <si>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</si>
  <si>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</si>
  <si>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</si>
  <si>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</si>
  <si>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</si>
  <si>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</si>
  <si>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</si>
  <si>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</si>
  <si>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</si>
  <si>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</si>
  <si>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</si>
  <si>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</si>
  <si>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</si>
  <si>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</si>
  <si>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</si>
  <si>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</si>
  <si>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</si>
  <si>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</si>
  <si>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</si>
  <si>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</si>
  <si>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</si>
  <si>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</si>
  <si>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</si>
  <si>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</si>
  <si>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</si>
  <si>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</si>
  <si>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</si>
  <si>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</si>
  <si>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</si>
  <si>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</si>
  <si>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</si>
  <si>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</si>
  <si>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</si>
  <si>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</si>
  <si>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</si>
  <si>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</si>
  <si>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</si>
  <si>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</si>
  <si>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</si>
  <si>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</si>
  <si>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</si>
  <si>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</si>
  <si>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</si>
  <si>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</si>
  <si>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</si>
  <si>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</si>
  <si>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</si>
  <si>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</si>
  <si>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</si>
  <si>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</si>
  <si>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</si>
  <si>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</si>
  <si>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</si>
  <si>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</si>
  <si>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</si>
  <si>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</si>
  <si>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</si>
  <si>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</si>
  <si>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</si>
  <si>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</si>
  <si>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</si>
  <si>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</si>
  <si>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</si>
  <si>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</si>
  <si>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</si>
  <si>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</si>
  <si>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</si>
  <si>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</si>
  <si>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</si>
  <si>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</si>
  <si>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</si>
  <si>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</si>
  <si>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</si>
  <si>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</si>
  <si>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</si>
  <si>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</si>
  <si>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</si>
  <si>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</si>
  <si>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</si>
  <si>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</si>
  <si>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</si>
  <si>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</si>
  <si>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</si>
  <si>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</si>
  <si>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</si>
  <si>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</si>
  <si>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</si>
  <si>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</si>
  <si>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</si>
  <si>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</si>
  <si>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</si>
  <si>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</si>
  <si>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</si>
  <si>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</si>
  <si>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</si>
  <si>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</si>
  <si>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</si>
  <si>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</si>
  <si>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</si>
  <si>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</si>
  <si>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</si>
  <si>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</si>
  <si>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</si>
  <si>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</si>
  <si>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</si>
  <si>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</si>
  <si>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</si>
  <si>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</si>
  <si>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</si>
  <si>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</si>
  <si>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</si>
  <si>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</si>
  <si>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</si>
  <si>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</si>
  <si>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</si>
  <si>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</si>
  <si>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</si>
  <si>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</si>
  <si>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</si>
  <si>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</si>
  <si>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</si>
  <si>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</si>
  <si>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</si>
  <si>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</si>
  <si>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</si>
  <si>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</si>
  <si>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</si>
  <si>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</si>
  <si>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</si>
  <si>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</si>
  <si>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</si>
  <si>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</si>
  <si>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</si>
  <si>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</si>
  <si>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</si>
  <si>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</si>
  <si>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</si>
  <si>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</si>
  <si>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</si>
  <si>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</si>
  <si>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</si>
  <si>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</si>
  <si>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</si>
  <si>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</si>
  <si>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</si>
  <si>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</si>
  <si>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</si>
  <si>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</si>
  <si>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</si>
  <si>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</si>
  <si>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</si>
  <si>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</si>
  <si>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</si>
  <si>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</si>
  <si>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</si>
  <si>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</si>
  <si>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</si>
  <si>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</si>
  <si>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</si>
  <si>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</si>
  <si>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</si>
  <si>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</si>
  <si>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</si>
  <si>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</si>
  <si>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</si>
  <si>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</si>
  <si>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</si>
  <si>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</si>
  <si>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</si>
  <si>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</si>
  <si>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</si>
  <si>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</si>
  <si>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</si>
  <si>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</si>
  <si>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</si>
  <si>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</si>
  <si>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</si>
  <si>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</si>
  <si>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</si>
  <si>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</si>
  <si>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</si>
  <si>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</si>
  <si>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</si>
  <si>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</si>
  <si>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</si>
  <si>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</si>
  <si>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</si>
  <si>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</si>
  <si>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</si>
  <si>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</si>
  <si>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</si>
  <si>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</si>
  <si>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</si>
  <si>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</si>
  <si>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</si>
  <si>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</si>
  <si>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</si>
  <si>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</si>
  <si>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</si>
  <si>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</si>
  <si>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</si>
  <si>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</si>
  <si>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</si>
  <si>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</si>
  <si>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</si>
  <si>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</si>
  <si>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</si>
  <si>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</si>
  <si>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</si>
  <si>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</si>
  <si>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</si>
  <si>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</si>
  <si>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</si>
  <si>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</si>
  <si>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</si>
  <si>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</si>
  <si>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</si>
  <si>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</si>
  <si>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</si>
  <si>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</si>
  <si>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</si>
  <si>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</si>
  <si>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</si>
  <si>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</si>
  <si>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ČD M400 [kkStB 40.0]</t>
  </si>
  <si>
    <t>ZSSK 49.0 [CSD EMU 49.0]</t>
  </si>
  <si>
    <t>HZ 51 [MÁV 375]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</si>
  <si>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</si>
  <si>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</si>
  <si>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</si>
  <si>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</si>
  <si>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</si>
  <si>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</si>
  <si>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</si>
  <si>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</si>
  <si>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</si>
  <si>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</si>
  <si>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</si>
  <si>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</si>
  <si>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</si>
  <si>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</si>
  <si>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</si>
  <si>
    <t>VEHICLE_FLAG_TRAIN_HAS_CAB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</si>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</sst>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4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0" formatCode="General"/>
    </dxf>
    <dxf>
      <numFmt numFmtId="1" formatCode="0"/>
    </dxf>
    <dxf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06" totalsRowShown="0" headerRowDxfId="143">
  <autoFilter ref="A1:P80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2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1"/>
    <tableColumn id="17" xr3:uid="{52550B53-5A6E-4D0B-A358-FCA22B56CC77}" name="WEB"/>
    <tableColumn id="15" xr3:uid="{C9DBDDFF-A526-4383-A426-8408C4B17785}" name="IS_POWERED_UNPOWERED_SUNDRY" dataDxfId="14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9">
      <calculatedColumnFormula>ISNUMBER(_xlfn.XMATCH(CONTROL[[#This Row],[VEHIDCODE]],TRACK_TYPES[VEHIDCODE],0))</calculatedColumnFormula>
    </tableColumn>
    <tableColumn id="14" xr3:uid="{222C2DB1-CA5D-4369-995A-6A316AC5C947}" name="PROPERTIES" dataDxfId="138">
      <calculatedColumnFormula>ISNUMBER(_xlfn.XMATCH(CONTROL[[#This Row],[VEHIDCODE]],PROPERTIES[VEHIDCODE],0))</calculatedColumnFormula>
    </tableColumn>
    <tableColumn id="13" xr3:uid="{473FD571-A166-4EC8-8B7B-F1D30044570B}" name="FLAGS" dataDxfId="137">
      <calculatedColumnFormula>ISNUMBER(_xlfn.XMATCH(CONTROL[[#This Row],[VEHIDCODE]],FLAGS[VEHIDCODE],0))</calculatedColumnFormula>
    </tableColumn>
    <tableColumn id="11" xr3:uid="{B1BAE31E-1DA6-4159-9020-DBAE19ECF7C3}" name="ROSTER" dataDxfId="27">
      <calculatedColumnFormula>ISNUMBER(_xlfn.XLOOKUP(CONTROL[[#This Row],[VEHIDCODE]],roster!A:A,roster!B:B))</calculatedColumnFormula>
    </tableColumn>
    <tableColumn id="10" xr3:uid="{7783F713-60B4-45CF-AEB3-EE02271B3D6F}" name="GRAPHICS_PROPERTIES" dataDxfId="136">
      <calculatedColumnFormula>ISNUMBER(_xlfn.XMATCH(CONTROL[[#This Row],[VEHIDCODE]],GRAPHICS_PROPERTIES[VEHIDCODE],0))</calculatedColumnFormula>
    </tableColumn>
    <tableColumn id="9" xr3:uid="{7B229E25-CF6B-4C5F-B4A4-FEC34CB93E9B}" name="ITEM" dataDxfId="135">
      <calculatedColumnFormula>"item_"&amp;CONTROL[[#This Row],[VEHIDCODE]]</calculatedColumnFormula>
    </tableColumn>
    <tableColumn id="8" xr3:uid="{327E5CDA-51AE-4721-ACBD-5E8C3D890998}" name="NAME" dataDxfId="134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6" totalsRowShown="0" headerRowDxfId="133">
  <autoFilter ref="A1:AF806" xr:uid="{6DCCB998-B5D1-4B0D-8701-BC0E171A94CA}"/>
  <tableColumns count="32">
    <tableColumn id="1" xr3:uid="{173D09BF-30BA-4FF2-B4FE-F09962415DA2}" name="VEHIDCODE" dataDxfId="132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1"/>
    <tableColumn id="19" xr3:uid="{FD65B400-35DE-464D-97AA-B59BB7DAE7DB}" name="COUNTRY_CODE" dataDxfId="13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29"/>
    <tableColumn id="58" xr3:uid="{37DCFD33-B11D-4E3C-9899-EA36DBD4DBC0}" name="LOADINGSPEED_VALUE" dataDxfId="12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6"/>
    <tableColumn id="24" xr3:uid="{FFD5C22B-7B16-440D-91CC-48C8761050DA}" name="TE_COEFFICIENT_CALC" dataDxfId="12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4"/>
    <tableColumn id="14" xr3:uid="{123AAB87-6D4C-406A-A5E1-A61DC2DDFFEE}" name="TE_COEFFICIENT" dataDxfId="12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2"/>
    <tableColumn id="18" xr3:uid="{EB0CE86B-9E06-4ADD-85C1-EA622DE32153}" name="WAGON_CAPACITY" dataDxfId="121"/>
    <tableColumn id="15" xr3:uid="{3558C882-A912-4F84-BDE6-BC0A2A676C4B}" name="WAGON_LENGTH" dataDxfId="120"/>
    <tableColumn id="71" xr3:uid="{3D8AA890-C1F2-4EBD-90E3-21F948960989}" name="PURCHASE_CARGO_CAPACITY" dataDxfId="119"/>
    <tableColumn id="30" xr3:uid="{235283C1-F061-434B-8C4A-AD474FB16FE8}" name="REGION1" dataDxfId="118"/>
    <tableColumn id="29" xr3:uid="{19EC58E3-4FB9-44BC-BFFA-4C7DCCC53DA8}" name="REGION2" dataDxfId="117"/>
    <tableColumn id="27" xr3:uid="{C00DC499-0060-4E48-A71D-AE565097985F}" name="REGION3" dataDxfId="116"/>
    <tableColumn id="56" xr3:uid="{188F57E8-1157-47DF-9E8F-B5F737649F6C}" name="PURCHASECOST_VALUE" dataDxfId="115"/>
    <tableColumn id="28" xr3:uid="{B24767B4-97D7-4814-9BBD-1231E1A0A0A7}" name="RUNNINGCOST_VALUE" dataDxfId="114"/>
    <tableColumn id="22" xr3:uid="{68BAA036-8189-4A5A-B0EF-3F284C15672C}" name="COST_CAT" dataDxfId="11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8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6" totalsRowShown="0" headerRowDxfId="111">
  <autoFilter ref="A1:AF806" xr:uid="{6DCCB998-B5D1-4B0D-8701-BC0E171A94CA}"/>
  <tableColumns count="32">
    <tableColumn id="1" xr3:uid="{CDEAF13A-A986-4600-A992-A08C1CA6142C}" name="VEHIDCODE" dataDxfId="110"/>
    <tableColumn id="55" xr3:uid="{839D134C-3027-42F4-BA04-3BA8BFF71A3B}" name="TRACK_TYPE_STANDARD_GAUGE_RAILTYPE_OHLE" dataDxfId="109"/>
    <tableColumn id="54" xr3:uid="{5D83FD10-ABCB-4FE7-A7DB-4A857A58D719}" name="TRACK_TYPE_STANDARD_GAUGE_RAILTYPE_25KV" dataDxfId="108"/>
    <tableColumn id="53" xr3:uid="{56183170-0B7F-45FB-91B4-356C62C246AD}" name="TRACK_TYPE_STANDARD_GAUGE_RAILTYPE_15KV" dataDxfId="107"/>
    <tableColumn id="52" xr3:uid="{5B71BE07-0EB9-4DEB-A8E8-252C9D979AC2}" name="TRACK_TYPE_STANDARD_GAUGE_RAILTYPE_3KV" dataDxfId="106"/>
    <tableColumn id="51" xr3:uid="{5A6435EB-111E-4AED-A8E1-AEFF82C34393}" name="TRACK_TYPE_STANDARD_GAUGE_RAILTYPE_1500V" dataDxfId="105"/>
    <tableColumn id="50" xr3:uid="{14CA70EA-0EE7-44BA-9D77-FC902C0596DD}" name="TRACK_TYPE_STANDARD_GAUGE_RAILTYPE_3RD" dataDxfId="104"/>
    <tableColumn id="49" xr3:uid="{3A15447A-9663-43FB-8EFF-8F8034548FB0}" name="TRACK_TYPE_STANDARD_GAUGE_RAILTYPE_4TH" dataDxfId="103"/>
    <tableColumn id="48" xr3:uid="{E44E324A-492F-4566-8DC9-0A6F58F40EA9}" name="TRACK_TYPE_STANDARD_GAUGE_RAILTYPE_DUAL" dataDxfId="102"/>
    <tableColumn id="47" xr3:uid="{FE3223C6-E685-4456-91E9-10AEB3B699E7}" name="TRACK_TYPE_STANDARD_GAUGE_RAILTYPE_NONE" dataDxfId="101"/>
    <tableColumn id="46" xr3:uid="{D39969E8-C0CA-4A59-A556-D29019991069}" name="TRACK_TYPE_NARROW_GAUGE_RAILTYPE_OHLE" dataDxfId="100"/>
    <tableColumn id="45" xr3:uid="{5266A9E9-D840-4460-AB81-A081897372F3}" name="TRACK_TYPE_NARROW_GAUGE_RAILTYPE_25KV" dataDxfId="99"/>
    <tableColumn id="44" xr3:uid="{7B4C44D1-C745-4291-86A0-777579742A84}" name="TRACK_TYPE_NARROW_GAUGE_RAILTYPE_15KV" dataDxfId="98"/>
    <tableColumn id="43" xr3:uid="{8736D285-A163-4DBE-84E1-870118B47F14}" name="TRACK_TYPE_NARROW_GAUGE_RAILTYPE_3KV" dataDxfId="97"/>
    <tableColumn id="42" xr3:uid="{6FBBA2FB-4743-4072-B4E0-C42BBDA1CC47}" name="TRACK_TYPE_NARROW_GAUGE_RAILTYPE_1500V" dataDxfId="96"/>
    <tableColumn id="41" xr3:uid="{D3ED2E70-19BF-4D92-A76B-0F0F03D31947}" name="TRACK_TYPE_NARROW_GAUGE_RAILTYPE_3RD" dataDxfId="95"/>
    <tableColumn id="40" xr3:uid="{F38AE7AF-B798-40A5-992A-13685296E710}" name="TRACK_TYPE_NARROW_GAUGE_RAILTYPE_4TH" dataDxfId="94"/>
    <tableColumn id="39" xr3:uid="{16463F64-2239-4E7F-8257-47F324BF8959}" name="TRACK_TYPE_NARROW_GAUGE_RAILTYPE_DUAL" dataDxfId="93"/>
    <tableColumn id="38" xr3:uid="{97037A15-9172-4057-863E-582804353817}" name="TRACK_TYPE_NARROW_GAUGE_RAILTYPE_NONE" dataDxfId="92"/>
    <tableColumn id="37" xr3:uid="{24999D59-5A4F-4A21-B8B4-EBDBF9F8BF1E}" name="TRACK_TYPE_BROAD_GAUGE_RAILTYPE_OHLE" dataDxfId="91"/>
    <tableColumn id="36" xr3:uid="{31AB3927-D18B-49AD-8EF5-C7E9FF4CEDF3}" name="TRACK_TYPE_BROAD_GAUGE_RAILTYPE_25KV" dataDxfId="90"/>
    <tableColumn id="35" xr3:uid="{CB3432E7-4DAE-4807-9CE5-4CB1ACECD395}" name="TRACK_TYPE_BROAD_GAUGE_RAILTYPE_15KV" dataDxfId="89"/>
    <tableColumn id="34" xr3:uid="{E3936FE4-2B46-4DC0-84C0-44C7892A0927}" name="TRACK_TYPE_BROAD_GAUGE_RAILTYPE_3KV" dataDxfId="88"/>
    <tableColumn id="33" xr3:uid="{A5FAA105-CF81-4A75-8967-5721104454E8}" name="TRACK_TYPE_BROAD_GAUGE_RAILTYPE_1500V" dataDxfId="87"/>
    <tableColumn id="32" xr3:uid="{439CDFDE-6BFC-446C-87CF-28C8FF65FCE0}" name="TRACK_TYPE_BROAD_GAUGE_RAILTYPE_3RD" dataDxfId="86"/>
    <tableColumn id="31" xr3:uid="{219AB5E3-CDFF-41B3-BD58-F7427606D15F}" name="TRACK_TYPE_BROAD_GAUGE_RAILTYPE_4TH" dataDxfId="85"/>
    <tableColumn id="30" xr3:uid="{01529768-EA0D-4662-B835-74641896CE3F}" name="TRACK_TYPE_BROAD_GAUGE_RAILTYPE_DUAL" dataDxfId="84"/>
    <tableColumn id="29" xr3:uid="{32C384AB-18DB-4161-B29B-A363A2547BB2}" name="TRACK_TYPE_BROAD_GAUGE_RAILTYPE_NONE" dataDxfId="83"/>
    <tableColumn id="26" xr3:uid="{1CFC6F26-22A8-42EE-972B-0F7ED6623B5A}" name="TRACK_TYPE_MONO" dataDxfId="82"/>
    <tableColumn id="25" xr3:uid="{62939270-15C1-494E-9C53-6EA9E8209C3B}" name="TRACK_TYPE_MGLV" dataDxfId="81"/>
    <tableColumn id="24" xr3:uid="{9DA86EDA-F2AB-4C2D-918E-5260313FD8B3}" name="TRACK_TYPE_MTRO" dataDxfId="80"/>
    <tableColumn id="21" xr3:uid="{E6F11214-E912-4D1C-980D-A111C93B0BED}" name="CHECK_ANY_TT" dataDxfId="79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06" totalsRowShown="0" headerRowDxfId="78">
  <autoFilter ref="A1:H806" xr:uid="{6DCCB998-B5D1-4B0D-8701-BC0E171A94CA}"/>
  <tableColumns count="8">
    <tableColumn id="1" xr3:uid="{327CDBB6-E1D6-4B9F-9625-C81419775134}" name="VEHIDCODE" dataDxfId="77"/>
    <tableColumn id="101" xr3:uid="{78690AEB-EA8F-4FC7-9651-C84D8F318EE9}" name="MISC_FLAGS_TRAIN_FLAG_2CC" dataDxfId="76"/>
    <tableColumn id="100" xr3:uid="{90DBB1A2-A86F-42C6-B2B8-64A2FD6690AB}" name="MISC_FLAGS_TRAIN_FLAG_MU" dataDxfId="75"/>
    <tableColumn id="99" xr3:uid="{DA6644B2-20CC-47E2-B1B5-10210B43738A}" name="MISC_FLAGS_TRAIN_FLAG_AUTOREFIT" dataDxfId="74"/>
    <tableColumn id="2" xr3:uid="{A8915D24-2B2E-4529-B3DE-30BEE23C370F}" name="VEHICLE_FLAG_TRAIN_HAS_CAB" dataDxfId="24"/>
    <tableColumn id="108" xr3:uid="{980A5687-92C0-42A0-811D-C3D4EA0876D1}" name="VISUAL_EFFECT_1" dataDxfId="7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6" totalsRowShown="0" headerRowDxfId="71">
  <autoFilter ref="A1:D806" xr:uid="{6DCCB998-B5D1-4B0D-8701-BC0E171A94CA}"/>
  <tableColumns count="4">
    <tableColumn id="1" xr3:uid="{0B6094CF-6CA6-410A-A041-C85FACC0820E}" name="VEHIDCODE" dataDxfId="70"/>
    <tableColumn id="7" xr3:uid="{3D8CAD9A-C0D1-459B-8D7C-DFC931F5B279}" name="PANTOGRAPH_POSITION" dataDxfId="69"/>
    <tableColumn id="6" xr3:uid="{E0637D36-B3FC-4486-87F9-603EB2076188}" name="TEMPLATE_ID" dataDxfId="68"/>
    <tableColumn id="9" xr3:uid="{FEF2BF9C-74F1-405C-9871-E4301805E364}" name="TEMPLATE_AMENDMENT_CODE" dataDxfId="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6" headerRowBorderDxfId="65" tableBorderDxfId="6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3" headerRowBorderDxfId="62" tableBorderDxfId="6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60" dataDxfId="59" tableBorderDxfId="58">
  <autoFilter ref="A1:A17" xr:uid="{0B243503-43AD-403A-90CE-B69D05B25C30}"/>
  <tableColumns count="1">
    <tableColumn id="1" xr3:uid="{3709FB1B-DE08-4A3E-8CA6-F5322D2A3261}" name="VALID_REGIONS" dataDxfId="5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6" dataDxfId="5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4"/>
    <tableColumn id="2" xr3:uid="{CCC9A744-4F42-4023-A516-9395213016EB}" name="COUNTRY_DESCRIPTION" dataDxfId="53"/>
    <tableColumn id="3" xr3:uid="{01E32DA0-BF93-49AA-BE03-33EF914A0BCC}" name="COUNTS" dataDxfId="2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51" headerRowBorderDxfId="52" tableBorderDxfId="50" totalsRowBorderDxfId="49">
  <autoFilter ref="K1:K25" xr:uid="{686D0694-AFBC-4B91-A3D3-72E1CCF00B7D}"/>
  <tableColumns count="1">
    <tableColumn id="1" xr3:uid="{7F0999BD-E0C9-463F-A054-2DA49D41A9EE}" name="VEHID_ID_CATEGORY" dataDxfId="4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7"/>
    <tableColumn id="4" xr3:uid="{3DDC8685-BA3D-40E8-A910-1E59013A762D}" name="Range End" dataDxfId="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5" dataDxfId="44">
  <autoFilter ref="A1:N16" xr:uid="{863AE95D-BE34-47D8-B01B-1170BF25FDF2}"/>
  <tableColumns count="14">
    <tableColumn id="1" xr3:uid="{5F487593-655E-41B5-B155-86F88B53946D}" name="COST_CAT" dataDxfId="43"/>
    <tableColumn id="2" xr3:uid="{33F9C454-EDB2-4DA7-BF7A-64CBC12EBC9B}" name="P1" dataDxfId="42"/>
    <tableColumn id="3" xr3:uid="{25FB11D0-082D-4DE3-9821-1367939D8742}" name="P2" dataDxfId="41"/>
    <tableColumn id="4" xr3:uid="{19CDF402-C641-4217-A953-2A851DF85ADB}" name="P3" dataDxfId="40"/>
    <tableColumn id="5" xr3:uid="{1EF59E2C-32FF-4712-AD89-CBF77E507832}" name="P4" dataDxfId="39"/>
    <tableColumn id="6" xr3:uid="{04250F90-183D-4392-BE27-C420F795E1DC}" name="P5" dataDxfId="38"/>
    <tableColumn id="7" xr3:uid="{F7062C4F-5B57-4110-A21E-BDC8820130D9}" name="P6" dataDxfId="37"/>
    <tableColumn id="8" xr3:uid="{B47621AA-9D6F-4396-B3D9-BD8CF656F30E}" name="P7" dataDxfId="36"/>
    <tableColumn id="9" xr3:uid="{7055539E-C4C8-407D-91F5-6CB021EDE84F}" name="R1" dataDxfId="35"/>
    <tableColumn id="10" xr3:uid="{D17981EB-EB8A-4630-958C-3792D72CD53F}" name="R2" dataDxfId="34"/>
    <tableColumn id="11" xr3:uid="{85EDD15A-812B-4C42-B03A-D558B807622E}" name="R3" dataDxfId="33"/>
    <tableColumn id="12" xr3:uid="{61A73E38-33EC-41D1-B899-56F15EDBDD59}" name="R4" dataDxfId="32"/>
    <tableColumn id="13" xr3:uid="{7A83ADCF-C18F-402F-81A8-0F935E928ED9}" name="R5" dataDxfId="31"/>
    <tableColumn id="14" xr3:uid="{1140F6C7-9C3D-4800-9F3B-DC6E6EBE9541}" name="R6" dataDxfId="3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06"/>
  <sheetViews>
    <sheetView workbookViewId="0">
      <pane xSplit="1" ySplit="1" topLeftCell="L782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2477</v>
      </c>
      <c r="G1" s="6" t="s">
        <v>2298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3090</v>
      </c>
      <c r="N1" s="6" t="s">
        <v>1060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2989</v>
      </c>
      <c r="G4" t="s">
        <v>2282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2289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2484</v>
      </c>
      <c r="G15" t="s">
        <v>2293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2300</v>
      </c>
      <c r="G20" t="s">
        <v>2299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2485</v>
      </c>
      <c r="G23" t="s">
        <v>2303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2775</v>
      </c>
      <c r="G25" t="s">
        <v>2305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2308</v>
      </c>
      <c r="G28" t="s">
        <v>2309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2312</v>
      </c>
      <c r="G30" t="s">
        <v>2311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2316</v>
      </c>
      <c r="G34" t="s">
        <v>2317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2321</v>
      </c>
      <c r="G36" t="s">
        <v>2320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2776</v>
      </c>
      <c r="G38" t="s">
        <v>2322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2324</v>
      </c>
      <c r="G39" t="s">
        <v>2323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2328</v>
      </c>
      <c r="G42" t="s">
        <v>2327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3072</v>
      </c>
      <c r="G43" t="s">
        <v>2329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2331</v>
      </c>
      <c r="G45" t="s">
        <v>2332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2333</v>
      </c>
      <c r="G46" t="s">
        <v>2334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2335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2777</v>
      </c>
      <c r="G48" t="s">
        <v>2336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2338</v>
      </c>
      <c r="G49" t="s">
        <v>2337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3073</v>
      </c>
      <c r="G50" t="s">
        <v>2339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2344</v>
      </c>
      <c r="G53" t="s">
        <v>2343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3074</v>
      </c>
      <c r="G54" t="s">
        <v>2342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2347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2348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2349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2486</v>
      </c>
      <c r="G60" t="s">
        <v>2350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2357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2358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2359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2494</v>
      </c>
      <c r="G71" t="s">
        <v>2361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2367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3075</v>
      </c>
      <c r="G78" t="s">
        <v>2368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2369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2370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3002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3001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2372</v>
      </c>
      <c r="G83" t="s">
        <v>2371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2373</v>
      </c>
      <c r="G84" t="s">
        <v>2374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2375</v>
      </c>
      <c r="G85" t="s">
        <v>2376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2377</v>
      </c>
      <c r="G86" t="s">
        <v>2378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2379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2380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2381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2382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2383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3003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2997</v>
      </c>
      <c r="G93" t="s">
        <v>2998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2384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2270</v>
      </c>
      <c r="G95" t="s">
        <v>2385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2386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2387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2388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2389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2390</v>
      </c>
      <c r="G100" t="s">
        <v>2391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2995</v>
      </c>
      <c r="G102" t="s">
        <v>2393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2396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2397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2398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2399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2266</v>
      </c>
      <c r="G112" t="s">
        <v>2403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2406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2407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2408</v>
      </c>
      <c r="G117" t="s">
        <v>2409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2411</v>
      </c>
      <c r="G118" t="s">
        <v>2410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2265</v>
      </c>
      <c r="G120" t="s">
        <v>2413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2416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3005</v>
      </c>
      <c r="G124" t="s">
        <v>2417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2418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2419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3076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3000</v>
      </c>
      <c r="G131" t="s">
        <v>2999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2425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2426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2427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2429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2430</v>
      </c>
      <c r="G138" t="s">
        <v>2431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2435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2436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2437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2438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2996</v>
      </c>
      <c r="G146" t="s">
        <v>2439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2445</v>
      </c>
      <c r="G151" t="s">
        <v>2444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2446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2447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2448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2449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2778</v>
      </c>
      <c r="G157" t="s">
        <v>2451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2495</v>
      </c>
      <c r="G159" t="s">
        <v>2453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2496</v>
      </c>
      <c r="G160" t="s">
        <v>2454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2779</v>
      </c>
      <c r="G161" t="s">
        <v>3004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2455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2456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2457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2458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2459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3077</v>
      </c>
      <c r="G167" t="s">
        <v>2460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2463</v>
      </c>
      <c r="G170" t="s">
        <v>2464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2465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2466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2467</v>
      </c>
      <c r="G173" t="s">
        <v>2469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2468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2476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2478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2479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2427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2481</v>
      </c>
      <c r="G185" t="s">
        <v>2482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3078</v>
      </c>
      <c r="G186" t="s">
        <v>2483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2487</v>
      </c>
      <c r="G187" t="s">
        <v>2501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2497</v>
      </c>
      <c r="G190" t="s">
        <v>2475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2498</v>
      </c>
      <c r="G191" t="s">
        <v>2504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2505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2506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2507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2780</v>
      </c>
      <c r="G195" t="s">
        <v>2508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2509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2514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2515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2516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2517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2518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2519</v>
      </c>
      <c r="G206" t="s">
        <v>2520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2524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2525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2526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2527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2528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2529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2534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2535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2536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2781</v>
      </c>
      <c r="G223" t="s">
        <v>2537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3012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2538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2539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2544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2545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2547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2548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2518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2549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2554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2555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2556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2558</v>
      </c>
      <c r="G244" t="s">
        <v>2557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2559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2563</v>
      </c>
      <c r="G249" t="s">
        <v>2564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2565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2566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2567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2568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2569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2574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2575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2576</v>
      </c>
      <c r="G261" t="s">
        <v>2577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2578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2579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2584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2585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2586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2587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2588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2589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2591</v>
      </c>
      <c r="G275" t="s">
        <v>2590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2594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2595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2596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2597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2598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2599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2604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2605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2606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2607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2608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2609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2268</v>
      </c>
      <c r="G294" t="s">
        <v>2610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2614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2615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2616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2618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2619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2625</v>
      </c>
      <c r="G306" t="s">
        <v>2621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2624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2627</v>
      </c>
      <c r="G308" t="s">
        <v>2626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2628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2629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2634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2617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2635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2636</v>
      </c>
      <c r="G318" t="s">
        <v>2637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2638</v>
      </c>
      <c r="G319" t="s">
        <v>2639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2645</v>
      </c>
      <c r="G324" t="s">
        <v>2644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2682</v>
      </c>
      <c r="G360" t="s">
        <v>2681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2684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2685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2686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2687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2688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2689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2694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2695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2696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2697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2698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2699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2704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2269</v>
      </c>
      <c r="G386" t="s">
        <v>2705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2706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2782</v>
      </c>
      <c r="G388" t="s">
        <v>2707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2708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2709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2488</v>
      </c>
      <c r="G391" t="s">
        <v>2710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2714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2489</v>
      </c>
      <c r="G396" t="s">
        <v>2715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2716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2717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2718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2719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2490</v>
      </c>
      <c r="G403" t="s">
        <v>2722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2491</v>
      </c>
      <c r="G404" t="s">
        <v>2723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2724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2725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2726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2727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2728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2729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2734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2735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2736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2737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2738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2739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2499</v>
      </c>
      <c r="G422" t="s">
        <v>2741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2267</v>
      </c>
      <c r="G425" t="s">
        <v>2744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2745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2746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2783</v>
      </c>
      <c r="G428" t="s">
        <v>2747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2748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2749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2754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2755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2757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2756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2758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2759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2784</v>
      </c>
      <c r="G444" t="s">
        <v>2763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2764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2765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2766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2767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2768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2769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2770</v>
      </c>
      <c r="G451" t="s">
        <v>2771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2794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2785</v>
      </c>
      <c r="G455" t="s">
        <v>2774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2789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2793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2795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2796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2797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2798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2799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2803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2804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2805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2806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2807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2808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2786</v>
      </c>
      <c r="G476" t="s">
        <v>2809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2787</v>
      </c>
      <c r="G478" t="s">
        <v>2811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2824</v>
      </c>
      <c r="G490" t="s">
        <v>2823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2825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2826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2827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2828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2829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2833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2834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2835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2836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2839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2843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2844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2845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2846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2847</v>
      </c>
      <c r="G509" t="s">
        <v>2848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2849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2853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2855</v>
      </c>
      <c r="G515" t="s">
        <v>2854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2858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2856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2857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2859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2863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2864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2492</v>
      </c>
      <c r="G525" t="s">
        <v>2865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2493</v>
      </c>
      <c r="G526" t="s">
        <v>2866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2867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2868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2869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2873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2874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2875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2876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2877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2878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2879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2500</v>
      </c>
      <c r="G540" t="s">
        <v>2880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2883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2884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2885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2886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2887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2888</v>
      </c>
      <c r="G549" t="s">
        <v>2889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2893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2894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2897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2895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2896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2898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2899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2788</v>
      </c>
      <c r="G561" t="s">
        <v>2901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2903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3033</v>
      </c>
      <c r="G564" t="s">
        <v>2965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2966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2967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2968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2904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2905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3042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3057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3043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3058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3044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3059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2937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2938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2271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2939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2943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2944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2945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2946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2947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2948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2949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2953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2954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2955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2956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2957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2958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2959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2963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3079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2964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2906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2907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2908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2909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2913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2914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2915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2923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2924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2925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2926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2927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2928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2929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2933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2934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2935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2936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2916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2917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2918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2919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3045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3060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3046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3061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3047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3062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3048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3063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3049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3064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3050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3065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3051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3066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3052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3067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3053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3068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3054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3069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3055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3070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3056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3071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3030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3031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2428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2842</v>
      </c>
      <c r="B792" s="31" t="str">
        <f>_xlfn.TEXTAFTER(CONTROL[[#This Row],[VEHIDCODE]],"_")</f>
        <v>Japan_JR_Freight_M250</v>
      </c>
      <c r="C792" t="s">
        <v>2840</v>
      </c>
      <c r="D792" t="s">
        <v>2837</v>
      </c>
      <c r="E792">
        <v>19000</v>
      </c>
      <c r="F792" t="s">
        <v>2841</v>
      </c>
      <c r="G792" t="s">
        <v>2920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2986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3008</v>
      </c>
      <c r="G793" t="s">
        <v>2987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2988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2990</v>
      </c>
      <c r="G794" t="s">
        <v>2282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2992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3007</v>
      </c>
      <c r="G795" t="s">
        <v>2991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2994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3006</v>
      </c>
      <c r="G796" t="s">
        <v>2993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3011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3009</v>
      </c>
      <c r="G797" t="s">
        <v>3010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3013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3014</v>
      </c>
      <c r="G798" t="s">
        <v>3015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3016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3018</v>
      </c>
      <c r="G799" t="s">
        <v>3017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3019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3021</v>
      </c>
      <c r="G800" t="s">
        <v>3020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3022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3023</v>
      </c>
      <c r="G801" t="s">
        <v>1749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3024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3025</v>
      </c>
      <c r="G802" t="s">
        <v>3026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3027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3029</v>
      </c>
      <c r="G803" t="s">
        <v>3028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3032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3034</v>
      </c>
      <c r="G804" t="s">
        <v>2965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3086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4" t="s">
        <v>3088</v>
      </c>
      <c r="G805" t="s">
        <v>1749</v>
      </c>
      <c r="H805" s="45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s="44" t="b">
        <f>ISNUMBER(_xlfn.XMATCH(CONTROL[[#This Row],[VEHIDCODE]],TRACK_TYPES[VEHIDCODE],0))</f>
        <v>1</v>
      </c>
      <c r="K805" s="44" t="b">
        <f>ISNUMBER(_xlfn.XMATCH(CONTROL[[#This Row],[VEHIDCODE]],PROPERTIES[VEHIDCODE],0))</f>
        <v>1</v>
      </c>
      <c r="L805" s="44" t="b">
        <f>ISNUMBER(_xlfn.XMATCH(CONTROL[[#This Row],[VEHIDCODE]],FLAGS[VEHIDCODE],0))</f>
        <v>1</v>
      </c>
      <c r="M805" s="44" t="b">
        <f>ISNUMBER(_xlfn.XLOOKUP(CONTROL[[#This Row],[VEHIDCODE]],roster!A:A,roster!B:B))</f>
        <v>1</v>
      </c>
      <c r="N805" s="44" t="b">
        <f>ISNUMBER(_xlfn.XMATCH(CONTROL[[#This Row],[VEHIDCODE]],GRAPHICS_PROPERTIES[VEHIDCODE],0))</f>
        <v>1</v>
      </c>
      <c r="O805" s="46" t="str">
        <f>"item_"&amp;CONTROL[[#This Row],[VEHIDCODE]]</f>
        <v>item_mu_Coach_Gen6_CityNightLine_Sleeper</v>
      </c>
      <c r="P805" s="46" t="str">
        <f>"str_"&amp;CONTROL[[#This Row],[VEHIDCODE]]</f>
        <v>str_mu_Coach_Gen6_CityNightLine_Sleeper</v>
      </c>
    </row>
    <row r="806" spans="1:16">
      <c r="A806" t="s">
        <v>3087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4" t="s">
        <v>3089</v>
      </c>
      <c r="G806" t="s">
        <v>1749</v>
      </c>
      <c r="H806" s="45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s="44" t="b">
        <f>ISNUMBER(_xlfn.XMATCH(CONTROL[[#This Row],[VEHIDCODE]],TRACK_TYPES[VEHIDCODE],0))</f>
        <v>1</v>
      </c>
      <c r="K806" s="44" t="b">
        <f>ISNUMBER(_xlfn.XMATCH(CONTROL[[#This Row],[VEHIDCODE]],PROPERTIES[VEHIDCODE],0))</f>
        <v>1</v>
      </c>
      <c r="L806" s="44" t="b">
        <f>ISNUMBER(_xlfn.XMATCH(CONTROL[[#This Row],[VEHIDCODE]],FLAGS[VEHIDCODE],0))</f>
        <v>1</v>
      </c>
      <c r="M806" s="44" t="b">
        <f>ISNUMBER(_xlfn.XLOOKUP(CONTROL[[#This Row],[VEHIDCODE]],roster!A:A,roster!B:B))</f>
        <v>1</v>
      </c>
      <c r="N806" s="44" t="b">
        <f>ISNUMBER(_xlfn.XMATCH(CONTROL[[#This Row],[VEHIDCODE]],GRAPHICS_PROPERTIES[VEHIDCODE],0))</f>
        <v>1</v>
      </c>
      <c r="O806" s="46" t="str">
        <f>"item_"&amp;CONTROL[[#This Row],[VEHIDCODE]]</f>
        <v>item_mu_Coach_Gen6_Trans_Euro_Night_Sleeper</v>
      </c>
      <c r="P806" s="46" t="str">
        <f>"str_"&amp;CONTROL[[#This Row],[VEHIDCODE]]</f>
        <v>str_mu_Coach_Gen6_Trans_Euro_Night_Sleeper</v>
      </c>
    </row>
  </sheetData>
  <conditionalFormatting sqref="H2:H806">
    <cfRule type="containsText" dxfId="21" priority="3" operator="containsText" text="FALSE">
      <formula>NOT(ISERROR(SEARCH("FALSE",H2)))</formula>
    </cfRule>
  </conditionalFormatting>
  <conditionalFormatting sqref="I1:I806">
    <cfRule type="containsText" dxfId="20" priority="7" operator="containsText" text="FALSE">
      <formula>NOT(ISERROR(SEARCH("FALSE",I1)))</formula>
    </cfRule>
  </conditionalFormatting>
  <conditionalFormatting sqref="J1:P795 K796:P803 J804:P804 K805:P1048576">
    <cfRule type="cellIs" dxfId="19" priority="5" operator="equal">
      <formula>FALSE</formula>
    </cfRule>
  </conditionalFormatting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dataValidations count="1">
    <dataValidation type="list" allowBlank="1" showInputMessage="1" showErrorMessage="1" sqref="D2:D80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6"/>
  <sheetViews>
    <sheetView zoomScaleNormal="100"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2272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2279</v>
      </c>
      <c r="R1" s="28" t="s">
        <v>2280</v>
      </c>
      <c r="S1" s="28" t="s">
        <v>2281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2278</v>
      </c>
      <c r="AF1" s="1" t="s">
        <v>2546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3036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3039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3037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3040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3038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3041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3036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3039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3036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3039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3038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3041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3036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3039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3038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3041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3037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3040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3036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3039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3038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3041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3037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3040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3036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3039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3038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3041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3037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3040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1" s="2" t="b">
        <v>0</v>
      </c>
      <c r="AW791" s="9"/>
      <c r="AX791" s="10"/>
      <c r="AY791" s="11"/>
      <c r="AZ791"/>
    </row>
    <row r="792" spans="1:52">
      <c r="A792" s="2" t="s">
        <v>2842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2986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2988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2992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2994</v>
      </c>
      <c r="B796">
        <v>1930</v>
      </c>
      <c r="C796">
        <v>0</v>
      </c>
      <c r="D796" t="s">
        <v>1804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6" s="2" t="b">
        <v>0</v>
      </c>
    </row>
    <row r="797" spans="1:52">
      <c r="A797" t="s">
        <v>3011</v>
      </c>
      <c r="B797">
        <v>1959</v>
      </c>
      <c r="C797">
        <v>0</v>
      </c>
      <c r="D797" t="s">
        <v>1841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3013</v>
      </c>
      <c r="B798">
        <v>1962</v>
      </c>
      <c r="C798">
        <v>0</v>
      </c>
      <c r="D798" t="s">
        <v>1962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3016</v>
      </c>
      <c r="B799">
        <v>1963</v>
      </c>
      <c r="C799">
        <v>0</v>
      </c>
      <c r="D799" t="s">
        <v>1800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3019</v>
      </c>
      <c r="B800">
        <v>1970</v>
      </c>
      <c r="C800">
        <v>0</v>
      </c>
      <c r="D800" t="s">
        <v>1800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3022</v>
      </c>
      <c r="B801">
        <v>1974</v>
      </c>
      <c r="C801">
        <v>0</v>
      </c>
      <c r="D801" t="s">
        <v>2007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3024</v>
      </c>
      <c r="B802">
        <v>1981</v>
      </c>
      <c r="C802">
        <v>0</v>
      </c>
      <c r="D802" t="s">
        <v>1804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3027</v>
      </c>
      <c r="B803">
        <v>2024</v>
      </c>
      <c r="C803">
        <v>0</v>
      </c>
      <c r="D803" t="s">
        <v>1987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3032</v>
      </c>
      <c r="B804">
        <v>1880</v>
      </c>
      <c r="C804">
        <v>1</v>
      </c>
      <c r="D804" t="s">
        <v>1991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  <row r="805" spans="1:32">
      <c r="A805" s="2" t="s">
        <v>3086</v>
      </c>
      <c r="B805">
        <v>1995</v>
      </c>
      <c r="C805">
        <v>0</v>
      </c>
      <c r="D805" s="44"/>
      <c r="E805" s="44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 s="2" t="s">
        <v>478</v>
      </c>
      <c r="K805" s="44">
        <f>_xlfn.XLOOKUP("LOADINGSPEEDDEF_"&amp;PROPERTIES[[#This Row],[LOADINGSPEED]],LOADINGSPEEDDEF[TYPE],LOADINGSPEEDDEF[SPEED])</f>
        <v>16</v>
      </c>
      <c r="L805" t="s">
        <v>20</v>
      </c>
      <c r="M805">
        <v>1</v>
      </c>
      <c r="N805" s="33">
        <v>40</v>
      </c>
      <c r="O805">
        <v>0</v>
      </c>
      <c r="P805">
        <v>160</v>
      </c>
      <c r="Q805" s="30">
        <v>0</v>
      </c>
      <c r="R805" s="30">
        <f>IFERROR(PROPERTIES[[#This Row],[TE_STARTING_KN]]/(PROPERTIES[[#This Row],[WEIGHT]]*9.81),0)</f>
        <v>0</v>
      </c>
      <c r="S805" s="30">
        <v>0.3</v>
      </c>
      <c r="T805" s="26">
        <f>ROUND(IF(IFERROR(PROPERTIES[[#This Row],[TE_COEFFICIENT_CALC]],0)=0,PROPERTIES[[#This Row],[TE_COEFFICIENT_MANUAL]],PROPERTIES[[#This Row],[TE_COEFFICIENT_CALC]]),3)</f>
        <v>0.3</v>
      </c>
      <c r="U805" s="11">
        <v>25</v>
      </c>
      <c r="V805" s="9">
        <v>0</v>
      </c>
      <c r="W805" s="9">
        <v>0</v>
      </c>
      <c r="X805" s="10">
        <v>0</v>
      </c>
      <c r="Y805" t="s">
        <v>917</v>
      </c>
      <c r="Z805" t="s">
        <v>903</v>
      </c>
      <c r="AA805" s="2" t="s">
        <v>921</v>
      </c>
      <c r="AB805" s="9" t="s">
        <v>1009</v>
      </c>
      <c r="AC805" s="9" t="s">
        <v>1010</v>
      </c>
      <c r="AD805" s="10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805" s="2" t="b">
        <v>0</v>
      </c>
    </row>
    <row r="806" spans="1:32">
      <c r="A806" s="2" t="s">
        <v>3087</v>
      </c>
      <c r="B806">
        <v>1970</v>
      </c>
      <c r="C806">
        <v>0</v>
      </c>
      <c r="D806" s="44"/>
      <c r="E806" s="44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 s="2" t="s">
        <v>478</v>
      </c>
      <c r="K806" s="44">
        <f>_xlfn.XLOOKUP("LOADINGSPEEDDEF_"&amp;PROPERTIES[[#This Row],[LOADINGSPEED]],LOADINGSPEEDDEF[TYPE],LOADINGSPEEDDEF[SPEED])</f>
        <v>16</v>
      </c>
      <c r="L806">
        <v>45</v>
      </c>
      <c r="M806">
        <v>1</v>
      </c>
      <c r="N806" s="33">
        <v>40</v>
      </c>
      <c r="O806">
        <v>0</v>
      </c>
      <c r="P806">
        <v>140</v>
      </c>
      <c r="Q806" s="30">
        <v>0</v>
      </c>
      <c r="R806" s="30">
        <f>IFERROR(PROPERTIES[[#This Row],[TE_STARTING_KN]]/(PROPERTIES[[#This Row],[WEIGHT]]*9.81),0)</f>
        <v>0</v>
      </c>
      <c r="S806" s="30">
        <v>0.3</v>
      </c>
      <c r="T806" s="26">
        <f>ROUND(IF(IFERROR(PROPERTIES[[#This Row],[TE_COEFFICIENT_CALC]],0)=0,PROPERTIES[[#This Row],[TE_COEFFICIENT_MANUAL]],PROPERTIES[[#This Row],[TE_COEFFICIENT_CALC]]),3)</f>
        <v>0.3</v>
      </c>
      <c r="U806" s="11">
        <v>25</v>
      </c>
      <c r="V806" s="9">
        <v>0</v>
      </c>
      <c r="W806" s="9">
        <v>0</v>
      </c>
      <c r="X806" s="10">
        <v>0</v>
      </c>
      <c r="Y806" t="s">
        <v>917</v>
      </c>
      <c r="Z806" t="s">
        <v>903</v>
      </c>
      <c r="AA806" s="2" t="s">
        <v>921</v>
      </c>
      <c r="AB806" s="9" t="s">
        <v>1009</v>
      </c>
      <c r="AC806" s="9" t="s">
        <v>1010</v>
      </c>
      <c r="AD806" s="10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806" s="2" t="b">
        <v>0</v>
      </c>
    </row>
  </sheetData>
  <phoneticPr fontId="18" type="noConversion"/>
  <conditionalFormatting sqref="R796:T799 R802:T803 R805:T1048576 Q1:S806">
    <cfRule type="cellIs" dxfId="16" priority="19" operator="equal">
      <formula>0</formula>
    </cfRule>
  </conditionalFormatting>
  <conditionalFormatting sqref="Y1:AA798 AN792:AP1048576">
    <cfRule type="cellIs" dxfId="15" priority="10" operator="equal">
      <formula>FALSE</formula>
    </cfRule>
  </conditionalFormatting>
  <conditionalFormatting sqref="Y800:AA802">
    <cfRule type="cellIs" dxfId="14" priority="6" operator="equal">
      <formula>FALSE</formula>
    </cfRule>
  </conditionalFormatting>
  <conditionalFormatting sqref="Y804:AA804">
    <cfRule type="cellIs" dxfId="13" priority="3" operator="equal">
      <formula>FALSE</formula>
    </cfRule>
  </conditionalFormatting>
  <conditionalFormatting sqref="Z803:AA803">
    <cfRule type="cellIs" dxfId="12" priority="5" operator="equal">
      <formula>FALSE</formula>
    </cfRule>
  </conditionalFormatting>
  <conditionalFormatting sqref="AF2:AF806">
    <cfRule type="containsText" dxfId="11" priority="4" operator="containsText" text="FALSE">
      <formula>NOT(ISERROR(SEARCH("FALSE",AF2)))</formula>
    </cfRule>
  </conditionalFormatting>
  <conditionalFormatting sqref="AM790:AO791">
    <cfRule type="cellIs" dxfId="10" priority="20" operator="equal">
      <formula>FALSE</formula>
    </cfRule>
  </conditionalFormatting>
  <conditionalFormatting sqref="Y805:AA806">
    <cfRule type="cellIs" dxfId="9" priority="2" operator="equal">
      <formula>FALSE</formula>
    </cfRule>
  </conditionalFormatting>
  <dataValidations count="16">
    <dataValidation type="whole" allowBlank="1" showInputMessage="1" showErrorMessage="1" sqref="C2:C806" xr:uid="{C9FB6BB5-B3CF-40B9-A6CD-3E0B48B95DF5}">
      <formula1>0</formula1>
      <formula2>1</formula2>
    </dataValidation>
    <dataValidation type="whole" operator="greaterThanOrEqual" allowBlank="1" showInputMessage="1" showErrorMessage="1" sqref="M784:M795 H2:H806 M2:M725 O2:P806 M800:M801 M806 M804 V2:X806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6 Q2:T806" xr:uid="{F342F512-E760-4CD3-801B-E5B9CF70B7FD}">
      <formula1>0</formula1>
    </dataValidation>
    <dataValidation type="whole" allowBlank="1" showInputMessage="1" showErrorMessage="1" sqref="U2:U795 U797:U798 U800:U802 U804:U806" xr:uid="{7D4429EE-1046-4DE2-A6D7-76E6899E9B8A}">
      <formula1>5</formula1>
      <formula2>100</formula2>
    </dataValidation>
    <dataValidation operator="greaterThanOrEqual" allowBlank="1" showInputMessage="1" showErrorMessage="1" sqref="AI790:AJ791 U796 U799 U803 U807:U1048576 AJ792:AK1048576" xr:uid="{2D963A9D-C2E3-4020-ABFA-FD04EDA25119}"/>
    <dataValidation type="list" allowBlank="1" showInputMessage="1" showErrorMessage="1" sqref="AC2:AC806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6" xr:uid="{EB4398F4-10E4-463B-A52E-1F5C116A99EF}">
      <formula1>INDIRECT("VALID_ENGINE_CLASS[ENGINE_CLASS]")</formula1>
    </dataValidation>
    <dataValidation type="list" operator="greaterThanOrEqual" allowBlank="1" showInputMessage="1" showErrorMessage="1" sqref="AB2:AB806" xr:uid="{D83E915C-A301-4BE3-9E12-6790BD0E2284}">
      <formula1>INDIRECT("VALID_PURCHASECOSTVALUE[PURCHASECOSTVALUE]")</formula1>
    </dataValidation>
    <dataValidation type="list" allowBlank="1" showInputMessage="1" showErrorMessage="1" sqref="D2:D806" xr:uid="{33652263-03A3-437A-966A-BE8C0F8BE076}">
      <formula1>INDIRECT("COUNTRIES[COUNTRY_DESCRIPTION]")</formula1>
    </dataValidation>
    <dataValidation type="list" allowBlank="1" showInputMessage="1" showErrorMessage="1" sqref="E2:E806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F806" xr:uid="{F2DE25A7-EAF4-4DA6-85FD-9F7B7EE18717}">
      <formula1>"TRUE,FALSE"</formula1>
    </dataValidation>
    <dataValidation type="list" allowBlank="1" showInputMessage="1" showErrorMessage="1" sqref="Y2:Z795 Y797:Z798 Y800:Z802 Z803 Y804:Z806" xr:uid="{A6AEDF15-D52E-4DEA-AD86-7127D84AEEAD}">
      <formula1>INDIRECT("VALID_REGIONS[VALID_REGIONS]")</formula1>
    </dataValidation>
    <dataValidation type="list" allowBlank="1" showInputMessage="1" showErrorMessage="1" sqref="AA800:AA806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AA800:AA806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6"/>
  <sheetViews>
    <sheetView zoomScaleNormal="100" workbookViewId="0">
      <pane xSplit="1" ySplit="1" topLeftCell="AF789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2986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2988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2992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2994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3011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3013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3016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3019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3022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3024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3027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3032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3086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3087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</sheetData>
  <phoneticPr fontId="18" type="noConversion"/>
  <conditionalFormatting sqref="AH790:AJ1048576 AF1:AF1048576">
    <cfRule type="cellIs" dxfId="8" priority="5" operator="equal">
      <formula>FALSE</formula>
    </cfRule>
  </conditionalFormatting>
  <dataValidations count="1">
    <dataValidation type="list" allowBlank="1" showInputMessage="1" showErrorMessage="1" sqref="AH807:AK1048576 K807:AF1048576 B2:AF806 AH790:AK806 AO790:AS806 AO807:AS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06"/>
  <sheetViews>
    <sheetView zoomScale="85" zoomScaleNormal="85" workbookViewId="0">
      <pane xSplit="1" ySplit="1" topLeftCell="B761" activePane="bottomRight" state="frozen"/>
      <selection pane="topRight" activeCell="B1" sqref="B1"/>
      <selection pane="bottomLeft" activeCell="A2" sqref="A2"/>
      <selection pane="bottomRight" activeCell="E762" sqref="E762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3091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1753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1756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2842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2986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2988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2992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2994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3011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3013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3016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3019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3022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3024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3027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3032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3086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3087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</sheetData>
  <conditionalFormatting sqref="B1:E1048576">
    <cfRule type="cellIs" dxfId="7" priority="1" operator="equal">
      <formula>FALSE</formula>
    </cfRule>
  </conditionalFormatting>
  <conditionalFormatting sqref="J790:L1048576">
    <cfRule type="cellIs" dxfId="6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6"/>
  <sheetViews>
    <sheetView tabSelected="1" zoomScaleNormal="100" workbookViewId="0">
      <pane xSplit="1" ySplit="1" topLeftCell="B492" activePane="bottomRight" state="frozen"/>
      <selection activeCell="Q19" sqref="Q19"/>
      <selection pane="topRight" activeCell="Q19" sqref="Q19"/>
      <selection pane="bottomLeft" activeCell="Q19" sqref="Q19"/>
      <selection pane="bottomRight" activeCell="C514" sqref="C514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3092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3092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3092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3092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3092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3092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3092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3092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3092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3092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3092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3092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3092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3092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3092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2842</v>
      </c>
      <c r="B792" t="s">
        <v>1750</v>
      </c>
      <c r="C792" t="s">
        <v>1721</v>
      </c>
      <c r="D792" t="s">
        <v>1732</v>
      </c>
    </row>
    <row r="793" spans="1:13">
      <c r="A793" s="2" t="s">
        <v>2986</v>
      </c>
      <c r="B793" t="s">
        <v>1749</v>
      </c>
      <c r="C793" t="s">
        <v>1729</v>
      </c>
      <c r="D793" t="s">
        <v>1732</v>
      </c>
    </row>
    <row r="794" spans="1:13">
      <c r="A794" s="2" t="s">
        <v>2988</v>
      </c>
      <c r="B794" t="s">
        <v>1749</v>
      </c>
      <c r="C794" t="s">
        <v>1722</v>
      </c>
      <c r="D794" t="s">
        <v>1732</v>
      </c>
    </row>
    <row r="795" spans="1:13">
      <c r="A795" t="s">
        <v>2992</v>
      </c>
      <c r="B795" t="s">
        <v>1749</v>
      </c>
      <c r="C795" t="s">
        <v>1729</v>
      </c>
      <c r="D795" t="s">
        <v>1731</v>
      </c>
    </row>
    <row r="796" spans="1:13">
      <c r="A796" t="s">
        <v>2994</v>
      </c>
      <c r="B796" t="s">
        <v>1749</v>
      </c>
      <c r="C796" t="s">
        <v>1729</v>
      </c>
      <c r="D796" t="s">
        <v>1731</v>
      </c>
    </row>
    <row r="797" spans="1:13">
      <c r="A797" s="2" t="s">
        <v>3011</v>
      </c>
      <c r="B797" t="s">
        <v>1749</v>
      </c>
      <c r="C797" t="s">
        <v>1722</v>
      </c>
      <c r="D797" t="s">
        <v>1731</v>
      </c>
    </row>
    <row r="798" spans="1:13">
      <c r="A798" s="2" t="s">
        <v>3013</v>
      </c>
      <c r="B798" t="s">
        <v>1749</v>
      </c>
      <c r="C798" t="s">
        <v>1725</v>
      </c>
      <c r="D798" t="s">
        <v>1731</v>
      </c>
    </row>
    <row r="799" spans="1:13">
      <c r="A799" s="2" t="s">
        <v>3016</v>
      </c>
      <c r="B799" t="s">
        <v>1750</v>
      </c>
      <c r="C799" t="s">
        <v>1722</v>
      </c>
      <c r="D799" t="s">
        <v>1731</v>
      </c>
    </row>
    <row r="800" spans="1:13">
      <c r="A800" s="2" t="s">
        <v>3019</v>
      </c>
      <c r="B800" t="s">
        <v>1749</v>
      </c>
      <c r="C800" t="s">
        <v>1722</v>
      </c>
      <c r="D800" t="s">
        <v>1731</v>
      </c>
    </row>
    <row r="801" spans="1:4">
      <c r="A801" s="2" t="s">
        <v>3022</v>
      </c>
      <c r="B801" t="s">
        <v>1749</v>
      </c>
      <c r="C801" t="s">
        <v>1722</v>
      </c>
      <c r="D801" t="s">
        <v>1731</v>
      </c>
    </row>
    <row r="802" spans="1:4">
      <c r="A802" s="2" t="s">
        <v>3024</v>
      </c>
      <c r="B802" t="s">
        <v>1749</v>
      </c>
      <c r="C802" t="s">
        <v>1722</v>
      </c>
      <c r="D802" t="s">
        <v>1731</v>
      </c>
    </row>
    <row r="803" spans="1:4">
      <c r="A803" s="2" t="s">
        <v>3027</v>
      </c>
      <c r="B803" t="s">
        <v>1750</v>
      </c>
      <c r="C803" t="s">
        <v>1722</v>
      </c>
      <c r="D803" t="s">
        <v>1731</v>
      </c>
    </row>
    <row r="804" spans="1:4">
      <c r="A804" s="2" t="s">
        <v>3032</v>
      </c>
      <c r="B804" t="s">
        <v>1749</v>
      </c>
      <c r="C804" t="s">
        <v>1726</v>
      </c>
      <c r="D804" t="s">
        <v>1733</v>
      </c>
    </row>
    <row r="805" spans="1:4">
      <c r="A805" s="2" t="s">
        <v>3086</v>
      </c>
      <c r="B805" t="s">
        <v>1749</v>
      </c>
      <c r="C805" t="s">
        <v>1728</v>
      </c>
      <c r="D805" t="s">
        <v>1731</v>
      </c>
    </row>
    <row r="806" spans="1:4">
      <c r="A806" s="2" t="s">
        <v>3087</v>
      </c>
      <c r="B806" t="s">
        <v>1749</v>
      </c>
      <c r="C806" t="s">
        <v>1728</v>
      </c>
      <c r="D806" t="s">
        <v>1731</v>
      </c>
    </row>
  </sheetData>
  <conditionalFormatting sqref="B1:C1048576">
    <cfRule type="containsText" dxfId="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6"/>
  <sheetViews>
    <sheetView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B805" sqref="B80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2982</v>
      </c>
      <c r="C1" t="s">
        <v>2278</v>
      </c>
      <c r="D1" s="36" t="s">
        <v>684</v>
      </c>
      <c r="E1" s="36" t="s">
        <v>685</v>
      </c>
      <c r="F1" s="36" t="s">
        <v>2983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06" si="81">_xlfn.CONCAT($D771,"_",$E771)</f>
        <v>ALL_AMERICA_OCEANIA</v>
      </c>
      <c r="G771" t="b">
        <f t="shared" ref="G771:G806" si="82">OR(ISNUMBER(SEARCH("ALL_REGION",$F771)),
ISNUMBER(SEARCH("AFRICA",$F771)),
ISNUMBER(SEARCH("REGIONTYPE1",$F771)),
ISNUMBER(SEARCH("REGIONTYPE2",$F771)))</f>
        <v>0</v>
      </c>
      <c r="H771" t="b">
        <f t="shared" ref="H771:H80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0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06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06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</sheetData>
  <autoFilter ref="A1:O793" xr:uid="{94AF2F1A-9287-4526-9497-B34C300AF4DB}"/>
  <conditionalFormatting sqref="G1:G1048576 H795:I1048576">
    <cfRule type="containsText" dxfId="4" priority="20" operator="containsText" text="FALSE">
      <formula>NOT(ISERROR(SEARCH("FALSE",G1)))</formula>
    </cfRule>
  </conditionalFormatting>
  <conditionalFormatting sqref="H1:I792">
    <cfRule type="containsText" dxfId="3" priority="19" operator="containsText" text="FALSE">
      <formula>NOT(ISERROR(SEARCH("FALSE",H1)))</formula>
    </cfRule>
  </conditionalFormatting>
  <conditionalFormatting sqref="H2:O804">
    <cfRule type="containsText" dxfId="2" priority="4" operator="containsText" text="FALSE">
      <formula>NOT(ISERROR(SEARCH("FALSE",H2)))</formula>
    </cfRule>
  </conditionalFormatting>
  <conditionalFormatting sqref="H805:O805">
    <cfRule type="containsText" dxfId="1" priority="3" operator="containsText" text="FALSE">
      <formula>NOT(ISERROR(SEARCH("FALSE",H805)))</formula>
    </cfRule>
  </conditionalFormatting>
  <conditionalFormatting sqref="H806:O806">
    <cfRule type="containsText" dxfId="0" priority="2" operator="containsText" text="FALSE">
      <formula>NOT(ISERROR(SEARCH("FALSE",H806)))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907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2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>
        <v>2</v>
      </c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/>
      <c r="L9" s="44">
        <v>4</v>
      </c>
      <c r="M9" s="44">
        <v>2</v>
      </c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1</v>
      </c>
      <c r="D10" s="44"/>
      <c r="E10" s="44"/>
      <c r="F10" s="44"/>
      <c r="G10" s="44">
        <v>1</v>
      </c>
      <c r="H10" s="44"/>
      <c r="I10" s="44"/>
      <c r="J10" s="44">
        <v>4</v>
      </c>
      <c r="K10" s="44"/>
      <c r="L10" s="44">
        <v>3</v>
      </c>
      <c r="M10" s="44">
        <v>3</v>
      </c>
      <c r="N10" s="44">
        <v>1</v>
      </c>
      <c r="O10" s="44">
        <v>2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2</v>
      </c>
      <c r="D11" s="44"/>
      <c r="E11" s="44"/>
      <c r="F11" s="44">
        <v>2</v>
      </c>
      <c r="G11" s="44"/>
      <c r="H11" s="44">
        <v>3</v>
      </c>
      <c r="I11" s="44"/>
      <c r="J11" s="44"/>
      <c r="K11" s="44"/>
      <c r="L11" s="44">
        <v>8</v>
      </c>
      <c r="M11" s="44">
        <v>2</v>
      </c>
      <c r="N11" s="44">
        <v>2</v>
      </c>
      <c r="O11" s="44">
        <v>2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/>
      <c r="F12" s="44">
        <v>6</v>
      </c>
      <c r="G12" s="44">
        <v>4</v>
      </c>
      <c r="H12" s="44">
        <v>1</v>
      </c>
      <c r="I12" s="44"/>
      <c r="J12" s="44"/>
      <c r="K12" s="44"/>
      <c r="L12" s="44">
        <v>7</v>
      </c>
      <c r="M12" s="44">
        <v>1</v>
      </c>
      <c r="N12" s="44">
        <v>2</v>
      </c>
      <c r="O12" s="44">
        <v>3</v>
      </c>
      <c r="P12" s="44">
        <v>2</v>
      </c>
      <c r="Q12" s="44">
        <v>2</v>
      </c>
      <c r="R12" s="44"/>
    </row>
    <row r="13" spans="1:18">
      <c r="A13">
        <v>1960</v>
      </c>
      <c r="B13" t="s">
        <v>2984</v>
      </c>
      <c r="C13" s="44">
        <v>2</v>
      </c>
      <c r="D13" s="44"/>
      <c r="E13" s="44"/>
      <c r="F13" s="44">
        <v>10</v>
      </c>
      <c r="G13" s="44">
        <v>1</v>
      </c>
      <c r="H13" s="44">
        <v>1</v>
      </c>
      <c r="I13" s="44"/>
      <c r="J13" s="44"/>
      <c r="K13" s="44"/>
      <c r="L13" s="44">
        <v>6</v>
      </c>
      <c r="M13" s="44"/>
      <c r="N13" s="44">
        <v>1</v>
      </c>
      <c r="O13" s="44"/>
      <c r="P13" s="44">
        <v>1</v>
      </c>
      <c r="Q13" s="44">
        <v>2</v>
      </c>
      <c r="R13" s="44"/>
    </row>
    <row r="14" spans="1:18">
      <c r="A14">
        <v>1980</v>
      </c>
      <c r="B14" t="s">
        <v>2984</v>
      </c>
      <c r="C14" s="44">
        <v>1</v>
      </c>
      <c r="D14" s="44">
        <v>1</v>
      </c>
      <c r="E14" s="44"/>
      <c r="F14" s="44">
        <v>2</v>
      </c>
      <c r="G14" s="44">
        <v>1</v>
      </c>
      <c r="H14" s="44">
        <v>1</v>
      </c>
      <c r="I14" s="44">
        <v>1</v>
      </c>
      <c r="J14" s="44">
        <v>2</v>
      </c>
      <c r="K14" s="44"/>
      <c r="L14" s="44">
        <v>8</v>
      </c>
      <c r="M14" s="44"/>
      <c r="N14" s="44"/>
      <c r="O14" s="44"/>
      <c r="P14" s="44">
        <v>1</v>
      </c>
      <c r="Q14" s="44">
        <v>1</v>
      </c>
      <c r="R14" s="44"/>
    </row>
    <row r="15" spans="1:18">
      <c r="A15">
        <v>2000</v>
      </c>
      <c r="B15" t="s">
        <v>2984</v>
      </c>
      <c r="C15" s="44">
        <v>2</v>
      </c>
      <c r="D15" s="44">
        <v>2</v>
      </c>
      <c r="E15" s="44">
        <v>1</v>
      </c>
      <c r="F15" s="44">
        <v>3</v>
      </c>
      <c r="G15" s="44"/>
      <c r="H15" s="44"/>
      <c r="I15" s="44">
        <v>1</v>
      </c>
      <c r="J15" s="44">
        <v>2</v>
      </c>
      <c r="K15" s="44"/>
      <c r="L15" s="44">
        <v>23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>
        <v>1</v>
      </c>
      <c r="F16" s="44"/>
      <c r="G16" s="44"/>
      <c r="H16" s="44"/>
      <c r="I16" s="44"/>
      <c r="J16" s="44"/>
      <c r="K16" s="44"/>
      <c r="L16" s="44">
        <v>14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>
        <v>1</v>
      </c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909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/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>
        <v>1</v>
      </c>
      <c r="P7" s="44">
        <v>1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>
        <v>3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>
        <v>1</v>
      </c>
      <c r="F9" s="44">
        <v>1</v>
      </c>
      <c r="G9" s="44"/>
      <c r="H9" s="44">
        <v>2</v>
      </c>
      <c r="I9" s="44"/>
      <c r="J9" s="44"/>
      <c r="K9" s="44"/>
      <c r="L9" s="44">
        <v>3</v>
      </c>
      <c r="M9" s="44"/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2</v>
      </c>
      <c r="D10" s="44"/>
      <c r="E10" s="44"/>
      <c r="F10" s="44">
        <v>2</v>
      </c>
      <c r="G10" s="44">
        <v>3</v>
      </c>
      <c r="H10" s="44">
        <v>2</v>
      </c>
      <c r="I10" s="44">
        <v>4</v>
      </c>
      <c r="J10" s="44"/>
      <c r="K10" s="44"/>
      <c r="L10" s="44">
        <v>3</v>
      </c>
      <c r="M10" s="44"/>
      <c r="N10" s="44"/>
      <c r="O10" s="44">
        <v>1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1</v>
      </c>
      <c r="D11" s="44"/>
      <c r="E11" s="44">
        <v>4</v>
      </c>
      <c r="F11" s="44">
        <v>2</v>
      </c>
      <c r="G11" s="44">
        <v>2</v>
      </c>
      <c r="H11" s="44">
        <v>1</v>
      </c>
      <c r="I11" s="44"/>
      <c r="J11" s="44"/>
      <c r="K11" s="44"/>
      <c r="L11" s="44">
        <v>6</v>
      </c>
      <c r="M11" s="44">
        <v>2</v>
      </c>
      <c r="N11" s="44"/>
      <c r="O11" s="44">
        <v>3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>
        <v>4</v>
      </c>
      <c r="F12" s="44">
        <v>7</v>
      </c>
      <c r="G12" s="44">
        <v>3</v>
      </c>
      <c r="H12" s="44">
        <v>2</v>
      </c>
      <c r="I12" s="44"/>
      <c r="J12" s="44"/>
      <c r="K12" s="44"/>
      <c r="L12" s="44">
        <v>5</v>
      </c>
      <c r="M12" s="44"/>
      <c r="N12" s="44"/>
      <c r="O12" s="44">
        <v>2</v>
      </c>
      <c r="P12" s="44">
        <v>1</v>
      </c>
      <c r="Q12" s="44"/>
      <c r="R12" s="44"/>
    </row>
    <row r="13" spans="1:18">
      <c r="A13">
        <v>1960</v>
      </c>
      <c r="B13" t="s">
        <v>2984</v>
      </c>
      <c r="C13" s="44">
        <v>2</v>
      </c>
      <c r="D13" s="44">
        <v>2</v>
      </c>
      <c r="E13" s="44">
        <v>1</v>
      </c>
      <c r="F13" s="44">
        <v>3</v>
      </c>
      <c r="G13" s="44">
        <v>1</v>
      </c>
      <c r="H13" s="44">
        <v>2</v>
      </c>
      <c r="I13" s="44"/>
      <c r="J13" s="44"/>
      <c r="K13" s="44"/>
      <c r="L13" s="44">
        <v>5</v>
      </c>
      <c r="M13" s="44"/>
      <c r="N13" s="44"/>
      <c r="O13" s="44"/>
      <c r="P13" s="44">
        <v>1</v>
      </c>
      <c r="Q13" s="44">
        <v>5</v>
      </c>
      <c r="R13" s="44"/>
    </row>
    <row r="14" spans="1:18">
      <c r="A14">
        <v>1980</v>
      </c>
      <c r="B14" t="s">
        <v>2984</v>
      </c>
      <c r="C14" s="44"/>
      <c r="D14" s="44"/>
      <c r="E14" s="44">
        <v>3</v>
      </c>
      <c r="F14" s="44">
        <v>1</v>
      </c>
      <c r="G14" s="44">
        <v>2</v>
      </c>
      <c r="H14" s="44">
        <v>2</v>
      </c>
      <c r="I14" s="44">
        <v>2</v>
      </c>
      <c r="J14" s="44"/>
      <c r="K14" s="44">
        <v>1</v>
      </c>
      <c r="L14" s="44">
        <v>7</v>
      </c>
      <c r="M14" s="44"/>
      <c r="N14" s="44"/>
      <c r="O14" s="44"/>
      <c r="P14" s="44">
        <v>1</v>
      </c>
      <c r="Q14" s="44">
        <v>3</v>
      </c>
      <c r="R14" s="44"/>
    </row>
    <row r="15" spans="1:18">
      <c r="A15">
        <v>2000</v>
      </c>
      <c r="B15" t="s">
        <v>2984</v>
      </c>
      <c r="C15" s="44">
        <v>1</v>
      </c>
      <c r="D15" s="44">
        <v>1</v>
      </c>
      <c r="E15" s="44">
        <v>3</v>
      </c>
      <c r="F15" s="44">
        <v>1</v>
      </c>
      <c r="G15" s="44"/>
      <c r="H15" s="44">
        <v>1</v>
      </c>
      <c r="I15" s="44">
        <v>2</v>
      </c>
      <c r="J15" s="44"/>
      <c r="K15" s="44"/>
      <c r="L15" s="44">
        <v>19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10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911</v>
      </c>
      <c r="C4" t="s">
        <v>2974</v>
      </c>
      <c r="D4" t="s">
        <v>2979</v>
      </c>
      <c r="E4" t="s">
        <v>2976</v>
      </c>
      <c r="F4" t="s">
        <v>2970</v>
      </c>
      <c r="G4" t="s">
        <v>2975</v>
      </c>
      <c r="H4" t="s">
        <v>2971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1</v>
      </c>
      <c r="L5" s="44"/>
      <c r="M5" s="44"/>
      <c r="N5" s="44"/>
      <c r="O5" s="44"/>
      <c r="P5" s="44"/>
      <c r="Q5" s="44"/>
    </row>
    <row r="6" spans="1:17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>
        <v>4</v>
      </c>
      <c r="L6" s="44"/>
      <c r="M6" s="44"/>
      <c r="N6" s="44">
        <v>1</v>
      </c>
      <c r="O6" s="44">
        <v>1</v>
      </c>
      <c r="P6" s="44"/>
      <c r="Q6" s="44"/>
    </row>
    <row r="7" spans="1:17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1</v>
      </c>
      <c r="P7" s="44"/>
      <c r="Q7" s="44"/>
    </row>
    <row r="8" spans="1:17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1</v>
      </c>
      <c r="M8" s="44"/>
      <c r="N8" s="44"/>
      <c r="O8" s="44"/>
      <c r="P8" s="44"/>
      <c r="Q8" s="44"/>
    </row>
    <row r="9" spans="1:17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>
        <v>3</v>
      </c>
      <c r="L9" s="44"/>
      <c r="M9" s="44"/>
      <c r="N9" s="44"/>
      <c r="O9" s="44"/>
      <c r="P9" s="44"/>
      <c r="Q9" s="44"/>
    </row>
    <row r="10" spans="1:17">
      <c r="A10">
        <v>1900</v>
      </c>
      <c r="B10" t="s">
        <v>2984</v>
      </c>
      <c r="C10" s="44"/>
      <c r="D10" s="44"/>
      <c r="E10" s="44">
        <v>1</v>
      </c>
      <c r="F10" s="44"/>
      <c r="G10" s="44">
        <v>1</v>
      </c>
      <c r="H10" s="44">
        <v>1</v>
      </c>
      <c r="I10" s="44">
        <v>4</v>
      </c>
      <c r="J10" s="44"/>
      <c r="K10" s="44">
        <v>3</v>
      </c>
      <c r="L10" s="44"/>
      <c r="M10" s="44"/>
      <c r="N10" s="44">
        <v>1</v>
      </c>
      <c r="O10" s="44">
        <v>1</v>
      </c>
      <c r="P10" s="44"/>
      <c r="Q10" s="44"/>
    </row>
    <row r="11" spans="1:17">
      <c r="A11">
        <v>1920</v>
      </c>
      <c r="B11" t="s">
        <v>2984</v>
      </c>
      <c r="C11" s="44">
        <v>1</v>
      </c>
      <c r="D11" s="44">
        <v>1</v>
      </c>
      <c r="E11" s="44">
        <v>2</v>
      </c>
      <c r="F11" s="44">
        <v>1</v>
      </c>
      <c r="G11" s="44"/>
      <c r="H11" s="44"/>
      <c r="I11" s="44"/>
      <c r="J11" s="44"/>
      <c r="K11" s="44">
        <v>6</v>
      </c>
      <c r="L11" s="44"/>
      <c r="M11" s="44"/>
      <c r="N11" s="44">
        <v>3</v>
      </c>
      <c r="O11" s="44">
        <v>2</v>
      </c>
      <c r="P11" s="44"/>
      <c r="Q11" s="44"/>
    </row>
    <row r="12" spans="1:17">
      <c r="A12">
        <v>1940</v>
      </c>
      <c r="B12" t="s">
        <v>2984</v>
      </c>
      <c r="C12" s="44"/>
      <c r="D12" s="44"/>
      <c r="E12" s="44">
        <v>3</v>
      </c>
      <c r="F12" s="44">
        <v>2</v>
      </c>
      <c r="G12" s="44"/>
      <c r="H12" s="44"/>
      <c r="I12" s="44"/>
      <c r="J12" s="44"/>
      <c r="K12" s="44">
        <v>5</v>
      </c>
      <c r="L12" s="44"/>
      <c r="M12" s="44"/>
      <c r="N12" s="44">
        <v>2</v>
      </c>
      <c r="O12" s="44">
        <v>1</v>
      </c>
      <c r="P12" s="44"/>
      <c r="Q12" s="44"/>
    </row>
    <row r="13" spans="1:17">
      <c r="A13">
        <v>1960</v>
      </c>
      <c r="B13" t="s">
        <v>2984</v>
      </c>
      <c r="C13" s="44">
        <v>2</v>
      </c>
      <c r="D13" s="44"/>
      <c r="E13" s="44">
        <v>4</v>
      </c>
      <c r="F13" s="44">
        <v>2</v>
      </c>
      <c r="G13" s="44">
        <v>2</v>
      </c>
      <c r="H13" s="44">
        <v>1</v>
      </c>
      <c r="I13" s="44"/>
      <c r="J13" s="44"/>
      <c r="K13" s="44">
        <v>5</v>
      </c>
      <c r="L13" s="44"/>
      <c r="M13" s="44"/>
      <c r="N13" s="44"/>
      <c r="O13" s="44">
        <v>1</v>
      </c>
      <c r="P13" s="44">
        <v>5</v>
      </c>
      <c r="Q13" s="44"/>
    </row>
    <row r="14" spans="1:17">
      <c r="A14">
        <v>1980</v>
      </c>
      <c r="B14" t="s">
        <v>2984</v>
      </c>
      <c r="C14" s="44">
        <v>1</v>
      </c>
      <c r="D14" s="44">
        <v>1</v>
      </c>
      <c r="E14" s="44">
        <v>2</v>
      </c>
      <c r="F14" s="44">
        <v>1</v>
      </c>
      <c r="G14" s="44"/>
      <c r="H14" s="44">
        <v>2</v>
      </c>
      <c r="I14" s="44">
        <v>2</v>
      </c>
      <c r="J14" s="44"/>
      <c r="K14" s="44">
        <v>7</v>
      </c>
      <c r="L14" s="44"/>
      <c r="M14" s="44"/>
      <c r="N14" s="44"/>
      <c r="O14" s="44">
        <v>1</v>
      </c>
      <c r="P14" s="44">
        <v>3</v>
      </c>
      <c r="Q14" s="44"/>
    </row>
    <row r="15" spans="1:17">
      <c r="A15">
        <v>2000</v>
      </c>
      <c r="B15" t="s">
        <v>2984</v>
      </c>
      <c r="C15" s="44">
        <v>2</v>
      </c>
      <c r="D15" s="44"/>
      <c r="E15" s="44">
        <v>1</v>
      </c>
      <c r="F15" s="44"/>
      <c r="G15" s="44">
        <v>1</v>
      </c>
      <c r="H15" s="44">
        <v>2</v>
      </c>
      <c r="I15" s="44">
        <v>2</v>
      </c>
      <c r="J15" s="44"/>
      <c r="K15" s="44">
        <v>19</v>
      </c>
      <c r="L15" s="44"/>
      <c r="M15" s="44"/>
      <c r="N15" s="44"/>
      <c r="O15" s="44">
        <v>1</v>
      </c>
      <c r="P15" s="44">
        <v>4</v>
      </c>
      <c r="Q15" s="44">
        <v>1</v>
      </c>
    </row>
    <row r="16" spans="1:17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10</v>
      </c>
      <c r="L16" s="44"/>
      <c r="M16" s="44">
        <v>1</v>
      </c>
      <c r="N16" s="44"/>
      <c r="O16" s="44">
        <v>1</v>
      </c>
      <c r="P16" s="44">
        <v>1</v>
      </c>
      <c r="Q16" s="44">
        <v>3</v>
      </c>
    </row>
    <row r="17" spans="1:17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2973</v>
      </c>
      <c r="C3" s="34" t="s">
        <v>2278</v>
      </c>
    </row>
    <row r="4" spans="1:19">
      <c r="A4" s="34" t="s">
        <v>2982</v>
      </c>
      <c r="B4" s="34" t="s">
        <v>912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2978</v>
      </c>
      <c r="L4" t="s">
        <v>2972</v>
      </c>
      <c r="M4" t="s">
        <v>2985</v>
      </c>
      <c r="N4" t="s">
        <v>3080</v>
      </c>
      <c r="O4" t="s">
        <v>3081</v>
      </c>
      <c r="P4" t="s">
        <v>3082</v>
      </c>
      <c r="Q4" t="s">
        <v>3083</v>
      </c>
      <c r="R4" t="s">
        <v>3084</v>
      </c>
      <c r="S4" t="s">
        <v>3085</v>
      </c>
    </row>
    <row r="5" spans="1:19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>
        <v>2</v>
      </c>
      <c r="N5" s="44"/>
      <c r="O5" s="44"/>
      <c r="P5" s="44"/>
      <c r="Q5" s="44"/>
      <c r="R5" s="44"/>
      <c r="S5" s="44"/>
    </row>
    <row r="6" spans="1:19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>
        <v>4</v>
      </c>
      <c r="N6" s="44"/>
      <c r="O6" s="44">
        <v>1</v>
      </c>
      <c r="P6" s="44">
        <v>1</v>
      </c>
      <c r="Q6" s="44">
        <v>1</v>
      </c>
      <c r="R6" s="44"/>
      <c r="S6" s="44"/>
    </row>
    <row r="7" spans="1:19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2</v>
      </c>
      <c r="P7" s="44">
        <v>2</v>
      </c>
      <c r="Q7" s="44">
        <v>2</v>
      </c>
      <c r="R7" s="44"/>
      <c r="S7" s="44"/>
    </row>
    <row r="8" spans="1:19">
      <c r="A8">
        <v>1880</v>
      </c>
      <c r="B8" t="s">
        <v>2984</v>
      </c>
      <c r="C8" s="44"/>
      <c r="D8" s="44"/>
      <c r="E8" s="44"/>
      <c r="F8" s="44"/>
      <c r="G8" s="44"/>
      <c r="H8" s="44">
        <v>1</v>
      </c>
      <c r="I8" s="44"/>
      <c r="J8" s="44"/>
      <c r="K8" s="44"/>
      <c r="L8" s="44"/>
      <c r="M8" s="44">
        <v>4</v>
      </c>
      <c r="N8" s="44">
        <v>3</v>
      </c>
      <c r="O8" s="44"/>
      <c r="P8" s="44"/>
      <c r="Q8" s="44"/>
      <c r="R8" s="44"/>
      <c r="S8" s="44"/>
    </row>
    <row r="9" spans="1:19">
      <c r="A9">
        <v>1900</v>
      </c>
      <c r="B9" t="s">
        <v>2984</v>
      </c>
      <c r="C9" s="44"/>
      <c r="D9" s="44"/>
      <c r="E9" s="44"/>
      <c r="F9" s="44"/>
      <c r="G9" s="44">
        <v>1</v>
      </c>
      <c r="H9" s="44">
        <v>3</v>
      </c>
      <c r="I9" s="44"/>
      <c r="J9" s="44">
        <v>4</v>
      </c>
      <c r="K9" s="44"/>
      <c r="L9" s="44"/>
      <c r="M9" s="44">
        <v>3</v>
      </c>
      <c r="N9" s="44"/>
      <c r="O9" s="44">
        <v>1</v>
      </c>
      <c r="P9" s="44">
        <v>2</v>
      </c>
      <c r="Q9" s="44">
        <v>1</v>
      </c>
      <c r="R9" s="44"/>
      <c r="S9" s="44"/>
    </row>
    <row r="10" spans="1:19">
      <c r="A10">
        <v>1920</v>
      </c>
      <c r="B10" t="s">
        <v>2984</v>
      </c>
      <c r="C10" s="44">
        <v>1</v>
      </c>
      <c r="D10" s="44"/>
      <c r="E10" s="44"/>
      <c r="F10" s="44">
        <v>3</v>
      </c>
      <c r="G10" s="44">
        <v>1</v>
      </c>
      <c r="H10" s="44"/>
      <c r="I10" s="44">
        <v>2</v>
      </c>
      <c r="J10" s="44"/>
      <c r="K10" s="44"/>
      <c r="L10" s="44"/>
      <c r="M10" s="44">
        <v>8</v>
      </c>
      <c r="N10" s="44">
        <v>3</v>
      </c>
      <c r="O10" s="44">
        <v>2</v>
      </c>
      <c r="P10" s="44">
        <v>4</v>
      </c>
      <c r="Q10" s="44">
        <v>3</v>
      </c>
      <c r="R10" s="44"/>
      <c r="S10" s="44"/>
    </row>
    <row r="11" spans="1:19">
      <c r="A11">
        <v>1940</v>
      </c>
      <c r="B11" t="s">
        <v>2984</v>
      </c>
      <c r="C11" s="44">
        <v>1</v>
      </c>
      <c r="D11" s="44"/>
      <c r="E11" s="44">
        <v>1</v>
      </c>
      <c r="F11" s="44">
        <v>7</v>
      </c>
      <c r="G11" s="44">
        <v>2</v>
      </c>
      <c r="H11" s="44"/>
      <c r="I11" s="44">
        <v>1</v>
      </c>
      <c r="J11" s="44"/>
      <c r="K11" s="44"/>
      <c r="L11" s="44"/>
      <c r="M11" s="44">
        <v>7</v>
      </c>
      <c r="N11" s="44"/>
      <c r="O11" s="44">
        <v>3</v>
      </c>
      <c r="P11" s="44">
        <v>5</v>
      </c>
      <c r="Q11" s="44">
        <v>3</v>
      </c>
      <c r="R11" s="44">
        <v>2</v>
      </c>
      <c r="S11" s="44"/>
    </row>
    <row r="12" spans="1:19">
      <c r="A12">
        <v>1960</v>
      </c>
      <c r="B12" t="s">
        <v>2984</v>
      </c>
      <c r="C12" s="44">
        <v>4</v>
      </c>
      <c r="D12" s="44">
        <v>2</v>
      </c>
      <c r="E12" s="44">
        <v>1</v>
      </c>
      <c r="F12" s="44">
        <v>8</v>
      </c>
      <c r="G12" s="44">
        <v>2</v>
      </c>
      <c r="H12" s="44">
        <v>2</v>
      </c>
      <c r="I12" s="44"/>
      <c r="J12" s="44"/>
      <c r="K12" s="44"/>
      <c r="L12" s="44"/>
      <c r="M12" s="44">
        <v>6</v>
      </c>
      <c r="N12" s="44"/>
      <c r="O12" s="44">
        <v>1</v>
      </c>
      <c r="P12" s="44">
        <v>3</v>
      </c>
      <c r="Q12" s="44">
        <v>2</v>
      </c>
      <c r="R12" s="44">
        <v>2</v>
      </c>
      <c r="S12" s="44"/>
    </row>
    <row r="13" spans="1:19">
      <c r="A13">
        <v>1980</v>
      </c>
      <c r="B13" t="s">
        <v>2984</v>
      </c>
      <c r="C13" s="44">
        <v>4</v>
      </c>
      <c r="D13" s="44">
        <v>1</v>
      </c>
      <c r="E13" s="44">
        <v>1</v>
      </c>
      <c r="F13" s="44">
        <v>4</v>
      </c>
      <c r="G13" s="44">
        <v>4</v>
      </c>
      <c r="H13" s="44"/>
      <c r="I13" s="44">
        <v>5</v>
      </c>
      <c r="J13" s="44">
        <v>2</v>
      </c>
      <c r="K13" s="44"/>
      <c r="L13" s="44">
        <v>2</v>
      </c>
      <c r="M13" s="44">
        <v>8</v>
      </c>
      <c r="N13" s="44">
        <v>1</v>
      </c>
      <c r="O13" s="44"/>
      <c r="P13" s="44"/>
      <c r="Q13" s="44">
        <v>1</v>
      </c>
      <c r="R13" s="44">
        <v>1</v>
      </c>
      <c r="S13" s="44"/>
    </row>
    <row r="14" spans="1:19">
      <c r="A14">
        <v>2000</v>
      </c>
      <c r="B14" t="s">
        <v>2984</v>
      </c>
      <c r="C14" s="44">
        <v>4</v>
      </c>
      <c r="D14" s="44">
        <v>1</v>
      </c>
      <c r="E14" s="44">
        <v>4</v>
      </c>
      <c r="F14" s="44">
        <v>2</v>
      </c>
      <c r="G14" s="44">
        <v>4</v>
      </c>
      <c r="H14" s="44"/>
      <c r="I14" s="44">
        <v>4</v>
      </c>
      <c r="J14" s="44">
        <v>2</v>
      </c>
      <c r="K14" s="44">
        <v>1</v>
      </c>
      <c r="L14" s="44">
        <v>2</v>
      </c>
      <c r="M14" s="44">
        <v>23</v>
      </c>
      <c r="N14" s="44"/>
      <c r="O14" s="44"/>
      <c r="P14" s="44"/>
      <c r="Q14" s="44">
        <v>1</v>
      </c>
      <c r="R14" s="44">
        <v>4</v>
      </c>
      <c r="S14" s="44">
        <v>1</v>
      </c>
    </row>
    <row r="15" spans="1:19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/>
      <c r="L15" s="44">
        <v>1</v>
      </c>
      <c r="M15" s="44">
        <v>14</v>
      </c>
      <c r="N15" s="44"/>
      <c r="O15" s="44">
        <v>1</v>
      </c>
      <c r="P15" s="44"/>
      <c r="Q15" s="44">
        <v>1</v>
      </c>
      <c r="R15" s="44">
        <v>1</v>
      </c>
      <c r="S15" s="44">
        <v>3</v>
      </c>
    </row>
    <row r="16" spans="1:19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</v>
      </c>
      <c r="M16" s="44"/>
      <c r="N16" s="44"/>
      <c r="O16" s="44"/>
      <c r="P16" s="44"/>
      <c r="Q16" s="44"/>
      <c r="R16" s="44"/>
      <c r="S16" s="4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906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1820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4</v>
      </c>
      <c r="L5" s="44"/>
      <c r="M5" s="44">
        <v>1</v>
      </c>
      <c r="N5" s="44">
        <v>1</v>
      </c>
      <c r="O5" s="44">
        <v>1</v>
      </c>
      <c r="P5" s="44"/>
      <c r="Q5" s="44"/>
    </row>
    <row r="6" spans="1:17">
      <c r="A6">
        <v>1840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1</v>
      </c>
      <c r="M6" s="44">
        <v>2</v>
      </c>
      <c r="N6" s="44">
        <v>2</v>
      </c>
      <c r="O6" s="44">
        <v>2</v>
      </c>
      <c r="P6" s="44"/>
      <c r="Q6" s="44"/>
    </row>
    <row r="7" spans="1:17">
      <c r="A7">
        <v>1880</v>
      </c>
      <c r="B7" t="s">
        <v>2984</v>
      </c>
      <c r="C7" s="44">
        <v>1</v>
      </c>
      <c r="D7" s="44"/>
      <c r="E7" s="44"/>
      <c r="F7" s="44">
        <v>1</v>
      </c>
      <c r="G7" s="44"/>
      <c r="H7" s="44"/>
      <c r="I7" s="44"/>
      <c r="J7" s="44"/>
      <c r="K7" s="44">
        <v>2</v>
      </c>
      <c r="L7" s="44"/>
      <c r="M7" s="44"/>
      <c r="N7" s="44"/>
      <c r="O7" s="44"/>
      <c r="P7" s="44"/>
      <c r="Q7" s="44"/>
    </row>
    <row r="8" spans="1:17">
      <c r="A8">
        <v>1900</v>
      </c>
      <c r="B8" t="s">
        <v>2984</v>
      </c>
      <c r="C8" s="44">
        <v>2</v>
      </c>
      <c r="D8" s="44"/>
      <c r="E8" s="44"/>
      <c r="F8" s="44">
        <v>1</v>
      </c>
      <c r="G8" s="44"/>
      <c r="H8" s="44"/>
      <c r="I8" s="44">
        <v>4</v>
      </c>
      <c r="J8" s="44"/>
      <c r="K8" s="44">
        <v>3</v>
      </c>
      <c r="L8" s="44">
        <v>1</v>
      </c>
      <c r="M8" s="44">
        <v>1</v>
      </c>
      <c r="N8" s="44">
        <v>3</v>
      </c>
      <c r="O8" s="44">
        <v>2</v>
      </c>
      <c r="P8" s="44"/>
      <c r="Q8" s="44"/>
    </row>
    <row r="9" spans="1:17">
      <c r="A9">
        <v>1920</v>
      </c>
      <c r="B9" t="s">
        <v>2984</v>
      </c>
      <c r="C9" s="44">
        <v>3</v>
      </c>
      <c r="D9" s="44"/>
      <c r="E9" s="44">
        <v>1</v>
      </c>
      <c r="F9" s="44">
        <v>3</v>
      </c>
      <c r="G9" s="44">
        <v>1</v>
      </c>
      <c r="H9" s="44">
        <v>1</v>
      </c>
      <c r="I9" s="44"/>
      <c r="J9" s="44"/>
      <c r="K9" s="44">
        <v>4</v>
      </c>
      <c r="L9" s="44">
        <v>1</v>
      </c>
      <c r="M9" s="44">
        <v>2</v>
      </c>
      <c r="N9" s="44">
        <v>4</v>
      </c>
      <c r="O9" s="44">
        <v>3</v>
      </c>
      <c r="P9" s="44"/>
      <c r="Q9" s="44"/>
    </row>
    <row r="10" spans="1:17">
      <c r="A10">
        <v>1940</v>
      </c>
      <c r="B10" t="s">
        <v>2984</v>
      </c>
      <c r="C10" s="44">
        <v>2</v>
      </c>
      <c r="D10" s="44"/>
      <c r="E10" s="44">
        <v>1</v>
      </c>
      <c r="F10" s="44">
        <v>3</v>
      </c>
      <c r="G10" s="44">
        <v>2</v>
      </c>
      <c r="H10" s="44"/>
      <c r="I10" s="44"/>
      <c r="J10" s="44"/>
      <c r="K10" s="44">
        <v>3</v>
      </c>
      <c r="L10" s="44">
        <v>1</v>
      </c>
      <c r="M10" s="44"/>
      <c r="N10" s="44">
        <v>2</v>
      </c>
      <c r="O10" s="44">
        <v>1</v>
      </c>
      <c r="P10" s="44">
        <v>1</v>
      </c>
      <c r="Q10" s="44"/>
    </row>
    <row r="11" spans="1:17">
      <c r="A11">
        <v>1960</v>
      </c>
      <c r="B11" t="s">
        <v>2984</v>
      </c>
      <c r="C11" s="44">
        <v>3</v>
      </c>
      <c r="D11" s="44"/>
      <c r="E11" s="44"/>
      <c r="F11" s="44">
        <v>3</v>
      </c>
      <c r="G11" s="44"/>
      <c r="H11" s="44"/>
      <c r="I11" s="44"/>
      <c r="J11" s="44"/>
      <c r="K11" s="44">
        <v>4</v>
      </c>
      <c r="L11" s="44"/>
      <c r="M11" s="44"/>
      <c r="N11" s="44"/>
      <c r="O11" s="44">
        <v>1</v>
      </c>
      <c r="P11" s="44">
        <v>5</v>
      </c>
      <c r="Q11" s="44"/>
    </row>
    <row r="12" spans="1:17">
      <c r="A12">
        <v>1980</v>
      </c>
      <c r="B12" t="s">
        <v>2984</v>
      </c>
      <c r="C12" s="44">
        <v>2</v>
      </c>
      <c r="D12" s="44">
        <v>1</v>
      </c>
      <c r="E12" s="44"/>
      <c r="F12" s="44">
        <v>4</v>
      </c>
      <c r="G12" s="44"/>
      <c r="H12" s="44"/>
      <c r="I12" s="44">
        <v>2</v>
      </c>
      <c r="J12" s="44"/>
      <c r="K12" s="44">
        <v>6</v>
      </c>
      <c r="L12" s="44"/>
      <c r="M12" s="44"/>
      <c r="N12" s="44"/>
      <c r="O12" s="44">
        <v>1</v>
      </c>
      <c r="P12" s="44">
        <v>3</v>
      </c>
      <c r="Q12" s="44"/>
    </row>
    <row r="13" spans="1:17">
      <c r="A13">
        <v>2000</v>
      </c>
      <c r="B13" t="s">
        <v>2984</v>
      </c>
      <c r="C13" s="44">
        <v>2</v>
      </c>
      <c r="D13" s="44">
        <v>2</v>
      </c>
      <c r="E13" s="44">
        <v>1</v>
      </c>
      <c r="F13" s="44">
        <v>2</v>
      </c>
      <c r="G13" s="44"/>
      <c r="H13" s="44">
        <v>2</v>
      </c>
      <c r="I13" s="44">
        <v>2</v>
      </c>
      <c r="J13" s="44"/>
      <c r="K13" s="44">
        <v>16</v>
      </c>
      <c r="L13" s="44"/>
      <c r="M13" s="44"/>
      <c r="N13" s="44"/>
      <c r="O13" s="44">
        <v>1</v>
      </c>
      <c r="P13" s="44">
        <v>4</v>
      </c>
      <c r="Q13" s="44">
        <v>1</v>
      </c>
    </row>
    <row r="14" spans="1:17">
      <c r="A14">
        <v>2020</v>
      </c>
      <c r="B14" t="s">
        <v>2984</v>
      </c>
      <c r="C14" s="44"/>
      <c r="D14" s="44"/>
      <c r="E14" s="44"/>
      <c r="F14" s="44"/>
      <c r="G14" s="44"/>
      <c r="H14" s="44"/>
      <c r="I14" s="44"/>
      <c r="J14" s="44"/>
      <c r="K14" s="44">
        <v>8</v>
      </c>
      <c r="L14" s="44"/>
      <c r="M14" s="44">
        <v>1</v>
      </c>
      <c r="N14" s="44"/>
      <c r="O14" s="44">
        <v>1</v>
      </c>
      <c r="P14" s="44">
        <v>1</v>
      </c>
      <c r="Q14" s="44">
        <v>3</v>
      </c>
    </row>
    <row r="15" spans="1:17">
      <c r="A15">
        <v>2040</v>
      </c>
      <c r="B15" t="s">
        <v>2984</v>
      </c>
      <c r="C15" s="44"/>
      <c r="D15" s="44"/>
      <c r="E15" s="44"/>
      <c r="F15" s="44"/>
      <c r="G15" s="44"/>
      <c r="H15" s="44"/>
      <c r="I15" s="44"/>
      <c r="J15" s="44">
        <v>1</v>
      </c>
      <c r="K15" s="44"/>
      <c r="L15" s="44"/>
      <c r="M15" s="44"/>
      <c r="N15" s="44"/>
      <c r="O15" s="44"/>
      <c r="P15" s="44"/>
      <c r="Q15" s="4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2973</v>
      </c>
      <c r="C3" s="34" t="s">
        <v>2278</v>
      </c>
    </row>
    <row r="4" spans="1:21">
      <c r="A4" s="34" t="s">
        <v>2982</v>
      </c>
      <c r="B4" s="34" t="s">
        <v>904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2977</v>
      </c>
      <c r="L4" t="s">
        <v>2978</v>
      </c>
      <c r="M4" t="s">
        <v>2972</v>
      </c>
      <c r="N4" t="s">
        <v>2981</v>
      </c>
      <c r="O4" t="s">
        <v>2985</v>
      </c>
      <c r="P4" t="s">
        <v>3080</v>
      </c>
      <c r="Q4" t="s">
        <v>3081</v>
      </c>
      <c r="R4" t="s">
        <v>3082</v>
      </c>
      <c r="S4" t="s">
        <v>3083</v>
      </c>
      <c r="T4" t="s">
        <v>3084</v>
      </c>
      <c r="U4" t="s">
        <v>3085</v>
      </c>
    </row>
    <row r="5" spans="1:21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>
        <v>1</v>
      </c>
      <c r="P5" s="44"/>
      <c r="Q5" s="44"/>
      <c r="R5" s="44"/>
      <c r="S5" s="44"/>
      <c r="T5" s="44"/>
      <c r="U5" s="44"/>
    </row>
    <row r="6" spans="1:21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>
        <v>4</v>
      </c>
      <c r="P6" s="44">
        <v>1</v>
      </c>
      <c r="Q6" s="44">
        <v>1</v>
      </c>
      <c r="R6" s="44">
        <v>1</v>
      </c>
      <c r="S6" s="44">
        <v>1</v>
      </c>
      <c r="T6" s="44"/>
      <c r="U6" s="44"/>
    </row>
    <row r="7" spans="1:21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/>
      <c r="P7" s="44">
        <v>1</v>
      </c>
      <c r="Q7" s="44">
        <v>2</v>
      </c>
      <c r="R7" s="44">
        <v>2</v>
      </c>
      <c r="S7" s="44">
        <v>2</v>
      </c>
      <c r="T7" s="44"/>
      <c r="U7" s="44"/>
    </row>
    <row r="8" spans="1:21">
      <c r="A8">
        <v>1860</v>
      </c>
      <c r="B8" t="s">
        <v>2984</v>
      </c>
      <c r="C8" s="44"/>
      <c r="D8" s="44"/>
      <c r="E8" s="44"/>
      <c r="F8" s="44">
        <v>1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</row>
    <row r="9" spans="1:21">
      <c r="A9">
        <v>1880</v>
      </c>
      <c r="B9" t="s">
        <v>2984</v>
      </c>
      <c r="C9" s="44">
        <v>1</v>
      </c>
      <c r="D9" s="44"/>
      <c r="E9" s="44"/>
      <c r="F9" s="44">
        <v>1</v>
      </c>
      <c r="G9" s="44"/>
      <c r="H9" s="44">
        <v>1</v>
      </c>
      <c r="I9" s="44"/>
      <c r="J9" s="44"/>
      <c r="K9" s="44"/>
      <c r="L9" s="44"/>
      <c r="M9" s="44"/>
      <c r="N9" s="44"/>
      <c r="O9" s="44">
        <v>3</v>
      </c>
      <c r="P9" s="44">
        <v>3</v>
      </c>
      <c r="Q9" s="44"/>
      <c r="R9" s="44"/>
      <c r="S9" s="44"/>
      <c r="T9" s="44"/>
      <c r="U9" s="44"/>
    </row>
    <row r="10" spans="1:21">
      <c r="A10">
        <v>1900</v>
      </c>
      <c r="B10" t="s">
        <v>2984</v>
      </c>
      <c r="C10" s="44">
        <v>8</v>
      </c>
      <c r="D10" s="44"/>
      <c r="E10" s="44"/>
      <c r="F10" s="44">
        <v>5</v>
      </c>
      <c r="G10" s="44">
        <v>2</v>
      </c>
      <c r="H10" s="44">
        <v>1</v>
      </c>
      <c r="I10" s="44">
        <v>1</v>
      </c>
      <c r="J10" s="44">
        <v>4</v>
      </c>
      <c r="K10" s="44"/>
      <c r="L10" s="44"/>
      <c r="M10" s="44"/>
      <c r="N10" s="44"/>
      <c r="O10" s="44">
        <v>3</v>
      </c>
      <c r="P10" s="44">
        <v>4</v>
      </c>
      <c r="Q10" s="44">
        <v>1</v>
      </c>
      <c r="R10" s="44">
        <v>2</v>
      </c>
      <c r="S10" s="44">
        <v>1</v>
      </c>
      <c r="T10" s="44"/>
      <c r="U10" s="44"/>
    </row>
    <row r="11" spans="1:21">
      <c r="A11">
        <v>1920</v>
      </c>
      <c r="B11" t="s">
        <v>2984</v>
      </c>
      <c r="C11" s="44">
        <v>9</v>
      </c>
      <c r="D11" s="44">
        <v>1</v>
      </c>
      <c r="E11" s="44"/>
      <c r="F11" s="44">
        <v>6</v>
      </c>
      <c r="G11" s="44">
        <v>1</v>
      </c>
      <c r="H11" s="44"/>
      <c r="I11" s="44">
        <v>1</v>
      </c>
      <c r="J11" s="44"/>
      <c r="K11" s="44"/>
      <c r="L11" s="44"/>
      <c r="M11" s="44">
        <v>1</v>
      </c>
      <c r="N11" s="44"/>
      <c r="O11" s="44">
        <v>6</v>
      </c>
      <c r="P11" s="44">
        <v>5</v>
      </c>
      <c r="Q11" s="44">
        <v>2</v>
      </c>
      <c r="R11" s="44">
        <v>2</v>
      </c>
      <c r="S11" s="44">
        <v>2</v>
      </c>
      <c r="T11" s="44"/>
      <c r="U11" s="44"/>
    </row>
    <row r="12" spans="1:21">
      <c r="A12">
        <v>1940</v>
      </c>
      <c r="B12" t="s">
        <v>2984</v>
      </c>
      <c r="C12" s="44">
        <v>6</v>
      </c>
      <c r="D12" s="44">
        <v>1</v>
      </c>
      <c r="E12" s="44"/>
      <c r="F12" s="44">
        <v>9</v>
      </c>
      <c r="G12" s="44"/>
      <c r="H12" s="44"/>
      <c r="I12" s="44">
        <v>2</v>
      </c>
      <c r="J12" s="44"/>
      <c r="K12" s="44">
        <v>1</v>
      </c>
      <c r="L12" s="44"/>
      <c r="M12" s="44"/>
      <c r="N12" s="44"/>
      <c r="O12" s="44">
        <v>5</v>
      </c>
      <c r="P12" s="44">
        <v>4</v>
      </c>
      <c r="Q12" s="44">
        <v>2</v>
      </c>
      <c r="R12" s="44">
        <v>3</v>
      </c>
      <c r="S12" s="44">
        <v>2</v>
      </c>
      <c r="T12" s="44">
        <v>3</v>
      </c>
      <c r="U12" s="44"/>
    </row>
    <row r="13" spans="1:21">
      <c r="A13">
        <v>1960</v>
      </c>
      <c r="B13" t="s">
        <v>2984</v>
      </c>
      <c r="C13" s="44">
        <v>7</v>
      </c>
      <c r="D13" s="44">
        <v>2</v>
      </c>
      <c r="E13" s="44">
        <v>4</v>
      </c>
      <c r="F13" s="44">
        <v>4</v>
      </c>
      <c r="G13" s="44"/>
      <c r="H13" s="44"/>
      <c r="I13" s="44">
        <v>3</v>
      </c>
      <c r="J13" s="44"/>
      <c r="K13" s="44"/>
      <c r="L13" s="44"/>
      <c r="M13" s="44"/>
      <c r="N13" s="44">
        <v>1</v>
      </c>
      <c r="O13" s="44">
        <v>5</v>
      </c>
      <c r="P13" s="44"/>
      <c r="Q13" s="44">
        <v>1</v>
      </c>
      <c r="R13" s="44">
        <v>3</v>
      </c>
      <c r="S13" s="44">
        <v>2</v>
      </c>
      <c r="T13" s="44">
        <v>2</v>
      </c>
      <c r="U13" s="44"/>
    </row>
    <row r="14" spans="1:21">
      <c r="A14">
        <v>1980</v>
      </c>
      <c r="B14" t="s">
        <v>2984</v>
      </c>
      <c r="C14" s="44">
        <v>10</v>
      </c>
      <c r="D14" s="44">
        <v>3</v>
      </c>
      <c r="E14" s="44">
        <v>3</v>
      </c>
      <c r="F14" s="44">
        <v>3</v>
      </c>
      <c r="G14" s="44"/>
      <c r="H14" s="44"/>
      <c r="I14" s="44">
        <v>2</v>
      </c>
      <c r="J14" s="44">
        <v>2</v>
      </c>
      <c r="K14" s="44"/>
      <c r="L14" s="44">
        <v>1</v>
      </c>
      <c r="M14" s="44"/>
      <c r="N14" s="44">
        <v>4</v>
      </c>
      <c r="O14" s="44">
        <v>7</v>
      </c>
      <c r="P14" s="44"/>
      <c r="Q14" s="44"/>
      <c r="R14" s="44"/>
      <c r="S14" s="44">
        <v>1</v>
      </c>
      <c r="T14" s="44">
        <v>1</v>
      </c>
      <c r="U14" s="44"/>
    </row>
    <row r="15" spans="1:21">
      <c r="A15">
        <v>2000</v>
      </c>
      <c r="B15" t="s">
        <v>2984</v>
      </c>
      <c r="C15" s="44">
        <v>2</v>
      </c>
      <c r="D15" s="44">
        <v>2</v>
      </c>
      <c r="E15" s="44"/>
      <c r="F15" s="44">
        <v>5</v>
      </c>
      <c r="G15" s="44"/>
      <c r="H15" s="44"/>
      <c r="I15" s="44">
        <v>1</v>
      </c>
      <c r="J15" s="44">
        <v>2</v>
      </c>
      <c r="K15" s="44"/>
      <c r="L15" s="44"/>
      <c r="M15" s="44">
        <v>3</v>
      </c>
      <c r="N15" s="44">
        <v>2</v>
      </c>
      <c r="O15" s="44">
        <v>20</v>
      </c>
      <c r="P15" s="44"/>
      <c r="Q15" s="44"/>
      <c r="R15" s="44"/>
      <c r="S15" s="44">
        <v>1</v>
      </c>
      <c r="T15" s="44">
        <v>4</v>
      </c>
      <c r="U15" s="44">
        <v>1</v>
      </c>
    </row>
    <row r="16" spans="1:21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>
        <v>1</v>
      </c>
      <c r="N16" s="44"/>
      <c r="O16" s="44">
        <v>12</v>
      </c>
      <c r="P16" s="44"/>
      <c r="Q16" s="44">
        <v>1</v>
      </c>
      <c r="R16" s="44"/>
      <c r="S16" s="44">
        <v>1</v>
      </c>
      <c r="T16" s="44">
        <v>1</v>
      </c>
      <c r="U16" s="44">
        <v>3</v>
      </c>
    </row>
    <row r="17" spans="1:21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>
        <v>1</v>
      </c>
      <c r="N17" s="44"/>
      <c r="O17" s="44"/>
      <c r="P17" s="44"/>
      <c r="Q17" s="44"/>
      <c r="R17" s="44"/>
      <c r="S17" s="44"/>
      <c r="T17" s="44"/>
      <c r="U17" s="4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910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/>
      <c r="G9" s="44"/>
      <c r="H9" s="44">
        <v>1</v>
      </c>
      <c r="I9" s="44">
        <v>1</v>
      </c>
      <c r="J9" s="44">
        <v>4</v>
      </c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4</v>
      </c>
      <c r="D10" s="44"/>
      <c r="E10" s="44">
        <v>1</v>
      </c>
      <c r="F10" s="44">
        <v>1</v>
      </c>
      <c r="G10" s="44">
        <v>1</v>
      </c>
      <c r="H10" s="44">
        <v>1</v>
      </c>
      <c r="I10" s="44"/>
      <c r="J10" s="44"/>
      <c r="K10" s="44"/>
      <c r="L10" s="44">
        <v>6</v>
      </c>
      <c r="M10" s="44"/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2</v>
      </c>
      <c r="D11" s="44"/>
      <c r="E11" s="44"/>
      <c r="F11" s="44">
        <v>3</v>
      </c>
      <c r="G11" s="44">
        <v>2</v>
      </c>
      <c r="H11" s="44"/>
      <c r="I11" s="44"/>
      <c r="J11" s="44"/>
      <c r="K11" s="44"/>
      <c r="L11" s="44">
        <v>5</v>
      </c>
      <c r="M11" s="44">
        <v>1</v>
      </c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/>
      <c r="F12" s="44">
        <v>6</v>
      </c>
      <c r="G12" s="44">
        <v>1</v>
      </c>
      <c r="H12" s="44"/>
      <c r="I12" s="44">
        <v>2</v>
      </c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2</v>
      </c>
      <c r="D13" s="44">
        <v>1</v>
      </c>
      <c r="E13" s="44">
        <v>2</v>
      </c>
      <c r="F13" s="44">
        <v>4</v>
      </c>
      <c r="G13" s="44">
        <v>4</v>
      </c>
      <c r="H13" s="44"/>
      <c r="I13" s="44"/>
      <c r="J13" s="44">
        <v>2</v>
      </c>
      <c r="K13" s="44"/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>
        <v>4</v>
      </c>
      <c r="D14" s="44">
        <v>2</v>
      </c>
      <c r="E14" s="44">
        <v>3</v>
      </c>
      <c r="F14" s="44"/>
      <c r="G14" s="44"/>
      <c r="H14" s="44"/>
      <c r="I14" s="44"/>
      <c r="J14" s="44">
        <v>2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>
        <v>1</v>
      </c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</v>
      </c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905</v>
      </c>
      <c r="C4" t="s">
        <v>2974</v>
      </c>
      <c r="D4" t="s">
        <v>2969</v>
      </c>
      <c r="E4" t="s">
        <v>2979</v>
      </c>
      <c r="F4" t="s">
        <v>2976</v>
      </c>
      <c r="G4" t="s">
        <v>2975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>
        <v>2</v>
      </c>
      <c r="G9" s="44"/>
      <c r="H9" s="44"/>
      <c r="I9" s="44">
        <v>4</v>
      </c>
      <c r="J9" s="44"/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2</v>
      </c>
      <c r="D10" s="44">
        <v>1</v>
      </c>
      <c r="E10" s="44">
        <v>1</v>
      </c>
      <c r="F10" s="44">
        <v>1</v>
      </c>
      <c r="G10" s="44">
        <v>1</v>
      </c>
      <c r="H10" s="44"/>
      <c r="I10" s="44"/>
      <c r="J10" s="44"/>
      <c r="K10" s="44"/>
      <c r="L10" s="44">
        <v>6</v>
      </c>
      <c r="M10" s="44">
        <v>1</v>
      </c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6</v>
      </c>
      <c r="D11" s="44">
        <v>1</v>
      </c>
      <c r="E11" s="44">
        <v>1</v>
      </c>
      <c r="F11" s="44">
        <v>4</v>
      </c>
      <c r="G11" s="44">
        <v>2</v>
      </c>
      <c r="H11" s="44">
        <v>2</v>
      </c>
      <c r="I11" s="44"/>
      <c r="J11" s="44"/>
      <c r="K11" s="44"/>
      <c r="L11" s="44">
        <v>5</v>
      </c>
      <c r="M11" s="44"/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>
        <v>1</v>
      </c>
      <c r="F12" s="44">
        <v>6</v>
      </c>
      <c r="G12" s="44"/>
      <c r="H12" s="44">
        <v>1</v>
      </c>
      <c r="I12" s="44"/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4</v>
      </c>
      <c r="D13" s="44">
        <v>1</v>
      </c>
      <c r="E13" s="44">
        <v>2</v>
      </c>
      <c r="F13" s="44">
        <v>2</v>
      </c>
      <c r="G13" s="44"/>
      <c r="H13" s="44">
        <v>1</v>
      </c>
      <c r="I13" s="44">
        <v>2</v>
      </c>
      <c r="J13" s="44"/>
      <c r="K13" s="44">
        <v>1</v>
      </c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/>
      <c r="D14" s="44"/>
      <c r="E14" s="44">
        <v>1</v>
      </c>
      <c r="F14" s="44">
        <v>1</v>
      </c>
      <c r="G14" s="44"/>
      <c r="H14" s="44"/>
      <c r="I14" s="44">
        <v>2</v>
      </c>
      <c r="J14" s="44">
        <v>3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>
        <v>1</v>
      </c>
      <c r="I15" s="44"/>
      <c r="J15" s="44">
        <v>1</v>
      </c>
      <c r="K15" s="44"/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>
        <v>1</v>
      </c>
      <c r="K16" s="44"/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203" workbookViewId="0">
      <selection activeCell="M232" sqref="M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2260</v>
      </c>
      <c r="N1" s="24" t="s">
        <v>2261</v>
      </c>
      <c r="O1" s="25" t="s">
        <v>3035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2014</v>
      </c>
      <c r="N2" s="25" t="s">
        <v>1763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2026</v>
      </c>
      <c r="N3" s="25" t="s">
        <v>1775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2017</v>
      </c>
      <c r="N4" s="25" t="s">
        <v>1766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2073</v>
      </c>
      <c r="N5" s="25" t="s">
        <v>1822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2022</v>
      </c>
      <c r="N6" s="25" t="s">
        <v>1771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2012</v>
      </c>
      <c r="N7" s="25" t="s">
        <v>1761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2019</v>
      </c>
      <c r="N8" s="25" t="s">
        <v>1768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2016</v>
      </c>
      <c r="N9" s="25" t="s">
        <v>1765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2020</v>
      </c>
      <c r="N10" s="25" t="s">
        <v>1769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2015</v>
      </c>
      <c r="N11" s="25" t="s">
        <v>1764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2021</v>
      </c>
      <c r="N12" s="25" t="s">
        <v>1770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2018</v>
      </c>
      <c r="N13" s="25" t="s">
        <v>1767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2025</v>
      </c>
      <c r="N14" s="25" t="s">
        <v>1774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2024</v>
      </c>
      <c r="N15" s="25" t="s">
        <v>1773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2023</v>
      </c>
      <c r="N16" s="25" t="s">
        <v>1772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2027</v>
      </c>
      <c r="N17" s="25" t="s">
        <v>1776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2043</v>
      </c>
      <c r="N18" s="25" t="s">
        <v>1792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2034</v>
      </c>
      <c r="N19" s="25" t="s">
        <v>1783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2030</v>
      </c>
      <c r="N20" s="25" t="s">
        <v>1779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2029</v>
      </c>
      <c r="N21" s="25" t="s">
        <v>1778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2047</v>
      </c>
      <c r="N22" s="25" t="s">
        <v>1796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2031</v>
      </c>
      <c r="N23" s="25" t="s">
        <v>1780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2048</v>
      </c>
      <c r="N24" s="25" t="s">
        <v>1797</v>
      </c>
      <c r="O24" s="25">
        <f>COUNTIF(COUNTRIES[COUNTRY_LABEL],COUNTRIES[[#This Row],[COUNTRY_LABEL]])</f>
        <v>1</v>
      </c>
    </row>
    <row r="25" spans="1:15">
      <c r="K25" s="23" t="s">
        <v>2837</v>
      </c>
      <c r="M25" s="25" t="s">
        <v>2036</v>
      </c>
      <c r="N25" s="25" t="s">
        <v>1785</v>
      </c>
      <c r="O25" s="25">
        <f>COUNTIF(COUNTRIES[COUNTRY_LABEL],COUNTRIES[[#This Row],[COUNTRY_LABEL]])</f>
        <v>1</v>
      </c>
    </row>
    <row r="26" spans="1:15">
      <c r="M26" s="25" t="s">
        <v>2038</v>
      </c>
      <c r="N26" s="25" t="s">
        <v>1787</v>
      </c>
      <c r="O26" s="25">
        <f>COUNTIF(COUNTRIES[COUNTRY_LABEL],COUNTRIES[[#This Row],[COUNTRY_LABEL]])</f>
        <v>1</v>
      </c>
    </row>
    <row r="27" spans="1:15">
      <c r="M27" s="25" t="s">
        <v>2044</v>
      </c>
      <c r="N27" s="25" t="s">
        <v>1793</v>
      </c>
      <c r="O27" s="25">
        <f>COUNTIF(COUNTRIES[COUNTRY_LABEL],COUNTRIES[[#This Row],[COUNTRY_LABEL]])</f>
        <v>1</v>
      </c>
    </row>
    <row r="28" spans="1:15">
      <c r="M28" s="25" t="s">
        <v>2040</v>
      </c>
      <c r="N28" s="25" t="s">
        <v>1789</v>
      </c>
      <c r="O28" s="25">
        <f>COUNTIF(COUNTRIES[COUNTRY_LABEL],COUNTRIES[[#This Row],[COUNTRY_LABEL]])</f>
        <v>1</v>
      </c>
    </row>
    <row r="29" spans="1:15">
      <c r="M29" s="25" t="s">
        <v>2028</v>
      </c>
      <c r="N29" s="25" t="s">
        <v>1777</v>
      </c>
      <c r="O29" s="25">
        <f>COUNTIF(COUNTRIES[COUNTRY_LABEL],COUNTRIES[[#This Row],[COUNTRY_LABEL]])</f>
        <v>1</v>
      </c>
    </row>
    <row r="30" spans="1:15">
      <c r="M30" s="25" t="s">
        <v>2046</v>
      </c>
      <c r="N30" s="25" t="s">
        <v>1795</v>
      </c>
      <c r="O30" s="25">
        <f>COUNTIF(COUNTRIES[COUNTRY_LABEL],COUNTRIES[[#This Row],[COUNTRY_LABEL]])</f>
        <v>1</v>
      </c>
    </row>
    <row r="31" spans="1:15">
      <c r="M31" s="25" t="s">
        <v>2045</v>
      </c>
      <c r="N31" s="25" t="s">
        <v>1794</v>
      </c>
      <c r="O31" s="25">
        <f>COUNTIF(COUNTRIES[COUNTRY_LABEL],COUNTRIES[[#This Row],[COUNTRY_LABEL]])</f>
        <v>1</v>
      </c>
    </row>
    <row r="32" spans="1:15">
      <c r="M32" s="25" t="s">
        <v>2042</v>
      </c>
      <c r="N32" s="25" t="s">
        <v>1791</v>
      </c>
      <c r="O32" s="25">
        <f>COUNTIF(COUNTRIES[COUNTRY_LABEL],COUNTRIES[[#This Row],[COUNTRY_LABEL]])</f>
        <v>1</v>
      </c>
    </row>
    <row r="33" spans="13:15">
      <c r="M33" s="25" t="s">
        <v>2117</v>
      </c>
      <c r="N33" s="25" t="s">
        <v>1865</v>
      </c>
      <c r="O33" s="25">
        <f>COUNTIF(COUNTRIES[COUNTRY_LABEL],COUNTRIES[[#This Row],[COUNTRY_LABEL]])</f>
        <v>1</v>
      </c>
    </row>
    <row r="34" spans="13:15">
      <c r="M34" s="25" t="s">
        <v>2039</v>
      </c>
      <c r="N34" s="25" t="s">
        <v>1788</v>
      </c>
      <c r="O34" s="25">
        <f>COUNTIF(COUNTRIES[COUNTRY_LABEL],COUNTRIES[[#This Row],[COUNTRY_LABEL]])</f>
        <v>1</v>
      </c>
    </row>
    <row r="35" spans="13:15">
      <c r="M35" s="25" t="s">
        <v>2033</v>
      </c>
      <c r="N35" s="25" t="s">
        <v>1782</v>
      </c>
      <c r="O35" s="25">
        <f>COUNTIF(COUNTRIES[COUNTRY_LABEL],COUNTRIES[[#This Row],[COUNTRY_LABEL]])</f>
        <v>1</v>
      </c>
    </row>
    <row r="36" spans="13:15">
      <c r="M36" s="25" t="s">
        <v>2032</v>
      </c>
      <c r="N36" s="25" t="s">
        <v>1781</v>
      </c>
      <c r="O36" s="25">
        <f>COUNTIF(COUNTRIES[COUNTRY_LABEL],COUNTRIES[[#This Row],[COUNTRY_LABEL]])</f>
        <v>1</v>
      </c>
    </row>
    <row r="37" spans="13:15">
      <c r="M37" s="25" t="s">
        <v>2035</v>
      </c>
      <c r="N37" s="25" t="s">
        <v>1784</v>
      </c>
      <c r="O37" s="25">
        <f>COUNTIF(COUNTRIES[COUNTRY_LABEL],COUNTRIES[[#This Row],[COUNTRY_LABEL]])</f>
        <v>1</v>
      </c>
    </row>
    <row r="38" spans="13:15">
      <c r="M38" s="25" t="s">
        <v>2128</v>
      </c>
      <c r="N38" s="25" t="s">
        <v>1876</v>
      </c>
      <c r="O38" s="25">
        <f>COUNTIF(COUNTRIES[COUNTRY_LABEL],COUNTRIES[[#This Row],[COUNTRY_LABEL]])</f>
        <v>1</v>
      </c>
    </row>
    <row r="39" spans="13:15">
      <c r="M39" s="25" t="s">
        <v>2058</v>
      </c>
      <c r="N39" s="25" t="s">
        <v>1807</v>
      </c>
      <c r="O39" s="25">
        <f>COUNTIF(COUNTRIES[COUNTRY_LABEL],COUNTRIES[[#This Row],[COUNTRY_LABEL]])</f>
        <v>1</v>
      </c>
    </row>
    <row r="40" spans="13:15">
      <c r="M40" s="25" t="s">
        <v>2049</v>
      </c>
      <c r="N40" s="25" t="s">
        <v>1798</v>
      </c>
      <c r="O40" s="25">
        <f>COUNTIF(COUNTRIES[COUNTRY_LABEL],COUNTRIES[[#This Row],[COUNTRY_LABEL]])</f>
        <v>1</v>
      </c>
    </row>
    <row r="41" spans="13:15">
      <c r="M41" s="25" t="s">
        <v>2063</v>
      </c>
      <c r="N41" s="25" t="s">
        <v>1812</v>
      </c>
      <c r="O41" s="25">
        <f>COUNTIF(COUNTRIES[COUNTRY_LABEL],COUNTRIES[[#This Row],[COUNTRY_LABEL]])</f>
        <v>1</v>
      </c>
    </row>
    <row r="42" spans="13:15">
      <c r="M42" s="25" t="s">
        <v>2041</v>
      </c>
      <c r="N42" s="25" t="s">
        <v>1790</v>
      </c>
      <c r="O42" s="25">
        <f>COUNTIF(COUNTRIES[COUNTRY_LABEL],COUNTRIES[[#This Row],[COUNTRY_LABEL]])</f>
        <v>1</v>
      </c>
    </row>
    <row r="43" spans="13:15">
      <c r="M43" s="25" t="s">
        <v>2135</v>
      </c>
      <c r="N43" s="25" t="s">
        <v>1883</v>
      </c>
      <c r="O43" s="25">
        <f>COUNTIF(COUNTRIES[COUNTRY_LABEL],COUNTRIES[[#This Row],[COUNTRY_LABEL]])</f>
        <v>1</v>
      </c>
    </row>
    <row r="44" spans="13:15">
      <c r="M44" s="25" t="s">
        <v>2052</v>
      </c>
      <c r="N44" s="25" t="s">
        <v>1801</v>
      </c>
      <c r="O44" s="25">
        <f>COUNTIF(COUNTRIES[COUNTRY_LABEL],COUNTRIES[[#This Row],[COUNTRY_LABEL]])</f>
        <v>1</v>
      </c>
    </row>
    <row r="45" spans="13:15">
      <c r="M45" s="25" t="s">
        <v>2225</v>
      </c>
      <c r="N45" s="25" t="s">
        <v>1974</v>
      </c>
      <c r="O45" s="25">
        <f>COUNTIF(COUNTRIES[COUNTRY_LABEL],COUNTRIES[[#This Row],[COUNTRY_LABEL]])</f>
        <v>1</v>
      </c>
    </row>
    <row r="46" spans="13:15">
      <c r="M46" s="25" t="s">
        <v>2057</v>
      </c>
      <c r="N46" s="25" t="s">
        <v>1806</v>
      </c>
      <c r="O46" s="25">
        <f>COUNTIF(COUNTRIES[COUNTRY_LABEL],COUNTRIES[[#This Row],[COUNTRY_LABEL]])</f>
        <v>1</v>
      </c>
    </row>
    <row r="47" spans="13:15">
      <c r="M47" s="25" t="s">
        <v>2059</v>
      </c>
      <c r="N47" s="25" t="s">
        <v>1808</v>
      </c>
      <c r="O47" s="25">
        <f>COUNTIF(COUNTRIES[COUNTRY_LABEL],COUNTRIES[[#This Row],[COUNTRY_LABEL]])</f>
        <v>1</v>
      </c>
    </row>
    <row r="48" spans="13:15">
      <c r="M48" s="25" t="s">
        <v>2065</v>
      </c>
      <c r="N48" s="25" t="s">
        <v>1814</v>
      </c>
      <c r="O48" s="25">
        <f>COUNTIF(COUNTRIES[COUNTRY_LABEL],COUNTRIES[[#This Row],[COUNTRY_LABEL]])</f>
        <v>1</v>
      </c>
    </row>
    <row r="49" spans="13:15">
      <c r="M49" s="25" t="s">
        <v>2050</v>
      </c>
      <c r="N49" s="25" t="s">
        <v>1799</v>
      </c>
      <c r="O49" s="25">
        <f>COUNTIF(COUNTRIES[COUNTRY_LABEL],COUNTRIES[[#This Row],[COUNTRY_LABEL]])</f>
        <v>1</v>
      </c>
    </row>
    <row r="50" spans="13:15">
      <c r="M50" s="25" t="s">
        <v>2060</v>
      </c>
      <c r="N50" s="25" t="s">
        <v>1809</v>
      </c>
      <c r="O50" s="25">
        <f>COUNTIF(COUNTRIES[COUNTRY_LABEL],COUNTRIES[[#This Row],[COUNTRY_LABEL]])</f>
        <v>1</v>
      </c>
    </row>
    <row r="51" spans="13:15">
      <c r="M51" s="25" t="s">
        <v>2130</v>
      </c>
      <c r="N51" s="25" t="s">
        <v>1878</v>
      </c>
      <c r="O51" s="25">
        <f>COUNTIF(COUNTRIES[COUNTRY_LABEL],COUNTRIES[[#This Row],[COUNTRY_LABEL]])</f>
        <v>1</v>
      </c>
    </row>
    <row r="52" spans="13:15">
      <c r="M52" s="25" t="s">
        <v>2056</v>
      </c>
      <c r="N52" s="25" t="s">
        <v>1805</v>
      </c>
      <c r="O52" s="25">
        <f>COUNTIF(COUNTRIES[COUNTRY_LABEL],COUNTRIES[[#This Row],[COUNTRY_LABEL]])</f>
        <v>1</v>
      </c>
    </row>
    <row r="53" spans="13:15">
      <c r="M53" s="25" t="s">
        <v>2061</v>
      </c>
      <c r="N53" s="25" t="s">
        <v>1810</v>
      </c>
      <c r="O53" s="25">
        <f>COUNTIF(COUNTRIES[COUNTRY_LABEL],COUNTRIES[[#This Row],[COUNTRY_LABEL]])</f>
        <v>1</v>
      </c>
    </row>
    <row r="54" spans="13:15">
      <c r="M54" s="25" t="s">
        <v>2109</v>
      </c>
      <c r="N54" s="25" t="s">
        <v>1857</v>
      </c>
      <c r="O54" s="25">
        <f>COUNTIF(COUNTRIES[COUNTRY_LABEL],COUNTRIES[[#This Row],[COUNTRY_LABEL]])</f>
        <v>1</v>
      </c>
    </row>
    <row r="55" spans="13:15">
      <c r="M55" s="25" t="s">
        <v>2062</v>
      </c>
      <c r="N55" s="25" t="s">
        <v>1811</v>
      </c>
      <c r="O55" s="25">
        <f>COUNTIF(COUNTRIES[COUNTRY_LABEL],COUNTRIES[[#This Row],[COUNTRY_LABEL]])</f>
        <v>1</v>
      </c>
    </row>
    <row r="56" spans="13:15">
      <c r="M56" s="25" t="s">
        <v>2064</v>
      </c>
      <c r="N56" s="25" t="s">
        <v>1813</v>
      </c>
      <c r="O56" s="25">
        <f>COUNTIF(COUNTRIES[COUNTRY_LABEL],COUNTRIES[[#This Row],[COUNTRY_LABEL]])</f>
        <v>1</v>
      </c>
    </row>
    <row r="57" spans="13:15">
      <c r="M57" s="25" t="s">
        <v>2066</v>
      </c>
      <c r="N57" s="25" t="s">
        <v>1815</v>
      </c>
      <c r="O57" s="25">
        <f>COUNTIF(COUNTRIES[COUNTRY_LABEL],COUNTRIES[[#This Row],[COUNTRY_LABEL]])</f>
        <v>1</v>
      </c>
    </row>
    <row r="58" spans="13:15">
      <c r="M58" s="25" t="s">
        <v>2067</v>
      </c>
      <c r="N58" s="25" t="s">
        <v>1816</v>
      </c>
      <c r="O58" s="25">
        <f>COUNTIF(COUNTRIES[COUNTRY_LABEL],COUNTRIES[[#This Row],[COUNTRY_LABEL]])</f>
        <v>1</v>
      </c>
    </row>
    <row r="59" spans="13:15">
      <c r="M59" s="25" t="s">
        <v>2051</v>
      </c>
      <c r="N59" s="25" t="s">
        <v>1800</v>
      </c>
      <c r="O59" s="25">
        <f>COUNTIF(COUNTRIES[COUNTRY_LABEL],COUNTRIES[[#This Row],[COUNTRY_LABEL]])</f>
        <v>1</v>
      </c>
    </row>
    <row r="60" spans="13:15">
      <c r="M60" s="25" t="s">
        <v>2070</v>
      </c>
      <c r="N60" s="25" t="s">
        <v>1819</v>
      </c>
      <c r="O60" s="25">
        <f>COUNTIF(COUNTRIES[COUNTRY_LABEL],COUNTRIES[[#This Row],[COUNTRY_LABEL]])</f>
        <v>1</v>
      </c>
    </row>
    <row r="61" spans="13:15">
      <c r="M61" s="25" t="s">
        <v>2069</v>
      </c>
      <c r="N61" s="25" t="s">
        <v>1818</v>
      </c>
      <c r="O61" s="25">
        <f>COUNTIF(COUNTRIES[COUNTRY_LABEL],COUNTRIES[[#This Row],[COUNTRY_LABEL]])</f>
        <v>1</v>
      </c>
    </row>
    <row r="62" spans="13:15">
      <c r="M62" s="25" t="s">
        <v>2071</v>
      </c>
      <c r="N62" s="25" t="s">
        <v>1820</v>
      </c>
      <c r="O62" s="25">
        <f>COUNTIF(COUNTRIES[COUNTRY_LABEL],COUNTRIES[[#This Row],[COUNTRY_LABEL]])</f>
        <v>1</v>
      </c>
    </row>
    <row r="63" spans="13:15">
      <c r="M63" s="25" t="s">
        <v>2072</v>
      </c>
      <c r="N63" s="25" t="s">
        <v>1821</v>
      </c>
      <c r="O63" s="25">
        <f>COUNTIF(COUNTRIES[COUNTRY_LABEL],COUNTRIES[[#This Row],[COUNTRY_LABEL]])</f>
        <v>1</v>
      </c>
    </row>
    <row r="64" spans="13:15">
      <c r="M64" s="25" t="s">
        <v>2276</v>
      </c>
      <c r="N64" s="25" t="s">
        <v>2008</v>
      </c>
      <c r="O64" s="25">
        <f>COUNTIF(COUNTRIES[COUNTRY_LABEL],COUNTRIES[[#This Row],[COUNTRY_LABEL]])</f>
        <v>1</v>
      </c>
    </row>
    <row r="65" spans="13:15">
      <c r="M65" s="25" t="s">
        <v>2074</v>
      </c>
      <c r="N65" s="25" t="s">
        <v>1823</v>
      </c>
      <c r="O65" s="25">
        <f>COUNTIF(COUNTRIES[COUNTRY_LABEL],COUNTRIES[[#This Row],[COUNTRY_LABEL]])</f>
        <v>1</v>
      </c>
    </row>
    <row r="66" spans="13:15">
      <c r="M66" s="25" t="s">
        <v>2076</v>
      </c>
      <c r="N66" s="25" t="s">
        <v>1825</v>
      </c>
      <c r="O66" s="25">
        <f>COUNTIF(COUNTRIES[COUNTRY_LABEL],COUNTRIES[[#This Row],[COUNTRY_LABEL]])</f>
        <v>1</v>
      </c>
    </row>
    <row r="67" spans="13:15">
      <c r="M67" s="25" t="s">
        <v>2220</v>
      </c>
      <c r="N67" s="25" t="s">
        <v>1969</v>
      </c>
      <c r="O67" s="25">
        <f>COUNTIF(COUNTRIES[COUNTRY_LABEL],COUNTRIES[[#This Row],[COUNTRY_LABEL]])</f>
        <v>1</v>
      </c>
    </row>
    <row r="68" spans="13:15">
      <c r="M68" s="25" t="s">
        <v>2099</v>
      </c>
      <c r="N68" s="25" t="s">
        <v>1847</v>
      </c>
      <c r="O68" s="25">
        <f>COUNTIF(COUNTRIES[COUNTRY_LABEL],COUNTRIES[[#This Row],[COUNTRY_LABEL]])</f>
        <v>1</v>
      </c>
    </row>
    <row r="69" spans="13:15">
      <c r="M69" s="25" t="s">
        <v>2078</v>
      </c>
      <c r="N69" s="25" t="s">
        <v>1827</v>
      </c>
      <c r="O69" s="25">
        <f>COUNTIF(COUNTRIES[COUNTRY_LABEL],COUNTRIES[[#This Row],[COUNTRY_LABEL]])</f>
        <v>1</v>
      </c>
    </row>
    <row r="70" spans="13:15">
      <c r="M70" s="25" t="s">
        <v>2075</v>
      </c>
      <c r="N70" s="25" t="s">
        <v>1824</v>
      </c>
      <c r="O70" s="25">
        <f>COUNTIF(COUNTRIES[COUNTRY_LABEL],COUNTRIES[[#This Row],[COUNTRY_LABEL]])</f>
        <v>1</v>
      </c>
    </row>
    <row r="71" spans="13:15">
      <c r="M71" s="25" t="s">
        <v>2223</v>
      </c>
      <c r="N71" s="25" t="s">
        <v>1972</v>
      </c>
      <c r="O71" s="25">
        <f>COUNTIF(COUNTRIES[COUNTRY_LABEL],COUNTRIES[[#This Row],[COUNTRY_LABEL]])</f>
        <v>1</v>
      </c>
    </row>
    <row r="72" spans="13:15">
      <c r="M72" s="25" t="s">
        <v>2080</v>
      </c>
      <c r="N72" s="25" t="s">
        <v>1829</v>
      </c>
      <c r="O72" s="25">
        <f>COUNTIF(COUNTRIES[COUNTRY_LABEL],COUNTRIES[[#This Row],[COUNTRY_LABEL]])</f>
        <v>1</v>
      </c>
    </row>
    <row r="73" spans="13:15">
      <c r="M73" s="25" t="s">
        <v>2275</v>
      </c>
      <c r="N73" s="25" t="s">
        <v>2009</v>
      </c>
      <c r="O73" s="25">
        <f>COUNTIF(COUNTRIES[COUNTRY_LABEL],COUNTRIES[[#This Row],[COUNTRY_LABEL]])</f>
        <v>1</v>
      </c>
    </row>
    <row r="74" spans="13:15">
      <c r="M74" s="25" t="s">
        <v>2083</v>
      </c>
      <c r="N74" s="25" t="s">
        <v>1832</v>
      </c>
      <c r="O74" s="25">
        <f>COUNTIF(COUNTRIES[COUNTRY_LABEL],COUNTRIES[[#This Row],[COUNTRY_LABEL]])</f>
        <v>1</v>
      </c>
    </row>
    <row r="75" spans="13:15">
      <c r="M75" s="25" t="s">
        <v>2085</v>
      </c>
      <c r="N75" s="25" t="s">
        <v>1834</v>
      </c>
      <c r="O75" s="25">
        <f>COUNTIF(COUNTRIES[COUNTRY_LABEL],COUNTRIES[[#This Row],[COUNTRY_LABEL]])</f>
        <v>1</v>
      </c>
    </row>
    <row r="76" spans="13:15">
      <c r="M76" s="25" t="s">
        <v>2082</v>
      </c>
      <c r="N76" s="25" t="s">
        <v>1831</v>
      </c>
      <c r="O76" s="25">
        <f>COUNTIF(COUNTRIES[COUNTRY_LABEL],COUNTRIES[[#This Row],[COUNTRY_LABEL]])</f>
        <v>1</v>
      </c>
    </row>
    <row r="77" spans="13:15">
      <c r="M77" s="25" t="s">
        <v>2081</v>
      </c>
      <c r="N77" s="25" t="s">
        <v>1830</v>
      </c>
      <c r="O77" s="25">
        <f>COUNTIF(COUNTRIES[COUNTRY_LABEL],COUNTRIES[[#This Row],[COUNTRY_LABEL]])</f>
        <v>1</v>
      </c>
    </row>
    <row r="78" spans="13:15">
      <c r="M78" s="25" t="s">
        <v>2086</v>
      </c>
      <c r="N78" s="25" t="s">
        <v>1835</v>
      </c>
      <c r="O78" s="25">
        <f>COUNTIF(COUNTRIES[COUNTRY_LABEL],COUNTRIES[[#This Row],[COUNTRY_LABEL]])</f>
        <v>1</v>
      </c>
    </row>
    <row r="79" spans="13:15">
      <c r="M79" s="25" t="s">
        <v>2091</v>
      </c>
      <c r="N79" s="25" t="s">
        <v>1839</v>
      </c>
      <c r="O79" s="25">
        <f>COUNTIF(COUNTRIES[COUNTRY_LABEL],COUNTRIES[[#This Row],[COUNTRY_LABEL]])</f>
        <v>1</v>
      </c>
    </row>
    <row r="80" spans="13:15">
      <c r="M80" s="25" t="s">
        <v>2185</v>
      </c>
      <c r="N80" s="25" t="s">
        <v>1934</v>
      </c>
      <c r="O80" s="25">
        <f>COUNTIF(COUNTRIES[COUNTRY_LABEL],COUNTRIES[[#This Row],[COUNTRY_LABEL]])</f>
        <v>1</v>
      </c>
    </row>
    <row r="81" spans="13:15">
      <c r="M81" s="25" t="s">
        <v>2226</v>
      </c>
      <c r="N81" s="25" t="s">
        <v>1975</v>
      </c>
      <c r="O81" s="25">
        <f>COUNTIF(COUNTRIES[COUNTRY_LABEL],COUNTRIES[[#This Row],[COUNTRY_LABEL]])</f>
        <v>1</v>
      </c>
    </row>
    <row r="82" spans="13:15">
      <c r="M82" s="25" t="s">
        <v>2087</v>
      </c>
      <c r="N82" s="25" t="s">
        <v>2264</v>
      </c>
      <c r="O82" s="25">
        <f>COUNTIF(COUNTRIES[COUNTRY_LABEL],COUNTRIES[[#This Row],[COUNTRY_LABEL]])</f>
        <v>1</v>
      </c>
    </row>
    <row r="83" spans="13:15">
      <c r="M83" s="25" t="s">
        <v>2096</v>
      </c>
      <c r="N83" s="25" t="s">
        <v>1844</v>
      </c>
      <c r="O83" s="25">
        <f>COUNTIF(COUNTRIES[COUNTRY_LABEL],COUNTRIES[[#This Row],[COUNTRY_LABEL]])</f>
        <v>1</v>
      </c>
    </row>
    <row r="84" spans="13:15">
      <c r="M84" s="25" t="s">
        <v>2102</v>
      </c>
      <c r="N84" s="25" t="s">
        <v>1850</v>
      </c>
      <c r="O84" s="25">
        <f>COUNTIF(COUNTRIES[COUNTRY_LABEL],COUNTRIES[[#This Row],[COUNTRY_LABEL]])</f>
        <v>1</v>
      </c>
    </row>
    <row r="85" spans="13:15">
      <c r="M85" s="25" t="s">
        <v>2090</v>
      </c>
      <c r="N85" s="25" t="s">
        <v>1838</v>
      </c>
      <c r="O85" s="25">
        <f>COUNTIF(COUNTRIES[COUNTRY_LABEL],COUNTRIES[[#This Row],[COUNTRY_LABEL]])</f>
        <v>1</v>
      </c>
    </row>
    <row r="86" spans="13:15">
      <c r="M86" s="25" t="s">
        <v>2068</v>
      </c>
      <c r="N86" s="25" t="s">
        <v>1817</v>
      </c>
      <c r="O86" s="25">
        <f>COUNTIF(COUNTRIES[COUNTRY_LABEL],COUNTRIES[[#This Row],[COUNTRY_LABEL]])</f>
        <v>1</v>
      </c>
    </row>
    <row r="87" spans="13:15">
      <c r="M87" s="25" t="s">
        <v>2093</v>
      </c>
      <c r="N87" s="25" t="s">
        <v>1841</v>
      </c>
      <c r="O87" s="25">
        <f>COUNTIF(COUNTRIES[COUNTRY_LABEL],COUNTRIES[[#This Row],[COUNTRY_LABEL]])</f>
        <v>1</v>
      </c>
    </row>
    <row r="88" spans="13:15">
      <c r="M88" s="25" t="s">
        <v>2094</v>
      </c>
      <c r="N88" s="25" t="s">
        <v>1842</v>
      </c>
      <c r="O88" s="25">
        <f>COUNTIF(COUNTRIES[COUNTRY_LABEL],COUNTRIES[[#This Row],[COUNTRY_LABEL]])</f>
        <v>1</v>
      </c>
    </row>
    <row r="89" spans="13:15">
      <c r="M89" s="25" t="s">
        <v>2100</v>
      </c>
      <c r="N89" s="25" t="s">
        <v>1848</v>
      </c>
      <c r="O89" s="25">
        <f>COUNTIF(COUNTRIES[COUNTRY_LABEL],COUNTRIES[[#This Row],[COUNTRY_LABEL]])</f>
        <v>1</v>
      </c>
    </row>
    <row r="90" spans="13:15">
      <c r="M90" s="25" t="s">
        <v>2095</v>
      </c>
      <c r="N90" s="25" t="s">
        <v>1843</v>
      </c>
      <c r="O90" s="25">
        <f>COUNTIF(COUNTRIES[COUNTRY_LABEL],COUNTRIES[[#This Row],[COUNTRY_LABEL]])</f>
        <v>1</v>
      </c>
    </row>
    <row r="91" spans="13:15">
      <c r="M91" s="25" t="s">
        <v>2089</v>
      </c>
      <c r="N91" s="25" t="s">
        <v>1837</v>
      </c>
      <c r="O91" s="25">
        <f>COUNTIF(COUNTRIES[COUNTRY_LABEL],COUNTRIES[[#This Row],[COUNTRY_LABEL]])</f>
        <v>1</v>
      </c>
    </row>
    <row r="92" spans="13:15">
      <c r="M92" s="25" t="s">
        <v>2098</v>
      </c>
      <c r="N92" s="25" t="s">
        <v>1846</v>
      </c>
      <c r="O92" s="25">
        <f>COUNTIF(COUNTRIES[COUNTRY_LABEL],COUNTRIES[[#This Row],[COUNTRY_LABEL]])</f>
        <v>1</v>
      </c>
    </row>
    <row r="93" spans="13:15">
      <c r="M93" s="25" t="s">
        <v>2103</v>
      </c>
      <c r="N93" s="25" t="s">
        <v>1851</v>
      </c>
      <c r="O93" s="25">
        <f>COUNTIF(COUNTRIES[COUNTRY_LABEL],COUNTRIES[[#This Row],[COUNTRY_LABEL]])</f>
        <v>1</v>
      </c>
    </row>
    <row r="94" spans="13:15">
      <c r="M94" s="25" t="s">
        <v>2092</v>
      </c>
      <c r="N94" s="25" t="s">
        <v>1840</v>
      </c>
      <c r="O94" s="25">
        <f>COUNTIF(COUNTRIES[COUNTRY_LABEL],COUNTRIES[[#This Row],[COUNTRY_LABEL]])</f>
        <v>1</v>
      </c>
    </row>
    <row r="95" spans="13:15">
      <c r="M95" s="25" t="s">
        <v>2097</v>
      </c>
      <c r="N95" s="25" t="s">
        <v>1845</v>
      </c>
      <c r="O95" s="25">
        <f>COUNTIF(COUNTRIES[COUNTRY_LABEL],COUNTRIES[[#This Row],[COUNTRY_LABEL]])</f>
        <v>1</v>
      </c>
    </row>
    <row r="96" spans="13:15">
      <c r="M96" s="25" t="s">
        <v>2104</v>
      </c>
      <c r="N96" s="25" t="s">
        <v>1852</v>
      </c>
      <c r="O96" s="25">
        <f>COUNTIF(COUNTRIES[COUNTRY_LABEL],COUNTRIES[[#This Row],[COUNTRY_LABEL]])</f>
        <v>1</v>
      </c>
    </row>
    <row r="97" spans="13:15">
      <c r="M97" s="25" t="s">
        <v>2105</v>
      </c>
      <c r="N97" s="25" t="s">
        <v>1853</v>
      </c>
      <c r="O97" s="25">
        <f>COUNTIF(COUNTRIES[COUNTRY_LABEL],COUNTRIES[[#This Row],[COUNTRY_LABEL]])</f>
        <v>1</v>
      </c>
    </row>
    <row r="98" spans="13:15">
      <c r="M98" s="25" t="s">
        <v>2110</v>
      </c>
      <c r="N98" s="25" t="s">
        <v>1858</v>
      </c>
      <c r="O98" s="25">
        <f>COUNTIF(COUNTRIES[COUNTRY_LABEL],COUNTRIES[[#This Row],[COUNTRY_LABEL]])</f>
        <v>1</v>
      </c>
    </row>
    <row r="99" spans="13:15">
      <c r="M99" s="25" t="s">
        <v>2107</v>
      </c>
      <c r="N99" s="25" t="s">
        <v>1855</v>
      </c>
      <c r="O99" s="25">
        <f>COUNTIF(COUNTRIES[COUNTRY_LABEL],COUNTRIES[[#This Row],[COUNTRY_LABEL]])</f>
        <v>1</v>
      </c>
    </row>
    <row r="100" spans="13:15">
      <c r="M100" s="25" t="s">
        <v>2246</v>
      </c>
      <c r="N100" s="25" t="s">
        <v>1994</v>
      </c>
      <c r="O100" s="25">
        <f>COUNTIF(COUNTRIES[COUNTRY_LABEL],COUNTRIES[[#This Row],[COUNTRY_LABEL]])</f>
        <v>1</v>
      </c>
    </row>
    <row r="101" spans="13:15">
      <c r="M101" s="25" t="s">
        <v>2108</v>
      </c>
      <c r="N101" s="25" t="s">
        <v>1856</v>
      </c>
      <c r="O101" s="25">
        <f>COUNTIF(COUNTRIES[COUNTRY_LABEL],COUNTRIES[[#This Row],[COUNTRY_LABEL]])</f>
        <v>1</v>
      </c>
    </row>
    <row r="102" spans="13:15">
      <c r="M102" s="25" t="s">
        <v>2106</v>
      </c>
      <c r="N102" s="25" t="s">
        <v>1854</v>
      </c>
      <c r="O102" s="25">
        <f>COUNTIF(COUNTRIES[COUNTRY_LABEL],COUNTRIES[[#This Row],[COUNTRY_LABEL]])</f>
        <v>1</v>
      </c>
    </row>
    <row r="103" spans="13:15">
      <c r="M103" s="25" t="s">
        <v>2111</v>
      </c>
      <c r="N103" s="25" t="s">
        <v>1859</v>
      </c>
      <c r="O103" s="25">
        <f>COUNTIF(COUNTRIES[COUNTRY_LABEL],COUNTRIES[[#This Row],[COUNTRY_LABEL]])</f>
        <v>1</v>
      </c>
    </row>
    <row r="104" spans="13:15">
      <c r="M104" s="25" t="s">
        <v>2120</v>
      </c>
      <c r="N104" s="25" t="s">
        <v>1868</v>
      </c>
      <c r="O104" s="25">
        <f>COUNTIF(COUNTRIES[COUNTRY_LABEL],COUNTRIES[[#This Row],[COUNTRY_LABEL]])</f>
        <v>1</v>
      </c>
    </row>
    <row r="105" spans="13:15">
      <c r="M105" s="25" t="s">
        <v>2116</v>
      </c>
      <c r="N105" s="25" t="s">
        <v>1864</v>
      </c>
      <c r="O105" s="25">
        <f>COUNTIF(COUNTRIES[COUNTRY_LABEL],COUNTRIES[[#This Row],[COUNTRY_LABEL]])</f>
        <v>1</v>
      </c>
    </row>
    <row r="106" spans="13:15">
      <c r="M106" s="25" t="s">
        <v>2112</v>
      </c>
      <c r="N106" s="25" t="s">
        <v>1860</v>
      </c>
      <c r="O106" s="25">
        <f>COUNTIF(COUNTRIES[COUNTRY_LABEL],COUNTRIES[[#This Row],[COUNTRY_LABEL]])</f>
        <v>1</v>
      </c>
    </row>
    <row r="107" spans="13:15">
      <c r="M107" s="25" t="s">
        <v>2119</v>
      </c>
      <c r="N107" s="25" t="s">
        <v>1867</v>
      </c>
      <c r="O107" s="25">
        <f>COUNTIF(COUNTRIES[COUNTRY_LABEL],COUNTRIES[[#This Row],[COUNTRY_LABEL]])</f>
        <v>1</v>
      </c>
    </row>
    <row r="108" spans="13:15">
      <c r="M108" s="25" t="s">
        <v>2118</v>
      </c>
      <c r="N108" s="25" t="s">
        <v>1866</v>
      </c>
      <c r="O108" s="25">
        <f>COUNTIF(COUNTRIES[COUNTRY_LABEL],COUNTRIES[[#This Row],[COUNTRY_LABEL]])</f>
        <v>1</v>
      </c>
    </row>
    <row r="109" spans="13:15">
      <c r="M109" s="25" t="s">
        <v>2113</v>
      </c>
      <c r="N109" s="25" t="s">
        <v>1861</v>
      </c>
      <c r="O109" s="25">
        <f>COUNTIF(COUNTRIES[COUNTRY_LABEL],COUNTRIES[[#This Row],[COUNTRY_LABEL]])</f>
        <v>1</v>
      </c>
    </row>
    <row r="110" spans="13:15">
      <c r="M110" s="25" t="s">
        <v>2115</v>
      </c>
      <c r="N110" s="25" t="s">
        <v>1863</v>
      </c>
      <c r="O110" s="25">
        <f>COUNTIF(COUNTRIES[COUNTRY_LABEL],COUNTRIES[[#This Row],[COUNTRY_LABEL]])</f>
        <v>1</v>
      </c>
    </row>
    <row r="111" spans="13:15">
      <c r="M111" s="25" t="s">
        <v>2114</v>
      </c>
      <c r="N111" s="25" t="s">
        <v>1862</v>
      </c>
      <c r="O111" s="25">
        <f>COUNTIF(COUNTRIES[COUNTRY_LABEL],COUNTRIES[[#This Row],[COUNTRY_LABEL]])</f>
        <v>1</v>
      </c>
    </row>
    <row r="112" spans="13:15">
      <c r="M112" s="25" t="s">
        <v>2121</v>
      </c>
      <c r="N112" s="25" t="s">
        <v>1869</v>
      </c>
      <c r="O112" s="25">
        <f>COUNTIF(COUNTRIES[COUNTRY_LABEL],COUNTRIES[[#This Row],[COUNTRY_LABEL]])</f>
        <v>1</v>
      </c>
    </row>
    <row r="113" spans="13:15">
      <c r="M113" s="25" t="s">
        <v>2055</v>
      </c>
      <c r="N113" s="25" t="s">
        <v>1804</v>
      </c>
      <c r="O113" s="25">
        <f>COUNTIF(COUNTRIES[COUNTRY_LABEL],COUNTRIES[[#This Row],[COUNTRY_LABEL]])</f>
        <v>1</v>
      </c>
    </row>
    <row r="114" spans="13:15">
      <c r="M114" s="25" t="s">
        <v>2123</v>
      </c>
      <c r="N114" s="25" t="s">
        <v>1871</v>
      </c>
      <c r="O114" s="25">
        <f>COUNTIF(COUNTRIES[COUNTRY_LABEL],COUNTRIES[[#This Row],[COUNTRY_LABEL]])</f>
        <v>1</v>
      </c>
    </row>
    <row r="115" spans="13:15">
      <c r="M115" s="25" t="s">
        <v>2125</v>
      </c>
      <c r="N115" s="25" t="s">
        <v>1873</v>
      </c>
      <c r="O115" s="25">
        <f>COUNTIF(COUNTRIES[COUNTRY_LABEL],COUNTRIES[[#This Row],[COUNTRY_LABEL]])</f>
        <v>1</v>
      </c>
    </row>
    <row r="116" spans="13:15">
      <c r="M116" s="25" t="s">
        <v>2122</v>
      </c>
      <c r="N116" s="25" t="s">
        <v>1870</v>
      </c>
      <c r="O116" s="25">
        <f>COUNTIF(COUNTRIES[COUNTRY_LABEL],COUNTRIES[[#This Row],[COUNTRY_LABEL]])</f>
        <v>1</v>
      </c>
    </row>
    <row r="117" spans="13:15">
      <c r="M117" s="25" t="s">
        <v>2124</v>
      </c>
      <c r="N117" s="25" t="s">
        <v>1872</v>
      </c>
      <c r="O117" s="25">
        <f>COUNTIF(COUNTRIES[COUNTRY_LABEL],COUNTRIES[[#This Row],[COUNTRY_LABEL]])</f>
        <v>1</v>
      </c>
    </row>
    <row r="118" spans="13:15">
      <c r="M118" s="25" t="s">
        <v>2136</v>
      </c>
      <c r="N118" s="25" t="s">
        <v>1884</v>
      </c>
      <c r="O118" s="25">
        <f>COUNTIF(COUNTRIES[COUNTRY_LABEL],COUNTRIES[[#This Row],[COUNTRY_LABEL]])</f>
        <v>1</v>
      </c>
    </row>
    <row r="119" spans="13:15">
      <c r="M119" s="25" t="s">
        <v>2126</v>
      </c>
      <c r="N119" s="25" t="s">
        <v>1874</v>
      </c>
      <c r="O119" s="25">
        <f>COUNTIF(COUNTRIES[COUNTRY_LABEL],COUNTRIES[[#This Row],[COUNTRY_LABEL]])</f>
        <v>1</v>
      </c>
    </row>
    <row r="120" spans="13:15">
      <c r="M120" s="25" t="s">
        <v>2129</v>
      </c>
      <c r="N120" s="25" t="s">
        <v>1877</v>
      </c>
      <c r="O120" s="25">
        <f>COUNTIF(COUNTRIES[COUNTRY_LABEL],COUNTRIES[[#This Row],[COUNTRY_LABEL]])</f>
        <v>1</v>
      </c>
    </row>
    <row r="121" spans="13:15">
      <c r="M121" s="25" t="s">
        <v>2134</v>
      </c>
      <c r="N121" s="25" t="s">
        <v>1882</v>
      </c>
      <c r="O121" s="25">
        <f>COUNTIF(COUNTRIES[COUNTRY_LABEL],COUNTRIES[[#This Row],[COUNTRY_LABEL]])</f>
        <v>1</v>
      </c>
    </row>
    <row r="122" spans="13:15">
      <c r="M122" s="25" t="s">
        <v>2127</v>
      </c>
      <c r="N122" s="25" t="s">
        <v>1875</v>
      </c>
      <c r="O122" s="25">
        <f>COUNTIF(COUNTRIES[COUNTRY_LABEL],COUNTRIES[[#This Row],[COUNTRY_LABEL]])</f>
        <v>1</v>
      </c>
    </row>
    <row r="123" spans="13:15">
      <c r="M123" s="25" t="s">
        <v>2137</v>
      </c>
      <c r="N123" s="25" t="s">
        <v>1885</v>
      </c>
      <c r="O123" s="25">
        <f>COUNTIF(COUNTRIES[COUNTRY_LABEL],COUNTRIES[[#This Row],[COUNTRY_LABEL]])</f>
        <v>1</v>
      </c>
    </row>
    <row r="124" spans="13:15">
      <c r="M124" s="25" t="s">
        <v>2146</v>
      </c>
      <c r="N124" s="25" t="s">
        <v>1894</v>
      </c>
      <c r="O124" s="25">
        <f>COUNTIF(COUNTRIES[COUNTRY_LABEL],COUNTRIES[[#This Row],[COUNTRY_LABEL]])</f>
        <v>1</v>
      </c>
    </row>
    <row r="125" spans="13:15">
      <c r="M125" s="25" t="s">
        <v>2138</v>
      </c>
      <c r="N125" s="25" t="s">
        <v>1886</v>
      </c>
      <c r="O125" s="25">
        <f>COUNTIF(COUNTRIES[COUNTRY_LABEL],COUNTRIES[[#This Row],[COUNTRY_LABEL]])</f>
        <v>1</v>
      </c>
    </row>
    <row r="126" spans="13:15">
      <c r="M126" s="25" t="s">
        <v>2143</v>
      </c>
      <c r="N126" s="25" t="s">
        <v>1891</v>
      </c>
      <c r="O126" s="25">
        <f>COUNTIF(COUNTRIES[COUNTRY_LABEL],COUNTRIES[[#This Row],[COUNTRY_LABEL]])</f>
        <v>1</v>
      </c>
    </row>
    <row r="127" spans="13:15">
      <c r="M127" s="25" t="s">
        <v>2142</v>
      </c>
      <c r="N127" s="25" t="s">
        <v>1890</v>
      </c>
      <c r="O127" s="25">
        <f>COUNTIF(COUNTRIES[COUNTRY_LABEL],COUNTRIES[[#This Row],[COUNTRY_LABEL]])</f>
        <v>1</v>
      </c>
    </row>
    <row r="128" spans="13:15">
      <c r="M128" s="25" t="s">
        <v>2147</v>
      </c>
      <c r="N128" s="25" t="s">
        <v>1895</v>
      </c>
      <c r="O128" s="25">
        <f>COUNTIF(COUNTRIES[COUNTRY_LABEL],COUNTRIES[[#This Row],[COUNTRY_LABEL]])</f>
        <v>1</v>
      </c>
    </row>
    <row r="129" spans="13:15">
      <c r="M129" s="25" t="s">
        <v>2140</v>
      </c>
      <c r="N129" s="25" t="s">
        <v>1888</v>
      </c>
      <c r="O129" s="25">
        <f>COUNTIF(COUNTRIES[COUNTRY_LABEL],COUNTRIES[[#This Row],[COUNTRY_LABEL]])</f>
        <v>1</v>
      </c>
    </row>
    <row r="130" spans="13:15">
      <c r="M130" s="25" t="s">
        <v>2144</v>
      </c>
      <c r="N130" s="25" t="s">
        <v>1892</v>
      </c>
      <c r="O130" s="25">
        <f>COUNTIF(COUNTRIES[COUNTRY_LABEL],COUNTRIES[[#This Row],[COUNTRY_LABEL]])</f>
        <v>1</v>
      </c>
    </row>
    <row r="131" spans="13:15">
      <c r="M131" s="25" t="s">
        <v>2145</v>
      </c>
      <c r="N131" s="25" t="s">
        <v>1893</v>
      </c>
      <c r="O131" s="25">
        <f>COUNTIF(COUNTRIES[COUNTRY_LABEL],COUNTRIES[[#This Row],[COUNTRY_LABEL]])</f>
        <v>1</v>
      </c>
    </row>
    <row r="132" spans="13:15">
      <c r="M132" s="25" t="s">
        <v>2159</v>
      </c>
      <c r="N132" s="25" t="s">
        <v>1907</v>
      </c>
      <c r="O132" s="25">
        <f>COUNTIF(COUNTRIES[COUNTRY_LABEL],COUNTRIES[[#This Row],[COUNTRY_LABEL]])</f>
        <v>1</v>
      </c>
    </row>
    <row r="133" spans="13:15">
      <c r="M133" s="25" t="s">
        <v>2153</v>
      </c>
      <c r="N133" s="25" t="s">
        <v>1901</v>
      </c>
      <c r="O133" s="25">
        <f>COUNTIF(COUNTRIES[COUNTRY_LABEL],COUNTRIES[[#This Row],[COUNTRY_LABEL]])</f>
        <v>1</v>
      </c>
    </row>
    <row r="134" spans="13:15">
      <c r="M134" s="25" t="s">
        <v>2167</v>
      </c>
      <c r="N134" s="25" t="s">
        <v>1915</v>
      </c>
      <c r="O134" s="25">
        <f>COUNTIF(COUNTRIES[COUNTRY_LABEL],COUNTRIES[[#This Row],[COUNTRY_LABEL]])</f>
        <v>1</v>
      </c>
    </row>
    <row r="135" spans="13:15">
      <c r="M135" s="25" t="s">
        <v>2169</v>
      </c>
      <c r="N135" s="25" t="s">
        <v>1917</v>
      </c>
      <c r="O135" s="25">
        <f>COUNTIF(COUNTRIES[COUNTRY_LABEL],COUNTRIES[[#This Row],[COUNTRY_LABEL]])</f>
        <v>1</v>
      </c>
    </row>
    <row r="136" spans="13:15">
      <c r="M136" s="25" t="s">
        <v>2166</v>
      </c>
      <c r="N136" s="25" t="s">
        <v>1914</v>
      </c>
      <c r="O136" s="25">
        <f>COUNTIF(COUNTRIES[COUNTRY_LABEL],COUNTRIES[[#This Row],[COUNTRY_LABEL]])</f>
        <v>1</v>
      </c>
    </row>
    <row r="137" spans="13:15">
      <c r="M137" s="25" t="s">
        <v>2156</v>
      </c>
      <c r="N137" s="25" t="s">
        <v>1904</v>
      </c>
      <c r="O137" s="25">
        <f>COUNTIF(COUNTRIES[COUNTRY_LABEL],COUNTRIES[[#This Row],[COUNTRY_LABEL]])</f>
        <v>1</v>
      </c>
    </row>
    <row r="138" spans="13:15">
      <c r="M138" s="25" t="s">
        <v>2164</v>
      </c>
      <c r="N138" s="25" t="s">
        <v>1912</v>
      </c>
      <c r="O138" s="25">
        <f>COUNTIF(COUNTRIES[COUNTRY_LABEL],COUNTRIES[[#This Row],[COUNTRY_LABEL]])</f>
        <v>1</v>
      </c>
    </row>
    <row r="139" spans="13:15">
      <c r="M139" s="25" t="s">
        <v>2154</v>
      </c>
      <c r="N139" s="25" t="s">
        <v>1902</v>
      </c>
      <c r="O139" s="25">
        <f>COUNTIF(COUNTRIES[COUNTRY_LABEL],COUNTRIES[[#This Row],[COUNTRY_LABEL]])</f>
        <v>1</v>
      </c>
    </row>
    <row r="140" spans="13:15">
      <c r="M140" s="25" t="s">
        <v>2161</v>
      </c>
      <c r="N140" s="25" t="s">
        <v>1909</v>
      </c>
      <c r="O140" s="25">
        <f>COUNTIF(COUNTRIES[COUNTRY_LABEL],COUNTRIES[[#This Row],[COUNTRY_LABEL]])</f>
        <v>1</v>
      </c>
    </row>
    <row r="141" spans="13:15">
      <c r="M141" s="25" t="s">
        <v>2162</v>
      </c>
      <c r="N141" s="25" t="s">
        <v>1910</v>
      </c>
      <c r="O141" s="25">
        <f>COUNTIF(COUNTRIES[COUNTRY_LABEL],COUNTRIES[[#This Row],[COUNTRY_LABEL]])</f>
        <v>1</v>
      </c>
    </row>
    <row r="142" spans="13:15">
      <c r="M142" s="25" t="s">
        <v>2165</v>
      </c>
      <c r="N142" s="25" t="s">
        <v>1913</v>
      </c>
      <c r="O142" s="25">
        <f>COUNTIF(COUNTRIES[COUNTRY_LABEL],COUNTRIES[[#This Row],[COUNTRY_LABEL]])</f>
        <v>1</v>
      </c>
    </row>
    <row r="143" spans="13:15">
      <c r="M143" s="25" t="s">
        <v>2256</v>
      </c>
      <c r="N143" s="25" t="s">
        <v>2004</v>
      </c>
      <c r="O143" s="25">
        <f>COUNTIF(COUNTRIES[COUNTRY_LABEL],COUNTRIES[[#This Row],[COUNTRY_LABEL]])</f>
        <v>1</v>
      </c>
    </row>
    <row r="144" spans="13:15">
      <c r="M144" s="25" t="s">
        <v>2168</v>
      </c>
      <c r="N144" s="25" t="s">
        <v>1916</v>
      </c>
      <c r="O144" s="25">
        <f>COUNTIF(COUNTRIES[COUNTRY_LABEL],COUNTRIES[[#This Row],[COUNTRY_LABEL]])</f>
        <v>1</v>
      </c>
    </row>
    <row r="145" spans="13:15">
      <c r="M145" s="25" t="s">
        <v>2084</v>
      </c>
      <c r="N145" s="25" t="s">
        <v>1833</v>
      </c>
      <c r="O145" s="25">
        <f>COUNTIF(COUNTRIES[COUNTRY_LABEL],COUNTRIES[[#This Row],[COUNTRY_LABEL]])</f>
        <v>1</v>
      </c>
    </row>
    <row r="146" spans="13:15">
      <c r="M146" s="25" t="s">
        <v>2150</v>
      </c>
      <c r="N146" s="25" t="s">
        <v>1898</v>
      </c>
      <c r="O146" s="25">
        <f>COUNTIF(COUNTRIES[COUNTRY_LABEL],COUNTRIES[[#This Row],[COUNTRY_LABEL]])</f>
        <v>1</v>
      </c>
    </row>
    <row r="147" spans="13:15">
      <c r="M147" s="25" t="s">
        <v>2149</v>
      </c>
      <c r="N147" s="25" t="s">
        <v>1897</v>
      </c>
      <c r="O147" s="25">
        <f>COUNTIF(COUNTRIES[COUNTRY_LABEL],COUNTRIES[[#This Row],[COUNTRY_LABEL]])</f>
        <v>1</v>
      </c>
    </row>
    <row r="148" spans="13:15">
      <c r="M148" s="25" t="s">
        <v>2158</v>
      </c>
      <c r="N148" s="25" t="s">
        <v>1906</v>
      </c>
      <c r="O148" s="25">
        <f>COUNTIF(COUNTRIES[COUNTRY_LABEL],COUNTRIES[[#This Row],[COUNTRY_LABEL]])</f>
        <v>1</v>
      </c>
    </row>
    <row r="149" spans="13:15">
      <c r="M149" s="25" t="s">
        <v>2151</v>
      </c>
      <c r="N149" s="25" t="s">
        <v>1899</v>
      </c>
      <c r="O149" s="25">
        <f>COUNTIF(COUNTRIES[COUNTRY_LABEL],COUNTRIES[[#This Row],[COUNTRY_LABEL]])</f>
        <v>1</v>
      </c>
    </row>
    <row r="150" spans="13:15">
      <c r="M150" s="25" t="s">
        <v>2163</v>
      </c>
      <c r="N150" s="25" t="s">
        <v>1911</v>
      </c>
      <c r="O150" s="25">
        <f>COUNTIF(COUNTRIES[COUNTRY_LABEL],COUNTRIES[[#This Row],[COUNTRY_LABEL]])</f>
        <v>1</v>
      </c>
    </row>
    <row r="151" spans="13:15">
      <c r="M151" s="25" t="s">
        <v>2148</v>
      </c>
      <c r="N151" s="25" t="s">
        <v>1896</v>
      </c>
      <c r="O151" s="25">
        <f>COUNTIF(COUNTRIES[COUNTRY_LABEL],COUNTRIES[[#This Row],[COUNTRY_LABEL]])</f>
        <v>1</v>
      </c>
    </row>
    <row r="152" spans="13:15">
      <c r="M152" s="25" t="s">
        <v>2170</v>
      </c>
      <c r="N152" s="25" t="s">
        <v>1918</v>
      </c>
      <c r="O152" s="25">
        <f>COUNTIF(COUNTRIES[COUNTRY_LABEL],COUNTRIES[[#This Row],[COUNTRY_LABEL]])</f>
        <v>1</v>
      </c>
    </row>
    <row r="153" spans="13:15">
      <c r="M153" s="25" t="s">
        <v>2157</v>
      </c>
      <c r="N153" s="25" t="s">
        <v>1905</v>
      </c>
      <c r="O153" s="25">
        <f>COUNTIF(COUNTRIES[COUNTRY_LABEL],COUNTRIES[[#This Row],[COUNTRY_LABEL]])</f>
        <v>1</v>
      </c>
    </row>
    <row r="154" spans="13:15">
      <c r="M154" s="25" t="s">
        <v>1749</v>
      </c>
      <c r="N154" s="25" t="s">
        <v>1919</v>
      </c>
      <c r="O154" s="25">
        <f>COUNTIF(COUNTRIES[COUNTRY_LABEL],COUNTRIES[[#This Row],[COUNTRY_LABEL]])</f>
        <v>1</v>
      </c>
    </row>
    <row r="155" spans="13:15">
      <c r="M155" s="25" t="s">
        <v>2179</v>
      </c>
      <c r="N155" s="25" t="s">
        <v>1928</v>
      </c>
      <c r="O155" s="25">
        <f>COUNTIF(COUNTRIES[COUNTRY_LABEL],COUNTRIES[[#This Row],[COUNTRY_LABEL]])</f>
        <v>1</v>
      </c>
    </row>
    <row r="156" spans="13:15">
      <c r="M156" s="25" t="s">
        <v>2178</v>
      </c>
      <c r="N156" s="25" t="s">
        <v>1927</v>
      </c>
      <c r="O156" s="25">
        <f>COUNTIF(COUNTRIES[COUNTRY_LABEL],COUNTRIES[[#This Row],[COUNTRY_LABEL]])</f>
        <v>1</v>
      </c>
    </row>
    <row r="157" spans="13:15">
      <c r="M157" s="25" t="s">
        <v>2176</v>
      </c>
      <c r="N157" s="25" t="s">
        <v>1925</v>
      </c>
      <c r="O157" s="25">
        <f>COUNTIF(COUNTRIES[COUNTRY_LABEL],COUNTRIES[[#This Row],[COUNTRY_LABEL]])</f>
        <v>1</v>
      </c>
    </row>
    <row r="158" spans="13:15">
      <c r="M158" s="25" t="s">
        <v>2171</v>
      </c>
      <c r="N158" s="25" t="s">
        <v>1920</v>
      </c>
      <c r="O158" s="25">
        <f>COUNTIF(COUNTRIES[COUNTRY_LABEL],COUNTRIES[[#This Row],[COUNTRY_LABEL]])</f>
        <v>1</v>
      </c>
    </row>
    <row r="159" spans="13:15">
      <c r="M159" s="25" t="s">
        <v>2181</v>
      </c>
      <c r="N159" s="25" t="s">
        <v>1930</v>
      </c>
      <c r="O159" s="25">
        <f>COUNTIF(COUNTRIES[COUNTRY_LABEL],COUNTRIES[[#This Row],[COUNTRY_LABEL]])</f>
        <v>1</v>
      </c>
    </row>
    <row r="160" spans="13:15">
      <c r="M160" s="25" t="s">
        <v>2175</v>
      </c>
      <c r="N160" s="25" t="s">
        <v>1924</v>
      </c>
      <c r="O160" s="25">
        <f>COUNTIF(COUNTRIES[COUNTRY_LABEL],COUNTRIES[[#This Row],[COUNTRY_LABEL]])</f>
        <v>1</v>
      </c>
    </row>
    <row r="161" spans="13:15">
      <c r="M161" s="25" t="s">
        <v>2172</v>
      </c>
      <c r="N161" s="25" t="s">
        <v>1921</v>
      </c>
      <c r="O161" s="25">
        <f>COUNTIF(COUNTRIES[COUNTRY_LABEL],COUNTRIES[[#This Row],[COUNTRY_LABEL]])</f>
        <v>1</v>
      </c>
    </row>
    <row r="162" spans="13:15">
      <c r="M162" s="25" t="s">
        <v>2174</v>
      </c>
      <c r="N162" s="25" t="s">
        <v>1923</v>
      </c>
      <c r="O162" s="25">
        <f>COUNTIF(COUNTRIES[COUNTRY_LABEL],COUNTRIES[[#This Row],[COUNTRY_LABEL]])</f>
        <v>1</v>
      </c>
    </row>
    <row r="163" spans="13:15">
      <c r="M163" s="25" t="s">
        <v>2180</v>
      </c>
      <c r="N163" s="25" t="s">
        <v>1929</v>
      </c>
      <c r="O163" s="25">
        <f>COUNTIF(COUNTRIES[COUNTRY_LABEL],COUNTRIES[[#This Row],[COUNTRY_LABEL]])</f>
        <v>1</v>
      </c>
    </row>
    <row r="164" spans="13:15">
      <c r="M164" s="25" t="s">
        <v>2173</v>
      </c>
      <c r="N164" s="25" t="s">
        <v>1922</v>
      </c>
      <c r="O164" s="25">
        <f>COUNTIF(COUNTRIES[COUNTRY_LABEL],COUNTRIES[[#This Row],[COUNTRY_LABEL]])</f>
        <v>1</v>
      </c>
    </row>
    <row r="165" spans="13:15">
      <c r="M165" s="25" t="s">
        <v>2132</v>
      </c>
      <c r="N165" s="25" t="s">
        <v>1880</v>
      </c>
      <c r="O165" s="25">
        <f>COUNTIF(COUNTRIES[COUNTRY_LABEL],COUNTRIES[[#This Row],[COUNTRY_LABEL]])</f>
        <v>1</v>
      </c>
    </row>
    <row r="166" spans="13:15">
      <c r="M166" s="25" t="s">
        <v>2155</v>
      </c>
      <c r="N166" s="25" t="s">
        <v>1903</v>
      </c>
      <c r="O166" s="25">
        <f>COUNTIF(COUNTRIES[COUNTRY_LABEL],COUNTRIES[[#This Row],[COUNTRY_LABEL]])</f>
        <v>1</v>
      </c>
    </row>
    <row r="167" spans="13:15">
      <c r="M167" s="25" t="s">
        <v>2160</v>
      </c>
      <c r="N167" s="25" t="s">
        <v>1908</v>
      </c>
      <c r="O167" s="25">
        <f>COUNTIF(COUNTRIES[COUNTRY_LABEL],COUNTRIES[[#This Row],[COUNTRY_LABEL]])</f>
        <v>1</v>
      </c>
    </row>
    <row r="168" spans="13:15">
      <c r="M168" s="25" t="s">
        <v>2177</v>
      </c>
      <c r="N168" s="25" t="s">
        <v>1926</v>
      </c>
      <c r="O168" s="25">
        <f>COUNTIF(COUNTRIES[COUNTRY_LABEL],COUNTRIES[[#This Row],[COUNTRY_LABEL]])</f>
        <v>1</v>
      </c>
    </row>
    <row r="169" spans="13:15">
      <c r="M169" s="25" t="s">
        <v>2182</v>
      </c>
      <c r="N169" s="25" t="s">
        <v>1931</v>
      </c>
      <c r="O169" s="25">
        <f>COUNTIF(COUNTRIES[COUNTRY_LABEL],COUNTRIES[[#This Row],[COUNTRY_LABEL]])</f>
        <v>1</v>
      </c>
    </row>
    <row r="170" spans="13:15">
      <c r="M170" s="25" t="s">
        <v>2188</v>
      </c>
      <c r="N170" s="25" t="s">
        <v>1937</v>
      </c>
      <c r="O170" s="25">
        <f>COUNTIF(COUNTRIES[COUNTRY_LABEL],COUNTRIES[[#This Row],[COUNTRY_LABEL]])</f>
        <v>1</v>
      </c>
    </row>
    <row r="171" spans="13:15">
      <c r="M171" s="25" t="s">
        <v>2195</v>
      </c>
      <c r="N171" s="25" t="s">
        <v>1944</v>
      </c>
      <c r="O171" s="25">
        <f>COUNTIF(COUNTRIES[COUNTRY_LABEL],COUNTRIES[[#This Row],[COUNTRY_LABEL]])</f>
        <v>1</v>
      </c>
    </row>
    <row r="172" spans="13:15">
      <c r="M172" s="25" t="s">
        <v>2193</v>
      </c>
      <c r="N172" s="25" t="s">
        <v>1942</v>
      </c>
      <c r="O172" s="25">
        <f>COUNTIF(COUNTRIES[COUNTRY_LABEL],COUNTRIES[[#This Row],[COUNTRY_LABEL]])</f>
        <v>1</v>
      </c>
    </row>
    <row r="173" spans="13:15">
      <c r="M173" s="25" t="s">
        <v>2183</v>
      </c>
      <c r="N173" s="25" t="s">
        <v>1932</v>
      </c>
      <c r="O173" s="25">
        <f>COUNTIF(COUNTRIES[COUNTRY_LABEL],COUNTRIES[[#This Row],[COUNTRY_LABEL]])</f>
        <v>1</v>
      </c>
    </row>
    <row r="174" spans="13:15">
      <c r="M174" s="25" t="s">
        <v>2186</v>
      </c>
      <c r="N174" s="25" t="s">
        <v>1935</v>
      </c>
      <c r="O174" s="25">
        <f>COUNTIF(COUNTRIES[COUNTRY_LABEL],COUNTRIES[[#This Row],[COUNTRY_LABEL]])</f>
        <v>1</v>
      </c>
    </row>
    <row r="175" spans="13:15">
      <c r="M175" s="25" t="s">
        <v>2196</v>
      </c>
      <c r="N175" s="25" t="s">
        <v>1945</v>
      </c>
      <c r="O175" s="25">
        <f>COUNTIF(COUNTRIES[COUNTRY_LABEL],COUNTRIES[[#This Row],[COUNTRY_LABEL]])</f>
        <v>1</v>
      </c>
    </row>
    <row r="176" spans="13:15">
      <c r="M176" s="25" t="s">
        <v>2184</v>
      </c>
      <c r="N176" s="25" t="s">
        <v>1933</v>
      </c>
      <c r="O176" s="25">
        <f>COUNTIF(COUNTRIES[COUNTRY_LABEL],COUNTRIES[[#This Row],[COUNTRY_LABEL]])</f>
        <v>1</v>
      </c>
    </row>
    <row r="177" spans="13:15">
      <c r="M177" s="25" t="s">
        <v>2187</v>
      </c>
      <c r="N177" s="25" t="s">
        <v>1936</v>
      </c>
      <c r="O177" s="25">
        <f>COUNTIF(COUNTRIES[COUNTRY_LABEL],COUNTRIES[[#This Row],[COUNTRY_LABEL]])</f>
        <v>1</v>
      </c>
    </row>
    <row r="178" spans="13:15">
      <c r="M178" s="25" t="s">
        <v>2191</v>
      </c>
      <c r="N178" s="25" t="s">
        <v>1940</v>
      </c>
      <c r="O178" s="25">
        <f>COUNTIF(COUNTRIES[COUNTRY_LABEL],COUNTRIES[[#This Row],[COUNTRY_LABEL]])</f>
        <v>1</v>
      </c>
    </row>
    <row r="179" spans="13:15">
      <c r="M179" s="25" t="s">
        <v>2189</v>
      </c>
      <c r="N179" s="25" t="s">
        <v>1938</v>
      </c>
      <c r="O179" s="25">
        <f>COUNTIF(COUNTRIES[COUNTRY_LABEL],COUNTRIES[[#This Row],[COUNTRY_LABEL]])</f>
        <v>1</v>
      </c>
    </row>
    <row r="180" spans="13:15">
      <c r="M180" s="25" t="s">
        <v>2194</v>
      </c>
      <c r="N180" s="25" t="s">
        <v>1943</v>
      </c>
      <c r="O180" s="25">
        <f>COUNTIF(COUNTRIES[COUNTRY_LABEL],COUNTRIES[[#This Row],[COUNTRY_LABEL]])</f>
        <v>1</v>
      </c>
    </row>
    <row r="181" spans="13:15">
      <c r="M181" s="25" t="s">
        <v>2192</v>
      </c>
      <c r="N181" s="25" t="s">
        <v>1941</v>
      </c>
      <c r="O181" s="25">
        <f>COUNTIF(COUNTRIES[COUNTRY_LABEL],COUNTRIES[[#This Row],[COUNTRY_LABEL]])</f>
        <v>1</v>
      </c>
    </row>
    <row r="182" spans="13:15">
      <c r="M182" s="25" t="s">
        <v>2197</v>
      </c>
      <c r="N182" s="25" t="s">
        <v>1946</v>
      </c>
      <c r="O182" s="25">
        <f>COUNTIF(COUNTRIES[COUNTRY_LABEL],COUNTRIES[[#This Row],[COUNTRY_LABEL]])</f>
        <v>1</v>
      </c>
    </row>
    <row r="183" spans="13:15">
      <c r="M183" s="25" t="s">
        <v>2053</v>
      </c>
      <c r="N183" s="25" t="s">
        <v>1802</v>
      </c>
      <c r="O183" s="25">
        <f>COUNTIF(COUNTRIES[COUNTRY_LABEL],COUNTRIES[[#This Row],[COUNTRY_LABEL]])</f>
        <v>1</v>
      </c>
    </row>
    <row r="184" spans="13:15">
      <c r="M184" s="25" t="s">
        <v>2198</v>
      </c>
      <c r="N184" s="25" t="s">
        <v>1947</v>
      </c>
      <c r="O184" s="25">
        <f>COUNTIF(COUNTRIES[COUNTRY_LABEL],COUNTRIES[[#This Row],[COUNTRY_LABEL]])</f>
        <v>1</v>
      </c>
    </row>
    <row r="185" spans="13:15">
      <c r="M185" s="25" t="s">
        <v>2199</v>
      </c>
      <c r="N185" s="25" t="s">
        <v>1948</v>
      </c>
      <c r="O185" s="25">
        <f>COUNTIF(COUNTRIES[COUNTRY_LABEL],COUNTRIES[[#This Row],[COUNTRY_LABEL]])</f>
        <v>1</v>
      </c>
    </row>
    <row r="186" spans="13:15">
      <c r="M186" s="25" t="s">
        <v>2201</v>
      </c>
      <c r="N186" s="25" t="s">
        <v>1950</v>
      </c>
      <c r="O186" s="25">
        <f>COUNTIF(COUNTRIES[COUNTRY_LABEL],COUNTRIES[[#This Row],[COUNTRY_LABEL]])</f>
        <v>1</v>
      </c>
    </row>
    <row r="187" spans="13:15">
      <c r="M187" s="25" t="s">
        <v>2202</v>
      </c>
      <c r="N187" s="25" t="s">
        <v>1951</v>
      </c>
      <c r="O187" s="25">
        <f>COUNTIF(COUNTRIES[COUNTRY_LABEL],COUNTRIES[[#This Row],[COUNTRY_LABEL]])</f>
        <v>1</v>
      </c>
    </row>
    <row r="188" spans="13:15">
      <c r="M188" s="25" t="s">
        <v>2037</v>
      </c>
      <c r="N188" s="25" t="s">
        <v>1786</v>
      </c>
      <c r="O188" s="25">
        <f>COUNTIF(COUNTRIES[COUNTRY_LABEL],COUNTRIES[[#This Row],[COUNTRY_LABEL]])</f>
        <v>1</v>
      </c>
    </row>
    <row r="189" spans="13:15">
      <c r="M189" s="25" t="s">
        <v>2209</v>
      </c>
      <c r="N189" s="25" t="s">
        <v>1958</v>
      </c>
      <c r="O189" s="25">
        <f>COUNTIF(COUNTRIES[COUNTRY_LABEL],COUNTRIES[[#This Row],[COUNTRY_LABEL]])</f>
        <v>1</v>
      </c>
    </row>
    <row r="190" spans="13:15">
      <c r="M190" s="25" t="s">
        <v>2131</v>
      </c>
      <c r="N190" s="25" t="s">
        <v>1879</v>
      </c>
      <c r="O190" s="25">
        <f>COUNTIF(COUNTRIES[COUNTRY_LABEL],COUNTRIES[[#This Row],[COUNTRY_LABEL]])</f>
        <v>1</v>
      </c>
    </row>
    <row r="191" spans="13:15">
      <c r="M191" s="25" t="s">
        <v>2139</v>
      </c>
      <c r="N191" s="25" t="s">
        <v>1887</v>
      </c>
      <c r="O191" s="25">
        <f>COUNTIF(COUNTRIES[COUNTRY_LABEL],COUNTRIES[[#This Row],[COUNTRY_LABEL]])</f>
        <v>1</v>
      </c>
    </row>
    <row r="192" spans="13:15">
      <c r="M192" s="25" t="s">
        <v>2152</v>
      </c>
      <c r="N192" s="25" t="s">
        <v>1900</v>
      </c>
      <c r="O192" s="25">
        <f>COUNTIF(COUNTRIES[COUNTRY_LABEL],COUNTRIES[[#This Row],[COUNTRY_LABEL]])</f>
        <v>1</v>
      </c>
    </row>
    <row r="193" spans="13:15">
      <c r="M193" s="25" t="s">
        <v>2190</v>
      </c>
      <c r="N193" s="25" t="s">
        <v>1939</v>
      </c>
      <c r="O193" s="25">
        <f>COUNTIF(COUNTRIES[COUNTRY_LABEL],COUNTRIES[[#This Row],[COUNTRY_LABEL]])</f>
        <v>1</v>
      </c>
    </row>
    <row r="194" spans="13:15">
      <c r="M194" s="25" t="s">
        <v>2247</v>
      </c>
      <c r="N194" s="25" t="s">
        <v>1995</v>
      </c>
      <c r="O194" s="25">
        <f>COUNTIF(COUNTRIES[COUNTRY_LABEL],COUNTRIES[[#This Row],[COUNTRY_LABEL]])</f>
        <v>1</v>
      </c>
    </row>
    <row r="195" spans="13:15">
      <c r="M195" s="25" t="s">
        <v>2254</v>
      </c>
      <c r="N195" s="25" t="s">
        <v>2002</v>
      </c>
      <c r="O195" s="25">
        <f>COUNTIF(COUNTRIES[COUNTRY_LABEL],COUNTRIES[[#This Row],[COUNTRY_LABEL]])</f>
        <v>1</v>
      </c>
    </row>
    <row r="196" spans="13:15">
      <c r="M196" s="25" t="s">
        <v>2214</v>
      </c>
      <c r="N196" s="25" t="s">
        <v>1963</v>
      </c>
      <c r="O196" s="25">
        <f>COUNTIF(COUNTRIES[COUNTRY_LABEL],COUNTRIES[[#This Row],[COUNTRY_LABEL]])</f>
        <v>1</v>
      </c>
    </row>
    <row r="197" spans="13:15">
      <c r="M197" s="25" t="s">
        <v>2219</v>
      </c>
      <c r="N197" s="25" t="s">
        <v>1968</v>
      </c>
      <c r="O197" s="25">
        <f>COUNTIF(COUNTRIES[COUNTRY_LABEL],COUNTRIES[[#This Row],[COUNTRY_LABEL]])</f>
        <v>1</v>
      </c>
    </row>
    <row r="198" spans="13:15">
      <c r="M198" s="25" t="s">
        <v>2203</v>
      </c>
      <c r="N198" s="25" t="s">
        <v>1952</v>
      </c>
      <c r="O198" s="25">
        <f>COUNTIF(COUNTRIES[COUNTRY_LABEL],COUNTRIES[[#This Row],[COUNTRY_LABEL]])</f>
        <v>1</v>
      </c>
    </row>
    <row r="199" spans="13:15">
      <c r="M199" s="25" t="s">
        <v>2215</v>
      </c>
      <c r="N199" s="25" t="s">
        <v>1964</v>
      </c>
      <c r="O199" s="25">
        <f>COUNTIF(COUNTRIES[COUNTRY_LABEL],COUNTRIES[[#This Row],[COUNTRY_LABEL]])</f>
        <v>1</v>
      </c>
    </row>
    <row r="200" spans="13:15">
      <c r="M200" s="25" t="s">
        <v>2200</v>
      </c>
      <c r="N200" s="25" t="s">
        <v>1949</v>
      </c>
      <c r="O200" s="25">
        <f>COUNTIF(COUNTRIES[COUNTRY_LABEL],COUNTRIES[[#This Row],[COUNTRY_LABEL]])</f>
        <v>1</v>
      </c>
    </row>
    <row r="201" spans="13:15">
      <c r="M201" s="25" t="s">
        <v>2205</v>
      </c>
      <c r="N201" s="25" t="s">
        <v>1954</v>
      </c>
      <c r="O201" s="25">
        <f>COUNTIF(COUNTRIES[COUNTRY_LABEL],COUNTRIES[[#This Row],[COUNTRY_LABEL]])</f>
        <v>1</v>
      </c>
    </row>
    <row r="202" spans="13:15">
      <c r="M202" s="25" t="s">
        <v>2213</v>
      </c>
      <c r="N202" s="25" t="s">
        <v>1962</v>
      </c>
      <c r="O202" s="25">
        <f>COUNTIF(COUNTRIES[COUNTRY_LABEL],COUNTRIES[[#This Row],[COUNTRY_LABEL]])</f>
        <v>1</v>
      </c>
    </row>
    <row r="203" spans="13:15">
      <c r="M203" s="25" t="s">
        <v>2208</v>
      </c>
      <c r="N203" s="25" t="s">
        <v>1957</v>
      </c>
      <c r="O203" s="25">
        <f>COUNTIF(COUNTRIES[COUNTRY_LABEL],COUNTRIES[[#This Row],[COUNTRY_LABEL]])</f>
        <v>1</v>
      </c>
    </row>
    <row r="204" spans="13:15">
      <c r="M204" s="25" t="s">
        <v>2221</v>
      </c>
      <c r="N204" s="25" t="s">
        <v>1970</v>
      </c>
      <c r="O204" s="25">
        <f>COUNTIF(COUNTRIES[COUNTRY_LABEL],COUNTRIES[[#This Row],[COUNTRY_LABEL]])</f>
        <v>1</v>
      </c>
    </row>
    <row r="205" spans="13:15">
      <c r="M205" s="25" t="s">
        <v>2212</v>
      </c>
      <c r="N205" s="25" t="s">
        <v>1961</v>
      </c>
      <c r="O205" s="25">
        <f>COUNTIF(COUNTRIES[COUNTRY_LABEL],COUNTRIES[[#This Row],[COUNTRY_LABEL]])</f>
        <v>1</v>
      </c>
    </row>
    <row r="206" spans="13:15">
      <c r="M206" s="25" t="s">
        <v>2210</v>
      </c>
      <c r="N206" s="25" t="s">
        <v>1959</v>
      </c>
      <c r="O206" s="25">
        <f>COUNTIF(COUNTRIES[COUNTRY_LABEL],COUNTRIES[[#This Row],[COUNTRY_LABEL]])</f>
        <v>1</v>
      </c>
    </row>
    <row r="207" spans="13:15">
      <c r="M207" s="25" t="s">
        <v>2204</v>
      </c>
      <c r="N207" s="25" t="s">
        <v>1953</v>
      </c>
      <c r="O207" s="25">
        <f>COUNTIF(COUNTRIES[COUNTRY_LABEL],COUNTRIES[[#This Row],[COUNTRY_LABEL]])</f>
        <v>1</v>
      </c>
    </row>
    <row r="208" spans="13:15">
      <c r="M208" s="25" t="s">
        <v>2216</v>
      </c>
      <c r="N208" s="25" t="s">
        <v>1965</v>
      </c>
      <c r="O208" s="25">
        <f>COUNTIF(COUNTRIES[COUNTRY_LABEL],COUNTRIES[[#This Row],[COUNTRY_LABEL]])</f>
        <v>1</v>
      </c>
    </row>
    <row r="209" spans="13:15">
      <c r="M209" s="25" t="s">
        <v>2257</v>
      </c>
      <c r="N209" s="25" t="s">
        <v>2005</v>
      </c>
      <c r="O209" s="25">
        <f>COUNTIF(COUNTRIES[COUNTRY_LABEL],COUNTRIES[[#This Row],[COUNTRY_LABEL]])</f>
        <v>1</v>
      </c>
    </row>
    <row r="210" spans="13:15">
      <c r="M210" s="25" t="s">
        <v>2101</v>
      </c>
      <c r="N210" s="25" t="s">
        <v>1849</v>
      </c>
      <c r="O210" s="25">
        <f>COUNTIF(COUNTRIES[COUNTRY_LABEL],COUNTRIES[[#This Row],[COUNTRY_LABEL]])</f>
        <v>1</v>
      </c>
    </row>
    <row r="211" spans="13:15">
      <c r="M211" s="25" t="s">
        <v>2133</v>
      </c>
      <c r="N211" s="25" t="s">
        <v>1881</v>
      </c>
      <c r="O211" s="25">
        <f>COUNTIF(COUNTRIES[COUNTRY_LABEL],COUNTRIES[[#This Row],[COUNTRY_LABEL]])</f>
        <v>1</v>
      </c>
    </row>
    <row r="212" spans="13:15">
      <c r="M212" s="25" t="s">
        <v>2218</v>
      </c>
      <c r="N212" s="25" t="s">
        <v>1967</v>
      </c>
      <c r="O212" s="25">
        <f>COUNTIF(COUNTRIES[COUNTRY_LABEL],COUNTRIES[[#This Row],[COUNTRY_LABEL]])</f>
        <v>1</v>
      </c>
    </row>
    <row r="213" spans="13:15">
      <c r="M213" s="25" t="s">
        <v>2079</v>
      </c>
      <c r="N213" s="25" t="s">
        <v>1828</v>
      </c>
      <c r="O213" s="25">
        <f>COUNTIF(COUNTRIES[COUNTRY_LABEL],COUNTRIES[[#This Row],[COUNTRY_LABEL]])</f>
        <v>1</v>
      </c>
    </row>
    <row r="214" spans="13:15">
      <c r="M214" s="25" t="s">
        <v>2141</v>
      </c>
      <c r="N214" s="25" t="s">
        <v>1889</v>
      </c>
      <c r="O214" s="25">
        <f>COUNTIF(COUNTRIES[COUNTRY_LABEL],COUNTRIES[[#This Row],[COUNTRY_LABEL]])</f>
        <v>1</v>
      </c>
    </row>
    <row r="215" spans="13:15">
      <c r="M215" s="25" t="s">
        <v>2206</v>
      </c>
      <c r="N215" s="25" t="s">
        <v>1955</v>
      </c>
      <c r="O215" s="25">
        <f>COUNTIF(COUNTRIES[COUNTRY_LABEL],COUNTRIES[[#This Row],[COUNTRY_LABEL]])</f>
        <v>1</v>
      </c>
    </row>
    <row r="216" spans="13:15">
      <c r="M216" s="25" t="s">
        <v>2217</v>
      </c>
      <c r="N216" s="25" t="s">
        <v>1966</v>
      </c>
      <c r="O216" s="25">
        <f>COUNTIF(COUNTRIES[COUNTRY_LABEL],COUNTRIES[[#This Row],[COUNTRY_LABEL]])</f>
        <v>1</v>
      </c>
    </row>
    <row r="217" spans="13:15">
      <c r="M217" s="25" t="s">
        <v>2211</v>
      </c>
      <c r="N217" s="25" t="s">
        <v>1960</v>
      </c>
      <c r="O217" s="25">
        <f>COUNTIF(COUNTRIES[COUNTRY_LABEL],COUNTRIES[[#This Row],[COUNTRY_LABEL]])</f>
        <v>1</v>
      </c>
    </row>
    <row r="218" spans="13:15">
      <c r="M218" s="25" t="s">
        <v>2207</v>
      </c>
      <c r="N218" s="25" t="s">
        <v>1956</v>
      </c>
      <c r="O218" s="25">
        <f>COUNTIF(COUNTRIES[COUNTRY_LABEL],COUNTRIES[[#This Row],[COUNTRY_LABEL]])</f>
        <v>1</v>
      </c>
    </row>
    <row r="219" spans="13:15">
      <c r="M219" s="25" t="s">
        <v>2054</v>
      </c>
      <c r="N219" s="25" t="s">
        <v>1803</v>
      </c>
      <c r="O219" s="25">
        <f>COUNTIF(COUNTRIES[COUNTRY_LABEL],COUNTRIES[[#This Row],[COUNTRY_LABEL]])</f>
        <v>1</v>
      </c>
    </row>
    <row r="220" spans="13:15">
      <c r="M220" s="25" t="s">
        <v>2222</v>
      </c>
      <c r="N220" s="25" t="s">
        <v>1971</v>
      </c>
      <c r="O220" s="25">
        <f>COUNTIF(COUNTRIES[COUNTRY_LABEL],COUNTRIES[[#This Row],[COUNTRY_LABEL]])</f>
        <v>1</v>
      </c>
    </row>
    <row r="221" spans="13:15">
      <c r="M221" s="25" t="s">
        <v>2238</v>
      </c>
      <c r="N221" s="25" t="s">
        <v>1986</v>
      </c>
      <c r="O221" s="25">
        <f>COUNTIF(COUNTRIES[COUNTRY_LABEL],COUNTRIES[[#This Row],[COUNTRY_LABEL]])</f>
        <v>1</v>
      </c>
    </row>
    <row r="222" spans="13:15">
      <c r="M222" s="25" t="s">
        <v>2229</v>
      </c>
      <c r="N222" s="25" t="s">
        <v>1978</v>
      </c>
      <c r="O222" s="25">
        <f>COUNTIF(COUNTRIES[COUNTRY_LABEL],COUNTRIES[[#This Row],[COUNTRY_LABEL]])</f>
        <v>1</v>
      </c>
    </row>
    <row r="223" spans="13:15">
      <c r="M223" s="25" t="s">
        <v>2239</v>
      </c>
      <c r="N223" s="25" t="s">
        <v>1987</v>
      </c>
      <c r="O223" s="25">
        <f>COUNTIF(COUNTRIES[COUNTRY_LABEL],COUNTRIES[[#This Row],[COUNTRY_LABEL]])</f>
        <v>1</v>
      </c>
    </row>
    <row r="224" spans="13:15">
      <c r="M224" s="25" t="s">
        <v>2228</v>
      </c>
      <c r="N224" s="25" t="s">
        <v>1977</v>
      </c>
      <c r="O224" s="25">
        <f>COUNTIF(COUNTRIES[COUNTRY_LABEL],COUNTRIES[[#This Row],[COUNTRY_LABEL]])</f>
        <v>1</v>
      </c>
    </row>
    <row r="225" spans="13:15">
      <c r="M225" s="25" t="s">
        <v>2231</v>
      </c>
      <c r="N225" s="25" t="s">
        <v>1980</v>
      </c>
      <c r="O225" s="25">
        <f>COUNTIF(COUNTRIES[COUNTRY_LABEL],COUNTRIES[[#This Row],[COUNTRY_LABEL]])</f>
        <v>1</v>
      </c>
    </row>
    <row r="226" spans="13:15">
      <c r="M226" s="25" t="s">
        <v>2227</v>
      </c>
      <c r="N226" s="25" t="s">
        <v>1976</v>
      </c>
      <c r="O226" s="25">
        <f>COUNTIF(COUNTRIES[COUNTRY_LABEL],COUNTRIES[[#This Row],[COUNTRY_LABEL]])</f>
        <v>1</v>
      </c>
    </row>
    <row r="227" spans="13:15">
      <c r="M227" s="25" t="s">
        <v>2230</v>
      </c>
      <c r="N227" s="25" t="s">
        <v>1979</v>
      </c>
      <c r="O227" s="25">
        <f>COUNTIF(COUNTRIES[COUNTRY_LABEL],COUNTRIES[[#This Row],[COUNTRY_LABEL]])</f>
        <v>1</v>
      </c>
    </row>
    <row r="228" spans="13:15">
      <c r="M228" s="25" t="s">
        <v>2234</v>
      </c>
      <c r="N228" s="25" t="s">
        <v>1983</v>
      </c>
      <c r="O228" s="25">
        <f>COUNTIF(COUNTRIES[COUNTRY_LABEL],COUNTRIES[[#This Row],[COUNTRY_LABEL]])</f>
        <v>1</v>
      </c>
    </row>
    <row r="229" spans="13:15">
      <c r="M229" s="25" t="s">
        <v>2236</v>
      </c>
      <c r="N229" s="25" t="s">
        <v>1984</v>
      </c>
      <c r="O229" s="25">
        <f>COUNTIF(COUNTRIES[COUNTRY_LABEL],COUNTRIES[[#This Row],[COUNTRY_LABEL]])</f>
        <v>1</v>
      </c>
    </row>
    <row r="230" spans="13:15">
      <c r="M230" s="25" t="s">
        <v>2233</v>
      </c>
      <c r="N230" s="25" t="s">
        <v>1982</v>
      </c>
      <c r="O230" s="25">
        <f>COUNTIF(COUNTRIES[COUNTRY_LABEL],COUNTRIES[[#This Row],[COUNTRY_LABEL]])</f>
        <v>1</v>
      </c>
    </row>
    <row r="231" spans="13:15">
      <c r="M231" s="25" t="s">
        <v>2235</v>
      </c>
      <c r="N231" s="25" t="s">
        <v>2262</v>
      </c>
      <c r="O231" s="25">
        <f>COUNTIF(COUNTRIES[COUNTRY_LABEL],COUNTRIES[[#This Row],[COUNTRY_LABEL]])</f>
        <v>1</v>
      </c>
    </row>
    <row r="232" spans="13:15">
      <c r="M232" s="25" t="s">
        <v>2232</v>
      </c>
      <c r="N232" s="25" t="s">
        <v>1981</v>
      </c>
      <c r="O232" s="25">
        <f>COUNTIF(COUNTRIES[COUNTRY_LABEL],COUNTRIES[[#This Row],[COUNTRY_LABEL]])</f>
        <v>1</v>
      </c>
    </row>
    <row r="233" spans="13:15">
      <c r="M233" s="25" t="s">
        <v>2224</v>
      </c>
      <c r="N233" s="25" t="s">
        <v>1973</v>
      </c>
      <c r="O233" s="25">
        <f>COUNTIF(COUNTRIES[COUNTRY_LABEL],COUNTRIES[[#This Row],[COUNTRY_LABEL]])</f>
        <v>1</v>
      </c>
    </row>
    <row r="234" spans="13:15">
      <c r="M234" s="25" t="s">
        <v>2237</v>
      </c>
      <c r="N234" s="25" t="s">
        <v>1985</v>
      </c>
      <c r="O234" s="25">
        <f>COUNTIF(COUNTRIES[COUNTRY_LABEL],COUNTRIES[[#This Row],[COUNTRY_LABEL]])</f>
        <v>1</v>
      </c>
    </row>
    <row r="235" spans="13:15">
      <c r="M235" s="25" t="s">
        <v>2241</v>
      </c>
      <c r="N235" s="25" t="s">
        <v>1989</v>
      </c>
      <c r="O235" s="25">
        <f>COUNTIF(COUNTRIES[COUNTRY_LABEL],COUNTRIES[[#This Row],[COUNTRY_LABEL]])</f>
        <v>1</v>
      </c>
    </row>
    <row r="236" spans="13:15">
      <c r="M236" s="25" t="s">
        <v>2240</v>
      </c>
      <c r="N236" s="25" t="s">
        <v>1988</v>
      </c>
      <c r="O236" s="25">
        <f>COUNTIF(COUNTRIES[COUNTRY_LABEL],COUNTRIES[[#This Row],[COUNTRY_LABEL]])</f>
        <v>1</v>
      </c>
    </row>
    <row r="237" spans="13:15">
      <c r="M237" s="25" t="s">
        <v>2013</v>
      </c>
      <c r="N237" s="25" t="s">
        <v>1762</v>
      </c>
      <c r="O237" s="25">
        <f>COUNTIF(COUNTRIES[COUNTRY_LABEL],COUNTRIES[[#This Row],[COUNTRY_LABEL]])</f>
        <v>1</v>
      </c>
    </row>
    <row r="238" spans="13:15">
      <c r="M238" s="25" t="s">
        <v>2088</v>
      </c>
      <c r="N238" s="25" t="s">
        <v>1836</v>
      </c>
      <c r="O238" s="25">
        <f>COUNTIF(COUNTRIES[COUNTRY_LABEL],COUNTRIES[[#This Row],[COUNTRY_LABEL]])</f>
        <v>1</v>
      </c>
    </row>
    <row r="239" spans="13:15">
      <c r="M239" s="25" t="s">
        <v>2243</v>
      </c>
      <c r="N239" s="25" t="s">
        <v>1991</v>
      </c>
      <c r="O239" s="25">
        <f>COUNTIF(COUNTRIES[COUNTRY_LABEL],COUNTRIES[[#This Row],[COUNTRY_LABEL]])</f>
        <v>1</v>
      </c>
    </row>
    <row r="240" spans="13:15">
      <c r="M240" s="25" t="s">
        <v>2242</v>
      </c>
      <c r="N240" s="25" t="s">
        <v>1990</v>
      </c>
      <c r="O240" s="25">
        <f>COUNTIF(COUNTRIES[COUNTRY_LABEL],COUNTRIES[[#This Row],[COUNTRY_LABEL]])</f>
        <v>1</v>
      </c>
    </row>
    <row r="241" spans="13:15">
      <c r="M241" s="25" t="s">
        <v>2244</v>
      </c>
      <c r="N241" s="25" t="s">
        <v>1992</v>
      </c>
      <c r="O241" s="25">
        <f>COUNTIF(COUNTRIES[COUNTRY_LABEL],COUNTRIES[[#This Row],[COUNTRY_LABEL]])</f>
        <v>1</v>
      </c>
    </row>
    <row r="242" spans="13:15">
      <c r="M242" s="25" t="s">
        <v>2274</v>
      </c>
      <c r="N242" s="25" t="s">
        <v>2010</v>
      </c>
      <c r="O242" s="25">
        <f>COUNTIF(COUNTRIES[COUNTRY_LABEL],COUNTRIES[[#This Row],[COUNTRY_LABEL]])</f>
        <v>1</v>
      </c>
    </row>
    <row r="243" spans="13:15">
      <c r="M243" s="25" t="s">
        <v>2245</v>
      </c>
      <c r="N243" s="25" t="s">
        <v>1993</v>
      </c>
      <c r="O243" s="25">
        <f>COUNTIF(COUNTRIES[COUNTRY_LABEL],COUNTRIES[[#This Row],[COUNTRY_LABEL]])</f>
        <v>1</v>
      </c>
    </row>
    <row r="244" spans="13:15">
      <c r="M244" s="25" t="s">
        <v>2252</v>
      </c>
      <c r="N244" s="25" t="s">
        <v>2000</v>
      </c>
      <c r="O244" s="25">
        <f>COUNTIF(COUNTRIES[COUNTRY_LABEL],COUNTRIES[[#This Row],[COUNTRY_LABEL]])</f>
        <v>1</v>
      </c>
    </row>
    <row r="245" spans="13:15">
      <c r="M245" s="25" t="s">
        <v>2248</v>
      </c>
      <c r="N245" s="25" t="s">
        <v>1996</v>
      </c>
      <c r="O245" s="25">
        <f>COUNTIF(COUNTRIES[COUNTRY_LABEL],COUNTRIES[[#This Row],[COUNTRY_LABEL]])</f>
        <v>1</v>
      </c>
    </row>
    <row r="246" spans="13:15">
      <c r="M246" s="25" t="s">
        <v>2251</v>
      </c>
      <c r="N246" s="25" t="s">
        <v>1999</v>
      </c>
      <c r="O246" s="25">
        <f>COUNTIF(COUNTRIES[COUNTRY_LABEL],COUNTRIES[[#This Row],[COUNTRY_LABEL]])</f>
        <v>1</v>
      </c>
    </row>
    <row r="247" spans="13:15">
      <c r="M247" s="25" t="s">
        <v>2249</v>
      </c>
      <c r="N247" s="25" t="s">
        <v>1997</v>
      </c>
      <c r="O247" s="25">
        <f>COUNTIF(COUNTRIES[COUNTRY_LABEL],COUNTRIES[[#This Row],[COUNTRY_LABEL]])</f>
        <v>1</v>
      </c>
    </row>
    <row r="248" spans="13:15">
      <c r="M248" s="25" t="s">
        <v>2250</v>
      </c>
      <c r="N248" s="25" t="s">
        <v>1998</v>
      </c>
      <c r="O248" s="25">
        <f>COUNTIF(COUNTRIES[COUNTRY_LABEL],COUNTRIES[[#This Row],[COUNTRY_LABEL]])</f>
        <v>1</v>
      </c>
    </row>
    <row r="249" spans="13:15">
      <c r="M249" s="25" t="s">
        <v>2253</v>
      </c>
      <c r="N249" s="25" t="s">
        <v>2001</v>
      </c>
      <c r="O249" s="25">
        <f>COUNTIF(COUNTRIES[COUNTRY_LABEL],COUNTRIES[[#This Row],[COUNTRY_LABEL]])</f>
        <v>1</v>
      </c>
    </row>
    <row r="250" spans="13:15">
      <c r="M250" s="25" t="s">
        <v>2077</v>
      </c>
      <c r="N250" s="25" t="s">
        <v>1826</v>
      </c>
      <c r="O250" s="25">
        <f>COUNTIF(COUNTRIES[COUNTRY_LABEL],COUNTRIES[[#This Row],[COUNTRY_LABEL]])</f>
        <v>1</v>
      </c>
    </row>
    <row r="251" spans="13:15">
      <c r="M251" s="25" t="s">
        <v>2255</v>
      </c>
      <c r="N251" s="25" t="s">
        <v>2003</v>
      </c>
      <c r="O251" s="25">
        <f>COUNTIF(COUNTRIES[COUNTRY_LABEL],COUNTRIES[[#This Row],[COUNTRY_LABEL]])</f>
        <v>1</v>
      </c>
    </row>
    <row r="252" spans="13:15">
      <c r="M252" s="25" t="s">
        <v>2273</v>
      </c>
      <c r="N252" s="25" t="s">
        <v>2011</v>
      </c>
      <c r="O252" s="25">
        <f>COUNTIF(COUNTRIES[COUNTRY_LABEL],COUNTRIES[[#This Row],[COUNTRY_LABEL]])</f>
        <v>1</v>
      </c>
    </row>
    <row r="253" spans="13:15">
      <c r="M253" s="25" t="s">
        <v>2258</v>
      </c>
      <c r="N253" s="25" t="s">
        <v>2006</v>
      </c>
      <c r="O253" s="25">
        <f>COUNTIF(COUNTRIES[COUNTRY_LABEL],COUNTRIES[[#This Row],[COUNTRY_LABEL]])</f>
        <v>1</v>
      </c>
    </row>
    <row r="254" spans="13:15">
      <c r="M254" s="25" t="s">
        <v>2259</v>
      </c>
      <c r="N254" s="25" t="s">
        <v>2007</v>
      </c>
      <c r="O254" s="25">
        <f>COUNTIF(COUNTRIES[COUNTRY_LABEL],COUNTRIES[[#This Row],[COUNTRY_LABEL]])</f>
        <v>1</v>
      </c>
    </row>
    <row r="255" spans="13:15">
      <c r="M255" s="25" t="s">
        <v>2277</v>
      </c>
      <c r="N255" s="25" t="s">
        <v>2263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2837</v>
      </c>
      <c r="B25" t="s">
        <v>2838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2026-04-20T09:57:26Z</dcterms:modified>
</cp:coreProperties>
</file>